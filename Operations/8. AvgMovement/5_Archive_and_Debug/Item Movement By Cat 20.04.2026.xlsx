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2. AvgMovement/3_Live_Reports/"/>
    </mc:Choice>
  </mc:AlternateContent>
  <xr:revisionPtr revIDLastSave="68" documentId="11_13DC3B170419A56C706B62390646D92C6BE8BD6F" xr6:coauthVersionLast="47" xr6:coauthVersionMax="47" xr10:uidLastSave="{CF3A39E0-605A-4DFE-8794-BA212050BF08}"/>
  <bookViews>
    <workbookView xWindow="-108" yWindow="-108" windowWidth="23256" windowHeight="12456" firstSheet="3" activeTab="4" xr2:uid="{00000000-000D-0000-FFFF-FFFF00000000}"/>
  </bookViews>
  <sheets>
    <sheet name="Category Summary" sheetId="1" r:id="rId1"/>
    <sheet name="Accessories" sheetId="2" r:id="rId2"/>
    <sheet name="BENDINGCUTTING" sheetId="3" r:id="rId3"/>
    <sheet name="CFLANGE" sheetId="4" r:id="rId4"/>
    <sheet name="CASING" sheetId="5" r:id="rId5"/>
    <sheet name="CONSUMABLES" sheetId="6" r:id="rId6"/>
    <sheet name="CRATING" sheetId="7" r:id="rId7"/>
    <sheet name="Car accessories" sheetId="8" r:id="rId8"/>
    <sheet name="DUCT" sheetId="9" r:id="rId9"/>
    <sheet name="FABRICATION" sheetId="10" r:id="rId10"/>
    <sheet name="FASTENERS" sheetId="11" r:id="rId11"/>
    <sheet name="FM - BLOWER" sheetId="12" r:id="rId12"/>
    <sheet name="FM - CFLANGE" sheetId="13" r:id="rId13"/>
    <sheet name="FM - CASING" sheetId="14" r:id="rId14"/>
    <sheet name="FM - CFW FANS" sheetId="15" r:id="rId15"/>
    <sheet name="FM - DONKIN" sheetId="16" r:id="rId16"/>
    <sheet name="FM - ELECTRICAL WIRING" sheetId="17" r:id="rId17"/>
    <sheet name="FM - FABRICATION" sheetId="18" r:id="rId18"/>
    <sheet name="FM - FAN BLADE MODELLING" sheetId="19" r:id="rId19"/>
    <sheet name="FM - FPZ" sheetId="20" r:id="rId20"/>
    <sheet name="FM - IMPELLER" sheetId="21" r:id="rId21"/>
    <sheet name="FM - KAYITES" sheetId="22" r:id="rId22"/>
    <sheet name="FM - LUCK &amp; KING" sheetId="23" r:id="rId23"/>
    <sheet name="FM - MFEET" sheetId="24" r:id="rId24"/>
    <sheet name="FM - MACHINERY" sheetId="25" r:id="rId25"/>
    <sheet name="FM - MOTOR" sheetId="26" r:id="rId26"/>
    <sheet name="FM - NICOTRA" sheetId="27" r:id="rId27"/>
    <sheet name="FM - OSTBERG" sheetId="28" r:id="rId28"/>
    <sheet name="FM - PAINTING" sheetId="29" r:id="rId29"/>
    <sheet name="FM - SHEET" sheetId="30" r:id="rId30"/>
    <sheet name="FM - SODECA" sheetId="31" r:id="rId31"/>
    <sheet name="FM - UNIFORM" sheetId="32" r:id="rId32"/>
    <sheet name="FM - VORTICE" sheetId="33" r:id="rId33"/>
    <sheet name="FREIGHT" sheetId="34" r:id="rId34"/>
    <sheet name="IMPELLER" sheetId="35" r:id="rId35"/>
    <sheet name="MFEET" sheetId="36" r:id="rId36"/>
    <sheet name="MOTOR FLANGE" sheetId="37" r:id="rId37"/>
    <sheet name="MOTORS" sheetId="38" r:id="rId38"/>
    <sheet name="PACKAGING" sheetId="39" r:id="rId39"/>
    <sheet name="PLATE" sheetId="40" r:id="rId40"/>
    <sheet name="Roof Fans" sheetId="41" r:id="rId41"/>
    <sheet name="Sodeca" sheetId="42" r:id="rId42"/>
    <sheet name="Uncategorized" sheetId="43" r:id="rId43"/>
    <sheet name="VSD" sheetId="44" r:id="rId44"/>
    <sheet name="Vent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4" l="1"/>
  <c r="H12" i="14"/>
  <c r="F23" i="26"/>
  <c r="H23" i="26"/>
  <c r="L6" i="45"/>
  <c r="K6" i="45"/>
  <c r="M6" i="45" s="1"/>
  <c r="L5" i="45"/>
  <c r="K5" i="45"/>
  <c r="M5" i="45" s="1"/>
  <c r="L4" i="45"/>
  <c r="K4" i="45"/>
  <c r="M4" i="45" s="1"/>
  <c r="L3" i="45"/>
  <c r="K3" i="45"/>
  <c r="M3" i="45" s="1"/>
  <c r="L2" i="45"/>
  <c r="K2" i="45"/>
  <c r="M2" i="45" s="1"/>
  <c r="L5" i="44"/>
  <c r="K5" i="44"/>
  <c r="M5" i="44" s="1"/>
  <c r="M4" i="44"/>
  <c r="L4" i="44"/>
  <c r="K4" i="44"/>
  <c r="L3" i="44"/>
  <c r="K3" i="44"/>
  <c r="M3" i="44" s="1"/>
  <c r="M2" i="44"/>
  <c r="L2" i="44"/>
  <c r="K2" i="44"/>
  <c r="L717" i="43"/>
  <c r="K717" i="43"/>
  <c r="M717" i="43" s="1"/>
  <c r="L716" i="43"/>
  <c r="K716" i="43"/>
  <c r="M716" i="43" s="1"/>
  <c r="L715" i="43"/>
  <c r="K715" i="43"/>
  <c r="M715" i="43" s="1"/>
  <c r="L714" i="43"/>
  <c r="K714" i="43"/>
  <c r="M714" i="43" s="1"/>
  <c r="L713" i="43"/>
  <c r="K713" i="43"/>
  <c r="M713" i="43" s="1"/>
  <c r="L712" i="43"/>
  <c r="K712" i="43"/>
  <c r="M712" i="43" s="1"/>
  <c r="L711" i="43"/>
  <c r="K711" i="43"/>
  <c r="M711" i="43" s="1"/>
  <c r="L710" i="43"/>
  <c r="K710" i="43"/>
  <c r="M710" i="43" s="1"/>
  <c r="L709" i="43"/>
  <c r="K709" i="43"/>
  <c r="M709" i="43" s="1"/>
  <c r="L708" i="43"/>
  <c r="K708" i="43"/>
  <c r="M708" i="43" s="1"/>
  <c r="L707" i="43"/>
  <c r="K707" i="43"/>
  <c r="M707" i="43" s="1"/>
  <c r="L706" i="43"/>
  <c r="K706" i="43"/>
  <c r="M706" i="43" s="1"/>
  <c r="L705" i="43"/>
  <c r="K705" i="43"/>
  <c r="M705" i="43" s="1"/>
  <c r="L704" i="43"/>
  <c r="K704" i="43"/>
  <c r="M704" i="43" s="1"/>
  <c r="L703" i="43"/>
  <c r="K703" i="43"/>
  <c r="M703" i="43" s="1"/>
  <c r="L702" i="43"/>
  <c r="K702" i="43"/>
  <c r="M702" i="43" s="1"/>
  <c r="L701" i="43"/>
  <c r="K701" i="43"/>
  <c r="M701" i="43" s="1"/>
  <c r="L700" i="43"/>
  <c r="K700" i="43"/>
  <c r="M700" i="43" s="1"/>
  <c r="L699" i="43"/>
  <c r="K699" i="43"/>
  <c r="M699" i="43" s="1"/>
  <c r="L698" i="43"/>
  <c r="K698" i="43"/>
  <c r="M698" i="43" s="1"/>
  <c r="L697" i="43"/>
  <c r="K697" i="43"/>
  <c r="M697" i="43" s="1"/>
  <c r="L696" i="43"/>
  <c r="K696" i="43"/>
  <c r="M696" i="43" s="1"/>
  <c r="L695" i="43"/>
  <c r="K695" i="43"/>
  <c r="M695" i="43" s="1"/>
  <c r="L694" i="43"/>
  <c r="K694" i="43"/>
  <c r="M694" i="43" s="1"/>
  <c r="L693" i="43"/>
  <c r="K693" i="43"/>
  <c r="M693" i="43" s="1"/>
  <c r="L692" i="43"/>
  <c r="K692" i="43"/>
  <c r="M692" i="43" s="1"/>
  <c r="L691" i="43"/>
  <c r="K691" i="43"/>
  <c r="M691" i="43" s="1"/>
  <c r="L690" i="43"/>
  <c r="K690" i="43"/>
  <c r="M690" i="43" s="1"/>
  <c r="L689" i="43"/>
  <c r="K689" i="43"/>
  <c r="M689" i="43" s="1"/>
  <c r="L688" i="43"/>
  <c r="K688" i="43"/>
  <c r="M688" i="43" s="1"/>
  <c r="L687" i="43"/>
  <c r="K687" i="43"/>
  <c r="M687" i="43" s="1"/>
  <c r="L686" i="43"/>
  <c r="K686" i="43"/>
  <c r="M686" i="43" s="1"/>
  <c r="L685" i="43"/>
  <c r="K685" i="43"/>
  <c r="M685" i="43" s="1"/>
  <c r="L684" i="43"/>
  <c r="K684" i="43"/>
  <c r="M684" i="43" s="1"/>
  <c r="L683" i="43"/>
  <c r="K683" i="43"/>
  <c r="M683" i="43" s="1"/>
  <c r="L682" i="43"/>
  <c r="K682" i="43"/>
  <c r="M682" i="43" s="1"/>
  <c r="L681" i="43"/>
  <c r="K681" i="43"/>
  <c r="M681" i="43" s="1"/>
  <c r="L680" i="43"/>
  <c r="K680" i="43"/>
  <c r="M680" i="43" s="1"/>
  <c r="L679" i="43"/>
  <c r="K679" i="43"/>
  <c r="M679" i="43" s="1"/>
  <c r="L678" i="43"/>
  <c r="K678" i="43"/>
  <c r="M678" i="43" s="1"/>
  <c r="L677" i="43"/>
  <c r="K677" i="43"/>
  <c r="M677" i="43" s="1"/>
  <c r="L676" i="43"/>
  <c r="K676" i="43"/>
  <c r="M676" i="43" s="1"/>
  <c r="L675" i="43"/>
  <c r="K675" i="43"/>
  <c r="M675" i="43" s="1"/>
  <c r="L674" i="43"/>
  <c r="K674" i="43"/>
  <c r="M674" i="43" s="1"/>
  <c r="L673" i="43"/>
  <c r="K673" i="43"/>
  <c r="M673" i="43" s="1"/>
  <c r="L672" i="43"/>
  <c r="K672" i="43"/>
  <c r="M672" i="43" s="1"/>
  <c r="L671" i="43"/>
  <c r="K671" i="43"/>
  <c r="M671" i="43" s="1"/>
  <c r="L670" i="43"/>
  <c r="K670" i="43"/>
  <c r="M670" i="43" s="1"/>
  <c r="L669" i="43"/>
  <c r="K669" i="43"/>
  <c r="M669" i="43" s="1"/>
  <c r="L668" i="43"/>
  <c r="K668" i="43"/>
  <c r="M668" i="43" s="1"/>
  <c r="L667" i="43"/>
  <c r="K667" i="43"/>
  <c r="M667" i="43" s="1"/>
  <c r="L666" i="43"/>
  <c r="K666" i="43"/>
  <c r="M666" i="43" s="1"/>
  <c r="L665" i="43"/>
  <c r="K665" i="43"/>
  <c r="M665" i="43" s="1"/>
  <c r="L664" i="43"/>
  <c r="K664" i="43"/>
  <c r="M664" i="43" s="1"/>
  <c r="L663" i="43"/>
  <c r="K663" i="43"/>
  <c r="M663" i="43" s="1"/>
  <c r="L662" i="43"/>
  <c r="K662" i="43"/>
  <c r="M662" i="43" s="1"/>
  <c r="L661" i="43"/>
  <c r="K661" i="43"/>
  <c r="M661" i="43" s="1"/>
  <c r="L660" i="43"/>
  <c r="K660" i="43"/>
  <c r="M660" i="43" s="1"/>
  <c r="L659" i="43"/>
  <c r="K659" i="43"/>
  <c r="M659" i="43" s="1"/>
  <c r="L658" i="43"/>
  <c r="K658" i="43"/>
  <c r="M658" i="43" s="1"/>
  <c r="L657" i="43"/>
  <c r="K657" i="43"/>
  <c r="M657" i="43" s="1"/>
  <c r="L656" i="43"/>
  <c r="K656" i="43"/>
  <c r="M656" i="43" s="1"/>
  <c r="L655" i="43"/>
  <c r="K655" i="43"/>
  <c r="M655" i="43" s="1"/>
  <c r="L654" i="43"/>
  <c r="K654" i="43"/>
  <c r="M654" i="43" s="1"/>
  <c r="L653" i="43"/>
  <c r="K653" i="43"/>
  <c r="M653" i="43" s="1"/>
  <c r="L652" i="43"/>
  <c r="K652" i="43"/>
  <c r="M652" i="43" s="1"/>
  <c r="L651" i="43"/>
  <c r="K651" i="43"/>
  <c r="M651" i="43" s="1"/>
  <c r="L650" i="43"/>
  <c r="K650" i="43"/>
  <c r="M650" i="43" s="1"/>
  <c r="L649" i="43"/>
  <c r="K649" i="43"/>
  <c r="M649" i="43" s="1"/>
  <c r="L648" i="43"/>
  <c r="K648" i="43"/>
  <c r="M648" i="43" s="1"/>
  <c r="L647" i="43"/>
  <c r="K647" i="43"/>
  <c r="M647" i="43" s="1"/>
  <c r="L646" i="43"/>
  <c r="K646" i="43"/>
  <c r="M646" i="43" s="1"/>
  <c r="L645" i="43"/>
  <c r="K645" i="43"/>
  <c r="M645" i="43" s="1"/>
  <c r="L644" i="43"/>
  <c r="K644" i="43"/>
  <c r="M644" i="43" s="1"/>
  <c r="L643" i="43"/>
  <c r="K643" i="43"/>
  <c r="M643" i="43" s="1"/>
  <c r="L642" i="43"/>
  <c r="K642" i="43"/>
  <c r="M642" i="43" s="1"/>
  <c r="L641" i="43"/>
  <c r="K641" i="43"/>
  <c r="M641" i="43" s="1"/>
  <c r="L640" i="43"/>
  <c r="K640" i="43"/>
  <c r="M640" i="43" s="1"/>
  <c r="L639" i="43"/>
  <c r="K639" i="43"/>
  <c r="M639" i="43" s="1"/>
  <c r="L638" i="43"/>
  <c r="K638" i="43"/>
  <c r="M638" i="43" s="1"/>
  <c r="L637" i="43"/>
  <c r="K637" i="43"/>
  <c r="M637" i="43" s="1"/>
  <c r="L636" i="43"/>
  <c r="K636" i="43"/>
  <c r="M636" i="43" s="1"/>
  <c r="L635" i="43"/>
  <c r="K635" i="43"/>
  <c r="M635" i="43" s="1"/>
  <c r="L634" i="43"/>
  <c r="K634" i="43"/>
  <c r="M634" i="43" s="1"/>
  <c r="L633" i="43"/>
  <c r="K633" i="43"/>
  <c r="M633" i="43" s="1"/>
  <c r="L632" i="43"/>
  <c r="K632" i="43"/>
  <c r="M632" i="43" s="1"/>
  <c r="L631" i="43"/>
  <c r="K631" i="43"/>
  <c r="M631" i="43" s="1"/>
  <c r="L630" i="43"/>
  <c r="K630" i="43"/>
  <c r="M630" i="43" s="1"/>
  <c r="L629" i="43"/>
  <c r="K629" i="43"/>
  <c r="M629" i="43" s="1"/>
  <c r="L628" i="43"/>
  <c r="K628" i="43"/>
  <c r="M628" i="43" s="1"/>
  <c r="L627" i="43"/>
  <c r="K627" i="43"/>
  <c r="M627" i="43" s="1"/>
  <c r="L626" i="43"/>
  <c r="K626" i="43"/>
  <c r="M626" i="43" s="1"/>
  <c r="L625" i="43"/>
  <c r="K625" i="43"/>
  <c r="M625" i="43" s="1"/>
  <c r="L624" i="43"/>
  <c r="K624" i="43"/>
  <c r="M624" i="43" s="1"/>
  <c r="L623" i="43"/>
  <c r="K623" i="43"/>
  <c r="M623" i="43" s="1"/>
  <c r="L622" i="43"/>
  <c r="K622" i="43"/>
  <c r="M622" i="43" s="1"/>
  <c r="L621" i="43"/>
  <c r="K621" i="43"/>
  <c r="M621" i="43" s="1"/>
  <c r="L620" i="43"/>
  <c r="K620" i="43"/>
  <c r="M620" i="43" s="1"/>
  <c r="L619" i="43"/>
  <c r="K619" i="43"/>
  <c r="M619" i="43" s="1"/>
  <c r="L618" i="43"/>
  <c r="K618" i="43"/>
  <c r="M618" i="43" s="1"/>
  <c r="L617" i="43"/>
  <c r="K617" i="43"/>
  <c r="M617" i="43" s="1"/>
  <c r="L616" i="43"/>
  <c r="K616" i="43"/>
  <c r="M616" i="43" s="1"/>
  <c r="L615" i="43"/>
  <c r="K615" i="43"/>
  <c r="M615" i="43" s="1"/>
  <c r="L614" i="43"/>
  <c r="K614" i="43"/>
  <c r="M614" i="43" s="1"/>
  <c r="L613" i="43"/>
  <c r="K613" i="43"/>
  <c r="M613" i="43" s="1"/>
  <c r="L612" i="43"/>
  <c r="K612" i="43"/>
  <c r="M612" i="43" s="1"/>
  <c r="L611" i="43"/>
  <c r="K611" i="43"/>
  <c r="M611" i="43" s="1"/>
  <c r="L610" i="43"/>
  <c r="K610" i="43"/>
  <c r="M610" i="43" s="1"/>
  <c r="L609" i="43"/>
  <c r="K609" i="43"/>
  <c r="M609" i="43" s="1"/>
  <c r="L608" i="43"/>
  <c r="K608" i="43"/>
  <c r="M608" i="43" s="1"/>
  <c r="L607" i="43"/>
  <c r="K607" i="43"/>
  <c r="M607" i="43" s="1"/>
  <c r="L606" i="43"/>
  <c r="K606" i="43"/>
  <c r="M606" i="43" s="1"/>
  <c r="L605" i="43"/>
  <c r="K605" i="43"/>
  <c r="M605" i="43" s="1"/>
  <c r="L604" i="43"/>
  <c r="K604" i="43"/>
  <c r="M604" i="43" s="1"/>
  <c r="L117" i="43"/>
  <c r="K117" i="43"/>
  <c r="M117" i="43" s="1"/>
  <c r="L602" i="43"/>
  <c r="K602" i="43"/>
  <c r="M602" i="43" s="1"/>
  <c r="L601" i="43"/>
  <c r="K601" i="43"/>
  <c r="M601" i="43" s="1"/>
  <c r="L600" i="43"/>
  <c r="K600" i="43"/>
  <c r="M600" i="43" s="1"/>
  <c r="L599" i="43"/>
  <c r="K599" i="43"/>
  <c r="M599" i="43" s="1"/>
  <c r="L598" i="43"/>
  <c r="K598" i="43"/>
  <c r="M598" i="43" s="1"/>
  <c r="L597" i="43"/>
  <c r="K597" i="43"/>
  <c r="M597" i="43" s="1"/>
  <c r="L596" i="43"/>
  <c r="K596" i="43"/>
  <c r="M596" i="43" s="1"/>
  <c r="L595" i="43"/>
  <c r="K595" i="43"/>
  <c r="M595" i="43" s="1"/>
  <c r="L594" i="43"/>
  <c r="K594" i="43"/>
  <c r="M594" i="43" s="1"/>
  <c r="L593" i="43"/>
  <c r="K593" i="43"/>
  <c r="M593" i="43" s="1"/>
  <c r="L592" i="43"/>
  <c r="K592" i="43"/>
  <c r="M592" i="43" s="1"/>
  <c r="L591" i="43"/>
  <c r="K591" i="43"/>
  <c r="M591" i="43" s="1"/>
  <c r="L590" i="43"/>
  <c r="K590" i="43"/>
  <c r="M590" i="43" s="1"/>
  <c r="L589" i="43"/>
  <c r="K589" i="43"/>
  <c r="M589" i="43" s="1"/>
  <c r="L588" i="43"/>
  <c r="K588" i="43"/>
  <c r="M588" i="43" s="1"/>
  <c r="L587" i="43"/>
  <c r="K587" i="43"/>
  <c r="M587" i="43" s="1"/>
  <c r="L586" i="43"/>
  <c r="K586" i="43"/>
  <c r="M586" i="43" s="1"/>
  <c r="L585" i="43"/>
  <c r="K585" i="43"/>
  <c r="M585" i="43" s="1"/>
  <c r="L584" i="43"/>
  <c r="K584" i="43"/>
  <c r="M584" i="43" s="1"/>
  <c r="L583" i="43"/>
  <c r="K583" i="43"/>
  <c r="M583" i="43" s="1"/>
  <c r="L582" i="43"/>
  <c r="K582" i="43"/>
  <c r="M582" i="43" s="1"/>
  <c r="L581" i="43"/>
  <c r="K581" i="43"/>
  <c r="M581" i="43" s="1"/>
  <c r="L580" i="43"/>
  <c r="K580" i="43"/>
  <c r="M580" i="43" s="1"/>
  <c r="L579" i="43"/>
  <c r="K579" i="43"/>
  <c r="M579" i="43" s="1"/>
  <c r="L365" i="43"/>
  <c r="K365" i="43"/>
  <c r="M365" i="43" s="1"/>
  <c r="L107" i="43"/>
  <c r="K107" i="43"/>
  <c r="M107" i="43" s="1"/>
  <c r="L546" i="43"/>
  <c r="K546" i="43"/>
  <c r="M546" i="43" s="1"/>
  <c r="L534" i="43"/>
  <c r="K534" i="43"/>
  <c r="M534" i="43" s="1"/>
  <c r="L101" i="43"/>
  <c r="K101" i="43"/>
  <c r="M101" i="43" s="1"/>
  <c r="L542" i="43"/>
  <c r="K542" i="43"/>
  <c r="M542" i="43" s="1"/>
  <c r="L525" i="43"/>
  <c r="K525" i="43"/>
  <c r="M525" i="43" s="1"/>
  <c r="L164" i="43"/>
  <c r="K164" i="43"/>
  <c r="M164" i="43" s="1"/>
  <c r="L560" i="43"/>
  <c r="K560" i="43"/>
  <c r="M560" i="43" s="1"/>
  <c r="L549" i="43"/>
  <c r="K549" i="43"/>
  <c r="M549" i="43" s="1"/>
  <c r="L551" i="43"/>
  <c r="K551" i="43"/>
  <c r="M551" i="43" s="1"/>
  <c r="L115" i="43"/>
  <c r="K115" i="43"/>
  <c r="M115" i="43" s="1"/>
  <c r="L100" i="43"/>
  <c r="K100" i="43"/>
  <c r="M100" i="43" s="1"/>
  <c r="L543" i="43"/>
  <c r="K543" i="43"/>
  <c r="M543" i="43" s="1"/>
  <c r="L556" i="43"/>
  <c r="K556" i="43"/>
  <c r="M556" i="43" s="1"/>
  <c r="L130" i="43"/>
  <c r="K130" i="43"/>
  <c r="M130" i="43" s="1"/>
  <c r="L550" i="43"/>
  <c r="K550" i="43"/>
  <c r="M550" i="43" s="1"/>
  <c r="L106" i="43"/>
  <c r="K106" i="43"/>
  <c r="M106" i="43" s="1"/>
  <c r="L116" i="43"/>
  <c r="K116" i="43"/>
  <c r="M116" i="43" s="1"/>
  <c r="L559" i="43"/>
  <c r="K559" i="43"/>
  <c r="M559" i="43" s="1"/>
  <c r="L558" i="43"/>
  <c r="K558" i="43"/>
  <c r="M558" i="43" s="1"/>
  <c r="L517" i="43"/>
  <c r="K517" i="43"/>
  <c r="M517" i="43" s="1"/>
  <c r="L530" i="43"/>
  <c r="K530" i="43"/>
  <c r="M530" i="43" s="1"/>
  <c r="L603" i="43"/>
  <c r="K603" i="43"/>
  <c r="M603" i="43" s="1"/>
  <c r="L573" i="43"/>
  <c r="K573" i="43"/>
  <c r="M573" i="43" s="1"/>
  <c r="L99" i="43"/>
  <c r="K99" i="43"/>
  <c r="M99" i="43" s="1"/>
  <c r="L578" i="43"/>
  <c r="K578" i="43"/>
  <c r="M578" i="43" s="1"/>
  <c r="L566" i="43"/>
  <c r="K566" i="43"/>
  <c r="M566" i="43" s="1"/>
  <c r="L540" i="43"/>
  <c r="K540" i="43"/>
  <c r="M540" i="43" s="1"/>
  <c r="L136" i="43"/>
  <c r="K136" i="43"/>
  <c r="M136" i="43" s="1"/>
  <c r="L538" i="43"/>
  <c r="K538" i="43"/>
  <c r="M538" i="43" s="1"/>
  <c r="L577" i="43"/>
  <c r="K577" i="43"/>
  <c r="M577" i="43" s="1"/>
  <c r="L574" i="43"/>
  <c r="K574" i="43"/>
  <c r="M574" i="43" s="1"/>
  <c r="L98" i="43"/>
  <c r="K98" i="43"/>
  <c r="M98" i="43" s="1"/>
  <c r="L576" i="43"/>
  <c r="K576" i="43"/>
  <c r="M576" i="43" s="1"/>
  <c r="L108" i="43"/>
  <c r="K108" i="43"/>
  <c r="M108" i="43" s="1"/>
  <c r="L89" i="43"/>
  <c r="K89" i="43"/>
  <c r="M89" i="43" s="1"/>
  <c r="L111" i="43"/>
  <c r="K111" i="43"/>
  <c r="M111" i="43" s="1"/>
  <c r="L555" i="43"/>
  <c r="K555" i="43"/>
  <c r="M555" i="43" s="1"/>
  <c r="L563" i="43"/>
  <c r="K563" i="43"/>
  <c r="M563" i="43" s="1"/>
  <c r="L554" i="43"/>
  <c r="K554" i="43"/>
  <c r="M554" i="43" s="1"/>
  <c r="L545" i="43"/>
  <c r="K545" i="43"/>
  <c r="M545" i="43" s="1"/>
  <c r="L104" i="43"/>
  <c r="K104" i="43"/>
  <c r="M104" i="43" s="1"/>
  <c r="L524" i="43"/>
  <c r="K524" i="43"/>
  <c r="M524" i="43" s="1"/>
  <c r="L133" i="43"/>
  <c r="K133" i="43"/>
  <c r="M133" i="43" s="1"/>
  <c r="L533" i="43"/>
  <c r="K533" i="43"/>
  <c r="M533" i="43" s="1"/>
  <c r="L516" i="43"/>
  <c r="K516" i="43"/>
  <c r="M516" i="43" s="1"/>
  <c r="L118" i="43"/>
  <c r="K118" i="43"/>
  <c r="M118" i="43" s="1"/>
  <c r="L535" i="43"/>
  <c r="K535" i="43"/>
  <c r="M535" i="43" s="1"/>
  <c r="L82" i="43"/>
  <c r="K82" i="43"/>
  <c r="M82" i="43" s="1"/>
  <c r="L114" i="43"/>
  <c r="K114" i="43"/>
  <c r="M114" i="43" s="1"/>
  <c r="L565" i="43"/>
  <c r="K565" i="43"/>
  <c r="M565" i="43" s="1"/>
  <c r="L544" i="43"/>
  <c r="K544" i="43"/>
  <c r="M544" i="43" s="1"/>
  <c r="L79" i="43"/>
  <c r="K79" i="43"/>
  <c r="M79" i="43" s="1"/>
  <c r="L548" i="43"/>
  <c r="K548" i="43"/>
  <c r="M548" i="43" s="1"/>
  <c r="L109" i="43"/>
  <c r="K109" i="43"/>
  <c r="M109" i="43" s="1"/>
  <c r="L129" i="43"/>
  <c r="K129" i="43"/>
  <c r="M129" i="43" s="1"/>
  <c r="L537" i="43"/>
  <c r="K537" i="43"/>
  <c r="M537" i="43" s="1"/>
  <c r="L526" i="43"/>
  <c r="K526" i="43"/>
  <c r="M526" i="43" s="1"/>
  <c r="L570" i="43"/>
  <c r="K570" i="43"/>
  <c r="M570" i="43" s="1"/>
  <c r="L131" i="43"/>
  <c r="K131" i="43"/>
  <c r="M131" i="43" s="1"/>
  <c r="L110" i="43"/>
  <c r="K110" i="43"/>
  <c r="M110" i="43" s="1"/>
  <c r="L532" i="43"/>
  <c r="K532" i="43"/>
  <c r="M532" i="43" s="1"/>
  <c r="L515" i="43"/>
  <c r="K515" i="43"/>
  <c r="M515" i="43" s="1"/>
  <c r="L514" i="43"/>
  <c r="K514" i="43"/>
  <c r="M514" i="43" s="1"/>
  <c r="L513" i="43"/>
  <c r="K513" i="43"/>
  <c r="M513" i="43" s="1"/>
  <c r="L512" i="43"/>
  <c r="K512" i="43"/>
  <c r="M512" i="43" s="1"/>
  <c r="L511" i="43"/>
  <c r="K511" i="43"/>
  <c r="M511" i="43" s="1"/>
  <c r="L510" i="43"/>
  <c r="K510" i="43"/>
  <c r="M510" i="43" s="1"/>
  <c r="L509" i="43"/>
  <c r="K509" i="43"/>
  <c r="M509" i="43" s="1"/>
  <c r="L508" i="43"/>
  <c r="K508" i="43"/>
  <c r="M508" i="43" s="1"/>
  <c r="L507" i="43"/>
  <c r="K507" i="43"/>
  <c r="M507" i="43" s="1"/>
  <c r="L506" i="43"/>
  <c r="K506" i="43"/>
  <c r="M506" i="43" s="1"/>
  <c r="L505" i="43"/>
  <c r="K505" i="43"/>
  <c r="M505" i="43" s="1"/>
  <c r="L504" i="43"/>
  <c r="K504" i="43"/>
  <c r="M504" i="43" s="1"/>
  <c r="L503" i="43"/>
  <c r="K503" i="43"/>
  <c r="M503" i="43" s="1"/>
  <c r="L502" i="43"/>
  <c r="K502" i="43"/>
  <c r="M502" i="43" s="1"/>
  <c r="L501" i="43"/>
  <c r="K501" i="43"/>
  <c r="M501" i="43" s="1"/>
  <c r="L500" i="43"/>
  <c r="K500" i="43"/>
  <c r="M500" i="43" s="1"/>
  <c r="L499" i="43"/>
  <c r="K499" i="43"/>
  <c r="M499" i="43" s="1"/>
  <c r="L498" i="43"/>
  <c r="K498" i="43"/>
  <c r="M498" i="43" s="1"/>
  <c r="L497" i="43"/>
  <c r="K497" i="43"/>
  <c r="M497" i="43" s="1"/>
  <c r="L496" i="43"/>
  <c r="K496" i="43"/>
  <c r="M496" i="43" s="1"/>
  <c r="L495" i="43"/>
  <c r="K495" i="43"/>
  <c r="M495" i="43" s="1"/>
  <c r="L494" i="43"/>
  <c r="K494" i="43"/>
  <c r="M494" i="43" s="1"/>
  <c r="L493" i="43"/>
  <c r="K493" i="43"/>
  <c r="M493" i="43" s="1"/>
  <c r="L492" i="43"/>
  <c r="K492" i="43"/>
  <c r="M492" i="43" s="1"/>
  <c r="L491" i="43"/>
  <c r="K491" i="43"/>
  <c r="M491" i="43" s="1"/>
  <c r="L490" i="43"/>
  <c r="K490" i="43"/>
  <c r="M490" i="43" s="1"/>
  <c r="L489" i="43"/>
  <c r="K489" i="43"/>
  <c r="M489" i="43" s="1"/>
  <c r="L488" i="43"/>
  <c r="K488" i="43"/>
  <c r="M488" i="43" s="1"/>
  <c r="L487" i="43"/>
  <c r="K487" i="43"/>
  <c r="M487" i="43" s="1"/>
  <c r="L486" i="43"/>
  <c r="K486" i="43"/>
  <c r="M486" i="43" s="1"/>
  <c r="L485" i="43"/>
  <c r="K485" i="43"/>
  <c r="M485" i="43" s="1"/>
  <c r="L484" i="43"/>
  <c r="K484" i="43"/>
  <c r="M484" i="43" s="1"/>
  <c r="L483" i="43"/>
  <c r="K483" i="43"/>
  <c r="M483" i="43" s="1"/>
  <c r="L482" i="43"/>
  <c r="K482" i="43"/>
  <c r="M482" i="43" s="1"/>
  <c r="L481" i="43"/>
  <c r="K481" i="43"/>
  <c r="M481" i="43" s="1"/>
  <c r="L480" i="43"/>
  <c r="K480" i="43"/>
  <c r="M480" i="43" s="1"/>
  <c r="L479" i="43"/>
  <c r="K479" i="43"/>
  <c r="M479" i="43" s="1"/>
  <c r="L478" i="43"/>
  <c r="K478" i="43"/>
  <c r="M478" i="43" s="1"/>
  <c r="L477" i="43"/>
  <c r="K477" i="43"/>
  <c r="M477" i="43" s="1"/>
  <c r="L476" i="43"/>
  <c r="K476" i="43"/>
  <c r="M476" i="43" s="1"/>
  <c r="L475" i="43"/>
  <c r="K475" i="43"/>
  <c r="M475" i="43" s="1"/>
  <c r="L474" i="43"/>
  <c r="K474" i="43"/>
  <c r="M474" i="43" s="1"/>
  <c r="L473" i="43"/>
  <c r="K473" i="43"/>
  <c r="M473" i="43" s="1"/>
  <c r="L472" i="43"/>
  <c r="K472" i="43"/>
  <c r="M472" i="43" s="1"/>
  <c r="L471" i="43"/>
  <c r="K471" i="43"/>
  <c r="M471" i="43" s="1"/>
  <c r="L470" i="43"/>
  <c r="K470" i="43"/>
  <c r="M470" i="43" s="1"/>
  <c r="L469" i="43"/>
  <c r="K469" i="43"/>
  <c r="M469" i="43" s="1"/>
  <c r="L468" i="43"/>
  <c r="K468" i="43"/>
  <c r="M468" i="43" s="1"/>
  <c r="L467" i="43"/>
  <c r="K467" i="43"/>
  <c r="M467" i="43" s="1"/>
  <c r="L466" i="43"/>
  <c r="K466" i="43"/>
  <c r="M466" i="43" s="1"/>
  <c r="L465" i="43"/>
  <c r="K465" i="43"/>
  <c r="M465" i="43" s="1"/>
  <c r="L464" i="43"/>
  <c r="K464" i="43"/>
  <c r="M464" i="43" s="1"/>
  <c r="L463" i="43"/>
  <c r="K463" i="43"/>
  <c r="M463" i="43" s="1"/>
  <c r="L462" i="43"/>
  <c r="K462" i="43"/>
  <c r="M462" i="43" s="1"/>
  <c r="L461" i="43"/>
  <c r="K461" i="43"/>
  <c r="M461" i="43" s="1"/>
  <c r="L460" i="43"/>
  <c r="K460" i="43"/>
  <c r="M460" i="43" s="1"/>
  <c r="L459" i="43"/>
  <c r="K459" i="43"/>
  <c r="M459" i="43" s="1"/>
  <c r="L458" i="43"/>
  <c r="K458" i="43"/>
  <c r="M458" i="43" s="1"/>
  <c r="L457" i="43"/>
  <c r="K457" i="43"/>
  <c r="M457" i="43" s="1"/>
  <c r="L456" i="43"/>
  <c r="K456" i="43"/>
  <c r="M456" i="43" s="1"/>
  <c r="L455" i="43"/>
  <c r="K455" i="43"/>
  <c r="M455" i="43" s="1"/>
  <c r="L454" i="43"/>
  <c r="K454" i="43"/>
  <c r="M454" i="43" s="1"/>
  <c r="L453" i="43"/>
  <c r="K453" i="43"/>
  <c r="M453" i="43" s="1"/>
  <c r="L452" i="43"/>
  <c r="K452" i="43"/>
  <c r="M452" i="43" s="1"/>
  <c r="L451" i="43"/>
  <c r="K451" i="43"/>
  <c r="M451" i="43" s="1"/>
  <c r="L450" i="43"/>
  <c r="K450" i="43"/>
  <c r="M450" i="43" s="1"/>
  <c r="L449" i="43"/>
  <c r="K449" i="43"/>
  <c r="M449" i="43" s="1"/>
  <c r="L448" i="43"/>
  <c r="K448" i="43"/>
  <c r="M448" i="43" s="1"/>
  <c r="L447" i="43"/>
  <c r="K447" i="43"/>
  <c r="M447" i="43" s="1"/>
  <c r="L446" i="43"/>
  <c r="K446" i="43"/>
  <c r="M446" i="43" s="1"/>
  <c r="L445" i="43"/>
  <c r="K445" i="43"/>
  <c r="M445" i="43" s="1"/>
  <c r="L444" i="43"/>
  <c r="K444" i="43"/>
  <c r="M444" i="43" s="1"/>
  <c r="L443" i="43"/>
  <c r="K443" i="43"/>
  <c r="M443" i="43" s="1"/>
  <c r="L442" i="43"/>
  <c r="K442" i="43"/>
  <c r="M442" i="43" s="1"/>
  <c r="L441" i="43"/>
  <c r="K441" i="43"/>
  <c r="M441" i="43" s="1"/>
  <c r="L440" i="43"/>
  <c r="K440" i="43"/>
  <c r="M440" i="43" s="1"/>
  <c r="L439" i="43"/>
  <c r="K439" i="43"/>
  <c r="M439" i="43" s="1"/>
  <c r="L438" i="43"/>
  <c r="K438" i="43"/>
  <c r="M438" i="43" s="1"/>
  <c r="L437" i="43"/>
  <c r="K437" i="43"/>
  <c r="M437" i="43" s="1"/>
  <c r="L436" i="43"/>
  <c r="K436" i="43"/>
  <c r="M436" i="43" s="1"/>
  <c r="L435" i="43"/>
  <c r="K435" i="43"/>
  <c r="M435" i="43" s="1"/>
  <c r="L434" i="43"/>
  <c r="K434" i="43"/>
  <c r="M434" i="43" s="1"/>
  <c r="L433" i="43"/>
  <c r="K433" i="43"/>
  <c r="M433" i="43" s="1"/>
  <c r="L432" i="43"/>
  <c r="K432" i="43"/>
  <c r="M432" i="43" s="1"/>
  <c r="L431" i="43"/>
  <c r="K431" i="43"/>
  <c r="M431" i="43" s="1"/>
  <c r="L430" i="43"/>
  <c r="K430" i="43"/>
  <c r="M430" i="43" s="1"/>
  <c r="L429" i="43"/>
  <c r="K429" i="43"/>
  <c r="M429" i="43" s="1"/>
  <c r="L428" i="43"/>
  <c r="K428" i="43"/>
  <c r="M428" i="43" s="1"/>
  <c r="L427" i="43"/>
  <c r="K427" i="43"/>
  <c r="M427" i="43" s="1"/>
  <c r="L426" i="43"/>
  <c r="K426" i="43"/>
  <c r="M426" i="43" s="1"/>
  <c r="L425" i="43"/>
  <c r="K425" i="43"/>
  <c r="M425" i="43" s="1"/>
  <c r="L424" i="43"/>
  <c r="K424" i="43"/>
  <c r="M424" i="43" s="1"/>
  <c r="L423" i="43"/>
  <c r="K423" i="43"/>
  <c r="M423" i="43" s="1"/>
  <c r="L422" i="43"/>
  <c r="K422" i="43"/>
  <c r="M422" i="43" s="1"/>
  <c r="L421" i="43"/>
  <c r="K421" i="43"/>
  <c r="M421" i="43" s="1"/>
  <c r="L420" i="43"/>
  <c r="K420" i="43"/>
  <c r="M420" i="43" s="1"/>
  <c r="L419" i="43"/>
  <c r="K419" i="43"/>
  <c r="M419" i="43" s="1"/>
  <c r="L418" i="43"/>
  <c r="K418" i="43"/>
  <c r="M418" i="43" s="1"/>
  <c r="L417" i="43"/>
  <c r="K417" i="43"/>
  <c r="M417" i="43" s="1"/>
  <c r="L416" i="43"/>
  <c r="K416" i="43"/>
  <c r="M416" i="43" s="1"/>
  <c r="L415" i="43"/>
  <c r="K415" i="43"/>
  <c r="M415" i="43" s="1"/>
  <c r="L414" i="43"/>
  <c r="K414" i="43"/>
  <c r="M414" i="43" s="1"/>
  <c r="L413" i="43"/>
  <c r="K413" i="43"/>
  <c r="M413" i="43" s="1"/>
  <c r="L412" i="43"/>
  <c r="K412" i="43"/>
  <c r="M412" i="43" s="1"/>
  <c r="L411" i="43"/>
  <c r="K411" i="43"/>
  <c r="M411" i="43" s="1"/>
  <c r="L410" i="43"/>
  <c r="K410" i="43"/>
  <c r="M410" i="43" s="1"/>
  <c r="L409" i="43"/>
  <c r="K409" i="43"/>
  <c r="M409" i="43" s="1"/>
  <c r="L408" i="43"/>
  <c r="K408" i="43"/>
  <c r="M408" i="43" s="1"/>
  <c r="L407" i="43"/>
  <c r="K407" i="43"/>
  <c r="M407" i="43" s="1"/>
  <c r="L406" i="43"/>
  <c r="K406" i="43"/>
  <c r="M406" i="43" s="1"/>
  <c r="L405" i="43"/>
  <c r="K405" i="43"/>
  <c r="M405" i="43" s="1"/>
  <c r="L404" i="43"/>
  <c r="K404" i="43"/>
  <c r="M404" i="43" s="1"/>
  <c r="L403" i="43"/>
  <c r="K403" i="43"/>
  <c r="M403" i="43" s="1"/>
  <c r="L402" i="43"/>
  <c r="K402" i="43"/>
  <c r="M402" i="43" s="1"/>
  <c r="L401" i="43"/>
  <c r="K401" i="43"/>
  <c r="M401" i="43" s="1"/>
  <c r="L400" i="43"/>
  <c r="K400" i="43"/>
  <c r="M400" i="43" s="1"/>
  <c r="L399" i="43"/>
  <c r="K399" i="43"/>
  <c r="M399" i="43" s="1"/>
  <c r="L398" i="43"/>
  <c r="K398" i="43"/>
  <c r="M398" i="43" s="1"/>
  <c r="L397" i="43"/>
  <c r="K397" i="43"/>
  <c r="M397" i="43" s="1"/>
  <c r="L396" i="43"/>
  <c r="K396" i="43"/>
  <c r="M396" i="43" s="1"/>
  <c r="L395" i="43"/>
  <c r="K395" i="43"/>
  <c r="M395" i="43" s="1"/>
  <c r="L394" i="43"/>
  <c r="K394" i="43"/>
  <c r="M394" i="43" s="1"/>
  <c r="L393" i="43"/>
  <c r="K393" i="43"/>
  <c r="M393" i="43" s="1"/>
  <c r="L392" i="43"/>
  <c r="K392" i="43"/>
  <c r="M392" i="43" s="1"/>
  <c r="L391" i="43"/>
  <c r="K391" i="43"/>
  <c r="M391" i="43" s="1"/>
  <c r="L390" i="43"/>
  <c r="K390" i="43"/>
  <c r="M390" i="43" s="1"/>
  <c r="L389" i="43"/>
  <c r="K389" i="43"/>
  <c r="M389" i="43" s="1"/>
  <c r="L388" i="43"/>
  <c r="K388" i="43"/>
  <c r="M388" i="43" s="1"/>
  <c r="L387" i="43"/>
  <c r="K387" i="43"/>
  <c r="M387" i="43" s="1"/>
  <c r="L386" i="43"/>
  <c r="K386" i="43"/>
  <c r="M386" i="43" s="1"/>
  <c r="L385" i="43"/>
  <c r="K385" i="43"/>
  <c r="M385" i="43" s="1"/>
  <c r="L384" i="43"/>
  <c r="K384" i="43"/>
  <c r="M384" i="43" s="1"/>
  <c r="L383" i="43"/>
  <c r="K383" i="43"/>
  <c r="M383" i="43" s="1"/>
  <c r="L382" i="43"/>
  <c r="K382" i="43"/>
  <c r="M382" i="43" s="1"/>
  <c r="L381" i="43"/>
  <c r="K381" i="43"/>
  <c r="M381" i="43" s="1"/>
  <c r="L380" i="43"/>
  <c r="K380" i="43"/>
  <c r="M380" i="43" s="1"/>
  <c r="L379" i="43"/>
  <c r="K379" i="43"/>
  <c r="M379" i="43" s="1"/>
  <c r="L378" i="43"/>
  <c r="K378" i="43"/>
  <c r="M378" i="43" s="1"/>
  <c r="L377" i="43"/>
  <c r="K377" i="43"/>
  <c r="M377" i="43" s="1"/>
  <c r="L376" i="43"/>
  <c r="K376" i="43"/>
  <c r="M376" i="43" s="1"/>
  <c r="L375" i="43"/>
  <c r="K375" i="43"/>
  <c r="M375" i="43" s="1"/>
  <c r="L374" i="43"/>
  <c r="K374" i="43"/>
  <c r="M374" i="43" s="1"/>
  <c r="L373" i="43"/>
  <c r="K373" i="43"/>
  <c r="M373" i="43" s="1"/>
  <c r="L372" i="43"/>
  <c r="K372" i="43"/>
  <c r="M372" i="43" s="1"/>
  <c r="L371" i="43"/>
  <c r="K371" i="43"/>
  <c r="M371" i="43" s="1"/>
  <c r="L370" i="43"/>
  <c r="K370" i="43"/>
  <c r="M370" i="43" s="1"/>
  <c r="L369" i="43"/>
  <c r="K369" i="43"/>
  <c r="M369" i="43" s="1"/>
  <c r="L368" i="43"/>
  <c r="K368" i="43"/>
  <c r="M368" i="43" s="1"/>
  <c r="L367" i="43"/>
  <c r="K367" i="43"/>
  <c r="M367" i="43" s="1"/>
  <c r="L366" i="43"/>
  <c r="K366" i="43"/>
  <c r="M366" i="43" s="1"/>
  <c r="L103" i="43"/>
  <c r="K103" i="43"/>
  <c r="M103" i="43" s="1"/>
  <c r="L364" i="43"/>
  <c r="K364" i="43"/>
  <c r="M364" i="43" s="1"/>
  <c r="L363" i="43"/>
  <c r="K363" i="43"/>
  <c r="M363" i="43" s="1"/>
  <c r="L362" i="43"/>
  <c r="K362" i="43"/>
  <c r="M362" i="43" s="1"/>
  <c r="L361" i="43"/>
  <c r="K361" i="43"/>
  <c r="M361" i="43" s="1"/>
  <c r="L360" i="43"/>
  <c r="K360" i="43"/>
  <c r="M360" i="43" s="1"/>
  <c r="L359" i="43"/>
  <c r="K359" i="43"/>
  <c r="M359" i="43" s="1"/>
  <c r="L358" i="43"/>
  <c r="K358" i="43"/>
  <c r="M358" i="43" s="1"/>
  <c r="L357" i="43"/>
  <c r="K357" i="43"/>
  <c r="M357" i="43" s="1"/>
  <c r="L356" i="43"/>
  <c r="K356" i="43"/>
  <c r="M356" i="43" s="1"/>
  <c r="L355" i="43"/>
  <c r="K355" i="43"/>
  <c r="M355" i="43" s="1"/>
  <c r="L354" i="43"/>
  <c r="K354" i="43"/>
  <c r="M354" i="43" s="1"/>
  <c r="L353" i="43"/>
  <c r="K353" i="43"/>
  <c r="M353" i="43" s="1"/>
  <c r="L352" i="43"/>
  <c r="K352" i="43"/>
  <c r="M352" i="43" s="1"/>
  <c r="L351" i="43"/>
  <c r="K351" i="43"/>
  <c r="M351" i="43" s="1"/>
  <c r="L350" i="43"/>
  <c r="K350" i="43"/>
  <c r="M350" i="43" s="1"/>
  <c r="L349" i="43"/>
  <c r="K349" i="43"/>
  <c r="M349" i="43" s="1"/>
  <c r="L348" i="43"/>
  <c r="K348" i="43"/>
  <c r="M348" i="43" s="1"/>
  <c r="L347" i="43"/>
  <c r="K347" i="43"/>
  <c r="M347" i="43" s="1"/>
  <c r="L346" i="43"/>
  <c r="K346" i="43"/>
  <c r="M346" i="43" s="1"/>
  <c r="L345" i="43"/>
  <c r="K345" i="43"/>
  <c r="M345" i="43" s="1"/>
  <c r="L344" i="43"/>
  <c r="K344" i="43"/>
  <c r="M344" i="43" s="1"/>
  <c r="L343" i="43"/>
  <c r="K343" i="43"/>
  <c r="M343" i="43" s="1"/>
  <c r="L342" i="43"/>
  <c r="K342" i="43"/>
  <c r="M342" i="43" s="1"/>
  <c r="L341" i="43"/>
  <c r="K341" i="43"/>
  <c r="M341" i="43" s="1"/>
  <c r="L340" i="43"/>
  <c r="K340" i="43"/>
  <c r="M340" i="43" s="1"/>
  <c r="L339" i="43"/>
  <c r="K339" i="43"/>
  <c r="M339" i="43" s="1"/>
  <c r="L338" i="43"/>
  <c r="K338" i="43"/>
  <c r="M338" i="43" s="1"/>
  <c r="L337" i="43"/>
  <c r="K337" i="43"/>
  <c r="M337" i="43" s="1"/>
  <c r="L336" i="43"/>
  <c r="K336" i="43"/>
  <c r="M336" i="43" s="1"/>
  <c r="L335" i="43"/>
  <c r="K335" i="43"/>
  <c r="M335" i="43" s="1"/>
  <c r="L334" i="43"/>
  <c r="K334" i="43"/>
  <c r="M334" i="43" s="1"/>
  <c r="L333" i="43"/>
  <c r="K333" i="43"/>
  <c r="M333" i="43" s="1"/>
  <c r="L332" i="43"/>
  <c r="K332" i="43"/>
  <c r="M332" i="43" s="1"/>
  <c r="L331" i="43"/>
  <c r="K331" i="43"/>
  <c r="M331" i="43" s="1"/>
  <c r="L330" i="43"/>
  <c r="K330" i="43"/>
  <c r="M330" i="43" s="1"/>
  <c r="L329" i="43"/>
  <c r="K329" i="43"/>
  <c r="M329" i="43" s="1"/>
  <c r="L328" i="43"/>
  <c r="K328" i="43"/>
  <c r="M328" i="43" s="1"/>
  <c r="L327" i="43"/>
  <c r="K327" i="43"/>
  <c r="M327" i="43" s="1"/>
  <c r="L326" i="43"/>
  <c r="K326" i="43"/>
  <c r="M326" i="43" s="1"/>
  <c r="L325" i="43"/>
  <c r="K325" i="43"/>
  <c r="M325" i="43" s="1"/>
  <c r="L324" i="43"/>
  <c r="K324" i="43"/>
  <c r="M324" i="43" s="1"/>
  <c r="L323" i="43"/>
  <c r="K323" i="43"/>
  <c r="M323" i="43" s="1"/>
  <c r="L322" i="43"/>
  <c r="K322" i="43"/>
  <c r="M322" i="43" s="1"/>
  <c r="L321" i="43"/>
  <c r="K321" i="43"/>
  <c r="M321" i="43" s="1"/>
  <c r="L320" i="43"/>
  <c r="K320" i="43"/>
  <c r="M320" i="43" s="1"/>
  <c r="L319" i="43"/>
  <c r="K319" i="43"/>
  <c r="M319" i="43" s="1"/>
  <c r="L318" i="43"/>
  <c r="K318" i="43"/>
  <c r="M318" i="43" s="1"/>
  <c r="L317" i="43"/>
  <c r="K317" i="43"/>
  <c r="M317" i="43" s="1"/>
  <c r="L316" i="43"/>
  <c r="K316" i="43"/>
  <c r="M316" i="43" s="1"/>
  <c r="L315" i="43"/>
  <c r="K315" i="43"/>
  <c r="M315" i="43" s="1"/>
  <c r="L314" i="43"/>
  <c r="K314" i="43"/>
  <c r="M314" i="43" s="1"/>
  <c r="L313" i="43"/>
  <c r="K313" i="43"/>
  <c r="M313" i="43" s="1"/>
  <c r="L312" i="43"/>
  <c r="K312" i="43"/>
  <c r="M312" i="43" s="1"/>
  <c r="L311" i="43"/>
  <c r="K311" i="43"/>
  <c r="M311" i="43" s="1"/>
  <c r="L310" i="43"/>
  <c r="K310" i="43"/>
  <c r="M310" i="43" s="1"/>
  <c r="L309" i="43"/>
  <c r="K309" i="43"/>
  <c r="M309" i="43" s="1"/>
  <c r="L308" i="43"/>
  <c r="K308" i="43"/>
  <c r="M308" i="43" s="1"/>
  <c r="L307" i="43"/>
  <c r="K307" i="43"/>
  <c r="M307" i="43" s="1"/>
  <c r="L306" i="43"/>
  <c r="K306" i="43"/>
  <c r="M306" i="43" s="1"/>
  <c r="L305" i="43"/>
  <c r="K305" i="43"/>
  <c r="M305" i="43" s="1"/>
  <c r="L304" i="43"/>
  <c r="K304" i="43"/>
  <c r="M304" i="43" s="1"/>
  <c r="L303" i="43"/>
  <c r="K303" i="43"/>
  <c r="M303" i="43" s="1"/>
  <c r="L302" i="43"/>
  <c r="K302" i="43"/>
  <c r="M302" i="43" s="1"/>
  <c r="L301" i="43"/>
  <c r="K301" i="43"/>
  <c r="M301" i="43" s="1"/>
  <c r="L300" i="43"/>
  <c r="K300" i="43"/>
  <c r="M300" i="43" s="1"/>
  <c r="L299" i="43"/>
  <c r="K299" i="43"/>
  <c r="M299" i="43" s="1"/>
  <c r="L298" i="43"/>
  <c r="K298" i="43"/>
  <c r="M298" i="43" s="1"/>
  <c r="L297" i="43"/>
  <c r="K297" i="43"/>
  <c r="M297" i="43" s="1"/>
  <c r="L296" i="43"/>
  <c r="K296" i="43"/>
  <c r="M296" i="43" s="1"/>
  <c r="L295" i="43"/>
  <c r="K295" i="43"/>
  <c r="M295" i="43" s="1"/>
  <c r="L294" i="43"/>
  <c r="K294" i="43"/>
  <c r="M294" i="43" s="1"/>
  <c r="L293" i="43"/>
  <c r="K293" i="43"/>
  <c r="M293" i="43" s="1"/>
  <c r="L292" i="43"/>
  <c r="K292" i="43"/>
  <c r="M292" i="43" s="1"/>
  <c r="L291" i="43"/>
  <c r="K291" i="43"/>
  <c r="M291" i="43" s="1"/>
  <c r="L290" i="43"/>
  <c r="K290" i="43"/>
  <c r="M290" i="43" s="1"/>
  <c r="L289" i="43"/>
  <c r="K289" i="43"/>
  <c r="M289" i="43" s="1"/>
  <c r="L288" i="43"/>
  <c r="K288" i="43"/>
  <c r="M288" i="43" s="1"/>
  <c r="L287" i="43"/>
  <c r="K287" i="43"/>
  <c r="M287" i="43" s="1"/>
  <c r="L286" i="43"/>
  <c r="K286" i="43"/>
  <c r="M286" i="43" s="1"/>
  <c r="L285" i="43"/>
  <c r="K285" i="43"/>
  <c r="M285" i="43" s="1"/>
  <c r="L284" i="43"/>
  <c r="K284" i="43"/>
  <c r="M284" i="43" s="1"/>
  <c r="L283" i="43"/>
  <c r="K283" i="43"/>
  <c r="M283" i="43" s="1"/>
  <c r="L282" i="43"/>
  <c r="K282" i="43"/>
  <c r="M282" i="43" s="1"/>
  <c r="L281" i="43"/>
  <c r="K281" i="43"/>
  <c r="M281" i="43" s="1"/>
  <c r="L280" i="43"/>
  <c r="K280" i="43"/>
  <c r="M280" i="43" s="1"/>
  <c r="L279" i="43"/>
  <c r="K279" i="43"/>
  <c r="M279" i="43" s="1"/>
  <c r="L278" i="43"/>
  <c r="K278" i="43"/>
  <c r="M278" i="43" s="1"/>
  <c r="L277" i="43"/>
  <c r="K277" i="43"/>
  <c r="M277" i="43" s="1"/>
  <c r="L276" i="43"/>
  <c r="K276" i="43"/>
  <c r="M276" i="43" s="1"/>
  <c r="L275" i="43"/>
  <c r="K275" i="43"/>
  <c r="M275" i="43" s="1"/>
  <c r="L274" i="43"/>
  <c r="K274" i="43"/>
  <c r="M274" i="43" s="1"/>
  <c r="L273" i="43"/>
  <c r="K273" i="43"/>
  <c r="M273" i="43" s="1"/>
  <c r="L272" i="43"/>
  <c r="K272" i="43"/>
  <c r="M272" i="43" s="1"/>
  <c r="L271" i="43"/>
  <c r="K271" i="43"/>
  <c r="M271" i="43" s="1"/>
  <c r="L270" i="43"/>
  <c r="K270" i="43"/>
  <c r="M270" i="43" s="1"/>
  <c r="L269" i="43"/>
  <c r="K269" i="43"/>
  <c r="M269" i="43" s="1"/>
  <c r="L268" i="43"/>
  <c r="K268" i="43"/>
  <c r="M268" i="43" s="1"/>
  <c r="L267" i="43"/>
  <c r="K267" i="43"/>
  <c r="M267" i="43" s="1"/>
  <c r="L266" i="43"/>
  <c r="K266" i="43"/>
  <c r="M266" i="43" s="1"/>
  <c r="L265" i="43"/>
  <c r="K265" i="43"/>
  <c r="M265" i="43" s="1"/>
  <c r="L264" i="43"/>
  <c r="K264" i="43"/>
  <c r="M264" i="43" s="1"/>
  <c r="L263" i="43"/>
  <c r="K263" i="43"/>
  <c r="M263" i="43" s="1"/>
  <c r="L262" i="43"/>
  <c r="K262" i="43"/>
  <c r="M262" i="43" s="1"/>
  <c r="L261" i="43"/>
  <c r="K261" i="43"/>
  <c r="M261" i="43" s="1"/>
  <c r="L260" i="43"/>
  <c r="K260" i="43"/>
  <c r="M260" i="43" s="1"/>
  <c r="L259" i="43"/>
  <c r="K259" i="43"/>
  <c r="M259" i="43" s="1"/>
  <c r="L258" i="43"/>
  <c r="K258" i="43"/>
  <c r="M258" i="43" s="1"/>
  <c r="L257" i="43"/>
  <c r="K257" i="43"/>
  <c r="M257" i="43" s="1"/>
  <c r="L256" i="43"/>
  <c r="K256" i="43"/>
  <c r="M256" i="43" s="1"/>
  <c r="L255" i="43"/>
  <c r="K255" i="43"/>
  <c r="M255" i="43" s="1"/>
  <c r="L254" i="43"/>
  <c r="K254" i="43"/>
  <c r="M254" i="43" s="1"/>
  <c r="L253" i="43"/>
  <c r="K253" i="43"/>
  <c r="M253" i="43" s="1"/>
  <c r="L252" i="43"/>
  <c r="K252" i="43"/>
  <c r="M252" i="43" s="1"/>
  <c r="L251" i="43"/>
  <c r="K251" i="43"/>
  <c r="M251" i="43" s="1"/>
  <c r="L250" i="43"/>
  <c r="K250" i="43"/>
  <c r="M250" i="43" s="1"/>
  <c r="L249" i="43"/>
  <c r="K249" i="43"/>
  <c r="M249" i="43" s="1"/>
  <c r="L248" i="43"/>
  <c r="K248" i="43"/>
  <c r="M248" i="43" s="1"/>
  <c r="L247" i="43"/>
  <c r="K247" i="43"/>
  <c r="M247" i="43" s="1"/>
  <c r="L246" i="43"/>
  <c r="K246" i="43"/>
  <c r="M246" i="43" s="1"/>
  <c r="L245" i="43"/>
  <c r="K245" i="43"/>
  <c r="M245" i="43" s="1"/>
  <c r="L244" i="43"/>
  <c r="K244" i="43"/>
  <c r="M244" i="43" s="1"/>
  <c r="L243" i="43"/>
  <c r="K243" i="43"/>
  <c r="M243" i="43" s="1"/>
  <c r="L242" i="43"/>
  <c r="K242" i="43"/>
  <c r="M242" i="43" s="1"/>
  <c r="L241" i="43"/>
  <c r="K241" i="43"/>
  <c r="M241" i="43" s="1"/>
  <c r="L240" i="43"/>
  <c r="K240" i="43"/>
  <c r="M240" i="43" s="1"/>
  <c r="L239" i="43"/>
  <c r="K239" i="43"/>
  <c r="M239" i="43" s="1"/>
  <c r="L238" i="43"/>
  <c r="K238" i="43"/>
  <c r="M238" i="43" s="1"/>
  <c r="L237" i="43"/>
  <c r="K237" i="43"/>
  <c r="M237" i="43" s="1"/>
  <c r="L236" i="43"/>
  <c r="K236" i="43"/>
  <c r="M236" i="43" s="1"/>
  <c r="L235" i="43"/>
  <c r="K235" i="43"/>
  <c r="M235" i="43" s="1"/>
  <c r="L234" i="43"/>
  <c r="K234" i="43"/>
  <c r="M234" i="43" s="1"/>
  <c r="L233" i="43"/>
  <c r="K233" i="43"/>
  <c r="M233" i="43" s="1"/>
  <c r="L232" i="43"/>
  <c r="K232" i="43"/>
  <c r="M232" i="43" s="1"/>
  <c r="L231" i="43"/>
  <c r="K231" i="43"/>
  <c r="M231" i="43" s="1"/>
  <c r="L230" i="43"/>
  <c r="K230" i="43"/>
  <c r="M230" i="43" s="1"/>
  <c r="L229" i="43"/>
  <c r="K229" i="43"/>
  <c r="M229" i="43" s="1"/>
  <c r="L228" i="43"/>
  <c r="K228" i="43"/>
  <c r="M228" i="43" s="1"/>
  <c r="L227" i="43"/>
  <c r="K227" i="43"/>
  <c r="M227" i="43" s="1"/>
  <c r="L226" i="43"/>
  <c r="K226" i="43"/>
  <c r="M226" i="43" s="1"/>
  <c r="L225" i="43"/>
  <c r="K225" i="43"/>
  <c r="M225" i="43" s="1"/>
  <c r="L224" i="43"/>
  <c r="K224" i="43"/>
  <c r="M224" i="43" s="1"/>
  <c r="L223" i="43"/>
  <c r="K223" i="43"/>
  <c r="M223" i="43" s="1"/>
  <c r="L222" i="43"/>
  <c r="K222" i="43"/>
  <c r="M222" i="43" s="1"/>
  <c r="L221" i="43"/>
  <c r="K221" i="43"/>
  <c r="M221" i="43" s="1"/>
  <c r="L220" i="43"/>
  <c r="K220" i="43"/>
  <c r="M220" i="43" s="1"/>
  <c r="L219" i="43"/>
  <c r="K219" i="43"/>
  <c r="M219" i="43" s="1"/>
  <c r="L218" i="43"/>
  <c r="K218" i="43"/>
  <c r="M218" i="43" s="1"/>
  <c r="L217" i="43"/>
  <c r="K217" i="43"/>
  <c r="M217" i="43" s="1"/>
  <c r="L216" i="43"/>
  <c r="K216" i="43"/>
  <c r="M216" i="43" s="1"/>
  <c r="L215" i="43"/>
  <c r="K215" i="43"/>
  <c r="M215" i="43" s="1"/>
  <c r="L214" i="43"/>
  <c r="K214" i="43"/>
  <c r="M214" i="43" s="1"/>
  <c r="L213" i="43"/>
  <c r="K213" i="43"/>
  <c r="M213" i="43" s="1"/>
  <c r="L212" i="43"/>
  <c r="K212" i="43"/>
  <c r="M212" i="43" s="1"/>
  <c r="L211" i="43"/>
  <c r="K211" i="43"/>
  <c r="M211" i="43" s="1"/>
  <c r="L210" i="43"/>
  <c r="K210" i="43"/>
  <c r="M210" i="43" s="1"/>
  <c r="L209" i="43"/>
  <c r="K209" i="43"/>
  <c r="M209" i="43" s="1"/>
  <c r="L208" i="43"/>
  <c r="K208" i="43"/>
  <c r="M208" i="43" s="1"/>
  <c r="L207" i="43"/>
  <c r="K207" i="43"/>
  <c r="M207" i="43" s="1"/>
  <c r="L206" i="43"/>
  <c r="K206" i="43"/>
  <c r="M206" i="43" s="1"/>
  <c r="L205" i="43"/>
  <c r="K205" i="43"/>
  <c r="M205" i="43" s="1"/>
  <c r="L204" i="43"/>
  <c r="K204" i="43"/>
  <c r="M204" i="43" s="1"/>
  <c r="L203" i="43"/>
  <c r="K203" i="43"/>
  <c r="M203" i="43" s="1"/>
  <c r="L202" i="43"/>
  <c r="K202" i="43"/>
  <c r="M202" i="43" s="1"/>
  <c r="L201" i="43"/>
  <c r="K201" i="43"/>
  <c r="M201" i="43" s="1"/>
  <c r="L200" i="43"/>
  <c r="K200" i="43"/>
  <c r="M200" i="43" s="1"/>
  <c r="L199" i="43"/>
  <c r="K199" i="43"/>
  <c r="M199" i="43" s="1"/>
  <c r="L198" i="43"/>
  <c r="K198" i="43"/>
  <c r="M198" i="43" s="1"/>
  <c r="L197" i="43"/>
  <c r="K197" i="43"/>
  <c r="M197" i="43" s="1"/>
  <c r="L196" i="43"/>
  <c r="K196" i="43"/>
  <c r="M196" i="43" s="1"/>
  <c r="L195" i="43"/>
  <c r="K195" i="43"/>
  <c r="M195" i="43" s="1"/>
  <c r="L194" i="43"/>
  <c r="K194" i="43"/>
  <c r="M194" i="43" s="1"/>
  <c r="L193" i="43"/>
  <c r="K193" i="43"/>
  <c r="M193" i="43" s="1"/>
  <c r="L192" i="43"/>
  <c r="K192" i="43"/>
  <c r="M192" i="43" s="1"/>
  <c r="L191" i="43"/>
  <c r="K191" i="43"/>
  <c r="M191" i="43" s="1"/>
  <c r="L190" i="43"/>
  <c r="K190" i="43"/>
  <c r="M190" i="43" s="1"/>
  <c r="L189" i="43"/>
  <c r="K189" i="43"/>
  <c r="M189" i="43" s="1"/>
  <c r="L188" i="43"/>
  <c r="K188" i="43"/>
  <c r="M188" i="43" s="1"/>
  <c r="L187" i="43"/>
  <c r="K187" i="43"/>
  <c r="M187" i="43" s="1"/>
  <c r="L186" i="43"/>
  <c r="K186" i="43"/>
  <c r="M186" i="43" s="1"/>
  <c r="L185" i="43"/>
  <c r="K185" i="43"/>
  <c r="M185" i="43" s="1"/>
  <c r="L184" i="43"/>
  <c r="K184" i="43"/>
  <c r="M184" i="43" s="1"/>
  <c r="L183" i="43"/>
  <c r="K183" i="43"/>
  <c r="M183" i="43" s="1"/>
  <c r="L182" i="43"/>
  <c r="K182" i="43"/>
  <c r="M182" i="43" s="1"/>
  <c r="L181" i="43"/>
  <c r="K181" i="43"/>
  <c r="M181" i="43" s="1"/>
  <c r="L180" i="43"/>
  <c r="K180" i="43"/>
  <c r="M180" i="43" s="1"/>
  <c r="L179" i="43"/>
  <c r="K179" i="43"/>
  <c r="M179" i="43" s="1"/>
  <c r="L178" i="43"/>
  <c r="K178" i="43"/>
  <c r="M178" i="43" s="1"/>
  <c r="L177" i="43"/>
  <c r="K177" i="43"/>
  <c r="M177" i="43" s="1"/>
  <c r="L176" i="43"/>
  <c r="K176" i="43"/>
  <c r="M176" i="43" s="1"/>
  <c r="L175" i="43"/>
  <c r="K175" i="43"/>
  <c r="M175" i="43" s="1"/>
  <c r="L174" i="43"/>
  <c r="K174" i="43"/>
  <c r="M174" i="43" s="1"/>
  <c r="L173" i="43"/>
  <c r="K173" i="43"/>
  <c r="M173" i="43" s="1"/>
  <c r="L172" i="43"/>
  <c r="K172" i="43"/>
  <c r="M172" i="43" s="1"/>
  <c r="L171" i="43"/>
  <c r="K171" i="43"/>
  <c r="M171" i="43" s="1"/>
  <c r="L170" i="43"/>
  <c r="K170" i="43"/>
  <c r="M170" i="43" s="1"/>
  <c r="L169" i="43"/>
  <c r="K169" i="43"/>
  <c r="M169" i="43" s="1"/>
  <c r="L168" i="43"/>
  <c r="K168" i="43"/>
  <c r="M168" i="43" s="1"/>
  <c r="L167" i="43"/>
  <c r="K167" i="43"/>
  <c r="M167" i="43" s="1"/>
  <c r="L166" i="43"/>
  <c r="K166" i="43"/>
  <c r="M166" i="43" s="1"/>
  <c r="L165" i="43"/>
  <c r="K165" i="43"/>
  <c r="M165" i="43" s="1"/>
  <c r="L569" i="43"/>
  <c r="K569" i="43"/>
  <c r="M569" i="43" s="1"/>
  <c r="L163" i="43"/>
  <c r="K163" i="43"/>
  <c r="M163" i="43" s="1"/>
  <c r="L162" i="43"/>
  <c r="K162" i="43"/>
  <c r="M162" i="43" s="1"/>
  <c r="L161" i="43"/>
  <c r="K161" i="43"/>
  <c r="M161" i="43" s="1"/>
  <c r="L160" i="43"/>
  <c r="K160" i="43"/>
  <c r="M160" i="43" s="1"/>
  <c r="L159" i="43"/>
  <c r="K159" i="43"/>
  <c r="M159" i="43" s="1"/>
  <c r="L158" i="43"/>
  <c r="K158" i="43"/>
  <c r="M158" i="43" s="1"/>
  <c r="L157" i="43"/>
  <c r="K157" i="43"/>
  <c r="M157" i="43" s="1"/>
  <c r="L156" i="43"/>
  <c r="K156" i="43"/>
  <c r="M156" i="43" s="1"/>
  <c r="L155" i="43"/>
  <c r="K155" i="43"/>
  <c r="M155" i="43" s="1"/>
  <c r="L154" i="43"/>
  <c r="K154" i="43"/>
  <c r="M154" i="43" s="1"/>
  <c r="L153" i="43"/>
  <c r="K153" i="43"/>
  <c r="M153" i="43" s="1"/>
  <c r="L152" i="43"/>
  <c r="K152" i="43"/>
  <c r="M152" i="43" s="1"/>
  <c r="L151" i="43"/>
  <c r="K151" i="43"/>
  <c r="M151" i="43" s="1"/>
  <c r="L150" i="43"/>
  <c r="K150" i="43"/>
  <c r="M150" i="43" s="1"/>
  <c r="L149" i="43"/>
  <c r="K149" i="43"/>
  <c r="M149" i="43" s="1"/>
  <c r="L148" i="43"/>
  <c r="K148" i="43"/>
  <c r="M148" i="43" s="1"/>
  <c r="L147" i="43"/>
  <c r="K147" i="43"/>
  <c r="M147" i="43" s="1"/>
  <c r="L146" i="43"/>
  <c r="K146" i="43"/>
  <c r="M146" i="43" s="1"/>
  <c r="L145" i="43"/>
  <c r="K145" i="43"/>
  <c r="M145" i="43" s="1"/>
  <c r="L144" i="43"/>
  <c r="K144" i="43"/>
  <c r="M144" i="43" s="1"/>
  <c r="L143" i="43"/>
  <c r="K143" i="43"/>
  <c r="M143" i="43" s="1"/>
  <c r="L142" i="43"/>
  <c r="K142" i="43"/>
  <c r="M142" i="43" s="1"/>
  <c r="L141" i="43"/>
  <c r="K141" i="43"/>
  <c r="M141" i="43" s="1"/>
  <c r="L140" i="43"/>
  <c r="K140" i="43"/>
  <c r="M140" i="43" s="1"/>
  <c r="L139" i="43"/>
  <c r="K139" i="43"/>
  <c r="M139" i="43" s="1"/>
  <c r="L138" i="43"/>
  <c r="K138" i="43"/>
  <c r="M138" i="43" s="1"/>
  <c r="L137" i="43"/>
  <c r="K137" i="43"/>
  <c r="M137" i="43" s="1"/>
  <c r="L547" i="43"/>
  <c r="K547" i="43"/>
  <c r="M547" i="43" s="1"/>
  <c r="L135" i="43"/>
  <c r="K135" i="43"/>
  <c r="M135" i="43" s="1"/>
  <c r="L134" i="43"/>
  <c r="K134" i="43"/>
  <c r="M134" i="43" s="1"/>
  <c r="L557" i="43"/>
  <c r="K557" i="43"/>
  <c r="M557" i="43" s="1"/>
  <c r="L552" i="43"/>
  <c r="K552" i="43"/>
  <c r="M552" i="43" s="1"/>
  <c r="L113" i="43"/>
  <c r="K113" i="43"/>
  <c r="M113" i="43" s="1"/>
  <c r="L539" i="43"/>
  <c r="K539" i="43"/>
  <c r="M539" i="43" s="1"/>
  <c r="L523" i="43"/>
  <c r="K523" i="43"/>
  <c r="M523" i="43" s="1"/>
  <c r="L128" i="43"/>
  <c r="K128" i="43"/>
  <c r="M128" i="43" s="1"/>
  <c r="L127" i="43"/>
  <c r="K127" i="43"/>
  <c r="M127" i="43" s="1"/>
  <c r="L126" i="43"/>
  <c r="K126" i="43"/>
  <c r="M126" i="43" s="1"/>
  <c r="L125" i="43"/>
  <c r="K125" i="43"/>
  <c r="M125" i="43" s="1"/>
  <c r="L124" i="43"/>
  <c r="K124" i="43"/>
  <c r="M124" i="43" s="1"/>
  <c r="L123" i="43"/>
  <c r="K123" i="43"/>
  <c r="M123" i="43" s="1"/>
  <c r="L122" i="43"/>
  <c r="K122" i="43"/>
  <c r="M122" i="43" s="1"/>
  <c r="L97" i="43"/>
  <c r="K97" i="43"/>
  <c r="M97" i="43" s="1"/>
  <c r="L96" i="43"/>
  <c r="K96" i="43"/>
  <c r="M96" i="43" s="1"/>
  <c r="L105" i="43"/>
  <c r="K105" i="43"/>
  <c r="M105" i="43" s="1"/>
  <c r="L132" i="43"/>
  <c r="K132" i="43"/>
  <c r="M132" i="43" s="1"/>
  <c r="L81" i="43"/>
  <c r="K81" i="43"/>
  <c r="M81" i="43" s="1"/>
  <c r="L80" i="43"/>
  <c r="K80" i="43"/>
  <c r="M80" i="43" s="1"/>
  <c r="L572" i="43"/>
  <c r="K572" i="43"/>
  <c r="M572" i="43" s="1"/>
  <c r="L571" i="43"/>
  <c r="K571" i="43"/>
  <c r="M571" i="43" s="1"/>
  <c r="L536" i="43"/>
  <c r="K536" i="43"/>
  <c r="M536" i="43" s="1"/>
  <c r="L522" i="43"/>
  <c r="K522" i="43"/>
  <c r="M522" i="43" s="1"/>
  <c r="L521" i="43"/>
  <c r="K521" i="43"/>
  <c r="M521" i="43" s="1"/>
  <c r="L520" i="43"/>
  <c r="K520" i="43"/>
  <c r="M520" i="43" s="1"/>
  <c r="L519" i="43"/>
  <c r="K519" i="43"/>
  <c r="M519" i="43" s="1"/>
  <c r="L102" i="43"/>
  <c r="K102" i="43"/>
  <c r="M102" i="43" s="1"/>
  <c r="L90" i="43"/>
  <c r="K90" i="43"/>
  <c r="M90" i="43" s="1"/>
  <c r="L518" i="43"/>
  <c r="K518" i="43"/>
  <c r="M518" i="43" s="1"/>
  <c r="L121" i="43"/>
  <c r="K121" i="43"/>
  <c r="M121" i="43" s="1"/>
  <c r="L95" i="43"/>
  <c r="K95" i="43"/>
  <c r="M95" i="43" s="1"/>
  <c r="L112" i="43"/>
  <c r="K112" i="43"/>
  <c r="M112" i="43" s="1"/>
  <c r="L561" i="43"/>
  <c r="K561" i="43"/>
  <c r="M561" i="43" s="1"/>
  <c r="L541" i="43"/>
  <c r="K541" i="43"/>
  <c r="M541" i="43" s="1"/>
  <c r="L553" i="43"/>
  <c r="K553" i="43"/>
  <c r="M553" i="43" s="1"/>
  <c r="L568" i="43"/>
  <c r="K568" i="43"/>
  <c r="M568" i="43" s="1"/>
  <c r="L567" i="43"/>
  <c r="K567" i="43"/>
  <c r="M567" i="43" s="1"/>
  <c r="L564" i="43"/>
  <c r="K564" i="43"/>
  <c r="M564" i="43" s="1"/>
  <c r="L120" i="43"/>
  <c r="K120" i="43"/>
  <c r="M120" i="43" s="1"/>
  <c r="L562" i="43"/>
  <c r="K562" i="43"/>
  <c r="M562" i="43" s="1"/>
  <c r="L575" i="43"/>
  <c r="K575" i="43"/>
  <c r="M575" i="43" s="1"/>
  <c r="L93" i="43"/>
  <c r="K93" i="43"/>
  <c r="M93" i="43" s="1"/>
  <c r="L92" i="43"/>
  <c r="K92" i="43"/>
  <c r="M92" i="43" s="1"/>
  <c r="L529" i="43"/>
  <c r="K529" i="43"/>
  <c r="M529" i="43" s="1"/>
  <c r="L528" i="43"/>
  <c r="K528" i="43"/>
  <c r="M528" i="43" s="1"/>
  <c r="L527" i="43"/>
  <c r="K527" i="43"/>
  <c r="M527" i="43" s="1"/>
  <c r="L88" i="43"/>
  <c r="K88" i="43"/>
  <c r="M88" i="43" s="1"/>
  <c r="L87" i="43"/>
  <c r="K87" i="43"/>
  <c r="M87" i="43" s="1"/>
  <c r="L86" i="43"/>
  <c r="K86" i="43"/>
  <c r="M86" i="43" s="1"/>
  <c r="L85" i="43"/>
  <c r="K85" i="43"/>
  <c r="M85" i="43" s="1"/>
  <c r="L84" i="43"/>
  <c r="K84" i="43"/>
  <c r="M84" i="43" s="1"/>
  <c r="L83" i="43"/>
  <c r="K83" i="43"/>
  <c r="M83" i="43" s="1"/>
  <c r="L119" i="43"/>
  <c r="K119" i="43"/>
  <c r="M119" i="43" s="1"/>
  <c r="L94" i="43"/>
  <c r="K94" i="43"/>
  <c r="M94" i="43" s="1"/>
  <c r="L78" i="43"/>
  <c r="K78" i="43"/>
  <c r="M78" i="43" s="1"/>
  <c r="L91" i="43"/>
  <c r="K91" i="43"/>
  <c r="M91" i="43" s="1"/>
  <c r="L531" i="43"/>
  <c r="K531" i="43"/>
  <c r="M531" i="43" s="1"/>
  <c r="L77" i="43"/>
  <c r="K77" i="43"/>
  <c r="M77" i="43" s="1"/>
  <c r="L76" i="43"/>
  <c r="K76" i="43"/>
  <c r="M76" i="43" s="1"/>
  <c r="L75" i="43"/>
  <c r="K75" i="43"/>
  <c r="M75" i="43" s="1"/>
  <c r="L74" i="43"/>
  <c r="K74" i="43"/>
  <c r="M74" i="43" s="1"/>
  <c r="L73" i="43"/>
  <c r="K73" i="43"/>
  <c r="M73" i="43" s="1"/>
  <c r="L72" i="43"/>
  <c r="K72" i="43"/>
  <c r="M72" i="43" s="1"/>
  <c r="L71" i="43"/>
  <c r="K71" i="43"/>
  <c r="M71" i="43" s="1"/>
  <c r="L70" i="43"/>
  <c r="K70" i="43"/>
  <c r="M70" i="43" s="1"/>
  <c r="L69" i="43"/>
  <c r="K69" i="43"/>
  <c r="M69" i="43" s="1"/>
  <c r="L68" i="43"/>
  <c r="K68" i="43"/>
  <c r="M68" i="43" s="1"/>
  <c r="L67" i="43"/>
  <c r="K67" i="43"/>
  <c r="M67" i="43" s="1"/>
  <c r="L66" i="43"/>
  <c r="K66" i="43"/>
  <c r="M66" i="43" s="1"/>
  <c r="L65" i="43"/>
  <c r="K65" i="43"/>
  <c r="M65" i="43" s="1"/>
  <c r="L64" i="43"/>
  <c r="K64" i="43"/>
  <c r="M64" i="43" s="1"/>
  <c r="L63" i="43"/>
  <c r="K63" i="43"/>
  <c r="M63" i="43" s="1"/>
  <c r="L62" i="43"/>
  <c r="K62" i="43"/>
  <c r="M62" i="43" s="1"/>
  <c r="L61" i="43"/>
  <c r="K61" i="43"/>
  <c r="M61" i="43" s="1"/>
  <c r="L60" i="43"/>
  <c r="K60" i="43"/>
  <c r="M60" i="43" s="1"/>
  <c r="L59" i="43"/>
  <c r="K59" i="43"/>
  <c r="M59" i="43" s="1"/>
  <c r="L58" i="43"/>
  <c r="K58" i="43"/>
  <c r="M58" i="43" s="1"/>
  <c r="L57" i="43"/>
  <c r="K57" i="43"/>
  <c r="M57" i="43" s="1"/>
  <c r="L56" i="43"/>
  <c r="K56" i="43"/>
  <c r="M56" i="43" s="1"/>
  <c r="L55" i="43"/>
  <c r="K55" i="43"/>
  <c r="M55" i="43" s="1"/>
  <c r="L54" i="43"/>
  <c r="K54" i="43"/>
  <c r="M54" i="43" s="1"/>
  <c r="L53" i="43"/>
  <c r="K53" i="43"/>
  <c r="M53" i="43" s="1"/>
  <c r="L52" i="43"/>
  <c r="K52" i="43"/>
  <c r="M52" i="43" s="1"/>
  <c r="L51" i="43"/>
  <c r="K51" i="43"/>
  <c r="M51" i="43" s="1"/>
  <c r="L50" i="43"/>
  <c r="K50" i="43"/>
  <c r="M50" i="43" s="1"/>
  <c r="L49" i="43"/>
  <c r="K49" i="43"/>
  <c r="M49" i="43" s="1"/>
  <c r="L48" i="43"/>
  <c r="K48" i="43"/>
  <c r="M48" i="43" s="1"/>
  <c r="L47" i="43"/>
  <c r="K47" i="43"/>
  <c r="M47" i="43" s="1"/>
  <c r="L46" i="43"/>
  <c r="K46" i="43"/>
  <c r="M46" i="43" s="1"/>
  <c r="L45" i="43"/>
  <c r="K45" i="43"/>
  <c r="M45" i="43" s="1"/>
  <c r="L44" i="43"/>
  <c r="K44" i="43"/>
  <c r="M44" i="43" s="1"/>
  <c r="L43" i="43"/>
  <c r="K43" i="43"/>
  <c r="M43" i="43" s="1"/>
  <c r="L42" i="43"/>
  <c r="K42" i="43"/>
  <c r="M42" i="43" s="1"/>
  <c r="L41" i="43"/>
  <c r="K41" i="43"/>
  <c r="M41" i="43" s="1"/>
  <c r="L40" i="43"/>
  <c r="K40" i="43"/>
  <c r="M40" i="43" s="1"/>
  <c r="L39" i="43"/>
  <c r="K39" i="43"/>
  <c r="M39" i="43" s="1"/>
  <c r="L38" i="43"/>
  <c r="K38" i="43"/>
  <c r="M38" i="43" s="1"/>
  <c r="L37" i="43"/>
  <c r="K37" i="43"/>
  <c r="M37" i="43" s="1"/>
  <c r="L36" i="43"/>
  <c r="K36" i="43"/>
  <c r="M36" i="43" s="1"/>
  <c r="L35" i="43"/>
  <c r="K35" i="43"/>
  <c r="M35" i="43" s="1"/>
  <c r="L34" i="43"/>
  <c r="K34" i="43"/>
  <c r="M34" i="43" s="1"/>
  <c r="L33" i="43"/>
  <c r="K33" i="43"/>
  <c r="M33" i="43" s="1"/>
  <c r="L32" i="43"/>
  <c r="K32" i="43"/>
  <c r="M32" i="43" s="1"/>
  <c r="L31" i="43"/>
  <c r="K31" i="43"/>
  <c r="M31" i="43" s="1"/>
  <c r="L30" i="43"/>
  <c r="K30" i="43"/>
  <c r="M30" i="43" s="1"/>
  <c r="L29" i="43"/>
  <c r="K29" i="43"/>
  <c r="M29" i="43" s="1"/>
  <c r="L28" i="43"/>
  <c r="K28" i="43"/>
  <c r="M28" i="43" s="1"/>
  <c r="L27" i="43"/>
  <c r="K27" i="43"/>
  <c r="M27" i="43" s="1"/>
  <c r="L26" i="43"/>
  <c r="K26" i="43"/>
  <c r="M26" i="43" s="1"/>
  <c r="L25" i="43"/>
  <c r="K25" i="43"/>
  <c r="M25" i="43" s="1"/>
  <c r="L24" i="43"/>
  <c r="K24" i="43"/>
  <c r="M24" i="43" s="1"/>
  <c r="L23" i="43"/>
  <c r="K23" i="43"/>
  <c r="M23" i="43" s="1"/>
  <c r="L22" i="43"/>
  <c r="K22" i="43"/>
  <c r="M22" i="43" s="1"/>
  <c r="L21" i="43"/>
  <c r="K21" i="43"/>
  <c r="M21" i="43" s="1"/>
  <c r="L20" i="43"/>
  <c r="K20" i="43"/>
  <c r="M20" i="43" s="1"/>
  <c r="L19" i="43"/>
  <c r="K19" i="43"/>
  <c r="M19" i="43" s="1"/>
  <c r="L18" i="43"/>
  <c r="K18" i="43"/>
  <c r="M18" i="43" s="1"/>
  <c r="L17" i="43"/>
  <c r="K17" i="43"/>
  <c r="M17" i="43" s="1"/>
  <c r="L16" i="43"/>
  <c r="K16" i="43"/>
  <c r="M16" i="43" s="1"/>
  <c r="L15" i="43"/>
  <c r="K15" i="43"/>
  <c r="M15" i="43" s="1"/>
  <c r="L14" i="43"/>
  <c r="K14" i="43"/>
  <c r="M14" i="43" s="1"/>
  <c r="L13" i="43"/>
  <c r="K13" i="43"/>
  <c r="M13" i="43" s="1"/>
  <c r="L12" i="43"/>
  <c r="K12" i="43"/>
  <c r="M12" i="43" s="1"/>
  <c r="L11" i="43"/>
  <c r="K11" i="43"/>
  <c r="M11" i="43" s="1"/>
  <c r="L10" i="43"/>
  <c r="K10" i="43"/>
  <c r="M10" i="43" s="1"/>
  <c r="L9" i="43"/>
  <c r="K9" i="43"/>
  <c r="M9" i="43" s="1"/>
  <c r="L8" i="43"/>
  <c r="K8" i="43"/>
  <c r="M8" i="43" s="1"/>
  <c r="L7" i="43"/>
  <c r="K7" i="43"/>
  <c r="M7" i="43" s="1"/>
  <c r="L6" i="43"/>
  <c r="K6" i="43"/>
  <c r="M6" i="43" s="1"/>
  <c r="L5" i="43"/>
  <c r="K5" i="43"/>
  <c r="M5" i="43" s="1"/>
  <c r="L4" i="43"/>
  <c r="K4" i="43"/>
  <c r="M4" i="43" s="1"/>
  <c r="L3" i="43"/>
  <c r="K3" i="43"/>
  <c r="M3" i="43" s="1"/>
  <c r="L2" i="43"/>
  <c r="K2" i="43"/>
  <c r="M2" i="43" s="1"/>
  <c r="M3" i="42"/>
  <c r="L3" i="42"/>
  <c r="K3" i="42"/>
  <c r="M2" i="42"/>
  <c r="L2" i="42"/>
  <c r="K2" i="42"/>
  <c r="M2" i="41"/>
  <c r="L2" i="41"/>
  <c r="K2" i="41"/>
  <c r="L2" i="40"/>
  <c r="K2" i="40"/>
  <c r="M2" i="40" s="1"/>
  <c r="M2" i="39"/>
  <c r="L2" i="39"/>
  <c r="K2" i="39"/>
  <c r="L5" i="38"/>
  <c r="K5" i="38"/>
  <c r="M5" i="38" s="1"/>
  <c r="L4" i="38"/>
  <c r="K4" i="38"/>
  <c r="M4" i="38" s="1"/>
  <c r="L3" i="38"/>
  <c r="K3" i="38"/>
  <c r="M3" i="38" s="1"/>
  <c r="L2" i="38"/>
  <c r="K2" i="38"/>
  <c r="M2" i="38" s="1"/>
  <c r="L2" i="37"/>
  <c r="K2" i="37"/>
  <c r="M2" i="37" s="1"/>
  <c r="L6" i="36"/>
  <c r="K6" i="36"/>
  <c r="M6" i="36" s="1"/>
  <c r="M5" i="36"/>
  <c r="L5" i="36"/>
  <c r="K5" i="36"/>
  <c r="L4" i="36"/>
  <c r="K4" i="36"/>
  <c r="M4" i="36" s="1"/>
  <c r="M3" i="36"/>
  <c r="L3" i="36"/>
  <c r="K3" i="36"/>
  <c r="M2" i="36"/>
  <c r="L2" i="36"/>
  <c r="K2" i="36"/>
  <c r="L7" i="35"/>
  <c r="K7" i="35"/>
  <c r="M7" i="35" s="1"/>
  <c r="M6" i="35"/>
  <c r="L6" i="35"/>
  <c r="K6" i="35"/>
  <c r="M5" i="35"/>
  <c r="L5" i="35"/>
  <c r="K5" i="35"/>
  <c r="M4" i="35"/>
  <c r="L4" i="35"/>
  <c r="K4" i="35"/>
  <c r="L3" i="35"/>
  <c r="K3" i="35"/>
  <c r="M3" i="35" s="1"/>
  <c r="M2" i="35"/>
  <c r="L2" i="35"/>
  <c r="K2" i="35"/>
  <c r="L2" i="34"/>
  <c r="K2" i="34"/>
  <c r="M2" i="34" s="1"/>
  <c r="L87" i="33"/>
  <c r="K87" i="33"/>
  <c r="M87" i="33" s="1"/>
  <c r="L86" i="33"/>
  <c r="K86" i="33"/>
  <c r="M86" i="33" s="1"/>
  <c r="L85" i="33"/>
  <c r="K85" i="33"/>
  <c r="M85" i="33" s="1"/>
  <c r="L84" i="33"/>
  <c r="K84" i="33"/>
  <c r="M84" i="33" s="1"/>
  <c r="L83" i="33"/>
  <c r="K83" i="33"/>
  <c r="M83" i="33" s="1"/>
  <c r="M82" i="33"/>
  <c r="L82" i="33"/>
  <c r="K82" i="33"/>
  <c r="L81" i="33"/>
  <c r="K81" i="33"/>
  <c r="M81" i="33" s="1"/>
  <c r="M80" i="33"/>
  <c r="L80" i="33"/>
  <c r="K80" i="33"/>
  <c r="M79" i="33"/>
  <c r="L79" i="33"/>
  <c r="K79" i="33"/>
  <c r="M78" i="33"/>
  <c r="L78" i="33"/>
  <c r="K78" i="33"/>
  <c r="M77" i="33"/>
  <c r="L77" i="33"/>
  <c r="K77" i="33"/>
  <c r="M76" i="33"/>
  <c r="L76" i="33"/>
  <c r="K76" i="33"/>
  <c r="M75" i="33"/>
  <c r="L75" i="33"/>
  <c r="K75" i="33"/>
  <c r="L74" i="33"/>
  <c r="K74" i="33"/>
  <c r="M74" i="33" s="1"/>
  <c r="M73" i="33"/>
  <c r="L73" i="33"/>
  <c r="K73" i="33"/>
  <c r="M72" i="33"/>
  <c r="L72" i="33"/>
  <c r="K72" i="33"/>
  <c r="L71" i="33"/>
  <c r="K71" i="33"/>
  <c r="M71" i="33" s="1"/>
  <c r="L70" i="33"/>
  <c r="K70" i="33"/>
  <c r="M70" i="33" s="1"/>
  <c r="L69" i="33"/>
  <c r="K69" i="33"/>
  <c r="M69" i="33" s="1"/>
  <c r="L68" i="33"/>
  <c r="K68" i="33"/>
  <c r="M68" i="33" s="1"/>
  <c r="L67" i="33"/>
  <c r="K67" i="33"/>
  <c r="M67" i="33" s="1"/>
  <c r="M66" i="33"/>
  <c r="L66" i="33"/>
  <c r="K66" i="33"/>
  <c r="M65" i="33"/>
  <c r="L65" i="33"/>
  <c r="K65" i="33"/>
  <c r="M64" i="33"/>
  <c r="L64" i="33"/>
  <c r="K64" i="33"/>
  <c r="M63" i="33"/>
  <c r="L63" i="33"/>
  <c r="K63" i="33"/>
  <c r="L62" i="33"/>
  <c r="K62" i="33"/>
  <c r="M62" i="33" s="1"/>
  <c r="M61" i="33"/>
  <c r="L61" i="33"/>
  <c r="K61" i="33"/>
  <c r="M60" i="33"/>
  <c r="L60" i="33"/>
  <c r="K60" i="33"/>
  <c r="M59" i="33"/>
  <c r="L59" i="33"/>
  <c r="K59" i="33"/>
  <c r="L58" i="33"/>
  <c r="K58" i="33"/>
  <c r="M58" i="33" s="1"/>
  <c r="M57" i="33"/>
  <c r="L57" i="33"/>
  <c r="K57" i="33"/>
  <c r="L56" i="33"/>
  <c r="K56" i="33"/>
  <c r="M56" i="33" s="1"/>
  <c r="L55" i="33"/>
  <c r="K55" i="33"/>
  <c r="M55" i="33" s="1"/>
  <c r="L54" i="33"/>
  <c r="K54" i="33"/>
  <c r="M54" i="33" s="1"/>
  <c r="L53" i="33"/>
  <c r="K53" i="33"/>
  <c r="M53" i="33" s="1"/>
  <c r="L52" i="33"/>
  <c r="K52" i="33"/>
  <c r="M52" i="33" s="1"/>
  <c r="L51" i="33"/>
  <c r="K51" i="33"/>
  <c r="M51" i="33" s="1"/>
  <c r="M50" i="33"/>
  <c r="L50" i="33"/>
  <c r="K50" i="33"/>
  <c r="L49" i="33"/>
  <c r="K49" i="33"/>
  <c r="M49" i="33" s="1"/>
  <c r="M48" i="33"/>
  <c r="L48" i="33"/>
  <c r="K48" i="33"/>
  <c r="M47" i="33"/>
  <c r="L47" i="33"/>
  <c r="K47" i="33"/>
  <c r="L46" i="33"/>
  <c r="K46" i="33"/>
  <c r="M46" i="33" s="1"/>
  <c r="M45" i="33"/>
  <c r="L45" i="33"/>
  <c r="K45" i="33"/>
  <c r="M44" i="33"/>
  <c r="L44" i="33"/>
  <c r="K44" i="33"/>
  <c r="M43" i="33"/>
  <c r="L43" i="33"/>
  <c r="K43" i="33"/>
  <c r="L42" i="33"/>
  <c r="K42" i="33"/>
  <c r="M42" i="33" s="1"/>
  <c r="M41" i="33"/>
  <c r="L41" i="33"/>
  <c r="K41" i="33"/>
  <c r="L40" i="33"/>
  <c r="K40" i="33"/>
  <c r="M40" i="33" s="1"/>
  <c r="L39" i="33"/>
  <c r="K39" i="33"/>
  <c r="M39" i="33" s="1"/>
  <c r="L38" i="33"/>
  <c r="K38" i="33"/>
  <c r="M38" i="33" s="1"/>
  <c r="L37" i="33"/>
  <c r="K37" i="33"/>
  <c r="M37" i="33" s="1"/>
  <c r="L36" i="33"/>
  <c r="K36" i="33"/>
  <c r="M36" i="33" s="1"/>
  <c r="L35" i="33"/>
  <c r="K35" i="33"/>
  <c r="M35" i="33" s="1"/>
  <c r="M34" i="33"/>
  <c r="L34" i="33"/>
  <c r="K34" i="33"/>
  <c r="L33" i="33"/>
  <c r="K33" i="33"/>
  <c r="M33" i="33" s="1"/>
  <c r="M32" i="33"/>
  <c r="L32" i="33"/>
  <c r="K32" i="33"/>
  <c r="M31" i="33"/>
  <c r="L31" i="33"/>
  <c r="K31" i="33"/>
  <c r="L30" i="33"/>
  <c r="K30" i="33"/>
  <c r="M30" i="33" s="1"/>
  <c r="M29" i="33"/>
  <c r="L29" i="33"/>
  <c r="K29" i="33"/>
  <c r="M28" i="33"/>
  <c r="L28" i="33"/>
  <c r="K28" i="33"/>
  <c r="M27" i="33"/>
  <c r="L27" i="33"/>
  <c r="K27" i="33"/>
  <c r="L26" i="33"/>
  <c r="K26" i="33"/>
  <c r="M26" i="33" s="1"/>
  <c r="M25" i="33"/>
  <c r="L25" i="33"/>
  <c r="K25" i="33"/>
  <c r="L24" i="33"/>
  <c r="K24" i="33"/>
  <c r="M24" i="33" s="1"/>
  <c r="L23" i="33"/>
  <c r="K23" i="33"/>
  <c r="M23" i="33" s="1"/>
  <c r="L22" i="33"/>
  <c r="K22" i="33"/>
  <c r="M22" i="33" s="1"/>
  <c r="L21" i="33"/>
  <c r="K21" i="33"/>
  <c r="M21" i="33" s="1"/>
  <c r="L20" i="33"/>
  <c r="K20" i="33"/>
  <c r="M20" i="33" s="1"/>
  <c r="L19" i="33"/>
  <c r="K19" i="33"/>
  <c r="M19" i="33" s="1"/>
  <c r="M18" i="33"/>
  <c r="L18" i="33"/>
  <c r="K18" i="33"/>
  <c r="L17" i="33"/>
  <c r="K17" i="33"/>
  <c r="M17" i="33" s="1"/>
  <c r="M16" i="33"/>
  <c r="L16" i="33"/>
  <c r="K16" i="33"/>
  <c r="M15" i="33"/>
  <c r="L15" i="33"/>
  <c r="K15" i="33"/>
  <c r="M14" i="33"/>
  <c r="L14" i="33"/>
  <c r="K14" i="33"/>
  <c r="M13" i="33"/>
  <c r="L13" i="33"/>
  <c r="K13" i="33"/>
  <c r="M12" i="33"/>
  <c r="L12" i="33"/>
  <c r="K12" i="33"/>
  <c r="M11" i="33"/>
  <c r="L11" i="33"/>
  <c r="K11" i="33"/>
  <c r="L10" i="33"/>
  <c r="K10" i="33"/>
  <c r="M10" i="33" s="1"/>
  <c r="M9" i="33"/>
  <c r="L9" i="33"/>
  <c r="K9" i="33"/>
  <c r="M8" i="33"/>
  <c r="L8" i="33"/>
  <c r="K8" i="33"/>
  <c r="L7" i="33"/>
  <c r="K7" i="33"/>
  <c r="M7" i="33" s="1"/>
  <c r="L6" i="33"/>
  <c r="K6" i="33"/>
  <c r="M6" i="33" s="1"/>
  <c r="L5" i="33"/>
  <c r="K5" i="33"/>
  <c r="M5" i="33" s="1"/>
  <c r="L4" i="33"/>
  <c r="K4" i="33"/>
  <c r="M4" i="33" s="1"/>
  <c r="L3" i="33"/>
  <c r="K3" i="33"/>
  <c r="M3" i="33" s="1"/>
  <c r="M2" i="33"/>
  <c r="L2" i="33"/>
  <c r="K2" i="33"/>
  <c r="M6" i="32"/>
  <c r="L6" i="32"/>
  <c r="K6" i="32"/>
  <c r="M5" i="32"/>
  <c r="L5" i="32"/>
  <c r="K5" i="32"/>
  <c r="M4" i="32"/>
  <c r="L4" i="32"/>
  <c r="K4" i="32"/>
  <c r="M3" i="32"/>
  <c r="L3" i="32"/>
  <c r="K3" i="32"/>
  <c r="M2" i="32"/>
  <c r="L2" i="32"/>
  <c r="K2" i="32"/>
  <c r="M94" i="31"/>
  <c r="L94" i="31"/>
  <c r="K94" i="31"/>
  <c r="M93" i="31"/>
  <c r="L93" i="31"/>
  <c r="K93" i="31"/>
  <c r="L92" i="31"/>
  <c r="K92" i="31"/>
  <c r="M92" i="31" s="1"/>
  <c r="M91" i="31"/>
  <c r="L91" i="31"/>
  <c r="K91" i="31"/>
  <c r="M90" i="31"/>
  <c r="L90" i="31"/>
  <c r="K90" i="31"/>
  <c r="L89" i="31"/>
  <c r="K89" i="31"/>
  <c r="M89" i="31" s="1"/>
  <c r="L88" i="31"/>
  <c r="K88" i="31"/>
  <c r="M88" i="31" s="1"/>
  <c r="L87" i="31"/>
  <c r="K87" i="31"/>
  <c r="M87" i="31" s="1"/>
  <c r="L86" i="31"/>
  <c r="K86" i="31"/>
  <c r="M86" i="31" s="1"/>
  <c r="L85" i="31"/>
  <c r="K85" i="31"/>
  <c r="M85" i="31" s="1"/>
  <c r="M84" i="31"/>
  <c r="L84" i="31"/>
  <c r="K84" i="31"/>
  <c r="M83" i="31"/>
  <c r="L83" i="31"/>
  <c r="K83" i="31"/>
  <c r="M82" i="31"/>
  <c r="L82" i="31"/>
  <c r="K82" i="31"/>
  <c r="M81" i="31"/>
  <c r="L81" i="31"/>
  <c r="K81" i="31"/>
  <c r="L80" i="31"/>
  <c r="K80" i="31"/>
  <c r="M80" i="31" s="1"/>
  <c r="M79" i="31"/>
  <c r="L79" i="31"/>
  <c r="K79" i="31"/>
  <c r="L78" i="31"/>
  <c r="K78" i="31"/>
  <c r="M78" i="31" s="1"/>
  <c r="M77" i="31"/>
  <c r="L77" i="31"/>
  <c r="K77" i="31"/>
  <c r="L76" i="31"/>
  <c r="K76" i="31"/>
  <c r="M76" i="31" s="1"/>
  <c r="M75" i="31"/>
  <c r="L75" i="31"/>
  <c r="K75" i="31"/>
  <c r="L74" i="31"/>
  <c r="K74" i="31"/>
  <c r="M74" i="31" s="1"/>
  <c r="L73" i="31"/>
  <c r="K73" i="31"/>
  <c r="M73" i="31" s="1"/>
  <c r="M72" i="31"/>
  <c r="L72" i="31"/>
  <c r="K72" i="31"/>
  <c r="L71" i="31"/>
  <c r="K71" i="31"/>
  <c r="M71" i="31" s="1"/>
  <c r="L70" i="31"/>
  <c r="K70" i="31"/>
  <c r="M70" i="31" s="1"/>
  <c r="L69" i="31"/>
  <c r="K69" i="31"/>
  <c r="M69" i="31" s="1"/>
  <c r="M68" i="31"/>
  <c r="L68" i="31"/>
  <c r="K68" i="31"/>
  <c r="L67" i="31"/>
  <c r="K67" i="31"/>
  <c r="M67" i="31" s="1"/>
  <c r="M66" i="31"/>
  <c r="L66" i="31"/>
  <c r="K66" i="31"/>
  <c r="M65" i="31"/>
  <c r="L65" i="31"/>
  <c r="K65" i="31"/>
  <c r="L64" i="31"/>
  <c r="K64" i="31"/>
  <c r="M64" i="31" s="1"/>
  <c r="M63" i="31"/>
  <c r="L63" i="31"/>
  <c r="K63" i="31"/>
  <c r="L62" i="31"/>
  <c r="K62" i="31"/>
  <c r="M62" i="31" s="1"/>
  <c r="M61" i="31"/>
  <c r="L61" i="31"/>
  <c r="K61" i="31"/>
  <c r="L60" i="31"/>
  <c r="K60" i="31"/>
  <c r="M60" i="31" s="1"/>
  <c r="M59" i="31"/>
  <c r="L59" i="31"/>
  <c r="K59" i="31"/>
  <c r="L58" i="31"/>
  <c r="K58" i="31"/>
  <c r="M58" i="31" s="1"/>
  <c r="L57" i="31"/>
  <c r="K57" i="31"/>
  <c r="M57" i="31" s="1"/>
  <c r="M56" i="31"/>
  <c r="L56" i="31"/>
  <c r="K56" i="31"/>
  <c r="L55" i="31"/>
  <c r="K55" i="31"/>
  <c r="M55" i="31" s="1"/>
  <c r="L54" i="31"/>
  <c r="K54" i="31"/>
  <c r="M54" i="31" s="1"/>
  <c r="L53" i="31"/>
  <c r="K53" i="31"/>
  <c r="M53" i="31" s="1"/>
  <c r="M52" i="31"/>
  <c r="L52" i="31"/>
  <c r="K52" i="31"/>
  <c r="L51" i="31"/>
  <c r="K51" i="31"/>
  <c r="M51" i="31" s="1"/>
  <c r="M50" i="31"/>
  <c r="L50" i="31"/>
  <c r="K50" i="31"/>
  <c r="M49" i="31"/>
  <c r="L49" i="31"/>
  <c r="K49" i="31"/>
  <c r="M48" i="31"/>
  <c r="L48" i="31"/>
  <c r="K48" i="31"/>
  <c r="M47" i="31"/>
  <c r="L47" i="31"/>
  <c r="K47" i="31"/>
  <c r="L46" i="31"/>
  <c r="K46" i="31"/>
  <c r="M46" i="31" s="1"/>
  <c r="M45" i="31"/>
  <c r="L45" i="31"/>
  <c r="K45" i="31"/>
  <c r="L44" i="31"/>
  <c r="K44" i="31"/>
  <c r="M44" i="31" s="1"/>
  <c r="M43" i="31"/>
  <c r="L43" i="31"/>
  <c r="K43" i="31"/>
  <c r="M42" i="31"/>
  <c r="L42" i="31"/>
  <c r="K42" i="31"/>
  <c r="L41" i="31"/>
  <c r="K41" i="31"/>
  <c r="M41" i="31" s="1"/>
  <c r="M40" i="31"/>
  <c r="L40" i="31"/>
  <c r="K40" i="31"/>
  <c r="L39" i="31"/>
  <c r="K39" i="31"/>
  <c r="M39" i="31" s="1"/>
  <c r="L38" i="31"/>
  <c r="K38" i="31"/>
  <c r="M38" i="31" s="1"/>
  <c r="L37" i="31"/>
  <c r="K37" i="31"/>
  <c r="M37" i="31" s="1"/>
  <c r="M36" i="31"/>
  <c r="L36" i="31"/>
  <c r="K36" i="31"/>
  <c r="M35" i="31"/>
  <c r="L35" i="31"/>
  <c r="K35" i="31"/>
  <c r="M34" i="31"/>
  <c r="L34" i="31"/>
  <c r="K34" i="31"/>
  <c r="M33" i="31"/>
  <c r="L33" i="31"/>
  <c r="K33" i="31"/>
  <c r="L32" i="31"/>
  <c r="K32" i="31"/>
  <c r="M32" i="31" s="1"/>
  <c r="M31" i="31"/>
  <c r="L31" i="31"/>
  <c r="K31" i="31"/>
  <c r="L30" i="31"/>
  <c r="K30" i="31"/>
  <c r="M30" i="31" s="1"/>
  <c r="M29" i="31"/>
  <c r="L29" i="31"/>
  <c r="K29" i="31"/>
  <c r="L28" i="31"/>
  <c r="K28" i="31"/>
  <c r="M28" i="31" s="1"/>
  <c r="M27" i="31"/>
  <c r="L27" i="31"/>
  <c r="K27" i="31"/>
  <c r="L26" i="31"/>
  <c r="K26" i="31"/>
  <c r="M26" i="31" s="1"/>
  <c r="L25" i="31"/>
  <c r="K25" i="31"/>
  <c r="M25" i="31" s="1"/>
  <c r="M24" i="31"/>
  <c r="L24" i="31"/>
  <c r="K24" i="31"/>
  <c r="L23" i="31"/>
  <c r="K23" i="31"/>
  <c r="M23" i="31" s="1"/>
  <c r="L22" i="31"/>
  <c r="K22" i="31"/>
  <c r="M22" i="31" s="1"/>
  <c r="L21" i="31"/>
  <c r="K21" i="31"/>
  <c r="M21" i="31" s="1"/>
  <c r="M20" i="31"/>
  <c r="L20" i="31"/>
  <c r="K20" i="31"/>
  <c r="L19" i="31"/>
  <c r="K19" i="31"/>
  <c r="M19" i="31" s="1"/>
  <c r="M18" i="31"/>
  <c r="L18" i="31"/>
  <c r="K18" i="31"/>
  <c r="M17" i="31"/>
  <c r="L17" i="31"/>
  <c r="K17" i="31"/>
  <c r="L16" i="31"/>
  <c r="K16" i="31"/>
  <c r="M16" i="31" s="1"/>
  <c r="M15" i="31"/>
  <c r="L15" i="31"/>
  <c r="K15" i="31"/>
  <c r="L14" i="31"/>
  <c r="K14" i="31"/>
  <c r="M14" i="31" s="1"/>
  <c r="M13" i="31"/>
  <c r="L13" i="31"/>
  <c r="K13" i="31"/>
  <c r="L12" i="31"/>
  <c r="K12" i="31"/>
  <c r="M12" i="31" s="1"/>
  <c r="M11" i="31"/>
  <c r="L11" i="31"/>
  <c r="K11" i="31"/>
  <c r="L10" i="31"/>
  <c r="K10" i="31"/>
  <c r="M10" i="31" s="1"/>
  <c r="L9" i="31"/>
  <c r="K9" i="31"/>
  <c r="M9" i="31" s="1"/>
  <c r="M8" i="31"/>
  <c r="L8" i="31"/>
  <c r="K8" i="31"/>
  <c r="L7" i="31"/>
  <c r="K7" i="31"/>
  <c r="M7" i="31" s="1"/>
  <c r="L6" i="31"/>
  <c r="K6" i="31"/>
  <c r="M6" i="31" s="1"/>
  <c r="L5" i="31"/>
  <c r="K5" i="31"/>
  <c r="M5" i="31" s="1"/>
  <c r="M4" i="31"/>
  <c r="L4" i="31"/>
  <c r="K4" i="31"/>
  <c r="L3" i="31"/>
  <c r="K3" i="31"/>
  <c r="M3" i="31" s="1"/>
  <c r="M2" i="31"/>
  <c r="L2" i="31"/>
  <c r="K2" i="31"/>
  <c r="M2" i="30"/>
  <c r="L2" i="30"/>
  <c r="K2" i="30"/>
  <c r="L2" i="29"/>
  <c r="K2" i="29"/>
  <c r="M2" i="29" s="1"/>
  <c r="M11" i="28"/>
  <c r="L11" i="28"/>
  <c r="K11" i="28"/>
  <c r="L10" i="28"/>
  <c r="K10" i="28"/>
  <c r="M10" i="28" s="1"/>
  <c r="M9" i="28"/>
  <c r="L9" i="28"/>
  <c r="K9" i="28"/>
  <c r="L8" i="28"/>
  <c r="K8" i="28"/>
  <c r="M8" i="28" s="1"/>
  <c r="M7" i="28"/>
  <c r="L7" i="28"/>
  <c r="K7" i="28"/>
  <c r="L6" i="28"/>
  <c r="K6" i="28"/>
  <c r="M6" i="28" s="1"/>
  <c r="L5" i="28"/>
  <c r="K5" i="28"/>
  <c r="M5" i="28" s="1"/>
  <c r="M4" i="28"/>
  <c r="L4" i="28"/>
  <c r="K4" i="28"/>
  <c r="L3" i="28"/>
  <c r="K3" i="28"/>
  <c r="M3" i="28" s="1"/>
  <c r="L2" i="28"/>
  <c r="K2" i="28"/>
  <c r="M2" i="28" s="1"/>
  <c r="L33" i="27"/>
  <c r="K33" i="27"/>
  <c r="M33" i="27" s="1"/>
  <c r="M32" i="27"/>
  <c r="L32" i="27"/>
  <c r="K32" i="27"/>
  <c r="L31" i="27"/>
  <c r="K31" i="27"/>
  <c r="M31" i="27" s="1"/>
  <c r="M30" i="27"/>
  <c r="L30" i="27"/>
  <c r="K30" i="27"/>
  <c r="M29" i="27"/>
  <c r="L29" i="27"/>
  <c r="K29" i="27"/>
  <c r="M28" i="27"/>
  <c r="L28" i="27"/>
  <c r="K28" i="27"/>
  <c r="M27" i="27"/>
  <c r="L27" i="27"/>
  <c r="K27" i="27"/>
  <c r="L26" i="27"/>
  <c r="K26" i="27"/>
  <c r="M26" i="27" s="1"/>
  <c r="M25" i="27"/>
  <c r="L25" i="27"/>
  <c r="K25" i="27"/>
  <c r="L24" i="27"/>
  <c r="K24" i="27"/>
  <c r="M24" i="27" s="1"/>
  <c r="M23" i="27"/>
  <c r="L23" i="27"/>
  <c r="K23" i="27"/>
  <c r="M22" i="27"/>
  <c r="L22" i="27"/>
  <c r="K22" i="27"/>
  <c r="L21" i="27"/>
  <c r="K21" i="27"/>
  <c r="M21" i="27" s="1"/>
  <c r="M20" i="27"/>
  <c r="L20" i="27"/>
  <c r="K20" i="27"/>
  <c r="L19" i="27"/>
  <c r="K19" i="27"/>
  <c r="M19" i="27" s="1"/>
  <c r="L18" i="27"/>
  <c r="K18" i="27"/>
  <c r="M18" i="27" s="1"/>
  <c r="L17" i="27"/>
  <c r="K17" i="27"/>
  <c r="M17" i="27" s="1"/>
  <c r="M16" i="27"/>
  <c r="L16" i="27"/>
  <c r="K16" i="27"/>
  <c r="M15" i="27"/>
  <c r="L15" i="27"/>
  <c r="K15" i="27"/>
  <c r="M14" i="27"/>
  <c r="L14" i="27"/>
  <c r="K14" i="27"/>
  <c r="M13" i="27"/>
  <c r="L13" i="27"/>
  <c r="K13" i="27"/>
  <c r="M12" i="27"/>
  <c r="L12" i="27"/>
  <c r="K12" i="27"/>
  <c r="M11" i="27"/>
  <c r="L11" i="27"/>
  <c r="K11" i="27"/>
  <c r="L10" i="27"/>
  <c r="K10" i="27"/>
  <c r="M10" i="27" s="1"/>
  <c r="M9" i="27"/>
  <c r="L9" i="27"/>
  <c r="K9" i="27"/>
  <c r="L8" i="27"/>
  <c r="K8" i="27"/>
  <c r="M8" i="27" s="1"/>
  <c r="M7" i="27"/>
  <c r="L7" i="27"/>
  <c r="K7" i="27"/>
  <c r="M6" i="27"/>
  <c r="L6" i="27"/>
  <c r="K6" i="27"/>
  <c r="L5" i="27"/>
  <c r="K5" i="27"/>
  <c r="M5" i="27" s="1"/>
  <c r="M4" i="27"/>
  <c r="L4" i="27"/>
  <c r="K4" i="27"/>
  <c r="L3" i="27"/>
  <c r="K3" i="27"/>
  <c r="M3" i="27" s="1"/>
  <c r="L2" i="27"/>
  <c r="K2" i="27"/>
  <c r="M2" i="27" s="1"/>
  <c r="L22" i="26"/>
  <c r="K22" i="26"/>
  <c r="M22" i="26" s="1"/>
  <c r="L21" i="26"/>
  <c r="K21" i="26"/>
  <c r="M21" i="26" s="1"/>
  <c r="L20" i="26"/>
  <c r="K20" i="26"/>
  <c r="M20" i="26" s="1"/>
  <c r="L19" i="26"/>
  <c r="K19" i="26"/>
  <c r="M19" i="26" s="1"/>
  <c r="L18" i="26"/>
  <c r="K18" i="26"/>
  <c r="M18" i="26" s="1"/>
  <c r="L17" i="26"/>
  <c r="K17" i="26"/>
  <c r="M17" i="26" s="1"/>
  <c r="L16" i="26"/>
  <c r="K16" i="26"/>
  <c r="M16" i="26" s="1"/>
  <c r="L15" i="26"/>
  <c r="K15" i="26"/>
  <c r="M15" i="26" s="1"/>
  <c r="L14" i="26"/>
  <c r="K14" i="26"/>
  <c r="M14" i="26" s="1"/>
  <c r="L13" i="26"/>
  <c r="K13" i="26"/>
  <c r="M13" i="26" s="1"/>
  <c r="L12" i="26"/>
  <c r="K12" i="26"/>
  <c r="M12" i="26" s="1"/>
  <c r="L11" i="26"/>
  <c r="K11" i="26"/>
  <c r="M11" i="26" s="1"/>
  <c r="L10" i="26"/>
  <c r="K10" i="26"/>
  <c r="M10" i="26" s="1"/>
  <c r="L9" i="26"/>
  <c r="K9" i="26"/>
  <c r="M9" i="26" s="1"/>
  <c r="L8" i="26"/>
  <c r="K8" i="26"/>
  <c r="M8" i="26" s="1"/>
  <c r="L7" i="26"/>
  <c r="K7" i="26"/>
  <c r="M7" i="26" s="1"/>
  <c r="L6" i="26"/>
  <c r="K6" i="26"/>
  <c r="M6" i="26" s="1"/>
  <c r="L5" i="26"/>
  <c r="K5" i="26"/>
  <c r="M5" i="26" s="1"/>
  <c r="L4" i="26"/>
  <c r="K4" i="26"/>
  <c r="M4" i="26" s="1"/>
  <c r="L3" i="26"/>
  <c r="K3" i="26"/>
  <c r="M3" i="26" s="1"/>
  <c r="L2" i="26"/>
  <c r="K2" i="26"/>
  <c r="M2" i="26" s="1"/>
  <c r="L4" i="25"/>
  <c r="K4" i="25"/>
  <c r="M4" i="25" s="1"/>
  <c r="M3" i="25"/>
  <c r="L3" i="25"/>
  <c r="K3" i="25"/>
  <c r="L2" i="25"/>
  <c r="K2" i="25"/>
  <c r="M2" i="25" s="1"/>
  <c r="M16" i="24"/>
  <c r="L16" i="24"/>
  <c r="K16" i="24"/>
  <c r="L15" i="24"/>
  <c r="K15" i="24"/>
  <c r="M15" i="24" s="1"/>
  <c r="M14" i="24"/>
  <c r="L14" i="24"/>
  <c r="K14" i="24"/>
  <c r="L13" i="24"/>
  <c r="K13" i="24"/>
  <c r="M13" i="24" s="1"/>
  <c r="L12" i="24"/>
  <c r="K12" i="24"/>
  <c r="M12" i="24" s="1"/>
  <c r="M11" i="24"/>
  <c r="L11" i="24"/>
  <c r="K11" i="24"/>
  <c r="L10" i="24"/>
  <c r="K10" i="24"/>
  <c r="M10" i="24" s="1"/>
  <c r="L9" i="24"/>
  <c r="K9" i="24"/>
  <c r="M9" i="24" s="1"/>
  <c r="L8" i="24"/>
  <c r="K8" i="24"/>
  <c r="M8" i="24" s="1"/>
  <c r="M7" i="24"/>
  <c r="L7" i="24"/>
  <c r="K7" i="24"/>
  <c r="L6" i="24"/>
  <c r="K6" i="24"/>
  <c r="M6" i="24" s="1"/>
  <c r="M5" i="24"/>
  <c r="L5" i="24"/>
  <c r="K5" i="24"/>
  <c r="M4" i="24"/>
  <c r="L4" i="24"/>
  <c r="K4" i="24"/>
  <c r="M3" i="24"/>
  <c r="L3" i="24"/>
  <c r="K3" i="24"/>
  <c r="M2" i="24"/>
  <c r="L2" i="24"/>
  <c r="K2" i="24"/>
  <c r="L3" i="23"/>
  <c r="K3" i="23"/>
  <c r="M3" i="23" s="1"/>
  <c r="M2" i="23"/>
  <c r="L2" i="23"/>
  <c r="K2" i="23"/>
  <c r="L46" i="22"/>
  <c r="K46" i="22"/>
  <c r="M46" i="22" s="1"/>
  <c r="M45" i="22"/>
  <c r="L45" i="22"/>
  <c r="K45" i="22"/>
  <c r="M44" i="22"/>
  <c r="L44" i="22"/>
  <c r="K44" i="22"/>
  <c r="L43" i="22"/>
  <c r="K43" i="22"/>
  <c r="M43" i="22" s="1"/>
  <c r="M42" i="22"/>
  <c r="L42" i="22"/>
  <c r="K42" i="22"/>
  <c r="L41" i="22"/>
  <c r="K41" i="22"/>
  <c r="M41" i="22" s="1"/>
  <c r="L40" i="22"/>
  <c r="K40" i="22"/>
  <c r="M40" i="22" s="1"/>
  <c r="L39" i="22"/>
  <c r="K39" i="22"/>
  <c r="M39" i="22" s="1"/>
  <c r="M38" i="22"/>
  <c r="L38" i="22"/>
  <c r="K38" i="22"/>
  <c r="M37" i="22"/>
  <c r="L37" i="22"/>
  <c r="K37" i="22"/>
  <c r="M36" i="22"/>
  <c r="L36" i="22"/>
  <c r="K36" i="22"/>
  <c r="M35" i="22"/>
  <c r="L35" i="22"/>
  <c r="K35" i="22"/>
  <c r="L34" i="22"/>
  <c r="K34" i="22"/>
  <c r="M34" i="22" s="1"/>
  <c r="M33" i="22"/>
  <c r="L33" i="22"/>
  <c r="K33" i="22"/>
  <c r="L32" i="22"/>
  <c r="K32" i="22"/>
  <c r="M32" i="22" s="1"/>
  <c r="M31" i="22"/>
  <c r="L31" i="22"/>
  <c r="K31" i="22"/>
  <c r="L30" i="22"/>
  <c r="K30" i="22"/>
  <c r="M30" i="22" s="1"/>
  <c r="M29" i="22"/>
  <c r="L29" i="22"/>
  <c r="K29" i="22"/>
  <c r="L28" i="22"/>
  <c r="K28" i="22"/>
  <c r="M28" i="22" s="1"/>
  <c r="L27" i="22"/>
  <c r="K27" i="22"/>
  <c r="M27" i="22" s="1"/>
  <c r="M26" i="22"/>
  <c r="L26" i="22"/>
  <c r="K26" i="22"/>
  <c r="L25" i="22"/>
  <c r="K25" i="22"/>
  <c r="M25" i="22" s="1"/>
  <c r="L24" i="22"/>
  <c r="K24" i="22"/>
  <c r="M24" i="22" s="1"/>
  <c r="L23" i="22"/>
  <c r="K23" i="22"/>
  <c r="M23" i="22" s="1"/>
  <c r="M22" i="22"/>
  <c r="L22" i="22"/>
  <c r="K22" i="22"/>
  <c r="L21" i="22"/>
  <c r="K21" i="22"/>
  <c r="M21" i="22" s="1"/>
  <c r="M20" i="22"/>
  <c r="L20" i="22"/>
  <c r="K20" i="22"/>
  <c r="M19" i="22"/>
  <c r="L19" i="22"/>
  <c r="K19" i="22"/>
  <c r="L18" i="22"/>
  <c r="K18" i="22"/>
  <c r="M18" i="22" s="1"/>
  <c r="M17" i="22"/>
  <c r="L17" i="22"/>
  <c r="K17" i="22"/>
  <c r="L16" i="22"/>
  <c r="K16" i="22"/>
  <c r="M16" i="22" s="1"/>
  <c r="M15" i="22"/>
  <c r="L15" i="22"/>
  <c r="K15" i="22"/>
  <c r="L14" i="22"/>
  <c r="K14" i="22"/>
  <c r="M14" i="22" s="1"/>
  <c r="M13" i="22"/>
  <c r="L13" i="22"/>
  <c r="K13" i="22"/>
  <c r="L12" i="22"/>
  <c r="K12" i="22"/>
  <c r="M12" i="22" s="1"/>
  <c r="L11" i="22"/>
  <c r="K11" i="22"/>
  <c r="M11" i="22" s="1"/>
  <c r="M10" i="22"/>
  <c r="L10" i="22"/>
  <c r="K10" i="22"/>
  <c r="L9" i="22"/>
  <c r="K9" i="22"/>
  <c r="M9" i="22" s="1"/>
  <c r="L8" i="22"/>
  <c r="K8" i="22"/>
  <c r="M8" i="22" s="1"/>
  <c r="L7" i="22"/>
  <c r="K7" i="22"/>
  <c r="M7" i="22" s="1"/>
  <c r="M6" i="22"/>
  <c r="L6" i="22"/>
  <c r="K6" i="22"/>
  <c r="L5" i="22"/>
  <c r="K5" i="22"/>
  <c r="M5" i="22" s="1"/>
  <c r="M4" i="22"/>
  <c r="L4" i="22"/>
  <c r="K4" i="22"/>
  <c r="M3" i="22"/>
  <c r="L3" i="22"/>
  <c r="K3" i="22"/>
  <c r="L2" i="22"/>
  <c r="K2" i="22"/>
  <c r="M2" i="22" s="1"/>
  <c r="M16" i="21"/>
  <c r="L16" i="21"/>
  <c r="K16" i="21"/>
  <c r="L15" i="21"/>
  <c r="K15" i="21"/>
  <c r="M15" i="21" s="1"/>
  <c r="M14" i="21"/>
  <c r="L14" i="21"/>
  <c r="K14" i="21"/>
  <c r="L13" i="21"/>
  <c r="K13" i="21"/>
  <c r="M13" i="21" s="1"/>
  <c r="M12" i="21"/>
  <c r="L12" i="21"/>
  <c r="K12" i="21"/>
  <c r="L11" i="21"/>
  <c r="K11" i="21"/>
  <c r="M11" i="21" s="1"/>
  <c r="L10" i="21"/>
  <c r="K10" i="21"/>
  <c r="M10" i="21" s="1"/>
  <c r="M9" i="21"/>
  <c r="L9" i="21"/>
  <c r="K9" i="21"/>
  <c r="L8" i="21"/>
  <c r="K8" i="21"/>
  <c r="M8" i="21" s="1"/>
  <c r="L7" i="21"/>
  <c r="K7" i="21"/>
  <c r="M7" i="21" s="1"/>
  <c r="L6" i="21"/>
  <c r="K6" i="21"/>
  <c r="M6" i="21" s="1"/>
  <c r="M5" i="21"/>
  <c r="L5" i="21"/>
  <c r="K5" i="21"/>
  <c r="L4" i="21"/>
  <c r="K4" i="21"/>
  <c r="M4" i="21" s="1"/>
  <c r="M3" i="21"/>
  <c r="L3" i="21"/>
  <c r="K3" i="21"/>
  <c r="M2" i="21"/>
  <c r="L2" i="21"/>
  <c r="K2" i="21"/>
  <c r="M41" i="20"/>
  <c r="L41" i="20"/>
  <c r="K41" i="20"/>
  <c r="M40" i="20"/>
  <c r="L40" i="20"/>
  <c r="K40" i="20"/>
  <c r="L39" i="20"/>
  <c r="K39" i="20"/>
  <c r="M39" i="20" s="1"/>
  <c r="M38" i="20"/>
  <c r="L38" i="20"/>
  <c r="K38" i="20"/>
  <c r="L37" i="20"/>
  <c r="K37" i="20"/>
  <c r="M37" i="20" s="1"/>
  <c r="M36" i="20"/>
  <c r="L36" i="20"/>
  <c r="K36" i="20"/>
  <c r="M35" i="20"/>
  <c r="L35" i="20"/>
  <c r="K35" i="20"/>
  <c r="L34" i="20"/>
  <c r="K34" i="20"/>
  <c r="M34" i="20" s="1"/>
  <c r="M33" i="20"/>
  <c r="L33" i="20"/>
  <c r="K33" i="20"/>
  <c r="L32" i="20"/>
  <c r="K32" i="20"/>
  <c r="M32" i="20" s="1"/>
  <c r="L31" i="20"/>
  <c r="K31" i="20"/>
  <c r="M31" i="20" s="1"/>
  <c r="L30" i="20"/>
  <c r="K30" i="20"/>
  <c r="M30" i="20" s="1"/>
  <c r="M29" i="20"/>
  <c r="L29" i="20"/>
  <c r="K29" i="20"/>
  <c r="M28" i="20"/>
  <c r="L28" i="20"/>
  <c r="K28" i="20"/>
  <c r="M27" i="20"/>
  <c r="L27" i="20"/>
  <c r="K27" i="20"/>
  <c r="M26" i="20"/>
  <c r="L26" i="20"/>
  <c r="K26" i="20"/>
  <c r="M25" i="20"/>
  <c r="L25" i="20"/>
  <c r="K25" i="20"/>
  <c r="M24" i="20"/>
  <c r="L24" i="20"/>
  <c r="K24" i="20"/>
  <c r="L23" i="20"/>
  <c r="K23" i="20"/>
  <c r="M23" i="20" s="1"/>
  <c r="M22" i="20"/>
  <c r="L22" i="20"/>
  <c r="K22" i="20"/>
  <c r="L21" i="20"/>
  <c r="K21" i="20"/>
  <c r="M21" i="20" s="1"/>
  <c r="M20" i="20"/>
  <c r="L20" i="20"/>
  <c r="K20" i="20"/>
  <c r="L19" i="20"/>
  <c r="K19" i="20"/>
  <c r="M19" i="20" s="1"/>
  <c r="L18" i="20"/>
  <c r="K18" i="20"/>
  <c r="M18" i="20" s="1"/>
  <c r="M17" i="20"/>
  <c r="L17" i="20"/>
  <c r="K17" i="20"/>
  <c r="L16" i="20"/>
  <c r="K16" i="20"/>
  <c r="M16" i="20" s="1"/>
  <c r="L15" i="20"/>
  <c r="K15" i="20"/>
  <c r="M15" i="20" s="1"/>
  <c r="L14" i="20"/>
  <c r="K14" i="20"/>
  <c r="M14" i="20" s="1"/>
  <c r="M13" i="20"/>
  <c r="L13" i="20"/>
  <c r="K13" i="20"/>
  <c r="M12" i="20"/>
  <c r="L12" i="20"/>
  <c r="K12" i="20"/>
  <c r="M11" i="20"/>
  <c r="L11" i="20"/>
  <c r="K11" i="20"/>
  <c r="M10" i="20"/>
  <c r="L10" i="20"/>
  <c r="K10" i="20"/>
  <c r="L9" i="20"/>
  <c r="K9" i="20"/>
  <c r="M9" i="20" s="1"/>
  <c r="M8" i="20"/>
  <c r="L8" i="20"/>
  <c r="K8" i="20"/>
  <c r="L7" i="20"/>
  <c r="K7" i="20"/>
  <c r="M7" i="20" s="1"/>
  <c r="M6" i="20"/>
  <c r="L6" i="20"/>
  <c r="K6" i="20"/>
  <c r="L5" i="20"/>
  <c r="K5" i="20"/>
  <c r="M5" i="20" s="1"/>
  <c r="M4" i="20"/>
  <c r="L4" i="20"/>
  <c r="K4" i="20"/>
  <c r="L3" i="20"/>
  <c r="K3" i="20"/>
  <c r="M3" i="20" s="1"/>
  <c r="L2" i="20"/>
  <c r="K2" i="20"/>
  <c r="M2" i="20" s="1"/>
  <c r="L2" i="19"/>
  <c r="K2" i="19"/>
  <c r="M2" i="19" s="1"/>
  <c r="L26" i="18"/>
  <c r="K26" i="18"/>
  <c r="M26" i="18" s="1"/>
  <c r="L25" i="18"/>
  <c r="K25" i="18"/>
  <c r="M25" i="18" s="1"/>
  <c r="L24" i="18"/>
  <c r="K24" i="18"/>
  <c r="M24" i="18" s="1"/>
  <c r="M23" i="18"/>
  <c r="L23" i="18"/>
  <c r="K23" i="18"/>
  <c r="L22" i="18"/>
  <c r="K22" i="18"/>
  <c r="M22" i="18" s="1"/>
  <c r="M21" i="18"/>
  <c r="L21" i="18"/>
  <c r="K21" i="18"/>
  <c r="M20" i="18"/>
  <c r="L20" i="18"/>
  <c r="K20" i="18"/>
  <c r="L19" i="18"/>
  <c r="K19" i="18"/>
  <c r="M19" i="18" s="1"/>
  <c r="M18" i="18"/>
  <c r="L18" i="18"/>
  <c r="K18" i="18"/>
  <c r="L17" i="18"/>
  <c r="K17" i="18"/>
  <c r="M17" i="18" s="1"/>
  <c r="M16" i="18"/>
  <c r="L16" i="18"/>
  <c r="K16" i="18"/>
  <c r="L15" i="18"/>
  <c r="K15" i="18"/>
  <c r="M15" i="18" s="1"/>
  <c r="M14" i="18"/>
  <c r="L14" i="18"/>
  <c r="K14" i="18"/>
  <c r="L13" i="18"/>
  <c r="K13" i="18"/>
  <c r="M13" i="18" s="1"/>
  <c r="L12" i="18"/>
  <c r="K12" i="18"/>
  <c r="M12" i="18" s="1"/>
  <c r="M11" i="18"/>
  <c r="L11" i="18"/>
  <c r="K11" i="18"/>
  <c r="L10" i="18"/>
  <c r="K10" i="18"/>
  <c r="M10" i="18" s="1"/>
  <c r="L9" i="18"/>
  <c r="K9" i="18"/>
  <c r="M9" i="18" s="1"/>
  <c r="L8" i="18"/>
  <c r="K8" i="18"/>
  <c r="M8" i="18" s="1"/>
  <c r="M7" i="18"/>
  <c r="L7" i="18"/>
  <c r="K7" i="18"/>
  <c r="L6" i="18"/>
  <c r="K6" i="18"/>
  <c r="M6" i="18" s="1"/>
  <c r="M5" i="18"/>
  <c r="L5" i="18"/>
  <c r="K5" i="18"/>
  <c r="M4" i="18"/>
  <c r="L4" i="18"/>
  <c r="K4" i="18"/>
  <c r="L3" i="18"/>
  <c r="K3" i="18"/>
  <c r="M3" i="18" s="1"/>
  <c r="M2" i="18"/>
  <c r="L2" i="18"/>
  <c r="K2" i="18"/>
  <c r="L3" i="17"/>
  <c r="K3" i="17"/>
  <c r="M3" i="17" s="1"/>
  <c r="M2" i="17"/>
  <c r="L2" i="17"/>
  <c r="K2" i="17"/>
  <c r="L318" i="16"/>
  <c r="K318" i="16"/>
  <c r="M318" i="16" s="1"/>
  <c r="M317" i="16"/>
  <c r="L317" i="16"/>
  <c r="K317" i="16"/>
  <c r="L316" i="16"/>
  <c r="K316" i="16"/>
  <c r="M316" i="16" s="1"/>
  <c r="L315" i="16"/>
  <c r="K315" i="16"/>
  <c r="M315" i="16" s="1"/>
  <c r="M314" i="16"/>
  <c r="L314" i="16"/>
  <c r="K314" i="16"/>
  <c r="L313" i="16"/>
  <c r="K313" i="16"/>
  <c r="M313" i="16" s="1"/>
  <c r="L312" i="16"/>
  <c r="K312" i="16"/>
  <c r="M312" i="16" s="1"/>
  <c r="L311" i="16"/>
  <c r="K311" i="16"/>
  <c r="M311" i="16" s="1"/>
  <c r="M310" i="16"/>
  <c r="L310" i="16"/>
  <c r="K310" i="16"/>
  <c r="M309" i="16"/>
  <c r="L309" i="16"/>
  <c r="K309" i="16"/>
  <c r="M308" i="16"/>
  <c r="L308" i="16"/>
  <c r="K308" i="16"/>
  <c r="M307" i="16"/>
  <c r="L307" i="16"/>
  <c r="K307" i="16"/>
  <c r="M306" i="16"/>
  <c r="L306" i="16"/>
  <c r="K306" i="16"/>
  <c r="M305" i="16"/>
  <c r="L305" i="16"/>
  <c r="K305" i="16"/>
  <c r="L304" i="16"/>
  <c r="K304" i="16"/>
  <c r="M304" i="16" s="1"/>
  <c r="M303" i="16"/>
  <c r="L303" i="16"/>
  <c r="K303" i="16"/>
  <c r="L302" i="16"/>
  <c r="K302" i="16"/>
  <c r="M302" i="16" s="1"/>
  <c r="M301" i="16"/>
  <c r="L301" i="16"/>
  <c r="K301" i="16"/>
  <c r="M300" i="16"/>
  <c r="L300" i="16"/>
  <c r="K300" i="16"/>
  <c r="L299" i="16"/>
  <c r="K299" i="16"/>
  <c r="M299" i="16" s="1"/>
  <c r="M298" i="16"/>
  <c r="L298" i="16"/>
  <c r="K298" i="16"/>
  <c r="L297" i="16"/>
  <c r="K297" i="16"/>
  <c r="M297" i="16" s="1"/>
  <c r="L296" i="16"/>
  <c r="K296" i="16"/>
  <c r="M296" i="16" s="1"/>
  <c r="L295" i="16"/>
  <c r="K295" i="16"/>
  <c r="M295" i="16" s="1"/>
  <c r="M294" i="16"/>
  <c r="L294" i="16"/>
  <c r="K294" i="16"/>
  <c r="L293" i="16"/>
  <c r="K293" i="16"/>
  <c r="M293" i="16" s="1"/>
  <c r="M292" i="16"/>
  <c r="L292" i="16"/>
  <c r="K292" i="16"/>
  <c r="M291" i="16"/>
  <c r="L291" i="16"/>
  <c r="K291" i="16"/>
  <c r="M290" i="16"/>
  <c r="L290" i="16"/>
  <c r="K290" i="16"/>
  <c r="M289" i="16"/>
  <c r="L289" i="16"/>
  <c r="K289" i="16"/>
  <c r="L288" i="16"/>
  <c r="K288" i="16"/>
  <c r="M288" i="16" s="1"/>
  <c r="M287" i="16"/>
  <c r="L287" i="16"/>
  <c r="K287" i="16"/>
  <c r="L286" i="16"/>
  <c r="K286" i="16"/>
  <c r="M286" i="16" s="1"/>
  <c r="M285" i="16"/>
  <c r="L285" i="16"/>
  <c r="K285" i="16"/>
  <c r="M284" i="16"/>
  <c r="L284" i="16"/>
  <c r="K284" i="16"/>
  <c r="L283" i="16"/>
  <c r="K283" i="16"/>
  <c r="M283" i="16" s="1"/>
  <c r="L282" i="16"/>
  <c r="K282" i="16"/>
  <c r="M282" i="16" s="1"/>
  <c r="L281" i="16"/>
  <c r="K281" i="16"/>
  <c r="M281" i="16" s="1"/>
  <c r="L280" i="16"/>
  <c r="K280" i="16"/>
  <c r="M280" i="16" s="1"/>
  <c r="L279" i="16"/>
  <c r="K279" i="16"/>
  <c r="M279" i="16" s="1"/>
  <c r="M278" i="16"/>
  <c r="L278" i="16"/>
  <c r="K278" i="16"/>
  <c r="M277" i="16"/>
  <c r="L277" i="16"/>
  <c r="K277" i="16"/>
  <c r="M276" i="16"/>
  <c r="L276" i="16"/>
  <c r="K276" i="16"/>
  <c r="M275" i="16"/>
  <c r="L275" i="16"/>
  <c r="K275" i="16"/>
  <c r="L274" i="16"/>
  <c r="K274" i="16"/>
  <c r="M274" i="16" s="1"/>
  <c r="M273" i="16"/>
  <c r="L273" i="16"/>
  <c r="K273" i="16"/>
  <c r="L272" i="16"/>
  <c r="K272" i="16"/>
  <c r="M272" i="16" s="1"/>
  <c r="M271" i="16"/>
  <c r="L271" i="16"/>
  <c r="K271" i="16"/>
  <c r="L270" i="16"/>
  <c r="K270" i="16"/>
  <c r="M270" i="16" s="1"/>
  <c r="L269" i="16"/>
  <c r="K269" i="16"/>
  <c r="M269" i="16" s="1"/>
  <c r="L268" i="16"/>
  <c r="K268" i="16"/>
  <c r="M268" i="16" s="1"/>
  <c r="L267" i="16"/>
  <c r="K267" i="16"/>
  <c r="M267" i="16" s="1"/>
  <c r="L266" i="16"/>
  <c r="K266" i="16"/>
  <c r="M266" i="16" s="1"/>
  <c r="L265" i="16"/>
  <c r="K265" i="16"/>
  <c r="M265" i="16" s="1"/>
  <c r="L264" i="16"/>
  <c r="K264" i="16"/>
  <c r="M264" i="16" s="1"/>
  <c r="L263" i="16"/>
  <c r="K263" i="16"/>
  <c r="M263" i="16" s="1"/>
  <c r="M262" i="16"/>
  <c r="L262" i="16"/>
  <c r="K262" i="16"/>
  <c r="L261" i="16"/>
  <c r="K261" i="16"/>
  <c r="M261" i="16" s="1"/>
  <c r="M260" i="16"/>
  <c r="L260" i="16"/>
  <c r="K260" i="16"/>
  <c r="M259" i="16"/>
  <c r="L259" i="16"/>
  <c r="K259" i="16"/>
  <c r="L258" i="16"/>
  <c r="K258" i="16"/>
  <c r="M258" i="16" s="1"/>
  <c r="M257" i="16"/>
  <c r="L257" i="16"/>
  <c r="K257" i="16"/>
  <c r="L256" i="16"/>
  <c r="K256" i="16"/>
  <c r="M256" i="16" s="1"/>
  <c r="M255" i="16"/>
  <c r="L255" i="16"/>
  <c r="K255" i="16"/>
  <c r="L254" i="16"/>
  <c r="K254" i="16"/>
  <c r="M254" i="16" s="1"/>
  <c r="L253" i="16"/>
  <c r="K253" i="16"/>
  <c r="M253" i="16" s="1"/>
  <c r="M252" i="16"/>
  <c r="L252" i="16"/>
  <c r="K252" i="16"/>
  <c r="L251" i="16"/>
  <c r="K251" i="16"/>
  <c r="M251" i="16" s="1"/>
  <c r="L250" i="16"/>
  <c r="K250" i="16"/>
  <c r="M250" i="16" s="1"/>
  <c r="L249" i="16"/>
  <c r="K249" i="16"/>
  <c r="M249" i="16" s="1"/>
  <c r="L248" i="16"/>
  <c r="K248" i="16"/>
  <c r="M248" i="16" s="1"/>
  <c r="L247" i="16"/>
  <c r="K247" i="16"/>
  <c r="M247" i="16" s="1"/>
  <c r="M246" i="16"/>
  <c r="L246" i="16"/>
  <c r="K246" i="16"/>
  <c r="M245" i="16"/>
  <c r="L245" i="16"/>
  <c r="K245" i="16"/>
  <c r="M244" i="16"/>
  <c r="L244" i="16"/>
  <c r="K244" i="16"/>
  <c r="M243" i="16"/>
  <c r="L243" i="16"/>
  <c r="K243" i="16"/>
  <c r="L242" i="16"/>
  <c r="K242" i="16"/>
  <c r="M242" i="16" s="1"/>
  <c r="M241" i="16"/>
  <c r="L241" i="16"/>
  <c r="K241" i="16"/>
  <c r="L240" i="16"/>
  <c r="K240" i="16"/>
  <c r="M240" i="16" s="1"/>
  <c r="M239" i="16"/>
  <c r="L239" i="16"/>
  <c r="K239" i="16"/>
  <c r="L238" i="16"/>
  <c r="K238" i="16"/>
  <c r="M238" i="16" s="1"/>
  <c r="L237" i="16"/>
  <c r="K237" i="16"/>
  <c r="M237" i="16" s="1"/>
  <c r="L236" i="16"/>
  <c r="K236" i="16"/>
  <c r="M236" i="16" s="1"/>
  <c r="L235" i="16"/>
  <c r="K235" i="16"/>
  <c r="M235" i="16" s="1"/>
  <c r="L234" i="16"/>
  <c r="K234" i="16"/>
  <c r="M234" i="16" s="1"/>
  <c r="L233" i="16"/>
  <c r="K233" i="16"/>
  <c r="M233" i="16" s="1"/>
  <c r="L232" i="16"/>
  <c r="K232" i="16"/>
  <c r="M232" i="16" s="1"/>
  <c r="L231" i="16"/>
  <c r="K231" i="16"/>
  <c r="M231" i="16" s="1"/>
  <c r="M230" i="16"/>
  <c r="L230" i="16"/>
  <c r="K230" i="16"/>
  <c r="L229" i="16"/>
  <c r="K229" i="16"/>
  <c r="M229" i="16" s="1"/>
  <c r="M228" i="16"/>
  <c r="L228" i="16"/>
  <c r="K228" i="16"/>
  <c r="M227" i="16"/>
  <c r="L227" i="16"/>
  <c r="K227" i="16"/>
  <c r="L226" i="16"/>
  <c r="K226" i="16"/>
  <c r="M226" i="16" s="1"/>
  <c r="M225" i="16"/>
  <c r="L225" i="16"/>
  <c r="K225" i="16"/>
  <c r="L224" i="16"/>
  <c r="K224" i="16"/>
  <c r="M224" i="16" s="1"/>
  <c r="M223" i="16"/>
  <c r="L223" i="16"/>
  <c r="K223" i="16"/>
  <c r="L222" i="16"/>
  <c r="K222" i="16"/>
  <c r="M222" i="16" s="1"/>
  <c r="L221" i="16"/>
  <c r="K221" i="16"/>
  <c r="M221" i="16" s="1"/>
  <c r="M220" i="16"/>
  <c r="L220" i="16"/>
  <c r="K220" i="16"/>
  <c r="L219" i="16"/>
  <c r="K219" i="16"/>
  <c r="M219" i="16" s="1"/>
  <c r="L218" i="16"/>
  <c r="K218" i="16"/>
  <c r="M218" i="16" s="1"/>
  <c r="L217" i="16"/>
  <c r="K217" i="16"/>
  <c r="M217" i="16" s="1"/>
  <c r="L216" i="16"/>
  <c r="K216" i="16"/>
  <c r="M216" i="16" s="1"/>
  <c r="L215" i="16"/>
  <c r="K215" i="16"/>
  <c r="M215" i="16" s="1"/>
  <c r="M214" i="16"/>
  <c r="L214" i="16"/>
  <c r="K214" i="16"/>
  <c r="M213" i="16"/>
  <c r="L213" i="16"/>
  <c r="K213" i="16"/>
  <c r="M212" i="16"/>
  <c r="L212" i="16"/>
  <c r="K212" i="16"/>
  <c r="M211" i="16"/>
  <c r="L211" i="16"/>
  <c r="K211" i="16"/>
  <c r="L210" i="16"/>
  <c r="K210" i="16"/>
  <c r="M210" i="16" s="1"/>
  <c r="M209" i="16"/>
  <c r="L209" i="16"/>
  <c r="K209" i="16"/>
  <c r="L208" i="16"/>
  <c r="K208" i="16"/>
  <c r="M208" i="16" s="1"/>
  <c r="M207" i="16"/>
  <c r="L207" i="16"/>
  <c r="K207" i="16"/>
  <c r="L206" i="16"/>
  <c r="K206" i="16"/>
  <c r="M206" i="16" s="1"/>
  <c r="L205" i="16"/>
  <c r="K205" i="16"/>
  <c r="M205" i="16" s="1"/>
  <c r="L204" i="16"/>
  <c r="K204" i="16"/>
  <c r="M204" i="16" s="1"/>
  <c r="L203" i="16"/>
  <c r="K203" i="16"/>
  <c r="M203" i="16" s="1"/>
  <c r="L202" i="16"/>
  <c r="K202" i="16"/>
  <c r="M202" i="16" s="1"/>
  <c r="L201" i="16"/>
  <c r="K201" i="16"/>
  <c r="M201" i="16" s="1"/>
  <c r="L200" i="16"/>
  <c r="K200" i="16"/>
  <c r="M200" i="16" s="1"/>
  <c r="L199" i="16"/>
  <c r="K199" i="16"/>
  <c r="M199" i="16" s="1"/>
  <c r="M198" i="16"/>
  <c r="L198" i="16"/>
  <c r="K198" i="16"/>
  <c r="L197" i="16"/>
  <c r="K197" i="16"/>
  <c r="M197" i="16" s="1"/>
  <c r="M196" i="16"/>
  <c r="L196" i="16"/>
  <c r="K196" i="16"/>
  <c r="M195" i="16"/>
  <c r="L195" i="16"/>
  <c r="K195" i="16"/>
  <c r="L194" i="16"/>
  <c r="K194" i="16"/>
  <c r="M194" i="16" s="1"/>
  <c r="M193" i="16"/>
  <c r="L193" i="16"/>
  <c r="K193" i="16"/>
  <c r="L192" i="16"/>
  <c r="K192" i="16"/>
  <c r="M192" i="16" s="1"/>
  <c r="M191" i="16"/>
  <c r="L191" i="16"/>
  <c r="K191" i="16"/>
  <c r="L190" i="16"/>
  <c r="K190" i="16"/>
  <c r="M190" i="16" s="1"/>
  <c r="L189" i="16"/>
  <c r="K189" i="16"/>
  <c r="M189" i="16" s="1"/>
  <c r="M188" i="16"/>
  <c r="L188" i="16"/>
  <c r="K188" i="16"/>
  <c r="L187" i="16"/>
  <c r="K187" i="16"/>
  <c r="M187" i="16" s="1"/>
  <c r="L186" i="16"/>
  <c r="K186" i="16"/>
  <c r="M186" i="16" s="1"/>
  <c r="L185" i="16"/>
  <c r="K185" i="16"/>
  <c r="M185" i="16" s="1"/>
  <c r="L184" i="16"/>
  <c r="K184" i="16"/>
  <c r="M184" i="16" s="1"/>
  <c r="L183" i="16"/>
  <c r="K183" i="16"/>
  <c r="M183" i="16" s="1"/>
  <c r="M182" i="16"/>
  <c r="L182" i="16"/>
  <c r="K182" i="16"/>
  <c r="M181" i="16"/>
  <c r="L181" i="16"/>
  <c r="K181" i="16"/>
  <c r="M180" i="16"/>
  <c r="L180" i="16"/>
  <c r="K180" i="16"/>
  <c r="M179" i="16"/>
  <c r="L179" i="16"/>
  <c r="K179" i="16"/>
  <c r="L178" i="16"/>
  <c r="K178" i="16"/>
  <c r="M178" i="16" s="1"/>
  <c r="M177" i="16"/>
  <c r="L177" i="16"/>
  <c r="K177" i="16"/>
  <c r="L176" i="16"/>
  <c r="K176" i="16"/>
  <c r="M176" i="16" s="1"/>
  <c r="M175" i="16"/>
  <c r="L175" i="16"/>
  <c r="K175" i="16"/>
  <c r="L174" i="16"/>
  <c r="K174" i="16"/>
  <c r="M174" i="16" s="1"/>
  <c r="L173" i="16"/>
  <c r="K173" i="16"/>
  <c r="M173" i="16" s="1"/>
  <c r="L172" i="16"/>
  <c r="K172" i="16"/>
  <c r="M172" i="16" s="1"/>
  <c r="L171" i="16"/>
  <c r="K171" i="16"/>
  <c r="M171" i="16" s="1"/>
  <c r="L170" i="16"/>
  <c r="K170" i="16"/>
  <c r="M170" i="16" s="1"/>
  <c r="L169" i="16"/>
  <c r="K169" i="16"/>
  <c r="M169" i="16" s="1"/>
  <c r="L168" i="16"/>
  <c r="K168" i="16"/>
  <c r="M168" i="16" s="1"/>
  <c r="L167" i="16"/>
  <c r="K167" i="16"/>
  <c r="M167" i="16" s="1"/>
  <c r="M166" i="16"/>
  <c r="L166" i="16"/>
  <c r="K166" i="16"/>
  <c r="L165" i="16"/>
  <c r="K165" i="16"/>
  <c r="M165" i="16" s="1"/>
  <c r="M164" i="16"/>
  <c r="L164" i="16"/>
  <c r="K164" i="16"/>
  <c r="M163" i="16"/>
  <c r="L163" i="16"/>
  <c r="K163" i="16"/>
  <c r="L162" i="16"/>
  <c r="K162" i="16"/>
  <c r="M162" i="16" s="1"/>
  <c r="M161" i="16"/>
  <c r="L161" i="16"/>
  <c r="K161" i="16"/>
  <c r="L160" i="16"/>
  <c r="K160" i="16"/>
  <c r="M160" i="16" s="1"/>
  <c r="M159" i="16"/>
  <c r="L159" i="16"/>
  <c r="K159" i="16"/>
  <c r="L158" i="16"/>
  <c r="K158" i="16"/>
  <c r="M158" i="16" s="1"/>
  <c r="L157" i="16"/>
  <c r="K157" i="16"/>
  <c r="M157" i="16" s="1"/>
  <c r="M156" i="16"/>
  <c r="L156" i="16"/>
  <c r="K156" i="16"/>
  <c r="L155" i="16"/>
  <c r="K155" i="16"/>
  <c r="M155" i="16" s="1"/>
  <c r="L154" i="16"/>
  <c r="K154" i="16"/>
  <c r="M154" i="16" s="1"/>
  <c r="L153" i="16"/>
  <c r="K153" i="16"/>
  <c r="M153" i="16" s="1"/>
  <c r="L152" i="16"/>
  <c r="K152" i="16"/>
  <c r="M152" i="16" s="1"/>
  <c r="L151" i="16"/>
  <c r="K151" i="16"/>
  <c r="M151" i="16" s="1"/>
  <c r="M150" i="16"/>
  <c r="L150" i="16"/>
  <c r="K150" i="16"/>
  <c r="M149" i="16"/>
  <c r="L149" i="16"/>
  <c r="K149" i="16"/>
  <c r="M148" i="16"/>
  <c r="L148" i="16"/>
  <c r="K148" i="16"/>
  <c r="M147" i="16"/>
  <c r="L147" i="16"/>
  <c r="K147" i="16"/>
  <c r="L146" i="16"/>
  <c r="K146" i="16"/>
  <c r="M146" i="16" s="1"/>
  <c r="M145" i="16"/>
  <c r="L145" i="16"/>
  <c r="K145" i="16"/>
  <c r="L144" i="16"/>
  <c r="K144" i="16"/>
  <c r="M144" i="16" s="1"/>
  <c r="M143" i="16"/>
  <c r="L143" i="16"/>
  <c r="K143" i="16"/>
  <c r="L142" i="16"/>
  <c r="K142" i="16"/>
  <c r="M142" i="16" s="1"/>
  <c r="L141" i="16"/>
  <c r="K141" i="16"/>
  <c r="M141" i="16" s="1"/>
  <c r="L140" i="16"/>
  <c r="K140" i="16"/>
  <c r="M140" i="16" s="1"/>
  <c r="L139" i="16"/>
  <c r="K139" i="16"/>
  <c r="M139" i="16" s="1"/>
  <c r="L138" i="16"/>
  <c r="K138" i="16"/>
  <c r="M138" i="16" s="1"/>
  <c r="L137" i="16"/>
  <c r="K137" i="16"/>
  <c r="M137" i="16" s="1"/>
  <c r="L136" i="16"/>
  <c r="K136" i="16"/>
  <c r="M136" i="16" s="1"/>
  <c r="L135" i="16"/>
  <c r="K135" i="16"/>
  <c r="M135" i="16" s="1"/>
  <c r="M134" i="16"/>
  <c r="L134" i="16"/>
  <c r="K134" i="16"/>
  <c r="L133" i="16"/>
  <c r="K133" i="16"/>
  <c r="M133" i="16" s="1"/>
  <c r="M132" i="16"/>
  <c r="L132" i="16"/>
  <c r="K132" i="16"/>
  <c r="M131" i="16"/>
  <c r="L131" i="16"/>
  <c r="K131" i="16"/>
  <c r="L130" i="16"/>
  <c r="K130" i="16"/>
  <c r="M130" i="16" s="1"/>
  <c r="M129" i="16"/>
  <c r="L129" i="16"/>
  <c r="K129" i="16"/>
  <c r="L128" i="16"/>
  <c r="K128" i="16"/>
  <c r="M128" i="16" s="1"/>
  <c r="M127" i="16"/>
  <c r="L127" i="16"/>
  <c r="K127" i="16"/>
  <c r="L126" i="16"/>
  <c r="K126" i="16"/>
  <c r="M126" i="16" s="1"/>
  <c r="L125" i="16"/>
  <c r="K125" i="16"/>
  <c r="M125" i="16" s="1"/>
  <c r="M124" i="16"/>
  <c r="L124" i="16"/>
  <c r="K124" i="16"/>
  <c r="L123" i="16"/>
  <c r="K123" i="16"/>
  <c r="M123" i="16" s="1"/>
  <c r="L122" i="16"/>
  <c r="K122" i="16"/>
  <c r="M122" i="16" s="1"/>
  <c r="L121" i="16"/>
  <c r="K121" i="16"/>
  <c r="M121" i="16" s="1"/>
  <c r="L120" i="16"/>
  <c r="K120" i="16"/>
  <c r="M120" i="16" s="1"/>
  <c r="L119" i="16"/>
  <c r="K119" i="16"/>
  <c r="M119" i="16" s="1"/>
  <c r="M118" i="16"/>
  <c r="L118" i="16"/>
  <c r="K118" i="16"/>
  <c r="L117" i="16"/>
  <c r="K117" i="16"/>
  <c r="M117" i="16" s="1"/>
  <c r="M116" i="16"/>
  <c r="L116" i="16"/>
  <c r="K116" i="16"/>
  <c r="M115" i="16"/>
  <c r="L115" i="16"/>
  <c r="K115" i="16"/>
  <c r="L114" i="16"/>
  <c r="K114" i="16"/>
  <c r="M114" i="16" s="1"/>
  <c r="M113" i="16"/>
  <c r="L113" i="16"/>
  <c r="K113" i="16"/>
  <c r="L112" i="16"/>
  <c r="K112" i="16"/>
  <c r="M112" i="16" s="1"/>
  <c r="M111" i="16"/>
  <c r="L111" i="16"/>
  <c r="K111" i="16"/>
  <c r="L110" i="16"/>
  <c r="K110" i="16"/>
  <c r="M110" i="16" s="1"/>
  <c r="L109" i="16"/>
  <c r="K109" i="16"/>
  <c r="M109" i="16" s="1"/>
  <c r="L108" i="16"/>
  <c r="K108" i="16"/>
  <c r="M108" i="16" s="1"/>
  <c r="L107" i="16"/>
  <c r="K107" i="16"/>
  <c r="M107" i="16" s="1"/>
  <c r="L106" i="16"/>
  <c r="K106" i="16"/>
  <c r="M106" i="16" s="1"/>
  <c r="L105" i="16"/>
  <c r="K105" i="16"/>
  <c r="M105" i="16" s="1"/>
  <c r="L104" i="16"/>
  <c r="K104" i="16"/>
  <c r="M104" i="16" s="1"/>
  <c r="L103" i="16"/>
  <c r="K103" i="16"/>
  <c r="M103" i="16" s="1"/>
  <c r="M102" i="16"/>
  <c r="L102" i="16"/>
  <c r="K102" i="16"/>
  <c r="L101" i="16"/>
  <c r="K101" i="16"/>
  <c r="M101" i="16" s="1"/>
  <c r="M100" i="16"/>
  <c r="L100" i="16"/>
  <c r="K100" i="16"/>
  <c r="M99" i="16"/>
  <c r="L99" i="16"/>
  <c r="K99" i="16"/>
  <c r="L98" i="16"/>
  <c r="K98" i="16"/>
  <c r="M98" i="16" s="1"/>
  <c r="M97" i="16"/>
  <c r="L97" i="16"/>
  <c r="K97" i="16"/>
  <c r="L96" i="16"/>
  <c r="K96" i="16"/>
  <c r="M96" i="16" s="1"/>
  <c r="L95" i="16"/>
  <c r="K95" i="16"/>
  <c r="M95" i="16" s="1"/>
  <c r="L94" i="16"/>
  <c r="K94" i="16"/>
  <c r="M94" i="16" s="1"/>
  <c r="M93" i="16"/>
  <c r="L93" i="16"/>
  <c r="K93" i="16"/>
  <c r="L92" i="16"/>
  <c r="K92" i="16"/>
  <c r="M92" i="16" s="1"/>
  <c r="M91" i="16"/>
  <c r="L91" i="16"/>
  <c r="K91" i="16"/>
  <c r="L90" i="16"/>
  <c r="K90" i="16"/>
  <c r="M90" i="16" s="1"/>
  <c r="L89" i="16"/>
  <c r="K89" i="16"/>
  <c r="M89" i="16" s="1"/>
  <c r="L88" i="16"/>
  <c r="K88" i="16"/>
  <c r="M88" i="16" s="1"/>
  <c r="L87" i="16"/>
  <c r="K87" i="16"/>
  <c r="M87" i="16" s="1"/>
  <c r="M86" i="16"/>
  <c r="L86" i="16"/>
  <c r="K86" i="16"/>
  <c r="L85" i="16"/>
  <c r="K85" i="16"/>
  <c r="M85" i="16" s="1"/>
  <c r="L84" i="16"/>
  <c r="K84" i="16"/>
  <c r="M84" i="16" s="1"/>
  <c r="M83" i="16"/>
  <c r="L83" i="16"/>
  <c r="K83" i="16"/>
  <c r="L82" i="16"/>
  <c r="K82" i="16"/>
  <c r="M82" i="16" s="1"/>
  <c r="L81" i="16"/>
  <c r="K81" i="16"/>
  <c r="M81" i="16" s="1"/>
  <c r="L80" i="16"/>
  <c r="K80" i="16"/>
  <c r="M80" i="16" s="1"/>
  <c r="L79" i="16"/>
  <c r="K79" i="16"/>
  <c r="M79" i="16" s="1"/>
  <c r="M78" i="16"/>
  <c r="L78" i="16"/>
  <c r="K78" i="16"/>
  <c r="M77" i="16"/>
  <c r="L77" i="16"/>
  <c r="K77" i="16"/>
  <c r="L76" i="16"/>
  <c r="K76" i="16"/>
  <c r="M76" i="16" s="1"/>
  <c r="M75" i="16"/>
  <c r="L75" i="16"/>
  <c r="K75" i="16"/>
  <c r="L74" i="16"/>
  <c r="K74" i="16"/>
  <c r="M74" i="16" s="1"/>
  <c r="L73" i="16"/>
  <c r="K73" i="16"/>
  <c r="M73" i="16" s="1"/>
  <c r="L72" i="16"/>
  <c r="K72" i="16"/>
  <c r="M72" i="16" s="1"/>
  <c r="L71" i="16"/>
  <c r="K71" i="16"/>
  <c r="M71" i="16" s="1"/>
  <c r="M70" i="16"/>
  <c r="L70" i="16"/>
  <c r="K70" i="16"/>
  <c r="L69" i="16"/>
  <c r="K69" i="16"/>
  <c r="M69" i="16" s="1"/>
  <c r="L68" i="16"/>
  <c r="K68" i="16"/>
  <c r="M68" i="16" s="1"/>
  <c r="M67" i="16"/>
  <c r="L67" i="16"/>
  <c r="K67" i="16"/>
  <c r="M66" i="16"/>
  <c r="L66" i="16"/>
  <c r="K66" i="16"/>
  <c r="L65" i="16"/>
  <c r="K65" i="16"/>
  <c r="M65" i="16" s="1"/>
  <c r="L64" i="16"/>
  <c r="K64" i="16"/>
  <c r="M64" i="16" s="1"/>
  <c r="L63" i="16"/>
  <c r="K63" i="16"/>
  <c r="M63" i="16" s="1"/>
  <c r="M62" i="16"/>
  <c r="L62" i="16"/>
  <c r="K62" i="16"/>
  <c r="M61" i="16"/>
  <c r="L61" i="16"/>
  <c r="K61" i="16"/>
  <c r="L60" i="16"/>
  <c r="K60" i="16"/>
  <c r="M60" i="16" s="1"/>
  <c r="M59" i="16"/>
  <c r="L59" i="16"/>
  <c r="K59" i="16"/>
  <c r="L58" i="16"/>
  <c r="K58" i="16"/>
  <c r="M58" i="16" s="1"/>
  <c r="L57" i="16"/>
  <c r="K57" i="16"/>
  <c r="M57" i="16" s="1"/>
  <c r="L56" i="16"/>
  <c r="K56" i="16"/>
  <c r="M56" i="16" s="1"/>
  <c r="L55" i="16"/>
  <c r="K55" i="16"/>
  <c r="M55" i="16" s="1"/>
  <c r="M54" i="16"/>
  <c r="L54" i="16"/>
  <c r="K54" i="16"/>
  <c r="L53" i="16"/>
  <c r="K53" i="16"/>
  <c r="M53" i="16" s="1"/>
  <c r="L52" i="16"/>
  <c r="K52" i="16"/>
  <c r="M52" i="16" s="1"/>
  <c r="M51" i="16"/>
  <c r="L51" i="16"/>
  <c r="K51" i="16"/>
  <c r="M50" i="16"/>
  <c r="L50" i="16"/>
  <c r="K50" i="16"/>
  <c r="L49" i="16"/>
  <c r="K49" i="16"/>
  <c r="M49" i="16" s="1"/>
  <c r="L48" i="16"/>
  <c r="K48" i="16"/>
  <c r="M48" i="16" s="1"/>
  <c r="L47" i="16"/>
  <c r="K47" i="16"/>
  <c r="M47" i="16" s="1"/>
  <c r="M46" i="16"/>
  <c r="L46" i="16"/>
  <c r="K46" i="16"/>
  <c r="M45" i="16"/>
  <c r="L45" i="16"/>
  <c r="K45" i="16"/>
  <c r="L44" i="16"/>
  <c r="K44" i="16"/>
  <c r="M44" i="16" s="1"/>
  <c r="M43" i="16"/>
  <c r="L43" i="16"/>
  <c r="K43" i="16"/>
  <c r="L42" i="16"/>
  <c r="K42" i="16"/>
  <c r="M42" i="16" s="1"/>
  <c r="L41" i="16"/>
  <c r="K41" i="16"/>
  <c r="M41" i="16" s="1"/>
  <c r="L40" i="16"/>
  <c r="K40" i="16"/>
  <c r="M40" i="16" s="1"/>
  <c r="L39" i="16"/>
  <c r="K39" i="16"/>
  <c r="M39" i="16" s="1"/>
  <c r="M38" i="16"/>
  <c r="L38" i="16"/>
  <c r="K38" i="16"/>
  <c r="L37" i="16"/>
  <c r="K37" i="16"/>
  <c r="M37" i="16" s="1"/>
  <c r="L36" i="16"/>
  <c r="K36" i="16"/>
  <c r="M36" i="16" s="1"/>
  <c r="M35" i="16"/>
  <c r="L35" i="16"/>
  <c r="K35" i="16"/>
  <c r="M34" i="16"/>
  <c r="L34" i="16"/>
  <c r="K34" i="16"/>
  <c r="L33" i="16"/>
  <c r="K33" i="16"/>
  <c r="M33" i="16" s="1"/>
  <c r="L32" i="16"/>
  <c r="K32" i="16"/>
  <c r="M32" i="16" s="1"/>
  <c r="L31" i="16"/>
  <c r="K31" i="16"/>
  <c r="M31" i="16" s="1"/>
  <c r="M30" i="16"/>
  <c r="L30" i="16"/>
  <c r="K30" i="16"/>
  <c r="M29" i="16"/>
  <c r="L29" i="16"/>
  <c r="K29" i="16"/>
  <c r="L28" i="16"/>
  <c r="K28" i="16"/>
  <c r="M28" i="16" s="1"/>
  <c r="M27" i="16"/>
  <c r="L27" i="16"/>
  <c r="K27" i="16"/>
  <c r="L26" i="16"/>
  <c r="K26" i="16"/>
  <c r="M26" i="16" s="1"/>
  <c r="L25" i="16"/>
  <c r="K25" i="16"/>
  <c r="M25" i="16" s="1"/>
  <c r="L24" i="16"/>
  <c r="K24" i="16"/>
  <c r="M24" i="16" s="1"/>
  <c r="L23" i="16"/>
  <c r="K23" i="16"/>
  <c r="M23" i="16" s="1"/>
  <c r="M22" i="16"/>
  <c r="L22" i="16"/>
  <c r="K22" i="16"/>
  <c r="L21" i="16"/>
  <c r="K21" i="16"/>
  <c r="M21" i="16" s="1"/>
  <c r="L20" i="16"/>
  <c r="K20" i="16"/>
  <c r="M20" i="16" s="1"/>
  <c r="M19" i="16"/>
  <c r="L19" i="16"/>
  <c r="K19" i="16"/>
  <c r="M18" i="16"/>
  <c r="L18" i="16"/>
  <c r="K18" i="16"/>
  <c r="L17" i="16"/>
  <c r="K17" i="16"/>
  <c r="M17" i="16" s="1"/>
  <c r="L16" i="16"/>
  <c r="K16" i="16"/>
  <c r="M16" i="16" s="1"/>
  <c r="L15" i="16"/>
  <c r="K15" i="16"/>
  <c r="M15" i="16" s="1"/>
  <c r="M14" i="16"/>
  <c r="L14" i="16"/>
  <c r="K14" i="16"/>
  <c r="M13" i="16"/>
  <c r="L13" i="16"/>
  <c r="K13" i="16"/>
  <c r="L12" i="16"/>
  <c r="K12" i="16"/>
  <c r="M12" i="16" s="1"/>
  <c r="M11" i="16"/>
  <c r="L11" i="16"/>
  <c r="K11" i="16"/>
  <c r="L10" i="16"/>
  <c r="K10" i="16"/>
  <c r="M10" i="16" s="1"/>
  <c r="L9" i="16"/>
  <c r="K9" i="16"/>
  <c r="M9" i="16" s="1"/>
  <c r="L8" i="16"/>
  <c r="K8" i="16"/>
  <c r="M8" i="16" s="1"/>
  <c r="L7" i="16"/>
  <c r="K7" i="16"/>
  <c r="M7" i="16" s="1"/>
  <c r="M6" i="16"/>
  <c r="L6" i="16"/>
  <c r="K6" i="16"/>
  <c r="L5" i="16"/>
  <c r="K5" i="16"/>
  <c r="M5" i="16" s="1"/>
  <c r="L4" i="16"/>
  <c r="K4" i="16"/>
  <c r="M4" i="16" s="1"/>
  <c r="M3" i="16"/>
  <c r="L3" i="16"/>
  <c r="K3" i="16"/>
  <c r="M2" i="16"/>
  <c r="L2" i="16"/>
  <c r="K2" i="16"/>
  <c r="L5" i="15"/>
  <c r="K5" i="15"/>
  <c r="M5" i="15" s="1"/>
  <c r="L4" i="15"/>
  <c r="K4" i="15"/>
  <c r="M4" i="15" s="1"/>
  <c r="L3" i="15"/>
  <c r="K3" i="15"/>
  <c r="M3" i="15" s="1"/>
  <c r="M2" i="15"/>
  <c r="L2" i="15"/>
  <c r="K2" i="15"/>
  <c r="L11" i="14"/>
  <c r="K11" i="14"/>
  <c r="M11" i="14" s="1"/>
  <c r="L10" i="14"/>
  <c r="K10" i="14"/>
  <c r="M10" i="14" s="1"/>
  <c r="M9" i="14"/>
  <c r="L9" i="14"/>
  <c r="K9" i="14"/>
  <c r="L8" i="14"/>
  <c r="K8" i="14"/>
  <c r="M8" i="14" s="1"/>
  <c r="L7" i="14"/>
  <c r="K7" i="14"/>
  <c r="M7" i="14" s="1"/>
  <c r="L6" i="14"/>
  <c r="K6" i="14"/>
  <c r="M6" i="14" s="1"/>
  <c r="L5" i="14"/>
  <c r="K5" i="14"/>
  <c r="M5" i="14" s="1"/>
  <c r="L4" i="14"/>
  <c r="K4" i="14"/>
  <c r="M4" i="14" s="1"/>
  <c r="L3" i="14"/>
  <c r="K3" i="14"/>
  <c r="M3" i="14" s="1"/>
  <c r="L2" i="14"/>
  <c r="L12" i="14" s="1"/>
  <c r="K2" i="14"/>
  <c r="M2" i="14" s="1"/>
  <c r="M17" i="13"/>
  <c r="L17" i="13"/>
  <c r="K17" i="13"/>
  <c r="L16" i="13"/>
  <c r="K16" i="13"/>
  <c r="M16" i="13" s="1"/>
  <c r="L15" i="13"/>
  <c r="K15" i="13"/>
  <c r="M15" i="13" s="1"/>
  <c r="L14" i="13"/>
  <c r="K14" i="13"/>
  <c r="M14" i="13" s="1"/>
  <c r="L13" i="13"/>
  <c r="K13" i="13"/>
  <c r="M13" i="13" s="1"/>
  <c r="M12" i="13"/>
  <c r="L12" i="13"/>
  <c r="K12" i="13"/>
  <c r="M11" i="13"/>
  <c r="L11" i="13"/>
  <c r="K11" i="13"/>
  <c r="L10" i="13"/>
  <c r="K10" i="13"/>
  <c r="M10" i="13" s="1"/>
  <c r="M9" i="13"/>
  <c r="L9" i="13"/>
  <c r="K9" i="13"/>
  <c r="L8" i="13"/>
  <c r="K8" i="13"/>
  <c r="M8" i="13" s="1"/>
  <c r="L7" i="13"/>
  <c r="K7" i="13"/>
  <c r="M7" i="13" s="1"/>
  <c r="L6" i="13"/>
  <c r="K6" i="13"/>
  <c r="M6" i="13" s="1"/>
  <c r="L5" i="13"/>
  <c r="K5" i="13"/>
  <c r="M5" i="13" s="1"/>
  <c r="M4" i="13"/>
  <c r="L4" i="13"/>
  <c r="K4" i="13"/>
  <c r="L3" i="13"/>
  <c r="K3" i="13"/>
  <c r="M3" i="13" s="1"/>
  <c r="L2" i="13"/>
  <c r="K2" i="13"/>
  <c r="M2" i="13" s="1"/>
  <c r="M2" i="12"/>
  <c r="L2" i="12"/>
  <c r="K2" i="12"/>
  <c r="L15" i="11"/>
  <c r="K15" i="11"/>
  <c r="M15" i="11" s="1"/>
  <c r="L14" i="11"/>
  <c r="K14" i="11"/>
  <c r="M14" i="11" s="1"/>
  <c r="L13" i="11"/>
  <c r="K13" i="11"/>
  <c r="M13" i="11" s="1"/>
  <c r="L12" i="11"/>
  <c r="K12" i="11"/>
  <c r="M12" i="11" s="1"/>
  <c r="M11" i="11"/>
  <c r="L11" i="11"/>
  <c r="K11" i="11"/>
  <c r="M10" i="11"/>
  <c r="L10" i="11"/>
  <c r="K10" i="11"/>
  <c r="L9" i="11"/>
  <c r="K9" i="11"/>
  <c r="M9" i="11" s="1"/>
  <c r="M8" i="11"/>
  <c r="L8" i="11"/>
  <c r="K8" i="11"/>
  <c r="L7" i="11"/>
  <c r="K7" i="11"/>
  <c r="M7" i="11" s="1"/>
  <c r="L6" i="11"/>
  <c r="K6" i="11"/>
  <c r="M6" i="11" s="1"/>
  <c r="L5" i="11"/>
  <c r="K5" i="11"/>
  <c r="M5" i="11" s="1"/>
  <c r="L4" i="11"/>
  <c r="K4" i="11"/>
  <c r="M4" i="11" s="1"/>
  <c r="M3" i="11"/>
  <c r="L3" i="11"/>
  <c r="K3" i="11"/>
  <c r="L2" i="11"/>
  <c r="K2" i="11"/>
  <c r="M2" i="11" s="1"/>
  <c r="L5" i="10"/>
  <c r="K5" i="10"/>
  <c r="M5" i="10" s="1"/>
  <c r="M4" i="10"/>
  <c r="L4" i="10"/>
  <c r="K4" i="10"/>
  <c r="M3" i="10"/>
  <c r="L3" i="10"/>
  <c r="K3" i="10"/>
  <c r="L2" i="10"/>
  <c r="K2" i="10"/>
  <c r="M2" i="10" s="1"/>
  <c r="L2" i="9"/>
  <c r="K2" i="9"/>
  <c r="M2" i="9" s="1"/>
  <c r="L2" i="8"/>
  <c r="K2" i="8"/>
  <c r="M2" i="8" s="1"/>
  <c r="M2" i="7"/>
  <c r="L2" i="7"/>
  <c r="K2" i="7"/>
  <c r="M24" i="6"/>
  <c r="L24" i="6"/>
  <c r="K24" i="6"/>
  <c r="L23" i="6"/>
  <c r="K23" i="6"/>
  <c r="M23" i="6" s="1"/>
  <c r="M22" i="6"/>
  <c r="L22" i="6"/>
  <c r="K22" i="6"/>
  <c r="L21" i="6"/>
  <c r="K21" i="6"/>
  <c r="M21" i="6" s="1"/>
  <c r="L20" i="6"/>
  <c r="K20" i="6"/>
  <c r="M20" i="6" s="1"/>
  <c r="L19" i="6"/>
  <c r="K19" i="6"/>
  <c r="M19" i="6" s="1"/>
  <c r="L18" i="6"/>
  <c r="K18" i="6"/>
  <c r="M18" i="6" s="1"/>
  <c r="M17" i="6"/>
  <c r="L17" i="6"/>
  <c r="K17" i="6"/>
  <c r="L16" i="6"/>
  <c r="K16" i="6"/>
  <c r="M16" i="6" s="1"/>
  <c r="L15" i="6"/>
  <c r="K15" i="6"/>
  <c r="M15" i="6" s="1"/>
  <c r="M14" i="6"/>
  <c r="L14" i="6"/>
  <c r="K14" i="6"/>
  <c r="L13" i="6"/>
  <c r="K13" i="6"/>
  <c r="M13" i="6" s="1"/>
  <c r="L12" i="6"/>
  <c r="K12" i="6"/>
  <c r="M12" i="6" s="1"/>
  <c r="L11" i="6"/>
  <c r="K11" i="6"/>
  <c r="M11" i="6" s="1"/>
  <c r="L10" i="6"/>
  <c r="K10" i="6"/>
  <c r="M10" i="6" s="1"/>
  <c r="M9" i="6"/>
  <c r="L9" i="6"/>
  <c r="K9" i="6"/>
  <c r="M8" i="6"/>
  <c r="L8" i="6"/>
  <c r="K8" i="6"/>
  <c r="L7" i="6"/>
  <c r="K7" i="6"/>
  <c r="M7" i="6" s="1"/>
  <c r="M6" i="6"/>
  <c r="L6" i="6"/>
  <c r="K6" i="6"/>
  <c r="L5" i="6"/>
  <c r="K5" i="6"/>
  <c r="M5" i="6" s="1"/>
  <c r="L4" i="6"/>
  <c r="K4" i="6"/>
  <c r="M4" i="6" s="1"/>
  <c r="L3" i="6"/>
  <c r="K3" i="6"/>
  <c r="M3" i="6" s="1"/>
  <c r="L2" i="6"/>
  <c r="K2" i="6"/>
  <c r="M2" i="6" s="1"/>
  <c r="M13" i="5"/>
  <c r="L13" i="5"/>
  <c r="K13" i="5"/>
  <c r="L12" i="5"/>
  <c r="K12" i="5"/>
  <c r="M12" i="5" s="1"/>
  <c r="L11" i="5"/>
  <c r="K11" i="5"/>
  <c r="M11" i="5" s="1"/>
  <c r="M10" i="5"/>
  <c r="L10" i="5"/>
  <c r="K10" i="5"/>
  <c r="L9" i="5"/>
  <c r="K9" i="5"/>
  <c r="M9" i="5" s="1"/>
  <c r="L8" i="5"/>
  <c r="K8" i="5"/>
  <c r="M8" i="5" s="1"/>
  <c r="L7" i="5"/>
  <c r="K7" i="5"/>
  <c r="M7" i="5" s="1"/>
  <c r="L6" i="5"/>
  <c r="K6" i="5"/>
  <c r="M6" i="5" s="1"/>
  <c r="M5" i="5"/>
  <c r="L5" i="5"/>
  <c r="K5" i="5"/>
  <c r="M4" i="5"/>
  <c r="L4" i="5"/>
  <c r="K4" i="5"/>
  <c r="L3" i="5"/>
  <c r="K3" i="5"/>
  <c r="M3" i="5" s="1"/>
  <c r="M2" i="5"/>
  <c r="L2" i="5"/>
  <c r="K2" i="5"/>
  <c r="L5" i="4"/>
  <c r="K5" i="4"/>
  <c r="M5" i="4" s="1"/>
  <c r="L4" i="4"/>
  <c r="K4" i="4"/>
  <c r="M4" i="4" s="1"/>
  <c r="M3" i="4"/>
  <c r="L3" i="4"/>
  <c r="K3" i="4"/>
  <c r="L2" i="4"/>
  <c r="K2" i="4"/>
  <c r="M2" i="4" s="1"/>
  <c r="M2" i="3"/>
  <c r="L2" i="3"/>
  <c r="K2" i="3"/>
  <c r="L7" i="2"/>
  <c r="K7" i="2"/>
  <c r="M7" i="2" s="1"/>
  <c r="L6" i="2"/>
  <c r="K6" i="2"/>
  <c r="M6" i="2" s="1"/>
  <c r="M5" i="2"/>
  <c r="L5" i="2"/>
  <c r="K5" i="2"/>
  <c r="L4" i="2"/>
  <c r="K4" i="2"/>
  <c r="M4" i="2" s="1"/>
  <c r="L3" i="2"/>
  <c r="K3" i="2"/>
  <c r="M3" i="2" s="1"/>
  <c r="L2" i="2"/>
  <c r="K2" i="2"/>
  <c r="M2" i="2" s="1"/>
  <c r="M12" i="14" l="1"/>
  <c r="K12" i="14"/>
  <c r="L23" i="26"/>
  <c r="M23" i="26"/>
  <c r="K23" i="26"/>
</calcChain>
</file>

<file path=xl/sharedStrings.xml><?xml version="1.0" encoding="utf-8"?>
<sst xmlns="http://schemas.openxmlformats.org/spreadsheetml/2006/main" count="6507" uniqueCount="3181">
  <si>
    <t>Category</t>
  </si>
  <si>
    <t>Total Items</t>
  </si>
  <si>
    <t>Total QTY Purchased</t>
  </si>
  <si>
    <t>Total QTY Sold</t>
  </si>
  <si>
    <t>Accessories</t>
  </si>
  <si>
    <t>BENDING/CUTTING</t>
  </si>
  <si>
    <t>C/FLANGE</t>
  </si>
  <si>
    <t>CASING</t>
  </si>
  <si>
    <t>CONSUMABLES</t>
  </si>
  <si>
    <t>CRATING</t>
  </si>
  <si>
    <t>Car accessories</t>
  </si>
  <si>
    <t>DUCT</t>
  </si>
  <si>
    <t>FABRICATION</t>
  </si>
  <si>
    <t>FASTENERS</t>
  </si>
  <si>
    <t>FM - BLOWER</t>
  </si>
  <si>
    <t>FM - C/FLANGE</t>
  </si>
  <si>
    <t>FM - CASING</t>
  </si>
  <si>
    <t>FM - CFW FANS</t>
  </si>
  <si>
    <t>FM - DONKIN</t>
  </si>
  <si>
    <t>FM - ELECTRICAL WIRING</t>
  </si>
  <si>
    <t>FM - FABRICATION</t>
  </si>
  <si>
    <t>FM - FAN BLADE MODELLING</t>
  </si>
  <si>
    <t>FM - FPZ</t>
  </si>
  <si>
    <t>FM - IMPELLER</t>
  </si>
  <si>
    <t>FM - KAYITES</t>
  </si>
  <si>
    <t>FM - LUCK &amp; KING</t>
  </si>
  <si>
    <t>FM - M/FEET</t>
  </si>
  <si>
    <t>FM - MACHINERY</t>
  </si>
  <si>
    <t>FM - MOTOR</t>
  </si>
  <si>
    <t>FM - NICOTRA</t>
  </si>
  <si>
    <t>FM - OSTBERG</t>
  </si>
  <si>
    <t>FM - PAINTING</t>
  </si>
  <si>
    <t>FM - SHEET</t>
  </si>
  <si>
    <t>FM - SODECA</t>
  </si>
  <si>
    <t>FM - UNIFORM</t>
  </si>
  <si>
    <t>FM - VORTICE</t>
  </si>
  <si>
    <t>FREIGHT</t>
  </si>
  <si>
    <t>IMPELLER</t>
  </si>
  <si>
    <t>M/FEET</t>
  </si>
  <si>
    <t>MOTOR FLANGE</t>
  </si>
  <si>
    <t>MOTORS</t>
  </si>
  <si>
    <t>PACKAGING</t>
  </si>
  <si>
    <t>PLATE</t>
  </si>
  <si>
    <t>Roof Fans</t>
  </si>
  <si>
    <t>Sodeca</t>
  </si>
  <si>
    <t>Uncategorized</t>
  </si>
  <si>
    <t>VSD</t>
  </si>
  <si>
    <t>Vents</t>
  </si>
  <si>
    <t>TOTAL STOCK</t>
  </si>
  <si>
    <t>Item</t>
  </si>
  <si>
    <t>Description</t>
  </si>
  <si>
    <t>Supplier</t>
  </si>
  <si>
    <t>Cost Price</t>
  </si>
  <si>
    <t>Safety Stock</t>
  </si>
  <si>
    <t>Reorder Point (ROP)</t>
  </si>
  <si>
    <t>Maximum Stock (MAX)</t>
  </si>
  <si>
    <t>Current Stock</t>
  </si>
  <si>
    <t>On Order</t>
  </si>
  <si>
    <t>Order Quantity</t>
  </si>
  <si>
    <t>Stock Value</t>
  </si>
  <si>
    <t>Order Value</t>
  </si>
  <si>
    <t>1600IC</t>
  </si>
  <si>
    <t>1600 Dia Inlet Cone</t>
  </si>
  <si>
    <t>AWSL/1/1000X500/OP/0/P1/</t>
  </si>
  <si>
    <t>1000 X 500</t>
  </si>
  <si>
    <t>TROX South Africa (Pty) Ltd</t>
  </si>
  <si>
    <t>Disc Valve</t>
  </si>
  <si>
    <t>100 Diam</t>
  </si>
  <si>
    <t>GRM350</t>
  </si>
  <si>
    <t>Shutter PVC Gravity for 250mmFan S/Frame</t>
  </si>
  <si>
    <t>Luft Industries Natal (Pty) Ltd</t>
  </si>
  <si>
    <t>M6X20X2</t>
  </si>
  <si>
    <t>M6x20x2 - Flat Washer Zinc Blue</t>
  </si>
  <si>
    <t>M&amp;D SPECIALISED FASTENERS (PTY) LTD</t>
  </si>
  <si>
    <t>Non-Taxable Extra's</t>
  </si>
  <si>
    <t>Egoli Auto (Pty) Ltd t/a Mahindra JHB South</t>
  </si>
  <si>
    <t>Copper Cut</t>
  </si>
  <si>
    <t>Copper Sheet (2000 x 1000 x 1.5mm) cut strips of 120mm across 2m length</t>
  </si>
  <si>
    <t>Airtec Fans &amp; Engineering</t>
  </si>
  <si>
    <t>1250CF</t>
  </si>
  <si>
    <t>1250 Diam Counter Flange</t>
  </si>
  <si>
    <t>Air Speration</t>
  </si>
  <si>
    <t>1600CF</t>
  </si>
  <si>
    <t>1600 Diam Counter Flange</t>
  </si>
  <si>
    <t>450CF</t>
  </si>
  <si>
    <t>450 Diam Counter Flange</t>
  </si>
  <si>
    <t>460CF</t>
  </si>
  <si>
    <t>460 Diam Counter Flanges</t>
  </si>
  <si>
    <t>GALVAGLOW (PTY) LTD</t>
  </si>
  <si>
    <t>2450x1225x3mm</t>
  </si>
  <si>
    <t>HR Sheet SAE1008 2450x1225x3</t>
  </si>
  <si>
    <t>NJR STEEL - ALRODE (PTY) LTD</t>
  </si>
  <si>
    <t>C315x315UG</t>
  </si>
  <si>
    <t>Casing size 315diamx315-Ungalvanised</t>
  </si>
  <si>
    <t>TS TELEKI T/A VENT SYSTEM AND PROJECTS</t>
  </si>
  <si>
    <t>C400x400UG</t>
  </si>
  <si>
    <t>Casing Size 400diamx400-Ungalvanised</t>
  </si>
  <si>
    <t>C500x400UG</t>
  </si>
  <si>
    <t>Casing Size 500diamx400-Ungalvanised</t>
  </si>
  <si>
    <t>C560x400UG</t>
  </si>
  <si>
    <t>Casing size 560diamx400-Ungalvanised</t>
  </si>
  <si>
    <t>C630x400UG</t>
  </si>
  <si>
    <t>Casing Size 630diamx400-Ungalvanised</t>
  </si>
  <si>
    <t>C710x400UG</t>
  </si>
  <si>
    <t>Casing Size 710diamx400-Ungalvanised</t>
  </si>
  <si>
    <t>C800x400UG</t>
  </si>
  <si>
    <t>Casing Size 800diamx400-Ungalvanised</t>
  </si>
  <si>
    <t>C800x500FM</t>
  </si>
  <si>
    <t>Casing Size 800diamx500 Foot Mount</t>
  </si>
  <si>
    <t>C965x740</t>
  </si>
  <si>
    <t>Casing Size 965diam x 740Long</t>
  </si>
  <si>
    <t>Laser Cutting</t>
  </si>
  <si>
    <t>Fans Casing</t>
  </si>
  <si>
    <t>ULTIMATENG (PTY) LTD</t>
  </si>
  <si>
    <t>Laser Cutting-S</t>
  </si>
  <si>
    <t>Strips</t>
  </si>
  <si>
    <t>101430</t>
  </si>
  <si>
    <t>SOAP STONE (1 Box = 144 or ea)</t>
  </si>
  <si>
    <t>INTROWELD CC</t>
  </si>
  <si>
    <t>AIR HOSE 1M</t>
  </si>
  <si>
    <t>AIR HOSE 8MM</t>
  </si>
  <si>
    <t>MG AUTO PAINT (PTY) LTD</t>
  </si>
  <si>
    <t>CLAMP</t>
  </si>
  <si>
    <t>COUP SET</t>
  </si>
  <si>
    <t>COUPLER SET CARLA</t>
  </si>
  <si>
    <t>G028</t>
  </si>
  <si>
    <t>8 RED HEAT RESISTANT GLOVES</t>
  </si>
  <si>
    <t>GUN H827P</t>
  </si>
  <si>
    <t>SPRAY GUN H827P BULLDOG</t>
  </si>
  <si>
    <t>Laser Cutting-P5</t>
  </si>
  <si>
    <t>Program 5</t>
  </si>
  <si>
    <t>Laser Cutting-P6</t>
  </si>
  <si>
    <t>Program 6</t>
  </si>
  <si>
    <t>M12*20(S/S)</t>
  </si>
  <si>
    <t>M12*20 HEX SET SCREWS S/S 304 A2</t>
  </si>
  <si>
    <t>M13X40X3</t>
  </si>
  <si>
    <t>M16*20(S/S)</t>
  </si>
  <si>
    <t>M16*20 Hex Set Screws A2</t>
  </si>
  <si>
    <t>M16*25(S/S)</t>
  </si>
  <si>
    <t>M16*25 A2 HEX SET SCREW 933 A2</t>
  </si>
  <si>
    <t>M5-ROD</t>
  </si>
  <si>
    <t>M5 Threaded Rod</t>
  </si>
  <si>
    <t>M6X1</t>
  </si>
  <si>
    <t>M6*1 M/S THREADED ROD Z/BLUE - 6*1 975 ZB</t>
  </si>
  <si>
    <t>M6X16</t>
  </si>
  <si>
    <t>GRUB SCREW</t>
  </si>
  <si>
    <t>M6X16 COUNTER SUNK</t>
  </si>
  <si>
    <t>M6X16 COUNTER SUNK BOLTS - Allen key screw in - Zinc blue</t>
  </si>
  <si>
    <t>M6X16 COUNTER SUNK-MACH</t>
  </si>
  <si>
    <t>M6X16 COUNTER SUNK BOLTS - Machine screw in - zinc blue</t>
  </si>
  <si>
    <t>QD GP 25LT</t>
  </si>
  <si>
    <t>QD GREY PRIMER 25LT</t>
  </si>
  <si>
    <t>QD MIX 25LT</t>
  </si>
  <si>
    <t>QD MIX 25LT MINES GREY</t>
  </si>
  <si>
    <t>REPAIR-BLADE</t>
  </si>
  <si>
    <t>315 X 70 Wide Radical Bladed Fan - Existing Inlet ring removed - New one Manufactured &amp; re-assembled</t>
  </si>
  <si>
    <t>SCOTCH BRI G</t>
  </si>
  <si>
    <t>SCOTCH BRITE GREY BULLDOG</t>
  </si>
  <si>
    <t>TF5PUR/C</t>
  </si>
  <si>
    <t>TF5PUR/C - Fixed Castor 125mm</t>
  </si>
  <si>
    <t>Caslad Agencies CC</t>
  </si>
  <si>
    <t>TS5PUR/BK</t>
  </si>
  <si>
    <t>TS5PUR/BK - 125mm Brake Castor</t>
  </si>
  <si>
    <t>PINE-S5</t>
  </si>
  <si>
    <t>PINE - S5 38X114X6.0M</t>
  </si>
  <si>
    <t>Foresta Timber &amp; Board (Pty) Ltd</t>
  </si>
  <si>
    <t>TCOVER</t>
  </si>
  <si>
    <t>ROPE TIE DOWN - TONNEAU COVER - MAHINDRA SINGLE CAB</t>
  </si>
  <si>
    <t>TONNEAU COVER MASTERS</t>
  </si>
  <si>
    <t>.30 Duct</t>
  </si>
  <si>
    <t>300mm Diameter-10 meter Long</t>
  </si>
  <si>
    <t>1501</t>
  </si>
  <si>
    <t>ARCAL SPEED 50L CYLINDER 17.5KG</t>
  </si>
  <si>
    <t>2450x1225x2mm</t>
  </si>
  <si>
    <t>HR Sheet CQ 2450x1225x2mm</t>
  </si>
  <si>
    <t>Angle S355JR-50x50x5mm</t>
  </si>
  <si>
    <t>Angle S355JR 50x50x5mm 6Mtr</t>
  </si>
  <si>
    <t>SQ-TUBE32X32</t>
  </si>
  <si>
    <t>SQ / TUBE 32X32X1.5 - 6M</t>
  </si>
  <si>
    <t>M10 FLAT WASHER (S/S)</t>
  </si>
  <si>
    <t>M10x20x3 FLAT WASHER STAINLESS STEEL A2</t>
  </si>
  <si>
    <t>M10 FLAT WASHER ZB</t>
  </si>
  <si>
    <t>M10 FLAT WASHER DIN 125A ZINC BLUE (10 .5i/dx20o/dxthk) 10 125A ZB</t>
  </si>
  <si>
    <t>M10 HEX NUT (S/S)</t>
  </si>
  <si>
    <t>M10 HEX NUT STAINLESS STEEL A2</t>
  </si>
  <si>
    <t>M10*16 (S/S)</t>
  </si>
  <si>
    <t>M10*16 HT HEX SET SCREW (S/S) A2</t>
  </si>
  <si>
    <t>M12 FLAT WASHER (S/S)</t>
  </si>
  <si>
    <t>M12x30x3 FLAT WASHER STAINLESS STEEL A2</t>
  </si>
  <si>
    <t>M12 HEX NUT (S/S)</t>
  </si>
  <si>
    <t>M12 HEX NUT STAINLESS STEEL A2</t>
  </si>
  <si>
    <t>M14 FLAT WASHER ZB</t>
  </si>
  <si>
    <t>M14x30x3 FLAT WASHER Z/BLUE</t>
  </si>
  <si>
    <t>M14X65 Hex Set Screw</t>
  </si>
  <si>
    <t>M14*65 HT HEX SET SCREW Z/BLUE</t>
  </si>
  <si>
    <t>M16 FLAT WASHER (S/S)</t>
  </si>
  <si>
    <t>M16 FLAT WASHER STAINLESS STEEL A2</t>
  </si>
  <si>
    <t>M16 HEX NUT (S/S)</t>
  </si>
  <si>
    <t>M16 HEX NUT STAINLESS STEEL A2</t>
  </si>
  <si>
    <t>M16*120 (S/S)</t>
  </si>
  <si>
    <t>M16*120 HT HEX SET SCREW (S/S) A2</t>
  </si>
  <si>
    <t>SPRING WASHER 16 ZB</t>
  </si>
  <si>
    <t>16 SQ MED SPRING WASHER Z/BLUE 16 7980 SS ZB</t>
  </si>
  <si>
    <t>THREADED ROD 12X1 ZB</t>
  </si>
  <si>
    <t>THREADED ROD 8.8 ZINC BLUE 12X1 975 8.8 ZB</t>
  </si>
  <si>
    <t>THREADED ROD 16X1 8 .8 ZB</t>
  </si>
  <si>
    <t>16X1 THREADED ROD 8 . 8 ZINC BLUE 16X1 975 8 .8 ZB</t>
  </si>
  <si>
    <t>SCBFLT1.25B</t>
  </si>
  <si>
    <t>SCB Blower Simple Intake Filter - 1 1/4</t>
  </si>
  <si>
    <t>1000CF</t>
  </si>
  <si>
    <t>1000 Diam Counter Flange</t>
  </si>
  <si>
    <t>Attenu-Tec HVAC Parts</t>
  </si>
  <si>
    <t>1000CFUG</t>
  </si>
  <si>
    <t>1000 Diam Counter Flange Ungalvanised</t>
  </si>
  <si>
    <t>315CF</t>
  </si>
  <si>
    <t>315 Diam Counter Flange</t>
  </si>
  <si>
    <t>400CF</t>
  </si>
  <si>
    <t>400 Diam Counter Flange</t>
  </si>
  <si>
    <t>500CF</t>
  </si>
  <si>
    <t>500 Diam Counter Flange</t>
  </si>
  <si>
    <t>500CFUG</t>
  </si>
  <si>
    <t>500 Diam Counter Flange Ungalvanised</t>
  </si>
  <si>
    <t>560CF</t>
  </si>
  <si>
    <t>560 Diam Counter Flange</t>
  </si>
  <si>
    <t>560CFUG</t>
  </si>
  <si>
    <t>560 Diam Counter Flange Ungalvanised</t>
  </si>
  <si>
    <t>630CF</t>
  </si>
  <si>
    <t>630 Diam Counter Flange</t>
  </si>
  <si>
    <t>630CFUG</t>
  </si>
  <si>
    <t>630 Diam Counter Flange Ungalvanised</t>
  </si>
  <si>
    <t>710CF</t>
  </si>
  <si>
    <t>710 Diam Counter Flange</t>
  </si>
  <si>
    <t>710CFUG</t>
  </si>
  <si>
    <t>710 Diam Counter Flange Ungalvanised</t>
  </si>
  <si>
    <t>800CF</t>
  </si>
  <si>
    <t>800 Diam Counter Flange</t>
  </si>
  <si>
    <t>800CFUG</t>
  </si>
  <si>
    <t>800 Diam Counter Flange Ungalvanised</t>
  </si>
  <si>
    <t>900CF</t>
  </si>
  <si>
    <t>900 Diam Counter Flange</t>
  </si>
  <si>
    <t>900CFUG</t>
  </si>
  <si>
    <t>900 Diam Counter Flange Ungalvanised</t>
  </si>
  <si>
    <t>C315x315</t>
  </si>
  <si>
    <t>Casing size 315diamx315</t>
  </si>
  <si>
    <t>C400x400</t>
  </si>
  <si>
    <t>Casing Size 400diamx400</t>
  </si>
  <si>
    <t>C500x400</t>
  </si>
  <si>
    <t>Casing Size 500diamx400</t>
  </si>
  <si>
    <t>C560x400</t>
  </si>
  <si>
    <t>Casing size 560diamx400</t>
  </si>
  <si>
    <t>C560x500</t>
  </si>
  <si>
    <t>Casing size 560diamx500</t>
  </si>
  <si>
    <t>CFW Fans (Pty) Ltd</t>
  </si>
  <si>
    <t>C630x400</t>
  </si>
  <si>
    <t>Casing Size 630diamx400</t>
  </si>
  <si>
    <t>C710x400</t>
  </si>
  <si>
    <t>Casing Size 710diamx400</t>
  </si>
  <si>
    <t>C800x400</t>
  </si>
  <si>
    <t>Casing Size 800diamx400</t>
  </si>
  <si>
    <t>C800x500</t>
  </si>
  <si>
    <t>Casing Size 800diamx500</t>
  </si>
  <si>
    <t>C900x500</t>
  </si>
  <si>
    <t>Casing Size 900diamx500</t>
  </si>
  <si>
    <t>400C400</t>
  </si>
  <si>
    <t>400 Casing x 400mm Long - DO NOT DRILL MOTOR AND BRACKET HOLES</t>
  </si>
  <si>
    <t>500C400</t>
  </si>
  <si>
    <t>500 Casing x 400mm Long - DO NOT DRILL MOTOR AND BRACKET HOLES</t>
  </si>
  <si>
    <t>HDA9B315</t>
  </si>
  <si>
    <t>HDA9 - 315 Impeller to suit 0.37Kw 2pole Motor</t>
  </si>
  <si>
    <t>LDA9B710</t>
  </si>
  <si>
    <t>LDA9B - Allumium bladed Impeller - Form B to suit 1.1kw 4Pole motor</t>
  </si>
  <si>
    <t>1000S1.5DP</t>
  </si>
  <si>
    <t>1000 Diam Silencer 1.5D Podded</t>
  </si>
  <si>
    <t>Attenu-Tec</t>
  </si>
  <si>
    <t>1000S2.0DP</t>
  </si>
  <si>
    <t>1000 Diam Silencer 2.0D Podded</t>
  </si>
  <si>
    <t>1000SM1.0D</t>
  </si>
  <si>
    <t>1000 Diam Melinex Silencer 1.0D</t>
  </si>
  <si>
    <t>1000SM1.0DP</t>
  </si>
  <si>
    <t>1000 Diam Melinex Silencer 1.0D Podded</t>
  </si>
  <si>
    <t>1000SM1.5DP</t>
  </si>
  <si>
    <t>1000 Diam Melinex Silencer 1.5D Podded</t>
  </si>
  <si>
    <t>100T600</t>
  </si>
  <si>
    <t>100 Diam Tube Silencer 600L</t>
  </si>
  <si>
    <t>1250FC</t>
  </si>
  <si>
    <t>1250 Diam Flexible Connection</t>
  </si>
  <si>
    <t>125T600</t>
  </si>
  <si>
    <t>125 Diam Tube Silencer 600L</t>
  </si>
  <si>
    <t>125TTSilentM</t>
  </si>
  <si>
    <t>125 TT Silent M Fan</t>
  </si>
  <si>
    <t>150T600</t>
  </si>
  <si>
    <t>150 Diam Tube Silencer 600L</t>
  </si>
  <si>
    <t>1600FC</t>
  </si>
  <si>
    <t>1600 Diam Flexible Connection</t>
  </si>
  <si>
    <t>200T600</t>
  </si>
  <si>
    <t>200 Diam Tube Silencer 600L</t>
  </si>
  <si>
    <t>200T900</t>
  </si>
  <si>
    <t>200 Diam Tube Silencer 900L</t>
  </si>
  <si>
    <t>2243FM</t>
  </si>
  <si>
    <t>22kW 4P 380V Foot Mount Motor</t>
  </si>
  <si>
    <t>ACTOM</t>
  </si>
  <si>
    <t>250T600</t>
  </si>
  <si>
    <t>250 Diam Tube Silencer 600L</t>
  </si>
  <si>
    <t>315-560AVMS</t>
  </si>
  <si>
    <t>315 to 560 NDA RED ANeoprene Floor Mounts</t>
  </si>
  <si>
    <t>Seal 'N Devices (Pty) Ltd</t>
  </si>
  <si>
    <t>315FC</t>
  </si>
  <si>
    <t>315 Diam Flexible Connection</t>
  </si>
  <si>
    <t>315S1.0DP</t>
  </si>
  <si>
    <t>315 Diam Silencer 1.0D Podded</t>
  </si>
  <si>
    <t>315S1.5DP</t>
  </si>
  <si>
    <t>315 Diam Silencer 1.5D Podded</t>
  </si>
  <si>
    <t>315S2.0DP</t>
  </si>
  <si>
    <t>315 Diam Silencer 2.0D Podded</t>
  </si>
  <si>
    <t>315SM1.5DP</t>
  </si>
  <si>
    <t>315 Diam Melinex Silencer 1.5D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</si>
  <si>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</si>
  <si>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</si>
  <si>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</si>
  <si>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</si>
  <si>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</si>
  <si>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</si>
  <si>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355T600.</t>
  </si>
  <si>
    <t>355 Diam Tube Silencer 600L</t>
  </si>
  <si>
    <t>400FC</t>
  </si>
  <si>
    <t>400 Diam Flexible Connection</t>
  </si>
  <si>
    <t>400HVJ-2S</t>
  </si>
  <si>
    <t>400 Diam Vertical Discharge Unit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</si>
  <si>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</si>
  <si>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</si>
  <si>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</si>
  <si>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</si>
  <si>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</si>
  <si>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</si>
  <si>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</si>
  <si>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</si>
  <si>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400S2.0DP</t>
  </si>
  <si>
    <t>400 Diam Silencer 2.0D Podded</t>
  </si>
  <si>
    <t>400SM1.5DP</t>
  </si>
  <si>
    <t>400 Diam Melinex Silencer 1.5D Podded</t>
  </si>
  <si>
    <t>500FC</t>
  </si>
  <si>
    <t>500 Diam Flexible Connection</t>
  </si>
  <si>
    <t>500HVJ-2S</t>
  </si>
  <si>
    <t>500 Diam Vertical Discharge Unit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</si>
  <si>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</si>
  <si>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</si>
  <si>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</si>
  <si>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</si>
  <si>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</si>
  <si>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</si>
  <si>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500S2.0DP</t>
  </si>
  <si>
    <t>500 Diam Silencer 2.0D Podded</t>
  </si>
  <si>
    <t>500SM1.5D</t>
  </si>
  <si>
    <t>500 Diam Melinex Silencer 1.5D</t>
  </si>
  <si>
    <t>500SM1.5DP</t>
  </si>
  <si>
    <t>500 Diam Melinex Silencer 1.5D Podded</t>
  </si>
  <si>
    <t>500SM2.0DP</t>
  </si>
  <si>
    <t>500 Diam Melinex Silencer 2.0D Podded</t>
  </si>
  <si>
    <t>560FC</t>
  </si>
  <si>
    <t>560 Diam Flexible Connection</t>
  </si>
  <si>
    <t>560HVJ-2S</t>
  </si>
  <si>
    <t>560 Diam Vertical Discharge Unit</t>
  </si>
  <si>
    <t>560S1.5D</t>
  </si>
  <si>
    <t>560 Diam Silencer 1.5D</t>
  </si>
  <si>
    <t>560S1.5DP</t>
  </si>
  <si>
    <t>560 Diam Silencer 1.5D Podded</t>
  </si>
  <si>
    <t>560S2.0DP</t>
  </si>
  <si>
    <t>560 Diam Silencer 2.0D Podded</t>
  </si>
  <si>
    <t>560SM1.0DP</t>
  </si>
  <si>
    <t>560 Diam Melinex Silencer 1.0D Podded</t>
  </si>
  <si>
    <t>560SM1.5DP</t>
  </si>
  <si>
    <t>560 Diam Melinex Silencer 1.5D Podded</t>
  </si>
  <si>
    <t>560SM2.0DP</t>
  </si>
  <si>
    <t>560 Diam Melinex Silencer 2.0D Podded</t>
  </si>
  <si>
    <t>630-1000AVMS</t>
  </si>
  <si>
    <t>630 to 1000 NDB GREEN Neoprene Floor Mounts</t>
  </si>
  <si>
    <t>630FC</t>
  </si>
  <si>
    <t>630 Diam Flexible Connection</t>
  </si>
  <si>
    <t>630HVJ-2S</t>
  </si>
  <si>
    <t>630 Diam Vertical Discharge Unit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</si>
  <si>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</si>
  <si>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</si>
  <si>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</si>
  <si>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</si>
  <si>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</si>
  <si>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</si>
  <si>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</si>
  <si>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</si>
  <si>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</si>
  <si>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</si>
  <si>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</si>
  <si>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</si>
  <si>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630SM2.0DP</t>
  </si>
  <si>
    <t>630 Diam Melinex Silencer 2.0D Podded</t>
  </si>
  <si>
    <t>710FC</t>
  </si>
  <si>
    <t>710 Diam Flexible Connection</t>
  </si>
  <si>
    <t>710HVJ-2S</t>
  </si>
  <si>
    <t>710 Diam Vertical Discharge Unit</t>
  </si>
  <si>
    <t>710S1.5DP</t>
  </si>
  <si>
    <t>710 Diam Silencer 1.5D Podded</t>
  </si>
  <si>
    <t>710S2.0DP</t>
  </si>
  <si>
    <t>710 Diam Silencer 2.0D Podded</t>
  </si>
  <si>
    <t>710SM1.5D</t>
  </si>
  <si>
    <t>710 Diam Melinex Silencer 1.5D</t>
  </si>
  <si>
    <t>710SM1.5DP</t>
  </si>
  <si>
    <t>710 Diam Melinex Silencer 1.5D Podded</t>
  </si>
  <si>
    <t>800FC</t>
  </si>
  <si>
    <t>800 Diam Flexible Connection</t>
  </si>
  <si>
    <t>800HVJ-2S</t>
  </si>
  <si>
    <t>800 Diam Vertical Discharge Unit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</si>
  <si>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</si>
  <si>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</si>
  <si>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</si>
  <si>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</si>
  <si>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</si>
  <si>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</si>
  <si>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800S2.0DP</t>
  </si>
  <si>
    <t>800 Diam Silencer 2.0D Podded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</si>
  <si>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</si>
  <si>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</si>
  <si>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</si>
  <si>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</si>
  <si>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</si>
  <si>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</si>
  <si>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900HVJ-2S</t>
  </si>
  <si>
    <t>900 Diam Vertical Discharge Unit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</si>
  <si>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</si>
  <si>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</si>
  <si>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</si>
  <si>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</si>
  <si>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</si>
  <si>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</si>
  <si>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</si>
  <si>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</si>
  <si>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900SM1.5DP</t>
  </si>
  <si>
    <t>900 Diam Melinex Silencer 1.5D Podded</t>
  </si>
  <si>
    <t>900SM2.0DP</t>
  </si>
  <si>
    <t>900 Diam Melinex Silencer 2.0D Podded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</si>
  <si>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</si>
  <si>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</si>
  <si>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</si>
  <si>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</si>
  <si>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</si>
  <si>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</si>
  <si>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</si>
  <si>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</si>
  <si>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</si>
  <si>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</si>
  <si>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</si>
  <si>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</si>
  <si>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</si>
  <si>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</si>
  <si>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AIRMAX2-850</t>
  </si>
  <si>
    <t>AIRMAX-2.850 W</t>
  </si>
  <si>
    <t>C462x470-B</t>
  </si>
  <si>
    <t>Casing size 462diamx470 Buffalo</t>
  </si>
  <si>
    <t>C462x470UG-B</t>
  </si>
  <si>
    <t>Casing size 462diamx470 Buffalo-Ungalvanised</t>
  </si>
  <si>
    <t>CTerm-Cap</t>
  </si>
  <si>
    <t>Casing Terminal Cap</t>
  </si>
  <si>
    <t>D100056</t>
  </si>
  <si>
    <t>KSB 200 BOX FAN</t>
  </si>
  <si>
    <t>D100058</t>
  </si>
  <si>
    <t>KSB 250 BOX FAN</t>
  </si>
  <si>
    <t>D100059</t>
  </si>
  <si>
    <t>TT SILENT M250</t>
  </si>
  <si>
    <t>F6942 Filter</t>
  </si>
  <si>
    <t>Donkin Fan Filter F6942 Set</t>
  </si>
  <si>
    <t>FT4001502</t>
  </si>
  <si>
    <t>Funmax 400 15.D.8 c/w 1.5kw 2P 380 V Motor</t>
  </si>
  <si>
    <t>FT7101104</t>
  </si>
  <si>
    <t>Funmax 710 20.D.8 c/w 1.1kw 4P 380 V Motor</t>
  </si>
  <si>
    <t>Centrifab (Pty) Ltd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</si>
  <si>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</si>
  <si>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</si>
  <si>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</si>
  <si>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</si>
  <si>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</si>
  <si>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</si>
  <si>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</si>
  <si>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</si>
  <si>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</si>
  <si>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</si>
  <si>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</si>
  <si>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</si>
  <si>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</si>
  <si>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</si>
  <si>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</si>
  <si>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</si>
  <si>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Cutting-P900</t>
  </si>
  <si>
    <t>Program 900 - 4mm</t>
  </si>
  <si>
    <t>MB1000UG</t>
  </si>
  <si>
    <t>1000diam mounting brackets Ungalvanized (4 per set)</t>
  </si>
  <si>
    <t>MB630</t>
  </si>
  <si>
    <t>630diam Mounting Brackets (4 per set)</t>
  </si>
  <si>
    <t>MB630UG</t>
  </si>
  <si>
    <t>630diam Mounting Brackets Ungalvanized (4 per set)</t>
  </si>
  <si>
    <t>MB710</t>
  </si>
  <si>
    <t>710diam mounting brackets (4 per set)</t>
  </si>
  <si>
    <t>MB710UG</t>
  </si>
  <si>
    <t>710diam mounting brackets Ungalvanized (4 per set)</t>
  </si>
  <si>
    <t>MB800UG</t>
  </si>
  <si>
    <t>800diam mounting brackets Ungalvanized (4 per set)</t>
  </si>
  <si>
    <t>MB900UG</t>
  </si>
  <si>
    <t>900diam mounting brackets Ungalvanized (4 per set)</t>
  </si>
  <si>
    <t>MF12504008</t>
  </si>
  <si>
    <t>MFAJAX-3 1250 c/w 4,00KW 8P 380V</t>
  </si>
  <si>
    <t>MFA100011004</t>
  </si>
  <si>
    <t>MAXFLO 1000/250/14 A c/w 11,00KW 4P 380V</t>
  </si>
  <si>
    <t>MFA10004004</t>
  </si>
  <si>
    <t>MAXFLO 1000/250/14 A c/w 4,00KW 4P 380V</t>
  </si>
  <si>
    <t>MFA10005504</t>
  </si>
  <si>
    <t>MAXFLO 1000/250/14 A c/w 5,50KW 4P 380V</t>
  </si>
  <si>
    <t>MFA3150372</t>
  </si>
  <si>
    <t>MAXFLO 315/150/10 A c/w 0.37kW 2P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</si>
  <si>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</si>
  <si>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</si>
  <si>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</si>
  <si>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</si>
  <si>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</si>
  <si>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</si>
  <si>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</si>
  <si>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</si>
  <si>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MFA4000752</t>
  </si>
  <si>
    <t>MAXFLO 400/150/10 A c/w 0,75KW 2P 380V</t>
  </si>
  <si>
    <t>MFA4001102</t>
  </si>
  <si>
    <t>MAXFLO 400/150/10 A c/w 1,10KW 2P 380V</t>
  </si>
  <si>
    <t>MFA4001502</t>
  </si>
  <si>
    <t>MAXFLO 400/150/10 A c/w 1.50KW 2P 380V</t>
  </si>
  <si>
    <t>MFA5000554</t>
  </si>
  <si>
    <t>MAXFLO 500/150/10 A c/w 0,55KW 4P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</si>
  <si>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</si>
  <si>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</si>
  <si>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</si>
  <si>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</si>
  <si>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</si>
  <si>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</si>
  <si>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MFA5002202</t>
  </si>
  <si>
    <t>MAXFLO 500/150/10 A c/w 2,20KW 2P 380V</t>
  </si>
  <si>
    <t>MFA5003002</t>
  </si>
  <si>
    <t>MAXFLO 500/150/10 A c/w 3.00kW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</si>
  <si>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</si>
  <si>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</si>
  <si>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</si>
  <si>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</si>
  <si>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</si>
  <si>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</si>
  <si>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</si>
  <si>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</si>
  <si>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</si>
  <si>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</si>
  <si>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MFA9004004</t>
  </si>
  <si>
    <t>MAXFLO 900/250/14 A c/w 4,00KW 4P 380V</t>
  </si>
  <si>
    <t>MFA9005504</t>
  </si>
  <si>
    <t>MAXFLO 900/250/14 A c/w 5,50KW 4P 380V</t>
  </si>
  <si>
    <t>MFA9007504</t>
  </si>
  <si>
    <t>MAXFLO 900/250/14 A c/w 7,50KW 4P 380V</t>
  </si>
  <si>
    <t>MFAY5600374</t>
  </si>
  <si>
    <t>MAXFLO 560/150/10 A c/w 0,37KW 4P 380V</t>
  </si>
  <si>
    <t>MFAY5600554</t>
  </si>
  <si>
    <t>MAXFLO 560/150/10 A c/w 0,55KW 4P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</si>
  <si>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</si>
  <si>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</si>
  <si>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</si>
  <si>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</si>
  <si>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</si>
  <si>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</si>
  <si>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</si>
  <si>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</si>
  <si>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</si>
  <si>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</si>
  <si>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</si>
  <si>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</si>
  <si>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</si>
  <si>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</si>
  <si>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</si>
  <si>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</si>
  <si>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MFAY6301104</t>
  </si>
  <si>
    <t>MAXFLO 630/150/10 A c/w 1,10KW 4P 380V</t>
  </si>
  <si>
    <t>MFAY6301504</t>
  </si>
  <si>
    <t>MAXFLO 630/150/10 A c/w 1,50KW 4P 380V</t>
  </si>
  <si>
    <t>MFAY6302204</t>
  </si>
  <si>
    <t>MAXFLO 630/150/10 A c/w 2,20KW 4P 380V</t>
  </si>
  <si>
    <t>MFAY7101104</t>
  </si>
  <si>
    <t>MAXFLO 710/150/10 A c/w 1,10KW 4P 380V</t>
  </si>
  <si>
    <t>MFAY7101504</t>
  </si>
  <si>
    <t>MAXFLO 710/150/10 A c/w 1,50KW 4P 380V</t>
  </si>
  <si>
    <t>MFAY7102204</t>
  </si>
  <si>
    <t>MAXFLO 710/150/10 A c/w 2,20KW 4P 380V</t>
  </si>
  <si>
    <t>MFAY7104004</t>
  </si>
  <si>
    <t>MAXFLO 710/150/10 A c/w 4,00KW 4P 380V</t>
  </si>
  <si>
    <t>MFAY8001504</t>
  </si>
  <si>
    <t>MAXFLO 800/150/10 A c/w 1,50KW 4P 380V</t>
  </si>
  <si>
    <t>MFAY8002204</t>
  </si>
  <si>
    <t>MAXFLO 800/150/10 A c/w 2,20KW 4P 380V</t>
  </si>
  <si>
    <t>MFAY8003004</t>
  </si>
  <si>
    <t>MAXFLO 800/150/10 A c/w 3,00KW 4P 380V</t>
  </si>
  <si>
    <t>MFAY8004004</t>
  </si>
  <si>
    <t>MAXFLO 800/150/10 A c/w 4,00KW 4P 380V</t>
  </si>
  <si>
    <t>MFAY8007504</t>
  </si>
  <si>
    <t>MAXFLO 800/150/10 A c/w 7,50KW 4P 380V</t>
  </si>
  <si>
    <t>MFAZ5600554</t>
  </si>
  <si>
    <t>MAXFLO 560/250/14 A c/w 0,55KW 4P 380V</t>
  </si>
  <si>
    <t>MFAZ5600754</t>
  </si>
  <si>
    <t>MAXFLO 560/250/14 A c/w 0,75KW 4P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</si>
  <si>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</si>
  <si>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</si>
  <si>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</si>
  <si>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</si>
  <si>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</si>
  <si>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</si>
  <si>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</si>
  <si>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</si>
  <si>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</si>
  <si>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</si>
  <si>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</si>
  <si>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</si>
  <si>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</si>
  <si>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</si>
  <si>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</si>
  <si>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</si>
  <si>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</si>
  <si>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</si>
  <si>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</si>
  <si>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</si>
  <si>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</si>
  <si>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</si>
  <si>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MFAZ6304004</t>
  </si>
  <si>
    <t>MAXFLO 630/250/14 A c/w 4,00KW 4P 380V</t>
  </si>
  <si>
    <t>MFAZ7101104</t>
  </si>
  <si>
    <t>MAXFLO 710/250/14 A c/w 1,10KW 4P 380V</t>
  </si>
  <si>
    <t>MFAZ7101504</t>
  </si>
  <si>
    <t>MAXFLO 710/250/14 A c/w 1,50KW 4P 380V</t>
  </si>
  <si>
    <t>MFAZ7102204</t>
  </si>
  <si>
    <t>MAXFLO 710/250/14 A c/w 2,20KW 4P 380V</t>
  </si>
  <si>
    <t>MFAZ7104004</t>
  </si>
  <si>
    <t>MAXFLO 710/250/14 A c/w 4,00KW 4P 380V</t>
  </si>
  <si>
    <t>MFAZ7105504</t>
  </si>
  <si>
    <t>MAXFLO 710/250/14 A c/w 5,50KW 4P 380V</t>
  </si>
  <si>
    <t>MFAZ8002204</t>
  </si>
  <si>
    <t>MAXFLO 800/250/14 A c/w 2,20KW 4P 380V</t>
  </si>
  <si>
    <t>MFAZ8003004</t>
  </si>
  <si>
    <t>MAXFLO 800/250/14 A c/w 3,00KW 4P 380V</t>
  </si>
  <si>
    <t>MFAZ8004004</t>
  </si>
  <si>
    <t>MAXFLO 800/250/14 A c/w 4,00KW 4P 380V</t>
  </si>
  <si>
    <t>MFAZ8005504</t>
  </si>
  <si>
    <t>MAXFLO 800/250/14 A c/w 5,50KW 4P 380V</t>
  </si>
  <si>
    <t>MFP10005504</t>
  </si>
  <si>
    <t>MAXFLO 1000/250/14 P c/w 5,50KW 4P 380V</t>
  </si>
  <si>
    <t>MFP10007504</t>
  </si>
  <si>
    <t>MAXFLO 1000/250/14 P c/w 7,50KW 4P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</si>
  <si>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</si>
  <si>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</si>
  <si>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</si>
  <si>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</si>
  <si>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</si>
  <si>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</si>
  <si>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</si>
  <si>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</si>
  <si>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</si>
  <si>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</si>
  <si>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</si>
  <si>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</si>
  <si>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</si>
  <si>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</si>
  <si>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</si>
  <si>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</si>
  <si>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MFP4000752</t>
  </si>
  <si>
    <t>MAXFLO 400/150/10 P c/w 0,75KW 2P 380V</t>
  </si>
  <si>
    <t>MFP4001102</t>
  </si>
  <si>
    <t>MAXFLO 400/150/10 P c/w 1,10KW 2P 380V</t>
  </si>
  <si>
    <t>MFP5000374</t>
  </si>
  <si>
    <t>MAXFLO 500/150/10 P c/w 0,37KW 4P 380V</t>
  </si>
  <si>
    <t>MFP5000554</t>
  </si>
  <si>
    <t>MAXFLO 500/150/10 P c/w 0,55KW 4P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</si>
  <si>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</si>
  <si>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</si>
  <si>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</si>
  <si>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</si>
  <si>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</si>
  <si>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</si>
  <si>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</si>
  <si>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</si>
  <si>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</si>
  <si>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</si>
  <si>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</si>
  <si>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</si>
  <si>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MFP9002204</t>
  </si>
  <si>
    <t>MAXFLO 900/250/14 P c/w 2,20KW 4P 380V</t>
  </si>
  <si>
    <t>MFP9004004</t>
  </si>
  <si>
    <t>MAXFLO 900/250/14 P c/w 4,00KW 4P 380V</t>
  </si>
  <si>
    <t>MFP9005504</t>
  </si>
  <si>
    <t>MAXFLO 900/250/14 P c/w 5,50KW 4P 380V</t>
  </si>
  <si>
    <t>MFPY5600374</t>
  </si>
  <si>
    <t>MAXFLO 560/150/10 P c/w 0,37KW 4P 380V</t>
  </si>
  <si>
    <t>MFPY5600554</t>
  </si>
  <si>
    <t>MAXFLO 560/150/10 P c/w 0,55KW 4P 380V</t>
  </si>
  <si>
    <t>MFPY5600754</t>
  </si>
  <si>
    <t>MAXFLO 560/150/10 P c/w 0,75KW 4P 380V</t>
  </si>
  <si>
    <t>MFPY5601104</t>
  </si>
  <si>
    <t>MAXFLO 560/150/10 P c/w 1,10KW 4P 380V</t>
  </si>
  <si>
    <t>MFPY6300554</t>
  </si>
  <si>
    <t>MAXFLO 630/150/10 P c/w 0,55KW 4P 380V</t>
  </si>
  <si>
    <t>MFPY6300754</t>
  </si>
  <si>
    <t>MAXFLO 630/150/10 P c/w 0,75KW 4P 380V</t>
  </si>
  <si>
    <t>MFPY6301104</t>
  </si>
  <si>
    <t>MAXFLO 630/150/10 P c/w 1,10KW 4P 380V</t>
  </si>
  <si>
    <t>MFPY6302204</t>
  </si>
  <si>
    <t>MAXFLO 630/150/10 P c/w 2,20KW 4P 380V</t>
  </si>
  <si>
    <t>MFPY6303004</t>
  </si>
  <si>
    <t>MAXFLO 630/150/10 P c/w 3,00KW 4P 380V</t>
  </si>
  <si>
    <t>MFPY7101104</t>
  </si>
  <si>
    <t>MAXFLO 710/150/10 P c/w 1,10KW 4P 380V</t>
  </si>
  <si>
    <t>MFPY7102204</t>
  </si>
  <si>
    <t>MAXFLO 710/150/10 P c/w 2,20KW 4P 380V</t>
  </si>
  <si>
    <t>MFPY7104004</t>
  </si>
  <si>
    <t>MAXFLO 710/150/10 P c/w 4,00KW 4P 380V</t>
  </si>
  <si>
    <t>MFPY8003004</t>
  </si>
  <si>
    <t>MAXFLO 800/150/10 P c/w 3,00KW 4P 380V</t>
  </si>
  <si>
    <t>MFPY8005504</t>
  </si>
  <si>
    <t>MAXFLO 800/150/10 P c/w 5,50KW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</si>
  <si>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</si>
  <si>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</si>
  <si>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</si>
  <si>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</si>
  <si>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</si>
  <si>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</si>
  <si>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</si>
  <si>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</si>
  <si>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</si>
  <si>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</si>
  <si>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</si>
  <si>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</si>
  <si>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</si>
  <si>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</si>
  <si>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</si>
  <si>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</si>
  <si>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</si>
  <si>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</si>
  <si>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</si>
  <si>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</si>
  <si>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</si>
  <si>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</si>
  <si>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</si>
  <si>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</si>
  <si>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MFPZ7101504</t>
  </si>
  <si>
    <t>MAXFLO 710/250/14 P c/w 1,50KW 4P 380V</t>
  </si>
  <si>
    <t>MFPZ7103004</t>
  </si>
  <si>
    <t>MAXFLO 710/250/14 P c/w 3,00KW 4P 380V</t>
  </si>
  <si>
    <t>MFPZ7104004</t>
  </si>
  <si>
    <t>MAXFLO 710/250/14 P c/w 4,00KW 4P 380V</t>
  </si>
  <si>
    <t>MFPZ8002204</t>
  </si>
  <si>
    <t>MAXFLO 800/250/14 P c/w 2,20KW 4P 380V</t>
  </si>
  <si>
    <t>MFPZ8003004</t>
  </si>
  <si>
    <t>MAXFLO 800/250/14 P c/w 3,00KW 4P 380V</t>
  </si>
  <si>
    <t>MFPZ8004004</t>
  </si>
  <si>
    <t>MAXFLO 800/250/14 P c/w 4,00KW 4P 380V</t>
  </si>
  <si>
    <t>MFPZ8005504</t>
  </si>
  <si>
    <t>MAXFLO 800/250/14 P c/w 5,50KW 4P 380V</t>
  </si>
  <si>
    <t>MH125022004</t>
  </si>
  <si>
    <t>MFAJAX-3 1250 c/w 22,00KW 4P 380V</t>
  </si>
  <si>
    <t>MH125045004</t>
  </si>
  <si>
    <t>MFAJAX-3 1250 c/w 45,00KW 4P 380V</t>
  </si>
  <si>
    <t>MS3150552</t>
  </si>
  <si>
    <t>MAJAX-3 315 c/w 0,55KW 2P 220V</t>
  </si>
  <si>
    <t>MS5605502</t>
  </si>
  <si>
    <t>MAJAX-3 560 c/w 5,50KW 2P 220V</t>
  </si>
  <si>
    <t>MT100011004</t>
  </si>
  <si>
    <t>MAJAX-3 1000 c/w 11,00KW 4P 380V</t>
  </si>
  <si>
    <t>MT100011006</t>
  </si>
  <si>
    <t>MAJAX-3 1000 c/w 11,00KW 6P 380V</t>
  </si>
  <si>
    <t>MT100015004</t>
  </si>
  <si>
    <t>MAJAX-3 1000 c/w 15,00KW 4P 380V</t>
  </si>
  <si>
    <t>MT100018504</t>
  </si>
  <si>
    <t>MAJAX-3 1000 c/w 18,50KW 4P 380V</t>
  </si>
  <si>
    <t>MT100022004</t>
  </si>
  <si>
    <t>MAJAX-3 1000 c/w 22,00KW 4P 380V</t>
  </si>
  <si>
    <t>MT10004004</t>
  </si>
  <si>
    <t>MAJAX-3 1000 c/w 4,00KW 4P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</si>
  <si>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</si>
  <si>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</si>
  <si>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</si>
  <si>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</si>
  <si>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</si>
  <si>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</si>
  <si>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</si>
  <si>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</si>
  <si>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MT3150254</t>
  </si>
  <si>
    <t>MAJAX-3 315 c/w 0,25KW 4P 380V</t>
  </si>
  <si>
    <t>MT3150552</t>
  </si>
  <si>
    <t>MAJAX-3 315 c/w 0,55KW 2P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</si>
  <si>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</si>
  <si>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</si>
  <si>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</si>
  <si>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</si>
  <si>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</si>
  <si>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</si>
  <si>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</si>
  <si>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</si>
  <si>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</si>
  <si>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</si>
  <si>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</si>
  <si>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</si>
  <si>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</si>
  <si>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</si>
  <si>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</si>
  <si>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</si>
  <si>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</si>
  <si>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</si>
  <si>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</si>
  <si>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</si>
  <si>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</si>
  <si>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</si>
  <si>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</si>
  <si>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</si>
  <si>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</si>
  <si>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</si>
  <si>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</si>
  <si>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</si>
  <si>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</si>
  <si>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</si>
  <si>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</si>
  <si>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</si>
  <si>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MT5002202</t>
  </si>
  <si>
    <t>MAJAX-3 500 c/w 2,20KW 2P 380V</t>
  </si>
  <si>
    <t>MT5004002</t>
  </si>
  <si>
    <t>MAJAX-3 500 c/w 4,00KW 2P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</si>
  <si>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</si>
  <si>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</si>
  <si>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</si>
  <si>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</si>
  <si>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</si>
  <si>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</si>
  <si>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</si>
  <si>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</si>
  <si>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</si>
  <si>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</si>
  <si>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</si>
  <si>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</si>
  <si>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</si>
  <si>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</si>
  <si>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</si>
  <si>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</si>
  <si>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</si>
  <si>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</si>
  <si>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Wide Range Engineering (Pty) Ltd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</si>
  <si>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</si>
  <si>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</si>
  <si>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</si>
  <si>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</si>
  <si>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</si>
  <si>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</si>
  <si>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</si>
  <si>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</si>
  <si>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</si>
  <si>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</si>
  <si>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</si>
  <si>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</si>
  <si>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</si>
  <si>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</si>
  <si>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</si>
  <si>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</si>
  <si>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</si>
  <si>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</si>
  <si>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</si>
  <si>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</si>
  <si>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</si>
  <si>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</si>
  <si>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</si>
  <si>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</si>
  <si>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</si>
  <si>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</si>
  <si>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MT7100754</t>
  </si>
  <si>
    <t>MAJAX-3 710 c/w 0,75KW 4P 380V</t>
  </si>
  <si>
    <t>MT7101104</t>
  </si>
  <si>
    <t>MAJAX-3 710 c/w 1,10KW 4P 380V</t>
  </si>
  <si>
    <t>MT7101504</t>
  </si>
  <si>
    <t>MAJAX-3 710 c/w 1,50KW 4P 380V</t>
  </si>
  <si>
    <t>MT7102204</t>
  </si>
  <si>
    <t>MAJAX-3 710 c/w 2,20KW 4P 380V</t>
  </si>
  <si>
    <t>MT7103004</t>
  </si>
  <si>
    <t>MAJAX-3 710 c/w 3,00KW 4P 380V</t>
  </si>
  <si>
    <t>MT7104004</t>
  </si>
  <si>
    <t>MAJAX-3 710 c/w 4,00KW 4P 380V</t>
  </si>
  <si>
    <t>MT8000556</t>
  </si>
  <si>
    <t>MAJAX-3 800 c/w 0,55KW 6P 380V</t>
  </si>
  <si>
    <t>MT8001106</t>
  </si>
  <si>
    <t>MAJAX-3 800 c/w 1,10KW 6P 380V</t>
  </si>
  <si>
    <t>MT8002204</t>
  </si>
  <si>
    <t>MAJAX-3 800 c/w 2,20KW 4P 380V</t>
  </si>
  <si>
    <t>MT8003004</t>
  </si>
  <si>
    <t>MAJAX-3 800 c/w 3,00KW 4P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</si>
  <si>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</si>
  <si>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</si>
  <si>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</si>
  <si>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</si>
  <si>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</si>
  <si>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</si>
  <si>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MT9002204</t>
  </si>
  <si>
    <t>MAJAX-3 900 c/w 2,20KW 4P 380V</t>
  </si>
  <si>
    <t>MT9005504</t>
  </si>
  <si>
    <t>MAJAX-3 900 c/w 5,50KW 4P 380V</t>
  </si>
  <si>
    <t>MT9005506</t>
  </si>
  <si>
    <t>MAJAX-3 900 c/w 5,50KW 6P 380V</t>
  </si>
  <si>
    <t>NONE</t>
  </si>
  <si>
    <t>AIRMAX-2.850 WALL MOUNT</t>
  </si>
  <si>
    <t>TB 315-560</t>
  </si>
  <si>
    <t>Casing Terminal Box (315-560)</t>
  </si>
  <si>
    <t>TB 630-800</t>
  </si>
  <si>
    <t>Casing Terminal Box (560-800)</t>
  </si>
  <si>
    <t>Material</t>
  </si>
  <si>
    <t>Downside Projects</t>
  </si>
  <si>
    <t>WIRING</t>
  </si>
  <si>
    <t>Wiring of welding plug and installation of welding plug x2</t>
  </si>
  <si>
    <t>2450x1225x4mm</t>
  </si>
  <si>
    <t>HR Sheet CQ 2450x1225x4 mm</t>
  </si>
  <si>
    <t>25.4*6-2RTUBE</t>
  </si>
  <si>
    <t>25,4*1.6-2mm Round Tube Die Set (Die CLR 93mm)</t>
  </si>
  <si>
    <t>Strongman Metal Tools CC</t>
  </si>
  <si>
    <t>3000x1500x4mm</t>
  </si>
  <si>
    <t>HR Sheet CQ 3000x1500x4mm</t>
  </si>
  <si>
    <t>315PLT315-2MM</t>
  </si>
  <si>
    <t>315 Casing Sheet - 995 x 315 - 2mm</t>
  </si>
  <si>
    <t>32*2-RTUBE</t>
  </si>
  <si>
    <t>32*2 mm Round Tube Die Set (Die CLR 125mm)</t>
  </si>
  <si>
    <t>400PLT400-2MM</t>
  </si>
  <si>
    <t>400 Casing Sheet - 1262 x 400 - 2mm</t>
  </si>
  <si>
    <t>500PLT400-2MM</t>
  </si>
  <si>
    <t>500 Casing Sheet - 1579 x 400 - 2mm</t>
  </si>
  <si>
    <t>500PLT400-3MM</t>
  </si>
  <si>
    <t>500 Casing Sheet - 1579 x 400 - 3mm</t>
  </si>
  <si>
    <t>500PLT500-3MM</t>
  </si>
  <si>
    <t>500 Casing Sheet - 1579 x 500 - 3mm</t>
  </si>
  <si>
    <t>560PLT400-2MM</t>
  </si>
  <si>
    <t>560 Casing Sheet - 1767 x 400 - 2mm</t>
  </si>
  <si>
    <t>560PLT400-3MM</t>
  </si>
  <si>
    <t>560 Casing Sheet - 1767 x 400 - 3mm</t>
  </si>
  <si>
    <t>630PLT400-3MM</t>
  </si>
  <si>
    <t>630 Casing Sheet - 1987 x 400 - 3mm</t>
  </si>
  <si>
    <t>710PLT400-3MM</t>
  </si>
  <si>
    <t>710 Casing Sheet - 2238 x 400 - 3mm</t>
  </si>
  <si>
    <t>800PLT400-2MM</t>
  </si>
  <si>
    <t>800 Casing Sheet - 2528 x 400 - 2mm</t>
  </si>
  <si>
    <t>800PLT400-3MM</t>
  </si>
  <si>
    <t>800 Casing Sheet - 2528 x 400 - 3mm</t>
  </si>
  <si>
    <t>800PLT400-3MM.</t>
  </si>
  <si>
    <t>800PLT500-3MM</t>
  </si>
  <si>
    <t>800 Casing Sheet - 2528 x 500 - 3mm</t>
  </si>
  <si>
    <t>900PLT500-3MM</t>
  </si>
  <si>
    <t>900 Casing Sheet - 2839 x 500 - 3mm</t>
  </si>
  <si>
    <t>C1000X500FM</t>
  </si>
  <si>
    <t>Casing Size 1000diam x 500Long</t>
  </si>
  <si>
    <t>FLEX-W/FRAME</t>
  </si>
  <si>
    <t>WELDING FRAME H=2m x W=3m, Galvanised steel frame (25x25 square tube)</t>
  </si>
  <si>
    <t>Fischli + Fuhrmann</t>
  </si>
  <si>
    <t>LASER CUTTING-775</t>
  </si>
  <si>
    <t>775 x 225 x 5mm</t>
  </si>
  <si>
    <t>Laser Cutting-Axial P1</t>
  </si>
  <si>
    <t>Axial Program 1 Cover</t>
  </si>
  <si>
    <t>Laser Cutting-Axial P3</t>
  </si>
  <si>
    <t>Axial Program 3 Covers</t>
  </si>
  <si>
    <t>Laser Cutting-Bends</t>
  </si>
  <si>
    <t>Laser Cutting Bends</t>
  </si>
  <si>
    <t>TTS038030006</t>
  </si>
  <si>
    <t>Sq / Tube 38X38X3.0-6M</t>
  </si>
  <si>
    <t>ENGINE-001</t>
  </si>
  <si>
    <t>Engineering Services - 3D Scanning, Modelling of a Fan Blade and Hub</t>
  </si>
  <si>
    <t>Holt Consulting Engineers</t>
  </si>
  <si>
    <t>CA4</t>
  </si>
  <si>
    <t>CA4V - 1' 1/4</t>
  </si>
  <si>
    <t>CA5</t>
  </si>
  <si>
    <t>CA5V - 1' 1/2</t>
  </si>
  <si>
    <t>CA6</t>
  </si>
  <si>
    <t>CA6V - 2'</t>
  </si>
  <si>
    <t>Effepizeta</t>
  </si>
  <si>
    <t>CA8</t>
  </si>
  <si>
    <t>CA8 - 3'</t>
  </si>
  <si>
    <t>CA9</t>
  </si>
  <si>
    <t>CA9- 4'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</si>
  <si>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</si>
  <si>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</si>
  <si>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</si>
  <si>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</si>
  <si>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</si>
  <si>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</si>
  <si>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</si>
  <si>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</si>
  <si>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</si>
  <si>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</si>
  <si>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D100039</t>
  </si>
  <si>
    <t>CONTROL UNIT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</si>
  <si>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</si>
  <si>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</si>
  <si>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</si>
  <si>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</si>
  <si>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</si>
  <si>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</si>
  <si>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</si>
  <si>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</si>
  <si>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</si>
  <si>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</si>
  <si>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K03MS055S</t>
  </si>
  <si>
    <t>SCL-K03 MS-0.55kW-1</t>
  </si>
  <si>
    <t>K04MS11S</t>
  </si>
  <si>
    <t>SCL-K04 MS-1.1kW-1-220V</t>
  </si>
  <si>
    <t>K04MS11T</t>
  </si>
  <si>
    <t>SCL-K04 MS-1.1kW</t>
  </si>
  <si>
    <t>K05MS15T</t>
  </si>
  <si>
    <t>SCL-K05 MS-1.5kW</t>
  </si>
  <si>
    <t>K05MS22T</t>
  </si>
  <si>
    <t>SCL-K05 MS-2.2kW</t>
  </si>
  <si>
    <t>K06MS4</t>
  </si>
  <si>
    <t>SCL-K06 MS-4W</t>
  </si>
  <si>
    <t>K07MS4</t>
  </si>
  <si>
    <t>SCL-K07 MS-4kW</t>
  </si>
  <si>
    <t>K07MS55</t>
  </si>
  <si>
    <t>SCL-K07 MS-5.5kW</t>
  </si>
  <si>
    <t>K08MS75</t>
  </si>
  <si>
    <t>SCL-K08 MS-7.5kW</t>
  </si>
  <si>
    <t>K09MS55</t>
  </si>
  <si>
    <t>SCL-K09 MS-5.5kW</t>
  </si>
  <si>
    <t>K09TD15</t>
  </si>
  <si>
    <t>SCL-K09 TD-15kW</t>
  </si>
  <si>
    <t>K09TS15</t>
  </si>
  <si>
    <t>SCL-K09 TS-15kW</t>
  </si>
  <si>
    <t>K10MD75</t>
  </si>
  <si>
    <t>SCL-K10 MD-7.5kW</t>
  </si>
  <si>
    <t>K10MS11</t>
  </si>
  <si>
    <t>SCL-K10 MS-11kW</t>
  </si>
  <si>
    <t>K11MS11</t>
  </si>
  <si>
    <t>SCL-K11 MS-11kW</t>
  </si>
  <si>
    <t>K11TS22</t>
  </si>
  <si>
    <t>SCL-K11 TS-22kW</t>
  </si>
  <si>
    <t>K12MS15</t>
  </si>
  <si>
    <t>SCL-K12 MS-15kW</t>
  </si>
  <si>
    <t>K75MS55</t>
  </si>
  <si>
    <t>SCL-K75 MS-5.5kW</t>
  </si>
  <si>
    <t>SR30MD000069</t>
  </si>
  <si>
    <t>SCL R30-MD MOR EU M.E 1.5KW 3Ph 380V</t>
  </si>
  <si>
    <t>SR40MD00+0006</t>
  </si>
  <si>
    <t>SCL R40MD</t>
  </si>
  <si>
    <t>VLA3 &amp; RV3</t>
  </si>
  <si>
    <t>VLA3 or RV3 - 1'</t>
  </si>
  <si>
    <t>VRL6</t>
  </si>
  <si>
    <t>VRL6 - 2'</t>
  </si>
  <si>
    <t>VRL8</t>
  </si>
  <si>
    <t>VRL8 - 3'</t>
  </si>
  <si>
    <t>VRL9</t>
  </si>
  <si>
    <t>VRL9 - 4'</t>
  </si>
  <si>
    <t>1609CL</t>
  </si>
  <si>
    <t>160/9 Clamp - to suit, 14mm, 19mm, 24mm and 28mm bore hubs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</si>
  <si>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</si>
  <si>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</si>
  <si>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</si>
  <si>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</si>
  <si>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</si>
  <si>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</si>
  <si>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</si>
  <si>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</si>
  <si>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25012CL</t>
  </si>
  <si>
    <t>250/12 Clamp - to suit, 38mm and 42mm bore hubs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</si>
  <si>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</si>
  <si>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</si>
  <si>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</si>
  <si>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</si>
  <si>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</si>
  <si>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</si>
  <si>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</si>
  <si>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</si>
  <si>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</si>
  <si>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</si>
  <si>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Al Blades</t>
  </si>
  <si>
    <t>Aluminium Blades</t>
  </si>
  <si>
    <t>Al Blanks</t>
  </si>
  <si>
    <t>Aluminium Blanks</t>
  </si>
  <si>
    <t>Pl Blades</t>
  </si>
  <si>
    <t>Plastic Blades</t>
  </si>
  <si>
    <t>Pl Blanks</t>
  </si>
  <si>
    <t>Plastic Blanks</t>
  </si>
  <si>
    <t>AXIP450</t>
  </si>
  <si>
    <t>TAXIP F300: 450-5-25</t>
  </si>
  <si>
    <t>Kayites</t>
  </si>
  <si>
    <t>BAF100</t>
  </si>
  <si>
    <t>BAF 100</t>
  </si>
  <si>
    <t>BAF125</t>
  </si>
  <si>
    <t>BAF 125</t>
  </si>
  <si>
    <t>BAF150</t>
  </si>
  <si>
    <t>BAF 150</t>
  </si>
  <si>
    <t>CFD2.5</t>
  </si>
  <si>
    <t>2.5 Amps Speed Controller</t>
  </si>
  <si>
    <t>CRAD190</t>
  </si>
  <si>
    <t>CRAD 190</t>
  </si>
  <si>
    <t>CRAD450</t>
  </si>
  <si>
    <t>CRAD 450</t>
  </si>
  <si>
    <t>CRADIK190</t>
  </si>
  <si>
    <t>CRADIK 190</t>
  </si>
  <si>
    <t>CUB355</t>
  </si>
  <si>
    <t>CUB 355</t>
  </si>
  <si>
    <t>JRAD50F300</t>
  </si>
  <si>
    <t>JRAD 50 F300 'C / 2H</t>
  </si>
  <si>
    <t>JRAD70F300</t>
  </si>
  <si>
    <t>JRAD 70 F300 'C / 2H</t>
  </si>
  <si>
    <t>JRAD90F300</t>
  </si>
  <si>
    <t>JRAD 90 F300 'C / 2H</t>
  </si>
  <si>
    <t>KAF125</t>
  </si>
  <si>
    <t>KAF 125</t>
  </si>
  <si>
    <t>KAF150</t>
  </si>
  <si>
    <t>KAF 150</t>
  </si>
  <si>
    <t>KAF200</t>
  </si>
  <si>
    <t>KAF 200</t>
  </si>
  <si>
    <t>KAF250</t>
  </si>
  <si>
    <t>KAF 250</t>
  </si>
  <si>
    <t>KAF315</t>
  </si>
  <si>
    <t>KAF 315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</si>
  <si>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</si>
  <si>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</si>
  <si>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</si>
  <si>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</si>
  <si>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</si>
  <si>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</si>
  <si>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</si>
  <si>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</si>
  <si>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</si>
  <si>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</si>
  <si>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</si>
  <si>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</si>
  <si>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</si>
  <si>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</si>
  <si>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KSA4004M</t>
  </si>
  <si>
    <t>KSA-400-4K-M-220V</t>
  </si>
  <si>
    <t>KSA4004T</t>
  </si>
  <si>
    <t>KSA-400-4K-T-380V</t>
  </si>
  <si>
    <t>KSA4504T</t>
  </si>
  <si>
    <t>KSA-450-4K-T-380V</t>
  </si>
  <si>
    <t>KSA5004M</t>
  </si>
  <si>
    <t>KSA-500-4K-M-220V</t>
  </si>
  <si>
    <t>KSA5004T</t>
  </si>
  <si>
    <t>KSA-500-4K-T-380V</t>
  </si>
  <si>
    <t>KSA6004T</t>
  </si>
  <si>
    <t>KSA-600-4K-T-380V</t>
  </si>
  <si>
    <t>MRAD315</t>
  </si>
  <si>
    <t>MRAD 315</t>
  </si>
  <si>
    <t>RAD100</t>
  </si>
  <si>
    <t>RAD 100</t>
  </si>
  <si>
    <t>RAD125</t>
  </si>
  <si>
    <t>RAD 125</t>
  </si>
  <si>
    <t>RAD150</t>
  </si>
  <si>
    <t>RAD 150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</si>
  <si>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</si>
  <si>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</si>
  <si>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</si>
  <si>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</si>
  <si>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</si>
  <si>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</si>
  <si>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</si>
  <si>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</si>
  <si>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REC10050</t>
  </si>
  <si>
    <t>REC 100-50</t>
  </si>
  <si>
    <t>REC5025</t>
  </si>
  <si>
    <t>REC 50-25</t>
  </si>
  <si>
    <t>REC6035</t>
  </si>
  <si>
    <t>REC 60-35</t>
  </si>
  <si>
    <t>REC7040</t>
  </si>
  <si>
    <t>REC 70-40</t>
  </si>
  <si>
    <t>SAL500</t>
  </si>
  <si>
    <t>SAL 500</t>
  </si>
  <si>
    <t>SEF100</t>
  </si>
  <si>
    <t>SEF 100</t>
  </si>
  <si>
    <t>SEF125</t>
  </si>
  <si>
    <t>CAP0.14220</t>
  </si>
  <si>
    <t>New Capacitor suitable for 60hz 0.1kw 1430rpm 230V</t>
  </si>
  <si>
    <t>Luck and King</t>
  </si>
  <si>
    <t>RW0.14220</t>
  </si>
  <si>
    <t>Rewind 0.1Kw 1430rpm 230V Motor Suitable for 60Hz Operation</t>
  </si>
  <si>
    <t>1000MF</t>
  </si>
  <si>
    <t>1000 Diam Mounting Feet</t>
  </si>
  <si>
    <t>1000MFUG</t>
  </si>
  <si>
    <t>1000 Diam Mounting Feet Ungalvanized</t>
  </si>
  <si>
    <t>315MF</t>
  </si>
  <si>
    <t>315 Diam Mounting Feet</t>
  </si>
  <si>
    <t>400MF</t>
  </si>
  <si>
    <t>400 Diam Mounting Feet</t>
  </si>
  <si>
    <t>500MF</t>
  </si>
  <si>
    <t>500 Diam Mounting Feet</t>
  </si>
  <si>
    <t>500MFUG</t>
  </si>
  <si>
    <t>500 Diam Mounting Feet Ungalvanized</t>
  </si>
  <si>
    <t>560MF</t>
  </si>
  <si>
    <t>560 Diam Mounting Feet</t>
  </si>
  <si>
    <t>630MF</t>
  </si>
  <si>
    <t>630 Diam Mounting Feet</t>
  </si>
  <si>
    <t>630MFUG</t>
  </si>
  <si>
    <t>630 Diam Mounting Feet Ungalvanized</t>
  </si>
  <si>
    <t>710MF</t>
  </si>
  <si>
    <t>710 Diam Mounting Feet</t>
  </si>
  <si>
    <t>710MFUG</t>
  </si>
  <si>
    <t>710 Diam Mounting Feet Ungalvanised</t>
  </si>
  <si>
    <t>800MF</t>
  </si>
  <si>
    <t>800 Diam Mounting Feet</t>
  </si>
  <si>
    <t>800MFUG</t>
  </si>
  <si>
    <t>800 Diam Mounting Feet Ungalvanized</t>
  </si>
  <si>
    <t>900MF</t>
  </si>
  <si>
    <t>900 Diam Mounting Feet</t>
  </si>
  <si>
    <t>900MFUG</t>
  </si>
  <si>
    <t>900 Diam Mounting Feet Ungalvanized</t>
  </si>
  <si>
    <t>Callout</t>
  </si>
  <si>
    <t>Lime Laser service</t>
  </si>
  <si>
    <t>Kilometer</t>
  </si>
  <si>
    <t>Travelled Kilometers</t>
  </si>
  <si>
    <t>Toll</t>
  </si>
  <si>
    <t>0.2543PM</t>
  </si>
  <si>
    <t>0.25kW 4P 380V Pad Mount Motor</t>
  </si>
  <si>
    <t>0.3723PM</t>
  </si>
  <si>
    <t>0.37kW 2P 380V Pad Mount Motor</t>
  </si>
  <si>
    <t>0.3743PM</t>
  </si>
  <si>
    <t>0.37kW 4P 380V Pad Mount Motor</t>
  </si>
  <si>
    <t>0.5523PM</t>
  </si>
  <si>
    <t>0.55kW 2P 380V Pad Mount Motor</t>
  </si>
  <si>
    <t>0.5543PM</t>
  </si>
  <si>
    <t>0.55kW 4P 380V Pad Mount Motor</t>
  </si>
  <si>
    <t>0.7523PM</t>
  </si>
  <si>
    <t>0.75kW 2P 380V Pad Mount Motor</t>
  </si>
  <si>
    <t>0.7543PM</t>
  </si>
  <si>
    <t>0.75kW 4P 380V Pad Mount Motor</t>
  </si>
  <si>
    <t>1.123PM</t>
  </si>
  <si>
    <t>1.1kW 2P 380V Pad Mount Motor</t>
  </si>
  <si>
    <t>1.143PM</t>
  </si>
  <si>
    <t>1.1kW 4P 380V Pad Mount Motor</t>
  </si>
  <si>
    <t>1.523PM</t>
  </si>
  <si>
    <t>1.5kW 2P 380V Pad Mount Motor</t>
  </si>
  <si>
    <t>1.543PM</t>
  </si>
  <si>
    <t>1.5kW 4P 380V Pad Mount Motor</t>
  </si>
  <si>
    <t>2.223PM</t>
  </si>
  <si>
    <t>2.2kW 2P 380V Pad Mount Motor</t>
  </si>
  <si>
    <t>2.243PM</t>
  </si>
  <si>
    <t>2.2kW 4P 380V Pad Mount Motor</t>
  </si>
  <si>
    <t>323PM</t>
  </si>
  <si>
    <t>3kW 2P 380V Pad Mount Motor</t>
  </si>
  <si>
    <t>343PM</t>
  </si>
  <si>
    <t>3kW 4P 380V Pad Mount Motor</t>
  </si>
  <si>
    <t>423PM</t>
  </si>
  <si>
    <t>4kW 2P 380V Pad Mount Motor</t>
  </si>
  <si>
    <t>443PM</t>
  </si>
  <si>
    <t>4kW 4P 380V Pad Mount Motor</t>
  </si>
  <si>
    <t>5.523PM</t>
  </si>
  <si>
    <t>5.5 kW 2P 380V Pad Mount Motor</t>
  </si>
  <si>
    <t>5.543PM</t>
  </si>
  <si>
    <t>5.5kW 4P 380V Pad Mount Motor</t>
  </si>
  <si>
    <t>7.523PM</t>
  </si>
  <si>
    <t>7.5kW 2P 380V Pad Mount Motor</t>
  </si>
  <si>
    <t>7.543PM</t>
  </si>
  <si>
    <t>7.5kW 4P 380V Pad Mount Motor</t>
  </si>
  <si>
    <t>1010522</t>
  </si>
  <si>
    <t>AT 10/10 SC2 - Double Unit</t>
  </si>
  <si>
    <t>1212521</t>
  </si>
  <si>
    <t>AT 12/12 SC - Single Unit</t>
  </si>
  <si>
    <t>129521</t>
  </si>
  <si>
    <t>AT 12/9 SC - Single Unit</t>
  </si>
  <si>
    <t>1515521</t>
  </si>
  <si>
    <t>AT 15/15 SC - Single Unit</t>
  </si>
  <si>
    <t>Regal Beloit Italy S.p.A - Nicotra .</t>
  </si>
  <si>
    <t>1515522</t>
  </si>
  <si>
    <t>AT 15/15 SC2 - Double Unit</t>
  </si>
  <si>
    <t>1813521</t>
  </si>
  <si>
    <t>AT 18/13 SC - Single Unit</t>
  </si>
  <si>
    <t>1818521</t>
  </si>
  <si>
    <t>AT 18/18 SC - Single Unit</t>
  </si>
  <si>
    <t>Apache Manufacturing CC</t>
  </si>
  <si>
    <t>1818522</t>
  </si>
  <si>
    <t>AT 18/18 SC2 - Double Unit</t>
  </si>
  <si>
    <t>6038M104</t>
  </si>
  <si>
    <t>AT18/18 AR 035 PHASE</t>
  </si>
  <si>
    <t>Air Movement Supplies</t>
  </si>
  <si>
    <t>610303</t>
  </si>
  <si>
    <t>DD 7-7 - 610303 - 62W 6P 230V-1Ph</t>
  </si>
  <si>
    <t>610318</t>
  </si>
  <si>
    <t>DD 12/9 - 610318 - 1100W 6P 400V - 3Ph</t>
  </si>
  <si>
    <t>610633</t>
  </si>
  <si>
    <t>DD 7/7 - 610633 - 147W 4P 230V-1Ph</t>
  </si>
  <si>
    <t>6M020K</t>
  </si>
  <si>
    <t>DDM 9/7 6M020K - 300W 4P 400V-3Ph</t>
  </si>
  <si>
    <t>6M020M</t>
  </si>
  <si>
    <t>DDM 9/7 - 6M020M - 550W 4P 230V-1Ph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</si>
  <si>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</si>
  <si>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</si>
  <si>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</si>
  <si>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</si>
  <si>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</si>
  <si>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</si>
  <si>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</si>
  <si>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</si>
  <si>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</si>
  <si>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</si>
  <si>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</si>
  <si>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</si>
  <si>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</si>
  <si>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</si>
  <si>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</si>
  <si>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</si>
  <si>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</si>
  <si>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</si>
  <si>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</si>
  <si>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</si>
  <si>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6M0697</t>
  </si>
  <si>
    <t>DD 9/9 - 6M0697 - 300W 4P 220V - 1Ph</t>
  </si>
  <si>
    <t>6N0320</t>
  </si>
  <si>
    <t>DD 12/12 - 6N0320 - 1100W 6P 400V 3Ph</t>
  </si>
  <si>
    <t>77521</t>
  </si>
  <si>
    <t>AT 7/7 SC - Single Unit</t>
  </si>
  <si>
    <t>AT 12/9 SC/BD</t>
  </si>
  <si>
    <t>AT 12/9 SC - Single Unit, Belt drive C/W 4kW 4P 380V FM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</si>
  <si>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</si>
  <si>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</si>
  <si>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</si>
  <si>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</si>
  <si>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</si>
  <si>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</si>
  <si>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D100023</t>
  </si>
  <si>
    <t>BD 12/12 T6 1.1KW 230V/400 50HZ LPC</t>
  </si>
  <si>
    <t>7000034</t>
  </si>
  <si>
    <t>CDC 100 - 7000034 - CDC 100C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</si>
  <si>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</si>
  <si>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</si>
  <si>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</si>
  <si>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</si>
  <si>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</si>
  <si>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</si>
  <si>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</si>
  <si>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</si>
  <si>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</si>
  <si>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</si>
  <si>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</si>
  <si>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</si>
  <si>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</si>
  <si>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</si>
  <si>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</si>
  <si>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</si>
  <si>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</si>
  <si>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</si>
  <si>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PAINT-WORKS</t>
  </si>
  <si>
    <t>SPRAY PAINT INLET CONES</t>
  </si>
  <si>
    <t>3000x1500x1.9mm</t>
  </si>
  <si>
    <t>HR Sheet CQ 3000x1500x1.9mm</t>
  </si>
  <si>
    <t>1000005</t>
  </si>
  <si>
    <t>TURBINA CMP 616 14 LG (Impeller for CMP616-2T-0.75 230/400V)</t>
  </si>
  <si>
    <t>SODECA</t>
  </si>
  <si>
    <t>1000012</t>
  </si>
  <si>
    <t>HCD 20 4M</t>
  </si>
  <si>
    <t>1000013</t>
  </si>
  <si>
    <t>HCD 25 4M</t>
  </si>
  <si>
    <t>1000015</t>
  </si>
  <si>
    <t>HCD 30 4M</t>
  </si>
  <si>
    <t>1000016</t>
  </si>
  <si>
    <t>HCD 35 4M</t>
  </si>
  <si>
    <t>1000040</t>
  </si>
  <si>
    <t>HCT-25-2T/PL</t>
  </si>
  <si>
    <t>1000046</t>
  </si>
  <si>
    <t>HCT-31-2M/PL</t>
  </si>
  <si>
    <t>1000047</t>
  </si>
  <si>
    <t>HCT-31-2T/PL</t>
  </si>
  <si>
    <t>1000049</t>
  </si>
  <si>
    <t>HCT-31-4M/PL</t>
  </si>
  <si>
    <t>1000052</t>
  </si>
  <si>
    <t>HCT-35-2T/PL</t>
  </si>
  <si>
    <t>1002948</t>
  </si>
  <si>
    <t>HCT-40-4T-0.33/PL</t>
  </si>
  <si>
    <t>1005878</t>
  </si>
  <si>
    <t>HTM-56-4M</t>
  </si>
  <si>
    <t>1005879</t>
  </si>
  <si>
    <t>HTM-56-4T</t>
  </si>
  <si>
    <t>1006313</t>
  </si>
  <si>
    <t>HCDF-31-4T / ATEX / EXII2G Ex d</t>
  </si>
  <si>
    <t>1006315</t>
  </si>
  <si>
    <t>HCDF 35 - 4T - Flameproof</t>
  </si>
  <si>
    <t>1006321</t>
  </si>
  <si>
    <t>HCDF 50 - 4T - Flameproof</t>
  </si>
  <si>
    <t>1007944</t>
  </si>
  <si>
    <t>CPV 1020 4T</t>
  </si>
  <si>
    <t>1007947</t>
  </si>
  <si>
    <t>CPV 1325 4T</t>
  </si>
  <si>
    <t>1007957</t>
  </si>
  <si>
    <t>CPV 1020 2TIE3</t>
  </si>
  <si>
    <t>1007960</t>
  </si>
  <si>
    <t>CPV 1325 2TIE3</t>
  </si>
  <si>
    <t>1008843</t>
  </si>
  <si>
    <t>CMA-218-2M</t>
  </si>
  <si>
    <t>1008844</t>
  </si>
  <si>
    <t>CMA-218-2T</t>
  </si>
  <si>
    <t>1008847</t>
  </si>
  <si>
    <t>CMA-324-2M</t>
  </si>
  <si>
    <t>1008849</t>
  </si>
  <si>
    <t>CMA-324-2T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</si>
  <si>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</si>
  <si>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</si>
  <si>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</si>
  <si>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</si>
  <si>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</si>
  <si>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</si>
  <si>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</si>
  <si>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</si>
  <si>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</si>
  <si>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</si>
  <si>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</si>
  <si>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</si>
  <si>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1008864</t>
  </si>
  <si>
    <t>CMA-528-2M - 1.5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</si>
  <si>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</si>
  <si>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</si>
  <si>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</si>
  <si>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</si>
  <si>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</si>
  <si>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</si>
  <si>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</si>
  <si>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</si>
  <si>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</si>
  <si>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</si>
  <si>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1008875</t>
  </si>
  <si>
    <t>CMA-531-2T-3 IE3</t>
  </si>
  <si>
    <t>1010396</t>
  </si>
  <si>
    <t>CAM 540 2T</t>
  </si>
  <si>
    <t>1010401</t>
  </si>
  <si>
    <t>CAM 545 2T 4 c/w 3.0kw 2P 400V</t>
  </si>
  <si>
    <t>1010407</t>
  </si>
  <si>
    <t>CAM 550 2T 7.5</t>
  </si>
  <si>
    <t>1010596</t>
  </si>
  <si>
    <t>CAS 254 - 2T - 3</t>
  </si>
  <si>
    <t>1010606</t>
  </si>
  <si>
    <t>CAS 463 - 2T - 7.5</t>
  </si>
  <si>
    <t>1012391</t>
  </si>
  <si>
    <t>CMP 38 2M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</si>
  <si>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</si>
  <si>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</si>
  <si>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</si>
  <si>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</si>
  <si>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</si>
  <si>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</si>
  <si>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</si>
  <si>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</si>
  <si>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</si>
  <si>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</si>
  <si>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</si>
  <si>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</si>
  <si>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</si>
  <si>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</si>
  <si>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</si>
  <si>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</si>
  <si>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</si>
  <si>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</si>
  <si>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</si>
  <si>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</si>
  <si>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</si>
  <si>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</si>
  <si>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</si>
  <si>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</si>
  <si>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1017052</t>
  </si>
  <si>
    <t>HC-25-2M/H</t>
  </si>
  <si>
    <t>1017069</t>
  </si>
  <si>
    <t>HC-25-4M/H</t>
  </si>
  <si>
    <t>1017082</t>
  </si>
  <si>
    <t>HC-31-2M/H</t>
  </si>
  <si>
    <t>1017097</t>
  </si>
  <si>
    <t>HC-31-4M/H</t>
  </si>
  <si>
    <t>1017106</t>
  </si>
  <si>
    <t>HC-35-4M/H</t>
  </si>
  <si>
    <t>1017125</t>
  </si>
  <si>
    <t>HC-40-4M/H</t>
  </si>
  <si>
    <t>1017127</t>
  </si>
  <si>
    <t>HC-40-4T/H</t>
  </si>
  <si>
    <t>1017130</t>
  </si>
  <si>
    <t>HC-40-6T/H</t>
  </si>
  <si>
    <t>1017131</t>
  </si>
  <si>
    <t>HC-45-4M/H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</si>
  <si>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</si>
  <si>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</si>
  <si>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</si>
  <si>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</si>
  <si>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</si>
  <si>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</si>
  <si>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</si>
  <si>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</si>
  <si>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</si>
  <si>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</si>
  <si>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</si>
  <si>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</si>
  <si>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1017177</t>
  </si>
  <si>
    <t>HC-56-4T/H IE3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</si>
  <si>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</si>
  <si>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</si>
  <si>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</si>
  <si>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</si>
  <si>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</si>
  <si>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</si>
  <si>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</si>
  <si>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</si>
  <si>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1105306</t>
  </si>
  <si>
    <t>CMP-1128-2T-5.5/S/PIE RD 230/400V. IE3</t>
  </si>
  <si>
    <t>D100001</t>
  </si>
  <si>
    <t>CMP-1128-4T</t>
  </si>
  <si>
    <t>D100002</t>
  </si>
  <si>
    <t>HAT-28-4M</t>
  </si>
  <si>
    <t>D100003</t>
  </si>
  <si>
    <t>HAT-35-4T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</si>
  <si>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</si>
  <si>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</si>
  <si>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</si>
  <si>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</si>
  <si>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</si>
  <si>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</si>
  <si>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</si>
  <si>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</si>
  <si>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</si>
  <si>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</si>
  <si>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</si>
  <si>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</si>
  <si>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</si>
  <si>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</si>
  <si>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</si>
  <si>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</si>
  <si>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</si>
  <si>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</si>
  <si>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</si>
  <si>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</si>
  <si>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</si>
  <si>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</si>
  <si>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</si>
  <si>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</si>
  <si>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</si>
  <si>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</si>
  <si>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</si>
  <si>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</si>
  <si>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99050-EMB-22-R50</t>
  </si>
  <si>
    <t>EMBROIDERY R50 R50</t>
  </si>
  <si>
    <t>Workwear Depot (Pty)Ltd</t>
  </si>
  <si>
    <t>CP77P-DNM12-104-00-38</t>
  </si>
  <si>
    <t>DENIM WORK TROUSERS INDIGO 38</t>
  </si>
  <si>
    <t>JN3002-TUNBOOT-600-00-07</t>
  </si>
  <si>
    <t>TUNGSTEN BOOT BLACK 7</t>
  </si>
  <si>
    <t>JN3002-TUNBOOT-600-00-09</t>
  </si>
  <si>
    <t>TUNGSTEN BOOT BLACK 9</t>
  </si>
  <si>
    <t>JTPOLY-6398B-600-04-L</t>
  </si>
  <si>
    <t>WORK T BLACK L</t>
  </si>
  <si>
    <t>11102</t>
  </si>
  <si>
    <t>MG 120/5 LL</t>
  </si>
  <si>
    <t>11103</t>
  </si>
  <si>
    <t>MG 120/5 LL T</t>
  </si>
  <si>
    <t>11125</t>
  </si>
  <si>
    <t>MF 150</t>
  </si>
  <si>
    <t>Vortice Elettrosociali SpA</t>
  </si>
  <si>
    <t>11128</t>
  </si>
  <si>
    <t>MF 120 T</t>
  </si>
  <si>
    <t>11133</t>
  </si>
  <si>
    <t>MF 150 LL</t>
  </si>
  <si>
    <t>11145</t>
  </si>
  <si>
    <t>MFO 100/4</t>
  </si>
  <si>
    <t>11147</t>
  </si>
  <si>
    <t>MFO 120/5</t>
  </si>
  <si>
    <t>11201</t>
  </si>
  <si>
    <t>M 100 / 4</t>
  </si>
  <si>
    <t>11270</t>
  </si>
  <si>
    <t>ME 120/5 LL</t>
  </si>
  <si>
    <t>11301</t>
  </si>
  <si>
    <t>M 120 / 5</t>
  </si>
  <si>
    <t>11302</t>
  </si>
  <si>
    <t>M 120 / 5 LL</t>
  </si>
  <si>
    <t>11311</t>
  </si>
  <si>
    <t>M 120 / 5 T</t>
  </si>
  <si>
    <t>11313</t>
  </si>
  <si>
    <t>MEX 100/4 LL 1S</t>
  </si>
  <si>
    <t>11322</t>
  </si>
  <si>
    <t>M 120 / 5 A LL</t>
  </si>
  <si>
    <t>11333</t>
  </si>
  <si>
    <t>MEX 120/5 LL IS</t>
  </si>
  <si>
    <t>11334</t>
  </si>
  <si>
    <t>MEX 120/5 1S LLT</t>
  </si>
  <si>
    <t>11401</t>
  </si>
  <si>
    <t>M 150 / 6</t>
  </si>
  <si>
    <t>11402</t>
  </si>
  <si>
    <t>M 150 / 6 LL</t>
  </si>
  <si>
    <t>11411</t>
  </si>
  <si>
    <t>M 150 / 6 T</t>
  </si>
  <si>
    <t>11421</t>
  </si>
  <si>
    <t>M 150 / 6 A</t>
  </si>
  <si>
    <t>11741</t>
  </si>
  <si>
    <t>M120/5 P</t>
  </si>
  <si>
    <t>12020</t>
  </si>
  <si>
    <t>MEDIO I</t>
  </si>
  <si>
    <t>12023</t>
  </si>
  <si>
    <t>SUPER I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</si>
  <si>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</si>
  <si>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</si>
  <si>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</si>
  <si>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</si>
  <si>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</si>
  <si>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</si>
  <si>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</si>
  <si>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</si>
  <si>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</si>
  <si>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</si>
  <si>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</si>
  <si>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</si>
  <si>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</si>
  <si>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</si>
  <si>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</si>
  <si>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</si>
  <si>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</si>
  <si>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</si>
  <si>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12611</t>
  </si>
  <si>
    <t>V 150/6 P</t>
  </si>
  <si>
    <t>12612</t>
  </si>
  <si>
    <t>V 150/6 AR</t>
  </si>
  <si>
    <t>12613</t>
  </si>
  <si>
    <t>V 150/6 ARI</t>
  </si>
  <si>
    <t>12615</t>
  </si>
  <si>
    <t>V 150/6 AR LL S</t>
  </si>
  <si>
    <t>12616</t>
  </si>
  <si>
    <t>V 150/6 ARI LL S</t>
  </si>
  <si>
    <t>12943</t>
  </si>
  <si>
    <t>CR5 Speed Controller</t>
  </si>
  <si>
    <t>12966</t>
  </si>
  <si>
    <t>C1.5 Speed Controller (to suit Lineo 100 to 200)</t>
  </si>
  <si>
    <t>12967</t>
  </si>
  <si>
    <t>C2.5 Speed Controller (to suit Lineo 250 to 315)</t>
  </si>
  <si>
    <t>12998</t>
  </si>
  <si>
    <t>PIR Sensor</t>
  </si>
  <si>
    <t>13001</t>
  </si>
  <si>
    <t>KIT TE 150/6 Roof Mounting</t>
  </si>
  <si>
    <t>13028</t>
  </si>
  <si>
    <t>KIT TC 230/9</t>
  </si>
  <si>
    <t>1373000218</t>
  </si>
  <si>
    <t>MOTORE GM-63A4 B143F TC10 - TIRACAMINO MOTOR</t>
  </si>
  <si>
    <t>15000</t>
  </si>
  <si>
    <t>Tiracamino Chimney Fan for Chimney Tops</t>
  </si>
  <si>
    <t>17005</t>
  </si>
  <si>
    <t>LINEO 1000 VO</t>
  </si>
  <si>
    <t>17021</t>
  </si>
  <si>
    <t>LINEO 100 TVO</t>
  </si>
  <si>
    <t>17143</t>
  </si>
  <si>
    <t>LINEO 100 Q</t>
  </si>
  <si>
    <t>17144</t>
  </si>
  <si>
    <t>LINEO 100</t>
  </si>
  <si>
    <t>17145</t>
  </si>
  <si>
    <t>LINEO 125</t>
  </si>
  <si>
    <t>17146</t>
  </si>
  <si>
    <t>LINEO 150</t>
  </si>
  <si>
    <t>17148</t>
  </si>
  <si>
    <t>LINEO 200 Q</t>
  </si>
  <si>
    <t>17160</t>
  </si>
  <si>
    <t>LINEO 100 QUIET</t>
  </si>
  <si>
    <t>17161</t>
  </si>
  <si>
    <t>LINEO 125 QUIET</t>
  </si>
  <si>
    <t>17162</t>
  </si>
  <si>
    <t>LINEO 150 QUIET</t>
  </si>
  <si>
    <t>17164</t>
  </si>
  <si>
    <t>LINEO 200 QUIET</t>
  </si>
  <si>
    <t>17165</t>
  </si>
  <si>
    <t>LINEO 250 QUIET</t>
  </si>
  <si>
    <t>17166</t>
  </si>
  <si>
    <t>LINEO 315 QUIET</t>
  </si>
  <si>
    <t>17180</t>
  </si>
  <si>
    <t>LINEO 200</t>
  </si>
  <si>
    <t>17181</t>
  </si>
  <si>
    <t>LINEO 250</t>
  </si>
  <si>
    <t>17182</t>
  </si>
  <si>
    <t>LINEO 315</t>
  </si>
  <si>
    <t>17185</t>
  </si>
  <si>
    <t>LINEO 100 T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</si>
  <si>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</si>
  <si>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</si>
  <si>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</si>
  <si>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</si>
  <si>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</si>
  <si>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</si>
  <si>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</si>
  <si>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</si>
  <si>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</si>
  <si>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</si>
  <si>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22165</t>
  </si>
  <si>
    <t>FG 100 FIXED GRILLE (VOR 22165)</t>
  </si>
  <si>
    <t>22167</t>
  </si>
  <si>
    <t>FG 150 FIXED GRILLE (VOR 22167)</t>
  </si>
  <si>
    <t>26027</t>
  </si>
  <si>
    <t>DEUMIDO 20</t>
  </si>
  <si>
    <t>30301</t>
  </si>
  <si>
    <t>C 10/2 T ATEX II 2G/D h T3/125 X Gb/Db</t>
  </si>
  <si>
    <t>30305</t>
  </si>
  <si>
    <t>C 20/2 T ATEX II 2G/D h T3/125 X Gb/Db</t>
  </si>
  <si>
    <t>30311</t>
  </si>
  <si>
    <t>C 37/4 T ATEX II 2G/D h T3/125 X Gb/Db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</si>
  <si>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</si>
  <si>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</si>
  <si>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</si>
  <si>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</si>
  <si>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</si>
  <si>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</si>
  <si>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</si>
  <si>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</si>
  <si>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</si>
  <si>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</si>
  <si>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</si>
  <si>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</si>
  <si>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</si>
  <si>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</si>
  <si>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</si>
  <si>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</si>
  <si>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</si>
  <si>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</si>
  <si>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42227</t>
  </si>
  <si>
    <t>A-E 304 T</t>
  </si>
  <si>
    <t>42259</t>
  </si>
  <si>
    <t>A-E 354 T</t>
  </si>
  <si>
    <t>L10101250</t>
  </si>
  <si>
    <t>CA 250 VO In-Line Tube Fan Plastic Casing</t>
  </si>
  <si>
    <t>L10101317</t>
  </si>
  <si>
    <t>CA 355</t>
  </si>
  <si>
    <t>Fuel Surcharge</t>
  </si>
  <si>
    <t>Rhenus Logistics (Pty) Ltd</t>
  </si>
  <si>
    <t>IMP0400B150A05AR19080</t>
  </si>
  <si>
    <t>Impeller 0400mm 'B' 150A05AR 19mm 080Frame Deg00 - 17 DEG</t>
  </si>
  <si>
    <t>IMP0500B150A10AR28100.</t>
  </si>
  <si>
    <t>Impeller 0500mm 'B' 150A10AR 28mm 100Frame Deg00 - 10 DEG</t>
  </si>
  <si>
    <t>IMP0560B250A14AR24090</t>
  </si>
  <si>
    <t>Impeller 0560mm 'B' 250A14AR 24mm 090Frame Deg00 - 31 DEG</t>
  </si>
  <si>
    <t>IMP0560B250A14AR28100</t>
  </si>
  <si>
    <t>Impeller 0560mm 'B' 250A14AR 28mm 100Frame Deg00 - 32 DEG</t>
  </si>
  <si>
    <t>IMP0630B150A10AR28100</t>
  </si>
  <si>
    <t>Impeller 0630mm 'B' 150A10AR 28mm 100Frame Deg00 - 29 DEG</t>
  </si>
  <si>
    <t>IMP0900B250A14AR38132</t>
  </si>
  <si>
    <t>Impeller 0900mm 'B' 250A14AR 38mm 132Frame Deg00 - 15 DEG</t>
  </si>
  <si>
    <t>1250MF</t>
  </si>
  <si>
    <t>1250 Diam Mounting Feet</t>
  </si>
  <si>
    <t>1600MF</t>
  </si>
  <si>
    <t>1600 Diam Mounting Feet</t>
  </si>
  <si>
    <t>355MF</t>
  </si>
  <si>
    <t>355 Diam Mounting Feet</t>
  </si>
  <si>
    <t>450MF</t>
  </si>
  <si>
    <t>450 Diam Mounting Feet</t>
  </si>
  <si>
    <t>460MF</t>
  </si>
  <si>
    <t>460 Diam Mounting Feet</t>
  </si>
  <si>
    <t>EXD-D90B5</t>
  </si>
  <si>
    <t>EXD D90B5 CAST IRON FLANGE</t>
  </si>
  <si>
    <t>Shaka Machinery (Pty) Ltd</t>
  </si>
  <si>
    <t>0.3741PM</t>
  </si>
  <si>
    <t>0.37KW 4P 220V Pad Mount Motor</t>
  </si>
  <si>
    <t>WEG South Africa</t>
  </si>
  <si>
    <t>0.5541PM</t>
  </si>
  <si>
    <t>0.55KW 4P 220V Pad Mount Motor</t>
  </si>
  <si>
    <t>ASKARI ELECTRIC (PTY) LTD</t>
  </si>
  <si>
    <t>EXD-2.2-2-4-B3</t>
  </si>
  <si>
    <t>2.2KW 2P 230/400V B3 EXD IE2 FS90L</t>
  </si>
  <si>
    <t>WEG SMOKEX PAD W22</t>
  </si>
  <si>
    <t>18.5KW 4P 380V IP55 300 C/2HR MOTOR</t>
  </si>
  <si>
    <t>SH01</t>
  </si>
  <si>
    <t>HAND STRAPPING 12X 1500M - BLACK</t>
  </si>
  <si>
    <t>Advantage Air Africa Pty Ltd</t>
  </si>
  <si>
    <t>GALV PLATE</t>
  </si>
  <si>
    <t>3mm Galvanised Plate</t>
  </si>
  <si>
    <t>Kart Shop TA Ultimate Laser Cutting</t>
  </si>
  <si>
    <t>UV 710/3/6</t>
  </si>
  <si>
    <t>UV710/3/6</t>
  </si>
  <si>
    <t>1008011</t>
  </si>
  <si>
    <t>CPV/ATEX-1325-2T/2G Ex db</t>
  </si>
  <si>
    <t>1016614</t>
  </si>
  <si>
    <t>HEP-31-2M/H 220-240V</t>
  </si>
  <si>
    <t>-GLF12.5-S</t>
  </si>
  <si>
    <t>Galvanised Industrial Extractor Fan+ Grill &amp; Louvers 1380sq, 380V,1.1kw, 440rpm, 44000m3/hr</t>
  </si>
  <si>
    <t>AF Fans CC</t>
  </si>
  <si>
    <t>0.552P</t>
  </si>
  <si>
    <t>0.55Kw 2P 380V Pad Motor</t>
  </si>
  <si>
    <t>0.752P</t>
  </si>
  <si>
    <t>0.75Kw 2Pole 380V Pad Mount</t>
  </si>
  <si>
    <t>0.7541FM</t>
  </si>
  <si>
    <t>0.75Kw 220v Foot Mount</t>
  </si>
  <si>
    <t>0.7541PM</t>
  </si>
  <si>
    <t>0.75Kw 220v Pad Mount</t>
  </si>
  <si>
    <t>0.7563PM</t>
  </si>
  <si>
    <t>0.75kW 6P 380V Pad Mount Motor</t>
  </si>
  <si>
    <t>0.75kW VSD</t>
  </si>
  <si>
    <t>Variable Speed Controller</t>
  </si>
  <si>
    <t>Drive Dynamics (Pty) Ltd</t>
  </si>
  <si>
    <t>0010</t>
  </si>
  <si>
    <t>SPARE MOTOR - TIRACAMINO - Vortice Spare Motor for Tiracamino 0.12kW 4P 230V</t>
  </si>
  <si>
    <t>009</t>
  </si>
  <si>
    <t>HVF/75N c/w 0.24kW 750mm 220V</t>
  </si>
  <si>
    <t>02880</t>
  </si>
  <si>
    <t>PRA LOCKNUT BRASS No 0 &amp; 1 - M20</t>
  </si>
  <si>
    <t>Pratley (Pty) Ltd</t>
  </si>
  <si>
    <t>053575</t>
  </si>
  <si>
    <t>AFROX PICKELING PASTE AOX 1LT</t>
  </si>
  <si>
    <t>1 IP 65</t>
  </si>
  <si>
    <t>Change IP Rating - Motor Size 90Watts 2Pole 380V to IP 65</t>
  </si>
  <si>
    <t>1.1.2Pad</t>
  </si>
  <si>
    <t>1.1Kw 2P 380V Pad Mount Motor</t>
  </si>
  <si>
    <t>1.141PM</t>
  </si>
  <si>
    <t>1.1kW 4P 220V Pad Mount Motor</t>
  </si>
  <si>
    <t>1.143FM</t>
  </si>
  <si>
    <t>1.1kW 4P 400V B3 QL3</t>
  </si>
  <si>
    <t>1.163PM</t>
  </si>
  <si>
    <t>1.1kW 6P 380V Pad Mount Motor</t>
  </si>
  <si>
    <t>1.563PM</t>
  </si>
  <si>
    <t>1.5kW 6P 380V Pad Mount Motor</t>
  </si>
  <si>
    <t>1.583PM</t>
  </si>
  <si>
    <t>1.5KW 8P 380V Pad Mount Motor</t>
  </si>
  <si>
    <t>Bearing Man Group</t>
  </si>
  <si>
    <t>100/112 FR 27.8</t>
  </si>
  <si>
    <t>100/112 Motor Frame - 27.8 mm OD Spacer</t>
  </si>
  <si>
    <t>Hulmak Engineering cc</t>
  </si>
  <si>
    <t>1000 HDG</t>
  </si>
  <si>
    <t>1000SC 1000mm Diam HDG Screen</t>
  </si>
  <si>
    <t>Heinmor Wire Products CC</t>
  </si>
  <si>
    <t>1000 ICS</t>
  </si>
  <si>
    <t>Majax Inlet Cone &amp; Screen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</si>
  <si>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</si>
  <si>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</si>
  <si>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</si>
  <si>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</si>
  <si>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</si>
  <si>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</si>
  <si>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1000002</t>
  </si>
  <si>
    <t>Monthly Retainer - March 2025</t>
  </si>
  <si>
    <t>KOBILAN PILLAY AND ASSOCIATES</t>
  </si>
  <si>
    <t>1000013.</t>
  </si>
  <si>
    <t>HCD-30-4M 230V. 50/60Hz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</si>
  <si>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</si>
  <si>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</si>
  <si>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</si>
  <si>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</si>
  <si>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</si>
  <si>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</si>
  <si>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1000IC</t>
  </si>
  <si>
    <t>Majax Inlet Cone</t>
  </si>
  <si>
    <t>1000MBP09</t>
  </si>
  <si>
    <t>1-0350-240 P09 - 1000 Motor Bracket</t>
  </si>
  <si>
    <t>1006663</t>
  </si>
  <si>
    <t>B-150</t>
  </si>
  <si>
    <t>1006974</t>
  </si>
  <si>
    <t>RPA-20</t>
  </si>
  <si>
    <t>1007140</t>
  </si>
  <si>
    <t>ACE-150</t>
  </si>
  <si>
    <t>1009166</t>
  </si>
  <si>
    <t>CBD-2828-4M 3/4/HE</t>
  </si>
  <si>
    <t>100NB x 135mm</t>
  </si>
  <si>
    <t>100NB x 135mm Style 10 Linkflex 100% (Inner &amp; Outer Tube) EPDM rubber bellows c/w mild steel</t>
  </si>
  <si>
    <t>Malcolm Arnot CC ( Linkflex)</t>
  </si>
  <si>
    <t>1010405</t>
  </si>
  <si>
    <t>CAM 550-2T-5.5 230/400V. IE3</t>
  </si>
  <si>
    <t>101065</t>
  </si>
  <si>
    <t>ER70S MILD STEEL MIG WIRE 1.0MM</t>
  </si>
  <si>
    <t>1012-2010-A</t>
  </si>
  <si>
    <t>SQUARE COMBINATION SET 4PC DASQUA</t>
  </si>
  <si>
    <t>SPARES 2000 CC t/a SHARP-RITE</t>
  </si>
  <si>
    <t>1012392</t>
  </si>
  <si>
    <t>CMP-38-2M/E 230V</t>
  </si>
  <si>
    <t>101397</t>
  </si>
  <si>
    <t>ANTI SPATTER 500ML</t>
  </si>
  <si>
    <t>1016608</t>
  </si>
  <si>
    <t>HEP-25-2T/H 220-240/380-415V</t>
  </si>
  <si>
    <t>1030701</t>
  </si>
  <si>
    <t>TIRACANO</t>
  </si>
  <si>
    <t>1034783</t>
  </si>
  <si>
    <t>NEOLINEO-125/V</t>
  </si>
  <si>
    <t>106X3SPA</t>
  </si>
  <si>
    <t>PULLEY FRICTION BELT V-WEDGE 3 GROOVE SPA 1610 TAPER 106MM FENNER</t>
  </si>
  <si>
    <t>1100999</t>
  </si>
  <si>
    <t>Rental Sharp BP 30C25 Copier</t>
  </si>
  <si>
    <t>CRS Corporate Rental Solutions (Pty) Ltd</t>
  </si>
  <si>
    <t>112 TBLOCK AL F</t>
  </si>
  <si>
    <t>BMG MOTORLINE SPARES</t>
  </si>
  <si>
    <t>112525</t>
  </si>
  <si>
    <t>11Kw 2P 525V motor to suit 630 Fans</t>
  </si>
  <si>
    <t>112X3SPA</t>
  </si>
  <si>
    <t>PULLEY FRICTION BELT V-WEDGE 3 GROOVE SPA 2012 TAPER 112MM FENNER</t>
  </si>
  <si>
    <t>1143.</t>
  </si>
  <si>
    <t>11kW 4Pole 525V B3 NV3 IE1 Cast Iron</t>
  </si>
  <si>
    <t>1143PM</t>
  </si>
  <si>
    <t>11KW 4 POLE 380V Pad Mount Motor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</si>
  <si>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</si>
  <si>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</si>
  <si>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</si>
  <si>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</si>
  <si>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1200000</t>
  </si>
  <si>
    <t>Insurance</t>
  </si>
  <si>
    <t>1210X28MM</t>
  </si>
  <si>
    <t>TAPER LOCK BUSH METRIC 1210 28MM FENNER</t>
  </si>
  <si>
    <t>13-11</t>
  </si>
  <si>
    <t>CABTYRE - 6MM X 6 LUGS 10PKT</t>
  </si>
  <si>
    <t>Alpha Electrical</t>
  </si>
  <si>
    <t>13-12</t>
  </si>
  <si>
    <t>CABTYRE - 6MM X 8 LUGS 10PKT</t>
  </si>
  <si>
    <t>132B0100</t>
  </si>
  <si>
    <t>OPT MICRO LCP DISPLAY W/O POTENTIOM</t>
  </si>
  <si>
    <t>13mm X 8mm</t>
  </si>
  <si>
    <t>A 2100</t>
  </si>
  <si>
    <t>Bluetech Fans (Pty) Ltd</t>
  </si>
  <si>
    <t>15-1</t>
  </si>
  <si>
    <t>TI8R BLK - T18R CABLE TIES BLACK 100MMX2</t>
  </si>
  <si>
    <t>Atlantic Lighting &amp; Electrical distributors</t>
  </si>
  <si>
    <t>15-5</t>
  </si>
  <si>
    <t>T50R BLACK - T50R CABLE TIES BLACK 198MMX4</t>
  </si>
  <si>
    <t>1500W</t>
  </si>
  <si>
    <t>TERAL 17.5KG</t>
  </si>
  <si>
    <t>1502479</t>
  </si>
  <si>
    <t>HTMH-71-4T-4 220/380V. 60Hz IE3</t>
  </si>
  <si>
    <t>1503633</t>
  </si>
  <si>
    <t>CA/LINE/EC-31 50/60Hz.</t>
  </si>
  <si>
    <t>150T900</t>
  </si>
  <si>
    <t>150 Diam Tube Silencer 900L</t>
  </si>
  <si>
    <t>15928</t>
  </si>
  <si>
    <t>Repair CMP-1025-2T-3 ( ROS Del Note 15928)</t>
  </si>
  <si>
    <t>16039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</si>
  <si>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</si>
  <si>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</si>
  <si>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</si>
  <si>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</si>
  <si>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</si>
  <si>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</si>
  <si>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</si>
  <si>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</si>
  <si>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</si>
  <si>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</si>
  <si>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16702</t>
  </si>
  <si>
    <t>PRA GLD FLP TTECH SWA D/COMP NO1 M20</t>
  </si>
  <si>
    <t>168-37</t>
  </si>
  <si>
    <t>FAS3212LF RIVET FA - 3.2MMX12MM POP RIVETS</t>
  </si>
  <si>
    <t>18INLET-CONE</t>
  </si>
  <si>
    <t>18 Inch Inlet Cone</t>
  </si>
  <si>
    <t>1920</t>
  </si>
  <si>
    <t>RENTAL MONTHLY</t>
  </si>
  <si>
    <t>194832</t>
  </si>
  <si>
    <t>M10 FLAT WASHER DIN 125A ZINC BLUE (10 .5i/dx20o/dX2thk)</t>
  </si>
  <si>
    <t>194843</t>
  </si>
  <si>
    <t>M12 FLAT WASHER DIN 125A ZINC BLUE (13i/d x 24o/d x 2 .5 thk)</t>
  </si>
  <si>
    <t>194856</t>
  </si>
  <si>
    <t>M16 FLAT WASHER DIN 125A ZINC BLUE (17i/d x 30o/d X 3thk)</t>
  </si>
  <si>
    <t>194916</t>
  </si>
  <si>
    <t>M6 (6.4 X12X1.6) FLAT WASHER DIN 125A ZINC BLUE</t>
  </si>
  <si>
    <t>194925</t>
  </si>
  <si>
    <t>M8 FLAT WASHER DIN 125A ZINC BLUE (8 . 4ID*16OD*1 . 6THICK)</t>
  </si>
  <si>
    <t>2.2 kw VSD</t>
  </si>
  <si>
    <t>Speed controller</t>
  </si>
  <si>
    <t>AM SYSTEMS INTEGRATIONS (PTY) LTD</t>
  </si>
  <si>
    <t>2.243FM</t>
  </si>
  <si>
    <t>2.2kW 4P 380V Foot Mount Motor</t>
  </si>
  <si>
    <t>200LS</t>
  </si>
  <si>
    <t>Louvre Shutter</t>
  </si>
  <si>
    <t>200T1200</t>
  </si>
  <si>
    <t>200 Diam Tube Silencer 1200L</t>
  </si>
  <si>
    <t>2012X25MM.</t>
  </si>
  <si>
    <t>TAPER LOCK BUSH METRIC 2012 25MM FENNER</t>
  </si>
  <si>
    <t>2012X38MM</t>
  </si>
  <si>
    <t>TAPER LOCK BUSH METRIC 2012 38MM FENNER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</si>
  <si>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</si>
  <si>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</si>
  <si>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</si>
  <si>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</si>
  <si>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</si>
  <si>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</si>
  <si>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221331</t>
  </si>
  <si>
    <t>M150/6 Spare Motor</t>
  </si>
  <si>
    <t>22M16X150</t>
  </si>
  <si>
    <t>M16 X 150 HT Setscrews</t>
  </si>
  <si>
    <t>MADAN Engineering cc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</si>
  <si>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</si>
  <si>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</si>
  <si>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</si>
  <si>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</si>
  <si>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</si>
  <si>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</si>
  <si>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</si>
  <si>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</si>
  <si>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</si>
  <si>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</si>
  <si>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</si>
  <si>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</si>
  <si>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</si>
  <si>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</si>
  <si>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</si>
  <si>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</si>
  <si>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</si>
  <si>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</si>
  <si>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</si>
  <si>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</si>
  <si>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239158</t>
  </si>
  <si>
    <t>M6*25 HT HEX SET SCREW Z/BLUE</t>
  </si>
  <si>
    <t>239281</t>
  </si>
  <si>
    <t>M8*16 HT SET SCREW Z/BLUE</t>
  </si>
  <si>
    <t>241419</t>
  </si>
  <si>
    <t>M10 (10.5X20X2) DIN 125 FLAT WASHER S/S 304 - A2</t>
  </si>
  <si>
    <t>241420</t>
  </si>
  <si>
    <t>M12 FLAT WASHER DIN 125A - (13i/dX24o/dX2.5thk)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</si>
  <si>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</si>
  <si>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</si>
  <si>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</si>
  <si>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</si>
  <si>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</si>
  <si>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</si>
  <si>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</si>
  <si>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</si>
  <si>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</si>
  <si>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</si>
  <si>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</si>
  <si>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</si>
  <si>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</si>
  <si>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</si>
  <si>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</si>
  <si>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</si>
  <si>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245199</t>
  </si>
  <si>
    <t>M5*16 HEX SET SCREW S/S 304 - A2</t>
  </si>
  <si>
    <t>245232</t>
  </si>
  <si>
    <t>M6*16 A2 HEX SET SCREW</t>
  </si>
  <si>
    <t>245328</t>
  </si>
  <si>
    <t>M12 HEX NUT S/S 304 - A2</t>
  </si>
  <si>
    <t>245333</t>
  </si>
  <si>
    <t>M16 HEX NUT S/S A2 304</t>
  </si>
  <si>
    <t>245381</t>
  </si>
  <si>
    <t>M5 HEX NUTS S/S 304 - A2</t>
  </si>
  <si>
    <t>245388</t>
  </si>
  <si>
    <t>M6 HEX NUT S/S 304 - A2</t>
  </si>
  <si>
    <t>250/355 WC</t>
  </si>
  <si>
    <t>Wall Cowl Galvanized</t>
  </si>
  <si>
    <t>25001</t>
  </si>
  <si>
    <t>PRA BLANKING PLUG FLP Exd 20mm</t>
  </si>
  <si>
    <t>250LS</t>
  </si>
  <si>
    <t>250T1200</t>
  </si>
  <si>
    <t>250 Diam Tube Silencer 1200L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</si>
  <si>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</si>
  <si>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</si>
  <si>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</si>
  <si>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</si>
  <si>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</si>
  <si>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</si>
  <si>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257799</t>
  </si>
  <si>
    <t>M10 DIN 934 GRADE 8.8 HEX NUT - Satinless Steel</t>
  </si>
  <si>
    <t>257855</t>
  </si>
  <si>
    <t>M16 GR8 HEX NUT Z/BLUE</t>
  </si>
  <si>
    <t>258032</t>
  </si>
  <si>
    <t>M5 HT HEX NUT Z/BLUE</t>
  </si>
  <si>
    <t>258205</t>
  </si>
  <si>
    <t>M12 HT NYLOCK NUT</t>
  </si>
  <si>
    <t>258306</t>
  </si>
  <si>
    <t>M6 HT NYLOCK NUT</t>
  </si>
  <si>
    <t>26-29</t>
  </si>
  <si>
    <t>4MM RED RING LUGS</t>
  </si>
  <si>
    <t>26-30</t>
  </si>
  <si>
    <t>5MM RED RING LUGS</t>
  </si>
  <si>
    <t>267215</t>
  </si>
  <si>
    <t>M12 HEX NUT ZINC BLUE</t>
  </si>
  <si>
    <t>3 MM PLT</t>
  </si>
  <si>
    <t>Bending</t>
  </si>
  <si>
    <t>3000x1500x3mm</t>
  </si>
  <si>
    <t>HR Sheet CQ 3000x1500x3mm</t>
  </si>
  <si>
    <t>300WL</t>
  </si>
  <si>
    <t>Weather Louvre</t>
  </si>
  <si>
    <t>315 LS</t>
  </si>
  <si>
    <t>315MBP01</t>
  </si>
  <si>
    <t>1-0350-240-P01 - 315 Motor Bracket</t>
  </si>
  <si>
    <t>Mafilisti Trading and Projects (Pty) Ltd</t>
  </si>
  <si>
    <t>343FM</t>
  </si>
  <si>
    <t>3kW 4P 380V Foot Mount Motor</t>
  </si>
  <si>
    <t>350 LV</t>
  </si>
  <si>
    <t>363PM</t>
  </si>
  <si>
    <t>3kW 6P 380V Pad Mount Motor</t>
  </si>
  <si>
    <t>3mm gal plt</t>
  </si>
  <si>
    <t>Program 1 - program 1</t>
  </si>
  <si>
    <t>3mm galv plt</t>
  </si>
  <si>
    <t>Bracket - Bracket</t>
  </si>
  <si>
    <t>3mm plt</t>
  </si>
  <si>
    <t>program 2 - Program 2</t>
  </si>
  <si>
    <t>4 kW 2P 112M</t>
  </si>
  <si>
    <t>3Ph 380-400-415 Standard Efficiency IC418 - TEAO - B30L(D)</t>
  </si>
  <si>
    <t>400053</t>
  </si>
  <si>
    <t>25A TIP HOLDER M6</t>
  </si>
  <si>
    <t>400080</t>
  </si>
  <si>
    <t>TB 250 SHROUD</t>
  </si>
  <si>
    <t>400184</t>
  </si>
  <si>
    <t>LINER 1.00MM AND 1.2MM 4 METRE</t>
  </si>
  <si>
    <t>400238</t>
  </si>
  <si>
    <t>CONTACT TIP BNZ STYLE M6 1.0MM</t>
  </si>
  <si>
    <t>400MBP02</t>
  </si>
  <si>
    <t>1-0350-240 P02 - 400 Motor Bracket</t>
  </si>
  <si>
    <t>400SC</t>
  </si>
  <si>
    <t>400 Diam Side Screen</t>
  </si>
  <si>
    <t>400WL</t>
  </si>
  <si>
    <t>40322</t>
  </si>
  <si>
    <t>40324</t>
  </si>
  <si>
    <t>40329</t>
  </si>
  <si>
    <t>42116</t>
  </si>
  <si>
    <t>BD 12/12 T6 1.1KW 251520160</t>
  </si>
  <si>
    <t>44.13.0010</t>
  </si>
  <si>
    <t>Round Terminal Block</t>
  </si>
  <si>
    <t>443FM</t>
  </si>
  <si>
    <t>4KW 4 D112 ALU Foot 400V IE1 SN:</t>
  </si>
  <si>
    <t>Electromote (Pty) Ltd</t>
  </si>
  <si>
    <t>46000</t>
  </si>
  <si>
    <t>PRA GLAND FLP Exde BRASS CPR N0S M20</t>
  </si>
  <si>
    <t>49111090</t>
  </si>
  <si>
    <t>CATALOGO</t>
  </si>
  <si>
    <t>4mm Grub Screw</t>
  </si>
  <si>
    <t>4mm plt</t>
  </si>
  <si>
    <t>1000 Flanges Special request</t>
  </si>
  <si>
    <t>5.523FM</t>
  </si>
  <si>
    <t>5.5KW 2P 400V FOOT MOUNT MOTOR</t>
  </si>
  <si>
    <t>500 SC</t>
  </si>
  <si>
    <t>500 Diam Side Screen (HOT DEEP GALV)</t>
  </si>
  <si>
    <t>500IM</t>
  </si>
  <si>
    <t>Spare Impeller</t>
  </si>
  <si>
    <t>500MBP03</t>
  </si>
  <si>
    <t>1-0350-240 P03 - 500 Motor Bracket</t>
  </si>
  <si>
    <t>500SC-</t>
  </si>
  <si>
    <t>Screen</t>
  </si>
  <si>
    <t>500mm Zinc</t>
  </si>
  <si>
    <t>- Zinc Filter Clips</t>
  </si>
  <si>
    <t>Airventfil (Pty) Ltd</t>
  </si>
  <si>
    <t>51070</t>
  </si>
  <si>
    <t>PRA REDUCER FLP Ex d/e 32M-25F</t>
  </si>
  <si>
    <t>549CFUG</t>
  </si>
  <si>
    <t>B - 549 Diam Counter Flange Ungalvanised - Buffalo</t>
  </si>
  <si>
    <t>560 20.D.8</t>
  </si>
  <si>
    <t>560 FB</t>
  </si>
  <si>
    <t>Filter Box</t>
  </si>
  <si>
    <t>560/150/10 SI</t>
  </si>
  <si>
    <t>Spare Impeller (560mm 'B' 150A10AR 19mm 080Frame Deg 21 DEG - FM3181)</t>
  </si>
  <si>
    <t>560IMP</t>
  </si>
  <si>
    <t>Impeller 560/250/14 Aluminum - 20 deg pitch, Form B, 24mm Bore</t>
  </si>
  <si>
    <t>560MBP04</t>
  </si>
  <si>
    <t>1-0350-240 P04 - 560 Motor Bracket</t>
  </si>
  <si>
    <t>560SC</t>
  </si>
  <si>
    <t>600 X 600</t>
  </si>
  <si>
    <t>600/150</t>
  </si>
  <si>
    <t>150NB T600 RINGS CUT IN ORDER TO MACHINE FLANGES</t>
  </si>
  <si>
    <t>600WC</t>
  </si>
  <si>
    <t>Wall Cowl &amp; Screen</t>
  </si>
  <si>
    <t>600WL</t>
  </si>
  <si>
    <t>630.20.D.4</t>
  </si>
  <si>
    <t>630/150/10 SI</t>
  </si>
  <si>
    <t>Spare Impeller (0630mm 'B' 150A10AR 24mm 090Frame Deg 35 DEG - FM3180)</t>
  </si>
  <si>
    <t>630/150/5 SI</t>
  </si>
  <si>
    <t>630/250/7SI</t>
  </si>
  <si>
    <t>630/3/6</t>
  </si>
  <si>
    <t>UV 630/3/6 c/w 1.5 kW 6 Pole 380V</t>
  </si>
  <si>
    <t>630HD</t>
  </si>
  <si>
    <t>630mm Horizontal Discharge Unit with flange and mesh</t>
  </si>
  <si>
    <t>630MBP05</t>
  </si>
  <si>
    <t>1-0350-240 P05 - 630 Motor Bracket</t>
  </si>
  <si>
    <t>630SC</t>
  </si>
  <si>
    <t>630WC</t>
  </si>
  <si>
    <t>6M02149B</t>
  </si>
  <si>
    <t>DDM 10/10 3F 6P 550W</t>
  </si>
  <si>
    <t>6N02R9</t>
  </si>
  <si>
    <t>DDM 9/9 - 6N02R9 - 550W 4P 220V-1Ph</t>
  </si>
  <si>
    <t>6N02XF</t>
  </si>
  <si>
    <t>DDM 10/10 E6G2503 1F 4P 1V</t>
  </si>
  <si>
    <t>6X4 HOT RUBBER CBK</t>
  </si>
  <si>
    <t>ABNER ELECTRICAL WHOLESALERS (PTY) LTD</t>
  </si>
  <si>
    <t>6mmEW</t>
  </si>
  <si>
    <t>End Washer - 43mm OD and 6mm ID - Plated</t>
  </si>
  <si>
    <t>7.52FM</t>
  </si>
  <si>
    <t>7.5KW 2P 400V FOOT</t>
  </si>
  <si>
    <t>7.543FM</t>
  </si>
  <si>
    <t>7.5kW 4P 400V B3 Alum QL3 Foot Mount</t>
  </si>
  <si>
    <t>7.5kW</t>
  </si>
  <si>
    <t>4Pole 380V IE1 B3 Cast Iron Foot Mount</t>
  </si>
  <si>
    <t>71 FR 13.8</t>
  </si>
  <si>
    <t>71 Motor frame - 13.8 mm OD spacer</t>
  </si>
  <si>
    <t>710 B</t>
  </si>
  <si>
    <t>Blades</t>
  </si>
  <si>
    <t>710 SI</t>
  </si>
  <si>
    <t>710/150/10 SI</t>
  </si>
  <si>
    <t>Spare Impeller (710mm 'B' 150A10AR 28mm 100Frame 37 DEG - FM3173</t>
  </si>
  <si>
    <t>710MBP06</t>
  </si>
  <si>
    <t>1-0350-240 P06 - 710 Motor Bracket</t>
  </si>
  <si>
    <t>Intervent-Universal (Pty) Ltd</t>
  </si>
  <si>
    <t>710SC</t>
  </si>
  <si>
    <t>Side Screen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</si>
  <si>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</si>
  <si>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</si>
  <si>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</si>
  <si>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</si>
  <si>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</si>
  <si>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</si>
  <si>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</si>
  <si>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</si>
  <si>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</si>
  <si>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</si>
  <si>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</si>
  <si>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</si>
  <si>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</si>
  <si>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</si>
  <si>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</si>
  <si>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</si>
  <si>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</si>
  <si>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</si>
  <si>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</si>
  <si>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</si>
  <si>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</si>
  <si>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</si>
  <si>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</si>
  <si>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</si>
  <si>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</si>
  <si>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</si>
  <si>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</si>
  <si>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</si>
  <si>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</si>
  <si>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</si>
  <si>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</si>
  <si>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800IC</t>
  </si>
  <si>
    <t>Inlet Cone</t>
  </si>
  <si>
    <t>800IMP</t>
  </si>
  <si>
    <t>Phoenix Fans &amp; Engineering</t>
  </si>
  <si>
    <t>800MBP07</t>
  </si>
  <si>
    <t>1-0350-240 P07 - 800 Motor Bracket</t>
  </si>
  <si>
    <t>800S</t>
  </si>
  <si>
    <t>800mm dia Fan Guard - Hot Dip Galvanised</t>
  </si>
  <si>
    <t>800SC</t>
  </si>
  <si>
    <t>Systemair (Pty) Ltd</t>
  </si>
  <si>
    <t>800WC</t>
  </si>
  <si>
    <t>800 Wall Cowl Galvanized</t>
  </si>
  <si>
    <t>8220000263</t>
  </si>
  <si>
    <t>8UFAFCAP - Capacitor</t>
  </si>
  <si>
    <t>Ebmpapst</t>
  </si>
  <si>
    <t>85X3SPA</t>
  </si>
  <si>
    <t>PULLEY FRICTION BELT V-WEDGE 3 GROOVE SPA 1210 TAPER 85MM FENNER</t>
  </si>
  <si>
    <t>9.243PM</t>
  </si>
  <si>
    <t>9.2kW 4P 380V Pad Mount Motor</t>
  </si>
  <si>
    <t>90 FR 23.8</t>
  </si>
  <si>
    <t>90 Motor Frame - 23.8 mm OD Spacer</t>
  </si>
  <si>
    <t>9000007</t>
  </si>
  <si>
    <t>EXTENDED WARRANTY</t>
  </si>
  <si>
    <t>900Impeller</t>
  </si>
  <si>
    <t>Majax-2 900.32.E.8 Spare Impeller</t>
  </si>
  <si>
    <t>900MBP08</t>
  </si>
  <si>
    <t>1-0350-240 P08 - 900 Motor Bracket</t>
  </si>
  <si>
    <t>900SC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</si>
  <si>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</si>
  <si>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</si>
  <si>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</si>
  <si>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</si>
  <si>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</si>
  <si>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</si>
  <si>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</si>
  <si>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</si>
  <si>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</si>
  <si>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</si>
  <si>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99050-EMB-20-R40</t>
  </si>
  <si>
    <t>EMBROIDERY R40 R40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</si>
  <si>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</si>
  <si>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</si>
  <si>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</si>
  <si>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</si>
  <si>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</si>
  <si>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</si>
  <si>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ADF-PVT30</t>
  </si>
  <si>
    <t>PVT 30</t>
  </si>
  <si>
    <t>ADF-PVT30-DUCT</t>
  </si>
  <si>
    <t>Spiral Flex PVC ducting, 5m Length, 300mm Diameter</t>
  </si>
  <si>
    <t>ADRA-</t>
  </si>
  <si>
    <t>RA 1200(W)*600(H) NS PCW</t>
  </si>
  <si>
    <t>ADSD</t>
  </si>
  <si>
    <t>SINGLE DEFLECTION GRILLE 625(W)*625(H) OVER FLANGE NATURAL</t>
  </si>
  <si>
    <t>ADWL.</t>
  </si>
  <si>
    <t>WEATHER LOUVRE 520(W)*520(H) OPENING SIZE NATURALLY ANOD</t>
  </si>
  <si>
    <t>AF4.0X4+EWHSL</t>
  </si>
  <si>
    <t>ALFIX 4.0MM2 4 CORE+E S/LENGHT</t>
  </si>
  <si>
    <t>Alvern Cables (Pty) Ltd</t>
  </si>
  <si>
    <t>AT</t>
  </si>
  <si>
    <t>3001 ALU FOIL TAPE 48mm X 50m (30 micron)</t>
  </si>
  <si>
    <t>ATT/01</t>
  </si>
  <si>
    <t>Attenuator 200x600mm</t>
  </si>
  <si>
    <t>AVMs-</t>
  </si>
  <si>
    <t>Anti-Vibration Rubber Mounts</t>
  </si>
  <si>
    <t>AWSL/1/ 600X600)P/0/P1/</t>
  </si>
  <si>
    <t>Accounting</t>
  </si>
  <si>
    <t>Subscription (Accounting)</t>
  </si>
  <si>
    <t>Sage South Africa (Pty) Ltd</t>
  </si>
  <si>
    <t>Additional Costs</t>
  </si>
  <si>
    <t>Material Cutting Cost</t>
  </si>
  <si>
    <t>Airfreight</t>
  </si>
  <si>
    <t>- 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</si>
  <si>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</si>
  <si>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</si>
  <si>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</si>
  <si>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</si>
  <si>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Assembly</t>
  </si>
  <si>
    <t>Building Casing &amp; Impeller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</si>
  <si>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</si>
  <si>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</si>
  <si>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</si>
  <si>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</si>
  <si>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</si>
  <si>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</si>
  <si>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</si>
  <si>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</si>
  <si>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</si>
  <si>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</si>
  <si>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</si>
  <si>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</si>
  <si>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</si>
  <si>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</si>
  <si>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</si>
  <si>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</si>
  <si>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</si>
  <si>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</si>
  <si>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</si>
  <si>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</si>
  <si>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</si>
  <si>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</si>
  <si>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</si>
  <si>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</si>
  <si>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</si>
  <si>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</si>
  <si>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</si>
  <si>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</si>
  <si>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</si>
  <si>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</si>
  <si>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</si>
  <si>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</si>
  <si>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</si>
  <si>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</si>
  <si>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</si>
  <si>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</si>
  <si>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</si>
  <si>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B3</t>
  </si>
  <si>
    <t>IA Certification (Imported Equipment). Document Review and IA Certification Transfer Based on ATEX</t>
  </si>
  <si>
    <t>MEGATON SYSTEMS (PTY) LTD. T/A MTEX LABORATORIES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</si>
  <si>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</si>
  <si>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</si>
  <si>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</si>
  <si>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</si>
  <si>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</si>
  <si>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</si>
  <si>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</si>
  <si>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BCC 15</t>
  </si>
  <si>
    <t>BCC 15/0.75kW arrangement 1A class 2 c/w 4kW 4Pole 525v fan Spped 3057rpm</t>
  </si>
  <si>
    <t>BCC 21/01 Class1 (2A) Belt Driven</t>
  </si>
  <si>
    <t>c/w 5.5 kW 4 Pole 380V (IP66)</t>
  </si>
  <si>
    <t>BCC 39</t>
  </si>
  <si>
    <t>BCC 39/0.99 SISW c/w 75Kw 4P 400V Motor</t>
  </si>
  <si>
    <t>BCC-2 500/1.0</t>
  </si>
  <si>
    <t>4A c/w 7.5 kW 4 Pole 380V</t>
  </si>
  <si>
    <t>BCC15-J61923</t>
  </si>
  <si>
    <t>BCC 15/0.75 CL2 Ar 1A c/w 4.0kw 4P 525V - J61923</t>
  </si>
  <si>
    <t>BDB-280 CM</t>
  </si>
  <si>
    <t>BCC DIDW CENTRIFUGAL FAN</t>
  </si>
  <si>
    <t>BF50L1.51HS</t>
  </si>
  <si>
    <t>Box fan 1250mm LOUV 220v 01.50kW S/S</t>
  </si>
  <si>
    <t>BP01</t>
  </si>
  <si>
    <t>PLASTIC BUCKLES 12MM - (1000)</t>
  </si>
  <si>
    <t>Balance Impeller</t>
  </si>
  <si>
    <t>Impeller Balancing 2.5kg 4p</t>
  </si>
  <si>
    <t>ISO BALANCING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</si>
  <si>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</si>
  <si>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</si>
  <si>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</si>
  <si>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</si>
  <si>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</si>
  <si>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</si>
  <si>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 System</t>
  </si>
  <si>
    <t>MULTI BEND SYSTEM 50 R</t>
  </si>
  <si>
    <t>in house bending</t>
  </si>
  <si>
    <t>C4324</t>
  </si>
  <si>
    <t>2.0MX1.5MX3.MM KLINGERSIL C4324</t>
  </si>
  <si>
    <t>Klinger Mzansi (Pty) Ltd</t>
  </si>
  <si>
    <t>CA/Line/EC</t>
  </si>
  <si>
    <t>31 50/60HZ</t>
  </si>
  <si>
    <t>CANCOLSPIG150</t>
  </si>
  <si>
    <t>CANCOLLAR SPIGOT 150 DIA</t>
  </si>
  <si>
    <t>CCTV</t>
  </si>
  <si>
    <t>Camera Replacement</t>
  </si>
  <si>
    <t>AXEGROUP</t>
  </si>
  <si>
    <t>CE 250</t>
  </si>
  <si>
    <t>CE200</t>
  </si>
  <si>
    <t>CF/01</t>
  </si>
  <si>
    <t>LCF 56 - 1440rpm - 4 Speed 220V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</si>
  <si>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</si>
  <si>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</si>
  <si>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</si>
  <si>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</si>
  <si>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</si>
  <si>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</si>
  <si>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</si>
  <si>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</si>
  <si>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</si>
  <si>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</si>
  <si>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CLIPS003</t>
  </si>
  <si>
    <t>75mm Galv Filter Clip</t>
  </si>
  <si>
    <t>Filtermac Design ( Pty) Ltd</t>
  </si>
  <si>
    <t>CMV400</t>
  </si>
  <si>
    <t>CMVpro 400 P4 PPs Casing &amp; impeller RD 90 Fan c/w 5.5kw 4P 380V</t>
  </si>
  <si>
    <t>Polimatrix SA (Pty) Ltd</t>
  </si>
  <si>
    <t>CN4PC-SS-DAS</t>
  </si>
  <si>
    <t>Screws &amp; Springs for Combination Set Dasqua</t>
  </si>
  <si>
    <t>COUNCIL BILLINGG</t>
  </si>
  <si>
    <t>February Council Billing</t>
  </si>
  <si>
    <t>Stand 231 Alrode South CC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</si>
  <si>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</si>
  <si>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</si>
  <si>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</si>
  <si>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</si>
  <si>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</si>
  <si>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</si>
  <si>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</si>
  <si>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</si>
  <si>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CSH1000x1.5</t>
  </si>
  <si>
    <t>Copper Sheet (2000x1000x1.5mm)</t>
  </si>
  <si>
    <t>Gold Circle Metals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</si>
  <si>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</si>
  <si>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</si>
  <si>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</si>
  <si>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</si>
  <si>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</si>
  <si>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</si>
  <si>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</si>
  <si>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CZ315C</t>
  </si>
  <si>
    <t>Neoprene Clamp 315</t>
  </si>
  <si>
    <t>Centrifugal Fan</t>
  </si>
  <si>
    <t>280 CM BCC DIDW CENTRIFUGAL FAN</t>
  </si>
  <si>
    <t>Company Car</t>
  </si>
  <si>
    <t>Mahindra 1.2T MX2 A/T</t>
  </si>
  <si>
    <t>Compile</t>
  </si>
  <si>
    <t>Report</t>
  </si>
  <si>
    <t>TDCM Engineering cc</t>
  </si>
  <si>
    <t>Counter-Flanges</t>
  </si>
  <si>
    <t>DDM 10/10</t>
  </si>
  <si>
    <t>Crates</t>
  </si>
  <si>
    <t>Wooden crates</t>
  </si>
  <si>
    <t>D)</t>
  </si>
  <si>
    <t>Casings - 315mm Casing to Suit Above</t>
  </si>
  <si>
    <t>D100000</t>
  </si>
  <si>
    <t>UV250/1/6/F</t>
  </si>
  <si>
    <t>D100073</t>
  </si>
  <si>
    <t>CE250BB</t>
  </si>
  <si>
    <t>D10075</t>
  </si>
  <si>
    <t>Lineo 125 Kit</t>
  </si>
  <si>
    <t>D4E180</t>
  </si>
  <si>
    <t>CA02-02 50/60Hz 230V</t>
  </si>
  <si>
    <t>DMP</t>
  </si>
  <si>
    <t>VCDQK - VC DAMPER WITH QUADRANT KIT 150*150</t>
  </si>
  <si>
    <t>DRILL BIT</t>
  </si>
  <si>
    <t>3MM - Drill bit 3mm HSS</t>
  </si>
  <si>
    <t>DTG/01</t>
  </si>
  <si>
    <t>DRG 300x150 Mill c/w Powder Coating</t>
  </si>
  <si>
    <t>Delivery</t>
  </si>
  <si>
    <t>- Delivery</t>
  </si>
  <si>
    <t>D3 Express (PTY) Ltd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</si>
  <si>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</si>
  <si>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</si>
  <si>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</si>
  <si>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</si>
  <si>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</si>
  <si>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</si>
  <si>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</si>
  <si>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</si>
  <si>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</si>
  <si>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</si>
  <si>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</si>
  <si>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</si>
  <si>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</si>
  <si>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</si>
  <si>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</si>
  <si>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E1006999</t>
  </si>
  <si>
    <t>BD-140 / INOX 316 - Inlet Transition</t>
  </si>
  <si>
    <t>E1012489</t>
  </si>
  <si>
    <t>CMP-514-2T UL/CSA 480V. 60Hz</t>
  </si>
  <si>
    <t>E1350433</t>
  </si>
  <si>
    <t>HCT/EC-45-2T-2 400V. 50/60Hz. IE5</t>
  </si>
  <si>
    <t>EAF 06.</t>
  </si>
  <si>
    <t>3040 l/s @ 300Pa (Set 710 Blades to 20 Degree)</t>
  </si>
  <si>
    <t>ECO100220</t>
  </si>
  <si>
    <t>Bubble Wrap - 1250mm x 100mm</t>
  </si>
  <si>
    <t>Econopak CC</t>
  </si>
  <si>
    <t>EG/01</t>
  </si>
  <si>
    <t>EG/02</t>
  </si>
  <si>
    <t>4 way Ceiling Diffuser</t>
  </si>
  <si>
    <t>EML2303033</t>
  </si>
  <si>
    <t>5.5kw 4P 400V/690V B3T 132S IE1 Motor</t>
  </si>
  <si>
    <t>EUA1152MM</t>
  </si>
  <si>
    <t>Eurotherm A1 152mm - 10M</t>
  </si>
  <si>
    <t>HVAC DISTRIBUTORS (PTY) LTD</t>
  </si>
  <si>
    <t>EVC-JH168</t>
  </si>
  <si>
    <t>Evaporative Air Cooler: 220V, 380W, 3 Speed, 8000m3/hr, 80Pa</t>
  </si>
  <si>
    <t>EVM100</t>
  </si>
  <si>
    <t>100MM METAL EXTRACT VALVE</t>
  </si>
  <si>
    <t>Evaporative Air Cooler</t>
  </si>
  <si>
    <t>380W, 230V, 800m3/hr, 75lt - 3 Speed</t>
  </si>
  <si>
    <t>F)</t>
  </si>
  <si>
    <t>Brackets - set motor mounting bracket (threaded rod)</t>
  </si>
  <si>
    <t>FAN QCP</t>
  </si>
  <si>
    <t>Data Book</t>
  </si>
  <si>
    <t>FB</t>
  </si>
  <si>
    <t>Filter box, wall sleeve and flashing</t>
  </si>
  <si>
    <t>FBar-50x8mm-6M</t>
  </si>
  <si>
    <t>Flat Bar CQ 50x8mm 6M</t>
  </si>
  <si>
    <t>FILTERSS</t>
  </si>
  <si>
    <t>RIGID POC FILTERS</t>
  </si>
  <si>
    <t>FLAT WASHER</t>
  </si>
  <si>
    <t>M6 ZB - M6 (6.4 X12X1.6) FLAT WASHER DIN 125A ZINC BLUE</t>
  </si>
  <si>
    <t>FM</t>
  </si>
  <si>
    <t>004 - 2940 rpm SANS 60079-15</t>
  </si>
  <si>
    <t>FM- 003</t>
  </si>
  <si>
    <t>7.5kW Stator Rewind to 525V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</si>
  <si>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</si>
  <si>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</si>
  <si>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</si>
  <si>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</si>
  <si>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</si>
  <si>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</si>
  <si>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FT8003004</t>
  </si>
  <si>
    <t>Fumax 800.32.E.8.300.4.3 c/w 3 kW 4 Pole 380V</t>
  </si>
  <si>
    <t>FUMAX105X105</t>
  </si>
  <si>
    <t>UV print onto alu plates (105mm x105mm) block cut</t>
  </si>
  <si>
    <t>HC Soekoe CC</t>
  </si>
  <si>
    <t>FUMAX40X65</t>
  </si>
  <si>
    <t>UV print onto alu plates (40mm x65mm) block cut</t>
  </si>
  <si>
    <t>Fan Screen</t>
  </si>
  <si>
    <t>500mm Dia</t>
  </si>
  <si>
    <t>Fan Testing</t>
  </si>
  <si>
    <t>Service Engineer x1</t>
  </si>
  <si>
    <t>Fumax 1000.32.F.8.1100.4.3</t>
  </si>
  <si>
    <t>c/w 11 kW 4 Pole 380 V Motor</t>
  </si>
  <si>
    <t>Fumax 1000.32.F.8.1850.4.3</t>
  </si>
  <si>
    <t>c/w 18.5 kW 4 Pole 400 V Motor</t>
  </si>
  <si>
    <t>Fumax 10007504</t>
  </si>
  <si>
    <t>1000 32.F.8 c/w 7.5kW 4 Pole 380V</t>
  </si>
  <si>
    <t>Fumax 560</t>
  </si>
  <si>
    <t>Fumax 560.20.D.8 C/W 3KW 2P 380V</t>
  </si>
  <si>
    <t>Fumax 630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</si>
  <si>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</si>
  <si>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</si>
  <si>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</si>
  <si>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</si>
  <si>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</si>
  <si>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</si>
  <si>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900.20.E.8.0550.4.3</t>
  </si>
  <si>
    <t>c/w 5.5 kW 4 Pole 380 V</t>
  </si>
  <si>
    <t>Fumax 900.20.E.8.0750.4.3</t>
  </si>
  <si>
    <t>c/w 7.7 kW 4 Pole 380 V Motor</t>
  </si>
  <si>
    <t>Fumax400</t>
  </si>
  <si>
    <t>Fumax 4000.15.B.4 C/W 1.5KW 2P 380V</t>
  </si>
  <si>
    <t>G023</t>
  </si>
  <si>
    <t>GLOVES 2.5 GREEN WRIST</t>
  </si>
  <si>
    <t>G2E180EH0301</t>
  </si>
  <si>
    <t>220V SI Centrifugal Fan</t>
  </si>
  <si>
    <t>GALV-TERMINAL CAP</t>
  </si>
  <si>
    <t>TERMINAL CAP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</si>
  <si>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</si>
  <si>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</si>
  <si>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</si>
  <si>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</si>
  <si>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</si>
  <si>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</si>
  <si>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</si>
  <si>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</si>
  <si>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</si>
  <si>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</si>
  <si>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GRM300</t>
  </si>
  <si>
    <t>Shutter PVC Gravity for 200mmFan S/Frame</t>
  </si>
  <si>
    <t>GRM350.</t>
  </si>
  <si>
    <t>GRM535</t>
  </si>
  <si>
    <t>Shutter PVC Gravity for 400mmFan S/Frame</t>
  </si>
  <si>
    <t>H20102</t>
  </si>
  <si>
    <t>WEATHER SEAL 6mm*25mm*5mt BLACK FOAM</t>
  </si>
  <si>
    <t>Securadeal</t>
  </si>
  <si>
    <t>HANDLING FEE.</t>
  </si>
  <si>
    <t>GOODS RETURNED HANDLING FEE - CHARGED AT 15%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</si>
  <si>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</si>
  <si>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</si>
  <si>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</si>
  <si>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</si>
  <si>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</si>
  <si>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</si>
  <si>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</si>
  <si>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</si>
  <si>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</si>
  <si>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</si>
  <si>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</si>
  <si>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</si>
  <si>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</si>
  <si>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</si>
  <si>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HJBM.PLUS.45.T4</t>
  </si>
  <si>
    <t>0.55kw</t>
  </si>
  <si>
    <t>HPLV710152</t>
  </si>
  <si>
    <t>HPLV 710/1.0 SISW Ar 6A c/w 15Kw 2P 400V</t>
  </si>
  <si>
    <t>HV 12.5</t>
  </si>
  <si>
    <t>HV1250 c/w 1.1Kw 450 rpm 380V</t>
  </si>
  <si>
    <t>HV-7</t>
  </si>
  <si>
    <t>HV 7 c/w 0.45kW 6Pole</t>
  </si>
  <si>
    <t>HV5380V</t>
  </si>
  <si>
    <t>HV5 c/w 0.55kw 380V</t>
  </si>
  <si>
    <t>HV7T</t>
  </si>
  <si>
    <t>HV 7 c/w 0.45kw 6P 380v</t>
  </si>
  <si>
    <t>HV9.5 Fan</t>
  </si>
  <si>
    <t>HV 9.5 - 220V 0.55KW</t>
  </si>
  <si>
    <t>HVF</t>
  </si>
  <si>
    <t>105L-6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</si>
  <si>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</si>
  <si>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</si>
  <si>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</si>
  <si>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</si>
  <si>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</si>
  <si>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</si>
  <si>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</si>
  <si>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ID75/180OD</t>
  </si>
  <si>
    <t>Cooling Spinner - 75mm ID - 180 OD</t>
  </si>
  <si>
    <t>IM-CF</t>
  </si>
  <si>
    <t>Light duty Impeller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</si>
  <si>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</si>
  <si>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</si>
  <si>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</si>
  <si>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</si>
  <si>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</si>
  <si>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</si>
  <si>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</si>
  <si>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</si>
  <si>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</si>
  <si>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</si>
  <si>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</si>
  <si>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</si>
  <si>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</si>
  <si>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</si>
  <si>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</si>
  <si>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</si>
  <si>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</si>
  <si>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</si>
  <si>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</si>
  <si>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</si>
  <si>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</si>
  <si>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</si>
  <si>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</si>
  <si>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</si>
  <si>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</si>
  <si>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</si>
  <si>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</si>
  <si>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</si>
  <si>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</si>
  <si>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</si>
  <si>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</si>
  <si>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</si>
  <si>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</si>
  <si>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</si>
  <si>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</si>
  <si>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</si>
  <si>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</si>
  <si>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</si>
  <si>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</si>
  <si>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</si>
  <si>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</si>
  <si>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</si>
  <si>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</si>
  <si>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</si>
  <si>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</si>
  <si>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</si>
  <si>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</si>
  <si>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</si>
  <si>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</si>
  <si>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</si>
  <si>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</si>
  <si>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</si>
  <si>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</si>
  <si>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</si>
  <si>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</si>
  <si>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</si>
  <si>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</si>
  <si>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</si>
  <si>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</si>
  <si>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</si>
  <si>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</si>
  <si>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</si>
  <si>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</si>
  <si>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</si>
  <si>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</si>
  <si>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</si>
  <si>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</si>
  <si>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</si>
  <si>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</si>
  <si>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</si>
  <si>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</si>
  <si>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</si>
  <si>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</si>
  <si>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</si>
  <si>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</si>
  <si>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</si>
  <si>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</si>
  <si>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</si>
  <si>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</si>
  <si>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</si>
  <si>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</si>
  <si>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</si>
  <si>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</si>
  <si>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</si>
  <si>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</si>
  <si>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</si>
  <si>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</si>
  <si>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</si>
  <si>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</si>
  <si>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</si>
  <si>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</si>
  <si>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</si>
  <si>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</si>
  <si>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</si>
  <si>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</si>
  <si>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</si>
  <si>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</si>
  <si>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</si>
  <si>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</si>
  <si>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</si>
  <si>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IMP1000B250A14AR38132</t>
  </si>
  <si>
    <t>Impeller 1000mm 'B' 250A14AR 38mm 132Frame Deg00 - 25 DEG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</si>
  <si>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</si>
  <si>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</si>
  <si>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</si>
  <si>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</si>
  <si>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</si>
  <si>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</si>
  <si>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</si>
  <si>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</si>
  <si>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</si>
  <si>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</si>
  <si>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INLET-CONE</t>
  </si>
  <si>
    <t>Imepeller 560mm 'B' 250A14AR</t>
  </si>
  <si>
    <t>19mm 080Frame 15DEG</t>
  </si>
  <si>
    <t>Imp BI</t>
  </si>
  <si>
    <t>Set pitch, Crop &amp; Balance impeller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</si>
  <si>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</si>
  <si>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</si>
  <si>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</si>
  <si>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</si>
  <si>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</si>
  <si>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</si>
  <si>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</si>
  <si>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</si>
  <si>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</si>
  <si>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</si>
  <si>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</si>
  <si>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</si>
  <si>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</si>
  <si>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</si>
  <si>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</si>
  <si>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</si>
  <si>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</si>
  <si>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Installation</t>
  </si>
  <si>
    <t>Attenuators</t>
  </si>
  <si>
    <t>Fresh Air Projects (Pty) Ltd</t>
  </si>
  <si>
    <t>J70889 FAN</t>
  </si>
  <si>
    <t>BCC-2 900/1.0 SISW c/w 7.5Kw 4P 380V</t>
  </si>
  <si>
    <t>J96202-BCC-2315</t>
  </si>
  <si>
    <t>BCC-2 315 Class 1 AR 4A DIDW excl motor</t>
  </si>
  <si>
    <t>JB1948</t>
  </si>
  <si>
    <t>HPLV 630/0.71 c/w 4.0kw 2890rpm 525V Motor</t>
  </si>
  <si>
    <t>JC6202</t>
  </si>
  <si>
    <t>BCC-2 Class 1 DI2DW c/w 2,2kW 4P 400V - 2522RPM</t>
  </si>
  <si>
    <t>JN2002-GNTBOOT-500-00-06</t>
  </si>
  <si>
    <t>GRANITE CHELSEA BOOTS BLACK 6</t>
  </si>
  <si>
    <t>JN2002-GNTBOOT-500-00-07</t>
  </si>
  <si>
    <t>GRANITE CHELSEA BOOTS BLACK 7</t>
  </si>
  <si>
    <t>JTPOLY-6398B-600-03-M</t>
  </si>
  <si>
    <t>WORK T BLACK M</t>
  </si>
  <si>
    <t>KAT 15/15 C2</t>
  </si>
  <si>
    <t>TWIN BARE FAN 380/380 CW FCC</t>
  </si>
  <si>
    <t>KDD 12/12-6-1</t>
  </si>
  <si>
    <t>FAN KDD 12/12 517W 6P-1 3SY</t>
  </si>
  <si>
    <t>KHA50</t>
  </si>
  <si>
    <t>Speed Controller</t>
  </si>
  <si>
    <t>KSB 150</t>
  </si>
  <si>
    <t>INLINE SILENT FAN</t>
  </si>
  <si>
    <t>KUL</t>
  </si>
  <si>
    <t>1/200 X 200 back draft damper</t>
  </si>
  <si>
    <t>Keep-plate5mmOD</t>
  </si>
  <si>
    <t>Keep Plate 5mm OD. 42mm, ID. 6mm</t>
  </si>
  <si>
    <t>L20300630</t>
  </si>
  <si>
    <t>24 - 630mm Louvre Shutter Size 756 X 756</t>
  </si>
  <si>
    <t>LASER CUTTING-255</t>
  </si>
  <si>
    <t>255 x 298 x 5mm</t>
  </si>
  <si>
    <t>LCE 250</t>
  </si>
  <si>
    <t>Extractor Ceiling Fan 250mm 220v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</si>
  <si>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</si>
  <si>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</si>
  <si>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</si>
  <si>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</si>
  <si>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</si>
  <si>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</si>
  <si>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</si>
  <si>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</si>
  <si>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</si>
  <si>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</si>
  <si>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</si>
  <si>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</si>
  <si>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LT10-3SPD</t>
  </si>
  <si>
    <t>LT10 - 3-Step Speed Controller 10Amp</t>
  </si>
  <si>
    <t>Labour.</t>
  </si>
  <si>
    <t>Repair Dasqua 1012-2010-A COMBINATION SET SQUARE</t>
  </si>
  <si>
    <t>Laptop</t>
  </si>
  <si>
    <t>Lenovo AMD RYZEN 7 (i7) 7730U 2.0GHz -8GB ram 512GB 15.6 ich FHD battery 3 Cell</t>
  </si>
  <si>
    <t>Laser Cutting-B</t>
  </si>
  <si>
    <t>Program Buffalo</t>
  </si>
  <si>
    <t>M10 DIN 934 GRADE 8.8 HEX NUT Z/BLUE 10 934 GR8 ZB</t>
  </si>
  <si>
    <t>M10 FLAT WASHER (10 .5i/dx20o/dxthk) S/S A2</t>
  </si>
  <si>
    <t>M10 Flat Washer S/S A2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</si>
  <si>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</si>
  <si>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</si>
  <si>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</si>
  <si>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</si>
  <si>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</si>
  <si>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</si>
  <si>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</si>
  <si>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</si>
  <si>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</si>
  <si>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</si>
  <si>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</si>
  <si>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M10X40</t>
  </si>
  <si>
    <t>HT HEX SET SCREWS</t>
  </si>
  <si>
    <t>M10X45</t>
  </si>
  <si>
    <t>M10X45 HT HEX SET SCREWS</t>
  </si>
  <si>
    <t>M10X65</t>
  </si>
  <si>
    <t>M10X65 HT HEX SET SCREWS</t>
  </si>
  <si>
    <t>M12</t>
  </si>
  <si>
    <t>HEX NUT ZINC BLUE</t>
  </si>
  <si>
    <t>M12 S/S</t>
  </si>
  <si>
    <t>M12 FLAT WASHER - S/S A2 - 304</t>
  </si>
  <si>
    <t>M12*40</t>
  </si>
  <si>
    <t>M12*40 HT HEX NUT Z/BLUE</t>
  </si>
  <si>
    <t>M12*60</t>
  </si>
  <si>
    <t>M12X60 HT HEX SET SCREW Z/BLUE -Silver</t>
  </si>
  <si>
    <t>M12*90</t>
  </si>
  <si>
    <t>HEX SET SCREW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</si>
  <si>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</si>
  <si>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</si>
  <si>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</si>
  <si>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</si>
  <si>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</si>
  <si>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</si>
  <si>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</si>
  <si>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M14 FLAT WASHER DIN 125A ZINC BLUE (15i / d X 28o/d X 2.5thk) 14 125A ZB</t>
  </si>
  <si>
    <t>M14 HT NYLOCK NUT 14 985 GR8</t>
  </si>
  <si>
    <t>M14*50 HT HEX SET SCREW Z/BLUE 14X50 933 8 . 8 ZB</t>
  </si>
  <si>
    <t>M16 FLAT WASHER DIN (17i/d X 30o/d 3thk) S/S A2</t>
  </si>
  <si>
    <t>M16 FLAT WASHER DIN (17i/d x 30o/d X 3thk) S/S A2</t>
  </si>
  <si>
    <t>M16 FLAT WASHER DIN 125A ZINC BLUE (17i/d X 30o/d 3thk) 16 125A ZB</t>
  </si>
  <si>
    <t>M16 GR8 HEX NUT Z/BLUE 16 934 GR8 ZB</t>
  </si>
  <si>
    <t>M16 HEX</t>
  </si>
  <si>
    <t>M16 HEX NUT HOT DIP GALV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</si>
  <si>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</si>
  <si>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</si>
  <si>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</si>
  <si>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</si>
  <si>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</si>
  <si>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</si>
  <si>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M16*120 HT HEX SET SCREW</t>
  </si>
  <si>
    <t>M16*120 HT HEX SET SCREW 16X120 933 8.8</t>
  </si>
  <si>
    <t>M16*20</t>
  </si>
  <si>
    <t>M16*20 Hex Set Screws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</si>
  <si>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</si>
  <si>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</si>
  <si>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</si>
  <si>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</si>
  <si>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</si>
  <si>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</si>
  <si>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 DIN 580 TESTED EYE BOLT GALV M20EYE OLD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</si>
  <si>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</si>
  <si>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</si>
  <si>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</si>
  <si>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</si>
  <si>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</si>
  <si>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</si>
  <si>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</si>
  <si>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</si>
  <si>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</si>
  <si>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</si>
  <si>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</si>
  <si>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</si>
  <si>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</si>
  <si>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</si>
  <si>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</si>
  <si>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</si>
  <si>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</si>
  <si>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</si>
  <si>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</si>
  <si>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</si>
  <si>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</si>
  <si>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</si>
  <si>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</si>
  <si>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</si>
  <si>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</si>
  <si>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</si>
  <si>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</si>
  <si>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MANUFACTURE RAW CASINGS</t>
  </si>
  <si>
    <t>RAW CASING</t>
  </si>
  <si>
    <t>MB315</t>
  </si>
  <si>
    <t>315diam mounting brackets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</si>
  <si>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</si>
  <si>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</si>
  <si>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</si>
  <si>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</si>
  <si>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</si>
  <si>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</si>
  <si>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MB800</t>
  </si>
  <si>
    <t>800diam mounting brackets</t>
  </si>
  <si>
    <t>MJ1500</t>
  </si>
  <si>
    <t>Majax-1 470 Impeller</t>
  </si>
  <si>
    <t>MR60Hz</t>
  </si>
  <si>
    <t>Rewind motor to 60Hz incl. SATMOS Treatment</t>
  </si>
  <si>
    <t>MT-PROMIG 250T</t>
  </si>
  <si>
    <t>PROMIG 250T MACHINE</t>
  </si>
  <si>
    <t>MT4007502</t>
  </si>
  <si>
    <t>MAJAX 400 c/w 0.75kW 2Pole 380V</t>
  </si>
  <si>
    <t>MT7603004</t>
  </si>
  <si>
    <t>Majax-2 760-32-E-8 c/w 3.0KW 4P 380V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</si>
  <si>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</si>
  <si>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</si>
  <si>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</si>
  <si>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</si>
  <si>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</si>
  <si>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</si>
  <si>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NAME PLATES</t>
  </si>
  <si>
    <t>Name plates/ engraving plates</t>
  </si>
  <si>
    <t>Cuspal Manufacturing &amp; Anodising CC</t>
  </si>
  <si>
    <t>NITRO PRO</t>
  </si>
  <si>
    <t>includes PDF Editing (Windows, Mac, iOS), unlimited eSigning, and Customer Support.</t>
  </si>
  <si>
    <t>Cleverbridge GmbH - NITRO</t>
  </si>
  <si>
    <t>NRD</t>
  </si>
  <si>
    <t>Non Return Discharge Dampers</t>
  </si>
  <si>
    <t>NS40/610/610/300</t>
  </si>
  <si>
    <t>HEPA FILTER 4000M3/H</t>
  </si>
  <si>
    <t>Filta Matix</t>
  </si>
  <si>
    <t>OUTSTANDING BALANCE</t>
  </si>
  <si>
    <t>Outstanding Balance for industrial Fans</t>
  </si>
  <si>
    <t>PD2</t>
  </si>
  <si>
    <t>White</t>
  </si>
  <si>
    <t>PHPM20B</t>
  </si>
  <si>
    <t>M20 SCREW-IN BLANKING PLUGS (BLK)</t>
  </si>
  <si>
    <t>ElectroMechanica (Pty) Ltd</t>
  </si>
  <si>
    <t>PINE</t>
  </si>
  <si>
    <t>CRATING 25X114X1.8M</t>
  </si>
  <si>
    <t>PMGB20-13.5</t>
  </si>
  <si>
    <t>M20 NYLON COMPRESSION GLAND GREY</t>
  </si>
  <si>
    <t>PMGB25-18</t>
  </si>
  <si>
    <t>M25 NYLON COMPRESSION GLAND GREY</t>
  </si>
  <si>
    <t>POZI SELF TAPPER</t>
  </si>
  <si>
    <t>10 - No10 (4 .8mm)x19 PAN/HD POZI SELF TAPPER 10X19 7981</t>
  </si>
  <si>
    <t>PR3mm x 1300mm</t>
  </si>
  <si>
    <t>New W11F 3mm x 1300mm Plate Roller</t>
  </si>
  <si>
    <t>Mech Tech Precision (Pty) Ltd</t>
  </si>
  <si>
    <t>PRA GLAND FLP Exde BRASS CPR N*1 M20</t>
  </si>
  <si>
    <t>PRA LOCKNUT BRASS No 0 &amp; 1</t>
  </si>
  <si>
    <t>M20 - PRA LOCKNUT BRASS No 0 &amp; 1 - M20</t>
  </si>
  <si>
    <t>PRA LOCKNUT BRASS No 2</t>
  </si>
  <si>
    <t>M25 - PRA LOCKNUT BRASS No 2 - M25</t>
  </si>
  <si>
    <t>PRA REDUCER FLP Ex d/e 25M-20F</t>
  </si>
  <si>
    <t>PROGRAM</t>
  </si>
  <si>
    <t>Customized Programming Service - Development of web Based Fan Selection Program</t>
  </si>
  <si>
    <t>PRPFAN822</t>
  </si>
  <si>
    <t>FAC30/4 Propeller Fan</t>
  </si>
  <si>
    <t>PVT/30</t>
  </si>
  <si>
    <t>PVT/30 c/w 380W 2800RPM 220V</t>
  </si>
  <si>
    <t>PVT/50</t>
  </si>
  <si>
    <t>PVT /50 c/w 2.2KkW 2800RPM 220V</t>
  </si>
  <si>
    <t>PWT PI150 0R7G3Z</t>
  </si>
  <si>
    <t>PI150 VSD 0.75KW 380V IP20 BRK</t>
  </si>
  <si>
    <t>Partial Payment</t>
  </si>
  <si>
    <t>Industrial fan - Partial Payment</t>
  </si>
  <si>
    <t>Plasma Cuts</t>
  </si>
  <si>
    <t>Sheets cut(10), Plates cut(56) &amp; Ends Cut(60)</t>
  </si>
  <si>
    <t>QCP-</t>
  </si>
  <si>
    <t>QD GP 5LT</t>
  </si>
  <si>
    <t>QD GREY PRIMER 5LT</t>
  </si>
  <si>
    <t>RA</t>
  </si>
  <si>
    <t>1500x600x850 long Rectangular Attenuator</t>
  </si>
  <si>
    <t>RECT ATT</t>
  </si>
  <si>
    <t>1100 X 1100 and 1500mm Long</t>
  </si>
  <si>
    <t>REFURBISHING</t>
  </si>
  <si>
    <t>FAN REFURBISHMENT</t>
  </si>
  <si>
    <t>RENTAL</t>
  </si>
  <si>
    <t>RIGM6</t>
  </si>
  <si>
    <t>RIGID POC FILTERS 600X600X600 M6 6POC</t>
  </si>
  <si>
    <t>RS1-400</t>
  </si>
  <si>
    <t>Controller 1.8 amp ( Excl.J.Box)</t>
  </si>
  <si>
    <t>RT1.25-4S</t>
  </si>
  <si>
    <t>Red Ring Terminal 4mm Stud</t>
  </si>
  <si>
    <t>Cabrical (Pty) Ltd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</si>
  <si>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</si>
  <si>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</si>
  <si>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</si>
  <si>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</si>
  <si>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</si>
  <si>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</si>
  <si>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</si>
  <si>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</si>
  <si>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</si>
  <si>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</si>
  <si>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RepairCMP</t>
  </si>
  <si>
    <t>Repair teh casing by replacing the flange to be 3mm thick and re-paint entire casing</t>
  </si>
  <si>
    <t>Rewind Motors</t>
  </si>
  <si>
    <t>From 400V to 525V</t>
  </si>
  <si>
    <t>Rewind To</t>
  </si>
  <si>
    <t>525V</t>
  </si>
  <si>
    <t>S-STARMIG-255</t>
  </si>
  <si>
    <t>SMARTER STAR MIG 255 with Parker torch</t>
  </si>
  <si>
    <t>S/S</t>
  </si>
  <si>
    <t>Pleated Panel Filter 595 x 595 x 48</t>
  </si>
  <si>
    <t>S1</t>
  </si>
  <si>
    <t>Silencers</t>
  </si>
  <si>
    <t>SAV STICKERS</t>
  </si>
  <si>
    <t>Solvent Printed SAV Stickers - Rounded Corners - (108mm x 88mm)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</si>
  <si>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</si>
  <si>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</si>
  <si>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</si>
  <si>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</si>
  <si>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</si>
  <si>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</si>
  <si>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</si>
  <si>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</si>
  <si>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</si>
  <si>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</si>
  <si>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</si>
  <si>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</si>
  <si>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</si>
  <si>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</si>
  <si>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SFB04006006</t>
  </si>
  <si>
    <t>Flat Bar CQ 40x6mm 6 Mtr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</si>
  <si>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</si>
  <si>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</si>
  <si>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</si>
  <si>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</si>
  <si>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</si>
  <si>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</si>
  <si>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</si>
  <si>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</si>
  <si>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</si>
  <si>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</si>
  <si>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</si>
  <si>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</si>
  <si>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</si>
  <si>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</si>
  <si>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</si>
  <si>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</si>
  <si>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</si>
  <si>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</si>
  <si>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</si>
  <si>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</si>
  <si>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</si>
  <si>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SP</t>
  </si>
  <si>
    <t>Spark Proofing - SP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</si>
  <si>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</si>
  <si>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</si>
  <si>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</si>
  <si>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</si>
  <si>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</si>
  <si>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</si>
  <si>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</si>
  <si>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</si>
  <si>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</si>
  <si>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</si>
  <si>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SR40MD00 + 0006</t>
  </si>
  <si>
    <t>SCL R40-MD MOR EU M.E 2.2kW - 2 POLI 230-50 V-HZ - MF - CL.F TROP. + PTO - IP55 - PAINTED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</si>
  <si>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</si>
  <si>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</si>
  <si>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</si>
  <si>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</si>
  <si>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</si>
  <si>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</si>
  <si>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STOCK GALVANIZING-12 JULY 2024</t>
  </si>
  <si>
    <t>STORAGE1000000</t>
  </si>
  <si>
    <t>Rental Space to Store Goods</t>
  </si>
  <si>
    <t>Plant Service &amp; Maintenance (PTY) Ltd</t>
  </si>
  <si>
    <t>SWA02.5X4BKLH</t>
  </si>
  <si>
    <t>STEEL WIRE ARMOURED 2.5MM X 4</t>
  </si>
  <si>
    <t>Search Engine</t>
  </si>
  <si>
    <t>Search Engine Optimisation - Pro Package</t>
  </si>
  <si>
    <t>ONPOINT MEDIA SA</t>
  </si>
  <si>
    <t>Service Provider</t>
  </si>
  <si>
    <t>Service</t>
  </si>
  <si>
    <t>Comtech Network Solutions</t>
  </si>
  <si>
    <t>Spare Motor</t>
  </si>
  <si>
    <t>Tiracamino</t>
  </si>
  <si>
    <t>Stantionary</t>
  </si>
  <si>
    <t>Stationary</t>
  </si>
  <si>
    <t>Bond Stationers</t>
  </si>
  <si>
    <t>TAB10130</t>
  </si>
  <si>
    <t>1.1kw 6P 400V B30 90L IE1 MOTOR WEG W21 IP55 AL BOX</t>
  </si>
  <si>
    <t>TAB15030-</t>
  </si>
  <si>
    <t>2.2kW 2P 400V B30 90L IE1 MOTOR WEG W11 IP55 AL BOX</t>
  </si>
  <si>
    <t>TAP08130</t>
  </si>
  <si>
    <t>0.75kw 6P 400V B30 90S IE1 MOTOR WEG W21 IP55 AL LEAD</t>
  </si>
  <si>
    <t>TC10.0X4BKHO7</t>
  </si>
  <si>
    <t>Trailing Cable 10mm2 4 Core</t>
  </si>
  <si>
    <t>TEX1943033</t>
  </si>
  <si>
    <t>3kW 4P 220/380-415V B3T 100L IE1 Motor WEG W21 IP55 FLP</t>
  </si>
  <si>
    <t>TEX2313030</t>
  </si>
  <si>
    <t>5.5kW 6P 380-415/660V B3 132M IE1 MOTOR WEG W21 IP55 FLP</t>
  </si>
  <si>
    <t>Weg SA</t>
  </si>
  <si>
    <t>THINNERS</t>
  </si>
  <si>
    <t>25L - Thinners 25L</t>
  </si>
  <si>
    <t>EIS - (Engineering And Industrial Supplies)</t>
  </si>
  <si>
    <t>TRL</t>
  </si>
  <si>
    <t>Traveling from Office to Airport</t>
  </si>
  <si>
    <t>TTSILENTM125 Fan</t>
  </si>
  <si>
    <t>TTSILENTM125</t>
  </si>
  <si>
    <t>Terminal-B56.36</t>
  </si>
  <si>
    <t>Terminal Block 56.36 - 6TN 56.36 M5 Complete</t>
  </si>
  <si>
    <t>Machine Electrical Components CC</t>
  </si>
  <si>
    <t>Terminal-B70.45</t>
  </si>
  <si>
    <t>Terminal Blocks 70.45 - 6TN10, M6</t>
  </si>
  <si>
    <t>Transport</t>
  </si>
  <si>
    <t>Travel</t>
  </si>
  <si>
    <t>Call Out</t>
  </si>
  <si>
    <t>UV 400 SCREEN</t>
  </si>
  <si>
    <t>400 SCREENS</t>
  </si>
  <si>
    <t>UV 400-3-4</t>
  </si>
  <si>
    <t>c/w 0.55 kW 4 Pole 380</t>
  </si>
  <si>
    <t>UV 400-3-6</t>
  </si>
  <si>
    <t>c/w 0.55 kW 6 Pole 380</t>
  </si>
  <si>
    <t>UV 500</t>
  </si>
  <si>
    <t>Dome Only</t>
  </si>
  <si>
    <t>UV 630/3/6/W</t>
  </si>
  <si>
    <t>c/w 1.5 kW 6 Pole 380 V Motor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</si>
  <si>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</si>
  <si>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</si>
  <si>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</si>
  <si>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</si>
  <si>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</si>
  <si>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</si>
  <si>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</si>
  <si>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</si>
  <si>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</si>
  <si>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</si>
  <si>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</si>
  <si>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</si>
  <si>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</si>
  <si>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</si>
  <si>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</si>
  <si>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</si>
  <si>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VOC</t>
  </si>
  <si>
    <t>Creation, Conformity Review, Inspection &amp; Issuance</t>
  </si>
  <si>
    <t>Bureau Veritas Testing Inspection SA Pty</t>
  </si>
  <si>
    <t>VP 15</t>
  </si>
  <si>
    <t>VP 150K</t>
  </si>
  <si>
    <t>- 37 kW 380V variable speed drive</t>
  </si>
  <si>
    <t>W1G250</t>
  </si>
  <si>
    <t>HH67 - 52 - 48 V (36-57V-) DC. 105 W 2750 min 1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</si>
  <si>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</si>
  <si>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</si>
  <si>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</si>
  <si>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</si>
  <si>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</si>
  <si>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</si>
  <si>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</si>
  <si>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</si>
  <si>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WL 400</t>
  </si>
  <si>
    <t>Wall Mount</t>
  </si>
  <si>
    <t>WL2525</t>
  </si>
  <si>
    <t>WEATHER LOUVRE 250*250 NS NA</t>
  </si>
  <si>
    <t>WL6060</t>
  </si>
  <si>
    <t>WEATHER LOUVRE 600*600 NS NA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</si>
  <si>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</si>
  <si>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</si>
  <si>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</si>
  <si>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</si>
  <si>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</si>
  <si>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</si>
  <si>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</si>
  <si>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</si>
  <si>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</si>
  <si>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Adendorff Machinery Mart</t>
  </si>
  <si>
    <t>Wooden crate charges</t>
  </si>
  <si>
    <t>Z4540002</t>
  </si>
  <si>
    <t>Commission for HFEAVAO.AFM.000298-AECI CHEMICALS</t>
  </si>
  <si>
    <t>ZZZ-SP 2200</t>
  </si>
  <si>
    <t>0.37KW 4P 400 V B3 - IE2-OH71 M ORANGE1</t>
  </si>
  <si>
    <t>Kurt Maier Motor-Press (South africa) (Pty) Ltd t/a EMAC</t>
  </si>
  <si>
    <t>1.5kW VSD</t>
  </si>
  <si>
    <t>1.5kW Variable Speed Controller</t>
  </si>
  <si>
    <t>3kW VSD</t>
  </si>
  <si>
    <t>3kW Variable Speed Controller</t>
  </si>
  <si>
    <t>4kW VSD</t>
  </si>
  <si>
    <t>4kW Variable Speed Controller</t>
  </si>
  <si>
    <t>5.5kW VSD</t>
  </si>
  <si>
    <t>5.5kW Variable Speed Controller</t>
  </si>
  <si>
    <t>KSB250</t>
  </si>
  <si>
    <t>TTSILENTM100</t>
  </si>
  <si>
    <t>TTSILENTM250</t>
  </si>
  <si>
    <t>VCN100</t>
  </si>
  <si>
    <t>VCN100 - External Exhaust Fan - 100mm?</t>
  </si>
  <si>
    <t>VCN150</t>
  </si>
  <si>
    <t>VCN150 - External Exhaust Fan - 150mm?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</si>
</sst>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15"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ySummary" displayName="CategorySummary" ref="A1:D46" totalsRowCount="1">
  <autoFilter ref="A1:D45" xr:uid="{00000000-0009-0000-0100-000001000000}"/>
  <tableColumns count="4">
    <tableColumn id="1" xr3:uid="{00000000-0010-0000-0000-000001000000}" name="Category" totalsRowLabel="TOTAL STOCK"/>
    <tableColumn id="2" xr3:uid="{00000000-0010-0000-0000-000002000000}" name="Total Items" totalsRowFunction="sum"/>
    <tableColumn id="3" xr3:uid="{00000000-0010-0000-0000-000003000000}" name="Total QTY Purchased" totalsRowFunction="sum"/>
    <tableColumn id="4" xr3:uid="{00000000-0010-0000-0000-000004000000}" name="Total QTY Sold" totalsRowFunction="sum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_Accessories" displayName="cat_Accessories" ref="A1:M8" totalsRowCount="1">
  <autoFilter ref="A1:M7" xr:uid="{00000000-0009-0000-0100-000002000000}"/>
  <tableColumns count="13">
    <tableColumn id="1" xr3:uid="{00000000-0010-0000-0100-000001000000}" name="Item" totalsRowLabel="TOTAL STOCK"/>
    <tableColumn id="2" xr3:uid="{00000000-0010-0000-0100-000002000000}" name="Description"/>
    <tableColumn id="3" xr3:uid="{00000000-0010-0000-0100-000003000000}" name="Supplier"/>
    <tableColumn id="4" xr3:uid="{00000000-0010-0000-0100-000004000000}" name="Category"/>
    <tableColumn id="5" xr3:uid="{00000000-0010-0000-0100-000005000000}" name="Cost Price"/>
    <tableColumn id="6" xr3:uid="{00000000-0010-0000-0100-000006000000}" name="Safety Stock" totalsRowFunction="sum"/>
    <tableColumn id="7" xr3:uid="{00000000-0010-0000-0100-000007000000}" name="Reorder Point (ROP)"/>
    <tableColumn id="8" xr3:uid="{00000000-0010-0000-0100-000008000000}" name="Maximum Stock (MAX)" totalsRowFunction="sum"/>
    <tableColumn id="9" xr3:uid="{00000000-0010-0000-0100-000009000000}" name="Current Stock"/>
    <tableColumn id="10" xr3:uid="{00000000-0010-0000-0100-00000A000000}" name="On Order"/>
    <tableColumn id="11" xr3:uid="{00000000-0010-0000-0100-00000B000000}" name="Order Quantity" totalsRowFunction="sum"/>
    <tableColumn id="12" xr3:uid="{00000000-0010-0000-0100-00000C000000}" name="Stock Value" totalsRowFunction="sum"/>
    <tableColumn id="13" xr3:uid="{00000000-0010-0000-0100-00000D000000}" name="Order Value" totalsRowFunction="sum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_BENDINGCUTTING" displayName="cat_BENDINGCUTTING" ref="A1:M3" totalsRowCount="1">
  <autoFilter ref="A1:M2" xr:uid="{00000000-0009-0000-0100-000003000000}"/>
  <tableColumns count="13">
    <tableColumn id="1" xr3:uid="{00000000-0010-0000-0200-000001000000}" name="Item" totalsRowLabel="TOTAL STOCK"/>
    <tableColumn id="2" xr3:uid="{00000000-0010-0000-0200-000002000000}" name="Description"/>
    <tableColumn id="3" xr3:uid="{00000000-0010-0000-0200-000003000000}" name="Supplier"/>
    <tableColumn id="4" xr3:uid="{00000000-0010-0000-0200-000004000000}" name="Category"/>
    <tableColumn id="5" xr3:uid="{00000000-0010-0000-0200-000005000000}" name="Cost Price"/>
    <tableColumn id="6" xr3:uid="{00000000-0010-0000-0200-000006000000}" name="Safety Stock" totalsRowFunction="sum"/>
    <tableColumn id="7" xr3:uid="{00000000-0010-0000-0200-000007000000}" name="Reorder Point (ROP)"/>
    <tableColumn id="8" xr3:uid="{00000000-0010-0000-0200-000008000000}" name="Maximum Stock (MAX)" totalsRowFunction="sum"/>
    <tableColumn id="9" xr3:uid="{00000000-0010-0000-0200-000009000000}" name="Current Stock"/>
    <tableColumn id="10" xr3:uid="{00000000-0010-0000-0200-00000A000000}" name="On Order"/>
    <tableColumn id="11" xr3:uid="{00000000-0010-0000-0200-00000B000000}" name="Order Quantity" totalsRowFunction="sum"/>
    <tableColumn id="12" xr3:uid="{00000000-0010-0000-0200-00000C000000}" name="Stock Value" totalsRowFunction="sum"/>
    <tableColumn id="13" xr3:uid="{00000000-0010-0000-0200-00000D000000}" name="Order Value" totalsRowFunction="sum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_CFLANGE" displayName="cat_CFLANGE" ref="A1:M6" totalsRowCount="1">
  <autoFilter ref="A1:M5" xr:uid="{00000000-0009-0000-0100-000004000000}"/>
  <tableColumns count="13">
    <tableColumn id="1" xr3:uid="{00000000-0010-0000-0300-000001000000}" name="Item" totalsRowLabel="TOTAL STOCK"/>
    <tableColumn id="2" xr3:uid="{00000000-0010-0000-0300-000002000000}" name="Description"/>
    <tableColumn id="3" xr3:uid="{00000000-0010-0000-0300-000003000000}" name="Supplier"/>
    <tableColumn id="4" xr3:uid="{00000000-0010-0000-0300-000004000000}" name="Category"/>
    <tableColumn id="5" xr3:uid="{00000000-0010-0000-0300-000005000000}" name="Cost Price"/>
    <tableColumn id="6" xr3:uid="{00000000-0010-0000-0300-000006000000}" name="Safety Stock" totalsRowFunction="sum"/>
    <tableColumn id="7" xr3:uid="{00000000-0010-0000-0300-000007000000}" name="Reorder Point (ROP)"/>
    <tableColumn id="8" xr3:uid="{00000000-0010-0000-0300-000008000000}" name="Maximum Stock (MAX)" totalsRowFunction="sum"/>
    <tableColumn id="9" xr3:uid="{00000000-0010-0000-0300-000009000000}" name="Current Stock"/>
    <tableColumn id="10" xr3:uid="{00000000-0010-0000-0300-00000A000000}" name="On Order"/>
    <tableColumn id="11" xr3:uid="{00000000-0010-0000-0300-00000B000000}" name="Order Quantity" totalsRowFunction="sum"/>
    <tableColumn id="12" xr3:uid="{00000000-0010-0000-0300-00000C000000}" name="Stock Value" totalsRowFunction="sum"/>
    <tableColumn id="13" xr3:uid="{00000000-0010-0000-0300-00000D000000}" name="Order Value" totalsRowFunction="sum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_CASING" displayName="cat_CASING" ref="A1:M14" totalsRowCount="1">
  <autoFilter ref="A1:M13" xr:uid="{00000000-0009-0000-0100-000005000000}"/>
  <tableColumns count="13">
    <tableColumn id="1" xr3:uid="{00000000-0010-0000-0400-000001000000}" name="Item" totalsRowLabel="TOTAL STOCK"/>
    <tableColumn id="2" xr3:uid="{00000000-0010-0000-0400-000002000000}" name="Description"/>
    <tableColumn id="3" xr3:uid="{00000000-0010-0000-0400-000003000000}" name="Supplier"/>
    <tableColumn id="4" xr3:uid="{00000000-0010-0000-0400-000004000000}" name="Category"/>
    <tableColumn id="5" xr3:uid="{00000000-0010-0000-0400-000005000000}" name="Cost Price"/>
    <tableColumn id="6" xr3:uid="{00000000-0010-0000-0400-000006000000}" name="Safety Stock" totalsRowFunction="sum"/>
    <tableColumn id="7" xr3:uid="{00000000-0010-0000-0400-000007000000}" name="Reorder Point (ROP)"/>
    <tableColumn id="8" xr3:uid="{00000000-0010-0000-0400-000008000000}" name="Maximum Stock (MAX)" totalsRowFunction="sum"/>
    <tableColumn id="9" xr3:uid="{00000000-0010-0000-0400-000009000000}" name="Current Stock"/>
    <tableColumn id="10" xr3:uid="{00000000-0010-0000-0400-00000A000000}" name="On Order"/>
    <tableColumn id="11" xr3:uid="{00000000-0010-0000-0400-00000B000000}" name="Order Quantity" totalsRowFunction="sum"/>
    <tableColumn id="12" xr3:uid="{00000000-0010-0000-0400-00000C000000}" name="Stock Value" totalsRowFunction="sum"/>
    <tableColumn id="13" xr3:uid="{00000000-0010-0000-0400-00000D000000}" name="Order Value" totalsRowFunction="sum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t_CONSUMABLES" displayName="cat_CONSUMABLES" ref="A1:M25" totalsRowCount="1">
  <autoFilter ref="A1:M24" xr:uid="{00000000-0009-0000-0100-000006000000}"/>
  <tableColumns count="13">
    <tableColumn id="1" xr3:uid="{00000000-0010-0000-0500-000001000000}" name="Item" totalsRowLabel="TOTAL STOCK"/>
    <tableColumn id="2" xr3:uid="{00000000-0010-0000-0500-000002000000}" name="Description"/>
    <tableColumn id="3" xr3:uid="{00000000-0010-0000-0500-000003000000}" name="Supplier"/>
    <tableColumn id="4" xr3:uid="{00000000-0010-0000-0500-000004000000}" name="Category"/>
    <tableColumn id="5" xr3:uid="{00000000-0010-0000-0500-000005000000}" name="Cost Price"/>
    <tableColumn id="6" xr3:uid="{00000000-0010-0000-0500-000006000000}" name="Safety Stock" totalsRowFunction="sum"/>
    <tableColumn id="7" xr3:uid="{00000000-0010-0000-0500-000007000000}" name="Reorder Point (ROP)"/>
    <tableColumn id="8" xr3:uid="{00000000-0010-0000-0500-000008000000}" name="Maximum Stock (MAX)" totalsRowFunction="sum"/>
    <tableColumn id="9" xr3:uid="{00000000-0010-0000-0500-000009000000}" name="Current Stock"/>
    <tableColumn id="10" xr3:uid="{00000000-0010-0000-0500-00000A000000}" name="On Order"/>
    <tableColumn id="11" xr3:uid="{00000000-0010-0000-0500-00000B000000}" name="Order Quantity" totalsRowFunction="sum"/>
    <tableColumn id="12" xr3:uid="{00000000-0010-0000-0500-00000C000000}" name="Stock Value" totalsRowFunction="sum"/>
    <tableColumn id="13" xr3:uid="{00000000-0010-0000-0500-00000D000000}" name="Order Value" totalsRowFunction="sum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_CRATING" displayName="cat_CRATING" ref="A1:M3" totalsRowCount="1">
  <autoFilter ref="A1:M2" xr:uid="{00000000-0009-0000-0100-000007000000}"/>
  <tableColumns count="13">
    <tableColumn id="1" xr3:uid="{00000000-0010-0000-0600-000001000000}" name="Item" totalsRowLabel="TOTAL STOCK"/>
    <tableColumn id="2" xr3:uid="{00000000-0010-0000-0600-000002000000}" name="Description"/>
    <tableColumn id="3" xr3:uid="{00000000-0010-0000-0600-000003000000}" name="Supplier"/>
    <tableColumn id="4" xr3:uid="{00000000-0010-0000-0600-000004000000}" name="Category"/>
    <tableColumn id="5" xr3:uid="{00000000-0010-0000-0600-000005000000}" name="Cost Price"/>
    <tableColumn id="6" xr3:uid="{00000000-0010-0000-0600-000006000000}" name="Safety Stock" totalsRowFunction="sum"/>
    <tableColumn id="7" xr3:uid="{00000000-0010-0000-0600-000007000000}" name="Reorder Point (ROP)"/>
    <tableColumn id="8" xr3:uid="{00000000-0010-0000-0600-000008000000}" name="Maximum Stock (MAX)" totalsRowFunction="sum"/>
    <tableColumn id="9" xr3:uid="{00000000-0010-0000-0600-000009000000}" name="Current Stock"/>
    <tableColumn id="10" xr3:uid="{00000000-0010-0000-0600-00000A000000}" name="On Order"/>
    <tableColumn id="11" xr3:uid="{00000000-0010-0000-0600-00000B000000}" name="Order Quantity" totalsRowFunction="sum"/>
    <tableColumn id="12" xr3:uid="{00000000-0010-0000-0600-00000C000000}" name="Stock Value" totalsRowFunction="sum"/>
    <tableColumn id="13" xr3:uid="{00000000-0010-0000-0600-00000D000000}" name="Order Value" totalsRowFunction="sum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at_Caraccessories" displayName="cat_Caraccessories" ref="A1:M3" totalsRowCount="1">
  <autoFilter ref="A1:M2" xr:uid="{00000000-0009-0000-0100-000008000000}"/>
  <tableColumns count="13">
    <tableColumn id="1" xr3:uid="{00000000-0010-0000-0700-000001000000}" name="Item" totalsRowLabel="TOTAL STOCK"/>
    <tableColumn id="2" xr3:uid="{00000000-0010-0000-0700-000002000000}" name="Description"/>
    <tableColumn id="3" xr3:uid="{00000000-0010-0000-0700-000003000000}" name="Supplier"/>
    <tableColumn id="4" xr3:uid="{00000000-0010-0000-0700-000004000000}" name="Category"/>
    <tableColumn id="5" xr3:uid="{00000000-0010-0000-0700-000005000000}" name="Cost Price"/>
    <tableColumn id="6" xr3:uid="{00000000-0010-0000-0700-000006000000}" name="Safety Stock" totalsRowFunction="sum"/>
    <tableColumn id="7" xr3:uid="{00000000-0010-0000-0700-000007000000}" name="Reorder Point (ROP)"/>
    <tableColumn id="8" xr3:uid="{00000000-0010-0000-0700-000008000000}" name="Maximum Stock (MAX)" totalsRowFunction="sum"/>
    <tableColumn id="9" xr3:uid="{00000000-0010-0000-0700-000009000000}" name="Current Stock"/>
    <tableColumn id="10" xr3:uid="{00000000-0010-0000-0700-00000A000000}" name="On Order"/>
    <tableColumn id="11" xr3:uid="{00000000-0010-0000-0700-00000B000000}" name="Order Quantity" totalsRowFunction="sum"/>
    <tableColumn id="12" xr3:uid="{00000000-0010-0000-0700-00000C000000}" name="Stock Value" totalsRowFunction="sum"/>
    <tableColumn id="13" xr3:uid="{00000000-0010-0000-0700-00000D000000}" name="Order Value" totalsRowFunction="sum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at_DUCT" displayName="cat_DUCT" ref="A1:M3" totalsRowCount="1">
  <autoFilter ref="A1:M2" xr:uid="{00000000-0009-0000-0100-000009000000}"/>
  <tableColumns count="13">
    <tableColumn id="1" xr3:uid="{00000000-0010-0000-0800-000001000000}" name="Item" totalsRowLabel="TOTAL STOCK"/>
    <tableColumn id="2" xr3:uid="{00000000-0010-0000-0800-000002000000}" name="Description"/>
    <tableColumn id="3" xr3:uid="{00000000-0010-0000-0800-000003000000}" name="Supplier"/>
    <tableColumn id="4" xr3:uid="{00000000-0010-0000-0800-000004000000}" name="Category"/>
    <tableColumn id="5" xr3:uid="{00000000-0010-0000-0800-000005000000}" name="Cost Price"/>
    <tableColumn id="6" xr3:uid="{00000000-0010-0000-0800-000006000000}" name="Safety Stock" totalsRowFunction="sum"/>
    <tableColumn id="7" xr3:uid="{00000000-0010-0000-0800-000007000000}" name="Reorder Point (ROP)"/>
    <tableColumn id="8" xr3:uid="{00000000-0010-0000-0800-000008000000}" name="Maximum Stock (MAX)" totalsRowFunction="sum"/>
    <tableColumn id="9" xr3:uid="{00000000-0010-0000-0800-000009000000}" name="Current Stock"/>
    <tableColumn id="10" xr3:uid="{00000000-0010-0000-0800-00000A000000}" name="On Order"/>
    <tableColumn id="11" xr3:uid="{00000000-0010-0000-0800-00000B000000}" name="Order Quantity" totalsRowFunction="sum"/>
    <tableColumn id="12" xr3:uid="{00000000-0010-0000-0800-00000C000000}" name="Stock Value" totalsRowFunction="sum"/>
    <tableColumn id="13" xr3:uid="{00000000-0010-0000-0800-00000D000000}" name="Order Value" totalsRowFunction="sum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at_FABRICATION" displayName="cat_FABRICATION" ref="A1:M6" totalsRowCount="1">
  <autoFilter ref="A1:M5" xr:uid="{00000000-0009-0000-0100-00000A000000}"/>
  <tableColumns count="13">
    <tableColumn id="1" xr3:uid="{00000000-0010-0000-0900-000001000000}" name="Item" totalsRowLabel="TOTAL STOCK"/>
    <tableColumn id="2" xr3:uid="{00000000-0010-0000-0900-000002000000}" name="Description"/>
    <tableColumn id="3" xr3:uid="{00000000-0010-0000-0900-000003000000}" name="Supplier"/>
    <tableColumn id="4" xr3:uid="{00000000-0010-0000-0900-000004000000}" name="Category"/>
    <tableColumn id="5" xr3:uid="{00000000-0010-0000-0900-000005000000}" name="Cost Price"/>
    <tableColumn id="6" xr3:uid="{00000000-0010-0000-0900-000006000000}" name="Safety Stock" totalsRowFunction="sum"/>
    <tableColumn id="7" xr3:uid="{00000000-0010-0000-0900-000007000000}" name="Reorder Point (ROP)"/>
    <tableColumn id="8" xr3:uid="{00000000-0010-0000-0900-000008000000}" name="Maximum Stock (MAX)" totalsRowFunction="sum"/>
    <tableColumn id="9" xr3:uid="{00000000-0010-0000-0900-000009000000}" name="Current Stock"/>
    <tableColumn id="10" xr3:uid="{00000000-0010-0000-0900-00000A000000}" name="On Order"/>
    <tableColumn id="11" xr3:uid="{00000000-0010-0000-0900-00000B000000}" name="Order Quantity" totalsRowFunction="sum"/>
    <tableColumn id="12" xr3:uid="{00000000-0010-0000-0900-00000C000000}" name="Stock Value" totalsRowFunction="sum"/>
    <tableColumn id="13" xr3:uid="{00000000-0010-0000-0900-00000D000000}" name="Order Value" totalsRowFunction="sum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at_FASTENERS" displayName="cat_FASTENERS" ref="A1:M16" totalsRowCount="1">
  <autoFilter ref="A1:M15" xr:uid="{00000000-0009-0000-0100-00000B000000}"/>
  <tableColumns count="13">
    <tableColumn id="1" xr3:uid="{00000000-0010-0000-0A00-000001000000}" name="Item" totalsRowLabel="TOTAL STOCK"/>
    <tableColumn id="2" xr3:uid="{00000000-0010-0000-0A00-000002000000}" name="Description"/>
    <tableColumn id="3" xr3:uid="{00000000-0010-0000-0A00-000003000000}" name="Supplier"/>
    <tableColumn id="4" xr3:uid="{00000000-0010-0000-0A00-000004000000}" name="Category"/>
    <tableColumn id="5" xr3:uid="{00000000-0010-0000-0A00-000005000000}" name="Cost Price"/>
    <tableColumn id="6" xr3:uid="{00000000-0010-0000-0A00-000006000000}" name="Safety Stock" totalsRowFunction="sum"/>
    <tableColumn id="7" xr3:uid="{00000000-0010-0000-0A00-000007000000}" name="Reorder Point (ROP)"/>
    <tableColumn id="8" xr3:uid="{00000000-0010-0000-0A00-000008000000}" name="Maximum Stock (MAX)" totalsRowFunction="sum"/>
    <tableColumn id="9" xr3:uid="{00000000-0010-0000-0A00-000009000000}" name="Current Stock"/>
    <tableColumn id="10" xr3:uid="{00000000-0010-0000-0A00-00000A000000}" name="On Order"/>
    <tableColumn id="11" xr3:uid="{00000000-0010-0000-0A00-00000B000000}" name="Order Quantity" totalsRowFunction="sum"/>
    <tableColumn id="12" xr3:uid="{00000000-0010-0000-0A00-00000C000000}" name="Stock Value" totalsRowFunction="sum"/>
    <tableColumn id="13" xr3:uid="{00000000-0010-0000-0A00-00000D000000}" name="Order Value" totalsRowFunction="sum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at_FMBLOWER" displayName="cat_FMBLOWER" ref="A1:M3" totalsRowCount="1">
  <autoFilter ref="A1:M2" xr:uid="{00000000-0009-0000-0100-00000C000000}"/>
  <tableColumns count="13">
    <tableColumn id="1" xr3:uid="{00000000-0010-0000-0B00-000001000000}" name="Item" totalsRowLabel="TOTAL STOCK"/>
    <tableColumn id="2" xr3:uid="{00000000-0010-0000-0B00-000002000000}" name="Description"/>
    <tableColumn id="3" xr3:uid="{00000000-0010-0000-0B00-000003000000}" name="Supplier"/>
    <tableColumn id="4" xr3:uid="{00000000-0010-0000-0B00-000004000000}" name="Category"/>
    <tableColumn id="5" xr3:uid="{00000000-0010-0000-0B00-000005000000}" name="Cost Price"/>
    <tableColumn id="6" xr3:uid="{00000000-0010-0000-0B00-000006000000}" name="Safety Stock" totalsRowFunction="sum"/>
    <tableColumn id="7" xr3:uid="{00000000-0010-0000-0B00-000007000000}" name="Reorder Point (ROP)"/>
    <tableColumn id="8" xr3:uid="{00000000-0010-0000-0B00-000008000000}" name="Maximum Stock (MAX)" totalsRowFunction="sum"/>
    <tableColumn id="9" xr3:uid="{00000000-0010-0000-0B00-000009000000}" name="Current Stock"/>
    <tableColumn id="10" xr3:uid="{00000000-0010-0000-0B00-00000A000000}" name="On Order"/>
    <tableColumn id="11" xr3:uid="{00000000-0010-0000-0B00-00000B000000}" name="Order Quantity" totalsRowFunction="sum"/>
    <tableColumn id="12" xr3:uid="{00000000-0010-0000-0B00-00000C000000}" name="Stock Value" totalsRowFunction="sum"/>
    <tableColumn id="13" xr3:uid="{00000000-0010-0000-0B00-00000D000000}" name="Order Value" totalsRowFunction="sum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at_FMCFLANGE" displayName="cat_FMCFLANGE" ref="A1:M18" totalsRowCount="1">
  <autoFilter ref="A1:M17" xr:uid="{00000000-0009-0000-0100-00000D000000}"/>
  <tableColumns count="13">
    <tableColumn id="1" xr3:uid="{00000000-0010-0000-0C00-000001000000}" name="Item" totalsRowLabel="TOTAL STOCK"/>
    <tableColumn id="2" xr3:uid="{00000000-0010-0000-0C00-000002000000}" name="Description"/>
    <tableColumn id="3" xr3:uid="{00000000-0010-0000-0C00-000003000000}" name="Supplier"/>
    <tableColumn id="4" xr3:uid="{00000000-0010-0000-0C00-000004000000}" name="Category"/>
    <tableColumn id="5" xr3:uid="{00000000-0010-0000-0C00-000005000000}" name="Cost Price"/>
    <tableColumn id="6" xr3:uid="{00000000-0010-0000-0C00-000006000000}" name="Safety Stock" totalsRowFunction="sum"/>
    <tableColumn id="7" xr3:uid="{00000000-0010-0000-0C00-000007000000}" name="Reorder Point (ROP)"/>
    <tableColumn id="8" xr3:uid="{00000000-0010-0000-0C00-000008000000}" name="Maximum Stock (MAX)" totalsRowFunction="sum"/>
    <tableColumn id="9" xr3:uid="{00000000-0010-0000-0C00-000009000000}" name="Current Stock"/>
    <tableColumn id="10" xr3:uid="{00000000-0010-0000-0C00-00000A000000}" name="On Order"/>
    <tableColumn id="11" xr3:uid="{00000000-0010-0000-0C00-00000B000000}" name="Order Quantity" totalsRowFunction="sum"/>
    <tableColumn id="12" xr3:uid="{00000000-0010-0000-0C00-00000C000000}" name="Stock Value" totalsRowFunction="sum"/>
    <tableColumn id="13" xr3:uid="{00000000-0010-0000-0C00-00000D000000}" name="Order Value" totalsRowFunction="sum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at_FMCASING" displayName="cat_FMCASING" ref="A1:M12" totalsRowCount="1">
  <autoFilter ref="A1:M11" xr:uid="{00000000-0009-0000-0100-00000E000000}"/>
  <tableColumns count="13">
    <tableColumn id="1" xr3:uid="{00000000-0010-0000-0D00-000001000000}" name="Item" totalsRowLabel="TOTAL STOCK"/>
    <tableColumn id="2" xr3:uid="{00000000-0010-0000-0D00-000002000000}" name="Description"/>
    <tableColumn id="3" xr3:uid="{00000000-0010-0000-0D00-000003000000}" name="Supplier"/>
    <tableColumn id="4" xr3:uid="{00000000-0010-0000-0D00-000004000000}" name="Category"/>
    <tableColumn id="5" xr3:uid="{00000000-0010-0000-0D00-000005000000}" name="Cost Price"/>
    <tableColumn id="6" xr3:uid="{00000000-0010-0000-0D00-000006000000}" name="Safety Stock" totalsRowFunction="sum"/>
    <tableColumn id="7" xr3:uid="{00000000-0010-0000-0D00-000007000000}" name="Reorder Point (ROP)"/>
    <tableColumn id="8" xr3:uid="{00000000-0010-0000-0D00-000008000000}" name="Maximum Stock (MAX)" totalsRowFunction="sum"/>
    <tableColumn id="9" xr3:uid="{00000000-0010-0000-0D00-000009000000}" name="Current Stock"/>
    <tableColumn id="10" xr3:uid="{00000000-0010-0000-0D00-00000A000000}" name="On Order"/>
    <tableColumn id="11" xr3:uid="{00000000-0010-0000-0D00-00000B000000}" name="Order Quantity" totalsRowFunction="sum"/>
    <tableColumn id="12" xr3:uid="{00000000-0010-0000-0D00-00000C000000}" name="Stock Value" totalsRowFunction="sum"/>
    <tableColumn id="13" xr3:uid="{00000000-0010-0000-0D00-00000D000000}" name="Order Value" totalsRowFunction="sum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at_FMCFWFANS" displayName="cat_FMCFWFANS" ref="A1:M6" totalsRowCount="1">
  <autoFilter ref="A1:M5" xr:uid="{00000000-0009-0000-0100-00000F000000}"/>
  <tableColumns count="13">
    <tableColumn id="1" xr3:uid="{00000000-0010-0000-0E00-000001000000}" name="Item" totalsRowLabel="TOTAL STOCK"/>
    <tableColumn id="2" xr3:uid="{00000000-0010-0000-0E00-000002000000}" name="Description"/>
    <tableColumn id="3" xr3:uid="{00000000-0010-0000-0E00-000003000000}" name="Supplier"/>
    <tableColumn id="4" xr3:uid="{00000000-0010-0000-0E00-000004000000}" name="Category"/>
    <tableColumn id="5" xr3:uid="{00000000-0010-0000-0E00-000005000000}" name="Cost Price"/>
    <tableColumn id="6" xr3:uid="{00000000-0010-0000-0E00-000006000000}" name="Safety Stock" totalsRowFunction="sum"/>
    <tableColumn id="7" xr3:uid="{00000000-0010-0000-0E00-000007000000}" name="Reorder Point (ROP)"/>
    <tableColumn id="8" xr3:uid="{00000000-0010-0000-0E00-000008000000}" name="Maximum Stock (MAX)" totalsRowFunction="sum"/>
    <tableColumn id="9" xr3:uid="{00000000-0010-0000-0E00-000009000000}" name="Current Stock"/>
    <tableColumn id="10" xr3:uid="{00000000-0010-0000-0E00-00000A000000}" name="On Order"/>
    <tableColumn id="11" xr3:uid="{00000000-0010-0000-0E00-00000B000000}" name="Order Quantity" totalsRowFunction="sum"/>
    <tableColumn id="12" xr3:uid="{00000000-0010-0000-0E00-00000C000000}" name="Stock Value" totalsRowFunction="sum"/>
    <tableColumn id="13" xr3:uid="{00000000-0010-0000-0E00-00000D000000}" name="Order Value" totalsRowFunction="sum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at_FMDONKIN" displayName="cat_FMDONKIN" ref="A1:M319" totalsRowCount="1">
  <autoFilter ref="A1:M318" xr:uid="{00000000-0009-0000-0100-000010000000}"/>
  <tableColumns count="13">
    <tableColumn id="1" xr3:uid="{00000000-0010-0000-0F00-000001000000}" name="Item" totalsRowLabel="TOTAL STOCK"/>
    <tableColumn id="2" xr3:uid="{00000000-0010-0000-0F00-000002000000}" name="Description"/>
    <tableColumn id="3" xr3:uid="{00000000-0010-0000-0F00-000003000000}" name="Supplier"/>
    <tableColumn id="4" xr3:uid="{00000000-0010-0000-0F00-000004000000}" name="Category"/>
    <tableColumn id="5" xr3:uid="{00000000-0010-0000-0F00-000005000000}" name="Cost Price"/>
    <tableColumn id="6" xr3:uid="{00000000-0010-0000-0F00-000006000000}" name="Safety Stock" totalsRowFunction="sum"/>
    <tableColumn id="7" xr3:uid="{00000000-0010-0000-0F00-000007000000}" name="Reorder Point (ROP)"/>
    <tableColumn id="8" xr3:uid="{00000000-0010-0000-0F00-000008000000}" name="Maximum Stock (MAX)" totalsRowFunction="sum"/>
    <tableColumn id="9" xr3:uid="{00000000-0010-0000-0F00-000009000000}" name="Current Stock"/>
    <tableColumn id="10" xr3:uid="{00000000-0010-0000-0F00-00000A000000}" name="On Order"/>
    <tableColumn id="11" xr3:uid="{00000000-0010-0000-0F00-00000B000000}" name="Order Quantity" totalsRowFunction="sum"/>
    <tableColumn id="12" xr3:uid="{00000000-0010-0000-0F00-00000C000000}" name="Stock Value" totalsRowFunction="sum"/>
    <tableColumn id="13" xr3:uid="{00000000-0010-0000-0F00-00000D000000}" name="Order Value" totalsRowFunction="sum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cat_FMELECTRICALWIRING" displayName="cat_FMELECTRICALWIRING" ref="A1:M4" totalsRowCount="1">
  <autoFilter ref="A1:M3" xr:uid="{00000000-0009-0000-0100-000011000000}"/>
  <tableColumns count="13">
    <tableColumn id="1" xr3:uid="{00000000-0010-0000-1000-000001000000}" name="Item" totalsRowLabel="TOTAL STOCK"/>
    <tableColumn id="2" xr3:uid="{00000000-0010-0000-1000-000002000000}" name="Description"/>
    <tableColumn id="3" xr3:uid="{00000000-0010-0000-1000-000003000000}" name="Supplier"/>
    <tableColumn id="4" xr3:uid="{00000000-0010-0000-1000-000004000000}" name="Category"/>
    <tableColumn id="5" xr3:uid="{00000000-0010-0000-1000-000005000000}" name="Cost Price"/>
    <tableColumn id="6" xr3:uid="{00000000-0010-0000-1000-000006000000}" name="Safety Stock" totalsRowFunction="sum"/>
    <tableColumn id="7" xr3:uid="{00000000-0010-0000-1000-000007000000}" name="Reorder Point (ROP)"/>
    <tableColumn id="8" xr3:uid="{00000000-0010-0000-1000-000008000000}" name="Maximum Stock (MAX)" totalsRowFunction="sum"/>
    <tableColumn id="9" xr3:uid="{00000000-0010-0000-1000-000009000000}" name="Current Stock"/>
    <tableColumn id="10" xr3:uid="{00000000-0010-0000-1000-00000A000000}" name="On Order"/>
    <tableColumn id="11" xr3:uid="{00000000-0010-0000-1000-00000B000000}" name="Order Quantity" totalsRowFunction="sum"/>
    <tableColumn id="12" xr3:uid="{00000000-0010-0000-1000-00000C000000}" name="Stock Value" totalsRowFunction="sum"/>
    <tableColumn id="13" xr3:uid="{00000000-0010-0000-1000-00000D000000}" name="Order Value" totalsRowFunction="sum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cat_FMFABRICATION" displayName="cat_FMFABRICATION" ref="A1:M27" totalsRowCount="1">
  <autoFilter ref="A1:M26" xr:uid="{00000000-0009-0000-0100-000012000000}"/>
  <tableColumns count="13">
    <tableColumn id="1" xr3:uid="{00000000-0010-0000-1100-000001000000}" name="Item" totalsRowLabel="TOTAL STOCK"/>
    <tableColumn id="2" xr3:uid="{00000000-0010-0000-1100-000002000000}" name="Description"/>
    <tableColumn id="3" xr3:uid="{00000000-0010-0000-1100-000003000000}" name="Supplier"/>
    <tableColumn id="4" xr3:uid="{00000000-0010-0000-1100-000004000000}" name="Category"/>
    <tableColumn id="5" xr3:uid="{00000000-0010-0000-1100-000005000000}" name="Cost Price"/>
    <tableColumn id="6" xr3:uid="{00000000-0010-0000-1100-000006000000}" name="Safety Stock" totalsRowFunction="sum"/>
    <tableColumn id="7" xr3:uid="{00000000-0010-0000-1100-000007000000}" name="Reorder Point (ROP)"/>
    <tableColumn id="8" xr3:uid="{00000000-0010-0000-1100-000008000000}" name="Maximum Stock (MAX)" totalsRowFunction="sum"/>
    <tableColumn id="9" xr3:uid="{00000000-0010-0000-1100-000009000000}" name="Current Stock"/>
    <tableColumn id="10" xr3:uid="{00000000-0010-0000-1100-00000A000000}" name="On Order"/>
    <tableColumn id="11" xr3:uid="{00000000-0010-0000-1100-00000B000000}" name="Order Quantity" totalsRowFunction="sum"/>
    <tableColumn id="12" xr3:uid="{00000000-0010-0000-1100-00000C000000}" name="Stock Value" totalsRowFunction="sum"/>
    <tableColumn id="13" xr3:uid="{00000000-0010-0000-1100-00000D000000}" name="Order Value" totalsRowFunction="sum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cat_FMFANBLADEMODELLING" displayName="cat_FMFANBLADEMODELLING" ref="A1:M3" totalsRowCount="1">
  <autoFilter ref="A1:M2" xr:uid="{00000000-0009-0000-0100-000013000000}"/>
  <tableColumns count="13">
    <tableColumn id="1" xr3:uid="{00000000-0010-0000-1200-000001000000}" name="Item" totalsRowLabel="TOTAL STOCK"/>
    <tableColumn id="2" xr3:uid="{00000000-0010-0000-1200-000002000000}" name="Description"/>
    <tableColumn id="3" xr3:uid="{00000000-0010-0000-1200-000003000000}" name="Supplier"/>
    <tableColumn id="4" xr3:uid="{00000000-0010-0000-1200-000004000000}" name="Category"/>
    <tableColumn id="5" xr3:uid="{00000000-0010-0000-1200-000005000000}" name="Cost Price"/>
    <tableColumn id="6" xr3:uid="{00000000-0010-0000-1200-000006000000}" name="Safety Stock" totalsRowFunction="sum"/>
    <tableColumn id="7" xr3:uid="{00000000-0010-0000-1200-000007000000}" name="Reorder Point (ROP)"/>
    <tableColumn id="8" xr3:uid="{00000000-0010-0000-1200-000008000000}" name="Maximum Stock (MAX)" totalsRowFunction="sum"/>
    <tableColumn id="9" xr3:uid="{00000000-0010-0000-1200-000009000000}" name="Current Stock"/>
    <tableColumn id="10" xr3:uid="{00000000-0010-0000-1200-00000A000000}" name="On Order"/>
    <tableColumn id="11" xr3:uid="{00000000-0010-0000-1200-00000B000000}" name="Order Quantity" totalsRowFunction="sum"/>
    <tableColumn id="12" xr3:uid="{00000000-0010-0000-1200-00000C000000}" name="Stock Value" totalsRowFunction="sum"/>
    <tableColumn id="13" xr3:uid="{00000000-0010-0000-1200-00000D000000}" name="Order Value" totalsRowFunction="sum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at_FMFPZ" displayName="cat_FMFPZ" ref="A1:M42" totalsRowCount="1">
  <autoFilter ref="A1:M41" xr:uid="{00000000-0009-0000-0100-000014000000}"/>
  <tableColumns count="13">
    <tableColumn id="1" xr3:uid="{00000000-0010-0000-1300-000001000000}" name="Item" totalsRowLabel="TOTAL STOCK"/>
    <tableColumn id="2" xr3:uid="{00000000-0010-0000-1300-000002000000}" name="Description"/>
    <tableColumn id="3" xr3:uid="{00000000-0010-0000-1300-000003000000}" name="Supplier"/>
    <tableColumn id="4" xr3:uid="{00000000-0010-0000-1300-000004000000}" name="Category"/>
    <tableColumn id="5" xr3:uid="{00000000-0010-0000-1300-000005000000}" name="Cost Price"/>
    <tableColumn id="6" xr3:uid="{00000000-0010-0000-1300-000006000000}" name="Safety Stock" totalsRowFunction="sum"/>
    <tableColumn id="7" xr3:uid="{00000000-0010-0000-1300-000007000000}" name="Reorder Point (ROP)"/>
    <tableColumn id="8" xr3:uid="{00000000-0010-0000-1300-000008000000}" name="Maximum Stock (MAX)" totalsRowFunction="sum"/>
    <tableColumn id="9" xr3:uid="{00000000-0010-0000-1300-000009000000}" name="Current Stock"/>
    <tableColumn id="10" xr3:uid="{00000000-0010-0000-1300-00000A000000}" name="On Order"/>
    <tableColumn id="11" xr3:uid="{00000000-0010-0000-1300-00000B000000}" name="Order Quantity" totalsRowFunction="sum"/>
    <tableColumn id="12" xr3:uid="{00000000-0010-0000-1300-00000C000000}" name="Stock Value" totalsRowFunction="sum"/>
    <tableColumn id="13" xr3:uid="{00000000-0010-0000-1300-00000D000000}" name="Order Value" totalsRowFunction="sum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cat_FMIMPELLER" displayName="cat_FMIMPELLER" ref="A1:M17" totalsRowCount="1">
  <autoFilter ref="A1:M16" xr:uid="{00000000-0009-0000-0100-000015000000}"/>
  <tableColumns count="13">
    <tableColumn id="1" xr3:uid="{00000000-0010-0000-1400-000001000000}" name="Item" totalsRowLabel="TOTAL STOCK"/>
    <tableColumn id="2" xr3:uid="{00000000-0010-0000-1400-000002000000}" name="Description"/>
    <tableColumn id="3" xr3:uid="{00000000-0010-0000-1400-000003000000}" name="Supplier"/>
    <tableColumn id="4" xr3:uid="{00000000-0010-0000-1400-000004000000}" name="Category"/>
    <tableColumn id="5" xr3:uid="{00000000-0010-0000-1400-000005000000}" name="Cost Price"/>
    <tableColumn id="6" xr3:uid="{00000000-0010-0000-1400-000006000000}" name="Safety Stock" totalsRowFunction="sum"/>
    <tableColumn id="7" xr3:uid="{00000000-0010-0000-1400-000007000000}" name="Reorder Point (ROP)"/>
    <tableColumn id="8" xr3:uid="{00000000-0010-0000-1400-000008000000}" name="Maximum Stock (MAX)" totalsRowFunction="sum"/>
    <tableColumn id="9" xr3:uid="{00000000-0010-0000-1400-000009000000}" name="Current Stock"/>
    <tableColumn id="10" xr3:uid="{00000000-0010-0000-1400-00000A000000}" name="On Order"/>
    <tableColumn id="11" xr3:uid="{00000000-0010-0000-1400-00000B000000}" name="Order Quantity" totalsRowFunction="sum"/>
    <tableColumn id="12" xr3:uid="{00000000-0010-0000-1400-00000C000000}" name="Stock Value" totalsRowFunction="sum"/>
    <tableColumn id="13" xr3:uid="{00000000-0010-0000-1400-00000D000000}" name="Order Value" totalsRowFunction="sum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cat_FMKAYITES" displayName="cat_FMKAYITES" ref="A1:M47" totalsRowCount="1">
  <autoFilter ref="A1:M46" xr:uid="{00000000-0009-0000-0100-000016000000}"/>
  <tableColumns count="13">
    <tableColumn id="1" xr3:uid="{00000000-0010-0000-1500-000001000000}" name="Item" totalsRowLabel="TOTAL STOCK"/>
    <tableColumn id="2" xr3:uid="{00000000-0010-0000-1500-000002000000}" name="Description"/>
    <tableColumn id="3" xr3:uid="{00000000-0010-0000-1500-000003000000}" name="Supplier"/>
    <tableColumn id="4" xr3:uid="{00000000-0010-0000-1500-000004000000}" name="Category"/>
    <tableColumn id="5" xr3:uid="{00000000-0010-0000-1500-000005000000}" name="Cost Price"/>
    <tableColumn id="6" xr3:uid="{00000000-0010-0000-1500-000006000000}" name="Safety Stock" totalsRowFunction="sum"/>
    <tableColumn id="7" xr3:uid="{00000000-0010-0000-1500-000007000000}" name="Reorder Point (ROP)"/>
    <tableColumn id="8" xr3:uid="{00000000-0010-0000-1500-000008000000}" name="Maximum Stock (MAX)" totalsRowFunction="sum"/>
    <tableColumn id="9" xr3:uid="{00000000-0010-0000-1500-000009000000}" name="Current Stock"/>
    <tableColumn id="10" xr3:uid="{00000000-0010-0000-1500-00000A000000}" name="On Order"/>
    <tableColumn id="11" xr3:uid="{00000000-0010-0000-1500-00000B000000}" name="Order Quantity" totalsRowFunction="sum"/>
    <tableColumn id="12" xr3:uid="{00000000-0010-0000-1500-00000C000000}" name="Stock Value" totalsRowFunction="sum"/>
    <tableColumn id="13" xr3:uid="{00000000-0010-0000-1500-00000D000000}" name="Order Value" totalsRowFunction="sum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cat_FMLUCKKING" displayName="cat_FMLUCKKING" ref="A1:M4" totalsRowCount="1">
  <autoFilter ref="A1:M3" xr:uid="{00000000-0009-0000-0100-000017000000}"/>
  <tableColumns count="13">
    <tableColumn id="1" xr3:uid="{00000000-0010-0000-1600-000001000000}" name="Item" totalsRowLabel="TOTAL STOCK"/>
    <tableColumn id="2" xr3:uid="{00000000-0010-0000-1600-000002000000}" name="Description"/>
    <tableColumn id="3" xr3:uid="{00000000-0010-0000-1600-000003000000}" name="Supplier"/>
    <tableColumn id="4" xr3:uid="{00000000-0010-0000-1600-000004000000}" name="Category"/>
    <tableColumn id="5" xr3:uid="{00000000-0010-0000-1600-000005000000}" name="Cost Price"/>
    <tableColumn id="6" xr3:uid="{00000000-0010-0000-1600-000006000000}" name="Safety Stock" totalsRowFunction="sum"/>
    <tableColumn id="7" xr3:uid="{00000000-0010-0000-1600-000007000000}" name="Reorder Point (ROP)"/>
    <tableColumn id="8" xr3:uid="{00000000-0010-0000-1600-000008000000}" name="Maximum Stock (MAX)" totalsRowFunction="sum"/>
    <tableColumn id="9" xr3:uid="{00000000-0010-0000-1600-000009000000}" name="Current Stock"/>
    <tableColumn id="10" xr3:uid="{00000000-0010-0000-1600-00000A000000}" name="On Order"/>
    <tableColumn id="11" xr3:uid="{00000000-0010-0000-1600-00000B000000}" name="Order Quantity" totalsRowFunction="sum"/>
    <tableColumn id="12" xr3:uid="{00000000-0010-0000-1600-00000C000000}" name="Stock Value" totalsRowFunction="sum"/>
    <tableColumn id="13" xr3:uid="{00000000-0010-0000-1600-00000D000000}" name="Order Value" totalsRowFunction="sum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cat_FMMFEET" displayName="cat_FMMFEET" ref="A1:M17" totalsRowCount="1">
  <autoFilter ref="A1:M16" xr:uid="{00000000-0009-0000-0100-000018000000}"/>
  <tableColumns count="13">
    <tableColumn id="1" xr3:uid="{00000000-0010-0000-1700-000001000000}" name="Item" totalsRowLabel="TOTAL STOCK"/>
    <tableColumn id="2" xr3:uid="{00000000-0010-0000-1700-000002000000}" name="Description"/>
    <tableColumn id="3" xr3:uid="{00000000-0010-0000-1700-000003000000}" name="Supplier"/>
    <tableColumn id="4" xr3:uid="{00000000-0010-0000-1700-000004000000}" name="Category"/>
    <tableColumn id="5" xr3:uid="{00000000-0010-0000-1700-000005000000}" name="Cost Price"/>
    <tableColumn id="6" xr3:uid="{00000000-0010-0000-1700-000006000000}" name="Safety Stock" totalsRowFunction="sum"/>
    <tableColumn id="7" xr3:uid="{00000000-0010-0000-1700-000007000000}" name="Reorder Point (ROP)"/>
    <tableColumn id="8" xr3:uid="{00000000-0010-0000-1700-000008000000}" name="Maximum Stock (MAX)" totalsRowFunction="sum"/>
    <tableColumn id="9" xr3:uid="{00000000-0010-0000-1700-000009000000}" name="Current Stock"/>
    <tableColumn id="10" xr3:uid="{00000000-0010-0000-1700-00000A000000}" name="On Order"/>
    <tableColumn id="11" xr3:uid="{00000000-0010-0000-1700-00000B000000}" name="Order Quantity" totalsRowFunction="sum"/>
    <tableColumn id="12" xr3:uid="{00000000-0010-0000-1700-00000C000000}" name="Stock Value" totalsRowFunction="sum"/>
    <tableColumn id="13" xr3:uid="{00000000-0010-0000-1700-00000D000000}" name="Order Value" totalsRowFunction="sum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cat_FMMACHINERY" displayName="cat_FMMACHINERY" ref="A1:M5" totalsRowCount="1">
  <autoFilter ref="A1:M4" xr:uid="{00000000-0009-0000-0100-000019000000}"/>
  <tableColumns count="13">
    <tableColumn id="1" xr3:uid="{00000000-0010-0000-1800-000001000000}" name="Item" totalsRowLabel="TOTAL STOCK"/>
    <tableColumn id="2" xr3:uid="{00000000-0010-0000-1800-000002000000}" name="Description"/>
    <tableColumn id="3" xr3:uid="{00000000-0010-0000-1800-000003000000}" name="Supplier"/>
    <tableColumn id="4" xr3:uid="{00000000-0010-0000-1800-000004000000}" name="Category"/>
    <tableColumn id="5" xr3:uid="{00000000-0010-0000-1800-000005000000}" name="Cost Price"/>
    <tableColumn id="6" xr3:uid="{00000000-0010-0000-1800-000006000000}" name="Safety Stock" totalsRowFunction="sum"/>
    <tableColumn id="7" xr3:uid="{00000000-0010-0000-1800-000007000000}" name="Reorder Point (ROP)"/>
    <tableColumn id="8" xr3:uid="{00000000-0010-0000-1800-000008000000}" name="Maximum Stock (MAX)" totalsRowFunction="sum"/>
    <tableColumn id="9" xr3:uid="{00000000-0010-0000-1800-000009000000}" name="Current Stock"/>
    <tableColumn id="10" xr3:uid="{00000000-0010-0000-1800-00000A000000}" name="On Order"/>
    <tableColumn id="11" xr3:uid="{00000000-0010-0000-1800-00000B000000}" name="Order Quantity" totalsRowFunction="sum"/>
    <tableColumn id="12" xr3:uid="{00000000-0010-0000-1800-00000C000000}" name="Stock Value" totalsRowFunction="sum"/>
    <tableColumn id="13" xr3:uid="{00000000-0010-0000-1800-00000D000000}" name="Order Value" totalsRowFunction="sum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cat_FMMOTOR" displayName="cat_FMMOTOR" ref="A1:M23" totalsRowCount="1">
  <autoFilter ref="A1:M22" xr:uid="{00000000-0009-0000-0100-00001A000000}"/>
  <tableColumns count="13">
    <tableColumn id="1" xr3:uid="{00000000-0010-0000-1900-000001000000}" name="Item" totalsRowLabel="TOTAL STOCK"/>
    <tableColumn id="2" xr3:uid="{00000000-0010-0000-1900-000002000000}" name="Description"/>
    <tableColumn id="3" xr3:uid="{00000000-0010-0000-1900-000003000000}" name="Supplier"/>
    <tableColumn id="4" xr3:uid="{00000000-0010-0000-1900-000004000000}" name="Category"/>
    <tableColumn id="5" xr3:uid="{00000000-0010-0000-1900-000005000000}" name="Cost Price"/>
    <tableColumn id="6" xr3:uid="{00000000-0010-0000-1900-000006000000}" name="Safety Stock" totalsRowFunction="sum"/>
    <tableColumn id="7" xr3:uid="{00000000-0010-0000-1900-000007000000}" name="Reorder Point (ROP)"/>
    <tableColumn id="8" xr3:uid="{00000000-0010-0000-1900-000008000000}" name="Maximum Stock (MAX)" totalsRowFunction="sum"/>
    <tableColumn id="9" xr3:uid="{00000000-0010-0000-1900-000009000000}" name="Current Stock"/>
    <tableColumn id="10" xr3:uid="{00000000-0010-0000-1900-00000A000000}" name="On Order"/>
    <tableColumn id="11" xr3:uid="{00000000-0010-0000-1900-00000B000000}" name="Order Quantity" totalsRowFunction="sum"/>
    <tableColumn id="12" xr3:uid="{00000000-0010-0000-1900-00000C000000}" name="Stock Value" totalsRowFunction="sum"/>
    <tableColumn id="13" xr3:uid="{00000000-0010-0000-1900-00000D000000}" name="Order Value" totalsRowFunction="sum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cat_FMNICOTRA" displayName="cat_FMNICOTRA" ref="A1:M34" totalsRowCount="1">
  <autoFilter ref="A1:M33" xr:uid="{00000000-0009-0000-0100-00001B000000}"/>
  <tableColumns count="13">
    <tableColumn id="1" xr3:uid="{00000000-0010-0000-1A00-000001000000}" name="Item" totalsRowLabel="TOTAL STOCK"/>
    <tableColumn id="2" xr3:uid="{00000000-0010-0000-1A00-000002000000}" name="Description"/>
    <tableColumn id="3" xr3:uid="{00000000-0010-0000-1A00-000003000000}" name="Supplier"/>
    <tableColumn id="4" xr3:uid="{00000000-0010-0000-1A00-000004000000}" name="Category"/>
    <tableColumn id="5" xr3:uid="{00000000-0010-0000-1A00-000005000000}" name="Cost Price"/>
    <tableColumn id="6" xr3:uid="{00000000-0010-0000-1A00-000006000000}" name="Safety Stock" totalsRowFunction="sum"/>
    <tableColumn id="7" xr3:uid="{00000000-0010-0000-1A00-000007000000}" name="Reorder Point (ROP)"/>
    <tableColumn id="8" xr3:uid="{00000000-0010-0000-1A00-000008000000}" name="Maximum Stock (MAX)" totalsRowFunction="sum"/>
    <tableColumn id="9" xr3:uid="{00000000-0010-0000-1A00-000009000000}" name="Current Stock"/>
    <tableColumn id="10" xr3:uid="{00000000-0010-0000-1A00-00000A000000}" name="On Order"/>
    <tableColumn id="11" xr3:uid="{00000000-0010-0000-1A00-00000B000000}" name="Order Quantity" totalsRowFunction="sum"/>
    <tableColumn id="12" xr3:uid="{00000000-0010-0000-1A00-00000C000000}" name="Stock Value" totalsRowFunction="sum"/>
    <tableColumn id="13" xr3:uid="{00000000-0010-0000-1A00-00000D000000}" name="Order Value" totalsRowFunction="sum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cat_FMOSTBERG" displayName="cat_FMOSTBERG" ref="A1:M12" totalsRowCount="1">
  <autoFilter ref="A1:M11" xr:uid="{00000000-0009-0000-0100-00001C000000}"/>
  <tableColumns count="13">
    <tableColumn id="1" xr3:uid="{00000000-0010-0000-1B00-000001000000}" name="Item" totalsRowLabel="TOTAL STOCK"/>
    <tableColumn id="2" xr3:uid="{00000000-0010-0000-1B00-000002000000}" name="Description"/>
    <tableColumn id="3" xr3:uid="{00000000-0010-0000-1B00-000003000000}" name="Supplier"/>
    <tableColumn id="4" xr3:uid="{00000000-0010-0000-1B00-000004000000}" name="Category"/>
    <tableColumn id="5" xr3:uid="{00000000-0010-0000-1B00-000005000000}" name="Cost Price"/>
    <tableColumn id="6" xr3:uid="{00000000-0010-0000-1B00-000006000000}" name="Safety Stock" totalsRowFunction="sum"/>
    <tableColumn id="7" xr3:uid="{00000000-0010-0000-1B00-000007000000}" name="Reorder Point (ROP)"/>
    <tableColumn id="8" xr3:uid="{00000000-0010-0000-1B00-000008000000}" name="Maximum Stock (MAX)" totalsRowFunction="sum"/>
    <tableColumn id="9" xr3:uid="{00000000-0010-0000-1B00-000009000000}" name="Current Stock"/>
    <tableColumn id="10" xr3:uid="{00000000-0010-0000-1B00-00000A000000}" name="On Order"/>
    <tableColumn id="11" xr3:uid="{00000000-0010-0000-1B00-00000B000000}" name="Order Quantity" totalsRowFunction="sum"/>
    <tableColumn id="12" xr3:uid="{00000000-0010-0000-1B00-00000C000000}" name="Stock Value" totalsRowFunction="sum"/>
    <tableColumn id="13" xr3:uid="{00000000-0010-0000-1B00-00000D000000}" name="Order Value" totalsRowFunction="sum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cat_FMPAINTING" displayName="cat_FMPAINTING" ref="A1:M3" totalsRowCount="1">
  <autoFilter ref="A1:M2" xr:uid="{00000000-0009-0000-0100-00001D000000}"/>
  <tableColumns count="13">
    <tableColumn id="1" xr3:uid="{00000000-0010-0000-1C00-000001000000}" name="Item" totalsRowLabel="TOTAL STOCK"/>
    <tableColumn id="2" xr3:uid="{00000000-0010-0000-1C00-000002000000}" name="Description"/>
    <tableColumn id="3" xr3:uid="{00000000-0010-0000-1C00-000003000000}" name="Supplier"/>
    <tableColumn id="4" xr3:uid="{00000000-0010-0000-1C00-000004000000}" name="Category"/>
    <tableColumn id="5" xr3:uid="{00000000-0010-0000-1C00-000005000000}" name="Cost Price"/>
    <tableColumn id="6" xr3:uid="{00000000-0010-0000-1C00-000006000000}" name="Safety Stock" totalsRowFunction="sum"/>
    <tableColumn id="7" xr3:uid="{00000000-0010-0000-1C00-000007000000}" name="Reorder Point (ROP)"/>
    <tableColumn id="8" xr3:uid="{00000000-0010-0000-1C00-000008000000}" name="Maximum Stock (MAX)" totalsRowFunction="sum"/>
    <tableColumn id="9" xr3:uid="{00000000-0010-0000-1C00-000009000000}" name="Current Stock"/>
    <tableColumn id="10" xr3:uid="{00000000-0010-0000-1C00-00000A000000}" name="On Order"/>
    <tableColumn id="11" xr3:uid="{00000000-0010-0000-1C00-00000B000000}" name="Order Quantity" totalsRowFunction="sum"/>
    <tableColumn id="12" xr3:uid="{00000000-0010-0000-1C00-00000C000000}" name="Stock Value" totalsRowFunction="sum"/>
    <tableColumn id="13" xr3:uid="{00000000-0010-0000-1C00-00000D000000}" name="Order Value" totalsRowFunction="sum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cat_FMSHEET" displayName="cat_FMSHEET" ref="A1:M3" totalsRowCount="1">
  <autoFilter ref="A1:M2" xr:uid="{00000000-0009-0000-0100-00001E000000}"/>
  <tableColumns count="13">
    <tableColumn id="1" xr3:uid="{00000000-0010-0000-1D00-000001000000}" name="Item" totalsRowLabel="TOTAL STOCK"/>
    <tableColumn id="2" xr3:uid="{00000000-0010-0000-1D00-000002000000}" name="Description"/>
    <tableColumn id="3" xr3:uid="{00000000-0010-0000-1D00-000003000000}" name="Supplier"/>
    <tableColumn id="4" xr3:uid="{00000000-0010-0000-1D00-000004000000}" name="Category"/>
    <tableColumn id="5" xr3:uid="{00000000-0010-0000-1D00-000005000000}" name="Cost Price"/>
    <tableColumn id="6" xr3:uid="{00000000-0010-0000-1D00-000006000000}" name="Safety Stock" totalsRowFunction="sum"/>
    <tableColumn id="7" xr3:uid="{00000000-0010-0000-1D00-000007000000}" name="Reorder Point (ROP)"/>
    <tableColumn id="8" xr3:uid="{00000000-0010-0000-1D00-000008000000}" name="Maximum Stock (MAX)" totalsRowFunction="sum"/>
    <tableColumn id="9" xr3:uid="{00000000-0010-0000-1D00-000009000000}" name="Current Stock"/>
    <tableColumn id="10" xr3:uid="{00000000-0010-0000-1D00-00000A000000}" name="On Order"/>
    <tableColumn id="11" xr3:uid="{00000000-0010-0000-1D00-00000B000000}" name="Order Quantity" totalsRowFunction="sum"/>
    <tableColumn id="12" xr3:uid="{00000000-0010-0000-1D00-00000C000000}" name="Stock Value" totalsRowFunction="sum"/>
    <tableColumn id="13" xr3:uid="{00000000-0010-0000-1D00-00000D000000}" name="Order Value" totalsRowFunction="sum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cat_FMSODECA" displayName="cat_FMSODECA" ref="A1:M95" totalsRowCount="1">
  <autoFilter ref="A1:M94" xr:uid="{00000000-0009-0000-0100-00001F000000}"/>
  <tableColumns count="13">
    <tableColumn id="1" xr3:uid="{00000000-0010-0000-1E00-000001000000}" name="Item" totalsRowLabel="TOTAL STOCK"/>
    <tableColumn id="2" xr3:uid="{00000000-0010-0000-1E00-000002000000}" name="Description"/>
    <tableColumn id="3" xr3:uid="{00000000-0010-0000-1E00-000003000000}" name="Supplier"/>
    <tableColumn id="4" xr3:uid="{00000000-0010-0000-1E00-000004000000}" name="Category"/>
    <tableColumn id="5" xr3:uid="{00000000-0010-0000-1E00-000005000000}" name="Cost Price"/>
    <tableColumn id="6" xr3:uid="{00000000-0010-0000-1E00-000006000000}" name="Safety Stock" totalsRowFunction="sum"/>
    <tableColumn id="7" xr3:uid="{00000000-0010-0000-1E00-000007000000}" name="Reorder Point (ROP)"/>
    <tableColumn id="8" xr3:uid="{00000000-0010-0000-1E00-000008000000}" name="Maximum Stock (MAX)" totalsRowFunction="sum"/>
    <tableColumn id="9" xr3:uid="{00000000-0010-0000-1E00-000009000000}" name="Current Stock"/>
    <tableColumn id="10" xr3:uid="{00000000-0010-0000-1E00-00000A000000}" name="On Order"/>
    <tableColumn id="11" xr3:uid="{00000000-0010-0000-1E00-00000B000000}" name="Order Quantity" totalsRowFunction="sum"/>
    <tableColumn id="12" xr3:uid="{00000000-0010-0000-1E00-00000C000000}" name="Stock Value" totalsRowFunction="sum"/>
    <tableColumn id="13" xr3:uid="{00000000-0010-0000-1E00-00000D000000}" name="Order Value" totalsRowFunction="sum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cat_FMUNIFORM" displayName="cat_FMUNIFORM" ref="A1:M7" totalsRowCount="1">
  <autoFilter ref="A1:M6" xr:uid="{00000000-0009-0000-0100-000020000000}"/>
  <tableColumns count="13">
    <tableColumn id="1" xr3:uid="{00000000-0010-0000-1F00-000001000000}" name="Item" totalsRowLabel="TOTAL STOCK"/>
    <tableColumn id="2" xr3:uid="{00000000-0010-0000-1F00-000002000000}" name="Description"/>
    <tableColumn id="3" xr3:uid="{00000000-0010-0000-1F00-000003000000}" name="Supplier"/>
    <tableColumn id="4" xr3:uid="{00000000-0010-0000-1F00-000004000000}" name="Category"/>
    <tableColumn id="5" xr3:uid="{00000000-0010-0000-1F00-000005000000}" name="Cost Price"/>
    <tableColumn id="6" xr3:uid="{00000000-0010-0000-1F00-000006000000}" name="Safety Stock" totalsRowFunction="sum"/>
    <tableColumn id="7" xr3:uid="{00000000-0010-0000-1F00-000007000000}" name="Reorder Point (ROP)"/>
    <tableColumn id="8" xr3:uid="{00000000-0010-0000-1F00-000008000000}" name="Maximum Stock (MAX)" totalsRowFunction="sum"/>
    <tableColumn id="9" xr3:uid="{00000000-0010-0000-1F00-000009000000}" name="Current Stock"/>
    <tableColumn id="10" xr3:uid="{00000000-0010-0000-1F00-00000A000000}" name="On Order"/>
    <tableColumn id="11" xr3:uid="{00000000-0010-0000-1F00-00000B000000}" name="Order Quantity" totalsRowFunction="sum"/>
    <tableColumn id="12" xr3:uid="{00000000-0010-0000-1F00-00000C000000}" name="Stock Value" totalsRowFunction="sum"/>
    <tableColumn id="13" xr3:uid="{00000000-0010-0000-1F00-00000D000000}" name="Order Value" totalsRowFunction="sum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cat_FMVORTICE" displayName="cat_FMVORTICE" ref="A1:M88" totalsRowCount="1">
  <autoFilter ref="A1:M87" xr:uid="{00000000-0009-0000-0100-000021000000}"/>
  <tableColumns count="13">
    <tableColumn id="1" xr3:uid="{00000000-0010-0000-2000-000001000000}" name="Item" totalsRowLabel="TOTAL STOCK"/>
    <tableColumn id="2" xr3:uid="{00000000-0010-0000-2000-000002000000}" name="Description"/>
    <tableColumn id="3" xr3:uid="{00000000-0010-0000-2000-000003000000}" name="Supplier"/>
    <tableColumn id="4" xr3:uid="{00000000-0010-0000-2000-000004000000}" name="Category"/>
    <tableColumn id="5" xr3:uid="{00000000-0010-0000-2000-000005000000}" name="Cost Price"/>
    <tableColumn id="6" xr3:uid="{00000000-0010-0000-2000-000006000000}" name="Safety Stock" totalsRowFunction="sum"/>
    <tableColumn id="7" xr3:uid="{00000000-0010-0000-2000-000007000000}" name="Reorder Point (ROP)"/>
    <tableColumn id="8" xr3:uid="{00000000-0010-0000-2000-000008000000}" name="Maximum Stock (MAX)" totalsRowFunction="sum"/>
    <tableColumn id="9" xr3:uid="{00000000-0010-0000-2000-000009000000}" name="Current Stock"/>
    <tableColumn id="10" xr3:uid="{00000000-0010-0000-2000-00000A000000}" name="On Order"/>
    <tableColumn id="11" xr3:uid="{00000000-0010-0000-2000-00000B000000}" name="Order Quantity" totalsRowFunction="sum"/>
    <tableColumn id="12" xr3:uid="{00000000-0010-0000-2000-00000C000000}" name="Stock Value" totalsRowFunction="sum"/>
    <tableColumn id="13" xr3:uid="{00000000-0010-0000-2000-00000D000000}" name="Order Value" totalsRowFunction="sum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cat_FREIGHT" displayName="cat_FREIGHT" ref="A1:M3" totalsRowCount="1">
  <autoFilter ref="A1:M2" xr:uid="{00000000-0009-0000-0100-000022000000}"/>
  <tableColumns count="13">
    <tableColumn id="1" xr3:uid="{00000000-0010-0000-2100-000001000000}" name="Item" totalsRowLabel="TOTAL STOCK"/>
    <tableColumn id="2" xr3:uid="{00000000-0010-0000-2100-000002000000}" name="Description"/>
    <tableColumn id="3" xr3:uid="{00000000-0010-0000-2100-000003000000}" name="Supplier"/>
    <tableColumn id="4" xr3:uid="{00000000-0010-0000-2100-000004000000}" name="Category"/>
    <tableColumn id="5" xr3:uid="{00000000-0010-0000-2100-000005000000}" name="Cost Price"/>
    <tableColumn id="6" xr3:uid="{00000000-0010-0000-2100-000006000000}" name="Safety Stock" totalsRowFunction="sum"/>
    <tableColumn id="7" xr3:uid="{00000000-0010-0000-2100-000007000000}" name="Reorder Point (ROP)"/>
    <tableColumn id="8" xr3:uid="{00000000-0010-0000-2100-000008000000}" name="Maximum Stock (MAX)" totalsRowFunction="sum"/>
    <tableColumn id="9" xr3:uid="{00000000-0010-0000-2100-000009000000}" name="Current Stock"/>
    <tableColumn id="10" xr3:uid="{00000000-0010-0000-2100-00000A000000}" name="On Order"/>
    <tableColumn id="11" xr3:uid="{00000000-0010-0000-2100-00000B000000}" name="Order Quantity" totalsRowFunction="sum"/>
    <tableColumn id="12" xr3:uid="{00000000-0010-0000-2100-00000C000000}" name="Stock Value" totalsRowFunction="sum"/>
    <tableColumn id="13" xr3:uid="{00000000-0010-0000-2100-00000D000000}" name="Order Value" totalsRowFunction="sum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cat_IMPELLER" displayName="cat_IMPELLER" ref="A1:M8" totalsRowCount="1">
  <autoFilter ref="A1:M7" xr:uid="{00000000-0009-0000-0100-000023000000}"/>
  <tableColumns count="13">
    <tableColumn id="1" xr3:uid="{00000000-0010-0000-2200-000001000000}" name="Item" totalsRowLabel="TOTAL STOCK"/>
    <tableColumn id="2" xr3:uid="{00000000-0010-0000-2200-000002000000}" name="Description"/>
    <tableColumn id="3" xr3:uid="{00000000-0010-0000-2200-000003000000}" name="Supplier"/>
    <tableColumn id="4" xr3:uid="{00000000-0010-0000-2200-000004000000}" name="Category"/>
    <tableColumn id="5" xr3:uid="{00000000-0010-0000-2200-000005000000}" name="Cost Price"/>
    <tableColumn id="6" xr3:uid="{00000000-0010-0000-2200-000006000000}" name="Safety Stock" totalsRowFunction="sum"/>
    <tableColumn id="7" xr3:uid="{00000000-0010-0000-2200-000007000000}" name="Reorder Point (ROP)"/>
    <tableColumn id="8" xr3:uid="{00000000-0010-0000-2200-000008000000}" name="Maximum Stock (MAX)" totalsRowFunction="sum"/>
    <tableColumn id="9" xr3:uid="{00000000-0010-0000-2200-000009000000}" name="Current Stock"/>
    <tableColumn id="10" xr3:uid="{00000000-0010-0000-2200-00000A000000}" name="On Order"/>
    <tableColumn id="11" xr3:uid="{00000000-0010-0000-2200-00000B000000}" name="Order Quantity" totalsRowFunction="sum"/>
    <tableColumn id="12" xr3:uid="{00000000-0010-0000-2200-00000C000000}" name="Stock Value" totalsRowFunction="sum"/>
    <tableColumn id="13" xr3:uid="{00000000-0010-0000-2200-00000D000000}" name="Order Value" totalsRowFunction="sum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cat_MFEET" displayName="cat_MFEET" ref="A1:M7" totalsRowCount="1">
  <autoFilter ref="A1:M6" xr:uid="{00000000-0009-0000-0100-000024000000}"/>
  <tableColumns count="13">
    <tableColumn id="1" xr3:uid="{00000000-0010-0000-2300-000001000000}" name="Item" totalsRowLabel="TOTAL STOCK"/>
    <tableColumn id="2" xr3:uid="{00000000-0010-0000-2300-000002000000}" name="Description"/>
    <tableColumn id="3" xr3:uid="{00000000-0010-0000-2300-000003000000}" name="Supplier"/>
    <tableColumn id="4" xr3:uid="{00000000-0010-0000-2300-000004000000}" name="Category"/>
    <tableColumn id="5" xr3:uid="{00000000-0010-0000-2300-000005000000}" name="Cost Price"/>
    <tableColumn id="6" xr3:uid="{00000000-0010-0000-2300-000006000000}" name="Safety Stock" totalsRowFunction="sum"/>
    <tableColumn id="7" xr3:uid="{00000000-0010-0000-2300-000007000000}" name="Reorder Point (ROP)"/>
    <tableColumn id="8" xr3:uid="{00000000-0010-0000-2300-000008000000}" name="Maximum Stock (MAX)" totalsRowFunction="sum"/>
    <tableColumn id="9" xr3:uid="{00000000-0010-0000-2300-000009000000}" name="Current Stock"/>
    <tableColumn id="10" xr3:uid="{00000000-0010-0000-2300-00000A000000}" name="On Order"/>
    <tableColumn id="11" xr3:uid="{00000000-0010-0000-2300-00000B000000}" name="Order Quantity" totalsRowFunction="sum"/>
    <tableColumn id="12" xr3:uid="{00000000-0010-0000-2300-00000C000000}" name="Stock Value" totalsRowFunction="sum"/>
    <tableColumn id="13" xr3:uid="{00000000-0010-0000-2300-00000D000000}" name="Order Value" totalsRowFunction="sum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cat_MOTORFLANGE" displayName="cat_MOTORFLANGE" ref="A1:M3" totalsRowCount="1">
  <autoFilter ref="A1:M2" xr:uid="{00000000-0009-0000-0100-000025000000}"/>
  <tableColumns count="13">
    <tableColumn id="1" xr3:uid="{00000000-0010-0000-2400-000001000000}" name="Item" totalsRowLabel="TOTAL STOCK"/>
    <tableColumn id="2" xr3:uid="{00000000-0010-0000-2400-000002000000}" name="Description"/>
    <tableColumn id="3" xr3:uid="{00000000-0010-0000-2400-000003000000}" name="Supplier"/>
    <tableColumn id="4" xr3:uid="{00000000-0010-0000-2400-000004000000}" name="Category"/>
    <tableColumn id="5" xr3:uid="{00000000-0010-0000-2400-000005000000}" name="Cost Price"/>
    <tableColumn id="6" xr3:uid="{00000000-0010-0000-2400-000006000000}" name="Safety Stock" totalsRowFunction="sum"/>
    <tableColumn id="7" xr3:uid="{00000000-0010-0000-2400-000007000000}" name="Reorder Point (ROP)"/>
    <tableColumn id="8" xr3:uid="{00000000-0010-0000-2400-000008000000}" name="Maximum Stock (MAX)" totalsRowFunction="sum"/>
    <tableColumn id="9" xr3:uid="{00000000-0010-0000-2400-000009000000}" name="Current Stock"/>
    <tableColumn id="10" xr3:uid="{00000000-0010-0000-2400-00000A000000}" name="On Order"/>
    <tableColumn id="11" xr3:uid="{00000000-0010-0000-2400-00000B000000}" name="Order Quantity" totalsRowFunction="sum"/>
    <tableColumn id="12" xr3:uid="{00000000-0010-0000-2400-00000C000000}" name="Stock Value" totalsRowFunction="sum"/>
    <tableColumn id="13" xr3:uid="{00000000-0010-0000-2400-00000D000000}" name="Order Value" totalsRowFunction="sum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cat_MOTORS" displayName="cat_MOTORS" ref="A1:M6" totalsRowCount="1">
  <autoFilter ref="A1:M5" xr:uid="{00000000-0009-0000-0100-000026000000}"/>
  <tableColumns count="13">
    <tableColumn id="1" xr3:uid="{00000000-0010-0000-2500-000001000000}" name="Item" totalsRowLabel="TOTAL STOCK"/>
    <tableColumn id="2" xr3:uid="{00000000-0010-0000-2500-000002000000}" name="Description"/>
    <tableColumn id="3" xr3:uid="{00000000-0010-0000-2500-000003000000}" name="Supplier"/>
    <tableColumn id="4" xr3:uid="{00000000-0010-0000-2500-000004000000}" name="Category"/>
    <tableColumn id="5" xr3:uid="{00000000-0010-0000-2500-000005000000}" name="Cost Price"/>
    <tableColumn id="6" xr3:uid="{00000000-0010-0000-2500-000006000000}" name="Safety Stock" totalsRowFunction="sum"/>
    <tableColumn id="7" xr3:uid="{00000000-0010-0000-2500-000007000000}" name="Reorder Point (ROP)"/>
    <tableColumn id="8" xr3:uid="{00000000-0010-0000-2500-000008000000}" name="Maximum Stock (MAX)" totalsRowFunction="sum"/>
    <tableColumn id="9" xr3:uid="{00000000-0010-0000-2500-000009000000}" name="Current Stock"/>
    <tableColumn id="10" xr3:uid="{00000000-0010-0000-2500-00000A000000}" name="On Order"/>
    <tableColumn id="11" xr3:uid="{00000000-0010-0000-2500-00000B000000}" name="Order Quantity" totalsRowFunction="sum"/>
    <tableColumn id="12" xr3:uid="{00000000-0010-0000-2500-00000C000000}" name="Stock Value" totalsRowFunction="sum"/>
    <tableColumn id="13" xr3:uid="{00000000-0010-0000-2500-00000D000000}" name="Order Value" totalsRowFunction="sum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cat_PACKAGING" displayName="cat_PACKAGING" ref="A1:M3" totalsRowCount="1">
  <autoFilter ref="A1:M2" xr:uid="{00000000-0009-0000-0100-000027000000}"/>
  <tableColumns count="13">
    <tableColumn id="1" xr3:uid="{00000000-0010-0000-2600-000001000000}" name="Item" totalsRowLabel="TOTAL STOCK"/>
    <tableColumn id="2" xr3:uid="{00000000-0010-0000-2600-000002000000}" name="Description"/>
    <tableColumn id="3" xr3:uid="{00000000-0010-0000-2600-000003000000}" name="Supplier"/>
    <tableColumn id="4" xr3:uid="{00000000-0010-0000-2600-000004000000}" name="Category"/>
    <tableColumn id="5" xr3:uid="{00000000-0010-0000-2600-000005000000}" name="Cost Price"/>
    <tableColumn id="6" xr3:uid="{00000000-0010-0000-2600-000006000000}" name="Safety Stock" totalsRowFunction="sum"/>
    <tableColumn id="7" xr3:uid="{00000000-0010-0000-2600-000007000000}" name="Reorder Point (ROP)"/>
    <tableColumn id="8" xr3:uid="{00000000-0010-0000-2600-000008000000}" name="Maximum Stock (MAX)" totalsRowFunction="sum"/>
    <tableColumn id="9" xr3:uid="{00000000-0010-0000-2600-000009000000}" name="Current Stock"/>
    <tableColumn id="10" xr3:uid="{00000000-0010-0000-2600-00000A000000}" name="On Order"/>
    <tableColumn id="11" xr3:uid="{00000000-0010-0000-2600-00000B000000}" name="Order Quantity" totalsRowFunction="sum"/>
    <tableColumn id="12" xr3:uid="{00000000-0010-0000-2600-00000C000000}" name="Stock Value" totalsRowFunction="sum"/>
    <tableColumn id="13" xr3:uid="{00000000-0010-0000-2600-00000D000000}" name="Order Value" totalsRowFunction="sum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cat_PLATE" displayName="cat_PLATE" ref="A1:M3" totalsRowCount="1">
  <autoFilter ref="A1:M2" xr:uid="{00000000-0009-0000-0100-000028000000}"/>
  <tableColumns count="13">
    <tableColumn id="1" xr3:uid="{00000000-0010-0000-2700-000001000000}" name="Item" totalsRowLabel="TOTAL STOCK"/>
    <tableColumn id="2" xr3:uid="{00000000-0010-0000-2700-000002000000}" name="Description"/>
    <tableColumn id="3" xr3:uid="{00000000-0010-0000-2700-000003000000}" name="Supplier"/>
    <tableColumn id="4" xr3:uid="{00000000-0010-0000-2700-000004000000}" name="Category"/>
    <tableColumn id="5" xr3:uid="{00000000-0010-0000-2700-000005000000}" name="Cost Price"/>
    <tableColumn id="6" xr3:uid="{00000000-0010-0000-2700-000006000000}" name="Safety Stock" totalsRowFunction="sum"/>
    <tableColumn id="7" xr3:uid="{00000000-0010-0000-2700-000007000000}" name="Reorder Point (ROP)"/>
    <tableColumn id="8" xr3:uid="{00000000-0010-0000-2700-000008000000}" name="Maximum Stock (MAX)" totalsRowFunction="sum"/>
    <tableColumn id="9" xr3:uid="{00000000-0010-0000-2700-000009000000}" name="Current Stock"/>
    <tableColumn id="10" xr3:uid="{00000000-0010-0000-2700-00000A000000}" name="On Order"/>
    <tableColumn id="11" xr3:uid="{00000000-0010-0000-2700-00000B000000}" name="Order Quantity" totalsRowFunction="sum"/>
    <tableColumn id="12" xr3:uid="{00000000-0010-0000-2700-00000C000000}" name="Stock Value" totalsRowFunction="sum"/>
    <tableColumn id="13" xr3:uid="{00000000-0010-0000-2700-00000D000000}" name="Order Value" totalsRowFunction="sum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cat_RoofFans" displayName="cat_RoofFans" ref="A1:M3" totalsRowCount="1">
  <autoFilter ref="A1:M2" xr:uid="{00000000-0009-0000-0100-000029000000}"/>
  <tableColumns count="13">
    <tableColumn id="1" xr3:uid="{00000000-0010-0000-2800-000001000000}" name="Item" totalsRowLabel="TOTAL STOCK"/>
    <tableColumn id="2" xr3:uid="{00000000-0010-0000-2800-000002000000}" name="Description"/>
    <tableColumn id="3" xr3:uid="{00000000-0010-0000-2800-000003000000}" name="Supplier"/>
    <tableColumn id="4" xr3:uid="{00000000-0010-0000-2800-000004000000}" name="Category"/>
    <tableColumn id="5" xr3:uid="{00000000-0010-0000-2800-000005000000}" name="Cost Price"/>
    <tableColumn id="6" xr3:uid="{00000000-0010-0000-2800-000006000000}" name="Safety Stock" totalsRowFunction="sum"/>
    <tableColumn id="7" xr3:uid="{00000000-0010-0000-2800-000007000000}" name="Reorder Point (ROP)"/>
    <tableColumn id="8" xr3:uid="{00000000-0010-0000-2800-000008000000}" name="Maximum Stock (MAX)" totalsRowFunction="sum"/>
    <tableColumn id="9" xr3:uid="{00000000-0010-0000-2800-000009000000}" name="Current Stock"/>
    <tableColumn id="10" xr3:uid="{00000000-0010-0000-2800-00000A000000}" name="On Order"/>
    <tableColumn id="11" xr3:uid="{00000000-0010-0000-2800-00000B000000}" name="Order Quantity" totalsRowFunction="sum"/>
    <tableColumn id="12" xr3:uid="{00000000-0010-0000-2800-00000C000000}" name="Stock Value" totalsRowFunction="sum"/>
    <tableColumn id="13" xr3:uid="{00000000-0010-0000-2800-00000D000000}" name="Order Value" totalsRowFunction="sum"/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cat_Sodeca" displayName="cat_Sodeca" ref="A1:M4" totalsRowCount="1">
  <autoFilter ref="A1:M3" xr:uid="{00000000-0009-0000-0100-00002A000000}"/>
  <tableColumns count="13">
    <tableColumn id="1" xr3:uid="{00000000-0010-0000-2900-000001000000}" name="Item" totalsRowLabel="TOTAL STOCK"/>
    <tableColumn id="2" xr3:uid="{00000000-0010-0000-2900-000002000000}" name="Description"/>
    <tableColumn id="3" xr3:uid="{00000000-0010-0000-2900-000003000000}" name="Supplier"/>
    <tableColumn id="4" xr3:uid="{00000000-0010-0000-2900-000004000000}" name="Category"/>
    <tableColumn id="5" xr3:uid="{00000000-0010-0000-2900-000005000000}" name="Cost Price"/>
    <tableColumn id="6" xr3:uid="{00000000-0010-0000-2900-000006000000}" name="Safety Stock" totalsRowFunction="sum"/>
    <tableColumn id="7" xr3:uid="{00000000-0010-0000-2900-000007000000}" name="Reorder Point (ROP)"/>
    <tableColumn id="8" xr3:uid="{00000000-0010-0000-2900-000008000000}" name="Maximum Stock (MAX)" totalsRowFunction="sum"/>
    <tableColumn id="9" xr3:uid="{00000000-0010-0000-2900-000009000000}" name="Current Stock"/>
    <tableColumn id="10" xr3:uid="{00000000-0010-0000-2900-00000A000000}" name="On Order"/>
    <tableColumn id="11" xr3:uid="{00000000-0010-0000-2900-00000B000000}" name="Order Quantity" totalsRowFunction="sum"/>
    <tableColumn id="12" xr3:uid="{00000000-0010-0000-2900-00000C000000}" name="Stock Value" totalsRowFunction="sum"/>
    <tableColumn id="13" xr3:uid="{00000000-0010-0000-2900-00000D000000}" name="Order Value" totalsRowFunction="sum"/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cat_Uncategorized" displayName="cat_Uncategorized" ref="A1:M718" totalsRowCount="1" headerRowDxfId="14" totalsRowDxfId="13">
  <autoFilter ref="A1:M717" xr:uid="{00000000-0009-0000-0100-00002B000000}">
    <filterColumn colId="2">
      <filters>
        <filter val="M&amp;D SPECIALISED FASTENERS (PTY) LTD"/>
      </filters>
    </filterColumn>
  </autoFilter>
  <sortState xmlns:xlrd2="http://schemas.microsoft.com/office/spreadsheetml/2017/richdata2" ref="A78:M603">
    <sortCondition descending="1" ref="K1:K717"/>
  </sortState>
  <tableColumns count="13">
    <tableColumn id="1" xr3:uid="{00000000-0010-0000-2A00-000001000000}" name="Item" totalsRowLabel="TOTAL STOCK" totalsRowDxfId="12"/>
    <tableColumn id="2" xr3:uid="{00000000-0010-0000-2A00-000002000000}" name="Description" totalsRowDxfId="11"/>
    <tableColumn id="3" xr3:uid="{00000000-0010-0000-2A00-000003000000}" name="Supplier" totalsRowDxfId="10"/>
    <tableColumn id="4" xr3:uid="{00000000-0010-0000-2A00-000004000000}" name="Category" totalsRowDxfId="9"/>
    <tableColumn id="5" xr3:uid="{00000000-0010-0000-2A00-000005000000}" name="Cost Price" totalsRowDxfId="8"/>
    <tableColumn id="6" xr3:uid="{00000000-0010-0000-2A00-000006000000}" name="Safety Stock" totalsRowFunction="sum" totalsRowDxfId="7"/>
    <tableColumn id="7" xr3:uid="{00000000-0010-0000-2A00-000007000000}" name="Reorder Point (ROP)" totalsRowDxfId="6"/>
    <tableColumn id="8" xr3:uid="{00000000-0010-0000-2A00-000008000000}" name="Maximum Stock (MAX)" totalsRowFunction="sum" totalsRowDxfId="5"/>
    <tableColumn id="9" xr3:uid="{00000000-0010-0000-2A00-000009000000}" name="Current Stock" totalsRowDxfId="4"/>
    <tableColumn id="10" xr3:uid="{00000000-0010-0000-2A00-00000A000000}" name="On Order" totalsRowDxfId="3"/>
    <tableColumn id="11" xr3:uid="{00000000-0010-0000-2A00-00000B000000}" name="Order Quantity" totalsRowFunction="sum" totalsRowDxfId="2"/>
    <tableColumn id="12" xr3:uid="{00000000-0010-0000-2A00-00000C000000}" name="Stock Value" totalsRowFunction="sum" totalsRowDxfId="1"/>
    <tableColumn id="13" xr3:uid="{00000000-0010-0000-2A00-00000D000000}" name="Order Value" totalsRowFunction="sum" totalsRowDxfId="0"/>
  </tableColumns>
  <tableStyleInfo name="TableStyleLight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cat_VSD" displayName="cat_VSD" ref="A1:M6" totalsRowCount="1">
  <autoFilter ref="A1:M5" xr:uid="{00000000-0009-0000-0100-00002C000000}"/>
  <tableColumns count="13">
    <tableColumn id="1" xr3:uid="{00000000-0010-0000-2B00-000001000000}" name="Item" totalsRowLabel="TOTAL STOCK"/>
    <tableColumn id="2" xr3:uid="{00000000-0010-0000-2B00-000002000000}" name="Description"/>
    <tableColumn id="3" xr3:uid="{00000000-0010-0000-2B00-000003000000}" name="Supplier"/>
    <tableColumn id="4" xr3:uid="{00000000-0010-0000-2B00-000004000000}" name="Category"/>
    <tableColumn id="5" xr3:uid="{00000000-0010-0000-2B00-000005000000}" name="Cost Price"/>
    <tableColumn id="6" xr3:uid="{00000000-0010-0000-2B00-000006000000}" name="Safety Stock" totalsRowFunction="sum"/>
    <tableColumn id="7" xr3:uid="{00000000-0010-0000-2B00-000007000000}" name="Reorder Point (ROP)"/>
    <tableColumn id="8" xr3:uid="{00000000-0010-0000-2B00-000008000000}" name="Maximum Stock (MAX)" totalsRowFunction="sum"/>
    <tableColumn id="9" xr3:uid="{00000000-0010-0000-2B00-000009000000}" name="Current Stock"/>
    <tableColumn id="10" xr3:uid="{00000000-0010-0000-2B00-00000A000000}" name="On Order"/>
    <tableColumn id="11" xr3:uid="{00000000-0010-0000-2B00-00000B000000}" name="Order Quantity" totalsRowFunction="sum"/>
    <tableColumn id="12" xr3:uid="{00000000-0010-0000-2B00-00000C000000}" name="Stock Value" totalsRowFunction="sum"/>
    <tableColumn id="13" xr3:uid="{00000000-0010-0000-2B00-00000D000000}" name="Order Value" totalsRowFunction="sum"/>
  </tableColumns>
  <tableStyleInfo name="TableStyleLight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cat_Vents" displayName="cat_Vents" ref="A1:M7" totalsRowCount="1">
  <autoFilter ref="A1:M6" xr:uid="{00000000-0009-0000-0100-00002D000000}"/>
  <tableColumns count="13">
    <tableColumn id="1" xr3:uid="{00000000-0010-0000-2C00-000001000000}" name="Item" totalsRowLabel="TOTAL STOCK"/>
    <tableColumn id="2" xr3:uid="{00000000-0010-0000-2C00-000002000000}" name="Description"/>
    <tableColumn id="3" xr3:uid="{00000000-0010-0000-2C00-000003000000}" name="Supplier"/>
    <tableColumn id="4" xr3:uid="{00000000-0010-0000-2C00-000004000000}" name="Category"/>
    <tableColumn id="5" xr3:uid="{00000000-0010-0000-2C00-000005000000}" name="Cost Price"/>
    <tableColumn id="6" xr3:uid="{00000000-0010-0000-2C00-000006000000}" name="Safety Stock" totalsRowFunction="sum"/>
    <tableColumn id="7" xr3:uid="{00000000-0010-0000-2C00-000007000000}" name="Reorder Point (ROP)"/>
    <tableColumn id="8" xr3:uid="{00000000-0010-0000-2C00-000008000000}" name="Maximum Stock (MAX)" totalsRowFunction="sum"/>
    <tableColumn id="9" xr3:uid="{00000000-0010-0000-2C00-000009000000}" name="Current Stock"/>
    <tableColumn id="10" xr3:uid="{00000000-0010-0000-2C00-00000A000000}" name="On Order"/>
    <tableColumn id="11" xr3:uid="{00000000-0010-0000-2C00-00000B000000}" name="Order Quantity" totalsRowFunction="sum"/>
    <tableColumn id="12" xr3:uid="{00000000-0010-0000-2C00-00000C000000}" name="Stock Value" totalsRowFunction="sum"/>
    <tableColumn id="13" xr3:uid="{00000000-0010-0000-2C00-00000D000000}" name="Order Value" totalsRowFunction="su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workbookViewId="0">
      <pane ySplit="1" topLeftCell="A35" activePane="bottomLeft" state="frozen"/>
      <selection pane="bottomLeft"/>
    </sheetView>
  </sheetViews>
  <sheetFormatPr defaultRowHeight="14.4" x14ac:dyDescent="0.3"/>
  <cols>
    <col min="1" max="1" width="2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</v>
      </c>
      <c r="C2">
        <v>1611</v>
      </c>
      <c r="D2">
        <v>20</v>
      </c>
    </row>
    <row r="3" spans="1:4" x14ac:dyDescent="0.3">
      <c r="A3" t="s">
        <v>5</v>
      </c>
      <c r="B3">
        <v>1</v>
      </c>
      <c r="C3">
        <v>6</v>
      </c>
      <c r="D3">
        <v>0</v>
      </c>
    </row>
    <row r="4" spans="1:4" x14ac:dyDescent="0.3">
      <c r="A4" t="s">
        <v>6</v>
      </c>
      <c r="B4">
        <v>4</v>
      </c>
      <c r="C4">
        <v>6</v>
      </c>
      <c r="D4">
        <v>14</v>
      </c>
    </row>
    <row r="5" spans="1:4" x14ac:dyDescent="0.3">
      <c r="A5" t="s">
        <v>7</v>
      </c>
      <c r="B5">
        <v>12</v>
      </c>
      <c r="C5">
        <v>60</v>
      </c>
      <c r="D5">
        <v>0</v>
      </c>
    </row>
    <row r="6" spans="1:4" x14ac:dyDescent="0.3">
      <c r="A6" t="s">
        <v>8</v>
      </c>
      <c r="B6">
        <v>23</v>
      </c>
      <c r="C6">
        <v>799</v>
      </c>
      <c r="D6">
        <v>1</v>
      </c>
    </row>
    <row r="7" spans="1:4" x14ac:dyDescent="0.3">
      <c r="A7" t="s">
        <v>9</v>
      </c>
      <c r="B7">
        <v>1</v>
      </c>
      <c r="C7">
        <v>10</v>
      </c>
      <c r="D7">
        <v>0</v>
      </c>
    </row>
    <row r="8" spans="1:4" x14ac:dyDescent="0.3">
      <c r="A8" t="s">
        <v>10</v>
      </c>
      <c r="B8">
        <v>1</v>
      </c>
      <c r="C8">
        <v>1</v>
      </c>
      <c r="D8">
        <v>0</v>
      </c>
    </row>
    <row r="9" spans="1:4" x14ac:dyDescent="0.3">
      <c r="A9" t="s">
        <v>11</v>
      </c>
      <c r="B9">
        <v>1</v>
      </c>
      <c r="C9">
        <v>5</v>
      </c>
      <c r="D9">
        <v>5</v>
      </c>
    </row>
    <row r="10" spans="1:4" x14ac:dyDescent="0.3">
      <c r="A10" t="s">
        <v>12</v>
      </c>
      <c r="B10">
        <v>4</v>
      </c>
      <c r="C10">
        <v>17</v>
      </c>
      <c r="D10">
        <v>0</v>
      </c>
    </row>
    <row r="11" spans="1:4" x14ac:dyDescent="0.3">
      <c r="A11" t="s">
        <v>13</v>
      </c>
      <c r="B11">
        <v>14</v>
      </c>
      <c r="C11">
        <v>4472</v>
      </c>
      <c r="D11">
        <v>0</v>
      </c>
    </row>
    <row r="12" spans="1:4" x14ac:dyDescent="0.3">
      <c r="A12" t="s">
        <v>14</v>
      </c>
      <c r="B12">
        <v>1</v>
      </c>
      <c r="C12">
        <v>0</v>
      </c>
      <c r="D12">
        <v>1</v>
      </c>
    </row>
    <row r="13" spans="1:4" x14ac:dyDescent="0.3">
      <c r="A13" t="s">
        <v>15</v>
      </c>
      <c r="B13">
        <v>16</v>
      </c>
      <c r="C13">
        <v>1929</v>
      </c>
      <c r="D13">
        <v>1624</v>
      </c>
    </row>
    <row r="14" spans="1:4" x14ac:dyDescent="0.3">
      <c r="A14" t="s">
        <v>16</v>
      </c>
      <c r="B14">
        <v>10</v>
      </c>
      <c r="C14">
        <v>68</v>
      </c>
      <c r="D14">
        <v>0</v>
      </c>
    </row>
    <row r="15" spans="1:4" x14ac:dyDescent="0.3">
      <c r="A15" t="s">
        <v>17</v>
      </c>
      <c r="B15">
        <v>4</v>
      </c>
      <c r="C15">
        <v>17</v>
      </c>
      <c r="D15">
        <v>3</v>
      </c>
    </row>
    <row r="16" spans="1:4" x14ac:dyDescent="0.3">
      <c r="A16" t="s">
        <v>18</v>
      </c>
      <c r="B16">
        <v>317</v>
      </c>
      <c r="C16">
        <v>5513</v>
      </c>
      <c r="D16">
        <v>5347</v>
      </c>
    </row>
    <row r="17" spans="1:4" x14ac:dyDescent="0.3">
      <c r="A17" t="s">
        <v>19</v>
      </c>
      <c r="B17">
        <v>2</v>
      </c>
      <c r="C17">
        <v>3</v>
      </c>
      <c r="D17">
        <v>0</v>
      </c>
    </row>
    <row r="18" spans="1:4" x14ac:dyDescent="0.3">
      <c r="A18" t="s">
        <v>20</v>
      </c>
      <c r="B18">
        <v>25</v>
      </c>
      <c r="C18">
        <v>562</v>
      </c>
      <c r="D18">
        <v>0</v>
      </c>
    </row>
    <row r="19" spans="1:4" x14ac:dyDescent="0.3">
      <c r="A19" t="s">
        <v>21</v>
      </c>
      <c r="B19">
        <v>1</v>
      </c>
      <c r="C19">
        <v>0.5</v>
      </c>
      <c r="D19">
        <v>0</v>
      </c>
    </row>
    <row r="20" spans="1:4" x14ac:dyDescent="0.3">
      <c r="A20" t="s">
        <v>22</v>
      </c>
      <c r="B20">
        <v>40</v>
      </c>
      <c r="C20">
        <v>737.9</v>
      </c>
      <c r="D20">
        <v>592</v>
      </c>
    </row>
    <row r="21" spans="1:4" x14ac:dyDescent="0.3">
      <c r="A21" t="s">
        <v>23</v>
      </c>
      <c r="B21">
        <v>15</v>
      </c>
      <c r="C21">
        <v>4463</v>
      </c>
      <c r="D21">
        <v>0</v>
      </c>
    </row>
    <row r="22" spans="1:4" x14ac:dyDescent="0.3">
      <c r="A22" t="s">
        <v>24</v>
      </c>
      <c r="B22">
        <v>45</v>
      </c>
      <c r="C22">
        <v>1363</v>
      </c>
      <c r="D22">
        <v>1187</v>
      </c>
    </row>
    <row r="23" spans="1:4" x14ac:dyDescent="0.3">
      <c r="A23" t="s">
        <v>25</v>
      </c>
      <c r="B23">
        <v>2</v>
      </c>
      <c r="C23">
        <v>2</v>
      </c>
      <c r="D23">
        <v>0</v>
      </c>
    </row>
    <row r="24" spans="1:4" x14ac:dyDescent="0.3">
      <c r="A24" t="s">
        <v>26</v>
      </c>
      <c r="B24">
        <v>15</v>
      </c>
      <c r="C24">
        <v>1874</v>
      </c>
      <c r="D24">
        <v>2613</v>
      </c>
    </row>
    <row r="25" spans="1:4" x14ac:dyDescent="0.3">
      <c r="A25" t="s">
        <v>27</v>
      </c>
      <c r="B25">
        <v>3</v>
      </c>
      <c r="C25">
        <v>204</v>
      </c>
      <c r="D25">
        <v>0</v>
      </c>
    </row>
    <row r="26" spans="1:4" x14ac:dyDescent="0.3">
      <c r="A26" t="s">
        <v>28</v>
      </c>
      <c r="B26">
        <v>21</v>
      </c>
      <c r="C26">
        <v>760</v>
      </c>
      <c r="D26">
        <v>25</v>
      </c>
    </row>
    <row r="27" spans="1:4" x14ac:dyDescent="0.3">
      <c r="A27" t="s">
        <v>29</v>
      </c>
      <c r="B27">
        <v>32</v>
      </c>
      <c r="C27">
        <v>51</v>
      </c>
      <c r="D27">
        <v>180</v>
      </c>
    </row>
    <row r="28" spans="1:4" x14ac:dyDescent="0.3">
      <c r="A28" t="s">
        <v>30</v>
      </c>
      <c r="B28">
        <v>10</v>
      </c>
      <c r="C28">
        <v>3</v>
      </c>
      <c r="D28">
        <v>118</v>
      </c>
    </row>
    <row r="29" spans="1:4" x14ac:dyDescent="0.3">
      <c r="A29" t="s">
        <v>31</v>
      </c>
      <c r="B29">
        <v>1</v>
      </c>
      <c r="C29">
        <v>0</v>
      </c>
      <c r="D29">
        <v>2</v>
      </c>
    </row>
    <row r="30" spans="1:4" x14ac:dyDescent="0.3">
      <c r="A30" t="s">
        <v>32</v>
      </c>
      <c r="B30">
        <v>1</v>
      </c>
      <c r="C30">
        <v>1</v>
      </c>
      <c r="D30">
        <v>0</v>
      </c>
    </row>
    <row r="31" spans="1:4" x14ac:dyDescent="0.3">
      <c r="A31" t="s">
        <v>33</v>
      </c>
      <c r="B31">
        <v>93</v>
      </c>
      <c r="C31">
        <v>794</v>
      </c>
      <c r="D31">
        <v>1298</v>
      </c>
    </row>
    <row r="32" spans="1:4" x14ac:dyDescent="0.3">
      <c r="A32" t="s">
        <v>34</v>
      </c>
      <c r="B32">
        <v>5</v>
      </c>
      <c r="C32">
        <v>15</v>
      </c>
      <c r="D32">
        <v>0</v>
      </c>
    </row>
    <row r="33" spans="1:4" x14ac:dyDescent="0.3">
      <c r="A33" t="s">
        <v>35</v>
      </c>
      <c r="B33">
        <v>86</v>
      </c>
      <c r="C33">
        <v>1471</v>
      </c>
      <c r="D33">
        <v>1902</v>
      </c>
    </row>
    <row r="34" spans="1:4" x14ac:dyDescent="0.3">
      <c r="A34" t="s">
        <v>36</v>
      </c>
      <c r="B34">
        <v>1</v>
      </c>
      <c r="C34">
        <v>1</v>
      </c>
      <c r="D34">
        <v>0</v>
      </c>
    </row>
    <row r="35" spans="1:4" x14ac:dyDescent="0.3">
      <c r="A35" t="s">
        <v>37</v>
      </c>
      <c r="B35">
        <v>6</v>
      </c>
      <c r="C35">
        <v>8</v>
      </c>
      <c r="D35">
        <v>0</v>
      </c>
    </row>
    <row r="36" spans="1:4" x14ac:dyDescent="0.3">
      <c r="A36" t="s">
        <v>38</v>
      </c>
      <c r="B36">
        <v>5</v>
      </c>
      <c r="C36">
        <v>11</v>
      </c>
      <c r="D36">
        <v>34</v>
      </c>
    </row>
    <row r="37" spans="1:4" x14ac:dyDescent="0.3">
      <c r="A37" t="s">
        <v>39</v>
      </c>
      <c r="B37">
        <v>1</v>
      </c>
      <c r="C37">
        <v>1</v>
      </c>
      <c r="D37">
        <v>0</v>
      </c>
    </row>
    <row r="38" spans="1:4" x14ac:dyDescent="0.3">
      <c r="A38" t="s">
        <v>40</v>
      </c>
      <c r="B38">
        <v>4</v>
      </c>
      <c r="C38">
        <v>6</v>
      </c>
      <c r="D38">
        <v>2</v>
      </c>
    </row>
    <row r="39" spans="1:4" x14ac:dyDescent="0.3">
      <c r="A39" t="s">
        <v>41</v>
      </c>
      <c r="B39">
        <v>1</v>
      </c>
      <c r="C39">
        <v>1</v>
      </c>
      <c r="D39">
        <v>0</v>
      </c>
    </row>
    <row r="40" spans="1:4" x14ac:dyDescent="0.3">
      <c r="A40" t="s">
        <v>42</v>
      </c>
      <c r="B40">
        <v>1</v>
      </c>
      <c r="C40">
        <v>5</v>
      </c>
      <c r="D40">
        <v>0</v>
      </c>
    </row>
    <row r="41" spans="1:4" x14ac:dyDescent="0.3">
      <c r="A41" t="s">
        <v>43</v>
      </c>
      <c r="B41">
        <v>1</v>
      </c>
      <c r="C41">
        <v>4</v>
      </c>
      <c r="D41">
        <v>4</v>
      </c>
    </row>
    <row r="42" spans="1:4" x14ac:dyDescent="0.3">
      <c r="A42" t="s">
        <v>44</v>
      </c>
      <c r="B42">
        <v>2</v>
      </c>
      <c r="C42">
        <v>6</v>
      </c>
      <c r="D42">
        <v>7</v>
      </c>
    </row>
    <row r="43" spans="1:4" x14ac:dyDescent="0.3">
      <c r="A43" t="s">
        <v>45</v>
      </c>
      <c r="B43">
        <v>716</v>
      </c>
      <c r="C43">
        <v>113420.46</v>
      </c>
      <c r="D43">
        <v>2371</v>
      </c>
    </row>
    <row r="44" spans="1:4" x14ac:dyDescent="0.3">
      <c r="A44" t="s">
        <v>46</v>
      </c>
      <c r="B44">
        <v>4</v>
      </c>
      <c r="C44">
        <v>0</v>
      </c>
      <c r="D44">
        <v>9</v>
      </c>
    </row>
    <row r="45" spans="1:4" x14ac:dyDescent="0.3">
      <c r="A45" t="s">
        <v>47</v>
      </c>
      <c r="B45">
        <v>5</v>
      </c>
      <c r="C45">
        <v>0</v>
      </c>
      <c r="D45">
        <v>128</v>
      </c>
    </row>
    <row r="46" spans="1:4" x14ac:dyDescent="0.3">
      <c r="A46" t="s">
        <v>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61</v>
      </c>
      <c r="B2" t="s">
        <v>62</v>
      </c>
      <c r="D2" t="s">
        <v>4</v>
      </c>
      <c r="E2" s="1">
        <v>0</v>
      </c>
      <c r="F2">
        <v>1</v>
      </c>
      <c r="G2">
        <v>0</v>
      </c>
      <c r="H2">
        <v>5</v>
      </c>
      <c r="I2">
        <v>0</v>
      </c>
      <c r="J2">
        <v>0</v>
      </c>
      <c r="K2">
        <f t="shared" ref="K2:K7" si="0">IF(H2-I2-J2&gt;0,H2-I2-J2,0)</f>
        <v>5</v>
      </c>
      <c r="L2" s="1">
        <f t="shared" ref="L2:L7" si="1">IFERROR(I2*E2,0)</f>
        <v>0</v>
      </c>
      <c r="M2" s="1">
        <f t="shared" ref="M2:M7" si="2">IFERROR(K2*E2,0)</f>
        <v>0</v>
      </c>
    </row>
    <row r="3" spans="1:13" x14ac:dyDescent="0.3">
      <c r="A3" t="s">
        <v>63</v>
      </c>
      <c r="B3" t="s">
        <v>64</v>
      </c>
      <c r="C3" t="s">
        <v>65</v>
      </c>
      <c r="D3" t="s">
        <v>4</v>
      </c>
      <c r="E3" s="1">
        <v>3264</v>
      </c>
      <c r="F3">
        <v>2</v>
      </c>
      <c r="G3">
        <v>0</v>
      </c>
      <c r="H3">
        <v>6</v>
      </c>
      <c r="I3">
        <v>0</v>
      </c>
      <c r="J3">
        <v>0</v>
      </c>
      <c r="K3">
        <f t="shared" si="0"/>
        <v>6</v>
      </c>
      <c r="L3" s="1">
        <f t="shared" si="1"/>
        <v>0</v>
      </c>
      <c r="M3" s="1">
        <f t="shared" si="2"/>
        <v>19584</v>
      </c>
    </row>
    <row r="4" spans="1:13" x14ac:dyDescent="0.3">
      <c r="A4" t="s">
        <v>66</v>
      </c>
      <c r="B4" t="s">
        <v>67</v>
      </c>
      <c r="D4" t="s">
        <v>4</v>
      </c>
      <c r="E4" s="1">
        <v>0</v>
      </c>
      <c r="F4">
        <v>9</v>
      </c>
      <c r="G4">
        <v>0</v>
      </c>
      <c r="H4">
        <v>45</v>
      </c>
      <c r="I4">
        <v>0</v>
      </c>
      <c r="J4">
        <v>0</v>
      </c>
      <c r="K4">
        <f t="shared" si="0"/>
        <v>45</v>
      </c>
      <c r="L4" s="1">
        <f t="shared" si="1"/>
        <v>0</v>
      </c>
      <c r="M4" s="1">
        <f t="shared" si="2"/>
        <v>0</v>
      </c>
    </row>
    <row r="5" spans="1:13" x14ac:dyDescent="0.3">
      <c r="A5" t="s">
        <v>68</v>
      </c>
      <c r="B5" t="s">
        <v>69</v>
      </c>
      <c r="C5" t="s">
        <v>70</v>
      </c>
      <c r="D5" t="s">
        <v>4</v>
      </c>
      <c r="E5" s="1">
        <v>503.25</v>
      </c>
      <c r="F5">
        <v>1</v>
      </c>
      <c r="G5">
        <v>0</v>
      </c>
      <c r="H5">
        <v>2</v>
      </c>
      <c r="I5">
        <v>0</v>
      </c>
      <c r="J5">
        <v>0</v>
      </c>
      <c r="K5">
        <f t="shared" si="0"/>
        <v>2</v>
      </c>
      <c r="L5" s="1">
        <f t="shared" si="1"/>
        <v>0</v>
      </c>
      <c r="M5" s="1">
        <f t="shared" si="2"/>
        <v>1006.5</v>
      </c>
    </row>
    <row r="6" spans="1:13" x14ac:dyDescent="0.3">
      <c r="A6" t="s">
        <v>71</v>
      </c>
      <c r="B6" t="s">
        <v>72</v>
      </c>
      <c r="C6" t="s">
        <v>73</v>
      </c>
      <c r="D6" t="s">
        <v>4</v>
      </c>
      <c r="E6" s="1">
        <v>0.3</v>
      </c>
      <c r="F6">
        <v>114</v>
      </c>
      <c r="G6">
        <v>0</v>
      </c>
      <c r="H6">
        <v>572</v>
      </c>
      <c r="I6">
        <v>0</v>
      </c>
      <c r="J6">
        <v>0</v>
      </c>
      <c r="K6">
        <f t="shared" si="0"/>
        <v>572</v>
      </c>
      <c r="L6" s="1">
        <f t="shared" si="1"/>
        <v>0</v>
      </c>
      <c r="M6" s="1">
        <f t="shared" si="2"/>
        <v>171.6</v>
      </c>
    </row>
    <row r="7" spans="1:13" x14ac:dyDescent="0.3">
      <c r="A7" t="s">
        <v>74</v>
      </c>
      <c r="B7" t="s">
        <v>74</v>
      </c>
      <c r="C7" t="s">
        <v>75</v>
      </c>
      <c r="D7" t="s">
        <v>4</v>
      </c>
      <c r="E7" s="1">
        <v>1950</v>
      </c>
      <c r="F7">
        <v>1</v>
      </c>
      <c r="G7">
        <v>0</v>
      </c>
      <c r="H7">
        <v>5</v>
      </c>
      <c r="I7">
        <v>0</v>
      </c>
      <c r="J7">
        <v>0</v>
      </c>
      <c r="K7">
        <f t="shared" si="0"/>
        <v>5</v>
      </c>
      <c r="L7" s="1">
        <f t="shared" si="1"/>
        <v>0</v>
      </c>
      <c r="M7" s="1">
        <f t="shared" si="2"/>
        <v>9750</v>
      </c>
    </row>
    <row r="8" spans="1:13" x14ac:dyDescent="0.3">
      <c r="A8" t="s">
        <v>48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76</v>
      </c>
      <c r="B2" t="s">
        <v>77</v>
      </c>
      <c r="C2" t="s">
        <v>78</v>
      </c>
      <c r="D2" t="s">
        <v>5</v>
      </c>
      <c r="E2" s="1">
        <v>62.5</v>
      </c>
      <c r="F2">
        <v>4</v>
      </c>
      <c r="G2">
        <v>0</v>
      </c>
      <c r="H2">
        <v>16</v>
      </c>
      <c r="I2">
        <v>0</v>
      </c>
      <c r="J2">
        <v>0</v>
      </c>
      <c r="K2">
        <f>IF(H2-I2-J2&gt;0,H2-I2-J2,0)</f>
        <v>16</v>
      </c>
      <c r="L2" s="1">
        <f>IFERROR(I2*E2,0)</f>
        <v>0</v>
      </c>
      <c r="M2" s="1">
        <f>IFERROR(K2*E2,0)</f>
        <v>1000</v>
      </c>
    </row>
    <row r="3" spans="1:13" x14ac:dyDescent="0.3">
      <c r="A3" t="s">
        <v>48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2" max="2" width="22.6640625" bestFit="1" customWidth="1"/>
    <col min="3" max="3" width="20" bestFit="1" customWidth="1"/>
    <col min="4" max="4" width="10.77734375" bestFit="1" customWidth="1"/>
    <col min="5" max="5" width="11.44140625" bestFit="1" customWidth="1"/>
  </cols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79</v>
      </c>
      <c r="B2" t="s">
        <v>80</v>
      </c>
      <c r="C2" t="s">
        <v>81</v>
      </c>
      <c r="D2" t="s">
        <v>6</v>
      </c>
      <c r="E2" s="1">
        <v>534.83000000000004</v>
      </c>
      <c r="F2">
        <v>1</v>
      </c>
      <c r="G2">
        <v>0</v>
      </c>
      <c r="H2">
        <v>3</v>
      </c>
      <c r="I2">
        <v>0</v>
      </c>
      <c r="J2">
        <v>0</v>
      </c>
      <c r="K2">
        <f>IF(H2-I2-J2&gt;0,H2-I2-J2,0)</f>
        <v>3</v>
      </c>
      <c r="L2" s="1">
        <f>IFERROR(I2*E2,0)</f>
        <v>0</v>
      </c>
      <c r="M2" s="1">
        <f>IFERROR(K2*E2,0)</f>
        <v>1604.4900000000002</v>
      </c>
    </row>
    <row r="3" spans="1:13" x14ac:dyDescent="0.3">
      <c r="A3" t="s">
        <v>82</v>
      </c>
      <c r="B3" t="s">
        <v>83</v>
      </c>
      <c r="C3" t="s">
        <v>81</v>
      </c>
      <c r="D3" t="s">
        <v>6</v>
      </c>
      <c r="E3" s="1">
        <v>1358.93</v>
      </c>
      <c r="F3">
        <v>1</v>
      </c>
      <c r="G3">
        <v>0</v>
      </c>
      <c r="H3">
        <v>3</v>
      </c>
      <c r="I3">
        <v>0</v>
      </c>
      <c r="J3">
        <v>0</v>
      </c>
      <c r="K3">
        <f>IF(H3-I3-J3&gt;0,H3-I3-J3,0)</f>
        <v>3</v>
      </c>
      <c r="L3" s="1">
        <f>IFERROR(I3*E3,0)</f>
        <v>0</v>
      </c>
      <c r="M3" s="1">
        <f>IFERROR(K3*E3,0)</f>
        <v>4076.79</v>
      </c>
    </row>
    <row r="4" spans="1:13" x14ac:dyDescent="0.3">
      <c r="A4" t="s">
        <v>84</v>
      </c>
      <c r="B4" t="s">
        <v>85</v>
      </c>
      <c r="D4" t="s">
        <v>6</v>
      </c>
      <c r="E4" s="1">
        <v>0</v>
      </c>
      <c r="F4">
        <v>1</v>
      </c>
      <c r="G4">
        <v>0</v>
      </c>
      <c r="H4">
        <v>5</v>
      </c>
      <c r="I4">
        <v>0</v>
      </c>
      <c r="J4">
        <v>0</v>
      </c>
      <c r="K4">
        <f>IF(H4-I4-J4&gt;0,H4-I4-J4,0)</f>
        <v>5</v>
      </c>
      <c r="L4" s="1">
        <f>IFERROR(I4*E4,0)</f>
        <v>0</v>
      </c>
      <c r="M4" s="1">
        <f>IFERROR(K4*E4,0)</f>
        <v>0</v>
      </c>
    </row>
    <row r="5" spans="1:13" x14ac:dyDescent="0.3">
      <c r="A5" t="s">
        <v>86</v>
      </c>
      <c r="B5" t="s">
        <v>87</v>
      </c>
      <c r="C5" t="s">
        <v>88</v>
      </c>
      <c r="D5" t="s">
        <v>6</v>
      </c>
      <c r="E5" s="1">
        <v>0</v>
      </c>
      <c r="F5">
        <v>1</v>
      </c>
      <c r="G5">
        <v>0</v>
      </c>
      <c r="H5">
        <v>5</v>
      </c>
      <c r="I5">
        <v>0</v>
      </c>
      <c r="J5">
        <v>0</v>
      </c>
      <c r="K5">
        <f>IF(H5-I5-J5&gt;0,H5-I5-J5,0)</f>
        <v>5</v>
      </c>
      <c r="L5" s="1">
        <f>IFERROR(I5*E5,0)</f>
        <v>0</v>
      </c>
      <c r="M5" s="1">
        <f>IFERROR(K5*E5,0)</f>
        <v>0</v>
      </c>
    </row>
    <row r="6" spans="1:13" x14ac:dyDescent="0.3">
      <c r="A6" t="s">
        <v>48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4.4" x14ac:dyDescent="0.3"/>
  <cols>
    <col min="1" max="1" width="15" bestFit="1" customWidth="1"/>
    <col min="2" max="2" width="33.109375" bestFit="1" customWidth="1"/>
    <col min="3" max="3" width="37.21875" bestFit="1" customWidth="1"/>
    <col min="4" max="4" width="10.77734375" bestFit="1" customWidth="1"/>
    <col min="5" max="5" width="11.44140625" bestFit="1" customWidth="1"/>
    <col min="6" max="6" width="13.6640625" bestFit="1" customWidth="1"/>
    <col min="7" max="7" width="20.33203125" bestFit="1" customWidth="1"/>
    <col min="8" max="8" width="23" bestFit="1" customWidth="1"/>
    <col min="9" max="9" width="14.6640625" bestFit="1" customWidth="1"/>
    <col min="10" max="10" width="10.88671875" bestFit="1" customWidth="1"/>
    <col min="11" max="11" width="15.88671875" bestFit="1" customWidth="1"/>
    <col min="12" max="12" width="13.109375" bestFit="1" customWidth="1"/>
    <col min="13" max="13" width="13.21875" bestFit="1" customWidth="1"/>
  </cols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89</v>
      </c>
      <c r="B2" t="s">
        <v>90</v>
      </c>
      <c r="C2" t="s">
        <v>91</v>
      </c>
      <c r="D2" t="s">
        <v>7</v>
      </c>
      <c r="E2" s="1">
        <v>1067.28</v>
      </c>
      <c r="F2">
        <v>1</v>
      </c>
      <c r="G2">
        <v>0</v>
      </c>
      <c r="H2">
        <v>2</v>
      </c>
      <c r="I2">
        <v>0</v>
      </c>
      <c r="J2">
        <v>0</v>
      </c>
      <c r="K2">
        <f t="shared" ref="K2:K13" si="0">IF(H2-I2-J2&gt;0,H2-I2-J2,0)</f>
        <v>2</v>
      </c>
      <c r="L2" s="1">
        <f t="shared" ref="L2:L13" si="1">IFERROR(I2*E2,0)</f>
        <v>0</v>
      </c>
      <c r="M2" s="1">
        <f t="shared" ref="M2:M13" si="2">IFERROR(K2*E2,0)</f>
        <v>2134.56</v>
      </c>
    </row>
    <row r="3" spans="1:13" x14ac:dyDescent="0.3">
      <c r="A3" t="s">
        <v>92</v>
      </c>
      <c r="B3" t="s">
        <v>93</v>
      </c>
      <c r="C3" t="s">
        <v>94</v>
      </c>
      <c r="D3" t="s">
        <v>7</v>
      </c>
      <c r="E3" s="1">
        <v>594.72</v>
      </c>
      <c r="F3">
        <v>3</v>
      </c>
      <c r="G3">
        <v>0</v>
      </c>
      <c r="H3">
        <v>15</v>
      </c>
      <c r="I3">
        <v>0</v>
      </c>
      <c r="J3">
        <v>0</v>
      </c>
      <c r="K3">
        <f t="shared" si="0"/>
        <v>15</v>
      </c>
      <c r="L3" s="1">
        <f t="shared" si="1"/>
        <v>0</v>
      </c>
      <c r="M3" s="1">
        <f t="shared" si="2"/>
        <v>8920.8000000000011</v>
      </c>
    </row>
    <row r="4" spans="1:13" x14ac:dyDescent="0.3">
      <c r="A4" t="s">
        <v>95</v>
      </c>
      <c r="B4" t="s">
        <v>96</v>
      </c>
      <c r="C4" t="s">
        <v>94</v>
      </c>
      <c r="D4" t="s">
        <v>7</v>
      </c>
      <c r="E4" s="1">
        <v>849.6</v>
      </c>
      <c r="F4">
        <v>2</v>
      </c>
      <c r="G4">
        <v>0</v>
      </c>
      <c r="H4">
        <v>10</v>
      </c>
      <c r="I4">
        <v>0</v>
      </c>
      <c r="J4">
        <v>0</v>
      </c>
      <c r="K4">
        <f t="shared" si="0"/>
        <v>10</v>
      </c>
      <c r="L4" s="1">
        <f t="shared" si="1"/>
        <v>0</v>
      </c>
      <c r="M4" s="1">
        <f t="shared" si="2"/>
        <v>8496</v>
      </c>
    </row>
    <row r="5" spans="1:13" x14ac:dyDescent="0.3">
      <c r="A5" t="s">
        <v>97</v>
      </c>
      <c r="B5" t="s">
        <v>98</v>
      </c>
      <c r="C5" t="s">
        <v>94</v>
      </c>
      <c r="D5" t="s">
        <v>7</v>
      </c>
      <c r="E5" s="1">
        <v>1019.75</v>
      </c>
      <c r="F5">
        <v>3</v>
      </c>
      <c r="G5">
        <v>0</v>
      </c>
      <c r="H5">
        <v>15</v>
      </c>
      <c r="I5">
        <v>0</v>
      </c>
      <c r="J5">
        <v>0</v>
      </c>
      <c r="K5">
        <f t="shared" si="0"/>
        <v>15</v>
      </c>
      <c r="L5" s="1">
        <f t="shared" si="1"/>
        <v>0</v>
      </c>
      <c r="M5" s="1">
        <f t="shared" si="2"/>
        <v>15296.25</v>
      </c>
    </row>
    <row r="6" spans="1:13" x14ac:dyDescent="0.3">
      <c r="A6" t="s">
        <v>99</v>
      </c>
      <c r="B6" t="s">
        <v>100</v>
      </c>
      <c r="C6" t="s">
        <v>94</v>
      </c>
      <c r="D6" t="s">
        <v>7</v>
      </c>
      <c r="E6" s="1">
        <v>1180.8399999999999</v>
      </c>
      <c r="F6">
        <v>1</v>
      </c>
      <c r="G6">
        <v>0</v>
      </c>
      <c r="H6">
        <v>5</v>
      </c>
      <c r="I6">
        <v>0</v>
      </c>
      <c r="J6">
        <v>0</v>
      </c>
      <c r="K6">
        <f t="shared" si="0"/>
        <v>5</v>
      </c>
      <c r="L6" s="1">
        <f t="shared" si="1"/>
        <v>0</v>
      </c>
      <c r="M6" s="1">
        <f t="shared" si="2"/>
        <v>5904.2</v>
      </c>
    </row>
    <row r="7" spans="1:13" x14ac:dyDescent="0.3">
      <c r="A7" t="s">
        <v>101</v>
      </c>
      <c r="B7" t="s">
        <v>102</v>
      </c>
      <c r="C7" t="s">
        <v>94</v>
      </c>
      <c r="D7" t="s">
        <v>7</v>
      </c>
      <c r="E7" s="1">
        <v>1402.45</v>
      </c>
      <c r="F7">
        <v>2</v>
      </c>
      <c r="G7">
        <v>0</v>
      </c>
      <c r="H7">
        <v>10</v>
      </c>
      <c r="I7">
        <v>0</v>
      </c>
      <c r="J7">
        <v>0</v>
      </c>
      <c r="K7">
        <f t="shared" si="0"/>
        <v>10</v>
      </c>
      <c r="L7" s="1">
        <f t="shared" si="1"/>
        <v>0</v>
      </c>
      <c r="M7" s="1">
        <f t="shared" si="2"/>
        <v>14024.5</v>
      </c>
    </row>
    <row r="8" spans="1:13" x14ac:dyDescent="0.3">
      <c r="A8" t="s">
        <v>103</v>
      </c>
      <c r="B8" t="s">
        <v>104</v>
      </c>
      <c r="C8" t="s">
        <v>94</v>
      </c>
      <c r="D8" t="s">
        <v>7</v>
      </c>
      <c r="E8" s="1">
        <v>1505.57</v>
      </c>
      <c r="F8">
        <v>2</v>
      </c>
      <c r="G8">
        <v>0</v>
      </c>
      <c r="H8">
        <v>10</v>
      </c>
      <c r="I8">
        <v>0</v>
      </c>
      <c r="J8">
        <v>0</v>
      </c>
      <c r="K8">
        <f t="shared" si="0"/>
        <v>10</v>
      </c>
      <c r="L8" s="1">
        <f t="shared" si="1"/>
        <v>0</v>
      </c>
      <c r="M8" s="1">
        <f t="shared" si="2"/>
        <v>15055.699999999999</v>
      </c>
    </row>
    <row r="9" spans="1:13" x14ac:dyDescent="0.3">
      <c r="A9" t="s">
        <v>105</v>
      </c>
      <c r="B9" t="s">
        <v>106</v>
      </c>
      <c r="C9" t="s">
        <v>94</v>
      </c>
      <c r="D9" t="s">
        <v>7</v>
      </c>
      <c r="E9" s="1">
        <v>2044.2</v>
      </c>
      <c r="F9">
        <v>2</v>
      </c>
      <c r="G9">
        <v>0</v>
      </c>
      <c r="H9">
        <v>10</v>
      </c>
      <c r="I9">
        <v>0</v>
      </c>
      <c r="J9">
        <v>0</v>
      </c>
      <c r="K9">
        <f t="shared" si="0"/>
        <v>10</v>
      </c>
      <c r="L9" s="1">
        <f t="shared" si="1"/>
        <v>0</v>
      </c>
      <c r="M9" s="1">
        <f t="shared" si="2"/>
        <v>20442</v>
      </c>
    </row>
    <row r="10" spans="1:13" x14ac:dyDescent="0.3">
      <c r="A10" t="s">
        <v>107</v>
      </c>
      <c r="B10" t="s">
        <v>108</v>
      </c>
      <c r="C10" t="s">
        <v>88</v>
      </c>
      <c r="D10" t="s">
        <v>7</v>
      </c>
      <c r="E10" s="1">
        <v>0</v>
      </c>
      <c r="F10">
        <v>1</v>
      </c>
      <c r="G10">
        <v>0</v>
      </c>
      <c r="H10">
        <v>5</v>
      </c>
      <c r="I10">
        <v>0</v>
      </c>
      <c r="J10">
        <v>0</v>
      </c>
      <c r="K10">
        <f t="shared" si="0"/>
        <v>5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109</v>
      </c>
      <c r="B11" t="s">
        <v>110</v>
      </c>
      <c r="C11" t="s">
        <v>88</v>
      </c>
      <c r="D11" t="s">
        <v>7</v>
      </c>
      <c r="E11" s="1">
        <v>0</v>
      </c>
      <c r="F11">
        <v>1</v>
      </c>
      <c r="G11">
        <v>0</v>
      </c>
      <c r="H11">
        <v>5</v>
      </c>
      <c r="I11">
        <v>0</v>
      </c>
      <c r="J11">
        <v>0</v>
      </c>
      <c r="K11">
        <f t="shared" si="0"/>
        <v>5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111</v>
      </c>
      <c r="B12" t="s">
        <v>112</v>
      </c>
      <c r="C12" t="s">
        <v>113</v>
      </c>
      <c r="D12" t="s">
        <v>7</v>
      </c>
      <c r="E12" s="1">
        <v>1475</v>
      </c>
      <c r="F12">
        <v>3</v>
      </c>
      <c r="G12">
        <v>0</v>
      </c>
      <c r="H12">
        <v>15</v>
      </c>
      <c r="I12">
        <v>0</v>
      </c>
      <c r="J12">
        <v>0</v>
      </c>
      <c r="K12">
        <f t="shared" si="0"/>
        <v>15</v>
      </c>
      <c r="L12" s="1">
        <f t="shared" si="1"/>
        <v>0</v>
      </c>
      <c r="M12" s="1">
        <f t="shared" si="2"/>
        <v>22125</v>
      </c>
    </row>
    <row r="13" spans="1:13" x14ac:dyDescent="0.3">
      <c r="A13" t="s">
        <v>114</v>
      </c>
      <c r="B13" t="s">
        <v>115</v>
      </c>
      <c r="C13" t="s">
        <v>113</v>
      </c>
      <c r="D13" t="s">
        <v>7</v>
      </c>
      <c r="E13" s="1">
        <v>0</v>
      </c>
      <c r="F13">
        <v>1</v>
      </c>
      <c r="G13">
        <v>0</v>
      </c>
      <c r="H13">
        <v>5</v>
      </c>
      <c r="I13">
        <v>0</v>
      </c>
      <c r="J13">
        <v>0</v>
      </c>
      <c r="K13">
        <f t="shared" si="0"/>
        <v>5</v>
      </c>
      <c r="L13" s="1">
        <f t="shared" si="1"/>
        <v>0</v>
      </c>
      <c r="M13" s="1">
        <f t="shared" si="2"/>
        <v>0</v>
      </c>
    </row>
    <row r="14" spans="1:13" x14ac:dyDescent="0.3">
      <c r="A14" t="s">
        <v>48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116</v>
      </c>
      <c r="B2" t="s">
        <v>117</v>
      </c>
      <c r="C2" t="s">
        <v>118</v>
      </c>
      <c r="D2" t="s">
        <v>8</v>
      </c>
      <c r="E2" s="1">
        <v>2.85</v>
      </c>
      <c r="F2">
        <v>86</v>
      </c>
      <c r="G2">
        <v>0</v>
      </c>
      <c r="H2">
        <v>374</v>
      </c>
      <c r="I2">
        <v>0</v>
      </c>
      <c r="J2">
        <v>0</v>
      </c>
      <c r="K2">
        <f t="shared" ref="K2:K24" si="0">IF(H2-I2-J2&gt;0,H2-I2-J2,0)</f>
        <v>374</v>
      </c>
      <c r="L2" s="1">
        <f t="shared" ref="L2:L24" si="1">IFERROR(I2*E2,0)</f>
        <v>0</v>
      </c>
      <c r="M2" s="1">
        <f t="shared" ref="M2:M24" si="2">IFERROR(K2*E2,0)</f>
        <v>1065.9000000000001</v>
      </c>
    </row>
    <row r="3" spans="1:13" x14ac:dyDescent="0.3">
      <c r="A3" t="s">
        <v>119</v>
      </c>
      <c r="B3" t="s">
        <v>120</v>
      </c>
      <c r="C3" t="s">
        <v>121</v>
      </c>
      <c r="D3" t="s">
        <v>8</v>
      </c>
      <c r="E3" s="1">
        <v>30.43</v>
      </c>
      <c r="F3">
        <v>5</v>
      </c>
      <c r="G3">
        <v>0</v>
      </c>
      <c r="H3">
        <v>25</v>
      </c>
      <c r="I3">
        <v>0</v>
      </c>
      <c r="J3">
        <v>0</v>
      </c>
      <c r="K3">
        <f t="shared" si="0"/>
        <v>25</v>
      </c>
      <c r="L3" s="1">
        <f t="shared" si="1"/>
        <v>0</v>
      </c>
      <c r="M3" s="1">
        <f t="shared" si="2"/>
        <v>760.75</v>
      </c>
    </row>
    <row r="4" spans="1:13" x14ac:dyDescent="0.3">
      <c r="A4" t="s">
        <v>122</v>
      </c>
      <c r="B4" t="s">
        <v>122</v>
      </c>
      <c r="C4" t="s">
        <v>121</v>
      </c>
      <c r="D4" t="s">
        <v>8</v>
      </c>
      <c r="E4" s="1">
        <v>4.3499999999999996</v>
      </c>
      <c r="F4">
        <v>2</v>
      </c>
      <c r="G4">
        <v>0</v>
      </c>
      <c r="H4">
        <v>10</v>
      </c>
      <c r="I4">
        <v>0</v>
      </c>
      <c r="J4">
        <v>0</v>
      </c>
      <c r="K4">
        <f t="shared" si="0"/>
        <v>10</v>
      </c>
      <c r="L4" s="1">
        <f t="shared" si="1"/>
        <v>0</v>
      </c>
      <c r="M4" s="1">
        <f t="shared" si="2"/>
        <v>43.5</v>
      </c>
    </row>
    <row r="5" spans="1:13" x14ac:dyDescent="0.3">
      <c r="A5" t="s">
        <v>123</v>
      </c>
      <c r="B5" t="s">
        <v>124</v>
      </c>
      <c r="C5" t="s">
        <v>121</v>
      </c>
      <c r="D5" t="s">
        <v>8</v>
      </c>
      <c r="E5" s="1">
        <v>86.96</v>
      </c>
      <c r="F5">
        <v>1</v>
      </c>
      <c r="G5">
        <v>0</v>
      </c>
      <c r="H5">
        <v>5</v>
      </c>
      <c r="I5">
        <v>0</v>
      </c>
      <c r="J5">
        <v>0</v>
      </c>
      <c r="K5">
        <f t="shared" si="0"/>
        <v>5</v>
      </c>
      <c r="L5" s="1">
        <f t="shared" si="1"/>
        <v>0</v>
      </c>
      <c r="M5" s="1">
        <f t="shared" si="2"/>
        <v>434.79999999999995</v>
      </c>
    </row>
    <row r="6" spans="1:13" x14ac:dyDescent="0.3">
      <c r="A6" t="s">
        <v>125</v>
      </c>
      <c r="B6" t="s">
        <v>126</v>
      </c>
      <c r="C6" t="s">
        <v>118</v>
      </c>
      <c r="D6" t="s">
        <v>8</v>
      </c>
      <c r="E6" s="1">
        <v>69</v>
      </c>
      <c r="F6">
        <v>1</v>
      </c>
      <c r="G6">
        <v>0</v>
      </c>
      <c r="H6">
        <v>5</v>
      </c>
      <c r="I6">
        <v>0</v>
      </c>
      <c r="J6">
        <v>0</v>
      </c>
      <c r="K6">
        <f t="shared" si="0"/>
        <v>5</v>
      </c>
      <c r="L6" s="1">
        <f t="shared" si="1"/>
        <v>0</v>
      </c>
      <c r="M6" s="1">
        <f t="shared" si="2"/>
        <v>345</v>
      </c>
    </row>
    <row r="7" spans="1:13" x14ac:dyDescent="0.3">
      <c r="A7" t="s">
        <v>127</v>
      </c>
      <c r="B7" t="s">
        <v>128</v>
      </c>
      <c r="C7" t="s">
        <v>121</v>
      </c>
      <c r="D7" t="s">
        <v>8</v>
      </c>
      <c r="E7" s="1">
        <v>521.74</v>
      </c>
      <c r="F7">
        <v>1</v>
      </c>
      <c r="G7">
        <v>0</v>
      </c>
      <c r="H7">
        <v>2</v>
      </c>
      <c r="I7">
        <v>0</v>
      </c>
      <c r="J7">
        <v>0</v>
      </c>
      <c r="K7">
        <f t="shared" si="0"/>
        <v>2</v>
      </c>
      <c r="L7" s="1">
        <f t="shared" si="1"/>
        <v>0</v>
      </c>
      <c r="M7" s="1">
        <f t="shared" si="2"/>
        <v>1043.48</v>
      </c>
    </row>
    <row r="8" spans="1:13" x14ac:dyDescent="0.3">
      <c r="A8" t="s">
        <v>129</v>
      </c>
      <c r="B8" t="s">
        <v>130</v>
      </c>
      <c r="C8" t="s">
        <v>113</v>
      </c>
      <c r="D8" t="s">
        <v>8</v>
      </c>
      <c r="E8" s="1">
        <v>3100</v>
      </c>
      <c r="F8">
        <v>1</v>
      </c>
      <c r="G8">
        <v>0</v>
      </c>
      <c r="H8">
        <v>3</v>
      </c>
      <c r="I8">
        <v>0</v>
      </c>
      <c r="J8">
        <v>0</v>
      </c>
      <c r="K8">
        <f t="shared" si="0"/>
        <v>3</v>
      </c>
      <c r="L8" s="1">
        <f t="shared" si="1"/>
        <v>0</v>
      </c>
      <c r="M8" s="1">
        <f t="shared" si="2"/>
        <v>9300</v>
      </c>
    </row>
    <row r="9" spans="1:13" x14ac:dyDescent="0.3">
      <c r="A9" t="s">
        <v>131</v>
      </c>
      <c r="B9" t="s">
        <v>132</v>
      </c>
      <c r="C9" t="s">
        <v>113</v>
      </c>
      <c r="D9" t="s">
        <v>8</v>
      </c>
      <c r="E9" s="1">
        <v>4545</v>
      </c>
      <c r="F9">
        <v>1</v>
      </c>
      <c r="G9">
        <v>0</v>
      </c>
      <c r="H9">
        <v>5</v>
      </c>
      <c r="I9">
        <v>0</v>
      </c>
      <c r="J9">
        <v>0</v>
      </c>
      <c r="K9">
        <f t="shared" si="0"/>
        <v>5</v>
      </c>
      <c r="L9" s="1">
        <f t="shared" si="1"/>
        <v>0</v>
      </c>
      <c r="M9" s="1">
        <f t="shared" si="2"/>
        <v>22725</v>
      </c>
    </row>
    <row r="10" spans="1:13" x14ac:dyDescent="0.3">
      <c r="A10" t="s">
        <v>133</v>
      </c>
      <c r="B10" t="s">
        <v>134</v>
      </c>
      <c r="D10" t="s">
        <v>8</v>
      </c>
      <c r="E10" s="1">
        <v>6</v>
      </c>
      <c r="F10">
        <v>75</v>
      </c>
      <c r="G10">
        <v>0</v>
      </c>
      <c r="H10">
        <v>375</v>
      </c>
      <c r="I10">
        <v>0</v>
      </c>
      <c r="J10">
        <v>0</v>
      </c>
      <c r="K10">
        <f t="shared" si="0"/>
        <v>375</v>
      </c>
      <c r="L10" s="1">
        <f t="shared" si="1"/>
        <v>0</v>
      </c>
      <c r="M10" s="1">
        <f t="shared" si="2"/>
        <v>2250</v>
      </c>
    </row>
    <row r="11" spans="1:13" x14ac:dyDescent="0.3">
      <c r="A11" t="s">
        <v>135</v>
      </c>
      <c r="B11" t="s">
        <v>135</v>
      </c>
      <c r="D11" t="s">
        <v>8</v>
      </c>
      <c r="E11" s="1">
        <v>1.1499999999999999</v>
      </c>
      <c r="F11">
        <v>100</v>
      </c>
      <c r="G11">
        <v>0</v>
      </c>
      <c r="H11">
        <v>500</v>
      </c>
      <c r="I11">
        <v>0</v>
      </c>
      <c r="J11">
        <v>0</v>
      </c>
      <c r="K11">
        <f t="shared" si="0"/>
        <v>500</v>
      </c>
      <c r="L11" s="1">
        <f t="shared" si="1"/>
        <v>0</v>
      </c>
      <c r="M11" s="1">
        <f t="shared" si="2"/>
        <v>575</v>
      </c>
    </row>
    <row r="12" spans="1:13" x14ac:dyDescent="0.3">
      <c r="A12" t="s">
        <v>136</v>
      </c>
      <c r="B12" t="s">
        <v>137</v>
      </c>
      <c r="D12" t="s">
        <v>8</v>
      </c>
      <c r="E12" s="1">
        <v>11</v>
      </c>
      <c r="F12">
        <v>42</v>
      </c>
      <c r="G12">
        <v>0</v>
      </c>
      <c r="H12">
        <v>212</v>
      </c>
      <c r="I12">
        <v>0</v>
      </c>
      <c r="J12">
        <v>0</v>
      </c>
      <c r="K12">
        <f t="shared" si="0"/>
        <v>212</v>
      </c>
      <c r="L12" s="1">
        <f t="shared" si="1"/>
        <v>0</v>
      </c>
      <c r="M12" s="1">
        <f t="shared" si="2"/>
        <v>2332</v>
      </c>
    </row>
    <row r="13" spans="1:13" x14ac:dyDescent="0.3">
      <c r="A13" t="s">
        <v>138</v>
      </c>
      <c r="B13" t="s">
        <v>139</v>
      </c>
      <c r="D13" t="s">
        <v>8</v>
      </c>
      <c r="E13" s="1">
        <v>11</v>
      </c>
      <c r="F13">
        <v>32</v>
      </c>
      <c r="G13">
        <v>0</v>
      </c>
      <c r="H13">
        <v>162</v>
      </c>
      <c r="I13">
        <v>0</v>
      </c>
      <c r="J13">
        <v>0</v>
      </c>
      <c r="K13">
        <f t="shared" si="0"/>
        <v>162</v>
      </c>
      <c r="L13" s="1">
        <f t="shared" si="1"/>
        <v>0</v>
      </c>
      <c r="M13" s="1">
        <f t="shared" si="2"/>
        <v>1782</v>
      </c>
    </row>
    <row r="14" spans="1:13" x14ac:dyDescent="0.3">
      <c r="A14" t="s">
        <v>140</v>
      </c>
      <c r="B14" t="s">
        <v>141</v>
      </c>
      <c r="C14" t="s">
        <v>73</v>
      </c>
      <c r="D14" t="s">
        <v>8</v>
      </c>
      <c r="E14" s="1">
        <v>15</v>
      </c>
      <c r="F14">
        <v>1</v>
      </c>
      <c r="G14">
        <v>0</v>
      </c>
      <c r="H14">
        <v>2</v>
      </c>
      <c r="I14">
        <v>0</v>
      </c>
      <c r="J14">
        <v>0</v>
      </c>
      <c r="K14">
        <f t="shared" si="0"/>
        <v>2</v>
      </c>
      <c r="L14" s="1">
        <f t="shared" si="1"/>
        <v>0</v>
      </c>
      <c r="M14" s="1">
        <f t="shared" si="2"/>
        <v>30</v>
      </c>
    </row>
    <row r="15" spans="1:13" x14ac:dyDescent="0.3">
      <c r="A15" t="s">
        <v>142</v>
      </c>
      <c r="B15" t="s">
        <v>143</v>
      </c>
      <c r="C15" t="s">
        <v>73</v>
      </c>
      <c r="D15" t="s">
        <v>8</v>
      </c>
      <c r="E15" s="1">
        <v>16</v>
      </c>
      <c r="F15">
        <v>1</v>
      </c>
      <c r="G15">
        <v>0</v>
      </c>
      <c r="H15">
        <v>2</v>
      </c>
      <c r="I15">
        <v>0</v>
      </c>
      <c r="J15">
        <v>0</v>
      </c>
      <c r="K15">
        <f t="shared" si="0"/>
        <v>2</v>
      </c>
      <c r="L15" s="1">
        <f t="shared" si="1"/>
        <v>0</v>
      </c>
      <c r="M15" s="1">
        <f t="shared" si="2"/>
        <v>32</v>
      </c>
    </row>
    <row r="16" spans="1:13" x14ac:dyDescent="0.3">
      <c r="A16" t="s">
        <v>144</v>
      </c>
      <c r="B16" t="s">
        <v>145</v>
      </c>
      <c r="C16" t="s">
        <v>73</v>
      </c>
      <c r="D16" t="s">
        <v>8</v>
      </c>
      <c r="E16" s="1">
        <v>0.65</v>
      </c>
      <c r="F16">
        <v>17</v>
      </c>
      <c r="G16">
        <v>0</v>
      </c>
      <c r="H16">
        <v>85</v>
      </c>
      <c r="I16">
        <v>0</v>
      </c>
      <c r="J16">
        <v>0</v>
      </c>
      <c r="K16">
        <f t="shared" si="0"/>
        <v>85</v>
      </c>
      <c r="L16" s="1">
        <f t="shared" si="1"/>
        <v>0</v>
      </c>
      <c r="M16" s="1">
        <f t="shared" si="2"/>
        <v>55.25</v>
      </c>
    </row>
    <row r="17" spans="1:13" x14ac:dyDescent="0.3">
      <c r="A17" t="s">
        <v>146</v>
      </c>
      <c r="B17" t="s">
        <v>147</v>
      </c>
      <c r="C17" t="s">
        <v>73</v>
      </c>
      <c r="D17" t="s">
        <v>8</v>
      </c>
      <c r="E17" s="1">
        <v>1.2</v>
      </c>
      <c r="F17">
        <v>20</v>
      </c>
      <c r="G17">
        <v>0</v>
      </c>
      <c r="H17">
        <v>100</v>
      </c>
      <c r="I17">
        <v>0</v>
      </c>
      <c r="J17">
        <v>0</v>
      </c>
      <c r="K17">
        <f t="shared" si="0"/>
        <v>100</v>
      </c>
      <c r="L17" s="1">
        <f t="shared" si="1"/>
        <v>0</v>
      </c>
      <c r="M17" s="1">
        <f t="shared" si="2"/>
        <v>120</v>
      </c>
    </row>
    <row r="18" spans="1:13" x14ac:dyDescent="0.3">
      <c r="A18" t="s">
        <v>148</v>
      </c>
      <c r="B18" t="s">
        <v>149</v>
      </c>
      <c r="C18" t="s">
        <v>73</v>
      </c>
      <c r="D18" t="s">
        <v>8</v>
      </c>
      <c r="E18" s="1">
        <v>0.15</v>
      </c>
      <c r="F18">
        <v>20</v>
      </c>
      <c r="G18">
        <v>0</v>
      </c>
      <c r="H18">
        <v>100</v>
      </c>
      <c r="I18">
        <v>0</v>
      </c>
      <c r="J18">
        <v>0</v>
      </c>
      <c r="K18">
        <f t="shared" si="0"/>
        <v>100</v>
      </c>
      <c r="L18" s="1">
        <f t="shared" si="1"/>
        <v>0</v>
      </c>
      <c r="M18" s="1">
        <f t="shared" si="2"/>
        <v>15</v>
      </c>
    </row>
    <row r="19" spans="1:13" x14ac:dyDescent="0.3">
      <c r="A19" t="s">
        <v>150</v>
      </c>
      <c r="B19" t="s">
        <v>151</v>
      </c>
      <c r="C19" t="s">
        <v>121</v>
      </c>
      <c r="D19" t="s">
        <v>8</v>
      </c>
      <c r="E19" s="1">
        <v>1173.9100000000001</v>
      </c>
      <c r="F19">
        <v>1</v>
      </c>
      <c r="G19">
        <v>0</v>
      </c>
      <c r="H19">
        <v>2</v>
      </c>
      <c r="I19">
        <v>0</v>
      </c>
      <c r="J19">
        <v>0</v>
      </c>
      <c r="K19">
        <f t="shared" si="0"/>
        <v>2</v>
      </c>
      <c r="L19" s="1">
        <f t="shared" si="1"/>
        <v>0</v>
      </c>
      <c r="M19" s="1">
        <f t="shared" si="2"/>
        <v>2347.8200000000002</v>
      </c>
    </row>
    <row r="20" spans="1:13" x14ac:dyDescent="0.3">
      <c r="A20" t="s">
        <v>152</v>
      </c>
      <c r="B20" t="s">
        <v>153</v>
      </c>
      <c r="C20" t="s">
        <v>121</v>
      </c>
      <c r="D20" t="s">
        <v>8</v>
      </c>
      <c r="E20" s="1">
        <v>1691.3</v>
      </c>
      <c r="F20">
        <v>1</v>
      </c>
      <c r="G20">
        <v>0</v>
      </c>
      <c r="H20">
        <v>2</v>
      </c>
      <c r="I20">
        <v>0</v>
      </c>
      <c r="J20">
        <v>0</v>
      </c>
      <c r="K20">
        <f t="shared" si="0"/>
        <v>2</v>
      </c>
      <c r="L20" s="1">
        <f t="shared" si="1"/>
        <v>0</v>
      </c>
      <c r="M20" s="1">
        <f t="shared" si="2"/>
        <v>3382.6</v>
      </c>
    </row>
    <row r="21" spans="1:13" x14ac:dyDescent="0.3">
      <c r="A21" t="s">
        <v>154</v>
      </c>
      <c r="B21" t="s">
        <v>155</v>
      </c>
      <c r="C21" t="s">
        <v>78</v>
      </c>
      <c r="D21" t="s">
        <v>8</v>
      </c>
      <c r="E21" s="1">
        <v>1625</v>
      </c>
      <c r="F21">
        <v>1</v>
      </c>
      <c r="G21">
        <v>0</v>
      </c>
      <c r="H21">
        <v>2</v>
      </c>
      <c r="I21">
        <v>0</v>
      </c>
      <c r="J21">
        <v>0</v>
      </c>
      <c r="K21">
        <f t="shared" si="0"/>
        <v>2</v>
      </c>
      <c r="L21" s="1">
        <f t="shared" si="1"/>
        <v>0</v>
      </c>
      <c r="M21" s="1">
        <f t="shared" si="2"/>
        <v>3250</v>
      </c>
    </row>
    <row r="22" spans="1:13" x14ac:dyDescent="0.3">
      <c r="A22" t="s">
        <v>156</v>
      </c>
      <c r="B22" t="s">
        <v>157</v>
      </c>
      <c r="C22" t="s">
        <v>121</v>
      </c>
      <c r="D22" t="s">
        <v>8</v>
      </c>
      <c r="E22" s="1">
        <v>26.09</v>
      </c>
      <c r="F22">
        <v>5</v>
      </c>
      <c r="G22">
        <v>0</v>
      </c>
      <c r="H22">
        <v>25</v>
      </c>
      <c r="I22">
        <v>0</v>
      </c>
      <c r="J22">
        <v>0</v>
      </c>
      <c r="K22">
        <f t="shared" si="0"/>
        <v>25</v>
      </c>
      <c r="L22" s="1">
        <f t="shared" si="1"/>
        <v>0</v>
      </c>
      <c r="M22" s="1">
        <f t="shared" si="2"/>
        <v>652.25</v>
      </c>
    </row>
    <row r="23" spans="1:13" x14ac:dyDescent="0.3">
      <c r="A23" t="s">
        <v>158</v>
      </c>
      <c r="B23" t="s">
        <v>159</v>
      </c>
      <c r="C23" t="s">
        <v>160</v>
      </c>
      <c r="D23" t="s">
        <v>8</v>
      </c>
      <c r="E23" s="1">
        <v>253</v>
      </c>
      <c r="F23">
        <v>1</v>
      </c>
      <c r="G23">
        <v>0</v>
      </c>
      <c r="H23">
        <v>5</v>
      </c>
      <c r="I23">
        <v>0</v>
      </c>
      <c r="J23">
        <v>0</v>
      </c>
      <c r="K23">
        <f t="shared" si="0"/>
        <v>5</v>
      </c>
      <c r="L23" s="1">
        <f t="shared" si="1"/>
        <v>0</v>
      </c>
      <c r="M23" s="1">
        <f t="shared" si="2"/>
        <v>1265</v>
      </c>
    </row>
    <row r="24" spans="1:13" x14ac:dyDescent="0.3">
      <c r="A24" t="s">
        <v>161</v>
      </c>
      <c r="B24" t="s">
        <v>162</v>
      </c>
      <c r="C24" t="s">
        <v>160</v>
      </c>
      <c r="D24" t="s">
        <v>8</v>
      </c>
      <c r="E24" s="1">
        <v>350</v>
      </c>
      <c r="F24">
        <v>1</v>
      </c>
      <c r="G24">
        <v>0</v>
      </c>
      <c r="H24">
        <v>5</v>
      </c>
      <c r="I24">
        <v>0</v>
      </c>
      <c r="J24">
        <v>0</v>
      </c>
      <c r="K24">
        <f t="shared" si="0"/>
        <v>5</v>
      </c>
      <c r="L24" s="1">
        <f t="shared" si="1"/>
        <v>0</v>
      </c>
      <c r="M24" s="1">
        <f t="shared" si="2"/>
        <v>1750</v>
      </c>
    </row>
    <row r="25" spans="1:13" x14ac:dyDescent="0.3">
      <c r="A25" t="s">
        <v>48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163</v>
      </c>
      <c r="B2" t="s">
        <v>164</v>
      </c>
      <c r="C2" t="s">
        <v>165</v>
      </c>
      <c r="D2" t="s">
        <v>9</v>
      </c>
      <c r="E2" s="1">
        <v>153</v>
      </c>
      <c r="F2">
        <v>5</v>
      </c>
      <c r="G2">
        <v>0</v>
      </c>
      <c r="H2">
        <v>25</v>
      </c>
      <c r="I2">
        <v>0</v>
      </c>
      <c r="J2">
        <v>0</v>
      </c>
      <c r="K2">
        <f>IF(H2-I2-J2&gt;0,H2-I2-J2,0)</f>
        <v>25</v>
      </c>
      <c r="L2" s="1">
        <f>IFERROR(I2*E2,0)</f>
        <v>0</v>
      </c>
      <c r="M2" s="1">
        <f>IFERROR(K2*E2,0)</f>
        <v>3825</v>
      </c>
    </row>
    <row r="3" spans="1:13" x14ac:dyDescent="0.3">
      <c r="A3" t="s">
        <v>48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166</v>
      </c>
      <c r="B2" t="s">
        <v>167</v>
      </c>
      <c r="C2" t="s">
        <v>168</v>
      </c>
      <c r="D2" t="s">
        <v>10</v>
      </c>
      <c r="E2" s="1">
        <v>1700</v>
      </c>
      <c r="F2">
        <v>1</v>
      </c>
      <c r="G2">
        <v>0</v>
      </c>
      <c r="H2">
        <v>2</v>
      </c>
      <c r="I2">
        <v>0</v>
      </c>
      <c r="J2">
        <v>0</v>
      </c>
      <c r="K2">
        <f>IF(H2-I2-J2&gt;0,H2-I2-J2,0)</f>
        <v>2</v>
      </c>
      <c r="L2" s="1">
        <f>IFERROR(I2*E2,0)</f>
        <v>0</v>
      </c>
      <c r="M2" s="1">
        <f>IFERROR(K2*E2,0)</f>
        <v>3400</v>
      </c>
    </row>
    <row r="3" spans="1:13" x14ac:dyDescent="0.3">
      <c r="A3" t="s">
        <v>48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169</v>
      </c>
      <c r="B2" t="s">
        <v>170</v>
      </c>
      <c r="C2" t="s">
        <v>70</v>
      </c>
      <c r="D2" t="s">
        <v>11</v>
      </c>
      <c r="E2" s="1">
        <v>1500</v>
      </c>
      <c r="F2">
        <v>1</v>
      </c>
      <c r="G2">
        <v>0</v>
      </c>
      <c r="H2">
        <v>6</v>
      </c>
      <c r="I2">
        <v>0</v>
      </c>
      <c r="J2">
        <v>0</v>
      </c>
      <c r="K2">
        <f>IF(H2-I2-J2&gt;0,H2-I2-J2,0)</f>
        <v>6</v>
      </c>
      <c r="L2" s="1">
        <f>IFERROR(I2*E2,0)</f>
        <v>0</v>
      </c>
      <c r="M2" s="1">
        <f>IFERROR(K2*E2,0)</f>
        <v>9000</v>
      </c>
    </row>
    <row r="3" spans="1:13" x14ac:dyDescent="0.3">
      <c r="A3" t="s">
        <v>48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171</v>
      </c>
      <c r="B2" t="s">
        <v>172</v>
      </c>
      <c r="C2" t="s">
        <v>118</v>
      </c>
      <c r="D2" t="s">
        <v>12</v>
      </c>
      <c r="E2" s="1">
        <v>1130.43</v>
      </c>
      <c r="F2">
        <v>1</v>
      </c>
      <c r="G2">
        <v>0</v>
      </c>
      <c r="H2">
        <v>5</v>
      </c>
      <c r="I2">
        <v>0</v>
      </c>
      <c r="J2">
        <v>0</v>
      </c>
      <c r="K2">
        <f>IF(H2-I2-J2&gt;0,H2-I2-J2,0)</f>
        <v>5</v>
      </c>
      <c r="L2" s="1">
        <f>IFERROR(I2*E2,0)</f>
        <v>0</v>
      </c>
      <c r="M2" s="1">
        <f>IFERROR(K2*E2,0)</f>
        <v>5652.1500000000005</v>
      </c>
    </row>
    <row r="3" spans="1:13" x14ac:dyDescent="0.3">
      <c r="A3" t="s">
        <v>173</v>
      </c>
      <c r="B3" t="s">
        <v>174</v>
      </c>
      <c r="C3" t="s">
        <v>91</v>
      </c>
      <c r="D3" t="s">
        <v>12</v>
      </c>
      <c r="E3" s="1">
        <v>701.44</v>
      </c>
      <c r="F3">
        <v>2</v>
      </c>
      <c r="G3">
        <v>0</v>
      </c>
      <c r="H3">
        <v>10</v>
      </c>
      <c r="I3">
        <v>0</v>
      </c>
      <c r="J3">
        <v>0</v>
      </c>
      <c r="K3">
        <f>IF(H3-I3-J3&gt;0,H3-I3-J3,0)</f>
        <v>10</v>
      </c>
      <c r="L3" s="1">
        <f>IFERROR(I3*E3,0)</f>
        <v>0</v>
      </c>
      <c r="M3" s="1">
        <f>IFERROR(K3*E3,0)</f>
        <v>7014.4000000000005</v>
      </c>
    </row>
    <row r="4" spans="1:13" x14ac:dyDescent="0.3">
      <c r="A4" t="s">
        <v>175</v>
      </c>
      <c r="B4" t="s">
        <v>176</v>
      </c>
      <c r="C4" t="s">
        <v>91</v>
      </c>
      <c r="D4" t="s">
        <v>12</v>
      </c>
      <c r="E4" s="1">
        <v>309.39999999999998</v>
      </c>
      <c r="F4">
        <v>1</v>
      </c>
      <c r="G4">
        <v>0</v>
      </c>
      <c r="H4">
        <v>2</v>
      </c>
      <c r="I4">
        <v>0</v>
      </c>
      <c r="J4">
        <v>0</v>
      </c>
      <c r="K4">
        <f>IF(H4-I4-J4&gt;0,H4-I4-J4,0)</f>
        <v>2</v>
      </c>
      <c r="L4" s="1">
        <f>IFERROR(I4*E4,0)</f>
        <v>0</v>
      </c>
      <c r="M4" s="1">
        <f>IFERROR(K4*E4,0)</f>
        <v>618.79999999999995</v>
      </c>
    </row>
    <row r="5" spans="1:13" x14ac:dyDescent="0.3">
      <c r="A5" t="s">
        <v>177</v>
      </c>
      <c r="B5" t="s">
        <v>178</v>
      </c>
      <c r="C5" t="s">
        <v>91</v>
      </c>
      <c r="D5" t="s">
        <v>12</v>
      </c>
      <c r="E5" s="1">
        <v>133</v>
      </c>
      <c r="F5">
        <v>5</v>
      </c>
      <c r="G5">
        <v>0</v>
      </c>
      <c r="H5">
        <v>25</v>
      </c>
      <c r="I5">
        <v>0</v>
      </c>
      <c r="J5">
        <v>0</v>
      </c>
      <c r="K5">
        <f>IF(H5-I5-J5&gt;0,H5-I5-J5,0)</f>
        <v>25</v>
      </c>
      <c r="L5" s="1">
        <f>IFERROR(I5*E5,0)</f>
        <v>0</v>
      </c>
      <c r="M5" s="1">
        <f>IFERROR(K5*E5,0)</f>
        <v>3325</v>
      </c>
    </row>
    <row r="6" spans="1:13" x14ac:dyDescent="0.3">
      <c r="A6" t="s">
        <v>48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179</v>
      </c>
      <c r="B2" t="s">
        <v>180</v>
      </c>
      <c r="C2" t="s">
        <v>73</v>
      </c>
      <c r="D2" t="s">
        <v>13</v>
      </c>
      <c r="E2" s="1">
        <v>4</v>
      </c>
      <c r="F2">
        <v>125</v>
      </c>
      <c r="G2">
        <v>0</v>
      </c>
      <c r="H2">
        <v>625</v>
      </c>
      <c r="I2">
        <v>0</v>
      </c>
      <c r="J2">
        <v>0</v>
      </c>
      <c r="K2">
        <f t="shared" ref="K2:K15" si="0">IF(H2-I2-J2&gt;0,H2-I2-J2,0)</f>
        <v>625</v>
      </c>
      <c r="L2" s="1">
        <f t="shared" ref="L2:L15" si="1">IFERROR(I2*E2,0)</f>
        <v>0</v>
      </c>
      <c r="M2" s="1">
        <f t="shared" ref="M2:M15" si="2">IFERROR(K2*E2,0)</f>
        <v>2500</v>
      </c>
    </row>
    <row r="3" spans="1:13" x14ac:dyDescent="0.3">
      <c r="A3" t="s">
        <v>181</v>
      </c>
      <c r="B3" t="s">
        <v>182</v>
      </c>
      <c r="C3" t="s">
        <v>73</v>
      </c>
      <c r="D3" t="s">
        <v>13</v>
      </c>
      <c r="E3" s="1">
        <v>0.24</v>
      </c>
      <c r="F3">
        <v>68</v>
      </c>
      <c r="G3">
        <v>0</v>
      </c>
      <c r="H3">
        <v>339</v>
      </c>
      <c r="I3">
        <v>0</v>
      </c>
      <c r="J3">
        <v>0</v>
      </c>
      <c r="K3">
        <f t="shared" si="0"/>
        <v>339</v>
      </c>
      <c r="L3" s="1">
        <f t="shared" si="1"/>
        <v>0</v>
      </c>
      <c r="M3" s="1">
        <f t="shared" si="2"/>
        <v>81.36</v>
      </c>
    </row>
    <row r="4" spans="1:13" x14ac:dyDescent="0.3">
      <c r="A4" t="s">
        <v>183</v>
      </c>
      <c r="B4" t="s">
        <v>184</v>
      </c>
      <c r="C4" t="s">
        <v>73</v>
      </c>
      <c r="D4" t="s">
        <v>13</v>
      </c>
      <c r="E4" s="1">
        <v>1.5</v>
      </c>
      <c r="F4">
        <v>75</v>
      </c>
      <c r="G4">
        <v>0</v>
      </c>
      <c r="H4">
        <v>375</v>
      </c>
      <c r="I4">
        <v>0</v>
      </c>
      <c r="J4">
        <v>0</v>
      </c>
      <c r="K4">
        <f t="shared" si="0"/>
        <v>375</v>
      </c>
      <c r="L4" s="1">
        <f t="shared" si="1"/>
        <v>0</v>
      </c>
      <c r="M4" s="1">
        <f t="shared" si="2"/>
        <v>562.5</v>
      </c>
    </row>
    <row r="5" spans="1:13" x14ac:dyDescent="0.3">
      <c r="A5" t="s">
        <v>185</v>
      </c>
      <c r="B5" t="s">
        <v>186</v>
      </c>
      <c r="C5" t="s">
        <v>73</v>
      </c>
      <c r="D5" t="s">
        <v>13</v>
      </c>
      <c r="E5" s="1">
        <v>3</v>
      </c>
      <c r="F5">
        <v>75</v>
      </c>
      <c r="G5">
        <v>0</v>
      </c>
      <c r="H5">
        <v>375</v>
      </c>
      <c r="I5">
        <v>0</v>
      </c>
      <c r="J5">
        <v>0</v>
      </c>
      <c r="K5">
        <f t="shared" si="0"/>
        <v>375</v>
      </c>
      <c r="L5" s="1">
        <f t="shared" si="1"/>
        <v>0</v>
      </c>
      <c r="M5" s="1">
        <f t="shared" si="2"/>
        <v>1125</v>
      </c>
    </row>
    <row r="6" spans="1:13" x14ac:dyDescent="0.3">
      <c r="A6" t="s">
        <v>187</v>
      </c>
      <c r="B6" t="s">
        <v>188</v>
      </c>
      <c r="C6" t="s">
        <v>73</v>
      </c>
      <c r="D6" t="s">
        <v>13</v>
      </c>
      <c r="E6" s="1">
        <v>2.5</v>
      </c>
      <c r="F6">
        <v>125</v>
      </c>
      <c r="G6">
        <v>0</v>
      </c>
      <c r="H6">
        <v>625</v>
      </c>
      <c r="I6">
        <v>0</v>
      </c>
      <c r="J6">
        <v>0</v>
      </c>
      <c r="K6">
        <f t="shared" si="0"/>
        <v>625</v>
      </c>
      <c r="L6" s="1">
        <f t="shared" si="1"/>
        <v>0</v>
      </c>
      <c r="M6" s="1">
        <f t="shared" si="2"/>
        <v>1562.5</v>
      </c>
    </row>
    <row r="7" spans="1:13" x14ac:dyDescent="0.3">
      <c r="A7" t="s">
        <v>189</v>
      </c>
      <c r="B7" t="s">
        <v>190</v>
      </c>
      <c r="C7" t="s">
        <v>73</v>
      </c>
      <c r="D7" t="s">
        <v>13</v>
      </c>
      <c r="E7" s="1">
        <v>1.8</v>
      </c>
      <c r="F7">
        <v>75</v>
      </c>
      <c r="G7">
        <v>0</v>
      </c>
      <c r="H7">
        <v>375</v>
      </c>
      <c r="I7">
        <v>0</v>
      </c>
      <c r="J7">
        <v>0</v>
      </c>
      <c r="K7">
        <f t="shared" si="0"/>
        <v>375</v>
      </c>
      <c r="L7" s="1">
        <f t="shared" si="1"/>
        <v>0</v>
      </c>
      <c r="M7" s="1">
        <f t="shared" si="2"/>
        <v>675</v>
      </c>
    </row>
    <row r="8" spans="1:13" x14ac:dyDescent="0.3">
      <c r="A8" t="s">
        <v>191</v>
      </c>
      <c r="B8" t="s">
        <v>192</v>
      </c>
      <c r="C8" t="s">
        <v>73</v>
      </c>
      <c r="D8" t="s">
        <v>13</v>
      </c>
      <c r="E8" s="1">
        <v>0.6</v>
      </c>
      <c r="F8">
        <v>50</v>
      </c>
      <c r="G8">
        <v>0</v>
      </c>
      <c r="H8">
        <v>250</v>
      </c>
      <c r="I8">
        <v>0</v>
      </c>
      <c r="J8">
        <v>0</v>
      </c>
      <c r="K8">
        <f t="shared" si="0"/>
        <v>250</v>
      </c>
      <c r="L8" s="1">
        <f t="shared" si="1"/>
        <v>0</v>
      </c>
      <c r="M8" s="1">
        <f t="shared" si="2"/>
        <v>150</v>
      </c>
    </row>
    <row r="9" spans="1:13" x14ac:dyDescent="0.3">
      <c r="A9" t="s">
        <v>193</v>
      </c>
      <c r="B9" t="s">
        <v>194</v>
      </c>
      <c r="C9" t="s">
        <v>73</v>
      </c>
      <c r="D9" t="s">
        <v>13</v>
      </c>
      <c r="E9" s="1">
        <v>6.5</v>
      </c>
      <c r="F9">
        <v>50</v>
      </c>
      <c r="G9">
        <v>0</v>
      </c>
      <c r="H9">
        <v>250</v>
      </c>
      <c r="I9">
        <v>0</v>
      </c>
      <c r="J9">
        <v>0</v>
      </c>
      <c r="K9">
        <f t="shared" si="0"/>
        <v>250</v>
      </c>
      <c r="L9" s="1">
        <f t="shared" si="1"/>
        <v>0</v>
      </c>
      <c r="M9" s="1">
        <f t="shared" si="2"/>
        <v>1625</v>
      </c>
    </row>
    <row r="10" spans="1:13" x14ac:dyDescent="0.3">
      <c r="A10" t="s">
        <v>195</v>
      </c>
      <c r="B10" t="s">
        <v>196</v>
      </c>
      <c r="C10" t="s">
        <v>73</v>
      </c>
      <c r="D10" t="s">
        <v>13</v>
      </c>
      <c r="E10" s="1">
        <v>1.3</v>
      </c>
      <c r="F10">
        <v>50</v>
      </c>
      <c r="G10">
        <v>0</v>
      </c>
      <c r="H10">
        <v>250</v>
      </c>
      <c r="I10">
        <v>0</v>
      </c>
      <c r="J10">
        <v>0</v>
      </c>
      <c r="K10">
        <f t="shared" si="0"/>
        <v>250</v>
      </c>
      <c r="L10" s="1">
        <f t="shared" si="1"/>
        <v>0</v>
      </c>
      <c r="M10" s="1">
        <f t="shared" si="2"/>
        <v>325</v>
      </c>
    </row>
    <row r="11" spans="1:13" x14ac:dyDescent="0.3">
      <c r="A11" t="s">
        <v>197</v>
      </c>
      <c r="B11" t="s">
        <v>198</v>
      </c>
      <c r="C11" t="s">
        <v>73</v>
      </c>
      <c r="D11" t="s">
        <v>13</v>
      </c>
      <c r="E11" s="1">
        <v>3.5</v>
      </c>
      <c r="F11">
        <v>100</v>
      </c>
      <c r="G11">
        <v>0</v>
      </c>
      <c r="H11">
        <v>500</v>
      </c>
      <c r="I11">
        <v>0</v>
      </c>
      <c r="J11">
        <v>0</v>
      </c>
      <c r="K11">
        <f t="shared" si="0"/>
        <v>500</v>
      </c>
      <c r="L11" s="1">
        <f t="shared" si="1"/>
        <v>0</v>
      </c>
      <c r="M11" s="1">
        <f t="shared" si="2"/>
        <v>1750</v>
      </c>
    </row>
    <row r="12" spans="1:13" x14ac:dyDescent="0.3">
      <c r="A12" t="s">
        <v>199</v>
      </c>
      <c r="B12" t="s">
        <v>200</v>
      </c>
      <c r="C12" t="s">
        <v>73</v>
      </c>
      <c r="D12" t="s">
        <v>13</v>
      </c>
      <c r="E12" s="1">
        <v>45</v>
      </c>
      <c r="F12">
        <v>75</v>
      </c>
      <c r="G12">
        <v>0</v>
      </c>
      <c r="H12">
        <v>375</v>
      </c>
      <c r="I12">
        <v>0</v>
      </c>
      <c r="J12">
        <v>0</v>
      </c>
      <c r="K12">
        <f t="shared" si="0"/>
        <v>375</v>
      </c>
      <c r="L12" s="1">
        <f t="shared" si="1"/>
        <v>0</v>
      </c>
      <c r="M12" s="1">
        <f t="shared" si="2"/>
        <v>16875</v>
      </c>
    </row>
    <row r="13" spans="1:13" x14ac:dyDescent="0.3">
      <c r="A13" t="s">
        <v>201</v>
      </c>
      <c r="B13" t="s">
        <v>202</v>
      </c>
      <c r="C13" t="s">
        <v>73</v>
      </c>
      <c r="D13" t="s">
        <v>13</v>
      </c>
      <c r="E13" s="1">
        <v>0.4</v>
      </c>
      <c r="F13">
        <v>10</v>
      </c>
      <c r="G13">
        <v>0</v>
      </c>
      <c r="H13">
        <v>50</v>
      </c>
      <c r="I13">
        <v>0</v>
      </c>
      <c r="J13">
        <v>0</v>
      </c>
      <c r="K13">
        <f t="shared" si="0"/>
        <v>50</v>
      </c>
      <c r="L13" s="1">
        <f t="shared" si="1"/>
        <v>0</v>
      </c>
      <c r="M13" s="1">
        <f t="shared" si="2"/>
        <v>20</v>
      </c>
    </row>
    <row r="14" spans="1:13" x14ac:dyDescent="0.3">
      <c r="A14" t="s">
        <v>203</v>
      </c>
      <c r="B14" t="s">
        <v>204</v>
      </c>
      <c r="C14" t="s">
        <v>73</v>
      </c>
      <c r="D14" t="s">
        <v>13</v>
      </c>
      <c r="E14" s="1">
        <v>42</v>
      </c>
      <c r="F14">
        <v>3</v>
      </c>
      <c r="G14">
        <v>0</v>
      </c>
      <c r="H14">
        <v>7</v>
      </c>
      <c r="I14">
        <v>0</v>
      </c>
      <c r="J14">
        <v>0</v>
      </c>
      <c r="K14">
        <f t="shared" si="0"/>
        <v>7</v>
      </c>
      <c r="L14" s="1">
        <f t="shared" si="1"/>
        <v>0</v>
      </c>
      <c r="M14" s="1">
        <f t="shared" si="2"/>
        <v>294</v>
      </c>
    </row>
    <row r="15" spans="1:13" x14ac:dyDescent="0.3">
      <c r="A15" t="s">
        <v>205</v>
      </c>
      <c r="B15" t="s">
        <v>206</v>
      </c>
      <c r="C15" t="s">
        <v>73</v>
      </c>
      <c r="D15" t="s">
        <v>13</v>
      </c>
      <c r="E15" s="1">
        <v>96</v>
      </c>
      <c r="F15">
        <v>2</v>
      </c>
      <c r="G15">
        <v>0</v>
      </c>
      <c r="H15">
        <v>12</v>
      </c>
      <c r="I15">
        <v>0</v>
      </c>
      <c r="J15">
        <v>0</v>
      </c>
      <c r="K15">
        <f t="shared" si="0"/>
        <v>12</v>
      </c>
      <c r="L15" s="1">
        <f t="shared" si="1"/>
        <v>0</v>
      </c>
      <c r="M15" s="1">
        <f t="shared" si="2"/>
        <v>1152</v>
      </c>
    </row>
    <row r="16" spans="1:13" x14ac:dyDescent="0.3">
      <c r="A16" t="s">
        <v>48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207</v>
      </c>
      <c r="B2" t="s">
        <v>208</v>
      </c>
      <c r="D2" t="s">
        <v>14</v>
      </c>
      <c r="E2" s="1">
        <v>0</v>
      </c>
      <c r="F2">
        <v>1</v>
      </c>
      <c r="G2">
        <v>0</v>
      </c>
      <c r="H2">
        <v>2</v>
      </c>
      <c r="I2">
        <v>0</v>
      </c>
      <c r="J2">
        <v>0</v>
      </c>
      <c r="K2">
        <f>IF(H2-I2-J2&gt;0,H2-I2-J2,0)</f>
        <v>2</v>
      </c>
      <c r="L2" s="1">
        <f>IFERROR(I2*E2,0)</f>
        <v>0</v>
      </c>
      <c r="M2" s="1">
        <f>IFERROR(K2*E2,0)</f>
        <v>0</v>
      </c>
    </row>
    <row r="3" spans="1:13" x14ac:dyDescent="0.3">
      <c r="A3" t="s">
        <v>48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209</v>
      </c>
      <c r="B2" t="s">
        <v>210</v>
      </c>
      <c r="C2" t="s">
        <v>211</v>
      </c>
      <c r="D2" t="s">
        <v>15</v>
      </c>
      <c r="E2" s="1">
        <v>503.22</v>
      </c>
      <c r="F2">
        <v>1</v>
      </c>
      <c r="G2">
        <v>0</v>
      </c>
      <c r="H2">
        <v>4</v>
      </c>
      <c r="I2">
        <v>0</v>
      </c>
      <c r="J2">
        <v>0</v>
      </c>
      <c r="K2">
        <f t="shared" ref="K2:K17" si="0">IF(H2-I2-J2&gt;0,H2-I2-J2,0)</f>
        <v>4</v>
      </c>
      <c r="L2" s="1">
        <f t="shared" ref="L2:L17" si="1">IFERROR(I2*E2,0)</f>
        <v>0</v>
      </c>
      <c r="M2" s="1">
        <f t="shared" ref="M2:M17" si="2">IFERROR(K2*E2,0)</f>
        <v>2012.88</v>
      </c>
    </row>
    <row r="3" spans="1:13" x14ac:dyDescent="0.3">
      <c r="A3" t="s">
        <v>212</v>
      </c>
      <c r="B3" t="s">
        <v>213</v>
      </c>
      <c r="C3" t="s">
        <v>113</v>
      </c>
      <c r="D3" t="s">
        <v>15</v>
      </c>
      <c r="E3" s="1">
        <v>0</v>
      </c>
      <c r="F3">
        <v>3</v>
      </c>
      <c r="G3">
        <v>0</v>
      </c>
      <c r="H3">
        <v>15</v>
      </c>
      <c r="I3">
        <v>0</v>
      </c>
      <c r="J3">
        <v>0</v>
      </c>
      <c r="K3">
        <f t="shared" si="0"/>
        <v>15</v>
      </c>
      <c r="L3" s="1">
        <f t="shared" si="1"/>
        <v>0</v>
      </c>
      <c r="M3" s="1">
        <f t="shared" si="2"/>
        <v>0</v>
      </c>
    </row>
    <row r="4" spans="1:13" x14ac:dyDescent="0.3">
      <c r="A4" t="s">
        <v>214</v>
      </c>
      <c r="B4" t="s">
        <v>215</v>
      </c>
      <c r="C4" t="s">
        <v>211</v>
      </c>
      <c r="D4" t="s">
        <v>15</v>
      </c>
      <c r="E4" s="1">
        <v>76.19</v>
      </c>
      <c r="F4">
        <v>7</v>
      </c>
      <c r="G4">
        <v>0</v>
      </c>
      <c r="H4">
        <v>28</v>
      </c>
      <c r="I4">
        <v>0</v>
      </c>
      <c r="J4">
        <v>0</v>
      </c>
      <c r="K4">
        <f t="shared" si="0"/>
        <v>28</v>
      </c>
      <c r="L4" s="1">
        <f t="shared" si="1"/>
        <v>0</v>
      </c>
      <c r="M4" s="1">
        <f t="shared" si="2"/>
        <v>2133.3199999999997</v>
      </c>
    </row>
    <row r="5" spans="1:13" x14ac:dyDescent="0.3">
      <c r="A5" t="s">
        <v>216</v>
      </c>
      <c r="B5" t="s">
        <v>217</v>
      </c>
      <c r="C5" t="s">
        <v>211</v>
      </c>
      <c r="D5" t="s">
        <v>15</v>
      </c>
      <c r="E5" s="1">
        <v>85</v>
      </c>
      <c r="F5">
        <v>5</v>
      </c>
      <c r="G5">
        <v>0</v>
      </c>
      <c r="H5">
        <v>24</v>
      </c>
      <c r="I5">
        <v>0</v>
      </c>
      <c r="J5">
        <v>0</v>
      </c>
      <c r="K5">
        <f t="shared" si="0"/>
        <v>24</v>
      </c>
      <c r="L5" s="1">
        <f t="shared" si="1"/>
        <v>0</v>
      </c>
      <c r="M5" s="1">
        <f t="shared" si="2"/>
        <v>2040</v>
      </c>
    </row>
    <row r="6" spans="1:13" x14ac:dyDescent="0.3">
      <c r="A6" t="s">
        <v>218</v>
      </c>
      <c r="B6" t="s">
        <v>219</v>
      </c>
      <c r="C6" t="s">
        <v>211</v>
      </c>
      <c r="D6" t="s">
        <v>15</v>
      </c>
      <c r="E6" s="1">
        <v>64.44</v>
      </c>
      <c r="F6">
        <v>5</v>
      </c>
      <c r="G6">
        <v>0</v>
      </c>
      <c r="H6">
        <v>18</v>
      </c>
      <c r="I6">
        <v>0</v>
      </c>
      <c r="J6">
        <v>0</v>
      </c>
      <c r="K6">
        <f t="shared" si="0"/>
        <v>18</v>
      </c>
      <c r="L6" s="1">
        <f t="shared" si="1"/>
        <v>0</v>
      </c>
      <c r="M6" s="1">
        <f t="shared" si="2"/>
        <v>1159.92</v>
      </c>
    </row>
    <row r="7" spans="1:13" x14ac:dyDescent="0.3">
      <c r="A7" t="s">
        <v>220</v>
      </c>
      <c r="B7" t="s">
        <v>221</v>
      </c>
      <c r="C7" t="s">
        <v>113</v>
      </c>
      <c r="D7" t="s">
        <v>15</v>
      </c>
      <c r="E7" s="1">
        <v>0</v>
      </c>
      <c r="F7">
        <v>10</v>
      </c>
      <c r="G7">
        <v>0</v>
      </c>
      <c r="H7">
        <v>50</v>
      </c>
      <c r="I7">
        <v>0</v>
      </c>
      <c r="J7">
        <v>0</v>
      </c>
      <c r="K7">
        <f t="shared" si="0"/>
        <v>50</v>
      </c>
      <c r="L7" s="1">
        <f t="shared" si="1"/>
        <v>0</v>
      </c>
      <c r="M7" s="1">
        <f t="shared" si="2"/>
        <v>0</v>
      </c>
    </row>
    <row r="8" spans="1:13" x14ac:dyDescent="0.3">
      <c r="A8" t="s">
        <v>222</v>
      </c>
      <c r="B8" t="s">
        <v>223</v>
      </c>
      <c r="C8" t="s">
        <v>211</v>
      </c>
      <c r="D8" t="s">
        <v>15</v>
      </c>
      <c r="E8" s="1">
        <v>0</v>
      </c>
      <c r="F8">
        <v>4</v>
      </c>
      <c r="G8">
        <v>0</v>
      </c>
      <c r="H8">
        <v>19</v>
      </c>
      <c r="I8">
        <v>0</v>
      </c>
      <c r="J8">
        <v>0</v>
      </c>
      <c r="K8">
        <f t="shared" si="0"/>
        <v>19</v>
      </c>
      <c r="L8" s="1">
        <f t="shared" si="1"/>
        <v>0</v>
      </c>
      <c r="M8" s="1">
        <f t="shared" si="2"/>
        <v>0</v>
      </c>
    </row>
    <row r="9" spans="1:13" x14ac:dyDescent="0.3">
      <c r="A9" t="s">
        <v>224</v>
      </c>
      <c r="B9" t="s">
        <v>225</v>
      </c>
      <c r="C9" t="s">
        <v>113</v>
      </c>
      <c r="D9" t="s">
        <v>15</v>
      </c>
      <c r="E9" s="1">
        <v>0</v>
      </c>
      <c r="F9">
        <v>9</v>
      </c>
      <c r="G9">
        <v>0</v>
      </c>
      <c r="H9">
        <v>45</v>
      </c>
      <c r="I9">
        <v>0</v>
      </c>
      <c r="J9">
        <v>0</v>
      </c>
      <c r="K9">
        <f t="shared" si="0"/>
        <v>45</v>
      </c>
      <c r="L9" s="1">
        <f t="shared" si="1"/>
        <v>0</v>
      </c>
      <c r="M9" s="1">
        <f t="shared" si="2"/>
        <v>0</v>
      </c>
    </row>
    <row r="10" spans="1:13" x14ac:dyDescent="0.3">
      <c r="A10" t="s">
        <v>226</v>
      </c>
      <c r="B10" t="s">
        <v>227</v>
      </c>
      <c r="C10" t="s">
        <v>211</v>
      </c>
      <c r="D10" t="s">
        <v>15</v>
      </c>
      <c r="E10" s="1">
        <v>0</v>
      </c>
      <c r="F10">
        <v>3</v>
      </c>
      <c r="G10">
        <v>0</v>
      </c>
      <c r="H10">
        <v>13</v>
      </c>
      <c r="I10">
        <v>0</v>
      </c>
      <c r="J10">
        <v>0</v>
      </c>
      <c r="K10">
        <f t="shared" si="0"/>
        <v>13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228</v>
      </c>
      <c r="B11" t="s">
        <v>229</v>
      </c>
      <c r="C11" t="s">
        <v>113</v>
      </c>
      <c r="D11" t="s">
        <v>15</v>
      </c>
      <c r="E11" s="1">
        <v>0</v>
      </c>
      <c r="F11">
        <v>16</v>
      </c>
      <c r="G11">
        <v>0</v>
      </c>
      <c r="H11">
        <v>80</v>
      </c>
      <c r="I11">
        <v>0</v>
      </c>
      <c r="J11">
        <v>0</v>
      </c>
      <c r="K11">
        <f t="shared" si="0"/>
        <v>80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230</v>
      </c>
      <c r="B12" t="s">
        <v>231</v>
      </c>
      <c r="C12" t="s">
        <v>211</v>
      </c>
      <c r="D12" t="s">
        <v>15</v>
      </c>
      <c r="E12" s="1">
        <v>50.18</v>
      </c>
      <c r="F12">
        <v>3</v>
      </c>
      <c r="G12">
        <v>0</v>
      </c>
      <c r="H12">
        <v>10</v>
      </c>
      <c r="I12">
        <v>0</v>
      </c>
      <c r="J12">
        <v>0</v>
      </c>
      <c r="K12">
        <f t="shared" si="0"/>
        <v>10</v>
      </c>
      <c r="L12" s="1">
        <f t="shared" si="1"/>
        <v>0</v>
      </c>
      <c r="M12" s="1">
        <f t="shared" si="2"/>
        <v>501.8</v>
      </c>
    </row>
    <row r="13" spans="1:13" x14ac:dyDescent="0.3">
      <c r="A13" t="s">
        <v>232</v>
      </c>
      <c r="B13" t="s">
        <v>233</v>
      </c>
      <c r="C13" t="s">
        <v>113</v>
      </c>
      <c r="D13" t="s">
        <v>15</v>
      </c>
      <c r="E13" s="1">
        <v>0</v>
      </c>
      <c r="F13">
        <v>9</v>
      </c>
      <c r="G13">
        <v>0</v>
      </c>
      <c r="H13">
        <v>45</v>
      </c>
      <c r="I13">
        <v>0</v>
      </c>
      <c r="J13">
        <v>0</v>
      </c>
      <c r="K13">
        <f t="shared" si="0"/>
        <v>45</v>
      </c>
      <c r="L13" s="1">
        <f t="shared" si="1"/>
        <v>0</v>
      </c>
      <c r="M13" s="1">
        <f t="shared" si="2"/>
        <v>0</v>
      </c>
    </row>
    <row r="14" spans="1:13" x14ac:dyDescent="0.3">
      <c r="A14" t="s">
        <v>234</v>
      </c>
      <c r="B14" t="s">
        <v>235</v>
      </c>
      <c r="C14" t="s">
        <v>211</v>
      </c>
      <c r="D14" t="s">
        <v>15</v>
      </c>
      <c r="E14" s="1">
        <v>212.23</v>
      </c>
      <c r="F14">
        <v>2</v>
      </c>
      <c r="G14">
        <v>0</v>
      </c>
      <c r="H14">
        <v>9</v>
      </c>
      <c r="I14">
        <v>0</v>
      </c>
      <c r="J14">
        <v>0</v>
      </c>
      <c r="K14">
        <f t="shared" si="0"/>
        <v>9</v>
      </c>
      <c r="L14" s="1">
        <f t="shared" si="1"/>
        <v>0</v>
      </c>
      <c r="M14" s="1">
        <f t="shared" si="2"/>
        <v>1910.07</v>
      </c>
    </row>
    <row r="15" spans="1:13" x14ac:dyDescent="0.3">
      <c r="A15" t="s">
        <v>236</v>
      </c>
      <c r="B15" t="s">
        <v>237</v>
      </c>
      <c r="C15" t="s">
        <v>113</v>
      </c>
      <c r="D15" t="s">
        <v>15</v>
      </c>
      <c r="E15" s="1">
        <v>0</v>
      </c>
      <c r="F15">
        <v>16</v>
      </c>
      <c r="G15">
        <v>0</v>
      </c>
      <c r="H15">
        <v>80</v>
      </c>
      <c r="I15">
        <v>0</v>
      </c>
      <c r="J15">
        <v>0</v>
      </c>
      <c r="K15">
        <f t="shared" si="0"/>
        <v>80</v>
      </c>
      <c r="L15" s="1">
        <f t="shared" si="1"/>
        <v>0</v>
      </c>
      <c r="M15" s="1">
        <f t="shared" si="2"/>
        <v>0</v>
      </c>
    </row>
    <row r="16" spans="1:13" x14ac:dyDescent="0.3">
      <c r="A16" t="s">
        <v>238</v>
      </c>
      <c r="B16" t="s">
        <v>239</v>
      </c>
      <c r="C16" t="s">
        <v>211</v>
      </c>
      <c r="D16" t="s">
        <v>15</v>
      </c>
      <c r="E16" s="1">
        <v>403</v>
      </c>
      <c r="F16">
        <v>1</v>
      </c>
      <c r="G16">
        <v>0</v>
      </c>
      <c r="H16">
        <v>5</v>
      </c>
      <c r="I16">
        <v>0</v>
      </c>
      <c r="J16">
        <v>0</v>
      </c>
      <c r="K16">
        <f t="shared" si="0"/>
        <v>5</v>
      </c>
      <c r="L16" s="1">
        <f t="shared" si="1"/>
        <v>0</v>
      </c>
      <c r="M16" s="1">
        <f t="shared" si="2"/>
        <v>2015</v>
      </c>
    </row>
    <row r="17" spans="1:13" x14ac:dyDescent="0.3">
      <c r="A17" t="s">
        <v>240</v>
      </c>
      <c r="B17" t="s">
        <v>241</v>
      </c>
      <c r="C17" t="s">
        <v>113</v>
      </c>
      <c r="D17" t="s">
        <v>15</v>
      </c>
      <c r="E17" s="1">
        <v>0</v>
      </c>
      <c r="F17">
        <v>4</v>
      </c>
      <c r="G17">
        <v>0</v>
      </c>
      <c r="H17">
        <v>22</v>
      </c>
      <c r="I17">
        <v>0</v>
      </c>
      <c r="J17">
        <v>0</v>
      </c>
      <c r="K17">
        <f t="shared" si="0"/>
        <v>22</v>
      </c>
      <c r="L17" s="1">
        <f t="shared" si="1"/>
        <v>0</v>
      </c>
      <c r="M17" s="1">
        <f t="shared" si="2"/>
        <v>0</v>
      </c>
    </row>
    <row r="18" spans="1:13" x14ac:dyDescent="0.3">
      <c r="A18" t="s">
        <v>48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2"/>
  <sheetViews>
    <sheetView workbookViewId="0">
      <pane ySplit="1" topLeftCell="A2" activePane="bottomLeft" state="frozen"/>
      <selection pane="bottomLeft" activeCell="I12" sqref="I12"/>
    </sheetView>
  </sheetViews>
  <sheetFormatPr defaultRowHeight="14.4" x14ac:dyDescent="0.3"/>
  <cols>
    <col min="1" max="1" width="12.44140625" bestFit="1" customWidth="1"/>
    <col min="2" max="2" width="21.44140625" bestFit="1" customWidth="1"/>
    <col min="3" max="3" width="20" bestFit="1" customWidth="1"/>
    <col min="4" max="4" width="11.33203125" bestFit="1" customWidth="1"/>
    <col min="5" max="5" width="11.44140625" bestFit="1" customWidth="1"/>
    <col min="6" max="6" width="13.6640625" bestFit="1" customWidth="1"/>
    <col min="7" max="7" width="20.33203125" bestFit="1" customWidth="1"/>
    <col min="8" max="8" width="23" bestFit="1" customWidth="1"/>
    <col min="9" max="9" width="14.6640625" bestFit="1" customWidth="1"/>
    <col min="10" max="10" width="10.88671875" bestFit="1" customWidth="1"/>
    <col min="11" max="11" width="15.88671875" bestFit="1" customWidth="1"/>
    <col min="12" max="12" width="13.109375" bestFit="1" customWidth="1"/>
    <col min="13" max="13" width="13.21875" bestFit="1" customWidth="1"/>
  </cols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242</v>
      </c>
      <c r="B2" t="s">
        <v>243</v>
      </c>
      <c r="C2" t="s">
        <v>88</v>
      </c>
      <c r="D2" t="s">
        <v>16</v>
      </c>
      <c r="E2" s="1">
        <v>144</v>
      </c>
      <c r="F2">
        <v>1</v>
      </c>
      <c r="G2">
        <v>0</v>
      </c>
      <c r="H2">
        <v>2</v>
      </c>
      <c r="I2">
        <v>9</v>
      </c>
      <c r="J2">
        <v>0</v>
      </c>
      <c r="K2">
        <f t="shared" ref="K2:K11" si="0">IF(H2-I2-J2&gt;0,H2-I2-J2,0)</f>
        <v>0</v>
      </c>
      <c r="L2" s="1">
        <f t="shared" ref="L2:L11" si="1">IFERROR(I2*E2,0)</f>
        <v>1296</v>
      </c>
      <c r="M2" s="1">
        <f t="shared" ref="M2:M11" si="2">IFERROR(K2*E2,0)</f>
        <v>0</v>
      </c>
    </row>
    <row r="3" spans="1:13" x14ac:dyDescent="0.3">
      <c r="A3" t="s">
        <v>244</v>
      </c>
      <c r="B3" t="s">
        <v>245</v>
      </c>
      <c r="C3" t="s">
        <v>88</v>
      </c>
      <c r="D3" t="s">
        <v>16</v>
      </c>
      <c r="E3" s="1">
        <v>225.64</v>
      </c>
      <c r="F3">
        <v>1</v>
      </c>
      <c r="G3">
        <v>0</v>
      </c>
      <c r="H3">
        <v>2</v>
      </c>
      <c r="I3">
        <v>8</v>
      </c>
      <c r="J3">
        <v>0</v>
      </c>
      <c r="K3">
        <f t="shared" si="0"/>
        <v>0</v>
      </c>
      <c r="L3" s="1">
        <f t="shared" si="1"/>
        <v>1805.12</v>
      </c>
      <c r="M3" s="1">
        <f t="shared" si="2"/>
        <v>0</v>
      </c>
    </row>
    <row r="4" spans="1:13" x14ac:dyDescent="0.3">
      <c r="A4" t="s">
        <v>246</v>
      </c>
      <c r="B4" t="s">
        <v>247</v>
      </c>
      <c r="C4" t="s">
        <v>88</v>
      </c>
      <c r="D4" t="s">
        <v>16</v>
      </c>
      <c r="E4" s="1">
        <v>124.5</v>
      </c>
      <c r="F4">
        <v>1</v>
      </c>
      <c r="G4">
        <v>0</v>
      </c>
      <c r="H4">
        <v>2</v>
      </c>
      <c r="I4">
        <v>13</v>
      </c>
      <c r="J4">
        <v>0</v>
      </c>
      <c r="K4">
        <f t="shared" si="0"/>
        <v>0</v>
      </c>
      <c r="L4" s="1">
        <f t="shared" si="1"/>
        <v>1618.5</v>
      </c>
      <c r="M4" s="1">
        <f t="shared" si="2"/>
        <v>0</v>
      </c>
    </row>
    <row r="5" spans="1:13" x14ac:dyDescent="0.3">
      <c r="A5" t="s">
        <v>248</v>
      </c>
      <c r="B5" t="s">
        <v>249</v>
      </c>
      <c r="C5" t="s">
        <v>88</v>
      </c>
      <c r="D5" t="s">
        <v>16</v>
      </c>
      <c r="E5" s="1">
        <v>0</v>
      </c>
      <c r="F5">
        <v>2</v>
      </c>
      <c r="G5">
        <v>0</v>
      </c>
      <c r="H5">
        <v>10</v>
      </c>
      <c r="I5">
        <v>10</v>
      </c>
      <c r="J5">
        <v>4</v>
      </c>
      <c r="K5">
        <f t="shared" si="0"/>
        <v>0</v>
      </c>
      <c r="L5" s="1">
        <f t="shared" si="1"/>
        <v>0</v>
      </c>
      <c r="M5" s="1">
        <f t="shared" si="2"/>
        <v>0</v>
      </c>
    </row>
    <row r="6" spans="1:13" x14ac:dyDescent="0.3">
      <c r="A6" t="s">
        <v>250</v>
      </c>
      <c r="B6" t="s">
        <v>251</v>
      </c>
      <c r="C6" t="s">
        <v>252</v>
      </c>
      <c r="D6" t="s">
        <v>16</v>
      </c>
      <c r="E6" s="1">
        <v>1792</v>
      </c>
      <c r="F6">
        <v>1</v>
      </c>
      <c r="G6">
        <v>0</v>
      </c>
      <c r="H6">
        <v>3</v>
      </c>
      <c r="I6">
        <v>10</v>
      </c>
      <c r="J6">
        <v>0</v>
      </c>
      <c r="K6">
        <f t="shared" si="0"/>
        <v>0</v>
      </c>
      <c r="L6" s="1">
        <f t="shared" si="1"/>
        <v>17920</v>
      </c>
      <c r="M6" s="1">
        <f t="shared" si="2"/>
        <v>0</v>
      </c>
    </row>
    <row r="7" spans="1:13" x14ac:dyDescent="0.3">
      <c r="A7" t="s">
        <v>253</v>
      </c>
      <c r="B7" t="s">
        <v>254</v>
      </c>
      <c r="C7" t="s">
        <v>88</v>
      </c>
      <c r="D7" t="s">
        <v>16</v>
      </c>
      <c r="E7" s="1">
        <v>0</v>
      </c>
      <c r="F7">
        <v>2</v>
      </c>
      <c r="G7">
        <v>0</v>
      </c>
      <c r="H7">
        <v>12</v>
      </c>
      <c r="I7">
        <v>8</v>
      </c>
      <c r="J7">
        <v>3</v>
      </c>
      <c r="K7">
        <f t="shared" si="0"/>
        <v>1</v>
      </c>
      <c r="L7" s="1">
        <f t="shared" si="1"/>
        <v>0</v>
      </c>
      <c r="M7" s="1">
        <f t="shared" si="2"/>
        <v>0</v>
      </c>
    </row>
    <row r="8" spans="1:13" x14ac:dyDescent="0.3">
      <c r="A8" t="s">
        <v>255</v>
      </c>
      <c r="B8" t="s">
        <v>256</v>
      </c>
      <c r="C8" t="s">
        <v>88</v>
      </c>
      <c r="D8" t="s">
        <v>16</v>
      </c>
      <c r="E8" s="1">
        <v>0</v>
      </c>
      <c r="F8">
        <v>5</v>
      </c>
      <c r="G8">
        <v>0</v>
      </c>
      <c r="H8">
        <v>25</v>
      </c>
      <c r="I8">
        <v>11</v>
      </c>
      <c r="J8">
        <v>0</v>
      </c>
      <c r="K8">
        <f t="shared" si="0"/>
        <v>14</v>
      </c>
      <c r="L8" s="1">
        <f t="shared" si="1"/>
        <v>0</v>
      </c>
      <c r="M8" s="1">
        <f t="shared" si="2"/>
        <v>0</v>
      </c>
    </row>
    <row r="9" spans="1:13" x14ac:dyDescent="0.3">
      <c r="A9" t="s">
        <v>257</v>
      </c>
      <c r="B9" t="s">
        <v>258</v>
      </c>
      <c r="C9" t="s">
        <v>88</v>
      </c>
      <c r="D9" t="s">
        <v>16</v>
      </c>
      <c r="E9" s="1">
        <v>0</v>
      </c>
      <c r="F9">
        <v>4</v>
      </c>
      <c r="G9">
        <v>0</v>
      </c>
      <c r="H9">
        <v>18</v>
      </c>
      <c r="I9">
        <v>3</v>
      </c>
      <c r="J9">
        <v>4</v>
      </c>
      <c r="K9">
        <f t="shared" si="0"/>
        <v>11</v>
      </c>
      <c r="L9" s="1">
        <f t="shared" si="1"/>
        <v>0</v>
      </c>
      <c r="M9" s="1">
        <f t="shared" si="2"/>
        <v>0</v>
      </c>
    </row>
    <row r="10" spans="1:13" x14ac:dyDescent="0.3">
      <c r="A10" t="s">
        <v>259</v>
      </c>
      <c r="B10" t="s">
        <v>260</v>
      </c>
      <c r="C10" t="s">
        <v>252</v>
      </c>
      <c r="D10" t="s">
        <v>16</v>
      </c>
      <c r="E10" s="1">
        <v>1095</v>
      </c>
      <c r="F10">
        <v>1</v>
      </c>
      <c r="G10">
        <v>0</v>
      </c>
      <c r="H10">
        <v>3</v>
      </c>
      <c r="I10">
        <v>4</v>
      </c>
      <c r="J10">
        <v>0</v>
      </c>
      <c r="K10">
        <f t="shared" si="0"/>
        <v>0</v>
      </c>
      <c r="L10" s="1">
        <f t="shared" si="1"/>
        <v>4380</v>
      </c>
      <c r="M10" s="1">
        <f t="shared" si="2"/>
        <v>0</v>
      </c>
    </row>
    <row r="11" spans="1:13" x14ac:dyDescent="0.3">
      <c r="A11" t="s">
        <v>261</v>
      </c>
      <c r="B11" t="s">
        <v>262</v>
      </c>
      <c r="C11" t="s">
        <v>88</v>
      </c>
      <c r="D11" t="s">
        <v>16</v>
      </c>
      <c r="E11" s="1">
        <v>0</v>
      </c>
      <c r="F11">
        <v>1</v>
      </c>
      <c r="G11">
        <v>0</v>
      </c>
      <c r="H11">
        <v>5</v>
      </c>
      <c r="I11">
        <v>1</v>
      </c>
      <c r="J11">
        <v>0</v>
      </c>
      <c r="K11">
        <f t="shared" si="0"/>
        <v>4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48</v>
      </c>
      <c r="F12">
        <f>SUBTOTAL(109,cat_FMCASING[Safety Stock])</f>
        <v>19</v>
      </c>
      <c r="H12">
        <f>SUBTOTAL(109,cat_FMCASING[Maximum Stock (MAX)])</f>
        <v>82</v>
      </c>
      <c r="K12">
        <f>SUBTOTAL(109,cat_FMCASING[Order Quantity])</f>
        <v>30</v>
      </c>
      <c r="L12">
        <f>SUBTOTAL(109,cat_FMCASING[Stock Value])</f>
        <v>27019.62</v>
      </c>
      <c r="M12">
        <f>SUBTOTAL(109,cat_FMCASING[Order Value])</f>
        <v>0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263</v>
      </c>
      <c r="B2" t="s">
        <v>264</v>
      </c>
      <c r="C2" t="s">
        <v>252</v>
      </c>
      <c r="D2" t="s">
        <v>17</v>
      </c>
      <c r="E2" s="1">
        <v>1195</v>
      </c>
      <c r="F2">
        <v>2</v>
      </c>
      <c r="G2">
        <v>0</v>
      </c>
      <c r="H2">
        <v>8</v>
      </c>
      <c r="I2">
        <v>0</v>
      </c>
      <c r="J2">
        <v>0</v>
      </c>
      <c r="K2">
        <f>IF(H2-I2-J2&gt;0,H2-I2-J2,0)</f>
        <v>8</v>
      </c>
      <c r="L2" s="1">
        <f>IFERROR(I2*E2,0)</f>
        <v>0</v>
      </c>
      <c r="M2" s="1">
        <f>IFERROR(K2*E2,0)</f>
        <v>9560</v>
      </c>
    </row>
    <row r="3" spans="1:13" x14ac:dyDescent="0.3">
      <c r="A3" t="s">
        <v>265</v>
      </c>
      <c r="B3" t="s">
        <v>266</v>
      </c>
      <c r="C3" t="s">
        <v>252</v>
      </c>
      <c r="D3" t="s">
        <v>17</v>
      </c>
      <c r="E3" s="1">
        <v>1438</v>
      </c>
      <c r="F3">
        <v>2</v>
      </c>
      <c r="G3">
        <v>0</v>
      </c>
      <c r="H3">
        <v>8</v>
      </c>
      <c r="I3">
        <v>0</v>
      </c>
      <c r="J3">
        <v>0</v>
      </c>
      <c r="K3">
        <f>IF(H3-I3-J3&gt;0,H3-I3-J3,0)</f>
        <v>8</v>
      </c>
      <c r="L3" s="1">
        <f>IFERROR(I3*E3,0)</f>
        <v>0</v>
      </c>
      <c r="M3" s="1">
        <f>IFERROR(K3*E3,0)</f>
        <v>11504</v>
      </c>
    </row>
    <row r="4" spans="1:13" x14ac:dyDescent="0.3">
      <c r="A4" t="s">
        <v>267</v>
      </c>
      <c r="B4" t="s">
        <v>268</v>
      </c>
      <c r="C4" t="s">
        <v>252</v>
      </c>
      <c r="D4" t="s">
        <v>17</v>
      </c>
      <c r="E4" s="1">
        <v>1880</v>
      </c>
      <c r="F4">
        <v>1</v>
      </c>
      <c r="G4">
        <v>0</v>
      </c>
      <c r="H4">
        <v>2</v>
      </c>
      <c r="I4">
        <v>0</v>
      </c>
      <c r="J4">
        <v>0</v>
      </c>
      <c r="K4">
        <f>IF(H4-I4-J4&gt;0,H4-I4-J4,0)</f>
        <v>2</v>
      </c>
      <c r="L4" s="1">
        <f>IFERROR(I4*E4,0)</f>
        <v>0</v>
      </c>
      <c r="M4" s="1">
        <f>IFERROR(K4*E4,0)</f>
        <v>3760</v>
      </c>
    </row>
    <row r="5" spans="1:13" x14ac:dyDescent="0.3">
      <c r="A5" t="s">
        <v>269</v>
      </c>
      <c r="B5" t="s">
        <v>270</v>
      </c>
      <c r="C5" t="s">
        <v>252</v>
      </c>
      <c r="D5" t="s">
        <v>17</v>
      </c>
      <c r="E5" s="1">
        <v>1737</v>
      </c>
      <c r="F5">
        <v>2</v>
      </c>
      <c r="G5">
        <v>0</v>
      </c>
      <c r="H5">
        <v>10</v>
      </c>
      <c r="I5">
        <v>0</v>
      </c>
      <c r="J5">
        <v>0</v>
      </c>
      <c r="K5">
        <f>IF(H5-I5-J5&gt;0,H5-I5-J5,0)</f>
        <v>10</v>
      </c>
      <c r="L5" s="1">
        <f>IFERROR(I5*E5,0)</f>
        <v>0</v>
      </c>
      <c r="M5" s="1">
        <f>IFERROR(K5*E5,0)</f>
        <v>17370</v>
      </c>
    </row>
    <row r="6" spans="1:13" x14ac:dyDescent="0.3">
      <c r="A6" t="s">
        <v>48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19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271</v>
      </c>
      <c r="B2" t="s">
        <v>272</v>
      </c>
      <c r="C2" t="s">
        <v>273</v>
      </c>
      <c r="D2" t="s">
        <v>18</v>
      </c>
      <c r="E2" s="1">
        <v>6255</v>
      </c>
      <c r="F2">
        <v>1</v>
      </c>
      <c r="G2">
        <v>0</v>
      </c>
      <c r="H2">
        <v>3</v>
      </c>
      <c r="I2">
        <v>0</v>
      </c>
      <c r="J2">
        <v>0</v>
      </c>
      <c r="K2">
        <f t="shared" ref="K2:K65" si="0">IF(H2-I2-J2&gt;0,H2-I2-J2,0)</f>
        <v>3</v>
      </c>
      <c r="L2" s="1">
        <f t="shared" ref="L2:L65" si="1">IFERROR(I2*E2,0)</f>
        <v>0</v>
      </c>
      <c r="M2" s="1">
        <f t="shared" ref="M2:M65" si="2">IFERROR(K2*E2,0)</f>
        <v>18765</v>
      </c>
    </row>
    <row r="3" spans="1:13" x14ac:dyDescent="0.3">
      <c r="A3" t="s">
        <v>274</v>
      </c>
      <c r="B3" t="s">
        <v>275</v>
      </c>
      <c r="C3" t="s">
        <v>273</v>
      </c>
      <c r="D3" t="s">
        <v>18</v>
      </c>
      <c r="E3" s="1">
        <v>7900</v>
      </c>
      <c r="F3">
        <v>8</v>
      </c>
      <c r="G3">
        <v>0</v>
      </c>
      <c r="H3">
        <v>16</v>
      </c>
      <c r="I3">
        <v>0</v>
      </c>
      <c r="J3">
        <v>0</v>
      </c>
      <c r="K3">
        <f t="shared" si="0"/>
        <v>16</v>
      </c>
      <c r="L3" s="1">
        <f t="shared" si="1"/>
        <v>0</v>
      </c>
      <c r="M3" s="1">
        <f t="shared" si="2"/>
        <v>126400</v>
      </c>
    </row>
    <row r="4" spans="1:13" x14ac:dyDescent="0.3">
      <c r="A4" t="s">
        <v>276</v>
      </c>
      <c r="B4" t="s">
        <v>277</v>
      </c>
      <c r="C4" t="s">
        <v>273</v>
      </c>
      <c r="D4" t="s">
        <v>18</v>
      </c>
      <c r="E4" s="1">
        <v>4463</v>
      </c>
      <c r="F4">
        <v>2</v>
      </c>
      <c r="G4">
        <v>0</v>
      </c>
      <c r="H4">
        <v>10</v>
      </c>
      <c r="I4">
        <v>0</v>
      </c>
      <c r="J4">
        <v>0</v>
      </c>
      <c r="K4">
        <f t="shared" si="0"/>
        <v>10</v>
      </c>
      <c r="L4" s="1">
        <f t="shared" si="1"/>
        <v>0</v>
      </c>
      <c r="M4" s="1">
        <f t="shared" si="2"/>
        <v>44630</v>
      </c>
    </row>
    <row r="5" spans="1:13" x14ac:dyDescent="0.3">
      <c r="A5" t="s">
        <v>278</v>
      </c>
      <c r="B5" t="s">
        <v>279</v>
      </c>
      <c r="D5" t="s">
        <v>18</v>
      </c>
      <c r="E5" s="1">
        <v>0</v>
      </c>
      <c r="F5">
        <v>2</v>
      </c>
      <c r="G5">
        <v>0</v>
      </c>
      <c r="H5">
        <v>10</v>
      </c>
      <c r="I5">
        <v>0</v>
      </c>
      <c r="J5">
        <v>0</v>
      </c>
      <c r="K5">
        <f t="shared" si="0"/>
        <v>10</v>
      </c>
      <c r="L5" s="1">
        <f t="shared" si="1"/>
        <v>0</v>
      </c>
      <c r="M5" s="1">
        <f t="shared" si="2"/>
        <v>0</v>
      </c>
    </row>
    <row r="6" spans="1:13" x14ac:dyDescent="0.3">
      <c r="A6" t="s">
        <v>280</v>
      </c>
      <c r="B6" t="s">
        <v>281</v>
      </c>
      <c r="C6" t="s">
        <v>273</v>
      </c>
      <c r="D6" t="s">
        <v>18</v>
      </c>
      <c r="E6" s="1">
        <v>5620</v>
      </c>
      <c r="F6">
        <v>1</v>
      </c>
      <c r="G6">
        <v>0</v>
      </c>
      <c r="H6">
        <v>5</v>
      </c>
      <c r="I6">
        <v>0</v>
      </c>
      <c r="J6">
        <v>0</v>
      </c>
      <c r="K6">
        <f t="shared" si="0"/>
        <v>5</v>
      </c>
      <c r="L6" s="1">
        <f t="shared" si="1"/>
        <v>0</v>
      </c>
      <c r="M6" s="1">
        <f t="shared" si="2"/>
        <v>28100</v>
      </c>
    </row>
    <row r="7" spans="1:13" x14ac:dyDescent="0.3">
      <c r="A7" t="s">
        <v>282</v>
      </c>
      <c r="B7" t="s">
        <v>283</v>
      </c>
      <c r="C7" t="s">
        <v>273</v>
      </c>
      <c r="D7" t="s">
        <v>18</v>
      </c>
      <c r="E7" s="1">
        <v>360</v>
      </c>
      <c r="F7">
        <v>2</v>
      </c>
      <c r="G7">
        <v>0</v>
      </c>
      <c r="H7">
        <v>9</v>
      </c>
      <c r="I7">
        <v>0</v>
      </c>
      <c r="J7">
        <v>0</v>
      </c>
      <c r="K7">
        <f t="shared" si="0"/>
        <v>9</v>
      </c>
      <c r="L7" s="1">
        <f t="shared" si="1"/>
        <v>0</v>
      </c>
      <c r="M7" s="1">
        <f t="shared" si="2"/>
        <v>3240</v>
      </c>
    </row>
    <row r="8" spans="1:13" x14ac:dyDescent="0.3">
      <c r="A8" t="s">
        <v>284</v>
      </c>
      <c r="B8" t="s">
        <v>285</v>
      </c>
      <c r="C8" t="s">
        <v>211</v>
      </c>
      <c r="D8" t="s">
        <v>18</v>
      </c>
      <c r="E8" s="1">
        <v>2147.54</v>
      </c>
      <c r="F8">
        <v>1</v>
      </c>
      <c r="G8">
        <v>0</v>
      </c>
      <c r="H8">
        <v>3</v>
      </c>
      <c r="I8">
        <v>0</v>
      </c>
      <c r="J8">
        <v>0</v>
      </c>
      <c r="K8">
        <f t="shared" si="0"/>
        <v>3</v>
      </c>
      <c r="L8" s="1">
        <f t="shared" si="1"/>
        <v>0</v>
      </c>
      <c r="M8" s="1">
        <f t="shared" si="2"/>
        <v>6442.62</v>
      </c>
    </row>
    <row r="9" spans="1:13" x14ac:dyDescent="0.3">
      <c r="A9" t="s">
        <v>286</v>
      </c>
      <c r="B9" t="s">
        <v>287</v>
      </c>
      <c r="C9" t="s">
        <v>273</v>
      </c>
      <c r="D9" t="s">
        <v>18</v>
      </c>
      <c r="E9" s="1">
        <v>436.5</v>
      </c>
      <c r="F9">
        <v>1</v>
      </c>
      <c r="G9">
        <v>0</v>
      </c>
      <c r="H9">
        <v>2</v>
      </c>
      <c r="I9">
        <v>0</v>
      </c>
      <c r="J9">
        <v>0</v>
      </c>
      <c r="K9">
        <f t="shared" si="0"/>
        <v>2</v>
      </c>
      <c r="L9" s="1">
        <f t="shared" si="1"/>
        <v>0</v>
      </c>
      <c r="M9" s="1">
        <f t="shared" si="2"/>
        <v>873</v>
      </c>
    </row>
    <row r="10" spans="1:13" x14ac:dyDescent="0.3">
      <c r="A10" t="s">
        <v>288</v>
      </c>
      <c r="B10" t="s">
        <v>289</v>
      </c>
      <c r="D10" t="s">
        <v>18</v>
      </c>
      <c r="E10" s="1">
        <v>0</v>
      </c>
      <c r="F10">
        <v>12</v>
      </c>
      <c r="G10">
        <v>0</v>
      </c>
      <c r="H10">
        <v>62</v>
      </c>
      <c r="I10">
        <v>0</v>
      </c>
      <c r="J10">
        <v>0</v>
      </c>
      <c r="K10">
        <f t="shared" si="0"/>
        <v>62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290</v>
      </c>
      <c r="B11" t="s">
        <v>291</v>
      </c>
      <c r="C11" t="s">
        <v>273</v>
      </c>
      <c r="D11" t="s">
        <v>18</v>
      </c>
      <c r="E11" s="1">
        <v>474.88</v>
      </c>
      <c r="F11">
        <v>2</v>
      </c>
      <c r="G11">
        <v>0</v>
      </c>
      <c r="H11">
        <v>10</v>
      </c>
      <c r="I11">
        <v>0</v>
      </c>
      <c r="J11">
        <v>0</v>
      </c>
      <c r="K11">
        <f t="shared" si="0"/>
        <v>10</v>
      </c>
      <c r="L11" s="1">
        <f t="shared" si="1"/>
        <v>0</v>
      </c>
      <c r="M11" s="1">
        <f t="shared" si="2"/>
        <v>4748.8</v>
      </c>
    </row>
    <row r="12" spans="1:13" x14ac:dyDescent="0.3">
      <c r="A12" t="s">
        <v>292</v>
      </c>
      <c r="B12" t="s">
        <v>293</v>
      </c>
      <c r="C12" t="s">
        <v>81</v>
      </c>
      <c r="D12" t="s">
        <v>18</v>
      </c>
      <c r="E12" s="1">
        <v>12757.61</v>
      </c>
      <c r="F12">
        <v>2</v>
      </c>
      <c r="G12">
        <v>0</v>
      </c>
      <c r="H12">
        <v>4</v>
      </c>
      <c r="I12">
        <v>0</v>
      </c>
      <c r="J12">
        <v>0</v>
      </c>
      <c r="K12">
        <f t="shared" si="0"/>
        <v>4</v>
      </c>
      <c r="L12" s="1">
        <f t="shared" si="1"/>
        <v>0</v>
      </c>
      <c r="M12" s="1">
        <f t="shared" si="2"/>
        <v>51030.44</v>
      </c>
    </row>
    <row r="13" spans="1:13" x14ac:dyDescent="0.3">
      <c r="A13" t="s">
        <v>294</v>
      </c>
      <c r="B13" t="s">
        <v>295</v>
      </c>
      <c r="C13" t="s">
        <v>273</v>
      </c>
      <c r="D13" t="s">
        <v>18</v>
      </c>
      <c r="E13" s="1">
        <v>533</v>
      </c>
      <c r="F13">
        <v>4</v>
      </c>
      <c r="G13">
        <v>0</v>
      </c>
      <c r="H13">
        <v>18</v>
      </c>
      <c r="I13">
        <v>0</v>
      </c>
      <c r="J13">
        <v>0</v>
      </c>
      <c r="K13">
        <f t="shared" si="0"/>
        <v>18</v>
      </c>
      <c r="L13" s="1">
        <f t="shared" si="1"/>
        <v>0</v>
      </c>
      <c r="M13" s="1">
        <f t="shared" si="2"/>
        <v>9594</v>
      </c>
    </row>
    <row r="14" spans="1:13" x14ac:dyDescent="0.3">
      <c r="A14" t="s">
        <v>296</v>
      </c>
      <c r="B14" t="s">
        <v>297</v>
      </c>
      <c r="C14" t="s">
        <v>273</v>
      </c>
      <c r="D14" t="s">
        <v>18</v>
      </c>
      <c r="E14" s="1">
        <v>623</v>
      </c>
      <c r="F14">
        <v>2</v>
      </c>
      <c r="G14">
        <v>0</v>
      </c>
      <c r="H14">
        <v>10</v>
      </c>
      <c r="I14">
        <v>0</v>
      </c>
      <c r="J14">
        <v>0</v>
      </c>
      <c r="K14">
        <f t="shared" si="0"/>
        <v>10</v>
      </c>
      <c r="L14" s="1">
        <f t="shared" si="1"/>
        <v>0</v>
      </c>
      <c r="M14" s="1">
        <f t="shared" si="2"/>
        <v>6230</v>
      </c>
    </row>
    <row r="15" spans="1:13" x14ac:dyDescent="0.3">
      <c r="A15" t="s">
        <v>298</v>
      </c>
      <c r="B15" t="s">
        <v>299</v>
      </c>
      <c r="C15" t="s">
        <v>300</v>
      </c>
      <c r="D15" t="s">
        <v>18</v>
      </c>
      <c r="E15" s="1">
        <v>16260</v>
      </c>
      <c r="F15">
        <v>2</v>
      </c>
      <c r="G15">
        <v>0</v>
      </c>
      <c r="H15">
        <v>6</v>
      </c>
      <c r="I15">
        <v>0</v>
      </c>
      <c r="J15">
        <v>0</v>
      </c>
      <c r="K15">
        <f t="shared" si="0"/>
        <v>6</v>
      </c>
      <c r="L15" s="1">
        <f t="shared" si="1"/>
        <v>0</v>
      </c>
      <c r="M15" s="1">
        <f t="shared" si="2"/>
        <v>97560</v>
      </c>
    </row>
    <row r="16" spans="1:13" x14ac:dyDescent="0.3">
      <c r="A16" t="s">
        <v>301</v>
      </c>
      <c r="B16" t="s">
        <v>302</v>
      </c>
      <c r="C16" t="s">
        <v>273</v>
      </c>
      <c r="D16" t="s">
        <v>18</v>
      </c>
      <c r="E16" s="1">
        <v>595</v>
      </c>
      <c r="F16">
        <v>2</v>
      </c>
      <c r="G16">
        <v>0</v>
      </c>
      <c r="H16">
        <v>12</v>
      </c>
      <c r="I16">
        <v>0</v>
      </c>
      <c r="J16">
        <v>0</v>
      </c>
      <c r="K16">
        <f t="shared" si="0"/>
        <v>12</v>
      </c>
      <c r="L16" s="1">
        <f t="shared" si="1"/>
        <v>0</v>
      </c>
      <c r="M16" s="1">
        <f t="shared" si="2"/>
        <v>7140</v>
      </c>
    </row>
    <row r="17" spans="1:13" x14ac:dyDescent="0.3">
      <c r="A17" t="s">
        <v>303</v>
      </c>
      <c r="B17" t="s">
        <v>304</v>
      </c>
      <c r="C17" t="s">
        <v>305</v>
      </c>
      <c r="D17" t="s">
        <v>18</v>
      </c>
      <c r="E17" s="1">
        <v>42.94</v>
      </c>
      <c r="F17">
        <v>24</v>
      </c>
      <c r="G17">
        <v>0</v>
      </c>
      <c r="H17">
        <v>118</v>
      </c>
      <c r="I17">
        <v>0</v>
      </c>
      <c r="J17">
        <v>0</v>
      </c>
      <c r="K17">
        <f t="shared" si="0"/>
        <v>118</v>
      </c>
      <c r="L17" s="1">
        <f t="shared" si="1"/>
        <v>0</v>
      </c>
      <c r="M17" s="1">
        <f t="shared" si="2"/>
        <v>5066.92</v>
      </c>
    </row>
    <row r="18" spans="1:13" x14ac:dyDescent="0.3">
      <c r="A18" t="s">
        <v>306</v>
      </c>
      <c r="B18" t="s">
        <v>307</v>
      </c>
      <c r="C18" t="s">
        <v>273</v>
      </c>
      <c r="D18" t="s">
        <v>18</v>
      </c>
      <c r="E18" s="1">
        <v>142.96</v>
      </c>
      <c r="F18">
        <v>1</v>
      </c>
      <c r="G18">
        <v>0</v>
      </c>
      <c r="H18">
        <v>2</v>
      </c>
      <c r="I18">
        <v>0</v>
      </c>
      <c r="J18">
        <v>0</v>
      </c>
      <c r="K18">
        <f t="shared" si="0"/>
        <v>2</v>
      </c>
      <c r="L18" s="1">
        <f t="shared" si="1"/>
        <v>0</v>
      </c>
      <c r="M18" s="1">
        <f t="shared" si="2"/>
        <v>285.92</v>
      </c>
    </row>
    <row r="19" spans="1:13" x14ac:dyDescent="0.3">
      <c r="A19" t="s">
        <v>308</v>
      </c>
      <c r="B19" t="s">
        <v>309</v>
      </c>
      <c r="C19" t="s">
        <v>273</v>
      </c>
      <c r="D19" t="s">
        <v>18</v>
      </c>
      <c r="E19" s="1">
        <v>1425</v>
      </c>
      <c r="F19">
        <v>1</v>
      </c>
      <c r="G19">
        <v>0</v>
      </c>
      <c r="H19">
        <v>2</v>
      </c>
      <c r="I19">
        <v>0</v>
      </c>
      <c r="J19">
        <v>0</v>
      </c>
      <c r="K19">
        <f t="shared" si="0"/>
        <v>2</v>
      </c>
      <c r="L19" s="1">
        <f t="shared" si="1"/>
        <v>0</v>
      </c>
      <c r="M19" s="1">
        <f t="shared" si="2"/>
        <v>2850</v>
      </c>
    </row>
    <row r="20" spans="1:13" x14ac:dyDescent="0.3">
      <c r="A20" t="s">
        <v>310</v>
      </c>
      <c r="B20" t="s">
        <v>311</v>
      </c>
      <c r="C20" t="s">
        <v>273</v>
      </c>
      <c r="D20" t="s">
        <v>18</v>
      </c>
      <c r="E20" s="1">
        <v>1340</v>
      </c>
      <c r="F20">
        <v>4</v>
      </c>
      <c r="G20">
        <v>0</v>
      </c>
      <c r="H20">
        <v>14</v>
      </c>
      <c r="I20">
        <v>0</v>
      </c>
      <c r="J20">
        <v>0</v>
      </c>
      <c r="K20">
        <f t="shared" si="0"/>
        <v>14</v>
      </c>
      <c r="L20" s="1">
        <f t="shared" si="1"/>
        <v>0</v>
      </c>
      <c r="M20" s="1">
        <f t="shared" si="2"/>
        <v>18760</v>
      </c>
    </row>
    <row r="21" spans="1:13" x14ac:dyDescent="0.3">
      <c r="A21" t="s">
        <v>312</v>
      </c>
      <c r="B21" t="s">
        <v>313</v>
      </c>
      <c r="C21" t="s">
        <v>273</v>
      </c>
      <c r="D21" t="s">
        <v>18</v>
      </c>
      <c r="E21" s="1">
        <v>1695</v>
      </c>
      <c r="F21">
        <v>1</v>
      </c>
      <c r="G21">
        <v>0</v>
      </c>
      <c r="H21">
        <v>3</v>
      </c>
      <c r="I21">
        <v>0</v>
      </c>
      <c r="J21">
        <v>0</v>
      </c>
      <c r="K21">
        <f t="shared" si="0"/>
        <v>3</v>
      </c>
      <c r="L21" s="1">
        <f t="shared" si="1"/>
        <v>0</v>
      </c>
      <c r="M21" s="1">
        <f t="shared" si="2"/>
        <v>5085</v>
      </c>
    </row>
    <row r="22" spans="1:13" x14ac:dyDescent="0.3">
      <c r="A22" t="s">
        <v>314</v>
      </c>
      <c r="B22" t="s">
        <v>315</v>
      </c>
      <c r="C22" t="s">
        <v>273</v>
      </c>
      <c r="D22" t="s">
        <v>18</v>
      </c>
      <c r="E22" s="1">
        <v>1270</v>
      </c>
      <c r="F22">
        <v>3</v>
      </c>
      <c r="G22">
        <v>0</v>
      </c>
      <c r="H22">
        <v>7</v>
      </c>
      <c r="I22">
        <v>0</v>
      </c>
      <c r="J22">
        <v>0</v>
      </c>
      <c r="K22">
        <f t="shared" si="0"/>
        <v>7</v>
      </c>
      <c r="L22" s="1">
        <f t="shared" si="1"/>
        <v>0</v>
      </c>
      <c r="M22" s="1">
        <f t="shared" si="2"/>
        <v>8890</v>
      </c>
    </row>
    <row r="23" spans="1:13" x14ac:dyDescent="0.3">
      <c r="A23" t="s">
        <v>316</v>
      </c>
      <c r="B23" t="s">
        <v>317</v>
      </c>
      <c r="C23" t="s">
        <v>273</v>
      </c>
      <c r="D23" t="s">
        <v>18</v>
      </c>
      <c r="E23" s="1">
        <v>414</v>
      </c>
      <c r="F23">
        <v>5</v>
      </c>
      <c r="G23">
        <v>0</v>
      </c>
      <c r="H23">
        <v>25</v>
      </c>
      <c r="I23">
        <v>0</v>
      </c>
      <c r="J23">
        <v>0</v>
      </c>
      <c r="K23">
        <f t="shared" si="0"/>
        <v>25</v>
      </c>
      <c r="L23" s="1">
        <f t="shared" si="1"/>
        <v>0</v>
      </c>
      <c r="M23" s="1">
        <f t="shared" si="2"/>
        <v>10350</v>
      </c>
    </row>
    <row r="24" spans="1:13" x14ac:dyDescent="0.3">
      <c r="A24" t="s">
        <v>318</v>
      </c>
      <c r="B24" t="s">
        <v>319</v>
      </c>
      <c r="C24" t="s">
        <v>273</v>
      </c>
      <c r="D24" t="s">
        <v>18</v>
      </c>
      <c r="E24" s="1">
        <v>679</v>
      </c>
      <c r="F24">
        <v>7</v>
      </c>
      <c r="G24">
        <v>0</v>
      </c>
      <c r="H24">
        <v>30</v>
      </c>
      <c r="I24">
        <v>0</v>
      </c>
      <c r="J24">
        <v>0</v>
      </c>
      <c r="K24">
        <f t="shared" si="0"/>
        <v>30</v>
      </c>
      <c r="L24" s="1">
        <f t="shared" si="1"/>
        <v>0</v>
      </c>
      <c r="M24" s="1">
        <f t="shared" si="2"/>
        <v>20370</v>
      </c>
    </row>
    <row r="25" spans="1:13" x14ac:dyDescent="0.3">
      <c r="A25" t="s">
        <v>320</v>
      </c>
      <c r="B25" t="s">
        <v>321</v>
      </c>
      <c r="C25" t="s">
        <v>273</v>
      </c>
      <c r="D25" t="s">
        <v>18</v>
      </c>
      <c r="E25" s="1">
        <v>793</v>
      </c>
      <c r="F25">
        <v>1</v>
      </c>
      <c r="G25">
        <v>0</v>
      </c>
      <c r="H25">
        <v>2</v>
      </c>
      <c r="I25">
        <v>0</v>
      </c>
      <c r="J25">
        <v>0</v>
      </c>
      <c r="K25">
        <f t="shared" si="0"/>
        <v>2</v>
      </c>
      <c r="L25" s="1">
        <f t="shared" si="1"/>
        <v>0</v>
      </c>
      <c r="M25" s="1">
        <f t="shared" si="2"/>
        <v>1586</v>
      </c>
    </row>
    <row r="26" spans="1:13" x14ac:dyDescent="0.3">
      <c r="A26" t="s">
        <v>322</v>
      </c>
      <c r="B26" t="s">
        <v>323</v>
      </c>
      <c r="C26" t="s">
        <v>273</v>
      </c>
      <c r="D26" t="s">
        <v>18</v>
      </c>
      <c r="E26" s="1">
        <v>731</v>
      </c>
      <c r="F26">
        <v>1</v>
      </c>
      <c r="G26">
        <v>0</v>
      </c>
      <c r="H26">
        <v>5</v>
      </c>
      <c r="I26">
        <v>0</v>
      </c>
      <c r="J26">
        <v>0</v>
      </c>
      <c r="K26">
        <f t="shared" si="0"/>
        <v>5</v>
      </c>
      <c r="L26" s="1">
        <f t="shared" si="1"/>
        <v>0</v>
      </c>
      <c r="M26" s="1">
        <f t="shared" si="2"/>
        <v>3655</v>
      </c>
    </row>
    <row r="27" spans="1:13" x14ac:dyDescent="0.3">
      <c r="A27" t="s">
        <v>324</v>
      </c>
      <c r="B27" t="s">
        <v>325</v>
      </c>
      <c r="C27" t="s">
        <v>211</v>
      </c>
      <c r="D27" t="s">
        <v>18</v>
      </c>
      <c r="E27" s="1">
        <v>325.83999999999997</v>
      </c>
      <c r="F27">
        <v>1</v>
      </c>
      <c r="G27">
        <v>0</v>
      </c>
      <c r="H27">
        <v>3</v>
      </c>
      <c r="I27">
        <v>0</v>
      </c>
      <c r="J27">
        <v>0</v>
      </c>
      <c r="K27">
        <f t="shared" si="0"/>
        <v>3</v>
      </c>
      <c r="L27" s="1">
        <f t="shared" si="1"/>
        <v>0</v>
      </c>
      <c r="M27" s="1">
        <f t="shared" si="2"/>
        <v>977.52</v>
      </c>
    </row>
    <row r="28" spans="1:13" x14ac:dyDescent="0.3">
      <c r="A28" t="s">
        <v>326</v>
      </c>
      <c r="B28" t="s">
        <v>327</v>
      </c>
      <c r="C28" t="s">
        <v>211</v>
      </c>
      <c r="D28" t="s">
        <v>18</v>
      </c>
      <c r="E28" s="1">
        <v>840</v>
      </c>
      <c r="F28">
        <v>1</v>
      </c>
      <c r="G28">
        <v>0</v>
      </c>
      <c r="H28">
        <v>3</v>
      </c>
      <c r="I28">
        <v>0</v>
      </c>
      <c r="J28">
        <v>0</v>
      </c>
      <c r="K28">
        <f t="shared" si="0"/>
        <v>3</v>
      </c>
      <c r="L28" s="1">
        <f t="shared" si="1"/>
        <v>0</v>
      </c>
      <c r="M28" s="1">
        <f t="shared" si="2"/>
        <v>2520</v>
      </c>
    </row>
    <row r="29" spans="1:13" x14ac:dyDescent="0.3">
      <c r="A29" t="s">
        <v>328</v>
      </c>
      <c r="B29" t="s">
        <v>329</v>
      </c>
      <c r="D29" t="s">
        <v>18</v>
      </c>
      <c r="E29" s="1">
        <v>0</v>
      </c>
      <c r="F29">
        <v>1</v>
      </c>
      <c r="G29">
        <v>0</v>
      </c>
      <c r="H29">
        <v>5</v>
      </c>
      <c r="I29">
        <v>0</v>
      </c>
      <c r="J29">
        <v>0</v>
      </c>
      <c r="K29">
        <f t="shared" si="0"/>
        <v>5</v>
      </c>
      <c r="L29" s="1">
        <f t="shared" si="1"/>
        <v>0</v>
      </c>
      <c r="M29" s="1">
        <f t="shared" si="2"/>
        <v>0</v>
      </c>
    </row>
    <row r="30" spans="1:13" x14ac:dyDescent="0.3">
      <c r="A30" t="s">
        <v>330</v>
      </c>
      <c r="B30" t="s">
        <v>331</v>
      </c>
      <c r="C30" t="s">
        <v>273</v>
      </c>
      <c r="D30" t="s">
        <v>18</v>
      </c>
      <c r="E30" s="1">
        <v>1456</v>
      </c>
      <c r="F30">
        <v>1</v>
      </c>
      <c r="G30">
        <v>0</v>
      </c>
      <c r="H30">
        <v>2</v>
      </c>
      <c r="I30">
        <v>0</v>
      </c>
      <c r="J30">
        <v>0</v>
      </c>
      <c r="K30">
        <f t="shared" si="0"/>
        <v>2</v>
      </c>
      <c r="L30" s="1">
        <f t="shared" si="1"/>
        <v>0</v>
      </c>
      <c r="M30" s="1">
        <f t="shared" si="2"/>
        <v>2912</v>
      </c>
    </row>
    <row r="31" spans="1:13" x14ac:dyDescent="0.3">
      <c r="A31" t="s">
        <v>332</v>
      </c>
      <c r="B31" t="s">
        <v>333</v>
      </c>
      <c r="C31" t="s">
        <v>273</v>
      </c>
      <c r="D31" t="s">
        <v>18</v>
      </c>
      <c r="E31" s="1">
        <v>1164</v>
      </c>
      <c r="F31">
        <v>1</v>
      </c>
      <c r="G31">
        <v>0</v>
      </c>
      <c r="H31">
        <v>2</v>
      </c>
      <c r="I31">
        <v>0</v>
      </c>
      <c r="J31">
        <v>0</v>
      </c>
      <c r="K31">
        <f t="shared" si="0"/>
        <v>2</v>
      </c>
      <c r="L31" s="1">
        <f t="shared" si="1"/>
        <v>0</v>
      </c>
      <c r="M31" s="1">
        <f t="shared" si="2"/>
        <v>2328</v>
      </c>
    </row>
    <row r="32" spans="1:13" x14ac:dyDescent="0.3">
      <c r="A32" t="s">
        <v>334</v>
      </c>
      <c r="B32" t="s">
        <v>335</v>
      </c>
      <c r="C32" t="s">
        <v>273</v>
      </c>
      <c r="D32" t="s">
        <v>18</v>
      </c>
      <c r="E32" s="1">
        <v>1632</v>
      </c>
      <c r="F32">
        <v>2</v>
      </c>
      <c r="G32">
        <v>0</v>
      </c>
      <c r="H32">
        <v>10</v>
      </c>
      <c r="I32">
        <v>0</v>
      </c>
      <c r="J32">
        <v>0</v>
      </c>
      <c r="K32">
        <f t="shared" si="0"/>
        <v>10</v>
      </c>
      <c r="L32" s="1">
        <f t="shared" si="1"/>
        <v>0</v>
      </c>
      <c r="M32" s="1">
        <f t="shared" si="2"/>
        <v>16320</v>
      </c>
    </row>
    <row r="33" spans="1:13" x14ac:dyDescent="0.3">
      <c r="A33" t="s">
        <v>336</v>
      </c>
      <c r="B33" t="s">
        <v>337</v>
      </c>
      <c r="C33" t="s">
        <v>273</v>
      </c>
      <c r="D33" t="s">
        <v>18</v>
      </c>
      <c r="E33" s="1">
        <v>2030.72</v>
      </c>
      <c r="F33">
        <v>1</v>
      </c>
      <c r="G33">
        <v>0</v>
      </c>
      <c r="H33">
        <v>5</v>
      </c>
      <c r="I33">
        <v>0</v>
      </c>
      <c r="J33">
        <v>0</v>
      </c>
      <c r="K33">
        <f t="shared" si="0"/>
        <v>5</v>
      </c>
      <c r="L33" s="1">
        <f t="shared" si="1"/>
        <v>0</v>
      </c>
      <c r="M33" s="1">
        <f t="shared" si="2"/>
        <v>10153.6</v>
      </c>
    </row>
    <row r="34" spans="1:13" x14ac:dyDescent="0.3">
      <c r="A34" t="s">
        <v>338</v>
      </c>
      <c r="B34" t="s">
        <v>339</v>
      </c>
      <c r="C34" t="s">
        <v>273</v>
      </c>
      <c r="D34" t="s">
        <v>18</v>
      </c>
      <c r="E34" s="1">
        <v>1506.5</v>
      </c>
      <c r="F34">
        <v>1</v>
      </c>
      <c r="G34">
        <v>0</v>
      </c>
      <c r="H34">
        <v>2</v>
      </c>
      <c r="I34">
        <v>0</v>
      </c>
      <c r="J34">
        <v>0</v>
      </c>
      <c r="K34">
        <f t="shared" si="0"/>
        <v>2</v>
      </c>
      <c r="L34" s="1">
        <f t="shared" si="1"/>
        <v>0</v>
      </c>
      <c r="M34" s="1">
        <f t="shared" si="2"/>
        <v>3013</v>
      </c>
    </row>
    <row r="35" spans="1:13" x14ac:dyDescent="0.3">
      <c r="A35" t="s">
        <v>340</v>
      </c>
      <c r="B35" t="s">
        <v>341</v>
      </c>
      <c r="C35" t="s">
        <v>81</v>
      </c>
      <c r="D35" t="s">
        <v>18</v>
      </c>
      <c r="E35" s="1">
        <v>537.57000000000005</v>
      </c>
      <c r="F35">
        <v>1</v>
      </c>
      <c r="G35">
        <v>0</v>
      </c>
      <c r="H35">
        <v>3</v>
      </c>
      <c r="I35">
        <v>0</v>
      </c>
      <c r="J35">
        <v>0</v>
      </c>
      <c r="K35">
        <f t="shared" si="0"/>
        <v>3</v>
      </c>
      <c r="L35" s="1">
        <f t="shared" si="1"/>
        <v>0</v>
      </c>
      <c r="M35" s="1">
        <f t="shared" si="2"/>
        <v>1612.71</v>
      </c>
    </row>
    <row r="36" spans="1:13" x14ac:dyDescent="0.3">
      <c r="A36" t="s">
        <v>342</v>
      </c>
      <c r="B36" t="s">
        <v>343</v>
      </c>
      <c r="C36" t="s">
        <v>211</v>
      </c>
      <c r="D36" t="s">
        <v>18</v>
      </c>
      <c r="E36" s="1">
        <v>1025</v>
      </c>
      <c r="F36">
        <v>1</v>
      </c>
      <c r="G36">
        <v>0</v>
      </c>
      <c r="H36">
        <v>3</v>
      </c>
      <c r="I36">
        <v>0</v>
      </c>
      <c r="J36">
        <v>0</v>
      </c>
      <c r="K36">
        <f t="shared" si="0"/>
        <v>3</v>
      </c>
      <c r="L36" s="1">
        <f t="shared" si="1"/>
        <v>0</v>
      </c>
      <c r="M36" s="1">
        <f t="shared" si="2"/>
        <v>3075</v>
      </c>
    </row>
    <row r="37" spans="1:13" x14ac:dyDescent="0.3">
      <c r="A37" t="s">
        <v>344</v>
      </c>
      <c r="B37" t="s">
        <v>345</v>
      </c>
      <c r="C37" t="s">
        <v>273</v>
      </c>
      <c r="D37" t="s">
        <v>18</v>
      </c>
      <c r="E37" s="1">
        <v>1575</v>
      </c>
      <c r="F37">
        <v>1</v>
      </c>
      <c r="G37">
        <v>0</v>
      </c>
      <c r="H37">
        <v>2</v>
      </c>
      <c r="I37">
        <v>0</v>
      </c>
      <c r="J37">
        <v>0</v>
      </c>
      <c r="K37">
        <f t="shared" si="0"/>
        <v>2</v>
      </c>
      <c r="L37" s="1">
        <f t="shared" si="1"/>
        <v>0</v>
      </c>
      <c r="M37" s="1">
        <f t="shared" si="2"/>
        <v>3150</v>
      </c>
    </row>
    <row r="38" spans="1:13" x14ac:dyDescent="0.3">
      <c r="A38" t="s">
        <v>346</v>
      </c>
      <c r="B38" t="s">
        <v>347</v>
      </c>
      <c r="D38" t="s">
        <v>18</v>
      </c>
      <c r="E38" s="1">
        <v>0</v>
      </c>
      <c r="F38">
        <v>1</v>
      </c>
      <c r="G38">
        <v>0</v>
      </c>
      <c r="H38">
        <v>5</v>
      </c>
      <c r="I38">
        <v>0</v>
      </c>
      <c r="J38">
        <v>0</v>
      </c>
      <c r="K38">
        <f t="shared" si="0"/>
        <v>5</v>
      </c>
      <c r="L38" s="1">
        <f t="shared" si="1"/>
        <v>0</v>
      </c>
      <c r="M38" s="1">
        <f t="shared" si="2"/>
        <v>0</v>
      </c>
    </row>
    <row r="39" spans="1:13" x14ac:dyDescent="0.3">
      <c r="A39" t="s">
        <v>348</v>
      </c>
      <c r="B39" t="s">
        <v>349</v>
      </c>
      <c r="C39" t="s">
        <v>273</v>
      </c>
      <c r="D39" t="s">
        <v>18</v>
      </c>
      <c r="E39" s="1">
        <v>2025</v>
      </c>
      <c r="F39">
        <v>2</v>
      </c>
      <c r="G39">
        <v>0</v>
      </c>
      <c r="H39">
        <v>7</v>
      </c>
      <c r="I39">
        <v>0</v>
      </c>
      <c r="J39">
        <v>0</v>
      </c>
      <c r="K39">
        <f t="shared" si="0"/>
        <v>7</v>
      </c>
      <c r="L39" s="1">
        <f t="shared" si="1"/>
        <v>0</v>
      </c>
      <c r="M39" s="1">
        <f t="shared" si="2"/>
        <v>14175</v>
      </c>
    </row>
    <row r="40" spans="1:13" x14ac:dyDescent="0.3">
      <c r="A40" t="s">
        <v>350</v>
      </c>
      <c r="B40" t="s">
        <v>351</v>
      </c>
      <c r="C40" t="s">
        <v>273</v>
      </c>
      <c r="D40" t="s">
        <v>18</v>
      </c>
      <c r="E40" s="1">
        <v>2608</v>
      </c>
      <c r="F40">
        <v>4</v>
      </c>
      <c r="G40">
        <v>0</v>
      </c>
      <c r="H40">
        <v>13</v>
      </c>
      <c r="I40">
        <v>0</v>
      </c>
      <c r="J40">
        <v>0</v>
      </c>
      <c r="K40">
        <f t="shared" si="0"/>
        <v>13</v>
      </c>
      <c r="L40" s="1">
        <f t="shared" si="1"/>
        <v>0</v>
      </c>
      <c r="M40" s="1">
        <f t="shared" si="2"/>
        <v>33904</v>
      </c>
    </row>
    <row r="41" spans="1:13" x14ac:dyDescent="0.3">
      <c r="A41" t="s">
        <v>352</v>
      </c>
      <c r="B41" t="s">
        <v>353</v>
      </c>
      <c r="D41" t="s">
        <v>18</v>
      </c>
      <c r="E41" s="1">
        <v>0</v>
      </c>
      <c r="F41">
        <v>1</v>
      </c>
      <c r="G41">
        <v>0</v>
      </c>
      <c r="H41">
        <v>5</v>
      </c>
      <c r="I41">
        <v>0</v>
      </c>
      <c r="J41">
        <v>0</v>
      </c>
      <c r="K41">
        <f t="shared" si="0"/>
        <v>5</v>
      </c>
      <c r="L41" s="1">
        <f t="shared" si="1"/>
        <v>0</v>
      </c>
      <c r="M41" s="1">
        <f t="shared" si="2"/>
        <v>0</v>
      </c>
    </row>
    <row r="42" spans="1:13" x14ac:dyDescent="0.3">
      <c r="A42" t="s">
        <v>354</v>
      </c>
      <c r="B42" t="s">
        <v>355</v>
      </c>
      <c r="C42" t="s">
        <v>273</v>
      </c>
      <c r="D42" t="s">
        <v>18</v>
      </c>
      <c r="E42" s="1">
        <v>1819</v>
      </c>
      <c r="F42">
        <v>1</v>
      </c>
      <c r="G42">
        <v>0</v>
      </c>
      <c r="H42">
        <v>2</v>
      </c>
      <c r="I42">
        <v>0</v>
      </c>
      <c r="J42">
        <v>0</v>
      </c>
      <c r="K42">
        <f t="shared" si="0"/>
        <v>2</v>
      </c>
      <c r="L42" s="1">
        <f t="shared" si="1"/>
        <v>0</v>
      </c>
      <c r="M42" s="1">
        <f t="shared" si="2"/>
        <v>3638</v>
      </c>
    </row>
    <row r="43" spans="1:13" x14ac:dyDescent="0.3">
      <c r="A43" t="s">
        <v>356</v>
      </c>
      <c r="B43" t="s">
        <v>357</v>
      </c>
      <c r="C43" t="s">
        <v>273</v>
      </c>
      <c r="D43" t="s">
        <v>18</v>
      </c>
      <c r="E43" s="1">
        <v>2608</v>
      </c>
      <c r="F43">
        <v>1</v>
      </c>
      <c r="G43">
        <v>0</v>
      </c>
      <c r="H43">
        <v>2</v>
      </c>
      <c r="I43">
        <v>0</v>
      </c>
      <c r="J43">
        <v>0</v>
      </c>
      <c r="K43">
        <f t="shared" si="0"/>
        <v>2</v>
      </c>
      <c r="L43" s="1">
        <f t="shared" si="1"/>
        <v>0</v>
      </c>
      <c r="M43" s="1">
        <f t="shared" si="2"/>
        <v>5216</v>
      </c>
    </row>
    <row r="44" spans="1:13" x14ac:dyDescent="0.3">
      <c r="A44" t="s">
        <v>358</v>
      </c>
      <c r="B44" t="s">
        <v>359</v>
      </c>
      <c r="C44" t="s">
        <v>211</v>
      </c>
      <c r="D44" t="s">
        <v>18</v>
      </c>
      <c r="E44" s="1">
        <v>733</v>
      </c>
      <c r="F44">
        <v>2</v>
      </c>
      <c r="G44">
        <v>0</v>
      </c>
      <c r="H44">
        <v>4</v>
      </c>
      <c r="I44">
        <v>0</v>
      </c>
      <c r="J44">
        <v>0</v>
      </c>
      <c r="K44">
        <f t="shared" si="0"/>
        <v>4</v>
      </c>
      <c r="L44" s="1">
        <f t="shared" si="1"/>
        <v>0</v>
      </c>
      <c r="M44" s="1">
        <f t="shared" si="2"/>
        <v>2932</v>
      </c>
    </row>
    <row r="45" spans="1:13" x14ac:dyDescent="0.3">
      <c r="A45" t="s">
        <v>360</v>
      </c>
      <c r="B45" t="s">
        <v>361</v>
      </c>
      <c r="C45" t="s">
        <v>211</v>
      </c>
      <c r="D45" t="s">
        <v>18</v>
      </c>
      <c r="E45" s="1">
        <v>1201.8599999999999</v>
      </c>
      <c r="F45">
        <v>1</v>
      </c>
      <c r="G45">
        <v>0</v>
      </c>
      <c r="H45">
        <v>3</v>
      </c>
      <c r="I45">
        <v>0</v>
      </c>
      <c r="J45">
        <v>0</v>
      </c>
      <c r="K45">
        <f t="shared" si="0"/>
        <v>3</v>
      </c>
      <c r="L45" s="1">
        <f t="shared" si="1"/>
        <v>0</v>
      </c>
      <c r="M45" s="1">
        <f t="shared" si="2"/>
        <v>3605.58</v>
      </c>
    </row>
    <row r="46" spans="1:13" x14ac:dyDescent="0.3">
      <c r="A46" t="s">
        <v>362</v>
      </c>
      <c r="B46" t="s">
        <v>363</v>
      </c>
      <c r="C46" t="s">
        <v>273</v>
      </c>
      <c r="D46" t="s">
        <v>18</v>
      </c>
      <c r="E46" s="1">
        <v>2352</v>
      </c>
      <c r="F46">
        <v>1</v>
      </c>
      <c r="G46">
        <v>0</v>
      </c>
      <c r="H46">
        <v>5</v>
      </c>
      <c r="I46">
        <v>0</v>
      </c>
      <c r="J46">
        <v>0</v>
      </c>
      <c r="K46">
        <f t="shared" si="0"/>
        <v>5</v>
      </c>
      <c r="L46" s="1">
        <f t="shared" si="1"/>
        <v>0</v>
      </c>
      <c r="M46" s="1">
        <f t="shared" si="2"/>
        <v>11760</v>
      </c>
    </row>
    <row r="47" spans="1:13" x14ac:dyDescent="0.3">
      <c r="A47" t="s">
        <v>364</v>
      </c>
      <c r="B47" t="s">
        <v>365</v>
      </c>
      <c r="C47" t="s">
        <v>273</v>
      </c>
      <c r="D47" t="s">
        <v>18</v>
      </c>
      <c r="E47" s="1">
        <v>2617</v>
      </c>
      <c r="F47">
        <v>3</v>
      </c>
      <c r="G47">
        <v>0</v>
      </c>
      <c r="H47">
        <v>10</v>
      </c>
      <c r="I47">
        <v>0</v>
      </c>
      <c r="J47">
        <v>0</v>
      </c>
      <c r="K47">
        <f t="shared" si="0"/>
        <v>10</v>
      </c>
      <c r="L47" s="1">
        <f t="shared" si="1"/>
        <v>0</v>
      </c>
      <c r="M47" s="1">
        <f t="shared" si="2"/>
        <v>26170</v>
      </c>
    </row>
    <row r="48" spans="1:13" x14ac:dyDescent="0.3">
      <c r="A48" t="s">
        <v>366</v>
      </c>
      <c r="B48" t="s">
        <v>367</v>
      </c>
      <c r="C48" t="s">
        <v>273</v>
      </c>
      <c r="D48" t="s">
        <v>18</v>
      </c>
      <c r="E48" s="1">
        <v>3435</v>
      </c>
      <c r="F48">
        <v>2</v>
      </c>
      <c r="G48">
        <v>0</v>
      </c>
      <c r="H48">
        <v>5</v>
      </c>
      <c r="I48">
        <v>0</v>
      </c>
      <c r="J48">
        <v>0</v>
      </c>
      <c r="K48">
        <f t="shared" si="0"/>
        <v>5</v>
      </c>
      <c r="L48" s="1">
        <f t="shared" si="1"/>
        <v>0</v>
      </c>
      <c r="M48" s="1">
        <f t="shared" si="2"/>
        <v>17175</v>
      </c>
    </row>
    <row r="49" spans="1:13" x14ac:dyDescent="0.3">
      <c r="A49" t="s">
        <v>368</v>
      </c>
      <c r="B49" t="s">
        <v>369</v>
      </c>
      <c r="C49" t="s">
        <v>273</v>
      </c>
      <c r="D49" t="s">
        <v>18</v>
      </c>
      <c r="E49" s="1">
        <v>2138</v>
      </c>
      <c r="F49">
        <v>1</v>
      </c>
      <c r="G49">
        <v>0</v>
      </c>
      <c r="H49">
        <v>2</v>
      </c>
      <c r="I49">
        <v>0</v>
      </c>
      <c r="J49">
        <v>0</v>
      </c>
      <c r="K49">
        <f t="shared" si="0"/>
        <v>2</v>
      </c>
      <c r="L49" s="1">
        <f t="shared" si="1"/>
        <v>0</v>
      </c>
      <c r="M49" s="1">
        <f t="shared" si="2"/>
        <v>4276</v>
      </c>
    </row>
    <row r="50" spans="1:13" x14ac:dyDescent="0.3">
      <c r="A50" t="s">
        <v>370</v>
      </c>
      <c r="B50" t="s">
        <v>371</v>
      </c>
      <c r="C50" t="s">
        <v>273</v>
      </c>
      <c r="D50" t="s">
        <v>18</v>
      </c>
      <c r="E50" s="1">
        <v>2486.15</v>
      </c>
      <c r="F50">
        <v>1</v>
      </c>
      <c r="G50">
        <v>0</v>
      </c>
      <c r="H50">
        <v>2</v>
      </c>
      <c r="I50">
        <v>0</v>
      </c>
      <c r="J50">
        <v>0</v>
      </c>
      <c r="K50">
        <f t="shared" si="0"/>
        <v>2</v>
      </c>
      <c r="L50" s="1">
        <f t="shared" si="1"/>
        <v>0</v>
      </c>
      <c r="M50" s="1">
        <f t="shared" si="2"/>
        <v>4972.3</v>
      </c>
    </row>
    <row r="51" spans="1:13" x14ac:dyDescent="0.3">
      <c r="A51" t="s">
        <v>372</v>
      </c>
      <c r="B51" t="s">
        <v>373</v>
      </c>
      <c r="C51" t="s">
        <v>273</v>
      </c>
      <c r="D51" t="s">
        <v>18</v>
      </c>
      <c r="E51" s="1">
        <v>3435</v>
      </c>
      <c r="F51">
        <v>7</v>
      </c>
      <c r="G51">
        <v>0</v>
      </c>
      <c r="H51">
        <v>15</v>
      </c>
      <c r="I51">
        <v>0</v>
      </c>
      <c r="J51">
        <v>0</v>
      </c>
      <c r="K51">
        <f t="shared" si="0"/>
        <v>15</v>
      </c>
      <c r="L51" s="1">
        <f t="shared" si="1"/>
        <v>0</v>
      </c>
      <c r="M51" s="1">
        <f t="shared" si="2"/>
        <v>51525</v>
      </c>
    </row>
    <row r="52" spans="1:13" x14ac:dyDescent="0.3">
      <c r="A52" t="s">
        <v>374</v>
      </c>
      <c r="B52" t="s">
        <v>375</v>
      </c>
      <c r="C52" t="s">
        <v>305</v>
      </c>
      <c r="D52" t="s">
        <v>18</v>
      </c>
      <c r="E52" s="1">
        <v>57.37</v>
      </c>
      <c r="F52">
        <v>20</v>
      </c>
      <c r="G52">
        <v>0</v>
      </c>
      <c r="H52">
        <v>98</v>
      </c>
      <c r="I52">
        <v>0</v>
      </c>
      <c r="J52">
        <v>60</v>
      </c>
      <c r="K52">
        <f t="shared" si="0"/>
        <v>38</v>
      </c>
      <c r="L52" s="1">
        <f t="shared" si="1"/>
        <v>0</v>
      </c>
      <c r="M52" s="1">
        <f t="shared" si="2"/>
        <v>2180.06</v>
      </c>
    </row>
    <row r="53" spans="1:13" x14ac:dyDescent="0.3">
      <c r="A53" t="s">
        <v>376</v>
      </c>
      <c r="B53" t="s">
        <v>377</v>
      </c>
      <c r="C53" t="s">
        <v>211</v>
      </c>
      <c r="D53" t="s">
        <v>18</v>
      </c>
      <c r="E53" s="1">
        <v>663.63</v>
      </c>
      <c r="F53">
        <v>1</v>
      </c>
      <c r="G53">
        <v>0</v>
      </c>
      <c r="H53">
        <v>3</v>
      </c>
      <c r="I53">
        <v>0</v>
      </c>
      <c r="J53">
        <v>0</v>
      </c>
      <c r="K53">
        <f t="shared" si="0"/>
        <v>3</v>
      </c>
      <c r="L53" s="1">
        <f t="shared" si="1"/>
        <v>0</v>
      </c>
      <c r="M53" s="1">
        <f t="shared" si="2"/>
        <v>1990.8899999999999</v>
      </c>
    </row>
    <row r="54" spans="1:13" x14ac:dyDescent="0.3">
      <c r="A54" t="s">
        <v>378</v>
      </c>
      <c r="B54" t="s">
        <v>379</v>
      </c>
      <c r="C54" t="s">
        <v>211</v>
      </c>
      <c r="D54" t="s">
        <v>18</v>
      </c>
      <c r="E54" s="1">
        <v>1437</v>
      </c>
      <c r="F54">
        <v>1</v>
      </c>
      <c r="G54">
        <v>0</v>
      </c>
      <c r="H54">
        <v>2</v>
      </c>
      <c r="I54">
        <v>0</v>
      </c>
      <c r="J54">
        <v>0</v>
      </c>
      <c r="K54">
        <f t="shared" si="0"/>
        <v>2</v>
      </c>
      <c r="L54" s="1">
        <f t="shared" si="1"/>
        <v>0</v>
      </c>
      <c r="M54" s="1">
        <f t="shared" si="2"/>
        <v>2874</v>
      </c>
    </row>
    <row r="55" spans="1:13" x14ac:dyDescent="0.3">
      <c r="A55" t="s">
        <v>380</v>
      </c>
      <c r="B55" t="s">
        <v>381</v>
      </c>
      <c r="C55" t="s">
        <v>273</v>
      </c>
      <c r="D55" t="s">
        <v>18</v>
      </c>
      <c r="E55" s="1">
        <v>3010</v>
      </c>
      <c r="F55">
        <v>3</v>
      </c>
      <c r="G55">
        <v>0</v>
      </c>
      <c r="H55">
        <v>10</v>
      </c>
      <c r="I55">
        <v>0</v>
      </c>
      <c r="J55">
        <v>0</v>
      </c>
      <c r="K55">
        <f t="shared" si="0"/>
        <v>10</v>
      </c>
      <c r="L55" s="1">
        <f t="shared" si="1"/>
        <v>0</v>
      </c>
      <c r="M55" s="1">
        <f t="shared" si="2"/>
        <v>30100</v>
      </c>
    </row>
    <row r="56" spans="1:13" x14ac:dyDescent="0.3">
      <c r="A56" t="s">
        <v>382</v>
      </c>
      <c r="B56" t="s">
        <v>383</v>
      </c>
      <c r="C56" t="s">
        <v>273</v>
      </c>
      <c r="D56" t="s">
        <v>18</v>
      </c>
      <c r="E56" s="1">
        <v>3075</v>
      </c>
      <c r="F56">
        <v>1</v>
      </c>
      <c r="G56">
        <v>0</v>
      </c>
      <c r="H56">
        <v>3</v>
      </c>
      <c r="I56">
        <v>0</v>
      </c>
      <c r="J56">
        <v>0</v>
      </c>
      <c r="K56">
        <f t="shared" si="0"/>
        <v>3</v>
      </c>
      <c r="L56" s="1">
        <f t="shared" si="1"/>
        <v>0</v>
      </c>
      <c r="M56" s="1">
        <f t="shared" si="2"/>
        <v>9225</v>
      </c>
    </row>
    <row r="57" spans="1:13" x14ac:dyDescent="0.3">
      <c r="A57" t="s">
        <v>384</v>
      </c>
      <c r="B57" t="s">
        <v>385</v>
      </c>
      <c r="C57" t="s">
        <v>273</v>
      </c>
      <c r="D57" t="s">
        <v>18</v>
      </c>
      <c r="E57" s="1">
        <v>3896</v>
      </c>
      <c r="F57">
        <v>2</v>
      </c>
      <c r="G57">
        <v>0</v>
      </c>
      <c r="H57">
        <v>6</v>
      </c>
      <c r="I57">
        <v>0</v>
      </c>
      <c r="J57">
        <v>0</v>
      </c>
      <c r="K57">
        <f t="shared" si="0"/>
        <v>6</v>
      </c>
      <c r="L57" s="1">
        <f t="shared" si="1"/>
        <v>0</v>
      </c>
      <c r="M57" s="1">
        <f t="shared" si="2"/>
        <v>23376</v>
      </c>
    </row>
    <row r="58" spans="1:13" x14ac:dyDescent="0.3">
      <c r="A58" t="s">
        <v>386</v>
      </c>
      <c r="B58" t="s">
        <v>387</v>
      </c>
      <c r="C58" t="s">
        <v>273</v>
      </c>
      <c r="D58" t="s">
        <v>18</v>
      </c>
      <c r="E58" s="1">
        <v>2400</v>
      </c>
      <c r="F58">
        <v>1</v>
      </c>
      <c r="G58">
        <v>0</v>
      </c>
      <c r="H58">
        <v>5</v>
      </c>
      <c r="I58">
        <v>0</v>
      </c>
      <c r="J58">
        <v>0</v>
      </c>
      <c r="K58">
        <f t="shared" si="0"/>
        <v>5</v>
      </c>
      <c r="L58" s="1">
        <f t="shared" si="1"/>
        <v>0</v>
      </c>
      <c r="M58" s="1">
        <f t="shared" si="2"/>
        <v>12000</v>
      </c>
    </row>
    <row r="59" spans="1:13" x14ac:dyDescent="0.3">
      <c r="A59" t="s">
        <v>388</v>
      </c>
      <c r="B59" t="s">
        <v>389</v>
      </c>
      <c r="C59" t="s">
        <v>273</v>
      </c>
      <c r="D59" t="s">
        <v>18</v>
      </c>
      <c r="E59" s="1">
        <v>2175</v>
      </c>
      <c r="F59">
        <v>1</v>
      </c>
      <c r="G59">
        <v>0</v>
      </c>
      <c r="H59">
        <v>5</v>
      </c>
      <c r="I59">
        <v>0</v>
      </c>
      <c r="J59">
        <v>0</v>
      </c>
      <c r="K59">
        <f t="shared" si="0"/>
        <v>5</v>
      </c>
      <c r="L59" s="1">
        <f t="shared" si="1"/>
        <v>0</v>
      </c>
      <c r="M59" s="1">
        <f t="shared" si="2"/>
        <v>10875</v>
      </c>
    </row>
    <row r="60" spans="1:13" x14ac:dyDescent="0.3">
      <c r="A60" t="s">
        <v>390</v>
      </c>
      <c r="B60" t="s">
        <v>391</v>
      </c>
      <c r="C60" t="s">
        <v>273</v>
      </c>
      <c r="D60" t="s">
        <v>18</v>
      </c>
      <c r="E60" s="1">
        <v>2916.38</v>
      </c>
      <c r="F60">
        <v>1</v>
      </c>
      <c r="G60">
        <v>0</v>
      </c>
      <c r="H60">
        <v>4</v>
      </c>
      <c r="I60">
        <v>0</v>
      </c>
      <c r="J60">
        <v>0</v>
      </c>
      <c r="K60">
        <f t="shared" si="0"/>
        <v>4</v>
      </c>
      <c r="L60" s="1">
        <f t="shared" si="1"/>
        <v>0</v>
      </c>
      <c r="M60" s="1">
        <f t="shared" si="2"/>
        <v>11665.52</v>
      </c>
    </row>
    <row r="61" spans="1:13" x14ac:dyDescent="0.3">
      <c r="A61" t="s">
        <v>392</v>
      </c>
      <c r="B61" t="s">
        <v>393</v>
      </c>
      <c r="C61" t="s">
        <v>273</v>
      </c>
      <c r="D61" t="s">
        <v>18</v>
      </c>
      <c r="E61" s="1">
        <v>3693</v>
      </c>
      <c r="F61">
        <v>6</v>
      </c>
      <c r="G61">
        <v>0</v>
      </c>
      <c r="H61">
        <v>14</v>
      </c>
      <c r="I61">
        <v>0</v>
      </c>
      <c r="J61">
        <v>0</v>
      </c>
      <c r="K61">
        <f t="shared" si="0"/>
        <v>14</v>
      </c>
      <c r="L61" s="1">
        <f t="shared" si="1"/>
        <v>0</v>
      </c>
      <c r="M61" s="1">
        <f t="shared" si="2"/>
        <v>51702</v>
      </c>
    </row>
    <row r="62" spans="1:13" x14ac:dyDescent="0.3">
      <c r="A62" t="s">
        <v>394</v>
      </c>
      <c r="B62" t="s">
        <v>395</v>
      </c>
      <c r="C62" t="s">
        <v>211</v>
      </c>
      <c r="D62" t="s">
        <v>18</v>
      </c>
      <c r="E62" s="1">
        <v>860</v>
      </c>
      <c r="F62">
        <v>2</v>
      </c>
      <c r="G62">
        <v>0</v>
      </c>
      <c r="H62">
        <v>4</v>
      </c>
      <c r="I62">
        <v>0</v>
      </c>
      <c r="J62">
        <v>0</v>
      </c>
      <c r="K62">
        <f t="shared" si="0"/>
        <v>4</v>
      </c>
      <c r="L62" s="1">
        <f t="shared" si="1"/>
        <v>0</v>
      </c>
      <c r="M62" s="1">
        <f t="shared" si="2"/>
        <v>3440</v>
      </c>
    </row>
    <row r="63" spans="1:13" x14ac:dyDescent="0.3">
      <c r="A63" t="s">
        <v>396</v>
      </c>
      <c r="B63" t="s">
        <v>397</v>
      </c>
      <c r="C63" t="s">
        <v>211</v>
      </c>
      <c r="D63" t="s">
        <v>18</v>
      </c>
      <c r="E63" s="1">
        <v>1592</v>
      </c>
      <c r="F63">
        <v>1</v>
      </c>
      <c r="G63">
        <v>0</v>
      </c>
      <c r="H63">
        <v>3</v>
      </c>
      <c r="I63">
        <v>0</v>
      </c>
      <c r="J63">
        <v>0</v>
      </c>
      <c r="K63">
        <f t="shared" si="0"/>
        <v>3</v>
      </c>
      <c r="L63" s="1">
        <f t="shared" si="1"/>
        <v>0</v>
      </c>
      <c r="M63" s="1">
        <f t="shared" si="2"/>
        <v>4776</v>
      </c>
    </row>
    <row r="64" spans="1:13" x14ac:dyDescent="0.3">
      <c r="A64" t="s">
        <v>398</v>
      </c>
      <c r="B64" t="s">
        <v>399</v>
      </c>
      <c r="C64" t="s">
        <v>273</v>
      </c>
      <c r="D64" t="s">
        <v>18</v>
      </c>
      <c r="E64" s="1">
        <v>3685</v>
      </c>
      <c r="F64">
        <v>1</v>
      </c>
      <c r="G64">
        <v>0</v>
      </c>
      <c r="H64">
        <v>5</v>
      </c>
      <c r="I64">
        <v>0</v>
      </c>
      <c r="J64">
        <v>0</v>
      </c>
      <c r="K64">
        <f t="shared" si="0"/>
        <v>5</v>
      </c>
      <c r="L64" s="1">
        <f t="shared" si="1"/>
        <v>0</v>
      </c>
      <c r="M64" s="1">
        <f t="shared" si="2"/>
        <v>18425</v>
      </c>
    </row>
    <row r="65" spans="1:13" x14ac:dyDescent="0.3">
      <c r="A65" t="s">
        <v>400</v>
      </c>
      <c r="B65" t="s">
        <v>401</v>
      </c>
      <c r="C65" t="s">
        <v>273</v>
      </c>
      <c r="D65" t="s">
        <v>18</v>
      </c>
      <c r="E65" s="1">
        <v>4720</v>
      </c>
      <c r="F65">
        <v>1</v>
      </c>
      <c r="G65">
        <v>0</v>
      </c>
      <c r="H65">
        <v>3</v>
      </c>
      <c r="I65">
        <v>0</v>
      </c>
      <c r="J65">
        <v>0</v>
      </c>
      <c r="K65">
        <f t="shared" si="0"/>
        <v>3</v>
      </c>
      <c r="L65" s="1">
        <f t="shared" si="1"/>
        <v>0</v>
      </c>
      <c r="M65" s="1">
        <f t="shared" si="2"/>
        <v>14160</v>
      </c>
    </row>
    <row r="66" spans="1:13" x14ac:dyDescent="0.3">
      <c r="A66" t="s">
        <v>402</v>
      </c>
      <c r="B66" t="s">
        <v>403</v>
      </c>
      <c r="C66" t="s">
        <v>273</v>
      </c>
      <c r="D66" t="s">
        <v>18</v>
      </c>
      <c r="E66" s="1">
        <v>3331</v>
      </c>
      <c r="F66">
        <v>1</v>
      </c>
      <c r="G66">
        <v>0</v>
      </c>
      <c r="H66">
        <v>2</v>
      </c>
      <c r="I66">
        <v>0</v>
      </c>
      <c r="J66">
        <v>0</v>
      </c>
      <c r="K66">
        <f t="shared" ref="K66:K129" si="3">IF(H66-I66-J66&gt;0,H66-I66-J66,0)</f>
        <v>2</v>
      </c>
      <c r="L66" s="1">
        <f t="shared" ref="L66:L129" si="4">IFERROR(I66*E66,0)</f>
        <v>0</v>
      </c>
      <c r="M66" s="1">
        <f t="shared" ref="M66:M129" si="5">IFERROR(K66*E66,0)</f>
        <v>6662</v>
      </c>
    </row>
    <row r="67" spans="1:13" x14ac:dyDescent="0.3">
      <c r="A67" t="s">
        <v>404</v>
      </c>
      <c r="B67" t="s">
        <v>405</v>
      </c>
      <c r="C67" t="s">
        <v>273</v>
      </c>
      <c r="D67" t="s">
        <v>18</v>
      </c>
      <c r="E67" s="1">
        <v>3485.72</v>
      </c>
      <c r="F67">
        <v>1</v>
      </c>
      <c r="G67">
        <v>0</v>
      </c>
      <c r="H67">
        <v>4</v>
      </c>
      <c r="I67">
        <v>0</v>
      </c>
      <c r="J67">
        <v>0</v>
      </c>
      <c r="K67">
        <f t="shared" si="3"/>
        <v>4</v>
      </c>
      <c r="L67" s="1">
        <f t="shared" si="4"/>
        <v>0</v>
      </c>
      <c r="M67" s="1">
        <f t="shared" si="5"/>
        <v>13942.88</v>
      </c>
    </row>
    <row r="68" spans="1:13" x14ac:dyDescent="0.3">
      <c r="A68" t="s">
        <v>406</v>
      </c>
      <c r="B68" t="s">
        <v>407</v>
      </c>
      <c r="D68" t="s">
        <v>18</v>
      </c>
      <c r="E68" s="1">
        <v>0</v>
      </c>
      <c r="F68">
        <v>2</v>
      </c>
      <c r="G68">
        <v>0</v>
      </c>
      <c r="H68">
        <v>12</v>
      </c>
      <c r="I68">
        <v>0</v>
      </c>
      <c r="J68">
        <v>0</v>
      </c>
      <c r="K68">
        <f t="shared" si="3"/>
        <v>12</v>
      </c>
      <c r="L68" s="1">
        <f t="shared" si="4"/>
        <v>0</v>
      </c>
      <c r="M68" s="1">
        <f t="shared" si="5"/>
        <v>0</v>
      </c>
    </row>
    <row r="69" spans="1:13" x14ac:dyDescent="0.3">
      <c r="A69" t="s">
        <v>408</v>
      </c>
      <c r="B69" t="s">
        <v>409</v>
      </c>
      <c r="C69" t="s">
        <v>211</v>
      </c>
      <c r="D69" t="s">
        <v>18</v>
      </c>
      <c r="E69" s="1">
        <v>1699</v>
      </c>
      <c r="F69">
        <v>1</v>
      </c>
      <c r="G69">
        <v>0</v>
      </c>
      <c r="H69">
        <v>3</v>
      </c>
      <c r="I69">
        <v>0</v>
      </c>
      <c r="J69">
        <v>0</v>
      </c>
      <c r="K69">
        <f t="shared" si="3"/>
        <v>3</v>
      </c>
      <c r="L69" s="1">
        <f t="shared" si="4"/>
        <v>0</v>
      </c>
      <c r="M69" s="1">
        <f t="shared" si="5"/>
        <v>5097</v>
      </c>
    </row>
    <row r="70" spans="1:13" x14ac:dyDescent="0.3">
      <c r="A70" t="s">
        <v>410</v>
      </c>
      <c r="B70" t="s">
        <v>411</v>
      </c>
      <c r="C70" t="s">
        <v>273</v>
      </c>
      <c r="D70" t="s">
        <v>18</v>
      </c>
      <c r="E70" s="1">
        <v>3395</v>
      </c>
      <c r="F70">
        <v>29</v>
      </c>
      <c r="G70">
        <v>0</v>
      </c>
      <c r="H70">
        <v>61</v>
      </c>
      <c r="I70">
        <v>0</v>
      </c>
      <c r="J70">
        <v>0</v>
      </c>
      <c r="K70">
        <f t="shared" si="3"/>
        <v>61</v>
      </c>
      <c r="L70" s="1">
        <f t="shared" si="4"/>
        <v>0</v>
      </c>
      <c r="M70" s="1">
        <f t="shared" si="5"/>
        <v>207095</v>
      </c>
    </row>
    <row r="71" spans="1:13" x14ac:dyDescent="0.3">
      <c r="A71" t="s">
        <v>412</v>
      </c>
      <c r="B71" t="s">
        <v>413</v>
      </c>
      <c r="D71" t="s">
        <v>18</v>
      </c>
      <c r="E71" s="1">
        <v>0</v>
      </c>
      <c r="F71">
        <v>1</v>
      </c>
      <c r="G71">
        <v>0</v>
      </c>
      <c r="H71">
        <v>2</v>
      </c>
      <c r="I71">
        <v>0</v>
      </c>
      <c r="J71">
        <v>0</v>
      </c>
      <c r="K71">
        <f t="shared" si="3"/>
        <v>2</v>
      </c>
      <c r="L71" s="1">
        <f t="shared" si="4"/>
        <v>0</v>
      </c>
      <c r="M71" s="1">
        <f t="shared" si="5"/>
        <v>0</v>
      </c>
    </row>
    <row r="72" spans="1:13" x14ac:dyDescent="0.3">
      <c r="A72" t="s">
        <v>414</v>
      </c>
      <c r="B72" t="s">
        <v>415</v>
      </c>
      <c r="C72" t="s">
        <v>273</v>
      </c>
      <c r="D72" t="s">
        <v>18</v>
      </c>
      <c r="E72" s="1">
        <v>4423</v>
      </c>
      <c r="F72">
        <v>1</v>
      </c>
      <c r="G72">
        <v>0</v>
      </c>
      <c r="H72">
        <v>4</v>
      </c>
      <c r="I72">
        <v>0</v>
      </c>
      <c r="J72">
        <v>0</v>
      </c>
      <c r="K72">
        <f t="shared" si="3"/>
        <v>4</v>
      </c>
      <c r="L72" s="1">
        <f t="shared" si="4"/>
        <v>0</v>
      </c>
      <c r="M72" s="1">
        <f t="shared" si="5"/>
        <v>17692</v>
      </c>
    </row>
    <row r="73" spans="1:13" x14ac:dyDescent="0.3">
      <c r="A73" t="s">
        <v>416</v>
      </c>
      <c r="B73" t="s">
        <v>417</v>
      </c>
      <c r="C73" t="s">
        <v>273</v>
      </c>
      <c r="D73" t="s">
        <v>18</v>
      </c>
      <c r="E73" s="1">
        <v>5738</v>
      </c>
      <c r="F73">
        <v>1</v>
      </c>
      <c r="G73">
        <v>0</v>
      </c>
      <c r="H73">
        <v>3</v>
      </c>
      <c r="I73">
        <v>0</v>
      </c>
      <c r="J73">
        <v>0</v>
      </c>
      <c r="K73">
        <f t="shared" si="3"/>
        <v>3</v>
      </c>
      <c r="L73" s="1">
        <f t="shared" si="4"/>
        <v>0</v>
      </c>
      <c r="M73" s="1">
        <f t="shared" si="5"/>
        <v>17214</v>
      </c>
    </row>
    <row r="74" spans="1:13" x14ac:dyDescent="0.3">
      <c r="A74" t="s">
        <v>418</v>
      </c>
      <c r="B74" t="s">
        <v>419</v>
      </c>
      <c r="D74" t="s">
        <v>18</v>
      </c>
      <c r="E74" s="1">
        <v>0</v>
      </c>
      <c r="F74">
        <v>8</v>
      </c>
      <c r="G74">
        <v>0</v>
      </c>
      <c r="H74">
        <v>40</v>
      </c>
      <c r="I74">
        <v>0</v>
      </c>
      <c r="J74">
        <v>0</v>
      </c>
      <c r="K74">
        <f t="shared" si="3"/>
        <v>40</v>
      </c>
      <c r="L74" s="1">
        <f t="shared" si="4"/>
        <v>0</v>
      </c>
      <c r="M74" s="1">
        <f t="shared" si="5"/>
        <v>0</v>
      </c>
    </row>
    <row r="75" spans="1:13" x14ac:dyDescent="0.3">
      <c r="A75" t="s">
        <v>420</v>
      </c>
      <c r="B75" t="s">
        <v>421</v>
      </c>
      <c r="C75" t="s">
        <v>273</v>
      </c>
      <c r="D75" t="s">
        <v>18</v>
      </c>
      <c r="E75" s="1">
        <v>3582</v>
      </c>
      <c r="F75">
        <v>1</v>
      </c>
      <c r="G75">
        <v>0</v>
      </c>
      <c r="H75">
        <v>2</v>
      </c>
      <c r="I75">
        <v>0</v>
      </c>
      <c r="J75">
        <v>0</v>
      </c>
      <c r="K75">
        <f t="shared" si="3"/>
        <v>2</v>
      </c>
      <c r="L75" s="1">
        <f t="shared" si="4"/>
        <v>0</v>
      </c>
      <c r="M75" s="1">
        <f t="shared" si="5"/>
        <v>7164</v>
      </c>
    </row>
    <row r="76" spans="1:13" x14ac:dyDescent="0.3">
      <c r="A76" t="s">
        <v>422</v>
      </c>
      <c r="B76" t="s">
        <v>423</v>
      </c>
      <c r="C76" t="s">
        <v>273</v>
      </c>
      <c r="D76" t="s">
        <v>18</v>
      </c>
      <c r="E76" s="1">
        <v>4192</v>
      </c>
      <c r="F76">
        <v>2</v>
      </c>
      <c r="G76">
        <v>0</v>
      </c>
      <c r="H76">
        <v>4</v>
      </c>
      <c r="I76">
        <v>0</v>
      </c>
      <c r="J76">
        <v>0</v>
      </c>
      <c r="K76">
        <f t="shared" si="3"/>
        <v>4</v>
      </c>
      <c r="L76" s="1">
        <f t="shared" si="4"/>
        <v>0</v>
      </c>
      <c r="M76" s="1">
        <f t="shared" si="5"/>
        <v>16768</v>
      </c>
    </row>
    <row r="77" spans="1:13" x14ac:dyDescent="0.3">
      <c r="A77" t="s">
        <v>424</v>
      </c>
      <c r="B77" t="s">
        <v>425</v>
      </c>
      <c r="C77" t="s">
        <v>81</v>
      </c>
      <c r="D77" t="s">
        <v>18</v>
      </c>
      <c r="E77" s="1">
        <v>4053.73</v>
      </c>
      <c r="F77">
        <v>2</v>
      </c>
      <c r="G77">
        <v>0</v>
      </c>
      <c r="H77">
        <v>9</v>
      </c>
      <c r="I77">
        <v>0</v>
      </c>
      <c r="J77">
        <v>0</v>
      </c>
      <c r="K77">
        <f t="shared" si="3"/>
        <v>9</v>
      </c>
      <c r="L77" s="1">
        <f t="shared" si="4"/>
        <v>0</v>
      </c>
      <c r="M77" s="1">
        <f t="shared" si="5"/>
        <v>36483.57</v>
      </c>
    </row>
    <row r="78" spans="1:13" x14ac:dyDescent="0.3">
      <c r="A78" t="s">
        <v>426</v>
      </c>
      <c r="B78" t="s">
        <v>427</v>
      </c>
      <c r="C78" t="s">
        <v>273</v>
      </c>
      <c r="D78" t="s">
        <v>18</v>
      </c>
      <c r="E78" s="1">
        <v>4272</v>
      </c>
      <c r="F78">
        <v>2</v>
      </c>
      <c r="G78">
        <v>0</v>
      </c>
      <c r="H78">
        <v>10</v>
      </c>
      <c r="I78">
        <v>0</v>
      </c>
      <c r="J78">
        <v>0</v>
      </c>
      <c r="K78">
        <f t="shared" si="3"/>
        <v>10</v>
      </c>
      <c r="L78" s="1">
        <f t="shared" si="4"/>
        <v>0</v>
      </c>
      <c r="M78" s="1">
        <f t="shared" si="5"/>
        <v>42720</v>
      </c>
    </row>
    <row r="79" spans="1:13" x14ac:dyDescent="0.3">
      <c r="A79" t="s">
        <v>428</v>
      </c>
      <c r="B79" t="s">
        <v>429</v>
      </c>
      <c r="D79" t="s">
        <v>18</v>
      </c>
      <c r="E79" s="1">
        <v>0</v>
      </c>
      <c r="F79">
        <v>1</v>
      </c>
      <c r="G79">
        <v>0</v>
      </c>
      <c r="H79">
        <v>5</v>
      </c>
      <c r="I79">
        <v>0</v>
      </c>
      <c r="J79">
        <v>0</v>
      </c>
      <c r="K79">
        <f t="shared" si="3"/>
        <v>5</v>
      </c>
      <c r="L79" s="1">
        <f t="shared" si="4"/>
        <v>0</v>
      </c>
      <c r="M79" s="1">
        <f t="shared" si="5"/>
        <v>0</v>
      </c>
    </row>
    <row r="80" spans="1:13" x14ac:dyDescent="0.3">
      <c r="A80" t="s">
        <v>430</v>
      </c>
      <c r="B80" t="s">
        <v>431</v>
      </c>
      <c r="C80" t="s">
        <v>273</v>
      </c>
      <c r="D80" t="s">
        <v>18</v>
      </c>
      <c r="E80" s="1">
        <v>5661.5</v>
      </c>
      <c r="F80">
        <v>1</v>
      </c>
      <c r="G80">
        <v>0</v>
      </c>
      <c r="H80">
        <v>3</v>
      </c>
      <c r="I80">
        <v>0</v>
      </c>
      <c r="J80">
        <v>0</v>
      </c>
      <c r="K80">
        <f t="shared" si="3"/>
        <v>3</v>
      </c>
      <c r="L80" s="1">
        <f t="shared" si="4"/>
        <v>0</v>
      </c>
      <c r="M80" s="1">
        <f t="shared" si="5"/>
        <v>16984.5</v>
      </c>
    </row>
    <row r="81" spans="1:13" x14ac:dyDescent="0.3">
      <c r="A81" t="s">
        <v>432</v>
      </c>
      <c r="B81" t="s">
        <v>433</v>
      </c>
      <c r="C81" t="s">
        <v>273</v>
      </c>
      <c r="D81" t="s">
        <v>18</v>
      </c>
      <c r="E81" s="1">
        <v>6224</v>
      </c>
      <c r="F81">
        <v>1</v>
      </c>
      <c r="G81">
        <v>0</v>
      </c>
      <c r="H81">
        <v>3</v>
      </c>
      <c r="I81">
        <v>0</v>
      </c>
      <c r="J81">
        <v>0</v>
      </c>
      <c r="K81">
        <f t="shared" si="3"/>
        <v>3</v>
      </c>
      <c r="L81" s="1">
        <f t="shared" si="4"/>
        <v>0</v>
      </c>
      <c r="M81" s="1">
        <f t="shared" si="5"/>
        <v>18672</v>
      </c>
    </row>
    <row r="82" spans="1:13" x14ac:dyDescent="0.3">
      <c r="A82" t="s">
        <v>434</v>
      </c>
      <c r="B82" t="s">
        <v>435</v>
      </c>
      <c r="C82" t="s">
        <v>273</v>
      </c>
      <c r="D82" t="s">
        <v>18</v>
      </c>
      <c r="E82" s="1">
        <v>4804</v>
      </c>
      <c r="F82">
        <v>1</v>
      </c>
      <c r="G82">
        <v>0</v>
      </c>
      <c r="H82">
        <v>5</v>
      </c>
      <c r="I82">
        <v>0</v>
      </c>
      <c r="J82">
        <v>0</v>
      </c>
      <c r="K82">
        <f t="shared" si="3"/>
        <v>5</v>
      </c>
      <c r="L82" s="1">
        <f t="shared" si="4"/>
        <v>0</v>
      </c>
      <c r="M82" s="1">
        <f t="shared" si="5"/>
        <v>24020</v>
      </c>
    </row>
    <row r="83" spans="1:13" x14ac:dyDescent="0.3">
      <c r="A83" t="s">
        <v>436</v>
      </c>
      <c r="B83" t="s">
        <v>437</v>
      </c>
      <c r="C83" t="s">
        <v>273</v>
      </c>
      <c r="D83" t="s">
        <v>18</v>
      </c>
      <c r="E83" s="1">
        <v>6224</v>
      </c>
      <c r="F83">
        <v>1</v>
      </c>
      <c r="G83">
        <v>0</v>
      </c>
      <c r="H83">
        <v>2</v>
      </c>
      <c r="I83">
        <v>0</v>
      </c>
      <c r="J83">
        <v>0</v>
      </c>
      <c r="K83">
        <f t="shared" si="3"/>
        <v>2</v>
      </c>
      <c r="L83" s="1">
        <f t="shared" si="4"/>
        <v>0</v>
      </c>
      <c r="M83" s="1">
        <f t="shared" si="5"/>
        <v>12448</v>
      </c>
    </row>
    <row r="84" spans="1:13" x14ac:dyDescent="0.3">
      <c r="A84" t="s">
        <v>438</v>
      </c>
      <c r="B84" t="s">
        <v>439</v>
      </c>
      <c r="D84" t="s">
        <v>18</v>
      </c>
      <c r="E84" s="1">
        <v>0</v>
      </c>
      <c r="F84">
        <v>1</v>
      </c>
      <c r="G84">
        <v>0</v>
      </c>
      <c r="H84">
        <v>2</v>
      </c>
      <c r="I84">
        <v>0</v>
      </c>
      <c r="J84">
        <v>0</v>
      </c>
      <c r="K84">
        <f t="shared" si="3"/>
        <v>2</v>
      </c>
      <c r="L84" s="1">
        <f t="shared" si="4"/>
        <v>0</v>
      </c>
      <c r="M84" s="1">
        <f t="shared" si="5"/>
        <v>0</v>
      </c>
    </row>
    <row r="85" spans="1:13" x14ac:dyDescent="0.3">
      <c r="A85" t="s">
        <v>440</v>
      </c>
      <c r="B85" t="s">
        <v>441</v>
      </c>
      <c r="D85" t="s">
        <v>18</v>
      </c>
      <c r="E85" s="1">
        <v>0</v>
      </c>
      <c r="F85">
        <v>1</v>
      </c>
      <c r="G85">
        <v>0</v>
      </c>
      <c r="H85">
        <v>2</v>
      </c>
      <c r="I85">
        <v>0</v>
      </c>
      <c r="J85">
        <v>0</v>
      </c>
      <c r="K85">
        <f t="shared" si="3"/>
        <v>2</v>
      </c>
      <c r="L85" s="1">
        <f t="shared" si="4"/>
        <v>0</v>
      </c>
      <c r="M85" s="1">
        <f t="shared" si="5"/>
        <v>0</v>
      </c>
    </row>
    <row r="86" spans="1:13" x14ac:dyDescent="0.3">
      <c r="A86" t="s">
        <v>442</v>
      </c>
      <c r="B86" t="s">
        <v>443</v>
      </c>
      <c r="D86" t="s">
        <v>18</v>
      </c>
      <c r="E86" s="1">
        <v>0</v>
      </c>
      <c r="F86">
        <v>1</v>
      </c>
      <c r="G86">
        <v>0</v>
      </c>
      <c r="H86">
        <v>4</v>
      </c>
      <c r="I86">
        <v>0</v>
      </c>
      <c r="J86">
        <v>0</v>
      </c>
      <c r="K86">
        <f t="shared" si="3"/>
        <v>4</v>
      </c>
      <c r="L86" s="1">
        <f t="shared" si="4"/>
        <v>0</v>
      </c>
      <c r="M86" s="1">
        <f t="shared" si="5"/>
        <v>0</v>
      </c>
    </row>
    <row r="87" spans="1:13" x14ac:dyDescent="0.3">
      <c r="A87" t="s">
        <v>444</v>
      </c>
      <c r="B87" t="s">
        <v>445</v>
      </c>
      <c r="D87" t="s">
        <v>18</v>
      </c>
      <c r="E87" s="1">
        <v>0</v>
      </c>
      <c r="F87">
        <v>1</v>
      </c>
      <c r="G87">
        <v>0</v>
      </c>
      <c r="H87">
        <v>2</v>
      </c>
      <c r="I87">
        <v>0</v>
      </c>
      <c r="J87">
        <v>0</v>
      </c>
      <c r="K87">
        <f t="shared" si="3"/>
        <v>2</v>
      </c>
      <c r="L87" s="1">
        <f t="shared" si="4"/>
        <v>0</v>
      </c>
      <c r="M87" s="1">
        <f t="shared" si="5"/>
        <v>0</v>
      </c>
    </row>
    <row r="88" spans="1:13" x14ac:dyDescent="0.3">
      <c r="A88" t="s">
        <v>446</v>
      </c>
      <c r="B88" t="s">
        <v>447</v>
      </c>
      <c r="D88" t="s">
        <v>18</v>
      </c>
      <c r="E88" s="1">
        <v>0</v>
      </c>
      <c r="F88">
        <v>1</v>
      </c>
      <c r="G88">
        <v>0</v>
      </c>
      <c r="H88">
        <v>2</v>
      </c>
      <c r="I88">
        <v>0</v>
      </c>
      <c r="J88">
        <v>0</v>
      </c>
      <c r="K88">
        <f t="shared" si="3"/>
        <v>2</v>
      </c>
      <c r="L88" s="1">
        <f t="shared" si="4"/>
        <v>0</v>
      </c>
      <c r="M88" s="1">
        <f t="shared" si="5"/>
        <v>0</v>
      </c>
    </row>
    <row r="89" spans="1:13" x14ac:dyDescent="0.3">
      <c r="A89" t="s">
        <v>448</v>
      </c>
      <c r="B89" t="s">
        <v>449</v>
      </c>
      <c r="D89" t="s">
        <v>18</v>
      </c>
      <c r="E89" s="1">
        <v>0</v>
      </c>
      <c r="F89">
        <v>1</v>
      </c>
      <c r="G89">
        <v>0</v>
      </c>
      <c r="H89">
        <v>2</v>
      </c>
      <c r="I89">
        <v>0</v>
      </c>
      <c r="J89">
        <v>0</v>
      </c>
      <c r="K89">
        <f t="shared" si="3"/>
        <v>2</v>
      </c>
      <c r="L89" s="1">
        <f t="shared" si="4"/>
        <v>0</v>
      </c>
      <c r="M89" s="1">
        <f t="shared" si="5"/>
        <v>0</v>
      </c>
    </row>
    <row r="90" spans="1:13" x14ac:dyDescent="0.3">
      <c r="A90" t="s">
        <v>450</v>
      </c>
      <c r="B90" t="s">
        <v>451</v>
      </c>
      <c r="D90" t="s">
        <v>18</v>
      </c>
      <c r="E90" s="1">
        <v>0</v>
      </c>
      <c r="F90">
        <v>1</v>
      </c>
      <c r="G90">
        <v>0</v>
      </c>
      <c r="H90">
        <v>2</v>
      </c>
      <c r="I90">
        <v>0</v>
      </c>
      <c r="J90">
        <v>0</v>
      </c>
      <c r="K90">
        <f t="shared" si="3"/>
        <v>2</v>
      </c>
      <c r="L90" s="1">
        <f t="shared" si="4"/>
        <v>0</v>
      </c>
      <c r="M90" s="1">
        <f t="shared" si="5"/>
        <v>0</v>
      </c>
    </row>
    <row r="91" spans="1:13" x14ac:dyDescent="0.3">
      <c r="A91" t="s">
        <v>452</v>
      </c>
      <c r="B91" t="s">
        <v>453</v>
      </c>
      <c r="D91" t="s">
        <v>18</v>
      </c>
      <c r="E91" s="1">
        <v>0</v>
      </c>
      <c r="F91">
        <v>1</v>
      </c>
      <c r="G91">
        <v>0</v>
      </c>
      <c r="H91">
        <v>5</v>
      </c>
      <c r="I91">
        <v>0</v>
      </c>
      <c r="J91">
        <v>0</v>
      </c>
      <c r="K91">
        <f t="shared" si="3"/>
        <v>5</v>
      </c>
      <c r="L91" s="1">
        <f t="shared" si="4"/>
        <v>0</v>
      </c>
      <c r="M91" s="1">
        <f t="shared" si="5"/>
        <v>0</v>
      </c>
    </row>
    <row r="92" spans="1:13" x14ac:dyDescent="0.3">
      <c r="A92" t="s">
        <v>454</v>
      </c>
      <c r="B92" t="s">
        <v>455</v>
      </c>
      <c r="C92" t="s">
        <v>88</v>
      </c>
      <c r="D92" t="s">
        <v>18</v>
      </c>
      <c r="E92" s="1">
        <v>0</v>
      </c>
      <c r="F92">
        <v>1</v>
      </c>
      <c r="G92">
        <v>0</v>
      </c>
      <c r="H92">
        <v>5</v>
      </c>
      <c r="I92">
        <v>0</v>
      </c>
      <c r="J92">
        <v>0</v>
      </c>
      <c r="K92">
        <f t="shared" si="3"/>
        <v>5</v>
      </c>
      <c r="L92" s="1">
        <f t="shared" si="4"/>
        <v>0</v>
      </c>
      <c r="M92" s="1">
        <f t="shared" si="5"/>
        <v>0</v>
      </c>
    </row>
    <row r="93" spans="1:13" x14ac:dyDescent="0.3">
      <c r="A93" t="s">
        <v>456</v>
      </c>
      <c r="B93" t="s">
        <v>457</v>
      </c>
      <c r="C93" t="s">
        <v>94</v>
      </c>
      <c r="D93" t="s">
        <v>18</v>
      </c>
      <c r="E93" s="1">
        <v>1491.01</v>
      </c>
      <c r="F93">
        <v>1</v>
      </c>
      <c r="G93">
        <v>0</v>
      </c>
      <c r="H93">
        <v>5</v>
      </c>
      <c r="I93">
        <v>0</v>
      </c>
      <c r="J93">
        <v>0</v>
      </c>
      <c r="K93">
        <f t="shared" si="3"/>
        <v>5</v>
      </c>
      <c r="L93" s="1">
        <f t="shared" si="4"/>
        <v>0</v>
      </c>
      <c r="M93" s="1">
        <f t="shared" si="5"/>
        <v>7455.05</v>
      </c>
    </row>
    <row r="94" spans="1:13" x14ac:dyDescent="0.3">
      <c r="A94" t="s">
        <v>458</v>
      </c>
      <c r="B94" t="s">
        <v>459</v>
      </c>
      <c r="C94" t="s">
        <v>88</v>
      </c>
      <c r="D94" t="s">
        <v>18</v>
      </c>
      <c r="E94" s="1">
        <v>0</v>
      </c>
      <c r="F94">
        <v>10</v>
      </c>
      <c r="G94">
        <v>0</v>
      </c>
      <c r="H94">
        <v>52</v>
      </c>
      <c r="I94">
        <v>0</v>
      </c>
      <c r="J94">
        <v>0</v>
      </c>
      <c r="K94">
        <f t="shared" si="3"/>
        <v>52</v>
      </c>
      <c r="L94" s="1">
        <f t="shared" si="4"/>
        <v>0</v>
      </c>
      <c r="M94" s="1">
        <f t="shared" si="5"/>
        <v>0</v>
      </c>
    </row>
    <row r="95" spans="1:13" x14ac:dyDescent="0.3">
      <c r="A95" t="s">
        <v>460</v>
      </c>
      <c r="B95" t="s">
        <v>461</v>
      </c>
      <c r="D95" t="s">
        <v>18</v>
      </c>
      <c r="E95" s="1">
        <v>0</v>
      </c>
      <c r="F95">
        <v>1</v>
      </c>
      <c r="G95">
        <v>0</v>
      </c>
      <c r="H95">
        <v>4</v>
      </c>
      <c r="I95">
        <v>0</v>
      </c>
      <c r="J95">
        <v>0</v>
      </c>
      <c r="K95">
        <f t="shared" si="3"/>
        <v>4</v>
      </c>
      <c r="L95" s="1">
        <f t="shared" si="4"/>
        <v>0</v>
      </c>
      <c r="M95" s="1">
        <f t="shared" si="5"/>
        <v>0</v>
      </c>
    </row>
    <row r="96" spans="1:13" x14ac:dyDescent="0.3">
      <c r="A96" t="s">
        <v>462</v>
      </c>
      <c r="B96" t="s">
        <v>463</v>
      </c>
      <c r="D96" t="s">
        <v>18</v>
      </c>
      <c r="E96" s="1">
        <v>0</v>
      </c>
      <c r="F96">
        <v>1</v>
      </c>
      <c r="G96">
        <v>0</v>
      </c>
      <c r="H96">
        <v>2</v>
      </c>
      <c r="I96">
        <v>0</v>
      </c>
      <c r="J96">
        <v>0</v>
      </c>
      <c r="K96">
        <f t="shared" si="3"/>
        <v>2</v>
      </c>
      <c r="L96" s="1">
        <f t="shared" si="4"/>
        <v>0</v>
      </c>
      <c r="M96" s="1">
        <f t="shared" si="5"/>
        <v>0</v>
      </c>
    </row>
    <row r="97" spans="1:13" x14ac:dyDescent="0.3">
      <c r="A97" t="s">
        <v>464</v>
      </c>
      <c r="B97" t="s">
        <v>465</v>
      </c>
      <c r="D97" t="s">
        <v>18</v>
      </c>
      <c r="E97" s="1">
        <v>0</v>
      </c>
      <c r="F97">
        <v>1</v>
      </c>
      <c r="G97">
        <v>0</v>
      </c>
      <c r="H97">
        <v>5</v>
      </c>
      <c r="I97">
        <v>0</v>
      </c>
      <c r="J97">
        <v>0</v>
      </c>
      <c r="K97">
        <f t="shared" si="3"/>
        <v>5</v>
      </c>
      <c r="L97" s="1">
        <f t="shared" si="4"/>
        <v>0</v>
      </c>
      <c r="M97" s="1">
        <f t="shared" si="5"/>
        <v>0</v>
      </c>
    </row>
    <row r="98" spans="1:13" x14ac:dyDescent="0.3">
      <c r="A98" t="s">
        <v>466</v>
      </c>
      <c r="B98" t="s">
        <v>467</v>
      </c>
      <c r="D98" t="s">
        <v>18</v>
      </c>
      <c r="E98" s="1">
        <v>0</v>
      </c>
      <c r="F98">
        <v>1</v>
      </c>
      <c r="G98">
        <v>0</v>
      </c>
      <c r="H98">
        <v>5</v>
      </c>
      <c r="I98">
        <v>0</v>
      </c>
      <c r="J98">
        <v>0</v>
      </c>
      <c r="K98">
        <f t="shared" si="3"/>
        <v>5</v>
      </c>
      <c r="L98" s="1">
        <f t="shared" si="4"/>
        <v>0</v>
      </c>
      <c r="M98" s="1">
        <f t="shared" si="5"/>
        <v>0</v>
      </c>
    </row>
    <row r="99" spans="1:13" x14ac:dyDescent="0.3">
      <c r="A99" t="s">
        <v>468</v>
      </c>
      <c r="B99" t="s">
        <v>469</v>
      </c>
      <c r="D99" t="s">
        <v>18</v>
      </c>
      <c r="E99" s="1">
        <v>0</v>
      </c>
      <c r="F99">
        <v>1</v>
      </c>
      <c r="G99">
        <v>0</v>
      </c>
      <c r="H99">
        <v>2</v>
      </c>
      <c r="I99">
        <v>0</v>
      </c>
      <c r="J99">
        <v>0</v>
      </c>
      <c r="K99">
        <f t="shared" si="3"/>
        <v>2</v>
      </c>
      <c r="L99" s="1">
        <f t="shared" si="4"/>
        <v>0</v>
      </c>
      <c r="M99" s="1">
        <f t="shared" si="5"/>
        <v>0</v>
      </c>
    </row>
    <row r="100" spans="1:13" x14ac:dyDescent="0.3">
      <c r="A100" t="s">
        <v>470</v>
      </c>
      <c r="B100" t="s">
        <v>471</v>
      </c>
      <c r="C100" t="s">
        <v>472</v>
      </c>
      <c r="D100" t="s">
        <v>18</v>
      </c>
      <c r="E100" s="1">
        <v>13600</v>
      </c>
      <c r="F100">
        <v>2</v>
      </c>
      <c r="G100">
        <v>0</v>
      </c>
      <c r="H100">
        <v>4</v>
      </c>
      <c r="I100">
        <v>0</v>
      </c>
      <c r="J100">
        <v>0</v>
      </c>
      <c r="K100">
        <f t="shared" si="3"/>
        <v>4</v>
      </c>
      <c r="L100" s="1">
        <f t="shared" si="4"/>
        <v>0</v>
      </c>
      <c r="M100" s="1">
        <f t="shared" si="5"/>
        <v>54400</v>
      </c>
    </row>
    <row r="101" spans="1:13" x14ac:dyDescent="0.3">
      <c r="A101" t="s">
        <v>473</v>
      </c>
      <c r="B101" t="s">
        <v>474</v>
      </c>
      <c r="D101" t="s">
        <v>18</v>
      </c>
      <c r="E101" s="1">
        <v>518.48</v>
      </c>
      <c r="F101">
        <v>1</v>
      </c>
      <c r="G101">
        <v>0</v>
      </c>
      <c r="H101">
        <v>2</v>
      </c>
      <c r="I101">
        <v>0</v>
      </c>
      <c r="J101">
        <v>0</v>
      </c>
      <c r="K101">
        <f t="shared" si="3"/>
        <v>2</v>
      </c>
      <c r="L101" s="1">
        <f t="shared" si="4"/>
        <v>0</v>
      </c>
      <c r="M101" s="1">
        <f t="shared" si="5"/>
        <v>1036.96</v>
      </c>
    </row>
    <row r="102" spans="1:13" x14ac:dyDescent="0.3">
      <c r="A102" t="s">
        <v>475</v>
      </c>
      <c r="B102" t="s">
        <v>476</v>
      </c>
      <c r="D102" t="s">
        <v>18</v>
      </c>
      <c r="E102" s="1">
        <v>437.68</v>
      </c>
      <c r="F102">
        <v>1</v>
      </c>
      <c r="G102">
        <v>0</v>
      </c>
      <c r="H102">
        <v>2</v>
      </c>
      <c r="I102">
        <v>0</v>
      </c>
      <c r="J102">
        <v>0</v>
      </c>
      <c r="K102">
        <f t="shared" si="3"/>
        <v>2</v>
      </c>
      <c r="L102" s="1">
        <f t="shared" si="4"/>
        <v>0</v>
      </c>
      <c r="M102" s="1">
        <f t="shared" si="5"/>
        <v>875.36</v>
      </c>
    </row>
    <row r="103" spans="1:13" x14ac:dyDescent="0.3">
      <c r="A103" t="s">
        <v>477</v>
      </c>
      <c r="B103" t="s">
        <v>478</v>
      </c>
      <c r="D103" t="s">
        <v>18</v>
      </c>
      <c r="E103" s="1">
        <v>555.74</v>
      </c>
      <c r="F103">
        <v>1</v>
      </c>
      <c r="G103">
        <v>0</v>
      </c>
      <c r="H103">
        <v>2</v>
      </c>
      <c r="I103">
        <v>0</v>
      </c>
      <c r="J103">
        <v>0</v>
      </c>
      <c r="K103">
        <f t="shared" si="3"/>
        <v>2</v>
      </c>
      <c r="L103" s="1">
        <f t="shared" si="4"/>
        <v>0</v>
      </c>
      <c r="M103" s="1">
        <f t="shared" si="5"/>
        <v>1111.48</v>
      </c>
    </row>
    <row r="104" spans="1:13" x14ac:dyDescent="0.3">
      <c r="A104" t="s">
        <v>479</v>
      </c>
      <c r="B104" t="s">
        <v>480</v>
      </c>
      <c r="D104" t="s">
        <v>18</v>
      </c>
      <c r="E104" s="1">
        <v>724.5</v>
      </c>
      <c r="F104">
        <v>1</v>
      </c>
      <c r="G104">
        <v>0</v>
      </c>
      <c r="H104">
        <v>2</v>
      </c>
      <c r="I104">
        <v>0</v>
      </c>
      <c r="J104">
        <v>0</v>
      </c>
      <c r="K104">
        <f t="shared" si="3"/>
        <v>2</v>
      </c>
      <c r="L104" s="1">
        <f t="shared" si="4"/>
        <v>0</v>
      </c>
      <c r="M104" s="1">
        <f t="shared" si="5"/>
        <v>1449</v>
      </c>
    </row>
    <row r="105" spans="1:13" x14ac:dyDescent="0.3">
      <c r="A105" t="s">
        <v>481</v>
      </c>
      <c r="B105" t="s">
        <v>482</v>
      </c>
      <c r="D105" t="s">
        <v>18</v>
      </c>
      <c r="E105" s="1">
        <v>974.05</v>
      </c>
      <c r="F105">
        <v>1</v>
      </c>
      <c r="G105">
        <v>0</v>
      </c>
      <c r="H105">
        <v>2</v>
      </c>
      <c r="I105">
        <v>0</v>
      </c>
      <c r="J105">
        <v>0</v>
      </c>
      <c r="K105">
        <f t="shared" si="3"/>
        <v>2</v>
      </c>
      <c r="L105" s="1">
        <f t="shared" si="4"/>
        <v>0</v>
      </c>
      <c r="M105" s="1">
        <f t="shared" si="5"/>
        <v>1948.1</v>
      </c>
    </row>
    <row r="106" spans="1:13" x14ac:dyDescent="0.3">
      <c r="A106" t="s">
        <v>483</v>
      </c>
      <c r="B106" t="s">
        <v>484</v>
      </c>
      <c r="C106" t="s">
        <v>113</v>
      </c>
      <c r="D106" t="s">
        <v>18</v>
      </c>
      <c r="E106" s="1">
        <v>3000</v>
      </c>
      <c r="F106">
        <v>2</v>
      </c>
      <c r="G106">
        <v>0</v>
      </c>
      <c r="H106">
        <v>8</v>
      </c>
      <c r="I106">
        <v>0</v>
      </c>
      <c r="J106">
        <v>0</v>
      </c>
      <c r="K106">
        <f t="shared" si="3"/>
        <v>8</v>
      </c>
      <c r="L106" s="1">
        <f t="shared" si="4"/>
        <v>0</v>
      </c>
      <c r="M106" s="1">
        <f t="shared" si="5"/>
        <v>24000</v>
      </c>
    </row>
    <row r="107" spans="1:13" x14ac:dyDescent="0.3">
      <c r="A107" t="s">
        <v>485</v>
      </c>
      <c r="B107" t="s">
        <v>486</v>
      </c>
      <c r="C107" t="s">
        <v>113</v>
      </c>
      <c r="D107" t="s">
        <v>18</v>
      </c>
      <c r="E107" s="1">
        <v>3103.33</v>
      </c>
      <c r="F107">
        <v>2</v>
      </c>
      <c r="G107">
        <v>0</v>
      </c>
      <c r="H107">
        <v>12</v>
      </c>
      <c r="I107">
        <v>0</v>
      </c>
      <c r="J107">
        <v>0</v>
      </c>
      <c r="K107">
        <f t="shared" si="3"/>
        <v>12</v>
      </c>
      <c r="L107" s="1">
        <f t="shared" si="4"/>
        <v>0</v>
      </c>
      <c r="M107" s="1">
        <f t="shared" si="5"/>
        <v>37239.96</v>
      </c>
    </row>
    <row r="108" spans="1:13" x14ac:dyDescent="0.3">
      <c r="A108" t="s">
        <v>487</v>
      </c>
      <c r="B108" t="s">
        <v>488</v>
      </c>
      <c r="C108" t="s">
        <v>113</v>
      </c>
      <c r="D108" t="s">
        <v>18</v>
      </c>
      <c r="E108" s="1">
        <v>2545.38</v>
      </c>
      <c r="F108">
        <v>2</v>
      </c>
      <c r="G108">
        <v>0</v>
      </c>
      <c r="H108">
        <v>11</v>
      </c>
      <c r="I108">
        <v>0</v>
      </c>
      <c r="J108">
        <v>0</v>
      </c>
      <c r="K108">
        <f t="shared" si="3"/>
        <v>11</v>
      </c>
      <c r="L108" s="1">
        <f t="shared" si="4"/>
        <v>0</v>
      </c>
      <c r="M108" s="1">
        <f t="shared" si="5"/>
        <v>27999.18</v>
      </c>
    </row>
    <row r="109" spans="1:13" x14ac:dyDescent="0.3">
      <c r="A109" t="s">
        <v>489</v>
      </c>
      <c r="B109" t="s">
        <v>490</v>
      </c>
      <c r="C109" t="s">
        <v>113</v>
      </c>
      <c r="D109" t="s">
        <v>18</v>
      </c>
      <c r="E109" s="1">
        <v>4200</v>
      </c>
      <c r="F109">
        <v>2</v>
      </c>
      <c r="G109">
        <v>0</v>
      </c>
      <c r="H109">
        <v>8</v>
      </c>
      <c r="I109">
        <v>0</v>
      </c>
      <c r="J109">
        <v>0</v>
      </c>
      <c r="K109">
        <f t="shared" si="3"/>
        <v>8</v>
      </c>
      <c r="L109" s="1">
        <f t="shared" si="4"/>
        <v>0</v>
      </c>
      <c r="M109" s="1">
        <f t="shared" si="5"/>
        <v>33600</v>
      </c>
    </row>
    <row r="110" spans="1:13" x14ac:dyDescent="0.3">
      <c r="A110" t="s">
        <v>491</v>
      </c>
      <c r="B110" t="s">
        <v>492</v>
      </c>
      <c r="C110" t="s">
        <v>113</v>
      </c>
      <c r="D110" t="s">
        <v>18</v>
      </c>
      <c r="E110" s="1">
        <v>0</v>
      </c>
      <c r="F110">
        <v>6</v>
      </c>
      <c r="G110">
        <v>0</v>
      </c>
      <c r="H110">
        <v>30</v>
      </c>
      <c r="I110">
        <v>0</v>
      </c>
      <c r="J110">
        <v>0</v>
      </c>
      <c r="K110">
        <f t="shared" si="3"/>
        <v>30</v>
      </c>
      <c r="L110" s="1">
        <f t="shared" si="4"/>
        <v>0</v>
      </c>
      <c r="M110" s="1">
        <f t="shared" si="5"/>
        <v>0</v>
      </c>
    </row>
    <row r="111" spans="1:13" x14ac:dyDescent="0.3">
      <c r="A111" t="s">
        <v>493</v>
      </c>
      <c r="B111" t="s">
        <v>494</v>
      </c>
      <c r="C111" t="s">
        <v>88</v>
      </c>
      <c r="D111" t="s">
        <v>18</v>
      </c>
      <c r="E111" s="1">
        <v>0</v>
      </c>
      <c r="F111">
        <v>5</v>
      </c>
      <c r="G111">
        <v>0</v>
      </c>
      <c r="H111">
        <v>25</v>
      </c>
      <c r="I111">
        <v>0</v>
      </c>
      <c r="J111">
        <v>0</v>
      </c>
      <c r="K111">
        <f t="shared" si="3"/>
        <v>25</v>
      </c>
      <c r="L111" s="1">
        <f t="shared" si="4"/>
        <v>0</v>
      </c>
      <c r="M111" s="1">
        <f t="shared" si="5"/>
        <v>0</v>
      </c>
    </row>
    <row r="112" spans="1:13" x14ac:dyDescent="0.3">
      <c r="A112" t="s">
        <v>495</v>
      </c>
      <c r="B112" t="s">
        <v>496</v>
      </c>
      <c r="C112" t="s">
        <v>113</v>
      </c>
      <c r="D112" t="s">
        <v>18</v>
      </c>
      <c r="E112" s="1">
        <v>0</v>
      </c>
      <c r="F112">
        <v>18</v>
      </c>
      <c r="G112">
        <v>0</v>
      </c>
      <c r="H112">
        <v>88</v>
      </c>
      <c r="I112">
        <v>0</v>
      </c>
      <c r="J112">
        <v>0</v>
      </c>
      <c r="K112">
        <f t="shared" si="3"/>
        <v>88</v>
      </c>
      <c r="L112" s="1">
        <f t="shared" si="4"/>
        <v>0</v>
      </c>
      <c r="M112" s="1">
        <f t="shared" si="5"/>
        <v>0</v>
      </c>
    </row>
    <row r="113" spans="1:13" x14ac:dyDescent="0.3">
      <c r="A113" t="s">
        <v>497</v>
      </c>
      <c r="B113" t="s">
        <v>498</v>
      </c>
      <c r="C113" t="s">
        <v>88</v>
      </c>
      <c r="D113" t="s">
        <v>18</v>
      </c>
      <c r="E113" s="1">
        <v>0</v>
      </c>
      <c r="F113">
        <v>4</v>
      </c>
      <c r="G113">
        <v>0</v>
      </c>
      <c r="H113">
        <v>22</v>
      </c>
      <c r="I113">
        <v>0</v>
      </c>
      <c r="J113">
        <v>0</v>
      </c>
      <c r="K113">
        <f t="shared" si="3"/>
        <v>22</v>
      </c>
      <c r="L113" s="1">
        <f t="shared" si="4"/>
        <v>0</v>
      </c>
      <c r="M113" s="1">
        <f t="shared" si="5"/>
        <v>0</v>
      </c>
    </row>
    <row r="114" spans="1:13" x14ac:dyDescent="0.3">
      <c r="A114" t="s">
        <v>499</v>
      </c>
      <c r="B114" t="s">
        <v>500</v>
      </c>
      <c r="C114" t="s">
        <v>113</v>
      </c>
      <c r="D114" t="s">
        <v>18</v>
      </c>
      <c r="E114" s="1">
        <v>0</v>
      </c>
      <c r="F114">
        <v>16</v>
      </c>
      <c r="G114">
        <v>0</v>
      </c>
      <c r="H114">
        <v>80</v>
      </c>
      <c r="I114">
        <v>0</v>
      </c>
      <c r="J114">
        <v>0</v>
      </c>
      <c r="K114">
        <f t="shared" si="3"/>
        <v>80</v>
      </c>
      <c r="L114" s="1">
        <f t="shared" si="4"/>
        <v>0</v>
      </c>
      <c r="M114" s="1">
        <f t="shared" si="5"/>
        <v>0</v>
      </c>
    </row>
    <row r="115" spans="1:13" x14ac:dyDescent="0.3">
      <c r="A115" t="s">
        <v>501</v>
      </c>
      <c r="B115" t="s">
        <v>502</v>
      </c>
      <c r="C115" t="s">
        <v>113</v>
      </c>
      <c r="D115" t="s">
        <v>18</v>
      </c>
      <c r="E115" s="1">
        <v>0</v>
      </c>
      <c r="F115">
        <v>11</v>
      </c>
      <c r="G115">
        <v>0</v>
      </c>
      <c r="H115">
        <v>55</v>
      </c>
      <c r="I115">
        <v>0</v>
      </c>
      <c r="J115">
        <v>0</v>
      </c>
      <c r="K115">
        <f t="shared" si="3"/>
        <v>55</v>
      </c>
      <c r="L115" s="1">
        <f t="shared" si="4"/>
        <v>0</v>
      </c>
      <c r="M115" s="1">
        <f t="shared" si="5"/>
        <v>0</v>
      </c>
    </row>
    <row r="116" spans="1:13" x14ac:dyDescent="0.3">
      <c r="A116" t="s">
        <v>503</v>
      </c>
      <c r="B116" t="s">
        <v>504</v>
      </c>
      <c r="C116" t="s">
        <v>113</v>
      </c>
      <c r="D116" t="s">
        <v>18</v>
      </c>
      <c r="E116" s="1">
        <v>0</v>
      </c>
      <c r="F116">
        <v>12</v>
      </c>
      <c r="G116">
        <v>0</v>
      </c>
      <c r="H116">
        <v>60</v>
      </c>
      <c r="I116">
        <v>0</v>
      </c>
      <c r="J116">
        <v>0</v>
      </c>
      <c r="K116">
        <f t="shared" si="3"/>
        <v>60</v>
      </c>
      <c r="L116" s="1">
        <f t="shared" si="4"/>
        <v>0</v>
      </c>
      <c r="M116" s="1">
        <f t="shared" si="5"/>
        <v>0</v>
      </c>
    </row>
    <row r="117" spans="1:13" x14ac:dyDescent="0.3">
      <c r="A117" t="s">
        <v>505</v>
      </c>
      <c r="B117" t="s">
        <v>506</v>
      </c>
      <c r="D117" t="s">
        <v>18</v>
      </c>
      <c r="E117" s="1">
        <v>0</v>
      </c>
      <c r="F117">
        <v>1</v>
      </c>
      <c r="G117">
        <v>0</v>
      </c>
      <c r="H117">
        <v>2</v>
      </c>
      <c r="I117">
        <v>0</v>
      </c>
      <c r="J117">
        <v>0</v>
      </c>
      <c r="K117">
        <f t="shared" si="3"/>
        <v>2</v>
      </c>
      <c r="L117" s="1">
        <f t="shared" si="4"/>
        <v>0</v>
      </c>
      <c r="M117" s="1">
        <f t="shared" si="5"/>
        <v>0</v>
      </c>
    </row>
    <row r="118" spans="1:13" x14ac:dyDescent="0.3">
      <c r="A118" t="s">
        <v>507</v>
      </c>
      <c r="B118" t="s">
        <v>508</v>
      </c>
      <c r="C118" t="s">
        <v>472</v>
      </c>
      <c r="D118" t="s">
        <v>18</v>
      </c>
      <c r="E118" s="1">
        <v>3774</v>
      </c>
      <c r="F118">
        <v>1</v>
      </c>
      <c r="G118">
        <v>0</v>
      </c>
      <c r="H118">
        <v>3</v>
      </c>
      <c r="I118">
        <v>0</v>
      </c>
      <c r="J118">
        <v>0</v>
      </c>
      <c r="K118">
        <f t="shared" si="3"/>
        <v>3</v>
      </c>
      <c r="L118" s="1">
        <f t="shared" si="4"/>
        <v>0</v>
      </c>
      <c r="M118" s="1">
        <f t="shared" si="5"/>
        <v>11322</v>
      </c>
    </row>
    <row r="119" spans="1:13" x14ac:dyDescent="0.3">
      <c r="A119" t="s">
        <v>509</v>
      </c>
      <c r="B119" t="s">
        <v>510</v>
      </c>
      <c r="C119" t="s">
        <v>472</v>
      </c>
      <c r="D119" t="s">
        <v>18</v>
      </c>
      <c r="E119" s="1">
        <v>11554.27</v>
      </c>
      <c r="F119">
        <v>1</v>
      </c>
      <c r="G119">
        <v>0</v>
      </c>
      <c r="H119">
        <v>2</v>
      </c>
      <c r="I119">
        <v>0</v>
      </c>
      <c r="J119">
        <v>0</v>
      </c>
      <c r="K119">
        <f t="shared" si="3"/>
        <v>2</v>
      </c>
      <c r="L119" s="1">
        <f t="shared" si="4"/>
        <v>0</v>
      </c>
      <c r="M119" s="1">
        <f t="shared" si="5"/>
        <v>23108.54</v>
      </c>
    </row>
    <row r="120" spans="1:13" x14ac:dyDescent="0.3">
      <c r="A120" t="s">
        <v>511</v>
      </c>
      <c r="B120" t="s">
        <v>512</v>
      </c>
      <c r="D120" t="s">
        <v>18</v>
      </c>
      <c r="E120" s="1">
        <v>0</v>
      </c>
      <c r="F120">
        <v>1</v>
      </c>
      <c r="G120">
        <v>0</v>
      </c>
      <c r="H120">
        <v>2</v>
      </c>
      <c r="I120">
        <v>0</v>
      </c>
      <c r="J120">
        <v>0</v>
      </c>
      <c r="K120">
        <f t="shared" si="3"/>
        <v>2</v>
      </c>
      <c r="L120" s="1">
        <f t="shared" si="4"/>
        <v>0</v>
      </c>
      <c r="M120" s="1">
        <f t="shared" si="5"/>
        <v>0</v>
      </c>
    </row>
    <row r="121" spans="1:13" x14ac:dyDescent="0.3">
      <c r="A121" t="s">
        <v>513</v>
      </c>
      <c r="B121" t="s">
        <v>514</v>
      </c>
      <c r="D121" t="s">
        <v>18</v>
      </c>
      <c r="E121" s="1">
        <v>0</v>
      </c>
      <c r="F121">
        <v>1</v>
      </c>
      <c r="G121">
        <v>0</v>
      </c>
      <c r="H121">
        <v>2</v>
      </c>
      <c r="I121">
        <v>0</v>
      </c>
      <c r="J121">
        <v>0</v>
      </c>
      <c r="K121">
        <f t="shared" si="3"/>
        <v>2</v>
      </c>
      <c r="L121" s="1">
        <f t="shared" si="4"/>
        <v>0</v>
      </c>
      <c r="M121" s="1">
        <f t="shared" si="5"/>
        <v>0</v>
      </c>
    </row>
    <row r="122" spans="1:13" x14ac:dyDescent="0.3">
      <c r="A122" t="s">
        <v>515</v>
      </c>
      <c r="B122" t="s">
        <v>516</v>
      </c>
      <c r="D122" t="s">
        <v>18</v>
      </c>
      <c r="E122" s="1">
        <v>0</v>
      </c>
      <c r="F122">
        <v>1</v>
      </c>
      <c r="G122">
        <v>0</v>
      </c>
      <c r="H122">
        <v>2</v>
      </c>
      <c r="I122">
        <v>0</v>
      </c>
      <c r="J122">
        <v>0</v>
      </c>
      <c r="K122">
        <f t="shared" si="3"/>
        <v>2</v>
      </c>
      <c r="L122" s="1">
        <f t="shared" si="4"/>
        <v>0</v>
      </c>
      <c r="M122" s="1">
        <f t="shared" si="5"/>
        <v>0</v>
      </c>
    </row>
    <row r="123" spans="1:13" x14ac:dyDescent="0.3">
      <c r="A123" t="s">
        <v>517</v>
      </c>
      <c r="B123" t="s">
        <v>518</v>
      </c>
      <c r="D123" t="s">
        <v>18</v>
      </c>
      <c r="E123" s="1">
        <v>0</v>
      </c>
      <c r="F123">
        <v>1</v>
      </c>
      <c r="G123">
        <v>0</v>
      </c>
      <c r="H123">
        <v>2</v>
      </c>
      <c r="I123">
        <v>0</v>
      </c>
      <c r="J123">
        <v>0</v>
      </c>
      <c r="K123">
        <f t="shared" si="3"/>
        <v>2</v>
      </c>
      <c r="L123" s="1">
        <f t="shared" si="4"/>
        <v>0</v>
      </c>
      <c r="M123" s="1">
        <f t="shared" si="5"/>
        <v>0</v>
      </c>
    </row>
    <row r="124" spans="1:13" x14ac:dyDescent="0.3">
      <c r="A124" t="s">
        <v>519</v>
      </c>
      <c r="B124" t="s">
        <v>520</v>
      </c>
      <c r="D124" t="s">
        <v>18</v>
      </c>
      <c r="E124" s="1">
        <v>0</v>
      </c>
      <c r="F124">
        <v>1</v>
      </c>
      <c r="G124">
        <v>0</v>
      </c>
      <c r="H124">
        <v>2</v>
      </c>
      <c r="I124">
        <v>0</v>
      </c>
      <c r="J124">
        <v>0</v>
      </c>
      <c r="K124">
        <f t="shared" si="3"/>
        <v>2</v>
      </c>
      <c r="L124" s="1">
        <f t="shared" si="4"/>
        <v>0</v>
      </c>
      <c r="M124" s="1">
        <f t="shared" si="5"/>
        <v>0</v>
      </c>
    </row>
    <row r="125" spans="1:13" x14ac:dyDescent="0.3">
      <c r="A125" t="s">
        <v>521</v>
      </c>
      <c r="B125" t="s">
        <v>522</v>
      </c>
      <c r="D125" t="s">
        <v>18</v>
      </c>
      <c r="E125" s="1">
        <v>0</v>
      </c>
      <c r="F125">
        <v>1</v>
      </c>
      <c r="G125">
        <v>0</v>
      </c>
      <c r="H125">
        <v>2</v>
      </c>
      <c r="I125">
        <v>0</v>
      </c>
      <c r="J125">
        <v>0</v>
      </c>
      <c r="K125">
        <f t="shared" si="3"/>
        <v>2</v>
      </c>
      <c r="L125" s="1">
        <f t="shared" si="4"/>
        <v>0</v>
      </c>
      <c r="M125" s="1">
        <f t="shared" si="5"/>
        <v>0</v>
      </c>
    </row>
    <row r="126" spans="1:13" x14ac:dyDescent="0.3">
      <c r="A126" t="s">
        <v>523</v>
      </c>
      <c r="B126" t="s">
        <v>524</v>
      </c>
      <c r="D126" t="s">
        <v>18</v>
      </c>
      <c r="E126" s="1">
        <v>0</v>
      </c>
      <c r="F126">
        <v>1</v>
      </c>
      <c r="G126">
        <v>0</v>
      </c>
      <c r="H126">
        <v>2</v>
      </c>
      <c r="I126">
        <v>0</v>
      </c>
      <c r="J126">
        <v>0</v>
      </c>
      <c r="K126">
        <f t="shared" si="3"/>
        <v>2</v>
      </c>
      <c r="L126" s="1">
        <f t="shared" si="4"/>
        <v>0</v>
      </c>
      <c r="M126" s="1">
        <f t="shared" si="5"/>
        <v>0</v>
      </c>
    </row>
    <row r="127" spans="1:13" x14ac:dyDescent="0.3">
      <c r="A127" t="s">
        <v>525</v>
      </c>
      <c r="B127" t="s">
        <v>526</v>
      </c>
      <c r="C127" t="s">
        <v>472</v>
      </c>
      <c r="D127" t="s">
        <v>18</v>
      </c>
      <c r="E127" s="1">
        <v>7100</v>
      </c>
      <c r="F127">
        <v>1</v>
      </c>
      <c r="G127">
        <v>0</v>
      </c>
      <c r="H127">
        <v>2</v>
      </c>
      <c r="I127">
        <v>0</v>
      </c>
      <c r="J127">
        <v>0</v>
      </c>
      <c r="K127">
        <f t="shared" si="3"/>
        <v>2</v>
      </c>
      <c r="L127" s="1">
        <f t="shared" si="4"/>
        <v>0</v>
      </c>
      <c r="M127" s="1">
        <f t="shared" si="5"/>
        <v>14200</v>
      </c>
    </row>
    <row r="128" spans="1:13" x14ac:dyDescent="0.3">
      <c r="A128" t="s">
        <v>527</v>
      </c>
      <c r="B128" t="s">
        <v>528</v>
      </c>
      <c r="D128" t="s">
        <v>18</v>
      </c>
      <c r="E128" s="1">
        <v>0</v>
      </c>
      <c r="F128">
        <v>1</v>
      </c>
      <c r="G128">
        <v>0</v>
      </c>
      <c r="H128">
        <v>2</v>
      </c>
      <c r="I128">
        <v>0</v>
      </c>
      <c r="J128">
        <v>0</v>
      </c>
      <c r="K128">
        <f t="shared" si="3"/>
        <v>2</v>
      </c>
      <c r="L128" s="1">
        <f t="shared" si="4"/>
        <v>0</v>
      </c>
      <c r="M128" s="1">
        <f t="shared" si="5"/>
        <v>0</v>
      </c>
    </row>
    <row r="129" spans="1:13" x14ac:dyDescent="0.3">
      <c r="A129" t="s">
        <v>529</v>
      </c>
      <c r="B129" t="s">
        <v>530</v>
      </c>
      <c r="C129" t="s">
        <v>81</v>
      </c>
      <c r="D129" t="s">
        <v>18</v>
      </c>
      <c r="E129" s="1">
        <v>5824.76</v>
      </c>
      <c r="F129">
        <v>1</v>
      </c>
      <c r="G129">
        <v>0</v>
      </c>
      <c r="H129">
        <v>2</v>
      </c>
      <c r="I129">
        <v>0</v>
      </c>
      <c r="J129">
        <v>0</v>
      </c>
      <c r="K129">
        <f t="shared" si="3"/>
        <v>2</v>
      </c>
      <c r="L129" s="1">
        <f t="shared" si="4"/>
        <v>0</v>
      </c>
      <c r="M129" s="1">
        <f t="shared" si="5"/>
        <v>11649.52</v>
      </c>
    </row>
    <row r="130" spans="1:13" x14ac:dyDescent="0.3">
      <c r="A130" t="s">
        <v>531</v>
      </c>
      <c r="B130" t="s">
        <v>532</v>
      </c>
      <c r="D130" t="s">
        <v>18</v>
      </c>
      <c r="E130" s="1">
        <v>0</v>
      </c>
      <c r="F130">
        <v>1</v>
      </c>
      <c r="G130">
        <v>0</v>
      </c>
      <c r="H130">
        <v>2</v>
      </c>
      <c r="I130">
        <v>0</v>
      </c>
      <c r="J130">
        <v>0</v>
      </c>
      <c r="K130">
        <f t="shared" ref="K130:K193" si="6">IF(H130-I130-J130&gt;0,H130-I130-J130,0)</f>
        <v>2</v>
      </c>
      <c r="L130" s="1">
        <f t="shared" ref="L130:L193" si="7">IFERROR(I130*E130,0)</f>
        <v>0</v>
      </c>
      <c r="M130" s="1">
        <f t="shared" ref="M130:M193" si="8">IFERROR(K130*E130,0)</f>
        <v>0</v>
      </c>
    </row>
    <row r="131" spans="1:13" x14ac:dyDescent="0.3">
      <c r="A131" t="s">
        <v>533</v>
      </c>
      <c r="B131" t="s">
        <v>534</v>
      </c>
      <c r="D131" t="s">
        <v>18</v>
      </c>
      <c r="E131" s="1">
        <v>0</v>
      </c>
      <c r="F131">
        <v>1</v>
      </c>
      <c r="G131">
        <v>0</v>
      </c>
      <c r="H131">
        <v>2</v>
      </c>
      <c r="I131">
        <v>0</v>
      </c>
      <c r="J131">
        <v>0</v>
      </c>
      <c r="K131">
        <f t="shared" si="6"/>
        <v>2</v>
      </c>
      <c r="L131" s="1">
        <f t="shared" si="7"/>
        <v>0</v>
      </c>
      <c r="M131" s="1">
        <f t="shared" si="8"/>
        <v>0</v>
      </c>
    </row>
    <row r="132" spans="1:13" x14ac:dyDescent="0.3">
      <c r="A132" t="s">
        <v>535</v>
      </c>
      <c r="B132" t="s">
        <v>536</v>
      </c>
      <c r="D132" t="s">
        <v>18</v>
      </c>
      <c r="E132" s="1">
        <v>0</v>
      </c>
      <c r="F132">
        <v>1</v>
      </c>
      <c r="G132">
        <v>0</v>
      </c>
      <c r="H132">
        <v>2</v>
      </c>
      <c r="I132">
        <v>0</v>
      </c>
      <c r="J132">
        <v>0</v>
      </c>
      <c r="K132">
        <f t="shared" si="6"/>
        <v>2</v>
      </c>
      <c r="L132" s="1">
        <f t="shared" si="7"/>
        <v>0</v>
      </c>
      <c r="M132" s="1">
        <f t="shared" si="8"/>
        <v>0</v>
      </c>
    </row>
    <row r="133" spans="1:13" x14ac:dyDescent="0.3">
      <c r="A133" t="s">
        <v>537</v>
      </c>
      <c r="B133" t="s">
        <v>538</v>
      </c>
      <c r="C133" t="s">
        <v>81</v>
      </c>
      <c r="D133" t="s">
        <v>18</v>
      </c>
      <c r="E133" s="1">
        <v>8942.15</v>
      </c>
      <c r="F133">
        <v>1</v>
      </c>
      <c r="G133">
        <v>0</v>
      </c>
      <c r="H133">
        <v>3</v>
      </c>
      <c r="I133">
        <v>0</v>
      </c>
      <c r="J133">
        <v>0</v>
      </c>
      <c r="K133">
        <f t="shared" si="6"/>
        <v>3</v>
      </c>
      <c r="L133" s="1">
        <f t="shared" si="7"/>
        <v>0</v>
      </c>
      <c r="M133" s="1">
        <f t="shared" si="8"/>
        <v>26826.449999999997</v>
      </c>
    </row>
    <row r="134" spans="1:13" x14ac:dyDescent="0.3">
      <c r="A134" t="s">
        <v>539</v>
      </c>
      <c r="B134" t="s">
        <v>540</v>
      </c>
      <c r="D134" t="s">
        <v>18</v>
      </c>
      <c r="E134" s="1">
        <v>0</v>
      </c>
      <c r="F134">
        <v>1</v>
      </c>
      <c r="G134">
        <v>0</v>
      </c>
      <c r="H134">
        <v>2</v>
      </c>
      <c r="I134">
        <v>0</v>
      </c>
      <c r="J134">
        <v>0</v>
      </c>
      <c r="K134">
        <f t="shared" si="6"/>
        <v>2</v>
      </c>
      <c r="L134" s="1">
        <f t="shared" si="7"/>
        <v>0</v>
      </c>
      <c r="M134" s="1">
        <f t="shared" si="8"/>
        <v>0</v>
      </c>
    </row>
    <row r="135" spans="1:13" x14ac:dyDescent="0.3">
      <c r="A135" t="s">
        <v>541</v>
      </c>
      <c r="B135" t="s">
        <v>542</v>
      </c>
      <c r="D135" t="s">
        <v>18</v>
      </c>
      <c r="E135" s="1">
        <v>0</v>
      </c>
      <c r="F135">
        <v>1</v>
      </c>
      <c r="G135">
        <v>0</v>
      </c>
      <c r="H135">
        <v>2</v>
      </c>
      <c r="I135">
        <v>0</v>
      </c>
      <c r="J135">
        <v>0</v>
      </c>
      <c r="K135">
        <f t="shared" si="6"/>
        <v>2</v>
      </c>
      <c r="L135" s="1">
        <f t="shared" si="7"/>
        <v>0</v>
      </c>
      <c r="M135" s="1">
        <f t="shared" si="8"/>
        <v>0</v>
      </c>
    </row>
    <row r="136" spans="1:13" x14ac:dyDescent="0.3">
      <c r="A136" t="s">
        <v>543</v>
      </c>
      <c r="B136" t="s">
        <v>544</v>
      </c>
      <c r="C136" t="s">
        <v>81</v>
      </c>
      <c r="D136" t="s">
        <v>18</v>
      </c>
      <c r="E136" s="1">
        <v>8127.2</v>
      </c>
      <c r="F136">
        <v>1</v>
      </c>
      <c r="G136">
        <v>0</v>
      </c>
      <c r="H136">
        <v>2</v>
      </c>
      <c r="I136">
        <v>0</v>
      </c>
      <c r="J136">
        <v>0</v>
      </c>
      <c r="K136">
        <f t="shared" si="6"/>
        <v>2</v>
      </c>
      <c r="L136" s="1">
        <f t="shared" si="7"/>
        <v>0</v>
      </c>
      <c r="M136" s="1">
        <f t="shared" si="8"/>
        <v>16254.4</v>
      </c>
    </row>
    <row r="137" spans="1:13" x14ac:dyDescent="0.3">
      <c r="A137" t="s">
        <v>545</v>
      </c>
      <c r="B137" t="s">
        <v>546</v>
      </c>
      <c r="D137" t="s">
        <v>18</v>
      </c>
      <c r="E137" s="1">
        <v>0</v>
      </c>
      <c r="F137">
        <v>1</v>
      </c>
      <c r="G137">
        <v>0</v>
      </c>
      <c r="H137">
        <v>2</v>
      </c>
      <c r="I137">
        <v>0</v>
      </c>
      <c r="J137">
        <v>0</v>
      </c>
      <c r="K137">
        <f t="shared" si="6"/>
        <v>2</v>
      </c>
      <c r="L137" s="1">
        <f t="shared" si="7"/>
        <v>0</v>
      </c>
      <c r="M137" s="1">
        <f t="shared" si="8"/>
        <v>0</v>
      </c>
    </row>
    <row r="138" spans="1:13" x14ac:dyDescent="0.3">
      <c r="A138" t="s">
        <v>547</v>
      </c>
      <c r="B138" t="s">
        <v>548</v>
      </c>
      <c r="C138" t="s">
        <v>472</v>
      </c>
      <c r="D138" t="s">
        <v>18</v>
      </c>
      <c r="E138" s="1">
        <v>8127.2</v>
      </c>
      <c r="F138">
        <v>1</v>
      </c>
      <c r="G138">
        <v>0</v>
      </c>
      <c r="H138">
        <v>2</v>
      </c>
      <c r="I138">
        <v>0</v>
      </c>
      <c r="J138">
        <v>0</v>
      </c>
      <c r="K138">
        <f t="shared" si="6"/>
        <v>2</v>
      </c>
      <c r="L138" s="1">
        <f t="shared" si="7"/>
        <v>0</v>
      </c>
      <c r="M138" s="1">
        <f t="shared" si="8"/>
        <v>16254.4</v>
      </c>
    </row>
    <row r="139" spans="1:13" x14ac:dyDescent="0.3">
      <c r="A139" t="s">
        <v>549</v>
      </c>
      <c r="B139" t="s">
        <v>550</v>
      </c>
      <c r="D139" t="s">
        <v>18</v>
      </c>
      <c r="E139" s="1">
        <v>0</v>
      </c>
      <c r="F139">
        <v>1</v>
      </c>
      <c r="G139">
        <v>0</v>
      </c>
      <c r="H139">
        <v>2</v>
      </c>
      <c r="I139">
        <v>0</v>
      </c>
      <c r="J139">
        <v>0</v>
      </c>
      <c r="K139">
        <f t="shared" si="6"/>
        <v>2</v>
      </c>
      <c r="L139" s="1">
        <f t="shared" si="7"/>
        <v>0</v>
      </c>
      <c r="M139" s="1">
        <f t="shared" si="8"/>
        <v>0</v>
      </c>
    </row>
    <row r="140" spans="1:13" x14ac:dyDescent="0.3">
      <c r="A140" t="s">
        <v>551</v>
      </c>
      <c r="B140" t="s">
        <v>552</v>
      </c>
      <c r="D140" t="s">
        <v>18</v>
      </c>
      <c r="E140" s="1">
        <v>0</v>
      </c>
      <c r="F140">
        <v>1</v>
      </c>
      <c r="G140">
        <v>0</v>
      </c>
      <c r="H140">
        <v>2</v>
      </c>
      <c r="I140">
        <v>0</v>
      </c>
      <c r="J140">
        <v>0</v>
      </c>
      <c r="K140">
        <f t="shared" si="6"/>
        <v>2</v>
      </c>
      <c r="L140" s="1">
        <f t="shared" si="7"/>
        <v>0</v>
      </c>
      <c r="M140" s="1">
        <f t="shared" si="8"/>
        <v>0</v>
      </c>
    </row>
    <row r="141" spans="1:13" x14ac:dyDescent="0.3">
      <c r="A141" t="s">
        <v>553</v>
      </c>
      <c r="B141" t="s">
        <v>554</v>
      </c>
      <c r="D141" t="s">
        <v>18</v>
      </c>
      <c r="E141" s="1">
        <v>0</v>
      </c>
      <c r="F141">
        <v>1</v>
      </c>
      <c r="G141">
        <v>0</v>
      </c>
      <c r="H141">
        <v>2</v>
      </c>
      <c r="I141">
        <v>0</v>
      </c>
      <c r="J141">
        <v>0</v>
      </c>
      <c r="K141">
        <f t="shared" si="6"/>
        <v>2</v>
      </c>
      <c r="L141" s="1">
        <f t="shared" si="7"/>
        <v>0</v>
      </c>
      <c r="M141" s="1">
        <f t="shared" si="8"/>
        <v>0</v>
      </c>
    </row>
    <row r="142" spans="1:13" x14ac:dyDescent="0.3">
      <c r="A142" t="s">
        <v>555</v>
      </c>
      <c r="B142" t="s">
        <v>556</v>
      </c>
      <c r="D142" t="s">
        <v>18</v>
      </c>
      <c r="E142" s="1">
        <v>0</v>
      </c>
      <c r="F142">
        <v>1</v>
      </c>
      <c r="G142">
        <v>0</v>
      </c>
      <c r="H142">
        <v>2</v>
      </c>
      <c r="I142">
        <v>0</v>
      </c>
      <c r="J142">
        <v>0</v>
      </c>
      <c r="K142">
        <f t="shared" si="6"/>
        <v>2</v>
      </c>
      <c r="L142" s="1">
        <f t="shared" si="7"/>
        <v>0</v>
      </c>
      <c r="M142" s="1">
        <f t="shared" si="8"/>
        <v>0</v>
      </c>
    </row>
    <row r="143" spans="1:13" x14ac:dyDescent="0.3">
      <c r="A143" t="s">
        <v>557</v>
      </c>
      <c r="B143" t="s">
        <v>558</v>
      </c>
      <c r="D143" t="s">
        <v>18</v>
      </c>
      <c r="E143" s="1">
        <v>0</v>
      </c>
      <c r="F143">
        <v>1</v>
      </c>
      <c r="G143">
        <v>0</v>
      </c>
      <c r="H143">
        <v>2</v>
      </c>
      <c r="I143">
        <v>0</v>
      </c>
      <c r="J143">
        <v>0</v>
      </c>
      <c r="K143">
        <f t="shared" si="6"/>
        <v>2</v>
      </c>
      <c r="L143" s="1">
        <f t="shared" si="7"/>
        <v>0</v>
      </c>
      <c r="M143" s="1">
        <f t="shared" si="8"/>
        <v>0</v>
      </c>
    </row>
    <row r="144" spans="1:13" x14ac:dyDescent="0.3">
      <c r="A144" t="s">
        <v>559</v>
      </c>
      <c r="B144" t="s">
        <v>560</v>
      </c>
      <c r="C144" t="s">
        <v>81</v>
      </c>
      <c r="D144" t="s">
        <v>18</v>
      </c>
      <c r="E144" s="1">
        <v>5685.45</v>
      </c>
      <c r="F144">
        <v>1</v>
      </c>
      <c r="G144">
        <v>0</v>
      </c>
      <c r="H144">
        <v>2</v>
      </c>
      <c r="I144">
        <v>0</v>
      </c>
      <c r="J144">
        <v>0</v>
      </c>
      <c r="K144">
        <f t="shared" si="6"/>
        <v>2</v>
      </c>
      <c r="L144" s="1">
        <f t="shared" si="7"/>
        <v>0</v>
      </c>
      <c r="M144" s="1">
        <f t="shared" si="8"/>
        <v>11370.9</v>
      </c>
    </row>
    <row r="145" spans="1:13" x14ac:dyDescent="0.3">
      <c r="A145" t="s">
        <v>561</v>
      </c>
      <c r="B145" t="s">
        <v>562</v>
      </c>
      <c r="D145" t="s">
        <v>18</v>
      </c>
      <c r="E145" s="1">
        <v>0</v>
      </c>
      <c r="F145">
        <v>1</v>
      </c>
      <c r="G145">
        <v>0</v>
      </c>
      <c r="H145">
        <v>2</v>
      </c>
      <c r="I145">
        <v>0</v>
      </c>
      <c r="J145">
        <v>0</v>
      </c>
      <c r="K145">
        <f t="shared" si="6"/>
        <v>2</v>
      </c>
      <c r="L145" s="1">
        <f t="shared" si="7"/>
        <v>0</v>
      </c>
      <c r="M145" s="1">
        <f t="shared" si="8"/>
        <v>0</v>
      </c>
    </row>
    <row r="146" spans="1:13" x14ac:dyDescent="0.3">
      <c r="A146" t="s">
        <v>563</v>
      </c>
      <c r="B146" t="s">
        <v>564</v>
      </c>
      <c r="D146" t="s">
        <v>18</v>
      </c>
      <c r="E146" s="1">
        <v>0</v>
      </c>
      <c r="F146">
        <v>1</v>
      </c>
      <c r="G146">
        <v>0</v>
      </c>
      <c r="H146">
        <v>2</v>
      </c>
      <c r="I146">
        <v>0</v>
      </c>
      <c r="J146">
        <v>0</v>
      </c>
      <c r="K146">
        <f t="shared" si="6"/>
        <v>2</v>
      </c>
      <c r="L146" s="1">
        <f t="shared" si="7"/>
        <v>0</v>
      </c>
      <c r="M146" s="1">
        <f t="shared" si="8"/>
        <v>0</v>
      </c>
    </row>
    <row r="147" spans="1:13" x14ac:dyDescent="0.3">
      <c r="A147" t="s">
        <v>565</v>
      </c>
      <c r="B147" t="s">
        <v>566</v>
      </c>
      <c r="D147" t="s">
        <v>18</v>
      </c>
      <c r="E147" s="1">
        <v>0</v>
      </c>
      <c r="F147">
        <v>1</v>
      </c>
      <c r="G147">
        <v>0</v>
      </c>
      <c r="H147">
        <v>2</v>
      </c>
      <c r="I147">
        <v>0</v>
      </c>
      <c r="J147">
        <v>0</v>
      </c>
      <c r="K147">
        <f t="shared" si="6"/>
        <v>2</v>
      </c>
      <c r="L147" s="1">
        <f t="shared" si="7"/>
        <v>0</v>
      </c>
      <c r="M147" s="1">
        <f t="shared" si="8"/>
        <v>0</v>
      </c>
    </row>
    <row r="148" spans="1:13" x14ac:dyDescent="0.3">
      <c r="A148" t="s">
        <v>567</v>
      </c>
      <c r="B148" t="s">
        <v>568</v>
      </c>
      <c r="D148" t="s">
        <v>18</v>
      </c>
      <c r="E148" s="1">
        <v>0</v>
      </c>
      <c r="F148">
        <v>1</v>
      </c>
      <c r="G148">
        <v>0</v>
      </c>
      <c r="H148">
        <v>5</v>
      </c>
      <c r="I148">
        <v>0</v>
      </c>
      <c r="J148">
        <v>0</v>
      </c>
      <c r="K148">
        <f t="shared" si="6"/>
        <v>5</v>
      </c>
      <c r="L148" s="1">
        <f t="shared" si="7"/>
        <v>0</v>
      </c>
      <c r="M148" s="1">
        <f t="shared" si="8"/>
        <v>0</v>
      </c>
    </row>
    <row r="149" spans="1:13" x14ac:dyDescent="0.3">
      <c r="A149" t="s">
        <v>569</v>
      </c>
      <c r="B149" t="s">
        <v>570</v>
      </c>
      <c r="D149" t="s">
        <v>18</v>
      </c>
      <c r="E149" s="1">
        <v>0</v>
      </c>
      <c r="F149">
        <v>1</v>
      </c>
      <c r="G149">
        <v>0</v>
      </c>
      <c r="H149">
        <v>5</v>
      </c>
      <c r="I149">
        <v>0</v>
      </c>
      <c r="J149">
        <v>0</v>
      </c>
      <c r="K149">
        <f t="shared" si="6"/>
        <v>5</v>
      </c>
      <c r="L149" s="1">
        <f t="shared" si="7"/>
        <v>0</v>
      </c>
      <c r="M149" s="1">
        <f t="shared" si="8"/>
        <v>0</v>
      </c>
    </row>
    <row r="150" spans="1:13" x14ac:dyDescent="0.3">
      <c r="A150" t="s">
        <v>571</v>
      </c>
      <c r="B150" t="s">
        <v>572</v>
      </c>
      <c r="C150" t="s">
        <v>472</v>
      </c>
      <c r="D150" t="s">
        <v>18</v>
      </c>
      <c r="E150" s="1">
        <v>2700</v>
      </c>
      <c r="F150">
        <v>1</v>
      </c>
      <c r="G150">
        <v>0</v>
      </c>
      <c r="H150">
        <v>5</v>
      </c>
      <c r="I150">
        <v>0</v>
      </c>
      <c r="J150">
        <v>0</v>
      </c>
      <c r="K150">
        <f t="shared" si="6"/>
        <v>5</v>
      </c>
      <c r="L150" s="1">
        <f t="shared" si="7"/>
        <v>0</v>
      </c>
      <c r="M150" s="1">
        <f t="shared" si="8"/>
        <v>13500</v>
      </c>
    </row>
    <row r="151" spans="1:13" x14ac:dyDescent="0.3">
      <c r="A151" t="s">
        <v>573</v>
      </c>
      <c r="B151" t="s">
        <v>574</v>
      </c>
      <c r="D151" t="s">
        <v>18</v>
      </c>
      <c r="E151" s="1">
        <v>0</v>
      </c>
      <c r="F151">
        <v>1</v>
      </c>
      <c r="G151">
        <v>0</v>
      </c>
      <c r="H151">
        <v>2</v>
      </c>
      <c r="I151">
        <v>0</v>
      </c>
      <c r="J151">
        <v>0</v>
      </c>
      <c r="K151">
        <f t="shared" si="6"/>
        <v>2</v>
      </c>
      <c r="L151" s="1">
        <f t="shared" si="7"/>
        <v>0</v>
      </c>
      <c r="M151" s="1">
        <f t="shared" si="8"/>
        <v>0</v>
      </c>
    </row>
    <row r="152" spans="1:13" x14ac:dyDescent="0.3">
      <c r="A152" t="s">
        <v>575</v>
      </c>
      <c r="B152" t="s">
        <v>576</v>
      </c>
      <c r="D152" t="s">
        <v>18</v>
      </c>
      <c r="E152" s="1">
        <v>0</v>
      </c>
      <c r="F152">
        <v>2</v>
      </c>
      <c r="G152">
        <v>0</v>
      </c>
      <c r="H152">
        <v>10</v>
      </c>
      <c r="I152">
        <v>0</v>
      </c>
      <c r="J152">
        <v>0</v>
      </c>
      <c r="K152">
        <f t="shared" si="6"/>
        <v>10</v>
      </c>
      <c r="L152" s="1">
        <f t="shared" si="7"/>
        <v>0</v>
      </c>
      <c r="M152" s="1">
        <f t="shared" si="8"/>
        <v>0</v>
      </c>
    </row>
    <row r="153" spans="1:13" x14ac:dyDescent="0.3">
      <c r="A153" t="s">
        <v>577</v>
      </c>
      <c r="B153" t="s">
        <v>578</v>
      </c>
      <c r="D153" t="s">
        <v>18</v>
      </c>
      <c r="E153" s="1">
        <v>0</v>
      </c>
      <c r="F153">
        <v>1</v>
      </c>
      <c r="G153">
        <v>0</v>
      </c>
      <c r="H153">
        <v>2</v>
      </c>
      <c r="I153">
        <v>0</v>
      </c>
      <c r="J153">
        <v>0</v>
      </c>
      <c r="K153">
        <f t="shared" si="6"/>
        <v>2</v>
      </c>
      <c r="L153" s="1">
        <f t="shared" si="7"/>
        <v>0</v>
      </c>
      <c r="M153" s="1">
        <f t="shared" si="8"/>
        <v>0</v>
      </c>
    </row>
    <row r="154" spans="1:13" x14ac:dyDescent="0.3">
      <c r="A154" t="s">
        <v>579</v>
      </c>
      <c r="B154" t="s">
        <v>580</v>
      </c>
      <c r="D154" t="s">
        <v>18</v>
      </c>
      <c r="E154" s="1">
        <v>0</v>
      </c>
      <c r="F154">
        <v>1</v>
      </c>
      <c r="G154">
        <v>0</v>
      </c>
      <c r="H154">
        <v>2</v>
      </c>
      <c r="I154">
        <v>0</v>
      </c>
      <c r="J154">
        <v>0</v>
      </c>
      <c r="K154">
        <f t="shared" si="6"/>
        <v>2</v>
      </c>
      <c r="L154" s="1">
        <f t="shared" si="7"/>
        <v>0</v>
      </c>
      <c r="M154" s="1">
        <f t="shared" si="8"/>
        <v>0</v>
      </c>
    </row>
    <row r="155" spans="1:13" x14ac:dyDescent="0.3">
      <c r="A155" t="s">
        <v>581</v>
      </c>
      <c r="B155" t="s">
        <v>582</v>
      </c>
      <c r="D155" t="s">
        <v>18</v>
      </c>
      <c r="E155" s="1">
        <v>0</v>
      </c>
      <c r="F155">
        <v>1</v>
      </c>
      <c r="G155">
        <v>0</v>
      </c>
      <c r="H155">
        <v>2</v>
      </c>
      <c r="I155">
        <v>0</v>
      </c>
      <c r="J155">
        <v>0</v>
      </c>
      <c r="K155">
        <f t="shared" si="6"/>
        <v>2</v>
      </c>
      <c r="L155" s="1">
        <f t="shared" si="7"/>
        <v>0</v>
      </c>
      <c r="M155" s="1">
        <f t="shared" si="8"/>
        <v>0</v>
      </c>
    </row>
    <row r="156" spans="1:13" x14ac:dyDescent="0.3">
      <c r="A156" t="s">
        <v>583</v>
      </c>
      <c r="B156" t="s">
        <v>584</v>
      </c>
      <c r="C156" t="s">
        <v>472</v>
      </c>
      <c r="D156" t="s">
        <v>18</v>
      </c>
      <c r="E156" s="1">
        <v>8558.02</v>
      </c>
      <c r="F156">
        <v>1</v>
      </c>
      <c r="G156">
        <v>0</v>
      </c>
      <c r="H156">
        <v>3</v>
      </c>
      <c r="I156">
        <v>0</v>
      </c>
      <c r="J156">
        <v>0</v>
      </c>
      <c r="K156">
        <f t="shared" si="6"/>
        <v>3</v>
      </c>
      <c r="L156" s="1">
        <f t="shared" si="7"/>
        <v>0</v>
      </c>
      <c r="M156" s="1">
        <f t="shared" si="8"/>
        <v>25674.06</v>
      </c>
    </row>
    <row r="157" spans="1:13" x14ac:dyDescent="0.3">
      <c r="A157" t="s">
        <v>585</v>
      </c>
      <c r="B157" t="s">
        <v>586</v>
      </c>
      <c r="D157" t="s">
        <v>18</v>
      </c>
      <c r="E157" s="1">
        <v>0</v>
      </c>
      <c r="F157">
        <v>1</v>
      </c>
      <c r="G157">
        <v>0</v>
      </c>
      <c r="H157">
        <v>5</v>
      </c>
      <c r="I157">
        <v>0</v>
      </c>
      <c r="J157">
        <v>0</v>
      </c>
      <c r="K157">
        <f t="shared" si="6"/>
        <v>5</v>
      </c>
      <c r="L157" s="1">
        <f t="shared" si="7"/>
        <v>0</v>
      </c>
      <c r="M157" s="1">
        <f t="shared" si="8"/>
        <v>0</v>
      </c>
    </row>
    <row r="158" spans="1:13" x14ac:dyDescent="0.3">
      <c r="A158" t="s">
        <v>587</v>
      </c>
      <c r="B158" t="s">
        <v>588</v>
      </c>
      <c r="D158" t="s">
        <v>18</v>
      </c>
      <c r="E158" s="1">
        <v>0</v>
      </c>
      <c r="F158">
        <v>1</v>
      </c>
      <c r="G158">
        <v>0</v>
      </c>
      <c r="H158">
        <v>2</v>
      </c>
      <c r="I158">
        <v>0</v>
      </c>
      <c r="J158">
        <v>0</v>
      </c>
      <c r="K158">
        <f t="shared" si="6"/>
        <v>2</v>
      </c>
      <c r="L158" s="1">
        <f t="shared" si="7"/>
        <v>0</v>
      </c>
      <c r="M158" s="1">
        <f t="shared" si="8"/>
        <v>0</v>
      </c>
    </row>
    <row r="159" spans="1:13" x14ac:dyDescent="0.3">
      <c r="A159" t="s">
        <v>589</v>
      </c>
      <c r="B159" t="s">
        <v>590</v>
      </c>
      <c r="C159" t="s">
        <v>81</v>
      </c>
      <c r="D159" t="s">
        <v>18</v>
      </c>
      <c r="E159" s="1">
        <v>9521.1</v>
      </c>
      <c r="F159">
        <v>2</v>
      </c>
      <c r="G159">
        <v>0</v>
      </c>
      <c r="H159">
        <v>4</v>
      </c>
      <c r="I159">
        <v>0</v>
      </c>
      <c r="J159">
        <v>0</v>
      </c>
      <c r="K159">
        <f t="shared" si="6"/>
        <v>4</v>
      </c>
      <c r="L159" s="1">
        <f t="shared" si="7"/>
        <v>0</v>
      </c>
      <c r="M159" s="1">
        <f t="shared" si="8"/>
        <v>38084.400000000001</v>
      </c>
    </row>
    <row r="160" spans="1:13" x14ac:dyDescent="0.3">
      <c r="A160" t="s">
        <v>591</v>
      </c>
      <c r="B160" t="s">
        <v>592</v>
      </c>
      <c r="D160" t="s">
        <v>18</v>
      </c>
      <c r="E160" s="1">
        <v>0</v>
      </c>
      <c r="F160">
        <v>1</v>
      </c>
      <c r="G160">
        <v>0</v>
      </c>
      <c r="H160">
        <v>2</v>
      </c>
      <c r="I160">
        <v>0</v>
      </c>
      <c r="J160">
        <v>0</v>
      </c>
      <c r="K160">
        <f t="shared" si="6"/>
        <v>2</v>
      </c>
      <c r="L160" s="1">
        <f t="shared" si="7"/>
        <v>0</v>
      </c>
      <c r="M160" s="1">
        <f t="shared" si="8"/>
        <v>0</v>
      </c>
    </row>
    <row r="161" spans="1:13" x14ac:dyDescent="0.3">
      <c r="A161" t="s">
        <v>593</v>
      </c>
      <c r="B161" t="s">
        <v>594</v>
      </c>
      <c r="D161" t="s">
        <v>18</v>
      </c>
      <c r="E161" s="1">
        <v>0</v>
      </c>
      <c r="F161">
        <v>2</v>
      </c>
      <c r="G161">
        <v>0</v>
      </c>
      <c r="H161">
        <v>8</v>
      </c>
      <c r="I161">
        <v>0</v>
      </c>
      <c r="J161">
        <v>0</v>
      </c>
      <c r="K161">
        <f t="shared" si="6"/>
        <v>8</v>
      </c>
      <c r="L161" s="1">
        <f t="shared" si="7"/>
        <v>0</v>
      </c>
      <c r="M161" s="1">
        <f t="shared" si="8"/>
        <v>0</v>
      </c>
    </row>
    <row r="162" spans="1:13" x14ac:dyDescent="0.3">
      <c r="A162" t="s">
        <v>595</v>
      </c>
      <c r="B162" t="s">
        <v>596</v>
      </c>
      <c r="D162" t="s">
        <v>18</v>
      </c>
      <c r="E162" s="1">
        <v>0</v>
      </c>
      <c r="F162">
        <v>1</v>
      </c>
      <c r="G162">
        <v>0</v>
      </c>
      <c r="H162">
        <v>2</v>
      </c>
      <c r="I162">
        <v>0</v>
      </c>
      <c r="J162">
        <v>0</v>
      </c>
      <c r="K162">
        <f t="shared" si="6"/>
        <v>2</v>
      </c>
      <c r="L162" s="1">
        <f t="shared" si="7"/>
        <v>0</v>
      </c>
      <c r="M162" s="1">
        <f t="shared" si="8"/>
        <v>0</v>
      </c>
    </row>
    <row r="163" spans="1:13" x14ac:dyDescent="0.3">
      <c r="A163" t="s">
        <v>597</v>
      </c>
      <c r="B163" t="s">
        <v>598</v>
      </c>
      <c r="D163" t="s">
        <v>18</v>
      </c>
      <c r="E163" s="1">
        <v>0</v>
      </c>
      <c r="F163">
        <v>1</v>
      </c>
      <c r="G163">
        <v>0</v>
      </c>
      <c r="H163">
        <v>2</v>
      </c>
      <c r="I163">
        <v>0</v>
      </c>
      <c r="J163">
        <v>0</v>
      </c>
      <c r="K163">
        <f t="shared" si="6"/>
        <v>2</v>
      </c>
      <c r="L163" s="1">
        <f t="shared" si="7"/>
        <v>0</v>
      </c>
      <c r="M163" s="1">
        <f t="shared" si="8"/>
        <v>0</v>
      </c>
    </row>
    <row r="164" spans="1:13" x14ac:dyDescent="0.3">
      <c r="A164" t="s">
        <v>599</v>
      </c>
      <c r="B164" t="s">
        <v>600</v>
      </c>
      <c r="D164" t="s">
        <v>18</v>
      </c>
      <c r="E164" s="1">
        <v>0</v>
      </c>
      <c r="F164">
        <v>1</v>
      </c>
      <c r="G164">
        <v>0</v>
      </c>
      <c r="H164">
        <v>2</v>
      </c>
      <c r="I164">
        <v>0</v>
      </c>
      <c r="J164">
        <v>0</v>
      </c>
      <c r="K164">
        <f t="shared" si="6"/>
        <v>2</v>
      </c>
      <c r="L164" s="1">
        <f t="shared" si="7"/>
        <v>0</v>
      </c>
      <c r="M164" s="1">
        <f t="shared" si="8"/>
        <v>0</v>
      </c>
    </row>
    <row r="165" spans="1:13" x14ac:dyDescent="0.3">
      <c r="A165" t="s">
        <v>601</v>
      </c>
      <c r="B165" t="s">
        <v>602</v>
      </c>
      <c r="D165" t="s">
        <v>18</v>
      </c>
      <c r="E165" s="1">
        <v>0</v>
      </c>
      <c r="F165">
        <v>1</v>
      </c>
      <c r="G165">
        <v>0</v>
      </c>
      <c r="H165">
        <v>2</v>
      </c>
      <c r="I165">
        <v>0</v>
      </c>
      <c r="J165">
        <v>0</v>
      </c>
      <c r="K165">
        <f t="shared" si="6"/>
        <v>2</v>
      </c>
      <c r="L165" s="1">
        <f t="shared" si="7"/>
        <v>0</v>
      </c>
      <c r="M165" s="1">
        <f t="shared" si="8"/>
        <v>0</v>
      </c>
    </row>
    <row r="166" spans="1:13" x14ac:dyDescent="0.3">
      <c r="A166" t="s">
        <v>603</v>
      </c>
      <c r="B166" t="s">
        <v>604</v>
      </c>
      <c r="D166" t="s">
        <v>18</v>
      </c>
      <c r="E166" s="1">
        <v>0</v>
      </c>
      <c r="F166">
        <v>1</v>
      </c>
      <c r="G166">
        <v>0</v>
      </c>
      <c r="H166">
        <v>4</v>
      </c>
      <c r="I166">
        <v>0</v>
      </c>
      <c r="J166">
        <v>0</v>
      </c>
      <c r="K166">
        <f t="shared" si="6"/>
        <v>4</v>
      </c>
      <c r="L166" s="1">
        <f t="shared" si="7"/>
        <v>0</v>
      </c>
      <c r="M166" s="1">
        <f t="shared" si="8"/>
        <v>0</v>
      </c>
    </row>
    <row r="167" spans="1:13" x14ac:dyDescent="0.3">
      <c r="A167" t="s">
        <v>605</v>
      </c>
      <c r="B167" t="s">
        <v>606</v>
      </c>
      <c r="D167" t="s">
        <v>18</v>
      </c>
      <c r="E167" s="1">
        <v>0</v>
      </c>
      <c r="F167">
        <v>1</v>
      </c>
      <c r="G167">
        <v>0</v>
      </c>
      <c r="H167">
        <v>2</v>
      </c>
      <c r="I167">
        <v>0</v>
      </c>
      <c r="J167">
        <v>0</v>
      </c>
      <c r="K167">
        <f t="shared" si="6"/>
        <v>2</v>
      </c>
      <c r="L167" s="1">
        <f t="shared" si="7"/>
        <v>0</v>
      </c>
      <c r="M167" s="1">
        <f t="shared" si="8"/>
        <v>0</v>
      </c>
    </row>
    <row r="168" spans="1:13" x14ac:dyDescent="0.3">
      <c r="A168" t="s">
        <v>607</v>
      </c>
      <c r="B168" t="s">
        <v>608</v>
      </c>
      <c r="D168" t="s">
        <v>18</v>
      </c>
      <c r="E168" s="1">
        <v>0</v>
      </c>
      <c r="F168">
        <v>2</v>
      </c>
      <c r="G168">
        <v>0</v>
      </c>
      <c r="H168">
        <v>8</v>
      </c>
      <c r="I168">
        <v>0</v>
      </c>
      <c r="J168">
        <v>0</v>
      </c>
      <c r="K168">
        <f t="shared" si="6"/>
        <v>8</v>
      </c>
      <c r="L168" s="1">
        <f t="shared" si="7"/>
        <v>0</v>
      </c>
      <c r="M168" s="1">
        <f t="shared" si="8"/>
        <v>0</v>
      </c>
    </row>
    <row r="169" spans="1:13" x14ac:dyDescent="0.3">
      <c r="A169" t="s">
        <v>609</v>
      </c>
      <c r="B169" t="s">
        <v>610</v>
      </c>
      <c r="D169" t="s">
        <v>18</v>
      </c>
      <c r="E169" s="1">
        <v>0</v>
      </c>
      <c r="F169">
        <v>1</v>
      </c>
      <c r="G169">
        <v>0</v>
      </c>
      <c r="H169">
        <v>2</v>
      </c>
      <c r="I169">
        <v>0</v>
      </c>
      <c r="J169">
        <v>0</v>
      </c>
      <c r="K169">
        <f t="shared" si="6"/>
        <v>2</v>
      </c>
      <c r="L169" s="1">
        <f t="shared" si="7"/>
        <v>0</v>
      </c>
      <c r="M169" s="1">
        <f t="shared" si="8"/>
        <v>0</v>
      </c>
    </row>
    <row r="170" spans="1:13" x14ac:dyDescent="0.3">
      <c r="A170" t="s">
        <v>611</v>
      </c>
      <c r="B170" t="s">
        <v>612</v>
      </c>
      <c r="C170" t="s">
        <v>81</v>
      </c>
      <c r="D170" t="s">
        <v>18</v>
      </c>
      <c r="E170" s="1">
        <v>9281.52</v>
      </c>
      <c r="F170">
        <v>1</v>
      </c>
      <c r="G170">
        <v>0</v>
      </c>
      <c r="H170">
        <v>2</v>
      </c>
      <c r="I170">
        <v>0</v>
      </c>
      <c r="J170">
        <v>0</v>
      </c>
      <c r="K170">
        <f t="shared" si="6"/>
        <v>2</v>
      </c>
      <c r="L170" s="1">
        <f t="shared" si="7"/>
        <v>0</v>
      </c>
      <c r="M170" s="1">
        <f t="shared" si="8"/>
        <v>18563.04</v>
      </c>
    </row>
    <row r="171" spans="1:13" x14ac:dyDescent="0.3">
      <c r="A171" t="s">
        <v>613</v>
      </c>
      <c r="B171" t="s">
        <v>614</v>
      </c>
      <c r="C171" t="s">
        <v>472</v>
      </c>
      <c r="D171" t="s">
        <v>18</v>
      </c>
      <c r="E171" s="1">
        <v>3511.53</v>
      </c>
      <c r="F171">
        <v>1</v>
      </c>
      <c r="G171">
        <v>0</v>
      </c>
      <c r="H171">
        <v>3</v>
      </c>
      <c r="I171">
        <v>0</v>
      </c>
      <c r="J171">
        <v>0</v>
      </c>
      <c r="K171">
        <f t="shared" si="6"/>
        <v>3</v>
      </c>
      <c r="L171" s="1">
        <f t="shared" si="7"/>
        <v>0</v>
      </c>
      <c r="M171" s="1">
        <f t="shared" si="8"/>
        <v>10534.59</v>
      </c>
    </row>
    <row r="172" spans="1:13" x14ac:dyDescent="0.3">
      <c r="A172" t="s">
        <v>615</v>
      </c>
      <c r="B172" t="s">
        <v>616</v>
      </c>
      <c r="D172" t="s">
        <v>18</v>
      </c>
      <c r="E172" s="1">
        <v>0</v>
      </c>
      <c r="F172">
        <v>1</v>
      </c>
      <c r="G172">
        <v>0</v>
      </c>
      <c r="H172">
        <v>2</v>
      </c>
      <c r="I172">
        <v>0</v>
      </c>
      <c r="J172">
        <v>0</v>
      </c>
      <c r="K172">
        <f t="shared" si="6"/>
        <v>2</v>
      </c>
      <c r="L172" s="1">
        <f t="shared" si="7"/>
        <v>0</v>
      </c>
      <c r="M172" s="1">
        <f t="shared" si="8"/>
        <v>0</v>
      </c>
    </row>
    <row r="173" spans="1:13" x14ac:dyDescent="0.3">
      <c r="A173" t="s">
        <v>617</v>
      </c>
      <c r="B173" t="s">
        <v>618</v>
      </c>
      <c r="D173" t="s">
        <v>18</v>
      </c>
      <c r="E173" s="1">
        <v>0</v>
      </c>
      <c r="F173">
        <v>1</v>
      </c>
      <c r="G173">
        <v>0</v>
      </c>
      <c r="H173">
        <v>2</v>
      </c>
      <c r="I173">
        <v>0</v>
      </c>
      <c r="J173">
        <v>0</v>
      </c>
      <c r="K173">
        <f t="shared" si="6"/>
        <v>2</v>
      </c>
      <c r="L173" s="1">
        <f t="shared" si="7"/>
        <v>0</v>
      </c>
      <c r="M173" s="1">
        <f t="shared" si="8"/>
        <v>0</v>
      </c>
    </row>
    <row r="174" spans="1:13" x14ac:dyDescent="0.3">
      <c r="A174" t="s">
        <v>619</v>
      </c>
      <c r="B174" t="s">
        <v>620</v>
      </c>
      <c r="C174" t="s">
        <v>81</v>
      </c>
      <c r="D174" t="s">
        <v>18</v>
      </c>
      <c r="E174" s="1">
        <v>8775</v>
      </c>
      <c r="F174">
        <v>1</v>
      </c>
      <c r="G174">
        <v>0</v>
      </c>
      <c r="H174">
        <v>3</v>
      </c>
      <c r="I174">
        <v>0</v>
      </c>
      <c r="J174">
        <v>0</v>
      </c>
      <c r="K174">
        <f t="shared" si="6"/>
        <v>3</v>
      </c>
      <c r="L174" s="1">
        <f t="shared" si="7"/>
        <v>0</v>
      </c>
      <c r="M174" s="1">
        <f t="shared" si="8"/>
        <v>26325</v>
      </c>
    </row>
    <row r="175" spans="1:13" x14ac:dyDescent="0.3">
      <c r="A175" t="s">
        <v>621</v>
      </c>
      <c r="B175" t="s">
        <v>622</v>
      </c>
      <c r="C175" t="s">
        <v>472</v>
      </c>
      <c r="D175" t="s">
        <v>18</v>
      </c>
      <c r="E175" s="1">
        <v>8058</v>
      </c>
      <c r="F175">
        <v>1</v>
      </c>
      <c r="G175">
        <v>0</v>
      </c>
      <c r="H175">
        <v>2</v>
      </c>
      <c r="I175">
        <v>0</v>
      </c>
      <c r="J175">
        <v>0</v>
      </c>
      <c r="K175">
        <f t="shared" si="6"/>
        <v>2</v>
      </c>
      <c r="L175" s="1">
        <f t="shared" si="7"/>
        <v>0</v>
      </c>
      <c r="M175" s="1">
        <f t="shared" si="8"/>
        <v>16116</v>
      </c>
    </row>
    <row r="176" spans="1:13" x14ac:dyDescent="0.3">
      <c r="A176" t="s">
        <v>623</v>
      </c>
      <c r="B176" t="s">
        <v>624</v>
      </c>
      <c r="D176" t="s">
        <v>18</v>
      </c>
      <c r="E176" s="1">
        <v>0</v>
      </c>
      <c r="F176">
        <v>1</v>
      </c>
      <c r="G176">
        <v>0</v>
      </c>
      <c r="H176">
        <v>2</v>
      </c>
      <c r="I176">
        <v>0</v>
      </c>
      <c r="J176">
        <v>0</v>
      </c>
      <c r="K176">
        <f t="shared" si="6"/>
        <v>2</v>
      </c>
      <c r="L176" s="1">
        <f t="shared" si="7"/>
        <v>0</v>
      </c>
      <c r="M176" s="1">
        <f t="shared" si="8"/>
        <v>0</v>
      </c>
    </row>
    <row r="177" spans="1:13" x14ac:dyDescent="0.3">
      <c r="A177" t="s">
        <v>625</v>
      </c>
      <c r="B177" t="s">
        <v>626</v>
      </c>
      <c r="D177" t="s">
        <v>18</v>
      </c>
      <c r="E177" s="1">
        <v>0</v>
      </c>
      <c r="F177">
        <v>1</v>
      </c>
      <c r="G177">
        <v>0</v>
      </c>
      <c r="H177">
        <v>2</v>
      </c>
      <c r="I177">
        <v>0</v>
      </c>
      <c r="J177">
        <v>0</v>
      </c>
      <c r="K177">
        <f t="shared" si="6"/>
        <v>2</v>
      </c>
      <c r="L177" s="1">
        <f t="shared" si="7"/>
        <v>0</v>
      </c>
      <c r="M177" s="1">
        <f t="shared" si="8"/>
        <v>0</v>
      </c>
    </row>
    <row r="178" spans="1:13" x14ac:dyDescent="0.3">
      <c r="A178" t="s">
        <v>627</v>
      </c>
      <c r="B178" t="s">
        <v>628</v>
      </c>
      <c r="D178" t="s">
        <v>18</v>
      </c>
      <c r="E178" s="1">
        <v>0</v>
      </c>
      <c r="F178">
        <v>1</v>
      </c>
      <c r="G178">
        <v>0</v>
      </c>
      <c r="H178">
        <v>2</v>
      </c>
      <c r="I178">
        <v>0</v>
      </c>
      <c r="J178">
        <v>0</v>
      </c>
      <c r="K178">
        <f t="shared" si="6"/>
        <v>2</v>
      </c>
      <c r="L178" s="1">
        <f t="shared" si="7"/>
        <v>0</v>
      </c>
      <c r="M178" s="1">
        <f t="shared" si="8"/>
        <v>0</v>
      </c>
    </row>
    <row r="179" spans="1:13" x14ac:dyDescent="0.3">
      <c r="A179" t="s">
        <v>629</v>
      </c>
      <c r="B179" t="s">
        <v>630</v>
      </c>
      <c r="C179" t="s">
        <v>81</v>
      </c>
      <c r="D179" t="s">
        <v>18</v>
      </c>
      <c r="E179" s="1">
        <v>10080</v>
      </c>
      <c r="F179">
        <v>1</v>
      </c>
      <c r="G179">
        <v>0</v>
      </c>
      <c r="H179">
        <v>3</v>
      </c>
      <c r="I179">
        <v>0</v>
      </c>
      <c r="J179">
        <v>0</v>
      </c>
      <c r="K179">
        <f t="shared" si="6"/>
        <v>3</v>
      </c>
      <c r="L179" s="1">
        <f t="shared" si="7"/>
        <v>0</v>
      </c>
      <c r="M179" s="1">
        <f t="shared" si="8"/>
        <v>30240</v>
      </c>
    </row>
    <row r="180" spans="1:13" x14ac:dyDescent="0.3">
      <c r="A180" t="s">
        <v>631</v>
      </c>
      <c r="B180" t="s">
        <v>632</v>
      </c>
      <c r="D180" t="s">
        <v>18</v>
      </c>
      <c r="E180" s="1">
        <v>0</v>
      </c>
      <c r="F180">
        <v>1</v>
      </c>
      <c r="G180">
        <v>0</v>
      </c>
      <c r="H180">
        <v>2</v>
      </c>
      <c r="I180">
        <v>0</v>
      </c>
      <c r="J180">
        <v>0</v>
      </c>
      <c r="K180">
        <f t="shared" si="6"/>
        <v>2</v>
      </c>
      <c r="L180" s="1">
        <f t="shared" si="7"/>
        <v>0</v>
      </c>
      <c r="M180" s="1">
        <f t="shared" si="8"/>
        <v>0</v>
      </c>
    </row>
    <row r="181" spans="1:13" x14ac:dyDescent="0.3">
      <c r="A181" t="s">
        <v>633</v>
      </c>
      <c r="B181" t="s">
        <v>634</v>
      </c>
      <c r="D181" t="s">
        <v>18</v>
      </c>
      <c r="E181" s="1">
        <v>0</v>
      </c>
      <c r="F181">
        <v>1</v>
      </c>
      <c r="G181">
        <v>0</v>
      </c>
      <c r="H181">
        <v>2</v>
      </c>
      <c r="I181">
        <v>0</v>
      </c>
      <c r="J181">
        <v>0</v>
      </c>
      <c r="K181">
        <f t="shared" si="6"/>
        <v>2</v>
      </c>
      <c r="L181" s="1">
        <f t="shared" si="7"/>
        <v>0</v>
      </c>
      <c r="M181" s="1">
        <f t="shared" si="8"/>
        <v>0</v>
      </c>
    </row>
    <row r="182" spans="1:13" x14ac:dyDescent="0.3">
      <c r="A182" t="s">
        <v>635</v>
      </c>
      <c r="B182" t="s">
        <v>636</v>
      </c>
      <c r="D182" t="s">
        <v>18</v>
      </c>
      <c r="E182" s="1">
        <v>0</v>
      </c>
      <c r="F182">
        <v>1</v>
      </c>
      <c r="G182">
        <v>0</v>
      </c>
      <c r="H182">
        <v>2</v>
      </c>
      <c r="I182">
        <v>0</v>
      </c>
      <c r="J182">
        <v>0</v>
      </c>
      <c r="K182">
        <f t="shared" si="6"/>
        <v>2</v>
      </c>
      <c r="L182" s="1">
        <f t="shared" si="7"/>
        <v>0</v>
      </c>
      <c r="M182" s="1">
        <f t="shared" si="8"/>
        <v>0</v>
      </c>
    </row>
    <row r="183" spans="1:13" x14ac:dyDescent="0.3">
      <c r="A183" t="s">
        <v>637</v>
      </c>
      <c r="B183" t="s">
        <v>638</v>
      </c>
      <c r="C183" t="s">
        <v>81</v>
      </c>
      <c r="D183" t="s">
        <v>18</v>
      </c>
      <c r="E183" s="1">
        <v>9912</v>
      </c>
      <c r="F183">
        <v>1</v>
      </c>
      <c r="G183">
        <v>0</v>
      </c>
      <c r="H183">
        <v>2</v>
      </c>
      <c r="I183">
        <v>0</v>
      </c>
      <c r="J183">
        <v>0</v>
      </c>
      <c r="K183">
        <f t="shared" si="6"/>
        <v>2</v>
      </c>
      <c r="L183" s="1">
        <f t="shared" si="7"/>
        <v>0</v>
      </c>
      <c r="M183" s="1">
        <f t="shared" si="8"/>
        <v>19824</v>
      </c>
    </row>
    <row r="184" spans="1:13" x14ac:dyDescent="0.3">
      <c r="A184" t="s">
        <v>639</v>
      </c>
      <c r="B184" t="s">
        <v>640</v>
      </c>
      <c r="C184" t="s">
        <v>81</v>
      </c>
      <c r="D184" t="s">
        <v>18</v>
      </c>
      <c r="E184" s="1">
        <v>8492.74</v>
      </c>
      <c r="F184">
        <v>1</v>
      </c>
      <c r="G184">
        <v>0</v>
      </c>
      <c r="H184">
        <v>2</v>
      </c>
      <c r="I184">
        <v>0</v>
      </c>
      <c r="J184">
        <v>0</v>
      </c>
      <c r="K184">
        <f t="shared" si="6"/>
        <v>2</v>
      </c>
      <c r="L184" s="1">
        <f t="shared" si="7"/>
        <v>0</v>
      </c>
      <c r="M184" s="1">
        <f t="shared" si="8"/>
        <v>16985.48</v>
      </c>
    </row>
    <row r="185" spans="1:13" x14ac:dyDescent="0.3">
      <c r="A185" t="s">
        <v>641</v>
      </c>
      <c r="B185" t="s">
        <v>642</v>
      </c>
      <c r="D185" t="s">
        <v>18</v>
      </c>
      <c r="E185" s="1">
        <v>0</v>
      </c>
      <c r="F185">
        <v>1</v>
      </c>
      <c r="G185">
        <v>0</v>
      </c>
      <c r="H185">
        <v>2</v>
      </c>
      <c r="I185">
        <v>0</v>
      </c>
      <c r="J185">
        <v>0</v>
      </c>
      <c r="K185">
        <f t="shared" si="6"/>
        <v>2</v>
      </c>
      <c r="L185" s="1">
        <f t="shared" si="7"/>
        <v>0</v>
      </c>
      <c r="M185" s="1">
        <f t="shared" si="8"/>
        <v>0</v>
      </c>
    </row>
    <row r="186" spans="1:13" x14ac:dyDescent="0.3">
      <c r="A186" t="s">
        <v>643</v>
      </c>
      <c r="B186" t="s">
        <v>644</v>
      </c>
      <c r="D186" t="s">
        <v>18</v>
      </c>
      <c r="E186" s="1">
        <v>0</v>
      </c>
      <c r="F186">
        <v>2</v>
      </c>
      <c r="G186">
        <v>0</v>
      </c>
      <c r="H186">
        <v>8</v>
      </c>
      <c r="I186">
        <v>0</v>
      </c>
      <c r="J186">
        <v>0</v>
      </c>
      <c r="K186">
        <f t="shared" si="6"/>
        <v>8</v>
      </c>
      <c r="L186" s="1">
        <f t="shared" si="7"/>
        <v>0</v>
      </c>
      <c r="M186" s="1">
        <f t="shared" si="8"/>
        <v>0</v>
      </c>
    </row>
    <row r="187" spans="1:13" x14ac:dyDescent="0.3">
      <c r="A187" t="s">
        <v>645</v>
      </c>
      <c r="B187" t="s">
        <v>646</v>
      </c>
      <c r="D187" t="s">
        <v>18</v>
      </c>
      <c r="E187" s="1">
        <v>0</v>
      </c>
      <c r="F187">
        <v>2</v>
      </c>
      <c r="G187">
        <v>0</v>
      </c>
      <c r="H187">
        <v>12</v>
      </c>
      <c r="I187">
        <v>0</v>
      </c>
      <c r="J187">
        <v>0</v>
      </c>
      <c r="K187">
        <f t="shared" si="6"/>
        <v>12</v>
      </c>
      <c r="L187" s="1">
        <f t="shared" si="7"/>
        <v>0</v>
      </c>
      <c r="M187" s="1">
        <f t="shared" si="8"/>
        <v>0</v>
      </c>
    </row>
    <row r="188" spans="1:13" x14ac:dyDescent="0.3">
      <c r="A188" t="s">
        <v>647</v>
      </c>
      <c r="B188" t="s">
        <v>648</v>
      </c>
      <c r="D188" t="s">
        <v>18</v>
      </c>
      <c r="E188" s="1">
        <v>0</v>
      </c>
      <c r="F188">
        <v>1</v>
      </c>
      <c r="G188">
        <v>0</v>
      </c>
      <c r="H188">
        <v>2</v>
      </c>
      <c r="I188">
        <v>0</v>
      </c>
      <c r="J188">
        <v>0</v>
      </c>
      <c r="K188">
        <f t="shared" si="6"/>
        <v>2</v>
      </c>
      <c r="L188" s="1">
        <f t="shared" si="7"/>
        <v>0</v>
      </c>
      <c r="M188" s="1">
        <f t="shared" si="8"/>
        <v>0</v>
      </c>
    </row>
    <row r="189" spans="1:13" x14ac:dyDescent="0.3">
      <c r="A189" t="s">
        <v>649</v>
      </c>
      <c r="B189" t="s">
        <v>650</v>
      </c>
      <c r="D189" t="s">
        <v>18</v>
      </c>
      <c r="E189" s="1">
        <v>0</v>
      </c>
      <c r="F189">
        <v>1</v>
      </c>
      <c r="G189">
        <v>0</v>
      </c>
      <c r="H189">
        <v>2</v>
      </c>
      <c r="I189">
        <v>0</v>
      </c>
      <c r="J189">
        <v>0</v>
      </c>
      <c r="K189">
        <f t="shared" si="6"/>
        <v>2</v>
      </c>
      <c r="L189" s="1">
        <f t="shared" si="7"/>
        <v>0</v>
      </c>
      <c r="M189" s="1">
        <f t="shared" si="8"/>
        <v>0</v>
      </c>
    </row>
    <row r="190" spans="1:13" x14ac:dyDescent="0.3">
      <c r="A190" t="s">
        <v>651</v>
      </c>
      <c r="B190" t="s">
        <v>652</v>
      </c>
      <c r="C190" t="s">
        <v>81</v>
      </c>
      <c r="D190" t="s">
        <v>18</v>
      </c>
      <c r="E190" s="1">
        <v>4150.17</v>
      </c>
      <c r="F190">
        <v>1</v>
      </c>
      <c r="G190">
        <v>0</v>
      </c>
      <c r="H190">
        <v>2</v>
      </c>
      <c r="I190">
        <v>0</v>
      </c>
      <c r="J190">
        <v>0</v>
      </c>
      <c r="K190">
        <f t="shared" si="6"/>
        <v>2</v>
      </c>
      <c r="L190" s="1">
        <f t="shared" si="7"/>
        <v>0</v>
      </c>
      <c r="M190" s="1">
        <f t="shared" si="8"/>
        <v>8300.34</v>
      </c>
    </row>
    <row r="191" spans="1:13" x14ac:dyDescent="0.3">
      <c r="A191" t="s">
        <v>653</v>
      </c>
      <c r="B191" t="s">
        <v>654</v>
      </c>
      <c r="D191" t="s">
        <v>18</v>
      </c>
      <c r="E191" s="1">
        <v>0</v>
      </c>
      <c r="F191">
        <v>1</v>
      </c>
      <c r="G191">
        <v>0</v>
      </c>
      <c r="H191">
        <v>2</v>
      </c>
      <c r="I191">
        <v>0</v>
      </c>
      <c r="J191">
        <v>0</v>
      </c>
      <c r="K191">
        <f t="shared" si="6"/>
        <v>2</v>
      </c>
      <c r="L191" s="1">
        <f t="shared" si="7"/>
        <v>0</v>
      </c>
      <c r="M191" s="1">
        <f t="shared" si="8"/>
        <v>0</v>
      </c>
    </row>
    <row r="192" spans="1:13" x14ac:dyDescent="0.3">
      <c r="A192" t="s">
        <v>655</v>
      </c>
      <c r="B192" t="s">
        <v>656</v>
      </c>
      <c r="C192" t="s">
        <v>81</v>
      </c>
      <c r="D192" t="s">
        <v>18</v>
      </c>
      <c r="E192" s="1">
        <v>4157</v>
      </c>
      <c r="F192">
        <v>1</v>
      </c>
      <c r="G192">
        <v>0</v>
      </c>
      <c r="H192">
        <v>4</v>
      </c>
      <c r="I192">
        <v>0</v>
      </c>
      <c r="J192">
        <v>0</v>
      </c>
      <c r="K192">
        <f t="shared" si="6"/>
        <v>4</v>
      </c>
      <c r="L192" s="1">
        <f t="shared" si="7"/>
        <v>0</v>
      </c>
      <c r="M192" s="1">
        <f t="shared" si="8"/>
        <v>16628</v>
      </c>
    </row>
    <row r="193" spans="1:13" x14ac:dyDescent="0.3">
      <c r="A193" t="s">
        <v>657</v>
      </c>
      <c r="B193" t="s">
        <v>658</v>
      </c>
      <c r="C193" t="s">
        <v>81</v>
      </c>
      <c r="D193" t="s">
        <v>18</v>
      </c>
      <c r="E193" s="1">
        <v>4633</v>
      </c>
      <c r="F193">
        <v>1</v>
      </c>
      <c r="G193">
        <v>0</v>
      </c>
      <c r="H193">
        <v>2</v>
      </c>
      <c r="I193">
        <v>0</v>
      </c>
      <c r="J193">
        <v>0</v>
      </c>
      <c r="K193">
        <f t="shared" si="6"/>
        <v>2</v>
      </c>
      <c r="L193" s="1">
        <f t="shared" si="7"/>
        <v>0</v>
      </c>
      <c r="M193" s="1">
        <f t="shared" si="8"/>
        <v>9266</v>
      </c>
    </row>
    <row r="194" spans="1:13" x14ac:dyDescent="0.3">
      <c r="A194" t="s">
        <v>659</v>
      </c>
      <c r="B194" t="s">
        <v>660</v>
      </c>
      <c r="C194" t="s">
        <v>472</v>
      </c>
      <c r="D194" t="s">
        <v>18</v>
      </c>
      <c r="E194" s="1">
        <v>4402.8</v>
      </c>
      <c r="F194">
        <v>1</v>
      </c>
      <c r="G194">
        <v>0</v>
      </c>
      <c r="H194">
        <v>2</v>
      </c>
      <c r="I194">
        <v>0</v>
      </c>
      <c r="J194">
        <v>0</v>
      </c>
      <c r="K194">
        <f t="shared" ref="K194:K257" si="9">IF(H194-I194-J194&gt;0,H194-I194-J194,0)</f>
        <v>2</v>
      </c>
      <c r="L194" s="1">
        <f t="shared" ref="L194:L257" si="10">IFERROR(I194*E194,0)</f>
        <v>0</v>
      </c>
      <c r="M194" s="1">
        <f t="shared" ref="M194:M257" si="11">IFERROR(K194*E194,0)</f>
        <v>8805.6</v>
      </c>
    </row>
    <row r="195" spans="1:13" x14ac:dyDescent="0.3">
      <c r="A195" t="s">
        <v>661</v>
      </c>
      <c r="B195" t="s">
        <v>662</v>
      </c>
      <c r="C195" t="s">
        <v>472</v>
      </c>
      <c r="D195" t="s">
        <v>18</v>
      </c>
      <c r="E195" s="1">
        <v>4559.13</v>
      </c>
      <c r="F195">
        <v>1</v>
      </c>
      <c r="G195">
        <v>0</v>
      </c>
      <c r="H195">
        <v>2</v>
      </c>
      <c r="I195">
        <v>0</v>
      </c>
      <c r="J195">
        <v>0</v>
      </c>
      <c r="K195">
        <f t="shared" si="9"/>
        <v>2</v>
      </c>
      <c r="L195" s="1">
        <f t="shared" si="10"/>
        <v>0</v>
      </c>
      <c r="M195" s="1">
        <f t="shared" si="11"/>
        <v>9118.26</v>
      </c>
    </row>
    <row r="196" spans="1:13" x14ac:dyDescent="0.3">
      <c r="A196" t="s">
        <v>663</v>
      </c>
      <c r="B196" t="s">
        <v>664</v>
      </c>
      <c r="D196" t="s">
        <v>18</v>
      </c>
      <c r="E196" s="1">
        <v>0</v>
      </c>
      <c r="F196">
        <v>1</v>
      </c>
      <c r="G196">
        <v>0</v>
      </c>
      <c r="H196">
        <v>2</v>
      </c>
      <c r="I196">
        <v>0</v>
      </c>
      <c r="J196">
        <v>0</v>
      </c>
      <c r="K196">
        <f t="shared" si="9"/>
        <v>2</v>
      </c>
      <c r="L196" s="1">
        <f t="shared" si="10"/>
        <v>0</v>
      </c>
      <c r="M196" s="1">
        <f t="shared" si="11"/>
        <v>0</v>
      </c>
    </row>
    <row r="197" spans="1:13" x14ac:dyDescent="0.3">
      <c r="A197" t="s">
        <v>665</v>
      </c>
      <c r="B197" t="s">
        <v>666</v>
      </c>
      <c r="D197" t="s">
        <v>18</v>
      </c>
      <c r="E197" s="1">
        <v>0</v>
      </c>
      <c r="F197">
        <v>1</v>
      </c>
      <c r="G197">
        <v>0</v>
      </c>
      <c r="H197">
        <v>2</v>
      </c>
      <c r="I197">
        <v>0</v>
      </c>
      <c r="J197">
        <v>0</v>
      </c>
      <c r="K197">
        <f t="shared" si="9"/>
        <v>2</v>
      </c>
      <c r="L197" s="1">
        <f t="shared" si="10"/>
        <v>0</v>
      </c>
      <c r="M197" s="1">
        <f t="shared" si="11"/>
        <v>0</v>
      </c>
    </row>
    <row r="198" spans="1:13" x14ac:dyDescent="0.3">
      <c r="A198" t="s">
        <v>667</v>
      </c>
      <c r="B198" t="s">
        <v>668</v>
      </c>
      <c r="D198" t="s">
        <v>18</v>
      </c>
      <c r="E198" s="1">
        <v>0</v>
      </c>
      <c r="F198">
        <v>1</v>
      </c>
      <c r="G198">
        <v>0</v>
      </c>
      <c r="H198">
        <v>2</v>
      </c>
      <c r="I198">
        <v>0</v>
      </c>
      <c r="J198">
        <v>0</v>
      </c>
      <c r="K198">
        <f t="shared" si="9"/>
        <v>2</v>
      </c>
      <c r="L198" s="1">
        <f t="shared" si="10"/>
        <v>0</v>
      </c>
      <c r="M198" s="1">
        <f t="shared" si="11"/>
        <v>0</v>
      </c>
    </row>
    <row r="199" spans="1:13" x14ac:dyDescent="0.3">
      <c r="A199" t="s">
        <v>669</v>
      </c>
      <c r="B199" t="s">
        <v>670</v>
      </c>
      <c r="C199" t="s">
        <v>81</v>
      </c>
      <c r="D199" t="s">
        <v>18</v>
      </c>
      <c r="E199" s="1">
        <v>4935.88</v>
      </c>
      <c r="F199">
        <v>1</v>
      </c>
      <c r="G199">
        <v>0</v>
      </c>
      <c r="H199">
        <v>3</v>
      </c>
      <c r="I199">
        <v>0</v>
      </c>
      <c r="J199">
        <v>0</v>
      </c>
      <c r="K199">
        <f t="shared" si="9"/>
        <v>3</v>
      </c>
      <c r="L199" s="1">
        <f t="shared" si="10"/>
        <v>0</v>
      </c>
      <c r="M199" s="1">
        <f t="shared" si="11"/>
        <v>14807.64</v>
      </c>
    </row>
    <row r="200" spans="1:13" x14ac:dyDescent="0.3">
      <c r="A200" t="s">
        <v>671</v>
      </c>
      <c r="B200" t="s">
        <v>672</v>
      </c>
      <c r="C200" t="s">
        <v>81</v>
      </c>
      <c r="D200" t="s">
        <v>18</v>
      </c>
      <c r="E200" s="1">
        <v>4138</v>
      </c>
      <c r="F200">
        <v>1</v>
      </c>
      <c r="G200">
        <v>0</v>
      </c>
      <c r="H200">
        <v>2</v>
      </c>
      <c r="I200">
        <v>0</v>
      </c>
      <c r="J200">
        <v>0</v>
      </c>
      <c r="K200">
        <f t="shared" si="9"/>
        <v>2</v>
      </c>
      <c r="L200" s="1">
        <f t="shared" si="10"/>
        <v>0</v>
      </c>
      <c r="M200" s="1">
        <f t="shared" si="11"/>
        <v>8276</v>
      </c>
    </row>
    <row r="201" spans="1:13" x14ac:dyDescent="0.3">
      <c r="A201" t="s">
        <v>673</v>
      </c>
      <c r="B201" t="s">
        <v>674</v>
      </c>
      <c r="C201" t="s">
        <v>81</v>
      </c>
      <c r="D201" t="s">
        <v>18</v>
      </c>
      <c r="E201" s="1">
        <v>5284.43</v>
      </c>
      <c r="F201">
        <v>1</v>
      </c>
      <c r="G201">
        <v>0</v>
      </c>
      <c r="H201">
        <v>2</v>
      </c>
      <c r="I201">
        <v>0</v>
      </c>
      <c r="J201">
        <v>0</v>
      </c>
      <c r="K201">
        <f t="shared" si="9"/>
        <v>2</v>
      </c>
      <c r="L201" s="1">
        <f t="shared" si="10"/>
        <v>0</v>
      </c>
      <c r="M201" s="1">
        <f t="shared" si="11"/>
        <v>10568.86</v>
      </c>
    </row>
    <row r="202" spans="1:13" x14ac:dyDescent="0.3">
      <c r="A202" t="s">
        <v>675</v>
      </c>
      <c r="B202" t="s">
        <v>676</v>
      </c>
      <c r="D202" t="s">
        <v>18</v>
      </c>
      <c r="E202" s="1">
        <v>0</v>
      </c>
      <c r="F202">
        <v>1</v>
      </c>
      <c r="G202">
        <v>0</v>
      </c>
      <c r="H202">
        <v>2</v>
      </c>
      <c r="I202">
        <v>0</v>
      </c>
      <c r="J202">
        <v>0</v>
      </c>
      <c r="K202">
        <f t="shared" si="9"/>
        <v>2</v>
      </c>
      <c r="L202" s="1">
        <f t="shared" si="10"/>
        <v>0</v>
      </c>
      <c r="M202" s="1">
        <f t="shared" si="11"/>
        <v>0</v>
      </c>
    </row>
    <row r="203" spans="1:13" x14ac:dyDescent="0.3">
      <c r="A203" t="s">
        <v>677</v>
      </c>
      <c r="B203" t="s">
        <v>678</v>
      </c>
      <c r="D203" t="s">
        <v>18</v>
      </c>
      <c r="E203" s="1">
        <v>0</v>
      </c>
      <c r="F203">
        <v>1</v>
      </c>
      <c r="G203">
        <v>0</v>
      </c>
      <c r="H203">
        <v>2</v>
      </c>
      <c r="I203">
        <v>0</v>
      </c>
      <c r="J203">
        <v>0</v>
      </c>
      <c r="K203">
        <f t="shared" si="9"/>
        <v>2</v>
      </c>
      <c r="L203" s="1">
        <f t="shared" si="10"/>
        <v>0</v>
      </c>
      <c r="M203" s="1">
        <f t="shared" si="11"/>
        <v>0</v>
      </c>
    </row>
    <row r="204" spans="1:13" x14ac:dyDescent="0.3">
      <c r="A204" t="s">
        <v>679</v>
      </c>
      <c r="B204" t="s">
        <v>680</v>
      </c>
      <c r="D204" t="s">
        <v>18</v>
      </c>
      <c r="E204" s="1">
        <v>0</v>
      </c>
      <c r="F204">
        <v>1</v>
      </c>
      <c r="G204">
        <v>0</v>
      </c>
      <c r="H204">
        <v>2</v>
      </c>
      <c r="I204">
        <v>0</v>
      </c>
      <c r="J204">
        <v>0</v>
      </c>
      <c r="K204">
        <f t="shared" si="9"/>
        <v>2</v>
      </c>
      <c r="L204" s="1">
        <f t="shared" si="10"/>
        <v>0</v>
      </c>
      <c r="M204" s="1">
        <f t="shared" si="11"/>
        <v>0</v>
      </c>
    </row>
    <row r="205" spans="1:13" x14ac:dyDescent="0.3">
      <c r="A205" t="s">
        <v>681</v>
      </c>
      <c r="B205" t="s">
        <v>682</v>
      </c>
      <c r="D205" t="s">
        <v>18</v>
      </c>
      <c r="E205" s="1">
        <v>0</v>
      </c>
      <c r="F205">
        <v>1</v>
      </c>
      <c r="G205">
        <v>0</v>
      </c>
      <c r="H205">
        <v>2</v>
      </c>
      <c r="I205">
        <v>0</v>
      </c>
      <c r="J205">
        <v>0</v>
      </c>
      <c r="K205">
        <f t="shared" si="9"/>
        <v>2</v>
      </c>
      <c r="L205" s="1">
        <f t="shared" si="10"/>
        <v>0</v>
      </c>
      <c r="M205" s="1">
        <f t="shared" si="11"/>
        <v>0</v>
      </c>
    </row>
    <row r="206" spans="1:13" x14ac:dyDescent="0.3">
      <c r="A206" t="s">
        <v>683</v>
      </c>
      <c r="B206" t="s">
        <v>684</v>
      </c>
      <c r="C206" t="s">
        <v>81</v>
      </c>
      <c r="D206" t="s">
        <v>18</v>
      </c>
      <c r="E206" s="1">
        <v>6487.29</v>
      </c>
      <c r="F206">
        <v>1</v>
      </c>
      <c r="G206">
        <v>0</v>
      </c>
      <c r="H206">
        <v>2</v>
      </c>
      <c r="I206">
        <v>0</v>
      </c>
      <c r="J206">
        <v>0</v>
      </c>
      <c r="K206">
        <f t="shared" si="9"/>
        <v>2</v>
      </c>
      <c r="L206" s="1">
        <f t="shared" si="10"/>
        <v>0</v>
      </c>
      <c r="M206" s="1">
        <f t="shared" si="11"/>
        <v>12974.58</v>
      </c>
    </row>
    <row r="207" spans="1:13" x14ac:dyDescent="0.3">
      <c r="A207" t="s">
        <v>685</v>
      </c>
      <c r="B207" t="s">
        <v>686</v>
      </c>
      <c r="C207" t="s">
        <v>472</v>
      </c>
      <c r="D207" t="s">
        <v>18</v>
      </c>
      <c r="E207" s="1">
        <v>8039</v>
      </c>
      <c r="F207">
        <v>2</v>
      </c>
      <c r="G207">
        <v>0</v>
      </c>
      <c r="H207">
        <v>10</v>
      </c>
      <c r="I207">
        <v>0</v>
      </c>
      <c r="J207">
        <v>0</v>
      </c>
      <c r="K207">
        <f t="shared" si="9"/>
        <v>10</v>
      </c>
      <c r="L207" s="1">
        <f t="shared" si="10"/>
        <v>0</v>
      </c>
      <c r="M207" s="1">
        <f t="shared" si="11"/>
        <v>80390</v>
      </c>
    </row>
    <row r="208" spans="1:13" x14ac:dyDescent="0.3">
      <c r="A208" t="s">
        <v>687</v>
      </c>
      <c r="B208" t="s">
        <v>688</v>
      </c>
      <c r="D208" t="s">
        <v>18</v>
      </c>
      <c r="E208" s="1">
        <v>0</v>
      </c>
      <c r="F208">
        <v>1</v>
      </c>
      <c r="G208">
        <v>0</v>
      </c>
      <c r="H208">
        <v>2</v>
      </c>
      <c r="I208">
        <v>0</v>
      </c>
      <c r="J208">
        <v>0</v>
      </c>
      <c r="K208">
        <f t="shared" si="9"/>
        <v>2</v>
      </c>
      <c r="L208" s="1">
        <f t="shared" si="10"/>
        <v>0</v>
      </c>
      <c r="M208" s="1">
        <f t="shared" si="11"/>
        <v>0</v>
      </c>
    </row>
    <row r="209" spans="1:13" x14ac:dyDescent="0.3">
      <c r="A209" t="s">
        <v>689</v>
      </c>
      <c r="B209" t="s">
        <v>690</v>
      </c>
      <c r="D209" t="s">
        <v>18</v>
      </c>
      <c r="E209" s="1">
        <v>0</v>
      </c>
      <c r="F209">
        <v>1</v>
      </c>
      <c r="G209">
        <v>0</v>
      </c>
      <c r="H209">
        <v>2</v>
      </c>
      <c r="I209">
        <v>0</v>
      </c>
      <c r="J209">
        <v>0</v>
      </c>
      <c r="K209">
        <f t="shared" si="9"/>
        <v>2</v>
      </c>
      <c r="L209" s="1">
        <f t="shared" si="10"/>
        <v>0</v>
      </c>
      <c r="M209" s="1">
        <f t="shared" si="11"/>
        <v>0</v>
      </c>
    </row>
    <row r="210" spans="1:13" x14ac:dyDescent="0.3">
      <c r="A210" t="s">
        <v>691</v>
      </c>
      <c r="B210" t="s">
        <v>692</v>
      </c>
      <c r="D210" t="s">
        <v>18</v>
      </c>
      <c r="E210" s="1">
        <v>0</v>
      </c>
      <c r="F210">
        <v>1</v>
      </c>
      <c r="G210">
        <v>0</v>
      </c>
      <c r="H210">
        <v>2</v>
      </c>
      <c r="I210">
        <v>0</v>
      </c>
      <c r="J210">
        <v>0</v>
      </c>
      <c r="K210">
        <f t="shared" si="9"/>
        <v>2</v>
      </c>
      <c r="L210" s="1">
        <f t="shared" si="10"/>
        <v>0</v>
      </c>
      <c r="M210" s="1">
        <f t="shared" si="11"/>
        <v>0</v>
      </c>
    </row>
    <row r="211" spans="1:13" x14ac:dyDescent="0.3">
      <c r="A211" t="s">
        <v>693</v>
      </c>
      <c r="B211" t="s">
        <v>694</v>
      </c>
      <c r="D211" t="s">
        <v>18</v>
      </c>
      <c r="E211" s="1">
        <v>0</v>
      </c>
      <c r="F211">
        <v>1</v>
      </c>
      <c r="G211">
        <v>0</v>
      </c>
      <c r="H211">
        <v>2</v>
      </c>
      <c r="I211">
        <v>0</v>
      </c>
      <c r="J211">
        <v>0</v>
      </c>
      <c r="K211">
        <f t="shared" si="9"/>
        <v>2</v>
      </c>
      <c r="L211" s="1">
        <f t="shared" si="10"/>
        <v>0</v>
      </c>
      <c r="M211" s="1">
        <f t="shared" si="11"/>
        <v>0</v>
      </c>
    </row>
    <row r="212" spans="1:13" x14ac:dyDescent="0.3">
      <c r="A212" t="s">
        <v>695</v>
      </c>
      <c r="B212" t="s">
        <v>696</v>
      </c>
      <c r="C212" t="s">
        <v>81</v>
      </c>
      <c r="D212" t="s">
        <v>18</v>
      </c>
      <c r="E212" s="1">
        <v>5138.6899999999996</v>
      </c>
      <c r="F212">
        <v>1</v>
      </c>
      <c r="G212">
        <v>0</v>
      </c>
      <c r="H212">
        <v>2</v>
      </c>
      <c r="I212">
        <v>0</v>
      </c>
      <c r="J212">
        <v>0</v>
      </c>
      <c r="K212">
        <f t="shared" si="9"/>
        <v>2</v>
      </c>
      <c r="L212" s="1">
        <f t="shared" si="10"/>
        <v>0</v>
      </c>
      <c r="M212" s="1">
        <f t="shared" si="11"/>
        <v>10277.379999999999</v>
      </c>
    </row>
    <row r="213" spans="1:13" x14ac:dyDescent="0.3">
      <c r="A213" t="s">
        <v>697</v>
      </c>
      <c r="B213" t="s">
        <v>698</v>
      </c>
      <c r="C213" t="s">
        <v>472</v>
      </c>
      <c r="D213" t="s">
        <v>18</v>
      </c>
      <c r="E213" s="1">
        <v>3606.45</v>
      </c>
      <c r="F213">
        <v>1</v>
      </c>
      <c r="G213">
        <v>0</v>
      </c>
      <c r="H213">
        <v>2</v>
      </c>
      <c r="I213">
        <v>0</v>
      </c>
      <c r="J213">
        <v>0</v>
      </c>
      <c r="K213">
        <f t="shared" si="9"/>
        <v>2</v>
      </c>
      <c r="L213" s="1">
        <f t="shared" si="10"/>
        <v>0</v>
      </c>
      <c r="M213" s="1">
        <f t="shared" si="11"/>
        <v>7212.9</v>
      </c>
    </row>
    <row r="214" spans="1:13" x14ac:dyDescent="0.3">
      <c r="A214" t="s">
        <v>699</v>
      </c>
      <c r="B214" t="s">
        <v>700</v>
      </c>
      <c r="C214" t="s">
        <v>81</v>
      </c>
      <c r="D214" t="s">
        <v>18</v>
      </c>
      <c r="E214" s="1">
        <v>5419</v>
      </c>
      <c r="F214">
        <v>1</v>
      </c>
      <c r="G214">
        <v>0</v>
      </c>
      <c r="H214">
        <v>3</v>
      </c>
      <c r="I214">
        <v>0</v>
      </c>
      <c r="J214">
        <v>0</v>
      </c>
      <c r="K214">
        <f t="shared" si="9"/>
        <v>3</v>
      </c>
      <c r="L214" s="1">
        <f t="shared" si="10"/>
        <v>0</v>
      </c>
      <c r="M214" s="1">
        <f t="shared" si="11"/>
        <v>16257</v>
      </c>
    </row>
    <row r="215" spans="1:13" x14ac:dyDescent="0.3">
      <c r="A215" t="s">
        <v>701</v>
      </c>
      <c r="B215" t="s">
        <v>702</v>
      </c>
      <c r="D215" t="s">
        <v>18</v>
      </c>
      <c r="E215" s="1">
        <v>0</v>
      </c>
      <c r="F215">
        <v>1</v>
      </c>
      <c r="G215">
        <v>0</v>
      </c>
      <c r="H215">
        <v>5</v>
      </c>
      <c r="I215">
        <v>0</v>
      </c>
      <c r="J215">
        <v>0</v>
      </c>
      <c r="K215">
        <f t="shared" si="9"/>
        <v>5</v>
      </c>
      <c r="L215" s="1">
        <f t="shared" si="10"/>
        <v>0</v>
      </c>
      <c r="M215" s="1">
        <f t="shared" si="11"/>
        <v>0</v>
      </c>
    </row>
    <row r="216" spans="1:13" x14ac:dyDescent="0.3">
      <c r="A216" t="s">
        <v>703</v>
      </c>
      <c r="B216" t="s">
        <v>704</v>
      </c>
      <c r="C216" t="s">
        <v>81</v>
      </c>
      <c r="D216" t="s">
        <v>18</v>
      </c>
      <c r="E216" s="1">
        <v>5978.54</v>
      </c>
      <c r="F216">
        <v>2</v>
      </c>
      <c r="G216">
        <v>0</v>
      </c>
      <c r="H216">
        <v>4</v>
      </c>
      <c r="I216">
        <v>0</v>
      </c>
      <c r="J216">
        <v>0</v>
      </c>
      <c r="K216">
        <f t="shared" si="9"/>
        <v>4</v>
      </c>
      <c r="L216" s="1">
        <f t="shared" si="10"/>
        <v>0</v>
      </c>
      <c r="M216" s="1">
        <f t="shared" si="11"/>
        <v>23914.16</v>
      </c>
    </row>
    <row r="217" spans="1:13" x14ac:dyDescent="0.3">
      <c r="A217" t="s">
        <v>705</v>
      </c>
      <c r="B217" t="s">
        <v>706</v>
      </c>
      <c r="C217" t="s">
        <v>472</v>
      </c>
      <c r="D217" t="s">
        <v>18</v>
      </c>
      <c r="E217" s="1">
        <v>5809.2</v>
      </c>
      <c r="F217">
        <v>1</v>
      </c>
      <c r="G217">
        <v>0</v>
      </c>
      <c r="H217">
        <v>5</v>
      </c>
      <c r="I217">
        <v>0</v>
      </c>
      <c r="J217">
        <v>0</v>
      </c>
      <c r="K217">
        <f t="shared" si="9"/>
        <v>5</v>
      </c>
      <c r="L217" s="1">
        <f t="shared" si="10"/>
        <v>0</v>
      </c>
      <c r="M217" s="1">
        <f t="shared" si="11"/>
        <v>29046</v>
      </c>
    </row>
    <row r="218" spans="1:13" x14ac:dyDescent="0.3">
      <c r="A218" t="s">
        <v>707</v>
      </c>
      <c r="B218" t="s">
        <v>708</v>
      </c>
      <c r="D218" t="s">
        <v>18</v>
      </c>
      <c r="E218" s="1">
        <v>0</v>
      </c>
      <c r="F218">
        <v>2</v>
      </c>
      <c r="G218">
        <v>0</v>
      </c>
      <c r="H218">
        <v>8</v>
      </c>
      <c r="I218">
        <v>0</v>
      </c>
      <c r="J218">
        <v>0</v>
      </c>
      <c r="K218">
        <f t="shared" si="9"/>
        <v>8</v>
      </c>
      <c r="L218" s="1">
        <f t="shared" si="10"/>
        <v>0</v>
      </c>
      <c r="M218" s="1">
        <f t="shared" si="11"/>
        <v>0</v>
      </c>
    </row>
    <row r="219" spans="1:13" x14ac:dyDescent="0.3">
      <c r="A219" t="s">
        <v>709</v>
      </c>
      <c r="B219" t="s">
        <v>710</v>
      </c>
      <c r="D219" t="s">
        <v>18</v>
      </c>
      <c r="E219" s="1">
        <v>0</v>
      </c>
      <c r="F219">
        <v>1</v>
      </c>
      <c r="G219">
        <v>0</v>
      </c>
      <c r="H219">
        <v>2</v>
      </c>
      <c r="I219">
        <v>0</v>
      </c>
      <c r="J219">
        <v>0</v>
      </c>
      <c r="K219">
        <f t="shared" si="9"/>
        <v>2</v>
      </c>
      <c r="L219" s="1">
        <f t="shared" si="10"/>
        <v>0</v>
      </c>
      <c r="M219" s="1">
        <f t="shared" si="11"/>
        <v>0</v>
      </c>
    </row>
    <row r="220" spans="1:13" x14ac:dyDescent="0.3">
      <c r="A220" t="s">
        <v>711</v>
      </c>
      <c r="B220" t="s">
        <v>712</v>
      </c>
      <c r="D220" t="s">
        <v>18</v>
      </c>
      <c r="E220" s="1">
        <v>0</v>
      </c>
      <c r="F220">
        <v>1</v>
      </c>
      <c r="G220">
        <v>0</v>
      </c>
      <c r="H220">
        <v>5</v>
      </c>
      <c r="I220">
        <v>0</v>
      </c>
      <c r="J220">
        <v>0</v>
      </c>
      <c r="K220">
        <f t="shared" si="9"/>
        <v>5</v>
      </c>
      <c r="L220" s="1">
        <f t="shared" si="10"/>
        <v>0</v>
      </c>
      <c r="M220" s="1">
        <f t="shared" si="11"/>
        <v>0</v>
      </c>
    </row>
    <row r="221" spans="1:13" x14ac:dyDescent="0.3">
      <c r="A221" t="s">
        <v>713</v>
      </c>
      <c r="B221" t="s">
        <v>714</v>
      </c>
      <c r="D221" t="s">
        <v>18</v>
      </c>
      <c r="E221" s="1">
        <v>0</v>
      </c>
      <c r="F221">
        <v>1</v>
      </c>
      <c r="G221">
        <v>0</v>
      </c>
      <c r="H221">
        <v>2</v>
      </c>
      <c r="I221">
        <v>0</v>
      </c>
      <c r="J221">
        <v>0</v>
      </c>
      <c r="K221">
        <f t="shared" si="9"/>
        <v>2</v>
      </c>
      <c r="L221" s="1">
        <f t="shared" si="10"/>
        <v>0</v>
      </c>
      <c r="M221" s="1">
        <f t="shared" si="11"/>
        <v>0</v>
      </c>
    </row>
    <row r="222" spans="1:13" x14ac:dyDescent="0.3">
      <c r="A222" t="s">
        <v>715</v>
      </c>
      <c r="B222" t="s">
        <v>716</v>
      </c>
      <c r="D222" t="s">
        <v>18</v>
      </c>
      <c r="E222" s="1">
        <v>0</v>
      </c>
      <c r="F222">
        <v>1</v>
      </c>
      <c r="G222">
        <v>0</v>
      </c>
      <c r="H222">
        <v>2</v>
      </c>
      <c r="I222">
        <v>0</v>
      </c>
      <c r="J222">
        <v>0</v>
      </c>
      <c r="K222">
        <f t="shared" si="9"/>
        <v>2</v>
      </c>
      <c r="L222" s="1">
        <f t="shared" si="10"/>
        <v>0</v>
      </c>
      <c r="M222" s="1">
        <f t="shared" si="11"/>
        <v>0</v>
      </c>
    </row>
    <row r="223" spans="1:13" x14ac:dyDescent="0.3">
      <c r="A223" t="s">
        <v>717</v>
      </c>
      <c r="B223" t="s">
        <v>718</v>
      </c>
      <c r="D223" t="s">
        <v>18</v>
      </c>
      <c r="E223" s="1">
        <v>0</v>
      </c>
      <c r="F223">
        <v>1</v>
      </c>
      <c r="G223">
        <v>0</v>
      </c>
      <c r="H223">
        <v>2</v>
      </c>
      <c r="I223">
        <v>0</v>
      </c>
      <c r="J223">
        <v>0</v>
      </c>
      <c r="K223">
        <f t="shared" si="9"/>
        <v>2</v>
      </c>
      <c r="L223" s="1">
        <f t="shared" si="10"/>
        <v>0</v>
      </c>
      <c r="M223" s="1">
        <f t="shared" si="11"/>
        <v>0</v>
      </c>
    </row>
    <row r="224" spans="1:13" x14ac:dyDescent="0.3">
      <c r="A224" t="s">
        <v>719</v>
      </c>
      <c r="B224" t="s">
        <v>720</v>
      </c>
      <c r="D224" t="s">
        <v>18</v>
      </c>
      <c r="E224" s="1">
        <v>0</v>
      </c>
      <c r="F224">
        <v>1</v>
      </c>
      <c r="G224">
        <v>0</v>
      </c>
      <c r="H224">
        <v>2</v>
      </c>
      <c r="I224">
        <v>0</v>
      </c>
      <c r="J224">
        <v>0</v>
      </c>
      <c r="K224">
        <f t="shared" si="9"/>
        <v>2</v>
      </c>
      <c r="L224" s="1">
        <f t="shared" si="10"/>
        <v>0</v>
      </c>
      <c r="M224" s="1">
        <f t="shared" si="11"/>
        <v>0</v>
      </c>
    </row>
    <row r="225" spans="1:13" x14ac:dyDescent="0.3">
      <c r="A225" t="s">
        <v>721</v>
      </c>
      <c r="B225" t="s">
        <v>722</v>
      </c>
      <c r="C225" t="s">
        <v>81</v>
      </c>
      <c r="D225" t="s">
        <v>18</v>
      </c>
      <c r="E225" s="1">
        <v>5219.33</v>
      </c>
      <c r="F225">
        <v>1</v>
      </c>
      <c r="G225">
        <v>0</v>
      </c>
      <c r="H225">
        <v>3</v>
      </c>
      <c r="I225">
        <v>0</v>
      </c>
      <c r="J225">
        <v>0</v>
      </c>
      <c r="K225">
        <f t="shared" si="9"/>
        <v>3</v>
      </c>
      <c r="L225" s="1">
        <f t="shared" si="10"/>
        <v>0</v>
      </c>
      <c r="M225" s="1">
        <f t="shared" si="11"/>
        <v>15657.99</v>
      </c>
    </row>
    <row r="226" spans="1:13" x14ac:dyDescent="0.3">
      <c r="A226" t="s">
        <v>723</v>
      </c>
      <c r="B226" t="s">
        <v>724</v>
      </c>
      <c r="D226" t="s">
        <v>18</v>
      </c>
      <c r="E226" s="1">
        <v>0</v>
      </c>
      <c r="F226">
        <v>1</v>
      </c>
      <c r="G226">
        <v>0</v>
      </c>
      <c r="H226">
        <v>2</v>
      </c>
      <c r="I226">
        <v>0</v>
      </c>
      <c r="J226">
        <v>0</v>
      </c>
      <c r="K226">
        <f t="shared" si="9"/>
        <v>2</v>
      </c>
      <c r="L226" s="1">
        <f t="shared" si="10"/>
        <v>0</v>
      </c>
      <c r="M226" s="1">
        <f t="shared" si="11"/>
        <v>0</v>
      </c>
    </row>
    <row r="227" spans="1:13" x14ac:dyDescent="0.3">
      <c r="A227" t="s">
        <v>725</v>
      </c>
      <c r="B227" t="s">
        <v>726</v>
      </c>
      <c r="C227" t="s">
        <v>81</v>
      </c>
      <c r="D227" t="s">
        <v>18</v>
      </c>
      <c r="E227" s="1">
        <v>5355.45</v>
      </c>
      <c r="F227">
        <v>1</v>
      </c>
      <c r="G227">
        <v>0</v>
      </c>
      <c r="H227">
        <v>3</v>
      </c>
      <c r="I227">
        <v>0</v>
      </c>
      <c r="J227">
        <v>0</v>
      </c>
      <c r="K227">
        <f t="shared" si="9"/>
        <v>3</v>
      </c>
      <c r="L227" s="1">
        <f t="shared" si="10"/>
        <v>0</v>
      </c>
      <c r="M227" s="1">
        <f t="shared" si="11"/>
        <v>16066.349999999999</v>
      </c>
    </row>
    <row r="228" spans="1:13" x14ac:dyDescent="0.3">
      <c r="A228" t="s">
        <v>727</v>
      </c>
      <c r="B228" t="s">
        <v>728</v>
      </c>
      <c r="C228" t="s">
        <v>81</v>
      </c>
      <c r="D228" t="s">
        <v>18</v>
      </c>
      <c r="E228" s="1">
        <v>5601</v>
      </c>
      <c r="F228">
        <v>2</v>
      </c>
      <c r="G228">
        <v>0</v>
      </c>
      <c r="H228">
        <v>4</v>
      </c>
      <c r="I228">
        <v>0</v>
      </c>
      <c r="J228">
        <v>0</v>
      </c>
      <c r="K228">
        <f t="shared" si="9"/>
        <v>4</v>
      </c>
      <c r="L228" s="1">
        <f t="shared" si="10"/>
        <v>0</v>
      </c>
      <c r="M228" s="1">
        <f t="shared" si="11"/>
        <v>22404</v>
      </c>
    </row>
    <row r="229" spans="1:13" x14ac:dyDescent="0.3">
      <c r="A229" t="s">
        <v>729</v>
      </c>
      <c r="B229" t="s">
        <v>730</v>
      </c>
      <c r="D229" t="s">
        <v>18</v>
      </c>
      <c r="E229" s="1">
        <v>0</v>
      </c>
      <c r="F229">
        <v>1</v>
      </c>
      <c r="G229">
        <v>0</v>
      </c>
      <c r="H229">
        <v>2</v>
      </c>
      <c r="I229">
        <v>0</v>
      </c>
      <c r="J229">
        <v>0</v>
      </c>
      <c r="K229">
        <f t="shared" si="9"/>
        <v>2</v>
      </c>
      <c r="L229" s="1">
        <f t="shared" si="10"/>
        <v>0</v>
      </c>
      <c r="M229" s="1">
        <f t="shared" si="11"/>
        <v>0</v>
      </c>
    </row>
    <row r="230" spans="1:13" x14ac:dyDescent="0.3">
      <c r="A230" t="s">
        <v>731</v>
      </c>
      <c r="B230" t="s">
        <v>732</v>
      </c>
      <c r="D230" t="s">
        <v>18</v>
      </c>
      <c r="E230" s="1">
        <v>0</v>
      </c>
      <c r="F230">
        <v>1</v>
      </c>
      <c r="G230">
        <v>0</v>
      </c>
      <c r="H230">
        <v>2</v>
      </c>
      <c r="I230">
        <v>0</v>
      </c>
      <c r="J230">
        <v>0</v>
      </c>
      <c r="K230">
        <f t="shared" si="9"/>
        <v>2</v>
      </c>
      <c r="L230" s="1">
        <f t="shared" si="10"/>
        <v>0</v>
      </c>
      <c r="M230" s="1">
        <f t="shared" si="11"/>
        <v>0</v>
      </c>
    </row>
    <row r="231" spans="1:13" x14ac:dyDescent="0.3">
      <c r="A231" t="s">
        <v>733</v>
      </c>
      <c r="B231" t="s">
        <v>734</v>
      </c>
      <c r="C231" t="s">
        <v>472</v>
      </c>
      <c r="D231" t="s">
        <v>18</v>
      </c>
      <c r="E231" s="1">
        <v>2032.3</v>
      </c>
      <c r="F231">
        <v>1</v>
      </c>
      <c r="G231">
        <v>0</v>
      </c>
      <c r="H231">
        <v>3</v>
      </c>
      <c r="I231">
        <v>0</v>
      </c>
      <c r="J231">
        <v>0</v>
      </c>
      <c r="K231">
        <f t="shared" si="9"/>
        <v>3</v>
      </c>
      <c r="L231" s="1">
        <f t="shared" si="10"/>
        <v>0</v>
      </c>
      <c r="M231" s="1">
        <f t="shared" si="11"/>
        <v>6096.9</v>
      </c>
    </row>
    <row r="232" spans="1:13" x14ac:dyDescent="0.3">
      <c r="A232" t="s">
        <v>735</v>
      </c>
      <c r="B232" t="s">
        <v>736</v>
      </c>
      <c r="D232" t="s">
        <v>18</v>
      </c>
      <c r="E232" s="1">
        <v>0</v>
      </c>
      <c r="F232">
        <v>2</v>
      </c>
      <c r="G232">
        <v>0</v>
      </c>
      <c r="H232">
        <v>10</v>
      </c>
      <c r="I232">
        <v>0</v>
      </c>
      <c r="J232">
        <v>0</v>
      </c>
      <c r="K232">
        <f t="shared" si="9"/>
        <v>10</v>
      </c>
      <c r="L232" s="1">
        <f t="shared" si="10"/>
        <v>0</v>
      </c>
      <c r="M232" s="1">
        <f t="shared" si="11"/>
        <v>0</v>
      </c>
    </row>
    <row r="233" spans="1:13" x14ac:dyDescent="0.3">
      <c r="A233" t="s">
        <v>737</v>
      </c>
      <c r="B233" t="s">
        <v>738</v>
      </c>
      <c r="C233" t="s">
        <v>81</v>
      </c>
      <c r="D233" t="s">
        <v>18</v>
      </c>
      <c r="E233" s="1">
        <v>2032.3</v>
      </c>
      <c r="F233">
        <v>1</v>
      </c>
      <c r="G233">
        <v>0</v>
      </c>
      <c r="H233">
        <v>2</v>
      </c>
      <c r="I233">
        <v>0</v>
      </c>
      <c r="J233">
        <v>0</v>
      </c>
      <c r="K233">
        <f t="shared" si="9"/>
        <v>2</v>
      </c>
      <c r="L233" s="1">
        <f t="shared" si="10"/>
        <v>0</v>
      </c>
      <c r="M233" s="1">
        <f t="shared" si="11"/>
        <v>4064.6</v>
      </c>
    </row>
    <row r="234" spans="1:13" x14ac:dyDescent="0.3">
      <c r="A234" t="s">
        <v>739</v>
      </c>
      <c r="B234" t="s">
        <v>740</v>
      </c>
      <c r="D234" t="s">
        <v>18</v>
      </c>
      <c r="E234" s="1">
        <v>0</v>
      </c>
      <c r="F234">
        <v>1</v>
      </c>
      <c r="G234">
        <v>0</v>
      </c>
      <c r="H234">
        <v>5</v>
      </c>
      <c r="I234">
        <v>0</v>
      </c>
      <c r="J234">
        <v>0</v>
      </c>
      <c r="K234">
        <f t="shared" si="9"/>
        <v>5</v>
      </c>
      <c r="L234" s="1">
        <f t="shared" si="10"/>
        <v>0</v>
      </c>
      <c r="M234" s="1">
        <f t="shared" si="11"/>
        <v>0</v>
      </c>
    </row>
    <row r="235" spans="1:13" x14ac:dyDescent="0.3">
      <c r="A235" t="s">
        <v>741</v>
      </c>
      <c r="B235" t="s">
        <v>742</v>
      </c>
      <c r="D235" t="s">
        <v>18</v>
      </c>
      <c r="E235" s="1">
        <v>0</v>
      </c>
      <c r="F235">
        <v>1</v>
      </c>
      <c r="G235">
        <v>0</v>
      </c>
      <c r="H235">
        <v>2</v>
      </c>
      <c r="I235">
        <v>0</v>
      </c>
      <c r="J235">
        <v>0</v>
      </c>
      <c r="K235">
        <f t="shared" si="9"/>
        <v>2</v>
      </c>
      <c r="L235" s="1">
        <f t="shared" si="10"/>
        <v>0</v>
      </c>
      <c r="M235" s="1">
        <f t="shared" si="11"/>
        <v>0</v>
      </c>
    </row>
    <row r="236" spans="1:13" x14ac:dyDescent="0.3">
      <c r="A236" t="s">
        <v>743</v>
      </c>
      <c r="B236" t="s">
        <v>744</v>
      </c>
      <c r="C236" t="s">
        <v>472</v>
      </c>
      <c r="D236" t="s">
        <v>18</v>
      </c>
      <c r="E236" s="1">
        <v>6348.78</v>
      </c>
      <c r="F236">
        <v>2</v>
      </c>
      <c r="G236">
        <v>0</v>
      </c>
      <c r="H236">
        <v>4</v>
      </c>
      <c r="I236">
        <v>0</v>
      </c>
      <c r="J236">
        <v>0</v>
      </c>
      <c r="K236">
        <f t="shared" si="9"/>
        <v>4</v>
      </c>
      <c r="L236" s="1">
        <f t="shared" si="10"/>
        <v>0</v>
      </c>
      <c r="M236" s="1">
        <f t="shared" si="11"/>
        <v>25395.119999999999</v>
      </c>
    </row>
    <row r="237" spans="1:13" x14ac:dyDescent="0.3">
      <c r="A237" t="s">
        <v>745</v>
      </c>
      <c r="B237" t="s">
        <v>746</v>
      </c>
      <c r="C237" t="s">
        <v>81</v>
      </c>
      <c r="D237" t="s">
        <v>18</v>
      </c>
      <c r="E237" s="1">
        <v>6479.3</v>
      </c>
      <c r="F237">
        <v>1</v>
      </c>
      <c r="G237">
        <v>0</v>
      </c>
      <c r="H237">
        <v>2</v>
      </c>
      <c r="I237">
        <v>0</v>
      </c>
      <c r="J237">
        <v>0</v>
      </c>
      <c r="K237">
        <f t="shared" si="9"/>
        <v>2</v>
      </c>
      <c r="L237" s="1">
        <f t="shared" si="10"/>
        <v>0</v>
      </c>
      <c r="M237" s="1">
        <f t="shared" si="11"/>
        <v>12958.6</v>
      </c>
    </row>
    <row r="238" spans="1:13" x14ac:dyDescent="0.3">
      <c r="A238" t="s">
        <v>747</v>
      </c>
      <c r="B238" t="s">
        <v>748</v>
      </c>
      <c r="D238" t="s">
        <v>18</v>
      </c>
      <c r="E238" s="1">
        <v>0</v>
      </c>
      <c r="F238">
        <v>1</v>
      </c>
      <c r="G238">
        <v>0</v>
      </c>
      <c r="H238">
        <v>2</v>
      </c>
      <c r="I238">
        <v>0</v>
      </c>
      <c r="J238">
        <v>0</v>
      </c>
      <c r="K238">
        <f t="shared" si="9"/>
        <v>2</v>
      </c>
      <c r="L238" s="1">
        <f t="shared" si="10"/>
        <v>0</v>
      </c>
      <c r="M238" s="1">
        <f t="shared" si="11"/>
        <v>0</v>
      </c>
    </row>
    <row r="239" spans="1:13" x14ac:dyDescent="0.3">
      <c r="A239" t="s">
        <v>749</v>
      </c>
      <c r="B239" t="s">
        <v>750</v>
      </c>
      <c r="D239" t="s">
        <v>18</v>
      </c>
      <c r="E239" s="1">
        <v>0</v>
      </c>
      <c r="F239">
        <v>1</v>
      </c>
      <c r="G239">
        <v>0</v>
      </c>
      <c r="H239">
        <v>2</v>
      </c>
      <c r="I239">
        <v>0</v>
      </c>
      <c r="J239">
        <v>0</v>
      </c>
      <c r="K239">
        <f t="shared" si="9"/>
        <v>2</v>
      </c>
      <c r="L239" s="1">
        <f t="shared" si="10"/>
        <v>0</v>
      </c>
      <c r="M239" s="1">
        <f t="shared" si="11"/>
        <v>0</v>
      </c>
    </row>
    <row r="240" spans="1:13" x14ac:dyDescent="0.3">
      <c r="A240" t="s">
        <v>751</v>
      </c>
      <c r="B240" t="s">
        <v>752</v>
      </c>
      <c r="C240" t="s">
        <v>81</v>
      </c>
      <c r="D240" t="s">
        <v>18</v>
      </c>
      <c r="E240" s="1">
        <v>8203</v>
      </c>
      <c r="F240">
        <v>1</v>
      </c>
      <c r="G240">
        <v>0</v>
      </c>
      <c r="H240">
        <v>2</v>
      </c>
      <c r="I240">
        <v>0</v>
      </c>
      <c r="J240">
        <v>0</v>
      </c>
      <c r="K240">
        <f t="shared" si="9"/>
        <v>2</v>
      </c>
      <c r="L240" s="1">
        <f t="shared" si="10"/>
        <v>0</v>
      </c>
      <c r="M240" s="1">
        <f t="shared" si="11"/>
        <v>16406</v>
      </c>
    </row>
    <row r="241" spans="1:13" x14ac:dyDescent="0.3">
      <c r="A241" t="s">
        <v>753</v>
      </c>
      <c r="B241" t="s">
        <v>754</v>
      </c>
      <c r="D241" t="s">
        <v>18</v>
      </c>
      <c r="E241" s="1">
        <v>0</v>
      </c>
      <c r="F241">
        <v>1</v>
      </c>
      <c r="G241">
        <v>0</v>
      </c>
      <c r="H241">
        <v>2</v>
      </c>
      <c r="I241">
        <v>0</v>
      </c>
      <c r="J241">
        <v>0</v>
      </c>
      <c r="K241">
        <f t="shared" si="9"/>
        <v>2</v>
      </c>
      <c r="L241" s="1">
        <f t="shared" si="10"/>
        <v>0</v>
      </c>
      <c r="M241" s="1">
        <f t="shared" si="11"/>
        <v>0</v>
      </c>
    </row>
    <row r="242" spans="1:13" x14ac:dyDescent="0.3">
      <c r="A242" t="s">
        <v>755</v>
      </c>
      <c r="B242" t="s">
        <v>756</v>
      </c>
      <c r="D242" t="s">
        <v>18</v>
      </c>
      <c r="E242" s="1">
        <v>0</v>
      </c>
      <c r="F242">
        <v>1</v>
      </c>
      <c r="G242">
        <v>0</v>
      </c>
      <c r="H242">
        <v>5</v>
      </c>
      <c r="I242">
        <v>0</v>
      </c>
      <c r="J242">
        <v>0</v>
      </c>
      <c r="K242">
        <f t="shared" si="9"/>
        <v>5</v>
      </c>
      <c r="L242" s="1">
        <f t="shared" si="10"/>
        <v>0</v>
      </c>
      <c r="M242" s="1">
        <f t="shared" si="11"/>
        <v>0</v>
      </c>
    </row>
    <row r="243" spans="1:13" x14ac:dyDescent="0.3">
      <c r="A243" t="s">
        <v>757</v>
      </c>
      <c r="B243" t="s">
        <v>758</v>
      </c>
      <c r="D243" t="s">
        <v>18</v>
      </c>
      <c r="E243" s="1">
        <v>0</v>
      </c>
      <c r="F243">
        <v>1</v>
      </c>
      <c r="G243">
        <v>0</v>
      </c>
      <c r="H243">
        <v>2</v>
      </c>
      <c r="I243">
        <v>0</v>
      </c>
      <c r="J243">
        <v>0</v>
      </c>
      <c r="K243">
        <f t="shared" si="9"/>
        <v>2</v>
      </c>
      <c r="L243" s="1">
        <f t="shared" si="10"/>
        <v>0</v>
      </c>
      <c r="M243" s="1">
        <f t="shared" si="11"/>
        <v>0</v>
      </c>
    </row>
    <row r="244" spans="1:13" x14ac:dyDescent="0.3">
      <c r="A244" t="s">
        <v>759</v>
      </c>
      <c r="B244" t="s">
        <v>760</v>
      </c>
      <c r="C244" t="s">
        <v>472</v>
      </c>
      <c r="D244" t="s">
        <v>18</v>
      </c>
      <c r="E244" s="1">
        <v>71700</v>
      </c>
      <c r="F244">
        <v>2</v>
      </c>
      <c r="G244">
        <v>0</v>
      </c>
      <c r="H244">
        <v>4</v>
      </c>
      <c r="I244">
        <v>0</v>
      </c>
      <c r="J244">
        <v>0</v>
      </c>
      <c r="K244">
        <f t="shared" si="9"/>
        <v>4</v>
      </c>
      <c r="L244" s="1">
        <f t="shared" si="10"/>
        <v>0</v>
      </c>
      <c r="M244" s="1">
        <f t="shared" si="11"/>
        <v>286800</v>
      </c>
    </row>
    <row r="245" spans="1:13" x14ac:dyDescent="0.3">
      <c r="A245" t="s">
        <v>761</v>
      </c>
      <c r="B245" t="s">
        <v>762</v>
      </c>
      <c r="C245" t="s">
        <v>81</v>
      </c>
      <c r="D245" t="s">
        <v>18</v>
      </c>
      <c r="E245" s="1">
        <v>61563.24</v>
      </c>
      <c r="F245">
        <v>1</v>
      </c>
      <c r="G245">
        <v>0</v>
      </c>
      <c r="H245">
        <v>5</v>
      </c>
      <c r="I245">
        <v>0</v>
      </c>
      <c r="J245">
        <v>0</v>
      </c>
      <c r="K245">
        <f t="shared" si="9"/>
        <v>5</v>
      </c>
      <c r="L245" s="1">
        <f t="shared" si="10"/>
        <v>0</v>
      </c>
      <c r="M245" s="1">
        <f t="shared" si="11"/>
        <v>307816.2</v>
      </c>
    </row>
    <row r="246" spans="1:13" x14ac:dyDescent="0.3">
      <c r="A246" t="s">
        <v>763</v>
      </c>
      <c r="B246" t="s">
        <v>764</v>
      </c>
      <c r="D246" t="s">
        <v>18</v>
      </c>
      <c r="E246" s="1">
        <v>0</v>
      </c>
      <c r="F246">
        <v>1</v>
      </c>
      <c r="G246">
        <v>0</v>
      </c>
      <c r="H246">
        <v>2</v>
      </c>
      <c r="I246">
        <v>0</v>
      </c>
      <c r="J246">
        <v>0</v>
      </c>
      <c r="K246">
        <f t="shared" si="9"/>
        <v>2</v>
      </c>
      <c r="L246" s="1">
        <f t="shared" si="10"/>
        <v>0</v>
      </c>
      <c r="M246" s="1">
        <f t="shared" si="11"/>
        <v>0</v>
      </c>
    </row>
    <row r="247" spans="1:13" x14ac:dyDescent="0.3">
      <c r="A247" t="s">
        <v>765</v>
      </c>
      <c r="B247" t="s">
        <v>766</v>
      </c>
      <c r="C247" t="s">
        <v>81</v>
      </c>
      <c r="D247" t="s">
        <v>18</v>
      </c>
      <c r="E247" s="1">
        <v>10432.26</v>
      </c>
      <c r="F247">
        <v>1</v>
      </c>
      <c r="G247">
        <v>0</v>
      </c>
      <c r="H247">
        <v>2</v>
      </c>
      <c r="I247">
        <v>0</v>
      </c>
      <c r="J247">
        <v>0</v>
      </c>
      <c r="K247">
        <f t="shared" si="9"/>
        <v>2</v>
      </c>
      <c r="L247" s="1">
        <f t="shared" si="10"/>
        <v>0</v>
      </c>
      <c r="M247" s="1">
        <f t="shared" si="11"/>
        <v>20864.52</v>
      </c>
    </row>
    <row r="248" spans="1:13" x14ac:dyDescent="0.3">
      <c r="A248" t="s">
        <v>767</v>
      </c>
      <c r="B248" t="s">
        <v>768</v>
      </c>
      <c r="C248" t="s">
        <v>472</v>
      </c>
      <c r="D248" t="s">
        <v>18</v>
      </c>
      <c r="E248" s="1">
        <v>3940.5</v>
      </c>
      <c r="F248">
        <v>1</v>
      </c>
      <c r="G248">
        <v>0</v>
      </c>
      <c r="H248">
        <v>2</v>
      </c>
      <c r="I248">
        <v>0</v>
      </c>
      <c r="J248">
        <v>0</v>
      </c>
      <c r="K248">
        <f t="shared" si="9"/>
        <v>2</v>
      </c>
      <c r="L248" s="1">
        <f t="shared" si="10"/>
        <v>0</v>
      </c>
      <c r="M248" s="1">
        <f t="shared" si="11"/>
        <v>7881</v>
      </c>
    </row>
    <row r="249" spans="1:13" x14ac:dyDescent="0.3">
      <c r="A249" t="s">
        <v>769</v>
      </c>
      <c r="B249" t="s">
        <v>770</v>
      </c>
      <c r="C249" t="s">
        <v>472</v>
      </c>
      <c r="D249" t="s">
        <v>18</v>
      </c>
      <c r="E249" s="1">
        <v>3940.5</v>
      </c>
      <c r="F249">
        <v>2</v>
      </c>
      <c r="G249">
        <v>0</v>
      </c>
      <c r="H249">
        <v>4</v>
      </c>
      <c r="I249">
        <v>0</v>
      </c>
      <c r="J249">
        <v>0</v>
      </c>
      <c r="K249">
        <f t="shared" si="9"/>
        <v>4</v>
      </c>
      <c r="L249" s="1">
        <f t="shared" si="10"/>
        <v>0</v>
      </c>
      <c r="M249" s="1">
        <f t="shared" si="11"/>
        <v>15762</v>
      </c>
    </row>
    <row r="250" spans="1:13" x14ac:dyDescent="0.3">
      <c r="A250" t="s">
        <v>771</v>
      </c>
      <c r="B250" t="s">
        <v>772</v>
      </c>
      <c r="C250" t="s">
        <v>472</v>
      </c>
      <c r="D250" t="s">
        <v>18</v>
      </c>
      <c r="E250" s="1">
        <v>3940.5</v>
      </c>
      <c r="F250">
        <v>1</v>
      </c>
      <c r="G250">
        <v>0</v>
      </c>
      <c r="H250">
        <v>2</v>
      </c>
      <c r="I250">
        <v>0</v>
      </c>
      <c r="J250">
        <v>0</v>
      </c>
      <c r="K250">
        <f t="shared" si="9"/>
        <v>2</v>
      </c>
      <c r="L250" s="1">
        <f t="shared" si="10"/>
        <v>0</v>
      </c>
      <c r="M250" s="1">
        <f t="shared" si="11"/>
        <v>7881</v>
      </c>
    </row>
    <row r="251" spans="1:13" x14ac:dyDescent="0.3">
      <c r="A251" t="s">
        <v>773</v>
      </c>
      <c r="B251" t="s">
        <v>774</v>
      </c>
      <c r="C251" t="s">
        <v>81</v>
      </c>
      <c r="D251" t="s">
        <v>18</v>
      </c>
      <c r="E251" s="1">
        <v>49784.83</v>
      </c>
      <c r="F251">
        <v>1</v>
      </c>
      <c r="G251">
        <v>0</v>
      </c>
      <c r="H251">
        <v>5</v>
      </c>
      <c r="I251">
        <v>0</v>
      </c>
      <c r="J251">
        <v>0</v>
      </c>
      <c r="K251">
        <f t="shared" si="9"/>
        <v>5</v>
      </c>
      <c r="L251" s="1">
        <f t="shared" si="10"/>
        <v>0</v>
      </c>
      <c r="M251" s="1">
        <f t="shared" si="11"/>
        <v>248924.15000000002</v>
      </c>
    </row>
    <row r="252" spans="1:13" x14ac:dyDescent="0.3">
      <c r="A252" t="s">
        <v>775</v>
      </c>
      <c r="B252" t="s">
        <v>776</v>
      </c>
      <c r="D252" t="s">
        <v>18</v>
      </c>
      <c r="E252" s="1">
        <v>0</v>
      </c>
      <c r="F252">
        <v>1</v>
      </c>
      <c r="G252">
        <v>0</v>
      </c>
      <c r="H252">
        <v>2</v>
      </c>
      <c r="I252">
        <v>0</v>
      </c>
      <c r="J252">
        <v>0</v>
      </c>
      <c r="K252">
        <f t="shared" si="9"/>
        <v>2</v>
      </c>
      <c r="L252" s="1">
        <f t="shared" si="10"/>
        <v>0</v>
      </c>
      <c r="M252" s="1">
        <f t="shared" si="11"/>
        <v>0</v>
      </c>
    </row>
    <row r="253" spans="1:13" x14ac:dyDescent="0.3">
      <c r="A253" t="s">
        <v>777</v>
      </c>
      <c r="B253" t="s">
        <v>778</v>
      </c>
      <c r="C253" t="s">
        <v>472</v>
      </c>
      <c r="D253" t="s">
        <v>18</v>
      </c>
      <c r="E253" s="1">
        <v>9552.19</v>
      </c>
      <c r="F253">
        <v>2</v>
      </c>
      <c r="G253">
        <v>0</v>
      </c>
      <c r="H253">
        <v>4</v>
      </c>
      <c r="I253">
        <v>0</v>
      </c>
      <c r="J253">
        <v>0</v>
      </c>
      <c r="K253">
        <f t="shared" si="9"/>
        <v>4</v>
      </c>
      <c r="L253" s="1">
        <f t="shared" si="10"/>
        <v>0</v>
      </c>
      <c r="M253" s="1">
        <f t="shared" si="11"/>
        <v>38208.76</v>
      </c>
    </row>
    <row r="254" spans="1:13" x14ac:dyDescent="0.3">
      <c r="A254" t="s">
        <v>779</v>
      </c>
      <c r="B254" t="s">
        <v>780</v>
      </c>
      <c r="C254" t="s">
        <v>81</v>
      </c>
      <c r="D254" t="s">
        <v>18</v>
      </c>
      <c r="E254" s="1">
        <v>13279.03</v>
      </c>
      <c r="F254">
        <v>1</v>
      </c>
      <c r="G254">
        <v>0</v>
      </c>
      <c r="H254">
        <v>2</v>
      </c>
      <c r="I254">
        <v>0</v>
      </c>
      <c r="J254">
        <v>0</v>
      </c>
      <c r="K254">
        <f t="shared" si="9"/>
        <v>2</v>
      </c>
      <c r="L254" s="1">
        <f t="shared" si="10"/>
        <v>0</v>
      </c>
      <c r="M254" s="1">
        <f t="shared" si="11"/>
        <v>26558.06</v>
      </c>
    </row>
    <row r="255" spans="1:13" x14ac:dyDescent="0.3">
      <c r="A255" t="s">
        <v>781</v>
      </c>
      <c r="B255" t="s">
        <v>782</v>
      </c>
      <c r="C255" t="s">
        <v>472</v>
      </c>
      <c r="D255" t="s">
        <v>18</v>
      </c>
      <c r="E255" s="1">
        <v>16136.44</v>
      </c>
      <c r="F255">
        <v>2</v>
      </c>
      <c r="G255">
        <v>0</v>
      </c>
      <c r="H255">
        <v>4</v>
      </c>
      <c r="I255">
        <v>0</v>
      </c>
      <c r="J255">
        <v>0</v>
      </c>
      <c r="K255">
        <f t="shared" si="9"/>
        <v>4</v>
      </c>
      <c r="L255" s="1">
        <f t="shared" si="10"/>
        <v>0</v>
      </c>
      <c r="M255" s="1">
        <f t="shared" si="11"/>
        <v>64545.760000000002</v>
      </c>
    </row>
    <row r="256" spans="1:13" x14ac:dyDescent="0.3">
      <c r="A256" t="s">
        <v>783</v>
      </c>
      <c r="B256" t="s">
        <v>784</v>
      </c>
      <c r="D256" t="s">
        <v>18</v>
      </c>
      <c r="E256" s="1">
        <v>0</v>
      </c>
      <c r="F256">
        <v>1</v>
      </c>
      <c r="G256">
        <v>0</v>
      </c>
      <c r="H256">
        <v>2</v>
      </c>
      <c r="I256">
        <v>0</v>
      </c>
      <c r="J256">
        <v>0</v>
      </c>
      <c r="K256">
        <f t="shared" si="9"/>
        <v>2</v>
      </c>
      <c r="L256" s="1">
        <f t="shared" si="10"/>
        <v>0</v>
      </c>
      <c r="M256" s="1">
        <f t="shared" si="11"/>
        <v>0</v>
      </c>
    </row>
    <row r="257" spans="1:13" x14ac:dyDescent="0.3">
      <c r="A257" t="s">
        <v>785</v>
      </c>
      <c r="B257" t="s">
        <v>786</v>
      </c>
      <c r="C257" t="s">
        <v>472</v>
      </c>
      <c r="D257" t="s">
        <v>18</v>
      </c>
      <c r="E257" s="1">
        <v>26555</v>
      </c>
      <c r="F257">
        <v>1</v>
      </c>
      <c r="G257">
        <v>0</v>
      </c>
      <c r="H257">
        <v>2</v>
      </c>
      <c r="I257">
        <v>0</v>
      </c>
      <c r="J257">
        <v>0</v>
      </c>
      <c r="K257">
        <f t="shared" si="9"/>
        <v>2</v>
      </c>
      <c r="L257" s="1">
        <f t="shared" si="10"/>
        <v>0</v>
      </c>
      <c r="M257" s="1">
        <f t="shared" si="11"/>
        <v>53110</v>
      </c>
    </row>
    <row r="258" spans="1:13" x14ac:dyDescent="0.3">
      <c r="A258" t="s">
        <v>787</v>
      </c>
      <c r="B258" t="s">
        <v>788</v>
      </c>
      <c r="C258" t="s">
        <v>81</v>
      </c>
      <c r="D258" t="s">
        <v>18</v>
      </c>
      <c r="E258" s="1">
        <v>4018.68</v>
      </c>
      <c r="F258">
        <v>1</v>
      </c>
      <c r="G258">
        <v>0</v>
      </c>
      <c r="H258">
        <v>2</v>
      </c>
      <c r="I258">
        <v>0</v>
      </c>
      <c r="J258">
        <v>0</v>
      </c>
      <c r="K258">
        <f t="shared" ref="K258:K318" si="12">IF(H258-I258-J258&gt;0,H258-I258-J258,0)</f>
        <v>2</v>
      </c>
      <c r="L258" s="1">
        <f t="shared" ref="L258:L318" si="13">IFERROR(I258*E258,0)</f>
        <v>0</v>
      </c>
      <c r="M258" s="1">
        <f t="shared" ref="M258:M318" si="14">IFERROR(K258*E258,0)</f>
        <v>8037.36</v>
      </c>
    </row>
    <row r="259" spans="1:13" x14ac:dyDescent="0.3">
      <c r="A259" t="s">
        <v>789</v>
      </c>
      <c r="B259" t="s">
        <v>790</v>
      </c>
      <c r="C259" t="s">
        <v>81</v>
      </c>
      <c r="D259" t="s">
        <v>18</v>
      </c>
      <c r="E259" s="1">
        <v>4018.68</v>
      </c>
      <c r="F259">
        <v>1</v>
      </c>
      <c r="G259">
        <v>0</v>
      </c>
      <c r="H259">
        <v>4</v>
      </c>
      <c r="I259">
        <v>0</v>
      </c>
      <c r="J259">
        <v>0</v>
      </c>
      <c r="K259">
        <f t="shared" si="12"/>
        <v>4</v>
      </c>
      <c r="L259" s="1">
        <f t="shared" si="13"/>
        <v>0</v>
      </c>
      <c r="M259" s="1">
        <f t="shared" si="14"/>
        <v>16074.72</v>
      </c>
    </row>
    <row r="260" spans="1:13" x14ac:dyDescent="0.3">
      <c r="A260" t="s">
        <v>791</v>
      </c>
      <c r="B260" t="s">
        <v>792</v>
      </c>
      <c r="C260" t="s">
        <v>472</v>
      </c>
      <c r="D260" t="s">
        <v>18</v>
      </c>
      <c r="E260" s="1">
        <v>2180</v>
      </c>
      <c r="F260">
        <v>2</v>
      </c>
      <c r="G260">
        <v>0</v>
      </c>
      <c r="H260">
        <v>6</v>
      </c>
      <c r="I260">
        <v>0</v>
      </c>
      <c r="J260">
        <v>0</v>
      </c>
      <c r="K260">
        <f t="shared" si="12"/>
        <v>6</v>
      </c>
      <c r="L260" s="1">
        <f t="shared" si="13"/>
        <v>0</v>
      </c>
      <c r="M260" s="1">
        <f t="shared" si="14"/>
        <v>13080</v>
      </c>
    </row>
    <row r="261" spans="1:13" x14ac:dyDescent="0.3">
      <c r="A261" t="s">
        <v>793</v>
      </c>
      <c r="B261" t="s">
        <v>794</v>
      </c>
      <c r="C261" t="s">
        <v>81</v>
      </c>
      <c r="D261" t="s">
        <v>18</v>
      </c>
      <c r="E261" s="1">
        <v>4808.7</v>
      </c>
      <c r="F261">
        <v>1</v>
      </c>
      <c r="G261">
        <v>0</v>
      </c>
      <c r="H261">
        <v>2</v>
      </c>
      <c r="I261">
        <v>0</v>
      </c>
      <c r="J261">
        <v>0</v>
      </c>
      <c r="K261">
        <f t="shared" si="12"/>
        <v>2</v>
      </c>
      <c r="L261" s="1">
        <f t="shared" si="13"/>
        <v>0</v>
      </c>
      <c r="M261" s="1">
        <f t="shared" si="14"/>
        <v>9617.4</v>
      </c>
    </row>
    <row r="262" spans="1:13" x14ac:dyDescent="0.3">
      <c r="A262" t="s">
        <v>795</v>
      </c>
      <c r="B262" t="s">
        <v>796</v>
      </c>
      <c r="C262" t="s">
        <v>81</v>
      </c>
      <c r="D262" t="s">
        <v>18</v>
      </c>
      <c r="E262" s="1">
        <v>3174.33</v>
      </c>
      <c r="F262">
        <v>1</v>
      </c>
      <c r="G262">
        <v>0</v>
      </c>
      <c r="H262">
        <v>2</v>
      </c>
      <c r="I262">
        <v>0</v>
      </c>
      <c r="J262">
        <v>0</v>
      </c>
      <c r="K262">
        <f t="shared" si="12"/>
        <v>2</v>
      </c>
      <c r="L262" s="1">
        <f t="shared" si="13"/>
        <v>0</v>
      </c>
      <c r="M262" s="1">
        <f t="shared" si="14"/>
        <v>6348.66</v>
      </c>
    </row>
    <row r="263" spans="1:13" x14ac:dyDescent="0.3">
      <c r="A263" t="s">
        <v>797</v>
      </c>
      <c r="B263" t="s">
        <v>798</v>
      </c>
      <c r="C263" t="s">
        <v>81</v>
      </c>
      <c r="D263" t="s">
        <v>18</v>
      </c>
      <c r="E263" s="1">
        <v>4676.3100000000004</v>
      </c>
      <c r="F263">
        <v>1</v>
      </c>
      <c r="G263">
        <v>0</v>
      </c>
      <c r="H263">
        <v>4</v>
      </c>
      <c r="I263">
        <v>0</v>
      </c>
      <c r="J263">
        <v>0</v>
      </c>
      <c r="K263">
        <f t="shared" si="12"/>
        <v>4</v>
      </c>
      <c r="L263" s="1">
        <f t="shared" si="13"/>
        <v>0</v>
      </c>
      <c r="M263" s="1">
        <f t="shared" si="14"/>
        <v>18705.240000000002</v>
      </c>
    </row>
    <row r="264" spans="1:13" x14ac:dyDescent="0.3">
      <c r="A264" t="s">
        <v>799</v>
      </c>
      <c r="B264" t="s">
        <v>800</v>
      </c>
      <c r="C264" t="s">
        <v>81</v>
      </c>
      <c r="D264" t="s">
        <v>18</v>
      </c>
      <c r="E264" s="1">
        <v>3834.39</v>
      </c>
      <c r="F264">
        <v>1</v>
      </c>
      <c r="G264">
        <v>0</v>
      </c>
      <c r="H264">
        <v>3</v>
      </c>
      <c r="I264">
        <v>0</v>
      </c>
      <c r="J264">
        <v>0</v>
      </c>
      <c r="K264">
        <f t="shared" si="12"/>
        <v>3</v>
      </c>
      <c r="L264" s="1">
        <f t="shared" si="13"/>
        <v>0</v>
      </c>
      <c r="M264" s="1">
        <f t="shared" si="14"/>
        <v>11503.17</v>
      </c>
    </row>
    <row r="265" spans="1:13" x14ac:dyDescent="0.3">
      <c r="A265" t="s">
        <v>801</v>
      </c>
      <c r="B265" t="s">
        <v>802</v>
      </c>
      <c r="C265" t="s">
        <v>81</v>
      </c>
      <c r="D265" t="s">
        <v>18</v>
      </c>
      <c r="E265" s="1">
        <v>5108.3500000000004</v>
      </c>
      <c r="F265">
        <v>1</v>
      </c>
      <c r="G265">
        <v>0</v>
      </c>
      <c r="H265">
        <v>2</v>
      </c>
      <c r="I265">
        <v>0</v>
      </c>
      <c r="J265">
        <v>0</v>
      </c>
      <c r="K265">
        <f t="shared" si="12"/>
        <v>2</v>
      </c>
      <c r="L265" s="1">
        <f t="shared" si="13"/>
        <v>0</v>
      </c>
      <c r="M265" s="1">
        <f t="shared" si="14"/>
        <v>10216.700000000001</v>
      </c>
    </row>
    <row r="266" spans="1:13" x14ac:dyDescent="0.3">
      <c r="A266" t="s">
        <v>803</v>
      </c>
      <c r="B266" t="s">
        <v>804</v>
      </c>
      <c r="C266" t="s">
        <v>81</v>
      </c>
      <c r="D266" t="s">
        <v>18</v>
      </c>
      <c r="E266" s="1">
        <v>5580.89</v>
      </c>
      <c r="F266">
        <v>1</v>
      </c>
      <c r="G266">
        <v>0</v>
      </c>
      <c r="H266">
        <v>5</v>
      </c>
      <c r="I266">
        <v>0</v>
      </c>
      <c r="J266">
        <v>0</v>
      </c>
      <c r="K266">
        <f t="shared" si="12"/>
        <v>5</v>
      </c>
      <c r="L266" s="1">
        <f t="shared" si="13"/>
        <v>0</v>
      </c>
      <c r="M266" s="1">
        <f t="shared" si="14"/>
        <v>27904.45</v>
      </c>
    </row>
    <row r="267" spans="1:13" x14ac:dyDescent="0.3">
      <c r="A267" t="s">
        <v>805</v>
      </c>
      <c r="B267" t="s">
        <v>806</v>
      </c>
      <c r="C267" t="s">
        <v>472</v>
      </c>
      <c r="D267" t="s">
        <v>18</v>
      </c>
      <c r="E267" s="1">
        <v>2180</v>
      </c>
      <c r="F267">
        <v>2</v>
      </c>
      <c r="G267">
        <v>0</v>
      </c>
      <c r="H267">
        <v>4</v>
      </c>
      <c r="I267">
        <v>0</v>
      </c>
      <c r="J267">
        <v>0</v>
      </c>
      <c r="K267">
        <f t="shared" si="12"/>
        <v>4</v>
      </c>
      <c r="L267" s="1">
        <f t="shared" si="13"/>
        <v>0</v>
      </c>
      <c r="M267" s="1">
        <f t="shared" si="14"/>
        <v>8720</v>
      </c>
    </row>
    <row r="268" spans="1:13" x14ac:dyDescent="0.3">
      <c r="A268" t="s">
        <v>807</v>
      </c>
      <c r="B268" t="s">
        <v>808</v>
      </c>
      <c r="C268" t="s">
        <v>81</v>
      </c>
      <c r="D268" t="s">
        <v>18</v>
      </c>
      <c r="E268" s="1">
        <v>10392</v>
      </c>
      <c r="F268">
        <v>1</v>
      </c>
      <c r="G268">
        <v>0</v>
      </c>
      <c r="H268">
        <v>2</v>
      </c>
      <c r="I268">
        <v>0</v>
      </c>
      <c r="J268">
        <v>0</v>
      </c>
      <c r="K268">
        <f t="shared" si="12"/>
        <v>2</v>
      </c>
      <c r="L268" s="1">
        <f t="shared" si="13"/>
        <v>0</v>
      </c>
      <c r="M268" s="1">
        <f t="shared" si="14"/>
        <v>20784</v>
      </c>
    </row>
    <row r="269" spans="1:13" x14ac:dyDescent="0.3">
      <c r="A269" t="s">
        <v>809</v>
      </c>
      <c r="B269" t="s">
        <v>810</v>
      </c>
      <c r="C269" t="s">
        <v>81</v>
      </c>
      <c r="D269" t="s">
        <v>18</v>
      </c>
      <c r="E269" s="1">
        <v>4963.5</v>
      </c>
      <c r="F269">
        <v>2</v>
      </c>
      <c r="G269">
        <v>0</v>
      </c>
      <c r="H269">
        <v>4</v>
      </c>
      <c r="I269">
        <v>0</v>
      </c>
      <c r="J269">
        <v>0</v>
      </c>
      <c r="K269">
        <f t="shared" si="12"/>
        <v>4</v>
      </c>
      <c r="L269" s="1">
        <f t="shared" si="13"/>
        <v>0</v>
      </c>
      <c r="M269" s="1">
        <f t="shared" si="14"/>
        <v>19854</v>
      </c>
    </row>
    <row r="270" spans="1:13" x14ac:dyDescent="0.3">
      <c r="A270" t="s">
        <v>811</v>
      </c>
      <c r="B270" t="s">
        <v>812</v>
      </c>
      <c r="D270" t="s">
        <v>18</v>
      </c>
      <c r="E270" s="1">
        <v>0</v>
      </c>
      <c r="F270">
        <v>1</v>
      </c>
      <c r="G270">
        <v>0</v>
      </c>
      <c r="H270">
        <v>2</v>
      </c>
      <c r="I270">
        <v>0</v>
      </c>
      <c r="J270">
        <v>0</v>
      </c>
      <c r="K270">
        <f t="shared" si="12"/>
        <v>2</v>
      </c>
      <c r="L270" s="1">
        <f t="shared" si="13"/>
        <v>0</v>
      </c>
      <c r="M270" s="1">
        <f t="shared" si="14"/>
        <v>0</v>
      </c>
    </row>
    <row r="271" spans="1:13" x14ac:dyDescent="0.3">
      <c r="A271" t="s">
        <v>813</v>
      </c>
      <c r="B271" t="s">
        <v>814</v>
      </c>
      <c r="C271" t="s">
        <v>81</v>
      </c>
      <c r="D271" t="s">
        <v>18</v>
      </c>
      <c r="E271" s="1">
        <v>6221.34</v>
      </c>
      <c r="F271">
        <v>1</v>
      </c>
      <c r="G271">
        <v>0</v>
      </c>
      <c r="H271">
        <v>2</v>
      </c>
      <c r="I271">
        <v>0</v>
      </c>
      <c r="J271">
        <v>0</v>
      </c>
      <c r="K271">
        <f t="shared" si="12"/>
        <v>2</v>
      </c>
      <c r="L271" s="1">
        <f t="shared" si="13"/>
        <v>0</v>
      </c>
      <c r="M271" s="1">
        <f t="shared" si="14"/>
        <v>12442.68</v>
      </c>
    </row>
    <row r="272" spans="1:13" x14ac:dyDescent="0.3">
      <c r="A272" t="s">
        <v>815</v>
      </c>
      <c r="B272" t="s">
        <v>816</v>
      </c>
      <c r="D272" t="s">
        <v>18</v>
      </c>
      <c r="E272" s="1">
        <v>0</v>
      </c>
      <c r="F272">
        <v>1</v>
      </c>
      <c r="G272">
        <v>0</v>
      </c>
      <c r="H272">
        <v>2</v>
      </c>
      <c r="I272">
        <v>0</v>
      </c>
      <c r="J272">
        <v>0</v>
      </c>
      <c r="K272">
        <f t="shared" si="12"/>
        <v>2</v>
      </c>
      <c r="L272" s="1">
        <f t="shared" si="13"/>
        <v>0</v>
      </c>
      <c r="M272" s="1">
        <f t="shared" si="14"/>
        <v>0</v>
      </c>
    </row>
    <row r="273" spans="1:13" x14ac:dyDescent="0.3">
      <c r="A273" t="s">
        <v>817</v>
      </c>
      <c r="B273" t="s">
        <v>818</v>
      </c>
      <c r="C273" t="s">
        <v>81</v>
      </c>
      <c r="D273" t="s">
        <v>18</v>
      </c>
      <c r="E273" s="1">
        <v>11773.24</v>
      </c>
      <c r="F273">
        <v>1</v>
      </c>
      <c r="G273">
        <v>0</v>
      </c>
      <c r="H273">
        <v>2</v>
      </c>
      <c r="I273">
        <v>0</v>
      </c>
      <c r="J273">
        <v>0</v>
      </c>
      <c r="K273">
        <f t="shared" si="12"/>
        <v>2</v>
      </c>
      <c r="L273" s="1">
        <f t="shared" si="13"/>
        <v>0</v>
      </c>
      <c r="M273" s="1">
        <f t="shared" si="14"/>
        <v>23546.48</v>
      </c>
    </row>
    <row r="274" spans="1:13" x14ac:dyDescent="0.3">
      <c r="A274" t="s">
        <v>819</v>
      </c>
      <c r="B274" t="s">
        <v>820</v>
      </c>
      <c r="D274" t="s">
        <v>18</v>
      </c>
      <c r="E274" s="1">
        <v>0</v>
      </c>
      <c r="F274">
        <v>2</v>
      </c>
      <c r="G274">
        <v>0</v>
      </c>
      <c r="H274">
        <v>8</v>
      </c>
      <c r="I274">
        <v>0</v>
      </c>
      <c r="J274">
        <v>0</v>
      </c>
      <c r="K274">
        <f t="shared" si="12"/>
        <v>8</v>
      </c>
      <c r="L274" s="1">
        <f t="shared" si="13"/>
        <v>0</v>
      </c>
      <c r="M274" s="1">
        <f t="shared" si="14"/>
        <v>0</v>
      </c>
    </row>
    <row r="275" spans="1:13" x14ac:dyDescent="0.3">
      <c r="A275" t="s">
        <v>821</v>
      </c>
      <c r="B275" t="s">
        <v>822</v>
      </c>
      <c r="C275" t="s">
        <v>81</v>
      </c>
      <c r="D275" t="s">
        <v>18</v>
      </c>
      <c r="E275" s="1">
        <v>10969</v>
      </c>
      <c r="F275">
        <v>1</v>
      </c>
      <c r="G275">
        <v>0</v>
      </c>
      <c r="H275">
        <v>2</v>
      </c>
      <c r="I275">
        <v>0</v>
      </c>
      <c r="J275">
        <v>0</v>
      </c>
      <c r="K275">
        <f t="shared" si="12"/>
        <v>2</v>
      </c>
      <c r="L275" s="1">
        <f t="shared" si="13"/>
        <v>0</v>
      </c>
      <c r="M275" s="1">
        <f t="shared" si="14"/>
        <v>21938</v>
      </c>
    </row>
    <row r="276" spans="1:13" x14ac:dyDescent="0.3">
      <c r="A276" t="s">
        <v>823</v>
      </c>
      <c r="B276" t="s">
        <v>824</v>
      </c>
      <c r="C276" t="s">
        <v>81</v>
      </c>
      <c r="D276" t="s">
        <v>18</v>
      </c>
      <c r="E276" s="1">
        <v>10607.34</v>
      </c>
      <c r="F276">
        <v>1</v>
      </c>
      <c r="G276">
        <v>0</v>
      </c>
      <c r="H276">
        <v>3</v>
      </c>
      <c r="I276">
        <v>0</v>
      </c>
      <c r="J276">
        <v>0</v>
      </c>
      <c r="K276">
        <f t="shared" si="12"/>
        <v>3</v>
      </c>
      <c r="L276" s="1">
        <f t="shared" si="13"/>
        <v>0</v>
      </c>
      <c r="M276" s="1">
        <f t="shared" si="14"/>
        <v>31822.02</v>
      </c>
    </row>
    <row r="277" spans="1:13" x14ac:dyDescent="0.3">
      <c r="A277" t="s">
        <v>825</v>
      </c>
      <c r="B277" t="s">
        <v>826</v>
      </c>
      <c r="C277" t="s">
        <v>81</v>
      </c>
      <c r="D277" t="s">
        <v>18</v>
      </c>
      <c r="E277" s="1">
        <v>7366</v>
      </c>
      <c r="F277">
        <v>1</v>
      </c>
      <c r="G277">
        <v>0</v>
      </c>
      <c r="H277">
        <v>2</v>
      </c>
      <c r="I277">
        <v>0</v>
      </c>
      <c r="J277">
        <v>0</v>
      </c>
      <c r="K277">
        <f t="shared" si="12"/>
        <v>2</v>
      </c>
      <c r="L277" s="1">
        <f t="shared" si="13"/>
        <v>0</v>
      </c>
      <c r="M277" s="1">
        <f t="shared" si="14"/>
        <v>14732</v>
      </c>
    </row>
    <row r="278" spans="1:13" x14ac:dyDescent="0.3">
      <c r="A278" t="s">
        <v>827</v>
      </c>
      <c r="B278" t="s">
        <v>828</v>
      </c>
      <c r="D278" t="s">
        <v>18</v>
      </c>
      <c r="E278" s="1">
        <v>0</v>
      </c>
      <c r="F278">
        <v>1</v>
      </c>
      <c r="G278">
        <v>0</v>
      </c>
      <c r="H278">
        <v>2</v>
      </c>
      <c r="I278">
        <v>0</v>
      </c>
      <c r="J278">
        <v>0</v>
      </c>
      <c r="K278">
        <f t="shared" si="12"/>
        <v>2</v>
      </c>
      <c r="L278" s="1">
        <f t="shared" si="13"/>
        <v>0</v>
      </c>
      <c r="M278" s="1">
        <f t="shared" si="14"/>
        <v>0</v>
      </c>
    </row>
    <row r="279" spans="1:13" x14ac:dyDescent="0.3">
      <c r="A279" t="s">
        <v>829</v>
      </c>
      <c r="B279" t="s">
        <v>830</v>
      </c>
      <c r="C279" t="s">
        <v>81</v>
      </c>
      <c r="D279" t="s">
        <v>18</v>
      </c>
      <c r="E279" s="1">
        <v>6057.42</v>
      </c>
      <c r="F279">
        <v>1</v>
      </c>
      <c r="G279">
        <v>0</v>
      </c>
      <c r="H279">
        <v>2</v>
      </c>
      <c r="I279">
        <v>0</v>
      </c>
      <c r="J279">
        <v>0</v>
      </c>
      <c r="K279">
        <f t="shared" si="12"/>
        <v>2</v>
      </c>
      <c r="L279" s="1">
        <f t="shared" si="13"/>
        <v>0</v>
      </c>
      <c r="M279" s="1">
        <f t="shared" si="14"/>
        <v>12114.84</v>
      </c>
    </row>
    <row r="280" spans="1:13" x14ac:dyDescent="0.3">
      <c r="A280" t="s">
        <v>831</v>
      </c>
      <c r="B280" t="s">
        <v>832</v>
      </c>
      <c r="C280" t="s">
        <v>81</v>
      </c>
      <c r="D280" t="s">
        <v>18</v>
      </c>
      <c r="E280" s="1">
        <v>518.94000000000005</v>
      </c>
      <c r="F280">
        <v>1</v>
      </c>
      <c r="G280">
        <v>0</v>
      </c>
      <c r="H280">
        <v>2</v>
      </c>
      <c r="I280">
        <v>0</v>
      </c>
      <c r="J280">
        <v>0</v>
      </c>
      <c r="K280">
        <f t="shared" si="12"/>
        <v>2</v>
      </c>
      <c r="L280" s="1">
        <f t="shared" si="13"/>
        <v>0</v>
      </c>
      <c r="M280" s="1">
        <f t="shared" si="14"/>
        <v>1037.8800000000001</v>
      </c>
    </row>
    <row r="281" spans="1:13" x14ac:dyDescent="0.3">
      <c r="A281" t="s">
        <v>833</v>
      </c>
      <c r="B281" t="s">
        <v>834</v>
      </c>
      <c r="C281" t="s">
        <v>81</v>
      </c>
      <c r="D281" t="s">
        <v>18</v>
      </c>
      <c r="E281" s="1">
        <v>5649</v>
      </c>
      <c r="F281">
        <v>1</v>
      </c>
      <c r="G281">
        <v>0</v>
      </c>
      <c r="H281">
        <v>2</v>
      </c>
      <c r="I281">
        <v>0</v>
      </c>
      <c r="J281">
        <v>0</v>
      </c>
      <c r="K281">
        <f t="shared" si="12"/>
        <v>2</v>
      </c>
      <c r="L281" s="1">
        <f t="shared" si="13"/>
        <v>0</v>
      </c>
      <c r="M281" s="1">
        <f t="shared" si="14"/>
        <v>11298</v>
      </c>
    </row>
    <row r="282" spans="1:13" x14ac:dyDescent="0.3">
      <c r="A282" t="s">
        <v>835</v>
      </c>
      <c r="B282" t="s">
        <v>836</v>
      </c>
      <c r="C282" t="s">
        <v>81</v>
      </c>
      <c r="D282" t="s">
        <v>18</v>
      </c>
      <c r="E282" s="1">
        <v>6230.54</v>
      </c>
      <c r="F282">
        <v>1</v>
      </c>
      <c r="G282">
        <v>0</v>
      </c>
      <c r="H282">
        <v>2</v>
      </c>
      <c r="I282">
        <v>0</v>
      </c>
      <c r="J282">
        <v>0</v>
      </c>
      <c r="K282">
        <f t="shared" si="12"/>
        <v>2</v>
      </c>
      <c r="L282" s="1">
        <f t="shared" si="13"/>
        <v>0</v>
      </c>
      <c r="M282" s="1">
        <f t="shared" si="14"/>
        <v>12461.08</v>
      </c>
    </row>
    <row r="283" spans="1:13" x14ac:dyDescent="0.3">
      <c r="A283" t="s">
        <v>837</v>
      </c>
      <c r="B283" t="s">
        <v>838</v>
      </c>
      <c r="C283" t="s">
        <v>472</v>
      </c>
      <c r="D283" t="s">
        <v>18</v>
      </c>
      <c r="E283" s="1">
        <v>6395</v>
      </c>
      <c r="F283">
        <v>1</v>
      </c>
      <c r="G283">
        <v>0</v>
      </c>
      <c r="H283">
        <v>2</v>
      </c>
      <c r="I283">
        <v>0</v>
      </c>
      <c r="J283">
        <v>0</v>
      </c>
      <c r="K283">
        <f t="shared" si="12"/>
        <v>2</v>
      </c>
      <c r="L283" s="1">
        <f t="shared" si="13"/>
        <v>0</v>
      </c>
      <c r="M283" s="1">
        <f t="shared" si="14"/>
        <v>12790</v>
      </c>
    </row>
    <row r="284" spans="1:13" x14ac:dyDescent="0.3">
      <c r="A284" t="s">
        <v>839</v>
      </c>
      <c r="B284" t="s">
        <v>840</v>
      </c>
      <c r="C284" t="s">
        <v>472</v>
      </c>
      <c r="D284" t="s">
        <v>18</v>
      </c>
      <c r="E284" s="1">
        <v>7194.67</v>
      </c>
      <c r="F284">
        <v>1</v>
      </c>
      <c r="G284">
        <v>0</v>
      </c>
      <c r="H284">
        <v>2</v>
      </c>
      <c r="I284">
        <v>0</v>
      </c>
      <c r="J284">
        <v>0</v>
      </c>
      <c r="K284">
        <f t="shared" si="12"/>
        <v>2</v>
      </c>
      <c r="L284" s="1">
        <f t="shared" si="13"/>
        <v>0</v>
      </c>
      <c r="M284" s="1">
        <f t="shared" si="14"/>
        <v>14389.34</v>
      </c>
    </row>
    <row r="285" spans="1:13" x14ac:dyDescent="0.3">
      <c r="A285" t="s">
        <v>841</v>
      </c>
      <c r="B285" t="s">
        <v>842</v>
      </c>
      <c r="C285" t="s">
        <v>81</v>
      </c>
      <c r="D285" t="s">
        <v>18</v>
      </c>
      <c r="E285" s="1">
        <v>7167.96</v>
      </c>
      <c r="F285">
        <v>1</v>
      </c>
      <c r="G285">
        <v>0</v>
      </c>
      <c r="H285">
        <v>2</v>
      </c>
      <c r="I285">
        <v>0</v>
      </c>
      <c r="J285">
        <v>0</v>
      </c>
      <c r="K285">
        <f t="shared" si="12"/>
        <v>2</v>
      </c>
      <c r="L285" s="1">
        <f t="shared" si="13"/>
        <v>0</v>
      </c>
      <c r="M285" s="1">
        <f t="shared" si="14"/>
        <v>14335.92</v>
      </c>
    </row>
    <row r="286" spans="1:13" x14ac:dyDescent="0.3">
      <c r="A286" t="s">
        <v>843</v>
      </c>
      <c r="B286" t="s">
        <v>844</v>
      </c>
      <c r="C286" t="s">
        <v>845</v>
      </c>
      <c r="D286" t="s">
        <v>18</v>
      </c>
      <c r="E286" s="1">
        <v>7876.05</v>
      </c>
      <c r="F286">
        <v>1</v>
      </c>
      <c r="G286">
        <v>0</v>
      </c>
      <c r="H286">
        <v>2</v>
      </c>
      <c r="I286">
        <v>0</v>
      </c>
      <c r="J286">
        <v>0</v>
      </c>
      <c r="K286">
        <f t="shared" si="12"/>
        <v>2</v>
      </c>
      <c r="L286" s="1">
        <f t="shared" si="13"/>
        <v>0</v>
      </c>
      <c r="M286" s="1">
        <f t="shared" si="14"/>
        <v>15752.1</v>
      </c>
    </row>
    <row r="287" spans="1:13" x14ac:dyDescent="0.3">
      <c r="A287" t="s">
        <v>846</v>
      </c>
      <c r="B287" t="s">
        <v>847</v>
      </c>
      <c r="C287" t="s">
        <v>472</v>
      </c>
      <c r="D287" t="s">
        <v>18</v>
      </c>
      <c r="E287" s="1">
        <v>2597.6</v>
      </c>
      <c r="F287">
        <v>1</v>
      </c>
      <c r="G287">
        <v>0</v>
      </c>
      <c r="H287">
        <v>2</v>
      </c>
      <c r="I287">
        <v>0</v>
      </c>
      <c r="J287">
        <v>0</v>
      </c>
      <c r="K287">
        <f t="shared" si="12"/>
        <v>2</v>
      </c>
      <c r="L287" s="1">
        <f t="shared" si="13"/>
        <v>0</v>
      </c>
      <c r="M287" s="1">
        <f t="shared" si="14"/>
        <v>5195.2</v>
      </c>
    </row>
    <row r="288" spans="1:13" x14ac:dyDescent="0.3">
      <c r="A288" t="s">
        <v>848</v>
      </c>
      <c r="B288" t="s">
        <v>849</v>
      </c>
      <c r="D288" t="s">
        <v>18</v>
      </c>
      <c r="E288" s="1">
        <v>0</v>
      </c>
      <c r="F288">
        <v>1</v>
      </c>
      <c r="G288">
        <v>0</v>
      </c>
      <c r="H288">
        <v>2</v>
      </c>
      <c r="I288">
        <v>0</v>
      </c>
      <c r="J288">
        <v>0</v>
      </c>
      <c r="K288">
        <f t="shared" si="12"/>
        <v>2</v>
      </c>
      <c r="L288" s="1">
        <f t="shared" si="13"/>
        <v>0</v>
      </c>
      <c r="M288" s="1">
        <f t="shared" si="14"/>
        <v>0</v>
      </c>
    </row>
    <row r="289" spans="1:13" x14ac:dyDescent="0.3">
      <c r="A289" t="s">
        <v>850</v>
      </c>
      <c r="B289" t="s">
        <v>851</v>
      </c>
      <c r="C289" t="s">
        <v>472</v>
      </c>
      <c r="D289" t="s">
        <v>18</v>
      </c>
      <c r="E289" s="1">
        <v>2770</v>
      </c>
      <c r="F289">
        <v>1</v>
      </c>
      <c r="G289">
        <v>0</v>
      </c>
      <c r="H289">
        <v>2</v>
      </c>
      <c r="I289">
        <v>0</v>
      </c>
      <c r="J289">
        <v>0</v>
      </c>
      <c r="K289">
        <f t="shared" si="12"/>
        <v>2</v>
      </c>
      <c r="L289" s="1">
        <f t="shared" si="13"/>
        <v>0</v>
      </c>
      <c r="M289" s="1">
        <f t="shared" si="14"/>
        <v>5540</v>
      </c>
    </row>
    <row r="290" spans="1:13" x14ac:dyDescent="0.3">
      <c r="A290" t="s">
        <v>852</v>
      </c>
      <c r="B290" t="s">
        <v>853</v>
      </c>
      <c r="C290" t="s">
        <v>472</v>
      </c>
      <c r="D290" t="s">
        <v>18</v>
      </c>
      <c r="E290" s="1">
        <v>6943.86</v>
      </c>
      <c r="F290">
        <v>1</v>
      </c>
      <c r="G290">
        <v>0</v>
      </c>
      <c r="H290">
        <v>3</v>
      </c>
      <c r="I290">
        <v>0</v>
      </c>
      <c r="J290">
        <v>0</v>
      </c>
      <c r="K290">
        <f t="shared" si="12"/>
        <v>3</v>
      </c>
      <c r="L290" s="1">
        <f t="shared" si="13"/>
        <v>0</v>
      </c>
      <c r="M290" s="1">
        <f t="shared" si="14"/>
        <v>20831.579999999998</v>
      </c>
    </row>
    <row r="291" spans="1:13" x14ac:dyDescent="0.3">
      <c r="A291" t="s">
        <v>854</v>
      </c>
      <c r="B291" t="s">
        <v>855</v>
      </c>
      <c r="D291" t="s">
        <v>18</v>
      </c>
      <c r="E291" s="1">
        <v>0</v>
      </c>
      <c r="F291">
        <v>1</v>
      </c>
      <c r="G291">
        <v>0</v>
      </c>
      <c r="H291">
        <v>2</v>
      </c>
      <c r="I291">
        <v>0</v>
      </c>
      <c r="J291">
        <v>0</v>
      </c>
      <c r="K291">
        <f t="shared" si="12"/>
        <v>2</v>
      </c>
      <c r="L291" s="1">
        <f t="shared" si="13"/>
        <v>0</v>
      </c>
      <c r="M291" s="1">
        <f t="shared" si="14"/>
        <v>0</v>
      </c>
    </row>
    <row r="292" spans="1:13" x14ac:dyDescent="0.3">
      <c r="A292" t="s">
        <v>856</v>
      </c>
      <c r="B292" t="s">
        <v>857</v>
      </c>
      <c r="D292" t="s">
        <v>18</v>
      </c>
      <c r="E292" s="1">
        <v>0</v>
      </c>
      <c r="F292">
        <v>1</v>
      </c>
      <c r="G292">
        <v>0</v>
      </c>
      <c r="H292">
        <v>2</v>
      </c>
      <c r="I292">
        <v>0</v>
      </c>
      <c r="J292">
        <v>0</v>
      </c>
      <c r="K292">
        <f t="shared" si="12"/>
        <v>2</v>
      </c>
      <c r="L292" s="1">
        <f t="shared" si="13"/>
        <v>0</v>
      </c>
      <c r="M292" s="1">
        <f t="shared" si="14"/>
        <v>0</v>
      </c>
    </row>
    <row r="293" spans="1:13" x14ac:dyDescent="0.3">
      <c r="A293" t="s">
        <v>858</v>
      </c>
      <c r="B293" t="s">
        <v>859</v>
      </c>
      <c r="C293" t="s">
        <v>81</v>
      </c>
      <c r="D293" t="s">
        <v>18</v>
      </c>
      <c r="E293" s="1">
        <v>8466.2900000000009</v>
      </c>
      <c r="F293">
        <v>1</v>
      </c>
      <c r="G293">
        <v>0</v>
      </c>
      <c r="H293">
        <v>2</v>
      </c>
      <c r="I293">
        <v>0</v>
      </c>
      <c r="J293">
        <v>0</v>
      </c>
      <c r="K293">
        <f t="shared" si="12"/>
        <v>2</v>
      </c>
      <c r="L293" s="1">
        <f t="shared" si="13"/>
        <v>0</v>
      </c>
      <c r="M293" s="1">
        <f t="shared" si="14"/>
        <v>16932.580000000002</v>
      </c>
    </row>
    <row r="294" spans="1:13" x14ac:dyDescent="0.3">
      <c r="A294" t="s">
        <v>860</v>
      </c>
      <c r="B294" t="s">
        <v>861</v>
      </c>
      <c r="C294" t="s">
        <v>472</v>
      </c>
      <c r="D294" t="s">
        <v>18</v>
      </c>
      <c r="E294" s="1">
        <v>7314.9</v>
      </c>
      <c r="F294">
        <v>1</v>
      </c>
      <c r="G294">
        <v>0</v>
      </c>
      <c r="H294">
        <v>2</v>
      </c>
      <c r="I294">
        <v>0</v>
      </c>
      <c r="J294">
        <v>0</v>
      </c>
      <c r="K294">
        <f t="shared" si="12"/>
        <v>2</v>
      </c>
      <c r="L294" s="1">
        <f t="shared" si="13"/>
        <v>0</v>
      </c>
      <c r="M294" s="1">
        <f t="shared" si="14"/>
        <v>14629.8</v>
      </c>
    </row>
    <row r="295" spans="1:13" x14ac:dyDescent="0.3">
      <c r="A295" t="s">
        <v>862</v>
      </c>
      <c r="B295" t="s">
        <v>863</v>
      </c>
      <c r="D295" t="s">
        <v>18</v>
      </c>
      <c r="E295" s="1">
        <v>0</v>
      </c>
      <c r="F295">
        <v>1</v>
      </c>
      <c r="G295">
        <v>0</v>
      </c>
      <c r="H295">
        <v>2</v>
      </c>
      <c r="I295">
        <v>0</v>
      </c>
      <c r="J295">
        <v>0</v>
      </c>
      <c r="K295">
        <f t="shared" si="12"/>
        <v>2</v>
      </c>
      <c r="L295" s="1">
        <f t="shared" si="13"/>
        <v>0</v>
      </c>
      <c r="M295" s="1">
        <f t="shared" si="14"/>
        <v>0</v>
      </c>
    </row>
    <row r="296" spans="1:13" x14ac:dyDescent="0.3">
      <c r="A296" t="s">
        <v>864</v>
      </c>
      <c r="B296" t="s">
        <v>865</v>
      </c>
      <c r="D296" t="s">
        <v>18</v>
      </c>
      <c r="E296" s="1">
        <v>0</v>
      </c>
      <c r="F296">
        <v>1</v>
      </c>
      <c r="G296">
        <v>0</v>
      </c>
      <c r="H296">
        <v>2</v>
      </c>
      <c r="I296">
        <v>0</v>
      </c>
      <c r="J296">
        <v>0</v>
      </c>
      <c r="K296">
        <f t="shared" si="12"/>
        <v>2</v>
      </c>
      <c r="L296" s="1">
        <f t="shared" si="13"/>
        <v>0</v>
      </c>
      <c r="M296" s="1">
        <f t="shared" si="14"/>
        <v>0</v>
      </c>
    </row>
    <row r="297" spans="1:13" x14ac:dyDescent="0.3">
      <c r="A297" t="s">
        <v>866</v>
      </c>
      <c r="B297" t="s">
        <v>867</v>
      </c>
      <c r="C297" t="s">
        <v>472</v>
      </c>
      <c r="D297" t="s">
        <v>18</v>
      </c>
      <c r="E297" s="1">
        <v>2908</v>
      </c>
      <c r="F297">
        <v>1</v>
      </c>
      <c r="G297">
        <v>0</v>
      </c>
      <c r="H297">
        <v>2</v>
      </c>
      <c r="I297">
        <v>0</v>
      </c>
      <c r="J297">
        <v>0</v>
      </c>
      <c r="K297">
        <f t="shared" si="12"/>
        <v>2</v>
      </c>
      <c r="L297" s="1">
        <f t="shared" si="13"/>
        <v>0</v>
      </c>
      <c r="M297" s="1">
        <f t="shared" si="14"/>
        <v>5816</v>
      </c>
    </row>
    <row r="298" spans="1:13" x14ac:dyDescent="0.3">
      <c r="A298" t="s">
        <v>868</v>
      </c>
      <c r="B298" t="s">
        <v>869</v>
      </c>
      <c r="C298" t="s">
        <v>81</v>
      </c>
      <c r="D298" t="s">
        <v>18</v>
      </c>
      <c r="E298" s="1">
        <v>11339.2</v>
      </c>
      <c r="F298">
        <v>1</v>
      </c>
      <c r="G298">
        <v>0</v>
      </c>
      <c r="H298">
        <v>3</v>
      </c>
      <c r="I298">
        <v>0</v>
      </c>
      <c r="J298">
        <v>0</v>
      </c>
      <c r="K298">
        <f t="shared" si="12"/>
        <v>3</v>
      </c>
      <c r="L298" s="1">
        <f t="shared" si="13"/>
        <v>0</v>
      </c>
      <c r="M298" s="1">
        <f t="shared" si="14"/>
        <v>34017.600000000006</v>
      </c>
    </row>
    <row r="299" spans="1:13" x14ac:dyDescent="0.3">
      <c r="A299" t="s">
        <v>870</v>
      </c>
      <c r="B299" t="s">
        <v>871</v>
      </c>
      <c r="D299" t="s">
        <v>18</v>
      </c>
      <c r="E299" s="1">
        <v>0</v>
      </c>
      <c r="F299">
        <v>1</v>
      </c>
      <c r="G299">
        <v>0</v>
      </c>
      <c r="H299">
        <v>2</v>
      </c>
      <c r="I299">
        <v>0</v>
      </c>
      <c r="J299">
        <v>0</v>
      </c>
      <c r="K299">
        <f t="shared" si="12"/>
        <v>2</v>
      </c>
      <c r="L299" s="1">
        <f t="shared" si="13"/>
        <v>0</v>
      </c>
      <c r="M299" s="1">
        <f t="shared" si="14"/>
        <v>0</v>
      </c>
    </row>
    <row r="300" spans="1:13" x14ac:dyDescent="0.3">
      <c r="A300" t="s">
        <v>872</v>
      </c>
      <c r="B300" t="s">
        <v>873</v>
      </c>
      <c r="C300" t="s">
        <v>472</v>
      </c>
      <c r="D300" t="s">
        <v>18</v>
      </c>
      <c r="E300" s="1">
        <v>6492.37</v>
      </c>
      <c r="F300">
        <v>2</v>
      </c>
      <c r="G300">
        <v>0</v>
      </c>
      <c r="H300">
        <v>4</v>
      </c>
      <c r="I300">
        <v>0</v>
      </c>
      <c r="J300">
        <v>0</v>
      </c>
      <c r="K300">
        <f t="shared" si="12"/>
        <v>4</v>
      </c>
      <c r="L300" s="1">
        <f t="shared" si="13"/>
        <v>0</v>
      </c>
      <c r="M300" s="1">
        <f t="shared" si="14"/>
        <v>25969.48</v>
      </c>
    </row>
    <row r="301" spans="1:13" x14ac:dyDescent="0.3">
      <c r="A301" t="s">
        <v>874</v>
      </c>
      <c r="B301" t="s">
        <v>875</v>
      </c>
      <c r="D301" t="s">
        <v>18</v>
      </c>
      <c r="E301" s="1">
        <v>0</v>
      </c>
      <c r="F301">
        <v>1</v>
      </c>
      <c r="G301">
        <v>0</v>
      </c>
      <c r="H301">
        <v>2</v>
      </c>
      <c r="I301">
        <v>0</v>
      </c>
      <c r="J301">
        <v>0</v>
      </c>
      <c r="K301">
        <f t="shared" si="12"/>
        <v>2</v>
      </c>
      <c r="L301" s="1">
        <f t="shared" si="13"/>
        <v>0</v>
      </c>
      <c r="M301" s="1">
        <f t="shared" si="14"/>
        <v>0</v>
      </c>
    </row>
    <row r="302" spans="1:13" x14ac:dyDescent="0.3">
      <c r="A302" t="s">
        <v>876</v>
      </c>
      <c r="B302" t="s">
        <v>877</v>
      </c>
      <c r="C302" t="s">
        <v>472</v>
      </c>
      <c r="D302" t="s">
        <v>18</v>
      </c>
      <c r="E302" s="1">
        <v>14506</v>
      </c>
      <c r="F302">
        <v>1</v>
      </c>
      <c r="G302">
        <v>0</v>
      </c>
      <c r="H302">
        <v>3</v>
      </c>
      <c r="I302">
        <v>0</v>
      </c>
      <c r="J302">
        <v>0</v>
      </c>
      <c r="K302">
        <f t="shared" si="12"/>
        <v>3</v>
      </c>
      <c r="L302" s="1">
        <f t="shared" si="13"/>
        <v>0</v>
      </c>
      <c r="M302" s="1">
        <f t="shared" si="14"/>
        <v>43518</v>
      </c>
    </row>
    <row r="303" spans="1:13" x14ac:dyDescent="0.3">
      <c r="A303" t="s">
        <v>878</v>
      </c>
      <c r="B303" t="s">
        <v>879</v>
      </c>
      <c r="C303" t="s">
        <v>81</v>
      </c>
      <c r="D303" t="s">
        <v>18</v>
      </c>
      <c r="E303" s="1">
        <v>9384.52</v>
      </c>
      <c r="F303">
        <v>2</v>
      </c>
      <c r="G303">
        <v>0</v>
      </c>
      <c r="H303">
        <v>4</v>
      </c>
      <c r="I303">
        <v>0</v>
      </c>
      <c r="J303">
        <v>0</v>
      </c>
      <c r="K303">
        <f t="shared" si="12"/>
        <v>4</v>
      </c>
      <c r="L303" s="1">
        <f t="shared" si="13"/>
        <v>0</v>
      </c>
      <c r="M303" s="1">
        <f t="shared" si="14"/>
        <v>37538.080000000002</v>
      </c>
    </row>
    <row r="304" spans="1:13" x14ac:dyDescent="0.3">
      <c r="A304" t="s">
        <v>880</v>
      </c>
      <c r="B304" t="s">
        <v>881</v>
      </c>
      <c r="D304" t="s">
        <v>18</v>
      </c>
      <c r="E304" s="1">
        <v>0</v>
      </c>
      <c r="F304">
        <v>1</v>
      </c>
      <c r="G304">
        <v>0</v>
      </c>
      <c r="H304">
        <v>2</v>
      </c>
      <c r="I304">
        <v>0</v>
      </c>
      <c r="J304">
        <v>0</v>
      </c>
      <c r="K304">
        <f t="shared" si="12"/>
        <v>2</v>
      </c>
      <c r="L304" s="1">
        <f t="shared" si="13"/>
        <v>0</v>
      </c>
      <c r="M304" s="1">
        <f t="shared" si="14"/>
        <v>0</v>
      </c>
    </row>
    <row r="305" spans="1:13" x14ac:dyDescent="0.3">
      <c r="A305" t="s">
        <v>882</v>
      </c>
      <c r="B305" t="s">
        <v>883</v>
      </c>
      <c r="D305" t="s">
        <v>18</v>
      </c>
      <c r="E305" s="1">
        <v>0</v>
      </c>
      <c r="F305">
        <v>1</v>
      </c>
      <c r="G305">
        <v>0</v>
      </c>
      <c r="H305">
        <v>5</v>
      </c>
      <c r="I305">
        <v>0</v>
      </c>
      <c r="J305">
        <v>0</v>
      </c>
      <c r="K305">
        <f t="shared" si="12"/>
        <v>5</v>
      </c>
      <c r="L305" s="1">
        <f t="shared" si="13"/>
        <v>0</v>
      </c>
      <c r="M305" s="1">
        <f t="shared" si="14"/>
        <v>0</v>
      </c>
    </row>
    <row r="306" spans="1:13" x14ac:dyDescent="0.3">
      <c r="A306" t="s">
        <v>884</v>
      </c>
      <c r="B306" t="s">
        <v>885</v>
      </c>
      <c r="D306" t="s">
        <v>18</v>
      </c>
      <c r="E306" s="1">
        <v>0</v>
      </c>
      <c r="F306">
        <v>2</v>
      </c>
      <c r="G306">
        <v>0</v>
      </c>
      <c r="H306">
        <v>8</v>
      </c>
      <c r="I306">
        <v>0</v>
      </c>
      <c r="J306">
        <v>0</v>
      </c>
      <c r="K306">
        <f t="shared" si="12"/>
        <v>8</v>
      </c>
      <c r="L306" s="1">
        <f t="shared" si="13"/>
        <v>0</v>
      </c>
      <c r="M306" s="1">
        <f t="shared" si="14"/>
        <v>0</v>
      </c>
    </row>
    <row r="307" spans="1:13" x14ac:dyDescent="0.3">
      <c r="A307" t="s">
        <v>886</v>
      </c>
      <c r="B307" t="s">
        <v>887</v>
      </c>
      <c r="D307" t="s">
        <v>18</v>
      </c>
      <c r="E307" s="1">
        <v>0</v>
      </c>
      <c r="F307">
        <v>1</v>
      </c>
      <c r="G307">
        <v>0</v>
      </c>
      <c r="H307">
        <v>5</v>
      </c>
      <c r="I307">
        <v>0</v>
      </c>
      <c r="J307">
        <v>0</v>
      </c>
      <c r="K307">
        <f t="shared" si="12"/>
        <v>5</v>
      </c>
      <c r="L307" s="1">
        <f t="shared" si="13"/>
        <v>0</v>
      </c>
      <c r="M307" s="1">
        <f t="shared" si="14"/>
        <v>0</v>
      </c>
    </row>
    <row r="308" spans="1:13" x14ac:dyDescent="0.3">
      <c r="A308" t="s">
        <v>888</v>
      </c>
      <c r="B308" t="s">
        <v>889</v>
      </c>
      <c r="C308" t="s">
        <v>472</v>
      </c>
      <c r="D308" t="s">
        <v>18</v>
      </c>
      <c r="E308" s="1">
        <v>7954.28</v>
      </c>
      <c r="F308">
        <v>1</v>
      </c>
      <c r="G308">
        <v>0</v>
      </c>
      <c r="H308">
        <v>3</v>
      </c>
      <c r="I308">
        <v>0</v>
      </c>
      <c r="J308">
        <v>0</v>
      </c>
      <c r="K308">
        <f t="shared" si="12"/>
        <v>3</v>
      </c>
      <c r="L308" s="1">
        <f t="shared" si="13"/>
        <v>0</v>
      </c>
      <c r="M308" s="1">
        <f t="shared" si="14"/>
        <v>23862.84</v>
      </c>
    </row>
    <row r="309" spans="1:13" x14ac:dyDescent="0.3">
      <c r="A309" t="s">
        <v>890</v>
      </c>
      <c r="B309" t="s">
        <v>891</v>
      </c>
      <c r="C309" t="s">
        <v>472</v>
      </c>
      <c r="D309" t="s">
        <v>18</v>
      </c>
      <c r="E309" s="1">
        <v>8741.8799999999992</v>
      </c>
      <c r="F309">
        <v>1</v>
      </c>
      <c r="G309">
        <v>0</v>
      </c>
      <c r="H309">
        <v>4</v>
      </c>
      <c r="I309">
        <v>0</v>
      </c>
      <c r="J309">
        <v>0</v>
      </c>
      <c r="K309">
        <f t="shared" si="12"/>
        <v>4</v>
      </c>
      <c r="L309" s="1">
        <f t="shared" si="13"/>
        <v>0</v>
      </c>
      <c r="M309" s="1">
        <f t="shared" si="14"/>
        <v>34967.519999999997</v>
      </c>
    </row>
    <row r="310" spans="1:13" x14ac:dyDescent="0.3">
      <c r="A310" t="s">
        <v>892</v>
      </c>
      <c r="B310" t="s">
        <v>893</v>
      </c>
      <c r="C310" t="s">
        <v>472</v>
      </c>
      <c r="D310" t="s">
        <v>18</v>
      </c>
      <c r="E310" s="1">
        <v>17409.599999999999</v>
      </c>
      <c r="F310">
        <v>2</v>
      </c>
      <c r="G310">
        <v>0</v>
      </c>
      <c r="H310">
        <v>4</v>
      </c>
      <c r="I310">
        <v>0</v>
      </c>
      <c r="J310">
        <v>0</v>
      </c>
      <c r="K310">
        <f t="shared" si="12"/>
        <v>4</v>
      </c>
      <c r="L310" s="1">
        <f t="shared" si="13"/>
        <v>0</v>
      </c>
      <c r="M310" s="1">
        <f t="shared" si="14"/>
        <v>69638.399999999994</v>
      </c>
    </row>
    <row r="311" spans="1:13" x14ac:dyDescent="0.3">
      <c r="A311" t="s">
        <v>894</v>
      </c>
      <c r="B311" t="s">
        <v>895</v>
      </c>
      <c r="C311" t="s">
        <v>472</v>
      </c>
      <c r="D311" t="s">
        <v>18</v>
      </c>
      <c r="E311" s="1">
        <v>12400.02</v>
      </c>
      <c r="F311">
        <v>1</v>
      </c>
      <c r="G311">
        <v>0</v>
      </c>
      <c r="H311">
        <v>3</v>
      </c>
      <c r="I311">
        <v>0</v>
      </c>
      <c r="J311">
        <v>0</v>
      </c>
      <c r="K311">
        <f t="shared" si="12"/>
        <v>3</v>
      </c>
      <c r="L311" s="1">
        <f t="shared" si="13"/>
        <v>0</v>
      </c>
      <c r="M311" s="1">
        <f t="shared" si="14"/>
        <v>37200.06</v>
      </c>
    </row>
    <row r="312" spans="1:13" x14ac:dyDescent="0.3">
      <c r="A312" t="s">
        <v>896</v>
      </c>
      <c r="B312" t="s">
        <v>897</v>
      </c>
      <c r="D312" t="s">
        <v>18</v>
      </c>
      <c r="E312" s="1">
        <v>0</v>
      </c>
      <c r="F312">
        <v>1</v>
      </c>
      <c r="G312">
        <v>0</v>
      </c>
      <c r="H312">
        <v>2</v>
      </c>
      <c r="I312">
        <v>0</v>
      </c>
      <c r="J312">
        <v>0</v>
      </c>
      <c r="K312">
        <f t="shared" si="12"/>
        <v>2</v>
      </c>
      <c r="L312" s="1">
        <f t="shared" si="13"/>
        <v>0</v>
      </c>
      <c r="M312" s="1">
        <f t="shared" si="14"/>
        <v>0</v>
      </c>
    </row>
    <row r="313" spans="1:13" x14ac:dyDescent="0.3">
      <c r="A313" t="s">
        <v>898</v>
      </c>
      <c r="B313" t="s">
        <v>899</v>
      </c>
      <c r="C313" t="s">
        <v>81</v>
      </c>
      <c r="D313" t="s">
        <v>18</v>
      </c>
      <c r="E313" s="1">
        <v>9327.9599999999991</v>
      </c>
      <c r="F313">
        <v>1</v>
      </c>
      <c r="G313">
        <v>0</v>
      </c>
      <c r="H313">
        <v>2</v>
      </c>
      <c r="I313">
        <v>0</v>
      </c>
      <c r="J313">
        <v>0</v>
      </c>
      <c r="K313">
        <f t="shared" si="12"/>
        <v>2</v>
      </c>
      <c r="L313" s="1">
        <f t="shared" si="13"/>
        <v>0</v>
      </c>
      <c r="M313" s="1">
        <f t="shared" si="14"/>
        <v>18655.919999999998</v>
      </c>
    </row>
    <row r="314" spans="1:13" x14ac:dyDescent="0.3">
      <c r="A314" t="s">
        <v>900</v>
      </c>
      <c r="B314" t="s">
        <v>901</v>
      </c>
      <c r="C314" t="s">
        <v>472</v>
      </c>
      <c r="D314" t="s">
        <v>18</v>
      </c>
      <c r="E314" s="1">
        <v>18403.560000000001</v>
      </c>
      <c r="F314">
        <v>1</v>
      </c>
      <c r="G314">
        <v>0</v>
      </c>
      <c r="H314">
        <v>3</v>
      </c>
      <c r="I314">
        <v>0</v>
      </c>
      <c r="J314">
        <v>0</v>
      </c>
      <c r="K314">
        <f t="shared" si="12"/>
        <v>3</v>
      </c>
      <c r="L314" s="1">
        <f t="shared" si="13"/>
        <v>0</v>
      </c>
      <c r="M314" s="1">
        <f t="shared" si="14"/>
        <v>55210.680000000008</v>
      </c>
    </row>
    <row r="315" spans="1:13" x14ac:dyDescent="0.3">
      <c r="A315" t="s">
        <v>902</v>
      </c>
      <c r="B315" t="s">
        <v>903</v>
      </c>
      <c r="D315" t="s">
        <v>18</v>
      </c>
      <c r="E315" s="1">
        <v>0</v>
      </c>
      <c r="F315">
        <v>1</v>
      </c>
      <c r="G315">
        <v>0</v>
      </c>
      <c r="H315">
        <v>2</v>
      </c>
      <c r="I315">
        <v>0</v>
      </c>
      <c r="J315">
        <v>0</v>
      </c>
      <c r="K315">
        <f t="shared" si="12"/>
        <v>2</v>
      </c>
      <c r="L315" s="1">
        <f t="shared" si="13"/>
        <v>0</v>
      </c>
      <c r="M315" s="1">
        <f t="shared" si="14"/>
        <v>0</v>
      </c>
    </row>
    <row r="316" spans="1:13" x14ac:dyDescent="0.3">
      <c r="A316" t="s">
        <v>904</v>
      </c>
      <c r="B316" t="s">
        <v>905</v>
      </c>
      <c r="D316" t="s">
        <v>18</v>
      </c>
      <c r="E316" s="1">
        <v>0</v>
      </c>
      <c r="F316">
        <v>2</v>
      </c>
      <c r="G316">
        <v>0</v>
      </c>
      <c r="H316">
        <v>10</v>
      </c>
      <c r="I316">
        <v>0</v>
      </c>
      <c r="J316">
        <v>0</v>
      </c>
      <c r="K316">
        <f t="shared" si="12"/>
        <v>10</v>
      </c>
      <c r="L316" s="1">
        <f t="shared" si="13"/>
        <v>0</v>
      </c>
      <c r="M316" s="1">
        <f t="shared" si="14"/>
        <v>0</v>
      </c>
    </row>
    <row r="317" spans="1:13" x14ac:dyDescent="0.3">
      <c r="A317" t="s">
        <v>906</v>
      </c>
      <c r="B317" t="s">
        <v>907</v>
      </c>
      <c r="C317" t="s">
        <v>113</v>
      </c>
      <c r="D317" t="s">
        <v>18</v>
      </c>
      <c r="E317" s="1">
        <v>0</v>
      </c>
      <c r="F317">
        <v>19</v>
      </c>
      <c r="G317">
        <v>0</v>
      </c>
      <c r="H317">
        <v>95</v>
      </c>
      <c r="I317">
        <v>0</v>
      </c>
      <c r="J317">
        <v>0</v>
      </c>
      <c r="K317">
        <f t="shared" si="12"/>
        <v>95</v>
      </c>
      <c r="L317" s="1">
        <f t="shared" si="13"/>
        <v>0</v>
      </c>
      <c r="M317" s="1">
        <f t="shared" si="14"/>
        <v>0</v>
      </c>
    </row>
    <row r="318" spans="1:13" x14ac:dyDescent="0.3">
      <c r="A318" t="s">
        <v>908</v>
      </c>
      <c r="B318" t="s">
        <v>909</v>
      </c>
      <c r="C318" t="s">
        <v>113</v>
      </c>
      <c r="D318" t="s">
        <v>18</v>
      </c>
      <c r="E318" s="1">
        <v>0</v>
      </c>
      <c r="F318">
        <v>19</v>
      </c>
      <c r="G318">
        <v>0</v>
      </c>
      <c r="H318">
        <v>95</v>
      </c>
      <c r="I318">
        <v>0</v>
      </c>
      <c r="J318">
        <v>0</v>
      </c>
      <c r="K318">
        <f t="shared" si="12"/>
        <v>95</v>
      </c>
      <c r="L318" s="1">
        <f t="shared" si="13"/>
        <v>0</v>
      </c>
      <c r="M318" s="1">
        <f t="shared" si="14"/>
        <v>0</v>
      </c>
    </row>
    <row r="319" spans="1:13" x14ac:dyDescent="0.3">
      <c r="A319" t="s">
        <v>48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910</v>
      </c>
      <c r="B2" t="s">
        <v>910</v>
      </c>
      <c r="C2" t="s">
        <v>911</v>
      </c>
      <c r="D2" t="s">
        <v>19</v>
      </c>
      <c r="E2" s="1">
        <v>5400</v>
      </c>
      <c r="F2">
        <v>1</v>
      </c>
      <c r="G2">
        <v>0</v>
      </c>
      <c r="H2">
        <v>3</v>
      </c>
      <c r="I2">
        <v>0</v>
      </c>
      <c r="J2">
        <v>0</v>
      </c>
      <c r="K2">
        <f>IF(H2-I2-J2&gt;0,H2-I2-J2,0)</f>
        <v>3</v>
      </c>
      <c r="L2" s="1">
        <f>IFERROR(I2*E2,0)</f>
        <v>0</v>
      </c>
      <c r="M2" s="1">
        <f>IFERROR(K2*E2,0)</f>
        <v>16200</v>
      </c>
    </row>
    <row r="3" spans="1:13" x14ac:dyDescent="0.3">
      <c r="A3" t="s">
        <v>912</v>
      </c>
      <c r="B3" t="s">
        <v>913</v>
      </c>
      <c r="C3" t="s">
        <v>911</v>
      </c>
      <c r="D3" t="s">
        <v>19</v>
      </c>
      <c r="E3" s="1">
        <v>2750</v>
      </c>
      <c r="F3">
        <v>1</v>
      </c>
      <c r="G3">
        <v>0</v>
      </c>
      <c r="H3">
        <v>5</v>
      </c>
      <c r="I3">
        <v>0</v>
      </c>
      <c r="J3">
        <v>0</v>
      </c>
      <c r="K3">
        <f>IF(H3-I3-J3&gt;0,H3-I3-J3,0)</f>
        <v>5</v>
      </c>
      <c r="L3" s="1">
        <f>IFERROR(I3*E3,0)</f>
        <v>0</v>
      </c>
      <c r="M3" s="1">
        <f>IFERROR(K3*E3,0)</f>
        <v>13750</v>
      </c>
    </row>
    <row r="4" spans="1:13" x14ac:dyDescent="0.3">
      <c r="A4" t="s">
        <v>48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914</v>
      </c>
      <c r="B2" t="s">
        <v>915</v>
      </c>
      <c r="C2" t="s">
        <v>91</v>
      </c>
      <c r="D2" t="s">
        <v>20</v>
      </c>
      <c r="E2" s="1">
        <v>1418.1</v>
      </c>
      <c r="F2">
        <v>1</v>
      </c>
      <c r="G2">
        <v>0</v>
      </c>
      <c r="H2">
        <v>5</v>
      </c>
      <c r="I2">
        <v>0</v>
      </c>
      <c r="J2">
        <v>0</v>
      </c>
      <c r="K2">
        <f t="shared" ref="K2:K26" si="0">IF(H2-I2-J2&gt;0,H2-I2-J2,0)</f>
        <v>5</v>
      </c>
      <c r="L2" s="1">
        <f t="shared" ref="L2:L26" si="1">IFERROR(I2*E2,0)</f>
        <v>0</v>
      </c>
      <c r="M2" s="1">
        <f t="shared" ref="M2:M26" si="2">IFERROR(K2*E2,0)</f>
        <v>7090.5</v>
      </c>
    </row>
    <row r="3" spans="1:13" x14ac:dyDescent="0.3">
      <c r="A3" t="s">
        <v>916</v>
      </c>
      <c r="B3" t="s">
        <v>917</v>
      </c>
      <c r="C3" t="s">
        <v>918</v>
      </c>
      <c r="D3" t="s">
        <v>20</v>
      </c>
      <c r="E3" s="1">
        <v>2699</v>
      </c>
      <c r="F3">
        <v>1</v>
      </c>
      <c r="G3">
        <v>0</v>
      </c>
      <c r="H3">
        <v>2</v>
      </c>
      <c r="I3">
        <v>0</v>
      </c>
      <c r="J3">
        <v>0</v>
      </c>
      <c r="K3">
        <f t="shared" si="0"/>
        <v>2</v>
      </c>
      <c r="L3" s="1">
        <f t="shared" si="1"/>
        <v>0</v>
      </c>
      <c r="M3" s="1">
        <f t="shared" si="2"/>
        <v>5398</v>
      </c>
    </row>
    <row r="4" spans="1:13" x14ac:dyDescent="0.3">
      <c r="A4" t="s">
        <v>919</v>
      </c>
      <c r="B4" t="s">
        <v>920</v>
      </c>
      <c r="C4" t="s">
        <v>91</v>
      </c>
      <c r="D4" t="s">
        <v>20</v>
      </c>
      <c r="E4" s="1">
        <v>2024.6</v>
      </c>
      <c r="F4">
        <v>1</v>
      </c>
      <c r="G4">
        <v>0</v>
      </c>
      <c r="H4">
        <v>5</v>
      </c>
      <c r="I4">
        <v>0</v>
      </c>
      <c r="J4">
        <v>0</v>
      </c>
      <c r="K4">
        <f t="shared" si="0"/>
        <v>5</v>
      </c>
      <c r="L4" s="1">
        <f t="shared" si="1"/>
        <v>0</v>
      </c>
      <c r="M4" s="1">
        <f t="shared" si="2"/>
        <v>10123</v>
      </c>
    </row>
    <row r="5" spans="1:13" x14ac:dyDescent="0.3">
      <c r="A5" t="s">
        <v>921</v>
      </c>
      <c r="B5" t="s">
        <v>922</v>
      </c>
      <c r="C5" t="s">
        <v>91</v>
      </c>
      <c r="D5" t="s">
        <v>20</v>
      </c>
      <c r="E5" s="1">
        <v>133</v>
      </c>
      <c r="F5">
        <v>5</v>
      </c>
      <c r="G5">
        <v>0</v>
      </c>
      <c r="H5">
        <v>25</v>
      </c>
      <c r="I5">
        <v>0</v>
      </c>
      <c r="J5">
        <v>0</v>
      </c>
      <c r="K5">
        <f t="shared" si="0"/>
        <v>25</v>
      </c>
      <c r="L5" s="1">
        <f t="shared" si="1"/>
        <v>0</v>
      </c>
      <c r="M5" s="1">
        <f t="shared" si="2"/>
        <v>3325</v>
      </c>
    </row>
    <row r="6" spans="1:13" x14ac:dyDescent="0.3">
      <c r="A6" t="s">
        <v>923</v>
      </c>
      <c r="B6" t="s">
        <v>924</v>
      </c>
      <c r="C6" t="s">
        <v>918</v>
      </c>
      <c r="D6" t="s">
        <v>20</v>
      </c>
      <c r="E6" s="1">
        <v>4799</v>
      </c>
      <c r="F6">
        <v>1</v>
      </c>
      <c r="G6">
        <v>0</v>
      </c>
      <c r="H6">
        <v>2</v>
      </c>
      <c r="I6">
        <v>0</v>
      </c>
      <c r="J6">
        <v>0</v>
      </c>
      <c r="K6">
        <f t="shared" si="0"/>
        <v>2</v>
      </c>
      <c r="L6" s="1">
        <f t="shared" si="1"/>
        <v>0</v>
      </c>
      <c r="M6" s="1">
        <f t="shared" si="2"/>
        <v>9598</v>
      </c>
    </row>
    <row r="7" spans="1:13" x14ac:dyDescent="0.3">
      <c r="A7" t="s">
        <v>925</v>
      </c>
      <c r="B7" t="s">
        <v>926</v>
      </c>
      <c r="C7" t="s">
        <v>91</v>
      </c>
      <c r="D7" t="s">
        <v>20</v>
      </c>
      <c r="E7" s="1">
        <v>213</v>
      </c>
      <c r="F7">
        <v>5</v>
      </c>
      <c r="G7">
        <v>0</v>
      </c>
      <c r="H7">
        <v>25</v>
      </c>
      <c r="I7">
        <v>0</v>
      </c>
      <c r="J7">
        <v>0</v>
      </c>
      <c r="K7">
        <f t="shared" si="0"/>
        <v>25</v>
      </c>
      <c r="L7" s="1">
        <f t="shared" si="1"/>
        <v>0</v>
      </c>
      <c r="M7" s="1">
        <f t="shared" si="2"/>
        <v>5325</v>
      </c>
    </row>
    <row r="8" spans="1:13" x14ac:dyDescent="0.3">
      <c r="A8" t="s">
        <v>927</v>
      </c>
      <c r="B8" t="s">
        <v>928</v>
      </c>
      <c r="C8" t="s">
        <v>91</v>
      </c>
      <c r="D8" t="s">
        <v>20</v>
      </c>
      <c r="E8" s="1">
        <v>207.08</v>
      </c>
      <c r="F8">
        <v>3</v>
      </c>
      <c r="G8">
        <v>0</v>
      </c>
      <c r="H8">
        <v>15</v>
      </c>
      <c r="I8">
        <v>0</v>
      </c>
      <c r="J8">
        <v>0</v>
      </c>
      <c r="K8">
        <f t="shared" si="0"/>
        <v>15</v>
      </c>
      <c r="L8" s="1">
        <f t="shared" si="1"/>
        <v>0</v>
      </c>
      <c r="M8" s="1">
        <f t="shared" si="2"/>
        <v>3106.2000000000003</v>
      </c>
    </row>
    <row r="9" spans="1:13" x14ac:dyDescent="0.3">
      <c r="A9" t="s">
        <v>929</v>
      </c>
      <c r="B9" t="s">
        <v>930</v>
      </c>
      <c r="C9" t="s">
        <v>91</v>
      </c>
      <c r="D9" t="s">
        <v>20</v>
      </c>
      <c r="E9" s="1">
        <v>385.17</v>
      </c>
      <c r="F9">
        <v>3</v>
      </c>
      <c r="G9">
        <v>0</v>
      </c>
      <c r="H9">
        <v>15</v>
      </c>
      <c r="I9">
        <v>0</v>
      </c>
      <c r="J9">
        <v>0</v>
      </c>
      <c r="K9">
        <f t="shared" si="0"/>
        <v>15</v>
      </c>
      <c r="L9" s="1">
        <f t="shared" si="1"/>
        <v>0</v>
      </c>
      <c r="M9" s="1">
        <f t="shared" si="2"/>
        <v>5777.55</v>
      </c>
    </row>
    <row r="10" spans="1:13" x14ac:dyDescent="0.3">
      <c r="A10" t="s">
        <v>931</v>
      </c>
      <c r="B10" t="s">
        <v>932</v>
      </c>
      <c r="C10" t="s">
        <v>91</v>
      </c>
      <c r="D10" t="s">
        <v>20</v>
      </c>
      <c r="E10" s="1">
        <v>389</v>
      </c>
      <c r="F10">
        <v>1</v>
      </c>
      <c r="G10">
        <v>0</v>
      </c>
      <c r="H10">
        <v>2</v>
      </c>
      <c r="I10">
        <v>0</v>
      </c>
      <c r="J10">
        <v>0</v>
      </c>
      <c r="K10">
        <f t="shared" si="0"/>
        <v>2</v>
      </c>
      <c r="L10" s="1">
        <f t="shared" si="1"/>
        <v>0</v>
      </c>
      <c r="M10" s="1">
        <f t="shared" si="2"/>
        <v>778</v>
      </c>
    </row>
    <row r="11" spans="1:13" x14ac:dyDescent="0.3">
      <c r="A11" t="s">
        <v>933</v>
      </c>
      <c r="B11" t="s">
        <v>934</v>
      </c>
      <c r="C11" t="s">
        <v>91</v>
      </c>
      <c r="D11" t="s">
        <v>20</v>
      </c>
      <c r="E11" s="1">
        <v>232</v>
      </c>
      <c r="F11">
        <v>3</v>
      </c>
      <c r="G11">
        <v>0</v>
      </c>
      <c r="H11">
        <v>15</v>
      </c>
      <c r="I11">
        <v>0</v>
      </c>
      <c r="J11">
        <v>0</v>
      </c>
      <c r="K11">
        <f t="shared" si="0"/>
        <v>15</v>
      </c>
      <c r="L11" s="1">
        <f t="shared" si="1"/>
        <v>0</v>
      </c>
      <c r="M11" s="1">
        <f t="shared" si="2"/>
        <v>3480</v>
      </c>
    </row>
    <row r="12" spans="1:13" x14ac:dyDescent="0.3">
      <c r="A12" t="s">
        <v>935</v>
      </c>
      <c r="B12" t="s">
        <v>936</v>
      </c>
      <c r="C12" t="s">
        <v>91</v>
      </c>
      <c r="D12" t="s">
        <v>20</v>
      </c>
      <c r="E12" s="1">
        <v>418.71</v>
      </c>
      <c r="F12">
        <v>4</v>
      </c>
      <c r="G12">
        <v>0</v>
      </c>
      <c r="H12">
        <v>18</v>
      </c>
      <c r="I12">
        <v>0</v>
      </c>
      <c r="J12">
        <v>0</v>
      </c>
      <c r="K12">
        <f t="shared" si="0"/>
        <v>18</v>
      </c>
      <c r="L12" s="1">
        <f t="shared" si="1"/>
        <v>0</v>
      </c>
      <c r="M12" s="1">
        <f t="shared" si="2"/>
        <v>7536.78</v>
      </c>
    </row>
    <row r="13" spans="1:13" x14ac:dyDescent="0.3">
      <c r="A13" t="s">
        <v>937</v>
      </c>
      <c r="B13" t="s">
        <v>938</v>
      </c>
      <c r="C13" t="s">
        <v>91</v>
      </c>
      <c r="D13" t="s">
        <v>20</v>
      </c>
      <c r="E13" s="1">
        <v>461</v>
      </c>
      <c r="F13">
        <v>4</v>
      </c>
      <c r="G13">
        <v>0</v>
      </c>
      <c r="H13">
        <v>20</v>
      </c>
      <c r="I13">
        <v>0</v>
      </c>
      <c r="J13">
        <v>0</v>
      </c>
      <c r="K13">
        <f t="shared" si="0"/>
        <v>20</v>
      </c>
      <c r="L13" s="1">
        <f t="shared" si="1"/>
        <v>0</v>
      </c>
      <c r="M13" s="1">
        <f t="shared" si="2"/>
        <v>9220</v>
      </c>
    </row>
    <row r="14" spans="1:13" x14ac:dyDescent="0.3">
      <c r="A14" t="s">
        <v>939</v>
      </c>
      <c r="B14" t="s">
        <v>940</v>
      </c>
      <c r="C14" t="s">
        <v>91</v>
      </c>
      <c r="D14" t="s">
        <v>20</v>
      </c>
      <c r="E14" s="1">
        <v>530</v>
      </c>
      <c r="F14">
        <v>4</v>
      </c>
      <c r="G14">
        <v>0</v>
      </c>
      <c r="H14">
        <v>18</v>
      </c>
      <c r="I14">
        <v>0</v>
      </c>
      <c r="J14">
        <v>0</v>
      </c>
      <c r="K14">
        <f t="shared" si="0"/>
        <v>18</v>
      </c>
      <c r="L14" s="1">
        <f t="shared" si="1"/>
        <v>0</v>
      </c>
      <c r="M14" s="1">
        <f t="shared" si="2"/>
        <v>9540</v>
      </c>
    </row>
    <row r="15" spans="1:13" x14ac:dyDescent="0.3">
      <c r="A15" t="s">
        <v>941</v>
      </c>
      <c r="B15" t="s">
        <v>942</v>
      </c>
      <c r="C15" t="s">
        <v>91</v>
      </c>
      <c r="D15" t="s">
        <v>20</v>
      </c>
      <c r="E15" s="1">
        <v>331</v>
      </c>
      <c r="F15">
        <v>3</v>
      </c>
      <c r="G15">
        <v>0</v>
      </c>
      <c r="H15">
        <v>15</v>
      </c>
      <c r="I15">
        <v>0</v>
      </c>
      <c r="J15">
        <v>0</v>
      </c>
      <c r="K15">
        <f t="shared" si="0"/>
        <v>15</v>
      </c>
      <c r="L15" s="1">
        <f t="shared" si="1"/>
        <v>0</v>
      </c>
      <c r="M15" s="1">
        <f t="shared" si="2"/>
        <v>4965</v>
      </c>
    </row>
    <row r="16" spans="1:13" x14ac:dyDescent="0.3">
      <c r="A16" t="s">
        <v>943</v>
      </c>
      <c r="B16" t="s">
        <v>944</v>
      </c>
      <c r="C16" t="s">
        <v>91</v>
      </c>
      <c r="D16" t="s">
        <v>20</v>
      </c>
      <c r="E16" s="1">
        <v>597</v>
      </c>
      <c r="F16">
        <v>4</v>
      </c>
      <c r="G16">
        <v>0</v>
      </c>
      <c r="H16">
        <v>18</v>
      </c>
      <c r="I16">
        <v>0</v>
      </c>
      <c r="J16">
        <v>0</v>
      </c>
      <c r="K16">
        <f t="shared" si="0"/>
        <v>18</v>
      </c>
      <c r="L16" s="1">
        <f t="shared" si="1"/>
        <v>0</v>
      </c>
      <c r="M16" s="1">
        <f t="shared" si="2"/>
        <v>10746</v>
      </c>
    </row>
    <row r="17" spans="1:13" x14ac:dyDescent="0.3">
      <c r="A17" t="s">
        <v>945</v>
      </c>
      <c r="B17" t="s">
        <v>944</v>
      </c>
      <c r="C17" t="s">
        <v>113</v>
      </c>
      <c r="D17" t="s">
        <v>20</v>
      </c>
      <c r="E17" s="1">
        <v>400</v>
      </c>
      <c r="F17">
        <v>5</v>
      </c>
      <c r="G17">
        <v>0</v>
      </c>
      <c r="H17">
        <v>25</v>
      </c>
      <c r="I17">
        <v>0</v>
      </c>
      <c r="J17">
        <v>0</v>
      </c>
      <c r="K17">
        <f t="shared" si="0"/>
        <v>25</v>
      </c>
      <c r="L17" s="1">
        <f t="shared" si="1"/>
        <v>0</v>
      </c>
      <c r="M17" s="1">
        <f t="shared" si="2"/>
        <v>10000</v>
      </c>
    </row>
    <row r="18" spans="1:13" x14ac:dyDescent="0.3">
      <c r="A18" t="s">
        <v>946</v>
      </c>
      <c r="B18" t="s">
        <v>947</v>
      </c>
      <c r="C18" t="s">
        <v>91</v>
      </c>
      <c r="D18" t="s">
        <v>20</v>
      </c>
      <c r="E18" s="1">
        <v>767.67</v>
      </c>
      <c r="F18">
        <v>3</v>
      </c>
      <c r="G18">
        <v>0</v>
      </c>
      <c r="H18">
        <v>15</v>
      </c>
      <c r="I18">
        <v>0</v>
      </c>
      <c r="J18">
        <v>0</v>
      </c>
      <c r="K18">
        <f t="shared" si="0"/>
        <v>15</v>
      </c>
      <c r="L18" s="1">
        <f t="shared" si="1"/>
        <v>0</v>
      </c>
      <c r="M18" s="1">
        <f t="shared" si="2"/>
        <v>11515.05</v>
      </c>
    </row>
    <row r="19" spans="1:13" x14ac:dyDescent="0.3">
      <c r="A19" t="s">
        <v>948</v>
      </c>
      <c r="B19" t="s">
        <v>949</v>
      </c>
      <c r="C19" t="s">
        <v>91</v>
      </c>
      <c r="D19" t="s">
        <v>20</v>
      </c>
      <c r="E19" s="1">
        <v>897</v>
      </c>
      <c r="F19">
        <v>2</v>
      </c>
      <c r="G19">
        <v>0</v>
      </c>
      <c r="H19">
        <v>12</v>
      </c>
      <c r="I19">
        <v>0</v>
      </c>
      <c r="J19">
        <v>0</v>
      </c>
      <c r="K19">
        <f t="shared" si="0"/>
        <v>12</v>
      </c>
      <c r="L19" s="1">
        <f t="shared" si="1"/>
        <v>0</v>
      </c>
      <c r="M19" s="1">
        <f t="shared" si="2"/>
        <v>10764</v>
      </c>
    </row>
    <row r="20" spans="1:13" x14ac:dyDescent="0.3">
      <c r="A20" t="s">
        <v>950</v>
      </c>
      <c r="B20" t="s">
        <v>951</v>
      </c>
      <c r="C20" t="s">
        <v>88</v>
      </c>
      <c r="D20" t="s">
        <v>20</v>
      </c>
      <c r="E20" s="1">
        <v>0</v>
      </c>
      <c r="F20">
        <v>1</v>
      </c>
      <c r="G20">
        <v>0</v>
      </c>
      <c r="H20">
        <v>2</v>
      </c>
      <c r="I20">
        <v>0</v>
      </c>
      <c r="J20">
        <v>0</v>
      </c>
      <c r="K20">
        <f t="shared" si="0"/>
        <v>2</v>
      </c>
      <c r="L20" s="1">
        <f t="shared" si="1"/>
        <v>0</v>
      </c>
      <c r="M20" s="1">
        <f t="shared" si="2"/>
        <v>0</v>
      </c>
    </row>
    <row r="21" spans="1:13" x14ac:dyDescent="0.3">
      <c r="A21" t="s">
        <v>952</v>
      </c>
      <c r="B21" t="s">
        <v>953</v>
      </c>
      <c r="C21" t="s">
        <v>954</v>
      </c>
      <c r="D21" t="s">
        <v>20</v>
      </c>
      <c r="E21" s="1">
        <v>1680</v>
      </c>
      <c r="F21">
        <v>2</v>
      </c>
      <c r="G21">
        <v>0</v>
      </c>
      <c r="H21">
        <v>8</v>
      </c>
      <c r="I21">
        <v>0</v>
      </c>
      <c r="J21">
        <v>0</v>
      </c>
      <c r="K21">
        <f t="shared" si="0"/>
        <v>8</v>
      </c>
      <c r="L21" s="1">
        <f t="shared" si="1"/>
        <v>0</v>
      </c>
      <c r="M21" s="1">
        <f t="shared" si="2"/>
        <v>13440</v>
      </c>
    </row>
    <row r="22" spans="1:13" x14ac:dyDescent="0.3">
      <c r="A22" t="s">
        <v>955</v>
      </c>
      <c r="B22" t="s">
        <v>956</v>
      </c>
      <c r="C22" t="s">
        <v>113</v>
      </c>
      <c r="D22" t="s">
        <v>20</v>
      </c>
      <c r="E22" s="1">
        <v>217.32</v>
      </c>
      <c r="F22">
        <v>1</v>
      </c>
      <c r="G22">
        <v>0</v>
      </c>
      <c r="H22">
        <v>5</v>
      </c>
      <c r="I22">
        <v>0</v>
      </c>
      <c r="J22">
        <v>0</v>
      </c>
      <c r="K22">
        <f t="shared" si="0"/>
        <v>5</v>
      </c>
      <c r="L22" s="1">
        <f t="shared" si="1"/>
        <v>0</v>
      </c>
      <c r="M22" s="1">
        <f t="shared" si="2"/>
        <v>1086.5999999999999</v>
      </c>
    </row>
    <row r="23" spans="1:13" x14ac:dyDescent="0.3">
      <c r="A23" t="s">
        <v>957</v>
      </c>
      <c r="B23" t="s">
        <v>958</v>
      </c>
      <c r="C23" t="s">
        <v>113</v>
      </c>
      <c r="D23" t="s">
        <v>20</v>
      </c>
      <c r="E23" s="1">
        <v>2950</v>
      </c>
      <c r="F23">
        <v>1</v>
      </c>
      <c r="G23">
        <v>0</v>
      </c>
      <c r="H23">
        <v>2</v>
      </c>
      <c r="I23">
        <v>0</v>
      </c>
      <c r="J23">
        <v>0</v>
      </c>
      <c r="K23">
        <f t="shared" si="0"/>
        <v>2</v>
      </c>
      <c r="L23" s="1">
        <f t="shared" si="1"/>
        <v>0</v>
      </c>
      <c r="M23" s="1">
        <f t="shared" si="2"/>
        <v>5900</v>
      </c>
    </row>
    <row r="24" spans="1:13" x14ac:dyDescent="0.3">
      <c r="A24" t="s">
        <v>959</v>
      </c>
      <c r="B24" t="s">
        <v>960</v>
      </c>
      <c r="C24" t="s">
        <v>113</v>
      </c>
      <c r="D24" t="s">
        <v>20</v>
      </c>
      <c r="E24" s="1">
        <v>2950</v>
      </c>
      <c r="F24">
        <v>1</v>
      </c>
      <c r="G24">
        <v>0</v>
      </c>
      <c r="H24">
        <v>2</v>
      </c>
      <c r="I24">
        <v>0</v>
      </c>
      <c r="J24">
        <v>0</v>
      </c>
      <c r="K24">
        <f t="shared" si="0"/>
        <v>2</v>
      </c>
      <c r="L24" s="1">
        <f t="shared" si="1"/>
        <v>0</v>
      </c>
      <c r="M24" s="1">
        <f t="shared" si="2"/>
        <v>5900</v>
      </c>
    </row>
    <row r="25" spans="1:13" x14ac:dyDescent="0.3">
      <c r="A25" t="s">
        <v>961</v>
      </c>
      <c r="B25" t="s">
        <v>962</v>
      </c>
      <c r="C25" t="s">
        <v>113</v>
      </c>
      <c r="D25" t="s">
        <v>20</v>
      </c>
      <c r="E25" s="1">
        <v>4.09</v>
      </c>
      <c r="F25">
        <v>113</v>
      </c>
      <c r="G25">
        <v>0</v>
      </c>
      <c r="H25">
        <v>565</v>
      </c>
      <c r="I25">
        <v>0</v>
      </c>
      <c r="J25">
        <v>0</v>
      </c>
      <c r="K25">
        <f t="shared" si="0"/>
        <v>565</v>
      </c>
      <c r="L25" s="1">
        <f t="shared" si="1"/>
        <v>0</v>
      </c>
      <c r="M25" s="1">
        <f t="shared" si="2"/>
        <v>2310.85</v>
      </c>
    </row>
    <row r="26" spans="1:13" x14ac:dyDescent="0.3">
      <c r="A26" t="s">
        <v>963</v>
      </c>
      <c r="B26" t="s">
        <v>964</v>
      </c>
      <c r="C26" t="s">
        <v>91</v>
      </c>
      <c r="D26" t="s">
        <v>20</v>
      </c>
      <c r="E26" s="1">
        <v>341.95</v>
      </c>
      <c r="F26">
        <v>1</v>
      </c>
      <c r="G26">
        <v>0</v>
      </c>
      <c r="H26">
        <v>2</v>
      </c>
      <c r="I26">
        <v>0</v>
      </c>
      <c r="J26">
        <v>0</v>
      </c>
      <c r="K26">
        <f t="shared" si="0"/>
        <v>2</v>
      </c>
      <c r="L26" s="1">
        <f t="shared" si="1"/>
        <v>0</v>
      </c>
      <c r="M26" s="1">
        <f t="shared" si="2"/>
        <v>683.9</v>
      </c>
    </row>
    <row r="27" spans="1:13" x14ac:dyDescent="0.3">
      <c r="A27" t="s">
        <v>48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965</v>
      </c>
      <c r="B2" t="s">
        <v>966</v>
      </c>
      <c r="C2" t="s">
        <v>967</v>
      </c>
      <c r="D2" t="s">
        <v>21</v>
      </c>
      <c r="E2" s="1">
        <v>44769</v>
      </c>
      <c r="F2">
        <v>1</v>
      </c>
      <c r="G2">
        <v>0</v>
      </c>
      <c r="H2">
        <v>2</v>
      </c>
      <c r="I2">
        <v>0</v>
      </c>
      <c r="J2">
        <v>0</v>
      </c>
      <c r="K2">
        <f>IF(H2-I2-J2&gt;0,H2-I2-J2,0)</f>
        <v>2</v>
      </c>
      <c r="L2" s="1">
        <f>IFERROR(I2*E2,0)</f>
        <v>0</v>
      </c>
      <c r="M2" s="1">
        <f>IFERROR(K2*E2,0)</f>
        <v>89538</v>
      </c>
    </row>
    <row r="3" spans="1:13" x14ac:dyDescent="0.3">
      <c r="A3" t="s">
        <v>48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4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968</v>
      </c>
      <c r="B2" t="s">
        <v>969</v>
      </c>
      <c r="D2" t="s">
        <v>22</v>
      </c>
      <c r="E2" s="1">
        <v>0</v>
      </c>
      <c r="F2">
        <v>1</v>
      </c>
      <c r="G2">
        <v>0</v>
      </c>
      <c r="H2">
        <v>2</v>
      </c>
      <c r="I2">
        <v>0</v>
      </c>
      <c r="J2">
        <v>0</v>
      </c>
      <c r="K2">
        <f t="shared" ref="K2:K41" si="0">IF(H2-I2-J2&gt;0,H2-I2-J2,0)</f>
        <v>2</v>
      </c>
      <c r="L2" s="1">
        <f t="shared" ref="L2:L41" si="1">IFERROR(I2*E2,0)</f>
        <v>0</v>
      </c>
      <c r="M2" s="1">
        <f t="shared" ref="M2:M41" si="2">IFERROR(K2*E2,0)</f>
        <v>0</v>
      </c>
    </row>
    <row r="3" spans="1:13" x14ac:dyDescent="0.3">
      <c r="A3" t="s">
        <v>970</v>
      </c>
      <c r="B3" t="s">
        <v>971</v>
      </c>
      <c r="D3" t="s">
        <v>22</v>
      </c>
      <c r="E3" s="1">
        <v>0</v>
      </c>
      <c r="F3">
        <v>1</v>
      </c>
      <c r="G3">
        <v>0</v>
      </c>
      <c r="H3">
        <v>2</v>
      </c>
      <c r="I3">
        <v>0</v>
      </c>
      <c r="J3">
        <v>0</v>
      </c>
      <c r="K3">
        <f t="shared" si="0"/>
        <v>2</v>
      </c>
      <c r="L3" s="1">
        <f t="shared" si="1"/>
        <v>0</v>
      </c>
      <c r="M3" s="1">
        <f t="shared" si="2"/>
        <v>0</v>
      </c>
    </row>
    <row r="4" spans="1:13" x14ac:dyDescent="0.3">
      <c r="A4" t="s">
        <v>972</v>
      </c>
      <c r="B4" t="s">
        <v>973</v>
      </c>
      <c r="C4" t="s">
        <v>974</v>
      </c>
      <c r="D4" t="s">
        <v>22</v>
      </c>
      <c r="E4" s="1">
        <v>604.23</v>
      </c>
      <c r="F4">
        <v>6</v>
      </c>
      <c r="G4">
        <v>0</v>
      </c>
      <c r="H4">
        <v>12</v>
      </c>
      <c r="I4">
        <v>0</v>
      </c>
      <c r="J4">
        <v>0</v>
      </c>
      <c r="K4">
        <f t="shared" si="0"/>
        <v>12</v>
      </c>
      <c r="L4" s="1">
        <f t="shared" si="1"/>
        <v>0</v>
      </c>
      <c r="M4" s="1">
        <f t="shared" si="2"/>
        <v>7250.76</v>
      </c>
    </row>
    <row r="5" spans="1:13" x14ac:dyDescent="0.3">
      <c r="A5" t="s">
        <v>975</v>
      </c>
      <c r="B5" t="s">
        <v>976</v>
      </c>
      <c r="C5" t="s">
        <v>974</v>
      </c>
      <c r="D5" t="s">
        <v>22</v>
      </c>
      <c r="E5" s="1">
        <v>0</v>
      </c>
      <c r="F5">
        <v>2</v>
      </c>
      <c r="G5">
        <v>0</v>
      </c>
      <c r="H5">
        <v>4</v>
      </c>
      <c r="I5">
        <v>0</v>
      </c>
      <c r="J5">
        <v>0</v>
      </c>
      <c r="K5">
        <f t="shared" si="0"/>
        <v>4</v>
      </c>
      <c r="L5" s="1">
        <f t="shared" si="1"/>
        <v>0</v>
      </c>
      <c r="M5" s="1">
        <f t="shared" si="2"/>
        <v>0</v>
      </c>
    </row>
    <row r="6" spans="1:13" x14ac:dyDescent="0.3">
      <c r="A6" t="s">
        <v>977</v>
      </c>
      <c r="B6" t="s">
        <v>978</v>
      </c>
      <c r="C6" t="s">
        <v>974</v>
      </c>
      <c r="D6" t="s">
        <v>22</v>
      </c>
      <c r="E6" s="1">
        <v>1243.8399999999999</v>
      </c>
      <c r="F6">
        <v>2</v>
      </c>
      <c r="G6">
        <v>0</v>
      </c>
      <c r="H6">
        <v>4</v>
      </c>
      <c r="I6">
        <v>0</v>
      </c>
      <c r="J6">
        <v>0</v>
      </c>
      <c r="K6">
        <f t="shared" si="0"/>
        <v>4</v>
      </c>
      <c r="L6" s="1">
        <f t="shared" si="1"/>
        <v>0</v>
      </c>
      <c r="M6" s="1">
        <f t="shared" si="2"/>
        <v>4975.3599999999997</v>
      </c>
    </row>
    <row r="7" spans="1:13" x14ac:dyDescent="0.3">
      <c r="A7" t="s">
        <v>979</v>
      </c>
      <c r="B7" t="s">
        <v>980</v>
      </c>
      <c r="D7" t="s">
        <v>22</v>
      </c>
      <c r="E7" s="1">
        <v>0</v>
      </c>
      <c r="F7">
        <v>1</v>
      </c>
      <c r="G7">
        <v>0</v>
      </c>
      <c r="H7">
        <v>2</v>
      </c>
      <c r="I7">
        <v>0</v>
      </c>
      <c r="J7">
        <v>0</v>
      </c>
      <c r="K7">
        <f t="shared" si="0"/>
        <v>2</v>
      </c>
      <c r="L7" s="1">
        <f t="shared" si="1"/>
        <v>0</v>
      </c>
      <c r="M7" s="1">
        <f t="shared" si="2"/>
        <v>0</v>
      </c>
    </row>
    <row r="8" spans="1:13" x14ac:dyDescent="0.3">
      <c r="A8" t="s">
        <v>981</v>
      </c>
      <c r="B8" t="s">
        <v>982</v>
      </c>
      <c r="C8" t="s">
        <v>974</v>
      </c>
      <c r="D8" t="s">
        <v>22</v>
      </c>
      <c r="E8" s="1">
        <v>0</v>
      </c>
      <c r="F8">
        <v>1</v>
      </c>
      <c r="G8">
        <v>0</v>
      </c>
      <c r="H8">
        <v>2</v>
      </c>
      <c r="I8">
        <v>0</v>
      </c>
      <c r="J8">
        <v>0</v>
      </c>
      <c r="K8">
        <f t="shared" si="0"/>
        <v>2</v>
      </c>
      <c r="L8" s="1">
        <f t="shared" si="1"/>
        <v>0</v>
      </c>
      <c r="M8" s="1">
        <f t="shared" si="2"/>
        <v>0</v>
      </c>
    </row>
    <row r="9" spans="1:13" x14ac:dyDescent="0.3">
      <c r="A9" t="s">
        <v>983</v>
      </c>
      <c r="B9" t="s">
        <v>984</v>
      </c>
      <c r="D9" t="s">
        <v>22</v>
      </c>
      <c r="E9" s="1">
        <v>0</v>
      </c>
      <c r="F9">
        <v>1</v>
      </c>
      <c r="G9">
        <v>0</v>
      </c>
      <c r="H9">
        <v>2</v>
      </c>
      <c r="I9">
        <v>0</v>
      </c>
      <c r="J9">
        <v>0</v>
      </c>
      <c r="K9">
        <f t="shared" si="0"/>
        <v>2</v>
      </c>
      <c r="L9" s="1">
        <f t="shared" si="1"/>
        <v>0</v>
      </c>
      <c r="M9" s="1">
        <f t="shared" si="2"/>
        <v>0</v>
      </c>
    </row>
    <row r="10" spans="1:13" x14ac:dyDescent="0.3">
      <c r="A10" t="s">
        <v>985</v>
      </c>
      <c r="B10" t="s">
        <v>986</v>
      </c>
      <c r="C10" t="s">
        <v>974</v>
      </c>
      <c r="D10" t="s">
        <v>22</v>
      </c>
      <c r="E10" s="1">
        <v>230.34</v>
      </c>
      <c r="F10">
        <v>2</v>
      </c>
      <c r="G10">
        <v>0</v>
      </c>
      <c r="H10">
        <v>4</v>
      </c>
      <c r="I10">
        <v>0</v>
      </c>
      <c r="J10">
        <v>0</v>
      </c>
      <c r="K10">
        <f t="shared" si="0"/>
        <v>4</v>
      </c>
      <c r="L10" s="1">
        <f t="shared" si="1"/>
        <v>0</v>
      </c>
      <c r="M10" s="1">
        <f t="shared" si="2"/>
        <v>921.36</v>
      </c>
    </row>
    <row r="11" spans="1:13" x14ac:dyDescent="0.3">
      <c r="A11" t="s">
        <v>987</v>
      </c>
      <c r="B11" t="s">
        <v>988</v>
      </c>
      <c r="C11" t="s">
        <v>974</v>
      </c>
      <c r="D11" t="s">
        <v>22</v>
      </c>
      <c r="E11" s="1">
        <v>524.73</v>
      </c>
      <c r="F11">
        <v>5</v>
      </c>
      <c r="G11">
        <v>0</v>
      </c>
      <c r="H11">
        <v>10</v>
      </c>
      <c r="I11">
        <v>0</v>
      </c>
      <c r="J11">
        <v>0</v>
      </c>
      <c r="K11">
        <f t="shared" si="0"/>
        <v>10</v>
      </c>
      <c r="L11" s="1">
        <f t="shared" si="1"/>
        <v>0</v>
      </c>
      <c r="M11" s="1">
        <f t="shared" si="2"/>
        <v>5247.3</v>
      </c>
    </row>
    <row r="12" spans="1:13" x14ac:dyDescent="0.3">
      <c r="A12" t="s">
        <v>989</v>
      </c>
      <c r="B12" t="s">
        <v>990</v>
      </c>
      <c r="C12" t="s">
        <v>273</v>
      </c>
      <c r="D12" t="s">
        <v>22</v>
      </c>
      <c r="E12" s="1">
        <v>2827.17</v>
      </c>
      <c r="F12">
        <v>12</v>
      </c>
      <c r="G12">
        <v>0</v>
      </c>
      <c r="H12">
        <v>43</v>
      </c>
      <c r="I12">
        <v>0</v>
      </c>
      <c r="J12">
        <v>0</v>
      </c>
      <c r="K12">
        <f t="shared" si="0"/>
        <v>43</v>
      </c>
      <c r="L12" s="1">
        <f t="shared" si="1"/>
        <v>0</v>
      </c>
      <c r="M12" s="1">
        <f t="shared" si="2"/>
        <v>121568.31</v>
      </c>
    </row>
    <row r="13" spans="1:13" x14ac:dyDescent="0.3">
      <c r="A13" t="s">
        <v>991</v>
      </c>
      <c r="B13" t="s">
        <v>992</v>
      </c>
      <c r="D13" t="s">
        <v>22</v>
      </c>
      <c r="E13" s="1">
        <v>0</v>
      </c>
      <c r="F13">
        <v>1</v>
      </c>
      <c r="G13">
        <v>0</v>
      </c>
      <c r="H13">
        <v>2</v>
      </c>
      <c r="I13">
        <v>0</v>
      </c>
      <c r="J13">
        <v>0</v>
      </c>
      <c r="K13">
        <f t="shared" si="0"/>
        <v>2</v>
      </c>
      <c r="L13" s="1">
        <f t="shared" si="1"/>
        <v>0</v>
      </c>
      <c r="M13" s="1">
        <f t="shared" si="2"/>
        <v>0</v>
      </c>
    </row>
    <row r="14" spans="1:13" x14ac:dyDescent="0.3">
      <c r="A14" t="s">
        <v>993</v>
      </c>
      <c r="B14" t="s">
        <v>994</v>
      </c>
      <c r="D14" t="s">
        <v>22</v>
      </c>
      <c r="E14" s="1">
        <v>0</v>
      </c>
      <c r="F14">
        <v>1</v>
      </c>
      <c r="G14">
        <v>0</v>
      </c>
      <c r="H14">
        <v>2</v>
      </c>
      <c r="I14">
        <v>0</v>
      </c>
      <c r="J14">
        <v>0</v>
      </c>
      <c r="K14">
        <f t="shared" si="0"/>
        <v>2</v>
      </c>
      <c r="L14" s="1">
        <f t="shared" si="1"/>
        <v>0</v>
      </c>
      <c r="M14" s="1">
        <f t="shared" si="2"/>
        <v>0</v>
      </c>
    </row>
    <row r="15" spans="1:13" x14ac:dyDescent="0.3">
      <c r="A15" t="s">
        <v>995</v>
      </c>
      <c r="B15" t="s">
        <v>996</v>
      </c>
      <c r="C15" t="s">
        <v>974</v>
      </c>
      <c r="D15" t="s">
        <v>22</v>
      </c>
      <c r="E15" s="1">
        <v>785.39</v>
      </c>
      <c r="F15">
        <v>3</v>
      </c>
      <c r="G15">
        <v>0</v>
      </c>
      <c r="H15">
        <v>6</v>
      </c>
      <c r="I15">
        <v>0</v>
      </c>
      <c r="J15">
        <v>0</v>
      </c>
      <c r="K15">
        <f t="shared" si="0"/>
        <v>6</v>
      </c>
      <c r="L15" s="1">
        <f t="shared" si="1"/>
        <v>0</v>
      </c>
      <c r="M15" s="1">
        <f t="shared" si="2"/>
        <v>4712.34</v>
      </c>
    </row>
    <row r="16" spans="1:13" x14ac:dyDescent="0.3">
      <c r="A16" t="s">
        <v>997</v>
      </c>
      <c r="B16" t="s">
        <v>998</v>
      </c>
      <c r="C16" t="s">
        <v>974</v>
      </c>
      <c r="D16" t="s">
        <v>22</v>
      </c>
      <c r="E16" s="1">
        <v>1114.0899999999999</v>
      </c>
      <c r="F16">
        <v>2</v>
      </c>
      <c r="G16">
        <v>0</v>
      </c>
      <c r="H16">
        <v>4</v>
      </c>
      <c r="I16">
        <v>0</v>
      </c>
      <c r="J16">
        <v>0</v>
      </c>
      <c r="K16">
        <f t="shared" si="0"/>
        <v>4</v>
      </c>
      <c r="L16" s="1">
        <f t="shared" si="1"/>
        <v>0</v>
      </c>
      <c r="M16" s="1">
        <f t="shared" si="2"/>
        <v>4456.3599999999997</v>
      </c>
    </row>
    <row r="17" spans="1:13" x14ac:dyDescent="0.3">
      <c r="A17" t="s">
        <v>999</v>
      </c>
      <c r="B17" t="s">
        <v>1000</v>
      </c>
      <c r="C17" t="s">
        <v>974</v>
      </c>
      <c r="D17" t="s">
        <v>22</v>
      </c>
      <c r="E17" s="1">
        <v>1147.25</v>
      </c>
      <c r="F17">
        <v>2</v>
      </c>
      <c r="G17">
        <v>0</v>
      </c>
      <c r="H17">
        <v>4</v>
      </c>
      <c r="I17">
        <v>0</v>
      </c>
      <c r="J17">
        <v>0</v>
      </c>
      <c r="K17">
        <f t="shared" si="0"/>
        <v>4</v>
      </c>
      <c r="L17" s="1">
        <f t="shared" si="1"/>
        <v>0</v>
      </c>
      <c r="M17" s="1">
        <f t="shared" si="2"/>
        <v>4589</v>
      </c>
    </row>
    <row r="18" spans="1:13" x14ac:dyDescent="0.3">
      <c r="A18" t="s">
        <v>1001</v>
      </c>
      <c r="B18" t="s">
        <v>1002</v>
      </c>
      <c r="D18" t="s">
        <v>22</v>
      </c>
      <c r="E18" s="1">
        <v>0</v>
      </c>
      <c r="F18">
        <v>1</v>
      </c>
      <c r="G18">
        <v>0</v>
      </c>
      <c r="H18">
        <v>2</v>
      </c>
      <c r="I18">
        <v>0</v>
      </c>
      <c r="J18">
        <v>0</v>
      </c>
      <c r="K18">
        <f t="shared" si="0"/>
        <v>2</v>
      </c>
      <c r="L18" s="1">
        <f t="shared" si="1"/>
        <v>0</v>
      </c>
      <c r="M18" s="1">
        <f t="shared" si="2"/>
        <v>0</v>
      </c>
    </row>
    <row r="19" spans="1:13" x14ac:dyDescent="0.3">
      <c r="A19" t="s">
        <v>1003</v>
      </c>
      <c r="B19" t="s">
        <v>1004</v>
      </c>
      <c r="C19" t="s">
        <v>974</v>
      </c>
      <c r="D19" t="s">
        <v>22</v>
      </c>
      <c r="E19" s="1">
        <v>6609.77</v>
      </c>
      <c r="F19">
        <v>2</v>
      </c>
      <c r="G19">
        <v>0</v>
      </c>
      <c r="H19">
        <v>4</v>
      </c>
      <c r="I19">
        <v>0</v>
      </c>
      <c r="J19">
        <v>0</v>
      </c>
      <c r="K19">
        <f t="shared" si="0"/>
        <v>4</v>
      </c>
      <c r="L19" s="1">
        <f t="shared" si="1"/>
        <v>0</v>
      </c>
      <c r="M19" s="1">
        <f t="shared" si="2"/>
        <v>26439.08</v>
      </c>
    </row>
    <row r="20" spans="1:13" x14ac:dyDescent="0.3">
      <c r="A20" t="s">
        <v>1005</v>
      </c>
      <c r="B20" t="s">
        <v>1006</v>
      </c>
      <c r="C20" t="s">
        <v>974</v>
      </c>
      <c r="D20" t="s">
        <v>22</v>
      </c>
      <c r="E20" s="1">
        <v>6335</v>
      </c>
      <c r="F20">
        <v>2</v>
      </c>
      <c r="G20">
        <v>0</v>
      </c>
      <c r="H20">
        <v>4</v>
      </c>
      <c r="I20">
        <v>0</v>
      </c>
      <c r="J20">
        <v>0</v>
      </c>
      <c r="K20">
        <f t="shared" si="0"/>
        <v>4</v>
      </c>
      <c r="L20" s="1">
        <f t="shared" si="1"/>
        <v>0</v>
      </c>
      <c r="M20" s="1">
        <f t="shared" si="2"/>
        <v>25340</v>
      </c>
    </row>
    <row r="21" spans="1:13" x14ac:dyDescent="0.3">
      <c r="A21" t="s">
        <v>1007</v>
      </c>
      <c r="B21" t="s">
        <v>1008</v>
      </c>
      <c r="C21" t="s">
        <v>974</v>
      </c>
      <c r="D21" t="s">
        <v>22</v>
      </c>
      <c r="E21" s="1">
        <v>8276.56</v>
      </c>
      <c r="F21">
        <v>2</v>
      </c>
      <c r="G21">
        <v>0</v>
      </c>
      <c r="H21">
        <v>4</v>
      </c>
      <c r="I21">
        <v>0</v>
      </c>
      <c r="J21">
        <v>0</v>
      </c>
      <c r="K21">
        <f t="shared" si="0"/>
        <v>4</v>
      </c>
      <c r="L21" s="1">
        <f t="shared" si="1"/>
        <v>0</v>
      </c>
      <c r="M21" s="1">
        <f t="shared" si="2"/>
        <v>33106.239999999998</v>
      </c>
    </row>
    <row r="22" spans="1:13" x14ac:dyDescent="0.3">
      <c r="A22" t="s">
        <v>1009</v>
      </c>
      <c r="B22" t="s">
        <v>1010</v>
      </c>
      <c r="C22" t="s">
        <v>974</v>
      </c>
      <c r="D22" t="s">
        <v>22</v>
      </c>
      <c r="E22" s="1">
        <v>8273.66</v>
      </c>
      <c r="F22">
        <v>2</v>
      </c>
      <c r="G22">
        <v>0</v>
      </c>
      <c r="H22">
        <v>4</v>
      </c>
      <c r="I22">
        <v>0</v>
      </c>
      <c r="J22">
        <v>0</v>
      </c>
      <c r="K22">
        <f t="shared" si="0"/>
        <v>4</v>
      </c>
      <c r="L22" s="1">
        <f t="shared" si="1"/>
        <v>0</v>
      </c>
      <c r="M22" s="1">
        <f t="shared" si="2"/>
        <v>33094.639999999999</v>
      </c>
    </row>
    <row r="23" spans="1:13" x14ac:dyDescent="0.3">
      <c r="A23" t="s">
        <v>1011</v>
      </c>
      <c r="B23" t="s">
        <v>1012</v>
      </c>
      <c r="C23" t="s">
        <v>974</v>
      </c>
      <c r="D23" t="s">
        <v>22</v>
      </c>
      <c r="E23" s="1">
        <v>7417.57</v>
      </c>
      <c r="F23">
        <v>2</v>
      </c>
      <c r="G23">
        <v>0</v>
      </c>
      <c r="H23">
        <v>4</v>
      </c>
      <c r="I23">
        <v>0</v>
      </c>
      <c r="J23">
        <v>0</v>
      </c>
      <c r="K23">
        <f t="shared" si="0"/>
        <v>4</v>
      </c>
      <c r="L23" s="1">
        <f t="shared" si="1"/>
        <v>0</v>
      </c>
      <c r="M23" s="1">
        <f t="shared" si="2"/>
        <v>29670.28</v>
      </c>
    </row>
    <row r="24" spans="1:13" x14ac:dyDescent="0.3">
      <c r="A24" t="s">
        <v>1013</v>
      </c>
      <c r="B24" t="s">
        <v>1014</v>
      </c>
      <c r="C24" t="s">
        <v>974</v>
      </c>
      <c r="D24" t="s">
        <v>22</v>
      </c>
      <c r="E24" s="1">
        <v>15200.44</v>
      </c>
      <c r="F24">
        <v>2</v>
      </c>
      <c r="G24">
        <v>0</v>
      </c>
      <c r="H24">
        <v>4</v>
      </c>
      <c r="I24">
        <v>0</v>
      </c>
      <c r="J24">
        <v>0</v>
      </c>
      <c r="K24">
        <f t="shared" si="0"/>
        <v>4</v>
      </c>
      <c r="L24" s="1">
        <f t="shared" si="1"/>
        <v>0</v>
      </c>
      <c r="M24" s="1">
        <f t="shared" si="2"/>
        <v>60801.760000000002</v>
      </c>
    </row>
    <row r="25" spans="1:13" x14ac:dyDescent="0.3">
      <c r="A25" t="s">
        <v>1015</v>
      </c>
      <c r="B25" t="s">
        <v>1016</v>
      </c>
      <c r="D25" t="s">
        <v>22</v>
      </c>
      <c r="E25" s="1">
        <v>0</v>
      </c>
      <c r="F25">
        <v>1</v>
      </c>
      <c r="G25">
        <v>0</v>
      </c>
      <c r="H25">
        <v>2</v>
      </c>
      <c r="I25">
        <v>0</v>
      </c>
      <c r="J25">
        <v>0</v>
      </c>
      <c r="K25">
        <f t="shared" si="0"/>
        <v>2</v>
      </c>
      <c r="L25" s="1">
        <f t="shared" si="1"/>
        <v>0</v>
      </c>
      <c r="M25" s="1">
        <f t="shared" si="2"/>
        <v>0</v>
      </c>
    </row>
    <row r="26" spans="1:13" x14ac:dyDescent="0.3">
      <c r="A26" t="s">
        <v>1017</v>
      </c>
      <c r="B26" t="s">
        <v>1018</v>
      </c>
      <c r="C26" t="s">
        <v>974</v>
      </c>
      <c r="D26" t="s">
        <v>22</v>
      </c>
      <c r="E26" s="1">
        <v>30692.13</v>
      </c>
      <c r="F26">
        <v>2</v>
      </c>
      <c r="G26">
        <v>0</v>
      </c>
      <c r="H26">
        <v>4</v>
      </c>
      <c r="I26">
        <v>0</v>
      </c>
      <c r="J26">
        <v>0</v>
      </c>
      <c r="K26">
        <f t="shared" si="0"/>
        <v>4</v>
      </c>
      <c r="L26" s="1">
        <f t="shared" si="1"/>
        <v>0</v>
      </c>
      <c r="M26" s="1">
        <f t="shared" si="2"/>
        <v>122768.52</v>
      </c>
    </row>
    <row r="27" spans="1:13" x14ac:dyDescent="0.3">
      <c r="A27" t="s">
        <v>1019</v>
      </c>
      <c r="B27" t="s">
        <v>1020</v>
      </c>
      <c r="C27" t="s">
        <v>974</v>
      </c>
      <c r="D27" t="s">
        <v>22</v>
      </c>
      <c r="E27" s="1">
        <v>37510.410000000003</v>
      </c>
      <c r="F27">
        <v>2</v>
      </c>
      <c r="G27">
        <v>0</v>
      </c>
      <c r="H27">
        <v>4</v>
      </c>
      <c r="I27">
        <v>0</v>
      </c>
      <c r="J27">
        <v>0</v>
      </c>
      <c r="K27">
        <f t="shared" si="0"/>
        <v>4</v>
      </c>
      <c r="L27" s="1">
        <f t="shared" si="1"/>
        <v>0</v>
      </c>
      <c r="M27" s="1">
        <f t="shared" si="2"/>
        <v>150041.64000000001</v>
      </c>
    </row>
    <row r="28" spans="1:13" x14ac:dyDescent="0.3">
      <c r="A28" t="s">
        <v>1021</v>
      </c>
      <c r="B28" t="s">
        <v>1022</v>
      </c>
      <c r="C28" t="s">
        <v>974</v>
      </c>
      <c r="D28" t="s">
        <v>22</v>
      </c>
      <c r="E28" s="1">
        <v>0</v>
      </c>
      <c r="F28">
        <v>2</v>
      </c>
      <c r="G28">
        <v>0</v>
      </c>
      <c r="H28">
        <v>4</v>
      </c>
      <c r="I28">
        <v>0</v>
      </c>
      <c r="J28">
        <v>0</v>
      </c>
      <c r="K28">
        <f t="shared" si="0"/>
        <v>4</v>
      </c>
      <c r="L28" s="1">
        <f t="shared" si="1"/>
        <v>0</v>
      </c>
      <c r="M28" s="1">
        <f t="shared" si="2"/>
        <v>0</v>
      </c>
    </row>
    <row r="29" spans="1:13" x14ac:dyDescent="0.3">
      <c r="A29" t="s">
        <v>1023</v>
      </c>
      <c r="B29" t="s">
        <v>1024</v>
      </c>
      <c r="C29" t="s">
        <v>974</v>
      </c>
      <c r="D29" t="s">
        <v>22</v>
      </c>
      <c r="E29" s="1">
        <v>64921.97</v>
      </c>
      <c r="F29">
        <v>2</v>
      </c>
      <c r="G29">
        <v>0</v>
      </c>
      <c r="H29">
        <v>4</v>
      </c>
      <c r="I29">
        <v>0</v>
      </c>
      <c r="J29">
        <v>0</v>
      </c>
      <c r="K29">
        <f t="shared" si="0"/>
        <v>4</v>
      </c>
      <c r="L29" s="1">
        <f t="shared" si="1"/>
        <v>0</v>
      </c>
      <c r="M29" s="1">
        <f t="shared" si="2"/>
        <v>259687.88</v>
      </c>
    </row>
    <row r="30" spans="1:13" x14ac:dyDescent="0.3">
      <c r="A30" t="s">
        <v>1025</v>
      </c>
      <c r="B30" t="s">
        <v>1026</v>
      </c>
      <c r="D30" t="s">
        <v>22</v>
      </c>
      <c r="E30" s="1">
        <v>0</v>
      </c>
      <c r="F30">
        <v>1</v>
      </c>
      <c r="G30">
        <v>0</v>
      </c>
      <c r="H30">
        <v>2</v>
      </c>
      <c r="I30">
        <v>0</v>
      </c>
      <c r="J30">
        <v>0</v>
      </c>
      <c r="K30">
        <f t="shared" si="0"/>
        <v>2</v>
      </c>
      <c r="L30" s="1">
        <f t="shared" si="1"/>
        <v>0</v>
      </c>
      <c r="M30" s="1">
        <f t="shared" si="2"/>
        <v>0</v>
      </c>
    </row>
    <row r="31" spans="1:13" x14ac:dyDescent="0.3">
      <c r="A31" t="s">
        <v>1027</v>
      </c>
      <c r="B31" t="s">
        <v>1028</v>
      </c>
      <c r="C31" t="s">
        <v>974</v>
      </c>
      <c r="D31" t="s">
        <v>22</v>
      </c>
      <c r="E31" s="1">
        <v>40775.360000000001</v>
      </c>
      <c r="F31">
        <v>2</v>
      </c>
      <c r="G31">
        <v>0</v>
      </c>
      <c r="H31">
        <v>4</v>
      </c>
      <c r="I31">
        <v>0</v>
      </c>
      <c r="J31">
        <v>0</v>
      </c>
      <c r="K31">
        <f t="shared" si="0"/>
        <v>4</v>
      </c>
      <c r="L31" s="1">
        <f t="shared" si="1"/>
        <v>0</v>
      </c>
      <c r="M31" s="1">
        <f t="shared" si="2"/>
        <v>163101.44</v>
      </c>
    </row>
    <row r="32" spans="1:13" x14ac:dyDescent="0.3">
      <c r="A32" t="s">
        <v>1029</v>
      </c>
      <c r="B32" t="s">
        <v>1030</v>
      </c>
      <c r="C32" t="s">
        <v>974</v>
      </c>
      <c r="D32" t="s">
        <v>22</v>
      </c>
      <c r="E32" s="1">
        <v>48810.59</v>
      </c>
      <c r="F32">
        <v>2</v>
      </c>
      <c r="G32">
        <v>0</v>
      </c>
      <c r="H32">
        <v>4</v>
      </c>
      <c r="I32">
        <v>0</v>
      </c>
      <c r="J32">
        <v>0</v>
      </c>
      <c r="K32">
        <f t="shared" si="0"/>
        <v>4</v>
      </c>
      <c r="L32" s="1">
        <f t="shared" si="1"/>
        <v>0</v>
      </c>
      <c r="M32" s="1">
        <f t="shared" si="2"/>
        <v>195242.36</v>
      </c>
    </row>
    <row r="33" spans="1:13" x14ac:dyDescent="0.3">
      <c r="A33" t="s">
        <v>1031</v>
      </c>
      <c r="B33" t="s">
        <v>1032</v>
      </c>
      <c r="D33" t="s">
        <v>22</v>
      </c>
      <c r="E33" s="1">
        <v>0</v>
      </c>
      <c r="F33">
        <v>1</v>
      </c>
      <c r="G33">
        <v>0</v>
      </c>
      <c r="H33">
        <v>2</v>
      </c>
      <c r="I33">
        <v>0</v>
      </c>
      <c r="J33">
        <v>0</v>
      </c>
      <c r="K33">
        <f t="shared" si="0"/>
        <v>2</v>
      </c>
      <c r="L33" s="1">
        <f t="shared" si="1"/>
        <v>0</v>
      </c>
      <c r="M33" s="1">
        <f t="shared" si="2"/>
        <v>0</v>
      </c>
    </row>
    <row r="34" spans="1:13" x14ac:dyDescent="0.3">
      <c r="A34" t="s">
        <v>1033</v>
      </c>
      <c r="B34" t="s">
        <v>1034</v>
      </c>
      <c r="C34" t="s">
        <v>974</v>
      </c>
      <c r="D34" t="s">
        <v>22</v>
      </c>
      <c r="E34" s="1">
        <v>0</v>
      </c>
      <c r="F34">
        <v>1</v>
      </c>
      <c r="G34">
        <v>0</v>
      </c>
      <c r="H34">
        <v>3</v>
      </c>
      <c r="I34">
        <v>0</v>
      </c>
      <c r="J34">
        <v>0</v>
      </c>
      <c r="K34">
        <f t="shared" si="0"/>
        <v>3</v>
      </c>
      <c r="L34" s="1">
        <f t="shared" si="1"/>
        <v>0</v>
      </c>
      <c r="M34" s="1">
        <f t="shared" si="2"/>
        <v>0</v>
      </c>
    </row>
    <row r="35" spans="1:13" x14ac:dyDescent="0.3">
      <c r="A35" t="s">
        <v>1035</v>
      </c>
      <c r="B35" t="s">
        <v>1036</v>
      </c>
      <c r="C35" t="s">
        <v>974</v>
      </c>
      <c r="D35" t="s">
        <v>22</v>
      </c>
      <c r="E35" s="1">
        <v>0</v>
      </c>
      <c r="F35">
        <v>1</v>
      </c>
      <c r="G35">
        <v>0</v>
      </c>
      <c r="H35">
        <v>3</v>
      </c>
      <c r="I35">
        <v>0</v>
      </c>
      <c r="J35">
        <v>0</v>
      </c>
      <c r="K35">
        <f t="shared" si="0"/>
        <v>3</v>
      </c>
      <c r="L35" s="1">
        <f t="shared" si="1"/>
        <v>0</v>
      </c>
      <c r="M35" s="1">
        <f t="shared" si="2"/>
        <v>0</v>
      </c>
    </row>
    <row r="36" spans="1:13" x14ac:dyDescent="0.3">
      <c r="A36" t="s">
        <v>1037</v>
      </c>
      <c r="B36" t="s">
        <v>1038</v>
      </c>
      <c r="C36" t="s">
        <v>974</v>
      </c>
      <c r="D36" t="s">
        <v>22</v>
      </c>
      <c r="E36" s="1">
        <v>14161.01</v>
      </c>
      <c r="F36">
        <v>3</v>
      </c>
      <c r="G36">
        <v>0</v>
      </c>
      <c r="H36">
        <v>7</v>
      </c>
      <c r="I36">
        <v>0</v>
      </c>
      <c r="J36">
        <v>0</v>
      </c>
      <c r="K36">
        <f t="shared" si="0"/>
        <v>7</v>
      </c>
      <c r="L36" s="1">
        <f t="shared" si="1"/>
        <v>0</v>
      </c>
      <c r="M36" s="1">
        <f t="shared" si="2"/>
        <v>99127.07</v>
      </c>
    </row>
    <row r="37" spans="1:13" x14ac:dyDescent="0.3">
      <c r="A37" t="s">
        <v>1039</v>
      </c>
      <c r="B37" t="s">
        <v>1040</v>
      </c>
      <c r="D37" t="s">
        <v>22</v>
      </c>
      <c r="E37" s="1">
        <v>0</v>
      </c>
      <c r="F37">
        <v>1</v>
      </c>
      <c r="G37">
        <v>0</v>
      </c>
      <c r="H37">
        <v>2</v>
      </c>
      <c r="I37">
        <v>0</v>
      </c>
      <c r="J37">
        <v>0</v>
      </c>
      <c r="K37">
        <f t="shared" si="0"/>
        <v>2</v>
      </c>
      <c r="L37" s="1">
        <f t="shared" si="1"/>
        <v>0</v>
      </c>
      <c r="M37" s="1">
        <f t="shared" si="2"/>
        <v>0</v>
      </c>
    </row>
    <row r="38" spans="1:13" x14ac:dyDescent="0.3">
      <c r="A38" t="s">
        <v>1041</v>
      </c>
      <c r="B38" t="s">
        <v>1042</v>
      </c>
      <c r="D38" t="s">
        <v>22</v>
      </c>
      <c r="E38" s="1">
        <v>0</v>
      </c>
      <c r="F38">
        <v>1</v>
      </c>
      <c r="G38">
        <v>0</v>
      </c>
      <c r="H38">
        <v>2</v>
      </c>
      <c r="I38">
        <v>0</v>
      </c>
      <c r="J38">
        <v>0</v>
      </c>
      <c r="K38">
        <f t="shared" si="0"/>
        <v>2</v>
      </c>
      <c r="L38" s="1">
        <f t="shared" si="1"/>
        <v>0</v>
      </c>
      <c r="M38" s="1">
        <f t="shared" si="2"/>
        <v>0</v>
      </c>
    </row>
    <row r="39" spans="1:13" x14ac:dyDescent="0.3">
      <c r="A39" t="s">
        <v>1043</v>
      </c>
      <c r="B39" t="s">
        <v>1044</v>
      </c>
      <c r="D39" t="s">
        <v>22</v>
      </c>
      <c r="E39" s="1">
        <v>0</v>
      </c>
      <c r="F39">
        <v>1</v>
      </c>
      <c r="G39">
        <v>0</v>
      </c>
      <c r="H39">
        <v>2</v>
      </c>
      <c r="I39">
        <v>0</v>
      </c>
      <c r="J39">
        <v>0</v>
      </c>
      <c r="K39">
        <f t="shared" si="0"/>
        <v>2</v>
      </c>
      <c r="L39" s="1">
        <f t="shared" si="1"/>
        <v>0</v>
      </c>
      <c r="M39" s="1">
        <f t="shared" si="2"/>
        <v>0</v>
      </c>
    </row>
    <row r="40" spans="1:13" x14ac:dyDescent="0.3">
      <c r="A40" t="s">
        <v>1045</v>
      </c>
      <c r="B40" t="s">
        <v>1046</v>
      </c>
      <c r="C40" t="s">
        <v>974</v>
      </c>
      <c r="D40" t="s">
        <v>22</v>
      </c>
      <c r="E40" s="1">
        <v>0</v>
      </c>
      <c r="F40">
        <v>1</v>
      </c>
      <c r="G40">
        <v>0</v>
      </c>
      <c r="H40">
        <v>3</v>
      </c>
      <c r="I40">
        <v>0</v>
      </c>
      <c r="J40">
        <v>0</v>
      </c>
      <c r="K40">
        <f t="shared" si="0"/>
        <v>3</v>
      </c>
      <c r="L40" s="1">
        <f t="shared" si="1"/>
        <v>0</v>
      </c>
      <c r="M40" s="1">
        <f t="shared" si="2"/>
        <v>0</v>
      </c>
    </row>
    <row r="41" spans="1:13" x14ac:dyDescent="0.3">
      <c r="A41" t="s">
        <v>1047</v>
      </c>
      <c r="B41" t="s">
        <v>1048</v>
      </c>
      <c r="C41" t="s">
        <v>974</v>
      </c>
      <c r="D41" t="s">
        <v>22</v>
      </c>
      <c r="E41" s="1">
        <v>0</v>
      </c>
      <c r="F41">
        <v>1</v>
      </c>
      <c r="G41">
        <v>0</v>
      </c>
      <c r="H41">
        <v>3</v>
      </c>
      <c r="I41">
        <v>0</v>
      </c>
      <c r="J41">
        <v>0</v>
      </c>
      <c r="K41">
        <f t="shared" si="0"/>
        <v>3</v>
      </c>
      <c r="L41" s="1">
        <f t="shared" si="1"/>
        <v>0</v>
      </c>
      <c r="M41" s="1">
        <f t="shared" si="2"/>
        <v>0</v>
      </c>
    </row>
    <row r="42" spans="1:13" x14ac:dyDescent="0.3">
      <c r="A42" t="s">
        <v>48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1049</v>
      </c>
      <c r="B2" t="s">
        <v>1050</v>
      </c>
      <c r="C2" t="s">
        <v>252</v>
      </c>
      <c r="D2" t="s">
        <v>23</v>
      </c>
      <c r="E2" s="1">
        <v>235</v>
      </c>
      <c r="F2">
        <v>8</v>
      </c>
      <c r="G2">
        <v>0</v>
      </c>
      <c r="H2">
        <v>40</v>
      </c>
      <c r="I2">
        <v>0</v>
      </c>
      <c r="J2">
        <v>24</v>
      </c>
      <c r="K2">
        <f t="shared" ref="K2:K16" si="0">IF(H2-I2-J2&gt;0,H2-I2-J2,0)</f>
        <v>16</v>
      </c>
      <c r="L2" s="1">
        <f t="shared" ref="L2:L16" si="1">IFERROR(I2*E2,0)</f>
        <v>0</v>
      </c>
      <c r="M2" s="1">
        <f t="shared" ref="M2:M16" si="2">IFERROR(K2*E2,0)</f>
        <v>3760</v>
      </c>
    </row>
    <row r="3" spans="1:13" x14ac:dyDescent="0.3">
      <c r="A3" t="s">
        <v>1051</v>
      </c>
      <c r="B3" t="s">
        <v>1052</v>
      </c>
      <c r="C3" t="s">
        <v>252</v>
      </c>
      <c r="D3" t="s">
        <v>23</v>
      </c>
      <c r="E3" s="1">
        <v>270</v>
      </c>
      <c r="F3">
        <v>3</v>
      </c>
      <c r="G3">
        <v>0</v>
      </c>
      <c r="H3">
        <v>14</v>
      </c>
      <c r="I3">
        <v>0</v>
      </c>
      <c r="J3">
        <v>6</v>
      </c>
      <c r="K3">
        <f t="shared" si="0"/>
        <v>8</v>
      </c>
      <c r="L3" s="1">
        <f t="shared" si="1"/>
        <v>0</v>
      </c>
      <c r="M3" s="1">
        <f t="shared" si="2"/>
        <v>2160</v>
      </c>
    </row>
    <row r="4" spans="1:13" x14ac:dyDescent="0.3">
      <c r="A4" t="s">
        <v>1053</v>
      </c>
      <c r="B4" t="s">
        <v>1054</v>
      </c>
      <c r="C4" t="s">
        <v>252</v>
      </c>
      <c r="D4" t="s">
        <v>23</v>
      </c>
      <c r="E4" s="1">
        <v>270</v>
      </c>
      <c r="F4">
        <v>2</v>
      </c>
      <c r="G4">
        <v>0</v>
      </c>
      <c r="H4">
        <v>12</v>
      </c>
      <c r="I4">
        <v>0</v>
      </c>
      <c r="J4">
        <v>12</v>
      </c>
      <c r="K4">
        <f t="shared" si="0"/>
        <v>0</v>
      </c>
      <c r="L4" s="1">
        <f t="shared" si="1"/>
        <v>0</v>
      </c>
      <c r="M4" s="1">
        <f t="shared" si="2"/>
        <v>0</v>
      </c>
    </row>
    <row r="5" spans="1:13" x14ac:dyDescent="0.3">
      <c r="A5" t="s">
        <v>1055</v>
      </c>
      <c r="B5" t="s">
        <v>1056</v>
      </c>
      <c r="C5" t="s">
        <v>252</v>
      </c>
      <c r="D5" t="s">
        <v>23</v>
      </c>
      <c r="E5" s="1">
        <v>270</v>
      </c>
      <c r="F5">
        <v>2</v>
      </c>
      <c r="G5">
        <v>0</v>
      </c>
      <c r="H5">
        <v>10</v>
      </c>
      <c r="I5">
        <v>0</v>
      </c>
      <c r="J5">
        <v>0</v>
      </c>
      <c r="K5">
        <f t="shared" si="0"/>
        <v>10</v>
      </c>
      <c r="L5" s="1">
        <f t="shared" si="1"/>
        <v>0</v>
      </c>
      <c r="M5" s="1">
        <f t="shared" si="2"/>
        <v>2700</v>
      </c>
    </row>
    <row r="6" spans="1:13" x14ac:dyDescent="0.3">
      <c r="A6" t="s">
        <v>1057</v>
      </c>
      <c r="B6" t="s">
        <v>1058</v>
      </c>
      <c r="C6" t="s">
        <v>252</v>
      </c>
      <c r="D6" t="s">
        <v>23</v>
      </c>
      <c r="E6" s="1">
        <v>270</v>
      </c>
      <c r="F6">
        <v>2</v>
      </c>
      <c r="G6">
        <v>0</v>
      </c>
      <c r="H6">
        <v>8</v>
      </c>
      <c r="I6">
        <v>0</v>
      </c>
      <c r="J6">
        <v>6</v>
      </c>
      <c r="K6">
        <f t="shared" si="0"/>
        <v>2</v>
      </c>
      <c r="L6" s="1">
        <f t="shared" si="1"/>
        <v>0</v>
      </c>
      <c r="M6" s="1">
        <f t="shared" si="2"/>
        <v>540</v>
      </c>
    </row>
    <row r="7" spans="1:13" x14ac:dyDescent="0.3">
      <c r="A7" t="s">
        <v>1059</v>
      </c>
      <c r="B7" t="s">
        <v>1060</v>
      </c>
      <c r="C7" t="s">
        <v>252</v>
      </c>
      <c r="D7" t="s">
        <v>23</v>
      </c>
      <c r="E7" s="1">
        <v>297</v>
      </c>
      <c r="F7">
        <v>2</v>
      </c>
      <c r="G7">
        <v>0</v>
      </c>
      <c r="H7">
        <v>9</v>
      </c>
      <c r="I7">
        <v>0</v>
      </c>
      <c r="J7">
        <v>6</v>
      </c>
      <c r="K7">
        <f t="shared" si="0"/>
        <v>3</v>
      </c>
      <c r="L7" s="1">
        <f t="shared" si="1"/>
        <v>0</v>
      </c>
      <c r="M7" s="1">
        <f t="shared" si="2"/>
        <v>891</v>
      </c>
    </row>
    <row r="8" spans="1:13" x14ac:dyDescent="0.3">
      <c r="A8" t="s">
        <v>1061</v>
      </c>
      <c r="B8" t="s">
        <v>1062</v>
      </c>
      <c r="C8" t="s">
        <v>252</v>
      </c>
      <c r="D8" t="s">
        <v>23</v>
      </c>
      <c r="E8" s="1">
        <v>384</v>
      </c>
      <c r="F8">
        <v>2</v>
      </c>
      <c r="G8">
        <v>0</v>
      </c>
      <c r="H8">
        <v>10</v>
      </c>
      <c r="I8">
        <v>0</v>
      </c>
      <c r="J8">
        <v>0</v>
      </c>
      <c r="K8">
        <f t="shared" si="0"/>
        <v>10</v>
      </c>
      <c r="L8" s="1">
        <f t="shared" si="1"/>
        <v>0</v>
      </c>
      <c r="M8" s="1">
        <f t="shared" si="2"/>
        <v>3840</v>
      </c>
    </row>
    <row r="9" spans="1:13" x14ac:dyDescent="0.3">
      <c r="A9" t="s">
        <v>1063</v>
      </c>
      <c r="B9" t="s">
        <v>1064</v>
      </c>
      <c r="C9" t="s">
        <v>252</v>
      </c>
      <c r="D9" t="s">
        <v>23</v>
      </c>
      <c r="E9" s="1">
        <v>384</v>
      </c>
      <c r="F9">
        <v>1</v>
      </c>
      <c r="G9">
        <v>0</v>
      </c>
      <c r="H9">
        <v>5</v>
      </c>
      <c r="I9">
        <v>0</v>
      </c>
      <c r="J9">
        <v>0</v>
      </c>
      <c r="K9">
        <f t="shared" si="0"/>
        <v>5</v>
      </c>
      <c r="L9" s="1">
        <f t="shared" si="1"/>
        <v>0</v>
      </c>
      <c r="M9" s="1">
        <f t="shared" si="2"/>
        <v>1920</v>
      </c>
    </row>
    <row r="10" spans="1:13" x14ac:dyDescent="0.3">
      <c r="A10" t="s">
        <v>1065</v>
      </c>
      <c r="B10" t="s">
        <v>1066</v>
      </c>
      <c r="C10" t="s">
        <v>252</v>
      </c>
      <c r="D10" t="s">
        <v>23</v>
      </c>
      <c r="E10" s="1">
        <v>384</v>
      </c>
      <c r="F10">
        <v>2</v>
      </c>
      <c r="G10">
        <v>0</v>
      </c>
      <c r="H10">
        <v>8</v>
      </c>
      <c r="I10">
        <v>0</v>
      </c>
      <c r="J10">
        <v>6</v>
      </c>
      <c r="K10">
        <f t="shared" si="0"/>
        <v>2</v>
      </c>
      <c r="L10" s="1">
        <f t="shared" si="1"/>
        <v>0</v>
      </c>
      <c r="M10" s="1">
        <f t="shared" si="2"/>
        <v>768</v>
      </c>
    </row>
    <row r="11" spans="1:13" x14ac:dyDescent="0.3">
      <c r="A11" t="s">
        <v>1067</v>
      </c>
      <c r="B11" t="s">
        <v>1068</v>
      </c>
      <c r="C11" t="s">
        <v>252</v>
      </c>
      <c r="D11" t="s">
        <v>23</v>
      </c>
      <c r="E11" s="1">
        <v>384</v>
      </c>
      <c r="F11">
        <v>1</v>
      </c>
      <c r="G11">
        <v>0</v>
      </c>
      <c r="H11">
        <v>2</v>
      </c>
      <c r="I11">
        <v>0</v>
      </c>
      <c r="J11">
        <v>0</v>
      </c>
      <c r="K11">
        <f t="shared" si="0"/>
        <v>2</v>
      </c>
      <c r="L11" s="1">
        <f t="shared" si="1"/>
        <v>0</v>
      </c>
      <c r="M11" s="1">
        <f t="shared" si="2"/>
        <v>768</v>
      </c>
    </row>
    <row r="12" spans="1:13" x14ac:dyDescent="0.3">
      <c r="A12" t="s">
        <v>1069</v>
      </c>
      <c r="B12" t="s">
        <v>1070</v>
      </c>
      <c r="C12" t="s">
        <v>252</v>
      </c>
      <c r="D12" t="s">
        <v>23</v>
      </c>
      <c r="E12" s="1">
        <v>384</v>
      </c>
      <c r="F12">
        <v>3</v>
      </c>
      <c r="G12">
        <v>0</v>
      </c>
      <c r="H12">
        <v>15</v>
      </c>
      <c r="I12">
        <v>0</v>
      </c>
      <c r="J12">
        <v>0</v>
      </c>
      <c r="K12">
        <f t="shared" si="0"/>
        <v>15</v>
      </c>
      <c r="L12" s="1">
        <f t="shared" si="1"/>
        <v>0</v>
      </c>
      <c r="M12" s="1">
        <f t="shared" si="2"/>
        <v>5760</v>
      </c>
    </row>
    <row r="13" spans="1:13" x14ac:dyDescent="0.3">
      <c r="A13" t="s">
        <v>1071</v>
      </c>
      <c r="B13" t="s">
        <v>1072</v>
      </c>
      <c r="C13" t="s">
        <v>252</v>
      </c>
      <c r="D13" t="s">
        <v>23</v>
      </c>
      <c r="E13" s="1">
        <v>85</v>
      </c>
      <c r="F13">
        <v>47</v>
      </c>
      <c r="G13">
        <v>0</v>
      </c>
      <c r="H13">
        <v>234</v>
      </c>
      <c r="I13">
        <v>0</v>
      </c>
      <c r="J13">
        <v>100</v>
      </c>
      <c r="K13">
        <f t="shared" si="0"/>
        <v>134</v>
      </c>
      <c r="L13" s="1">
        <f t="shared" si="1"/>
        <v>0</v>
      </c>
      <c r="M13" s="1">
        <f t="shared" si="2"/>
        <v>11390</v>
      </c>
    </row>
    <row r="14" spans="1:13" x14ac:dyDescent="0.3">
      <c r="A14" t="s">
        <v>1073</v>
      </c>
      <c r="B14" t="s">
        <v>1074</v>
      </c>
      <c r="C14" t="s">
        <v>252</v>
      </c>
      <c r="D14" t="s">
        <v>23</v>
      </c>
      <c r="E14" s="1">
        <v>11</v>
      </c>
      <c r="F14">
        <v>6</v>
      </c>
      <c r="G14">
        <v>0</v>
      </c>
      <c r="H14">
        <v>29</v>
      </c>
      <c r="I14">
        <v>0</v>
      </c>
      <c r="J14">
        <v>0</v>
      </c>
      <c r="K14">
        <f t="shared" si="0"/>
        <v>29</v>
      </c>
      <c r="L14" s="1">
        <f t="shared" si="1"/>
        <v>0</v>
      </c>
      <c r="M14" s="1">
        <f t="shared" si="2"/>
        <v>319</v>
      </c>
    </row>
    <row r="15" spans="1:13" x14ac:dyDescent="0.3">
      <c r="A15" t="s">
        <v>1075</v>
      </c>
      <c r="B15" t="s">
        <v>1076</v>
      </c>
      <c r="C15" t="s">
        <v>252</v>
      </c>
      <c r="D15" t="s">
        <v>23</v>
      </c>
      <c r="E15" s="1">
        <v>42</v>
      </c>
      <c r="F15">
        <v>29</v>
      </c>
      <c r="G15">
        <v>0</v>
      </c>
      <c r="H15">
        <v>144</v>
      </c>
      <c r="I15">
        <v>0</v>
      </c>
      <c r="J15">
        <v>100</v>
      </c>
      <c r="K15">
        <f t="shared" si="0"/>
        <v>44</v>
      </c>
      <c r="L15" s="1">
        <f t="shared" si="1"/>
        <v>0</v>
      </c>
      <c r="M15" s="1">
        <f t="shared" si="2"/>
        <v>1848</v>
      </c>
    </row>
    <row r="16" spans="1:13" x14ac:dyDescent="0.3">
      <c r="A16" t="s">
        <v>1077</v>
      </c>
      <c r="B16" t="s">
        <v>1078</v>
      </c>
      <c r="C16" t="s">
        <v>252</v>
      </c>
      <c r="D16" t="s">
        <v>23</v>
      </c>
      <c r="E16" s="1">
        <v>11</v>
      </c>
      <c r="F16">
        <v>8</v>
      </c>
      <c r="G16">
        <v>0</v>
      </c>
      <c r="H16">
        <v>41</v>
      </c>
      <c r="I16">
        <v>0</v>
      </c>
      <c r="J16">
        <v>0</v>
      </c>
      <c r="K16">
        <f t="shared" si="0"/>
        <v>41</v>
      </c>
      <c r="L16" s="1">
        <f t="shared" si="1"/>
        <v>0</v>
      </c>
      <c r="M16" s="1">
        <f t="shared" si="2"/>
        <v>451</v>
      </c>
    </row>
    <row r="17" spans="1:1" x14ac:dyDescent="0.3">
      <c r="A17" t="s">
        <v>48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4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1079</v>
      </c>
      <c r="B2" t="s">
        <v>1080</v>
      </c>
      <c r="C2" t="s">
        <v>1081</v>
      </c>
      <c r="D2" t="s">
        <v>24</v>
      </c>
      <c r="E2" s="1">
        <v>4520.6400000000003</v>
      </c>
      <c r="F2">
        <v>2</v>
      </c>
      <c r="G2">
        <v>0</v>
      </c>
      <c r="H2">
        <v>6</v>
      </c>
      <c r="I2">
        <v>0</v>
      </c>
      <c r="J2">
        <v>0</v>
      </c>
      <c r="K2">
        <f t="shared" ref="K2:K46" si="0">IF(H2-I2-J2&gt;0,H2-I2-J2,0)</f>
        <v>6</v>
      </c>
      <c r="L2" s="1">
        <f t="shared" ref="L2:L46" si="1">IFERROR(I2*E2,0)</f>
        <v>0</v>
      </c>
      <c r="M2" s="1">
        <f t="shared" ref="M2:M46" si="2">IFERROR(K2*E2,0)</f>
        <v>27123.840000000004</v>
      </c>
    </row>
    <row r="3" spans="1:13" x14ac:dyDescent="0.3">
      <c r="A3" t="s">
        <v>1082</v>
      </c>
      <c r="B3" t="s">
        <v>1083</v>
      </c>
      <c r="C3" t="s">
        <v>1081</v>
      </c>
      <c r="D3" t="s">
        <v>24</v>
      </c>
      <c r="E3" s="1">
        <v>59.08</v>
      </c>
      <c r="F3">
        <v>1</v>
      </c>
      <c r="G3">
        <v>0</v>
      </c>
      <c r="H3">
        <v>4</v>
      </c>
      <c r="I3">
        <v>0</v>
      </c>
      <c r="J3">
        <v>0</v>
      </c>
      <c r="K3">
        <f t="shared" si="0"/>
        <v>4</v>
      </c>
      <c r="L3" s="1">
        <f t="shared" si="1"/>
        <v>0</v>
      </c>
      <c r="M3" s="1">
        <f t="shared" si="2"/>
        <v>236.32</v>
      </c>
    </row>
    <row r="4" spans="1:13" x14ac:dyDescent="0.3">
      <c r="A4" t="s">
        <v>1084</v>
      </c>
      <c r="B4" t="s">
        <v>1085</v>
      </c>
      <c r="C4" t="s">
        <v>1081</v>
      </c>
      <c r="D4" t="s">
        <v>24</v>
      </c>
      <c r="E4" s="1">
        <v>95.86</v>
      </c>
      <c r="F4">
        <v>1</v>
      </c>
      <c r="G4">
        <v>0</v>
      </c>
      <c r="H4">
        <v>5</v>
      </c>
      <c r="I4">
        <v>0</v>
      </c>
      <c r="J4">
        <v>0</v>
      </c>
      <c r="K4">
        <f t="shared" si="0"/>
        <v>5</v>
      </c>
      <c r="L4" s="1">
        <f t="shared" si="1"/>
        <v>0</v>
      </c>
      <c r="M4" s="1">
        <f t="shared" si="2"/>
        <v>479.3</v>
      </c>
    </row>
    <row r="5" spans="1:13" x14ac:dyDescent="0.3">
      <c r="A5" t="s">
        <v>1086</v>
      </c>
      <c r="B5" t="s">
        <v>1087</v>
      </c>
      <c r="C5" t="s">
        <v>1081</v>
      </c>
      <c r="D5" t="s">
        <v>24</v>
      </c>
      <c r="E5" s="1">
        <v>137.02000000000001</v>
      </c>
      <c r="F5">
        <v>2</v>
      </c>
      <c r="G5">
        <v>0</v>
      </c>
      <c r="H5">
        <v>10</v>
      </c>
      <c r="I5">
        <v>0</v>
      </c>
      <c r="J5">
        <v>0</v>
      </c>
      <c r="K5">
        <f t="shared" si="0"/>
        <v>10</v>
      </c>
      <c r="L5" s="1">
        <f t="shared" si="1"/>
        <v>0</v>
      </c>
      <c r="M5" s="1">
        <f t="shared" si="2"/>
        <v>1370.2</v>
      </c>
    </row>
    <row r="6" spans="1:13" x14ac:dyDescent="0.3">
      <c r="A6" t="s">
        <v>1088</v>
      </c>
      <c r="B6" t="s">
        <v>1089</v>
      </c>
      <c r="C6" t="s">
        <v>1081</v>
      </c>
      <c r="D6" t="s">
        <v>24</v>
      </c>
      <c r="E6" s="1">
        <v>277.75</v>
      </c>
      <c r="F6">
        <v>2</v>
      </c>
      <c r="G6">
        <v>0</v>
      </c>
      <c r="H6">
        <v>9</v>
      </c>
      <c r="I6">
        <v>0</v>
      </c>
      <c r="J6">
        <v>0</v>
      </c>
      <c r="K6">
        <f t="shared" si="0"/>
        <v>9</v>
      </c>
      <c r="L6" s="1">
        <f t="shared" si="1"/>
        <v>0</v>
      </c>
      <c r="M6" s="1">
        <f t="shared" si="2"/>
        <v>2499.75</v>
      </c>
    </row>
    <row r="7" spans="1:13" x14ac:dyDescent="0.3">
      <c r="A7" t="s">
        <v>1090</v>
      </c>
      <c r="B7" t="s">
        <v>1091</v>
      </c>
      <c r="C7" t="s">
        <v>1081</v>
      </c>
      <c r="D7" t="s">
        <v>24</v>
      </c>
      <c r="E7" s="1">
        <v>872.8</v>
      </c>
      <c r="F7">
        <v>1</v>
      </c>
      <c r="G7">
        <v>0</v>
      </c>
      <c r="H7">
        <v>2</v>
      </c>
      <c r="I7">
        <v>0</v>
      </c>
      <c r="J7">
        <v>0</v>
      </c>
      <c r="K7">
        <f t="shared" si="0"/>
        <v>2</v>
      </c>
      <c r="L7" s="1">
        <f t="shared" si="1"/>
        <v>0</v>
      </c>
      <c r="M7" s="1">
        <f t="shared" si="2"/>
        <v>1745.6</v>
      </c>
    </row>
    <row r="8" spans="1:13" x14ac:dyDescent="0.3">
      <c r="A8" t="s">
        <v>1092</v>
      </c>
      <c r="B8" t="s">
        <v>1093</v>
      </c>
      <c r="C8" t="s">
        <v>1081</v>
      </c>
      <c r="D8" t="s">
        <v>24</v>
      </c>
      <c r="E8" s="1">
        <v>4865.1000000000004</v>
      </c>
      <c r="F8">
        <v>1</v>
      </c>
      <c r="G8">
        <v>0</v>
      </c>
      <c r="H8">
        <v>3</v>
      </c>
      <c r="I8">
        <v>0</v>
      </c>
      <c r="J8">
        <v>0</v>
      </c>
      <c r="K8">
        <f t="shared" si="0"/>
        <v>3</v>
      </c>
      <c r="L8" s="1">
        <f t="shared" si="1"/>
        <v>0</v>
      </c>
      <c r="M8" s="1">
        <f t="shared" si="2"/>
        <v>14595.300000000001</v>
      </c>
    </row>
    <row r="9" spans="1:13" x14ac:dyDescent="0.3">
      <c r="A9" t="s">
        <v>1094</v>
      </c>
      <c r="B9" t="s">
        <v>1095</v>
      </c>
      <c r="D9" t="s">
        <v>24</v>
      </c>
      <c r="E9" s="1">
        <v>0</v>
      </c>
      <c r="F9">
        <v>1</v>
      </c>
      <c r="G9">
        <v>0</v>
      </c>
      <c r="H9">
        <v>2</v>
      </c>
      <c r="I9">
        <v>0</v>
      </c>
      <c r="J9">
        <v>0</v>
      </c>
      <c r="K9">
        <f t="shared" si="0"/>
        <v>2</v>
      </c>
      <c r="L9" s="1">
        <f t="shared" si="1"/>
        <v>0</v>
      </c>
      <c r="M9" s="1">
        <f t="shared" si="2"/>
        <v>0</v>
      </c>
    </row>
    <row r="10" spans="1:13" x14ac:dyDescent="0.3">
      <c r="A10" t="s">
        <v>1096</v>
      </c>
      <c r="B10" t="s">
        <v>1097</v>
      </c>
      <c r="D10" t="s">
        <v>24</v>
      </c>
      <c r="E10" s="1">
        <v>0</v>
      </c>
      <c r="F10">
        <v>1</v>
      </c>
      <c r="G10">
        <v>0</v>
      </c>
      <c r="H10">
        <v>2</v>
      </c>
      <c r="I10">
        <v>0</v>
      </c>
      <c r="J10">
        <v>0</v>
      </c>
      <c r="K10">
        <f t="shared" si="0"/>
        <v>2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1098</v>
      </c>
      <c r="B11" t="s">
        <v>1099</v>
      </c>
      <c r="C11" t="s">
        <v>1081</v>
      </c>
      <c r="D11" t="s">
        <v>24</v>
      </c>
      <c r="E11" s="1">
        <v>8234.75</v>
      </c>
      <c r="F11">
        <v>1</v>
      </c>
      <c r="G11">
        <v>0</v>
      </c>
      <c r="H11">
        <v>3</v>
      </c>
      <c r="I11">
        <v>0</v>
      </c>
      <c r="J11">
        <v>0</v>
      </c>
      <c r="K11">
        <f t="shared" si="0"/>
        <v>3</v>
      </c>
      <c r="L11" s="1">
        <f t="shared" si="1"/>
        <v>0</v>
      </c>
      <c r="M11" s="1">
        <f t="shared" si="2"/>
        <v>24704.25</v>
      </c>
    </row>
    <row r="12" spans="1:13" x14ac:dyDescent="0.3">
      <c r="A12" t="s">
        <v>1100</v>
      </c>
      <c r="B12" t="s">
        <v>1101</v>
      </c>
      <c r="C12" t="s">
        <v>1081</v>
      </c>
      <c r="D12" t="s">
        <v>24</v>
      </c>
      <c r="E12" s="1">
        <v>10200.65</v>
      </c>
      <c r="F12">
        <v>3</v>
      </c>
      <c r="G12">
        <v>0</v>
      </c>
      <c r="H12">
        <v>15</v>
      </c>
      <c r="I12">
        <v>0</v>
      </c>
      <c r="J12">
        <v>0</v>
      </c>
      <c r="K12">
        <f t="shared" si="0"/>
        <v>15</v>
      </c>
      <c r="L12" s="1">
        <f t="shared" si="1"/>
        <v>0</v>
      </c>
      <c r="M12" s="1">
        <f t="shared" si="2"/>
        <v>153009.75</v>
      </c>
    </row>
    <row r="13" spans="1:13" x14ac:dyDescent="0.3">
      <c r="A13" t="s">
        <v>1102</v>
      </c>
      <c r="B13" t="s">
        <v>1103</v>
      </c>
      <c r="C13" t="s">
        <v>1081</v>
      </c>
      <c r="D13" t="s">
        <v>24</v>
      </c>
      <c r="E13" s="1">
        <v>10609.51</v>
      </c>
      <c r="F13">
        <v>1</v>
      </c>
      <c r="G13">
        <v>0</v>
      </c>
      <c r="H13">
        <v>2</v>
      </c>
      <c r="I13">
        <v>0</v>
      </c>
      <c r="J13">
        <v>0</v>
      </c>
      <c r="K13">
        <f t="shared" si="0"/>
        <v>2</v>
      </c>
      <c r="L13" s="1">
        <f t="shared" si="1"/>
        <v>0</v>
      </c>
      <c r="M13" s="1">
        <f t="shared" si="2"/>
        <v>21219.02</v>
      </c>
    </row>
    <row r="14" spans="1:13" x14ac:dyDescent="0.3">
      <c r="A14" t="s">
        <v>1104</v>
      </c>
      <c r="B14" t="s">
        <v>1105</v>
      </c>
      <c r="D14" t="s">
        <v>24</v>
      </c>
      <c r="E14" s="1">
        <v>0</v>
      </c>
      <c r="F14">
        <v>1</v>
      </c>
      <c r="G14">
        <v>0</v>
      </c>
      <c r="H14">
        <v>2</v>
      </c>
      <c r="I14">
        <v>0</v>
      </c>
      <c r="J14">
        <v>0</v>
      </c>
      <c r="K14">
        <f t="shared" si="0"/>
        <v>2</v>
      </c>
      <c r="L14" s="1">
        <f t="shared" si="1"/>
        <v>0</v>
      </c>
      <c r="M14" s="1">
        <f t="shared" si="2"/>
        <v>0</v>
      </c>
    </row>
    <row r="15" spans="1:13" x14ac:dyDescent="0.3">
      <c r="A15" t="s">
        <v>1106</v>
      </c>
      <c r="B15" t="s">
        <v>1107</v>
      </c>
      <c r="D15" t="s">
        <v>24</v>
      </c>
      <c r="E15" s="1">
        <v>0</v>
      </c>
      <c r="F15">
        <v>1</v>
      </c>
      <c r="G15">
        <v>0</v>
      </c>
      <c r="H15">
        <v>2</v>
      </c>
      <c r="I15">
        <v>0</v>
      </c>
      <c r="J15">
        <v>0</v>
      </c>
      <c r="K15">
        <f t="shared" si="0"/>
        <v>2</v>
      </c>
      <c r="L15" s="1">
        <f t="shared" si="1"/>
        <v>0</v>
      </c>
      <c r="M15" s="1">
        <f t="shared" si="2"/>
        <v>0</v>
      </c>
    </row>
    <row r="16" spans="1:13" x14ac:dyDescent="0.3">
      <c r="A16" t="s">
        <v>1108</v>
      </c>
      <c r="B16" t="s">
        <v>1109</v>
      </c>
      <c r="D16" t="s">
        <v>24</v>
      </c>
      <c r="E16" s="1">
        <v>0</v>
      </c>
      <c r="F16">
        <v>1</v>
      </c>
      <c r="G16">
        <v>0</v>
      </c>
      <c r="H16">
        <v>2</v>
      </c>
      <c r="I16">
        <v>0</v>
      </c>
      <c r="J16">
        <v>0</v>
      </c>
      <c r="K16">
        <f t="shared" si="0"/>
        <v>2</v>
      </c>
      <c r="L16" s="1">
        <f t="shared" si="1"/>
        <v>0</v>
      </c>
      <c r="M16" s="1">
        <f t="shared" si="2"/>
        <v>0</v>
      </c>
    </row>
    <row r="17" spans="1:13" x14ac:dyDescent="0.3">
      <c r="A17" t="s">
        <v>1110</v>
      </c>
      <c r="B17" t="s">
        <v>1111</v>
      </c>
      <c r="D17" t="s">
        <v>24</v>
      </c>
      <c r="E17" s="1">
        <v>0</v>
      </c>
      <c r="F17">
        <v>1</v>
      </c>
      <c r="G17">
        <v>0</v>
      </c>
      <c r="H17">
        <v>2</v>
      </c>
      <c r="I17">
        <v>0</v>
      </c>
      <c r="J17">
        <v>0</v>
      </c>
      <c r="K17">
        <f t="shared" si="0"/>
        <v>2</v>
      </c>
      <c r="L17" s="1">
        <f t="shared" si="1"/>
        <v>0</v>
      </c>
      <c r="M17" s="1">
        <f t="shared" si="2"/>
        <v>0</v>
      </c>
    </row>
    <row r="18" spans="1:13" x14ac:dyDescent="0.3">
      <c r="A18" t="s">
        <v>1112</v>
      </c>
      <c r="B18" t="s">
        <v>1113</v>
      </c>
      <c r="D18" t="s">
        <v>24</v>
      </c>
      <c r="E18" s="1">
        <v>0</v>
      </c>
      <c r="F18">
        <v>1</v>
      </c>
      <c r="G18">
        <v>0</v>
      </c>
      <c r="H18">
        <v>4</v>
      </c>
      <c r="I18">
        <v>0</v>
      </c>
      <c r="J18">
        <v>0</v>
      </c>
      <c r="K18">
        <f t="shared" si="0"/>
        <v>4</v>
      </c>
      <c r="L18" s="1">
        <f t="shared" si="1"/>
        <v>0</v>
      </c>
      <c r="M18" s="1">
        <f t="shared" si="2"/>
        <v>0</v>
      </c>
    </row>
    <row r="19" spans="1:13" x14ac:dyDescent="0.3">
      <c r="A19" t="s">
        <v>1114</v>
      </c>
      <c r="B19" t="s">
        <v>1115</v>
      </c>
      <c r="C19" t="s">
        <v>1081</v>
      </c>
      <c r="D19" t="s">
        <v>24</v>
      </c>
      <c r="E19" s="1">
        <v>479.32</v>
      </c>
      <c r="F19">
        <v>1</v>
      </c>
      <c r="G19">
        <v>0</v>
      </c>
      <c r="H19">
        <v>5</v>
      </c>
      <c r="I19">
        <v>0</v>
      </c>
      <c r="J19">
        <v>0</v>
      </c>
      <c r="K19">
        <f t="shared" si="0"/>
        <v>5</v>
      </c>
      <c r="L19" s="1">
        <f t="shared" si="1"/>
        <v>0</v>
      </c>
      <c r="M19" s="1">
        <f t="shared" si="2"/>
        <v>2396.6</v>
      </c>
    </row>
    <row r="20" spans="1:13" x14ac:dyDescent="0.3">
      <c r="A20" t="s">
        <v>1116</v>
      </c>
      <c r="B20" t="s">
        <v>1117</v>
      </c>
      <c r="C20" t="s">
        <v>1081</v>
      </c>
      <c r="D20" t="s">
        <v>24</v>
      </c>
      <c r="E20" s="1">
        <v>492.37</v>
      </c>
      <c r="F20">
        <v>1</v>
      </c>
      <c r="G20">
        <v>0</v>
      </c>
      <c r="H20">
        <v>2</v>
      </c>
      <c r="I20">
        <v>0</v>
      </c>
      <c r="J20">
        <v>0</v>
      </c>
      <c r="K20">
        <f t="shared" si="0"/>
        <v>2</v>
      </c>
      <c r="L20" s="1">
        <f t="shared" si="1"/>
        <v>0</v>
      </c>
      <c r="M20" s="1">
        <f t="shared" si="2"/>
        <v>984.74</v>
      </c>
    </row>
    <row r="21" spans="1:13" x14ac:dyDescent="0.3">
      <c r="A21" t="s">
        <v>1118</v>
      </c>
      <c r="B21" t="s">
        <v>1119</v>
      </c>
      <c r="C21" t="s">
        <v>1081</v>
      </c>
      <c r="D21" t="s">
        <v>24</v>
      </c>
      <c r="E21" s="1">
        <v>555.49</v>
      </c>
      <c r="F21">
        <v>1</v>
      </c>
      <c r="G21">
        <v>0</v>
      </c>
      <c r="H21">
        <v>6</v>
      </c>
      <c r="I21">
        <v>0</v>
      </c>
      <c r="J21">
        <v>0</v>
      </c>
      <c r="K21">
        <f t="shared" si="0"/>
        <v>6</v>
      </c>
      <c r="L21" s="1">
        <f t="shared" si="1"/>
        <v>0</v>
      </c>
      <c r="M21" s="1">
        <f t="shared" si="2"/>
        <v>3332.94</v>
      </c>
    </row>
    <row r="22" spans="1:13" x14ac:dyDescent="0.3">
      <c r="A22" t="s">
        <v>1120</v>
      </c>
      <c r="B22" t="s">
        <v>1121</v>
      </c>
      <c r="C22" t="s">
        <v>1081</v>
      </c>
      <c r="D22" t="s">
        <v>24</v>
      </c>
      <c r="E22" s="1">
        <v>432.77</v>
      </c>
      <c r="F22">
        <v>1</v>
      </c>
      <c r="G22">
        <v>0</v>
      </c>
      <c r="H22">
        <v>5</v>
      </c>
      <c r="I22">
        <v>0</v>
      </c>
      <c r="J22">
        <v>0</v>
      </c>
      <c r="K22">
        <f t="shared" si="0"/>
        <v>5</v>
      </c>
      <c r="L22" s="1">
        <f t="shared" si="1"/>
        <v>0</v>
      </c>
      <c r="M22" s="1">
        <f t="shared" si="2"/>
        <v>2163.85</v>
      </c>
    </row>
    <row r="23" spans="1:13" x14ac:dyDescent="0.3">
      <c r="A23" t="s">
        <v>1122</v>
      </c>
      <c r="B23" t="s">
        <v>1123</v>
      </c>
      <c r="C23" t="s">
        <v>1081</v>
      </c>
      <c r="D23" t="s">
        <v>24</v>
      </c>
      <c r="E23" s="1">
        <v>538.29999999999995</v>
      </c>
      <c r="F23">
        <v>1</v>
      </c>
      <c r="G23">
        <v>0</v>
      </c>
      <c r="H23">
        <v>6</v>
      </c>
      <c r="I23">
        <v>0</v>
      </c>
      <c r="J23">
        <v>0</v>
      </c>
      <c r="K23">
        <f t="shared" si="0"/>
        <v>6</v>
      </c>
      <c r="L23" s="1">
        <f t="shared" si="1"/>
        <v>0</v>
      </c>
      <c r="M23" s="1">
        <f t="shared" si="2"/>
        <v>3229.7999999999997</v>
      </c>
    </row>
    <row r="24" spans="1:13" x14ac:dyDescent="0.3">
      <c r="A24" t="s">
        <v>1124</v>
      </c>
      <c r="B24" t="s">
        <v>1125</v>
      </c>
      <c r="C24" t="s">
        <v>1081</v>
      </c>
      <c r="D24" t="s">
        <v>24</v>
      </c>
      <c r="E24" s="1">
        <v>605.5</v>
      </c>
      <c r="F24">
        <v>1</v>
      </c>
      <c r="G24">
        <v>0</v>
      </c>
      <c r="H24">
        <v>6</v>
      </c>
      <c r="I24">
        <v>0</v>
      </c>
      <c r="J24">
        <v>0</v>
      </c>
      <c r="K24">
        <f t="shared" si="0"/>
        <v>6</v>
      </c>
      <c r="L24" s="1">
        <f t="shared" si="1"/>
        <v>0</v>
      </c>
      <c r="M24" s="1">
        <f t="shared" si="2"/>
        <v>3633</v>
      </c>
    </row>
    <row r="25" spans="1:13" x14ac:dyDescent="0.3">
      <c r="A25" t="s">
        <v>1126</v>
      </c>
      <c r="B25" t="s">
        <v>1127</v>
      </c>
      <c r="C25" t="s">
        <v>1081</v>
      </c>
      <c r="D25" t="s">
        <v>24</v>
      </c>
      <c r="E25" s="1">
        <v>672.82</v>
      </c>
      <c r="F25">
        <v>1</v>
      </c>
      <c r="G25">
        <v>0</v>
      </c>
      <c r="H25">
        <v>5</v>
      </c>
      <c r="I25">
        <v>0</v>
      </c>
      <c r="J25">
        <v>0</v>
      </c>
      <c r="K25">
        <f t="shared" si="0"/>
        <v>5</v>
      </c>
      <c r="L25" s="1">
        <f t="shared" si="1"/>
        <v>0</v>
      </c>
      <c r="M25" s="1">
        <f t="shared" si="2"/>
        <v>3364.1000000000004</v>
      </c>
    </row>
    <row r="26" spans="1:13" x14ac:dyDescent="0.3">
      <c r="A26" t="s">
        <v>1128</v>
      </c>
      <c r="B26" t="s">
        <v>1129</v>
      </c>
      <c r="C26" t="s">
        <v>1081</v>
      </c>
      <c r="D26" t="s">
        <v>24</v>
      </c>
      <c r="E26" s="1">
        <v>1520.58</v>
      </c>
      <c r="F26">
        <v>1</v>
      </c>
      <c r="G26">
        <v>0</v>
      </c>
      <c r="H26">
        <v>3</v>
      </c>
      <c r="I26">
        <v>0</v>
      </c>
      <c r="J26">
        <v>0</v>
      </c>
      <c r="K26">
        <f t="shared" si="0"/>
        <v>3</v>
      </c>
      <c r="L26" s="1">
        <f t="shared" si="1"/>
        <v>0</v>
      </c>
      <c r="M26" s="1">
        <f t="shared" si="2"/>
        <v>4561.74</v>
      </c>
    </row>
    <row r="27" spans="1:13" x14ac:dyDescent="0.3">
      <c r="A27" t="s">
        <v>1130</v>
      </c>
      <c r="B27" t="s">
        <v>1131</v>
      </c>
      <c r="C27" t="s">
        <v>1081</v>
      </c>
      <c r="D27" t="s">
        <v>24</v>
      </c>
      <c r="E27" s="1">
        <v>1520.58</v>
      </c>
      <c r="F27">
        <v>1</v>
      </c>
      <c r="G27">
        <v>0</v>
      </c>
      <c r="H27">
        <v>3</v>
      </c>
      <c r="I27">
        <v>0</v>
      </c>
      <c r="J27">
        <v>0</v>
      </c>
      <c r="K27">
        <f t="shared" si="0"/>
        <v>3</v>
      </c>
      <c r="L27" s="1">
        <f t="shared" si="1"/>
        <v>0</v>
      </c>
      <c r="M27" s="1">
        <f t="shared" si="2"/>
        <v>4561.74</v>
      </c>
    </row>
    <row r="28" spans="1:13" x14ac:dyDescent="0.3">
      <c r="A28" t="s">
        <v>1132</v>
      </c>
      <c r="B28" t="s">
        <v>1133</v>
      </c>
      <c r="D28" t="s">
        <v>24</v>
      </c>
      <c r="E28" s="1">
        <v>0</v>
      </c>
      <c r="F28">
        <v>1</v>
      </c>
      <c r="G28">
        <v>0</v>
      </c>
      <c r="H28">
        <v>2</v>
      </c>
      <c r="I28">
        <v>0</v>
      </c>
      <c r="J28">
        <v>0</v>
      </c>
      <c r="K28">
        <f t="shared" si="0"/>
        <v>2</v>
      </c>
      <c r="L28" s="1">
        <f t="shared" si="1"/>
        <v>0</v>
      </c>
      <c r="M28" s="1">
        <f t="shared" si="2"/>
        <v>0</v>
      </c>
    </row>
    <row r="29" spans="1:13" x14ac:dyDescent="0.3">
      <c r="A29" t="s">
        <v>1134</v>
      </c>
      <c r="B29" t="s">
        <v>1135</v>
      </c>
      <c r="C29" t="s">
        <v>1081</v>
      </c>
      <c r="D29" t="s">
        <v>24</v>
      </c>
      <c r="E29" s="1">
        <v>1547.46</v>
      </c>
      <c r="F29">
        <v>1</v>
      </c>
      <c r="G29">
        <v>0</v>
      </c>
      <c r="H29">
        <v>3</v>
      </c>
      <c r="I29">
        <v>0</v>
      </c>
      <c r="J29">
        <v>0</v>
      </c>
      <c r="K29">
        <f t="shared" si="0"/>
        <v>3</v>
      </c>
      <c r="L29" s="1">
        <f t="shared" si="1"/>
        <v>0</v>
      </c>
      <c r="M29" s="1">
        <f t="shared" si="2"/>
        <v>4642.38</v>
      </c>
    </row>
    <row r="30" spans="1:13" x14ac:dyDescent="0.3">
      <c r="A30" t="s">
        <v>1136</v>
      </c>
      <c r="B30" t="s">
        <v>1137</v>
      </c>
      <c r="C30" t="s">
        <v>1081</v>
      </c>
      <c r="D30" t="s">
        <v>24</v>
      </c>
      <c r="E30" s="1">
        <v>928.48</v>
      </c>
      <c r="F30">
        <v>1</v>
      </c>
      <c r="G30">
        <v>0</v>
      </c>
      <c r="H30">
        <v>3</v>
      </c>
      <c r="I30">
        <v>0</v>
      </c>
      <c r="J30">
        <v>0</v>
      </c>
      <c r="K30">
        <f t="shared" si="0"/>
        <v>3</v>
      </c>
      <c r="L30" s="1">
        <f t="shared" si="1"/>
        <v>0</v>
      </c>
      <c r="M30" s="1">
        <f t="shared" si="2"/>
        <v>2785.44</v>
      </c>
    </row>
    <row r="31" spans="1:13" x14ac:dyDescent="0.3">
      <c r="A31" t="s">
        <v>1138</v>
      </c>
      <c r="B31" t="s">
        <v>1139</v>
      </c>
      <c r="C31" t="s">
        <v>1081</v>
      </c>
      <c r="D31" t="s">
        <v>24</v>
      </c>
      <c r="E31" s="1">
        <v>0</v>
      </c>
      <c r="F31">
        <v>1</v>
      </c>
      <c r="G31">
        <v>0</v>
      </c>
      <c r="H31">
        <v>2</v>
      </c>
      <c r="I31">
        <v>0</v>
      </c>
      <c r="J31">
        <v>0</v>
      </c>
      <c r="K31">
        <f t="shared" si="0"/>
        <v>2</v>
      </c>
      <c r="L31" s="1">
        <f t="shared" si="1"/>
        <v>0</v>
      </c>
      <c r="M31" s="1">
        <f t="shared" si="2"/>
        <v>0</v>
      </c>
    </row>
    <row r="32" spans="1:13" x14ac:dyDescent="0.3">
      <c r="A32" t="s">
        <v>1140</v>
      </c>
      <c r="B32" t="s">
        <v>1141</v>
      </c>
      <c r="C32" t="s">
        <v>1081</v>
      </c>
      <c r="D32" t="s">
        <v>24</v>
      </c>
      <c r="E32" s="1">
        <v>0</v>
      </c>
      <c r="F32">
        <v>1</v>
      </c>
      <c r="G32">
        <v>0</v>
      </c>
      <c r="H32">
        <v>2</v>
      </c>
      <c r="I32">
        <v>0</v>
      </c>
      <c r="J32">
        <v>0</v>
      </c>
      <c r="K32">
        <f t="shared" si="0"/>
        <v>2</v>
      </c>
      <c r="L32" s="1">
        <f t="shared" si="1"/>
        <v>0</v>
      </c>
      <c r="M32" s="1">
        <f t="shared" si="2"/>
        <v>0</v>
      </c>
    </row>
    <row r="33" spans="1:13" x14ac:dyDescent="0.3">
      <c r="A33" t="s">
        <v>1142</v>
      </c>
      <c r="B33" t="s">
        <v>1143</v>
      </c>
      <c r="C33" t="s">
        <v>1081</v>
      </c>
      <c r="D33" t="s">
        <v>24</v>
      </c>
      <c r="E33" s="1">
        <v>460.87</v>
      </c>
      <c r="F33">
        <v>1</v>
      </c>
      <c r="G33">
        <v>0</v>
      </c>
      <c r="H33">
        <v>4</v>
      </c>
      <c r="I33">
        <v>0</v>
      </c>
      <c r="J33">
        <v>0</v>
      </c>
      <c r="K33">
        <f t="shared" si="0"/>
        <v>4</v>
      </c>
      <c r="L33" s="1">
        <f t="shared" si="1"/>
        <v>0</v>
      </c>
      <c r="M33" s="1">
        <f t="shared" si="2"/>
        <v>1843.48</v>
      </c>
    </row>
    <row r="34" spans="1:13" x14ac:dyDescent="0.3">
      <c r="A34" t="s">
        <v>1144</v>
      </c>
      <c r="B34" t="s">
        <v>1145</v>
      </c>
      <c r="C34" t="s">
        <v>1081</v>
      </c>
      <c r="D34" t="s">
        <v>24</v>
      </c>
      <c r="E34" s="1">
        <v>516.49</v>
      </c>
      <c r="F34">
        <v>1</v>
      </c>
      <c r="G34">
        <v>0</v>
      </c>
      <c r="H34">
        <v>4</v>
      </c>
      <c r="I34">
        <v>0</v>
      </c>
      <c r="J34">
        <v>0</v>
      </c>
      <c r="K34">
        <f t="shared" si="0"/>
        <v>4</v>
      </c>
      <c r="L34" s="1">
        <f t="shared" si="1"/>
        <v>0</v>
      </c>
      <c r="M34" s="1">
        <f t="shared" si="2"/>
        <v>2065.96</v>
      </c>
    </row>
    <row r="35" spans="1:13" x14ac:dyDescent="0.3">
      <c r="A35" t="s">
        <v>1146</v>
      </c>
      <c r="B35" t="s">
        <v>1147</v>
      </c>
      <c r="C35" t="s">
        <v>1081</v>
      </c>
      <c r="D35" t="s">
        <v>24</v>
      </c>
      <c r="E35" s="1">
        <v>517.79</v>
      </c>
      <c r="F35">
        <v>2</v>
      </c>
      <c r="G35">
        <v>0</v>
      </c>
      <c r="H35">
        <v>9</v>
      </c>
      <c r="I35">
        <v>0</v>
      </c>
      <c r="J35">
        <v>0</v>
      </c>
      <c r="K35">
        <f t="shared" si="0"/>
        <v>9</v>
      </c>
      <c r="L35" s="1">
        <f t="shared" si="1"/>
        <v>0</v>
      </c>
      <c r="M35" s="1">
        <f t="shared" si="2"/>
        <v>4660.1099999999997</v>
      </c>
    </row>
    <row r="36" spans="1:13" x14ac:dyDescent="0.3">
      <c r="A36" t="s">
        <v>1148</v>
      </c>
      <c r="B36" t="s">
        <v>1149</v>
      </c>
      <c r="C36" t="s">
        <v>1081</v>
      </c>
      <c r="D36" t="s">
        <v>24</v>
      </c>
      <c r="E36" s="1">
        <v>706.07</v>
      </c>
      <c r="F36">
        <v>4</v>
      </c>
      <c r="G36">
        <v>0</v>
      </c>
      <c r="H36">
        <v>16</v>
      </c>
      <c r="I36">
        <v>0</v>
      </c>
      <c r="J36">
        <v>0</v>
      </c>
      <c r="K36">
        <f t="shared" si="0"/>
        <v>16</v>
      </c>
      <c r="L36" s="1">
        <f t="shared" si="1"/>
        <v>0</v>
      </c>
      <c r="M36" s="1">
        <f t="shared" si="2"/>
        <v>11297.12</v>
      </c>
    </row>
    <row r="37" spans="1:13" x14ac:dyDescent="0.3">
      <c r="A37" t="s">
        <v>1150</v>
      </c>
      <c r="B37" t="s">
        <v>1151</v>
      </c>
      <c r="C37" t="s">
        <v>1081</v>
      </c>
      <c r="D37" t="s">
        <v>24</v>
      </c>
      <c r="E37" s="1">
        <v>776.68</v>
      </c>
      <c r="F37">
        <v>2</v>
      </c>
      <c r="G37">
        <v>0</v>
      </c>
      <c r="H37">
        <v>12</v>
      </c>
      <c r="I37">
        <v>0</v>
      </c>
      <c r="J37">
        <v>0</v>
      </c>
      <c r="K37">
        <f t="shared" si="0"/>
        <v>12</v>
      </c>
      <c r="L37" s="1">
        <f t="shared" si="1"/>
        <v>0</v>
      </c>
      <c r="M37" s="1">
        <f t="shared" si="2"/>
        <v>9320.16</v>
      </c>
    </row>
    <row r="38" spans="1:13" x14ac:dyDescent="0.3">
      <c r="A38" t="s">
        <v>1152</v>
      </c>
      <c r="B38" t="s">
        <v>1153</v>
      </c>
      <c r="C38" t="s">
        <v>1081</v>
      </c>
      <c r="D38" t="s">
        <v>24</v>
      </c>
      <c r="E38" s="1">
        <v>941.43</v>
      </c>
      <c r="F38">
        <v>4</v>
      </c>
      <c r="G38">
        <v>0</v>
      </c>
      <c r="H38">
        <v>16</v>
      </c>
      <c r="I38">
        <v>0</v>
      </c>
      <c r="J38">
        <v>0</v>
      </c>
      <c r="K38">
        <f t="shared" si="0"/>
        <v>16</v>
      </c>
      <c r="L38" s="1">
        <f t="shared" si="1"/>
        <v>0</v>
      </c>
      <c r="M38" s="1">
        <f t="shared" si="2"/>
        <v>15062.88</v>
      </c>
    </row>
    <row r="39" spans="1:13" x14ac:dyDescent="0.3">
      <c r="A39" t="s">
        <v>1154</v>
      </c>
      <c r="B39" t="s">
        <v>1155</v>
      </c>
      <c r="C39" t="s">
        <v>1081</v>
      </c>
      <c r="D39" t="s">
        <v>24</v>
      </c>
      <c r="E39" s="1">
        <v>1684.24</v>
      </c>
      <c r="F39">
        <v>1</v>
      </c>
      <c r="G39">
        <v>0</v>
      </c>
      <c r="H39">
        <v>5</v>
      </c>
      <c r="I39">
        <v>0</v>
      </c>
      <c r="J39">
        <v>0</v>
      </c>
      <c r="K39">
        <f t="shared" si="0"/>
        <v>5</v>
      </c>
      <c r="L39" s="1">
        <f t="shared" si="1"/>
        <v>0</v>
      </c>
      <c r="M39" s="1">
        <f t="shared" si="2"/>
        <v>8421.2000000000007</v>
      </c>
    </row>
    <row r="40" spans="1:13" x14ac:dyDescent="0.3">
      <c r="A40" t="s">
        <v>1156</v>
      </c>
      <c r="B40" t="s">
        <v>1157</v>
      </c>
      <c r="C40" t="s">
        <v>1081</v>
      </c>
      <c r="D40" t="s">
        <v>24</v>
      </c>
      <c r="E40" s="1">
        <v>10123.17</v>
      </c>
      <c r="F40">
        <v>1</v>
      </c>
      <c r="G40">
        <v>0</v>
      </c>
      <c r="H40">
        <v>3</v>
      </c>
      <c r="I40">
        <v>0</v>
      </c>
      <c r="J40">
        <v>0</v>
      </c>
      <c r="K40">
        <f t="shared" si="0"/>
        <v>3</v>
      </c>
      <c r="L40" s="1">
        <f t="shared" si="1"/>
        <v>0</v>
      </c>
      <c r="M40" s="1">
        <f t="shared" si="2"/>
        <v>30369.510000000002</v>
      </c>
    </row>
    <row r="41" spans="1:13" x14ac:dyDescent="0.3">
      <c r="A41" t="s">
        <v>1158</v>
      </c>
      <c r="B41" t="s">
        <v>1159</v>
      </c>
      <c r="C41" t="s">
        <v>1081</v>
      </c>
      <c r="D41" t="s">
        <v>24</v>
      </c>
      <c r="E41" s="1">
        <v>989.28</v>
      </c>
      <c r="F41">
        <v>1</v>
      </c>
      <c r="G41">
        <v>0</v>
      </c>
      <c r="H41">
        <v>3</v>
      </c>
      <c r="I41">
        <v>0</v>
      </c>
      <c r="J41">
        <v>0</v>
      </c>
      <c r="K41">
        <f t="shared" si="0"/>
        <v>3</v>
      </c>
      <c r="L41" s="1">
        <f t="shared" si="1"/>
        <v>0</v>
      </c>
      <c r="M41" s="1">
        <f t="shared" si="2"/>
        <v>2967.84</v>
      </c>
    </row>
    <row r="42" spans="1:13" x14ac:dyDescent="0.3">
      <c r="A42" t="s">
        <v>1160</v>
      </c>
      <c r="B42" t="s">
        <v>1161</v>
      </c>
      <c r="C42" t="s">
        <v>1081</v>
      </c>
      <c r="D42" t="s">
        <v>24</v>
      </c>
      <c r="E42" s="1">
        <v>3603.38</v>
      </c>
      <c r="F42">
        <v>1</v>
      </c>
      <c r="G42">
        <v>0</v>
      </c>
      <c r="H42">
        <v>2</v>
      </c>
      <c r="I42">
        <v>0</v>
      </c>
      <c r="J42">
        <v>0</v>
      </c>
      <c r="K42">
        <f t="shared" si="0"/>
        <v>2</v>
      </c>
      <c r="L42" s="1">
        <f t="shared" si="1"/>
        <v>0</v>
      </c>
      <c r="M42" s="1">
        <f t="shared" si="2"/>
        <v>7206.76</v>
      </c>
    </row>
    <row r="43" spans="1:13" x14ac:dyDescent="0.3">
      <c r="A43" t="s">
        <v>1162</v>
      </c>
      <c r="B43" t="s">
        <v>1163</v>
      </c>
      <c r="C43" t="s">
        <v>1081</v>
      </c>
      <c r="D43" t="s">
        <v>24</v>
      </c>
      <c r="E43" s="1">
        <v>4569.8599999999997</v>
      </c>
      <c r="F43">
        <v>1</v>
      </c>
      <c r="G43">
        <v>0</v>
      </c>
      <c r="H43">
        <v>2</v>
      </c>
      <c r="I43">
        <v>0</v>
      </c>
      <c r="J43">
        <v>0</v>
      </c>
      <c r="K43">
        <f t="shared" si="0"/>
        <v>2</v>
      </c>
      <c r="L43" s="1">
        <f t="shared" si="1"/>
        <v>0</v>
      </c>
      <c r="M43" s="1">
        <f t="shared" si="2"/>
        <v>9139.7199999999993</v>
      </c>
    </row>
    <row r="44" spans="1:13" x14ac:dyDescent="0.3">
      <c r="A44" t="s">
        <v>1164</v>
      </c>
      <c r="B44" t="s">
        <v>1165</v>
      </c>
      <c r="D44" t="s">
        <v>24</v>
      </c>
      <c r="E44" s="1">
        <v>0</v>
      </c>
      <c r="F44">
        <v>1</v>
      </c>
      <c r="G44">
        <v>0</v>
      </c>
      <c r="H44">
        <v>2</v>
      </c>
      <c r="I44">
        <v>0</v>
      </c>
      <c r="J44">
        <v>0</v>
      </c>
      <c r="K44">
        <f t="shared" si="0"/>
        <v>2</v>
      </c>
      <c r="L44" s="1">
        <f t="shared" si="1"/>
        <v>0</v>
      </c>
      <c r="M44" s="1">
        <f t="shared" si="2"/>
        <v>0</v>
      </c>
    </row>
    <row r="45" spans="1:13" x14ac:dyDescent="0.3">
      <c r="A45" t="s">
        <v>1166</v>
      </c>
      <c r="B45" t="s">
        <v>1167</v>
      </c>
      <c r="C45" t="s">
        <v>1081</v>
      </c>
      <c r="D45" t="s">
        <v>24</v>
      </c>
      <c r="E45" s="1">
        <v>143.08000000000001</v>
      </c>
      <c r="F45">
        <v>1</v>
      </c>
      <c r="G45">
        <v>0</v>
      </c>
      <c r="H45">
        <v>2</v>
      </c>
      <c r="I45">
        <v>0</v>
      </c>
      <c r="J45">
        <v>0</v>
      </c>
      <c r="K45">
        <f t="shared" si="0"/>
        <v>2</v>
      </c>
      <c r="L45" s="1">
        <f t="shared" si="1"/>
        <v>0</v>
      </c>
      <c r="M45" s="1">
        <f t="shared" si="2"/>
        <v>286.16000000000003</v>
      </c>
    </row>
    <row r="46" spans="1:13" x14ac:dyDescent="0.3">
      <c r="A46" t="s">
        <v>1168</v>
      </c>
      <c r="B46" t="s">
        <v>1168</v>
      </c>
      <c r="C46" t="s">
        <v>1081</v>
      </c>
      <c r="D46" t="s">
        <v>24</v>
      </c>
      <c r="E46" s="1">
        <v>361.37</v>
      </c>
      <c r="F46">
        <v>1</v>
      </c>
      <c r="G46">
        <v>0</v>
      </c>
      <c r="H46">
        <v>2</v>
      </c>
      <c r="I46">
        <v>0</v>
      </c>
      <c r="J46">
        <v>0</v>
      </c>
      <c r="K46">
        <f t="shared" si="0"/>
        <v>2</v>
      </c>
      <c r="L46" s="1">
        <f t="shared" si="1"/>
        <v>0</v>
      </c>
      <c r="M46" s="1">
        <f t="shared" si="2"/>
        <v>722.74</v>
      </c>
    </row>
    <row r="47" spans="1:13" x14ac:dyDescent="0.3">
      <c r="A47" t="s">
        <v>48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1169</v>
      </c>
      <c r="B2" t="s">
        <v>1170</v>
      </c>
      <c r="C2" t="s">
        <v>1171</v>
      </c>
      <c r="D2" t="s">
        <v>25</v>
      </c>
      <c r="E2" s="1">
        <v>285</v>
      </c>
      <c r="F2">
        <v>1</v>
      </c>
      <c r="G2">
        <v>0</v>
      </c>
      <c r="H2">
        <v>2</v>
      </c>
      <c r="I2">
        <v>0</v>
      </c>
      <c r="J2">
        <v>0</v>
      </c>
      <c r="K2">
        <f>IF(H2-I2-J2&gt;0,H2-I2-J2,0)</f>
        <v>2</v>
      </c>
      <c r="L2" s="1">
        <f>IFERROR(I2*E2,0)</f>
        <v>0</v>
      </c>
      <c r="M2" s="1">
        <f>IFERROR(K2*E2,0)</f>
        <v>570</v>
      </c>
    </row>
    <row r="3" spans="1:13" x14ac:dyDescent="0.3">
      <c r="A3" t="s">
        <v>1172</v>
      </c>
      <c r="B3" t="s">
        <v>1173</v>
      </c>
      <c r="C3" t="s">
        <v>1171</v>
      </c>
      <c r="D3" t="s">
        <v>25</v>
      </c>
      <c r="E3" s="1">
        <v>1930</v>
      </c>
      <c r="F3">
        <v>1</v>
      </c>
      <c r="G3">
        <v>0</v>
      </c>
      <c r="H3">
        <v>2</v>
      </c>
      <c r="I3">
        <v>0</v>
      </c>
      <c r="J3">
        <v>0</v>
      </c>
      <c r="K3">
        <f>IF(H3-I3-J3&gt;0,H3-I3-J3,0)</f>
        <v>2</v>
      </c>
      <c r="L3" s="1">
        <f>IFERROR(I3*E3,0)</f>
        <v>0</v>
      </c>
      <c r="M3" s="1">
        <f>IFERROR(K3*E3,0)</f>
        <v>3860</v>
      </c>
    </row>
    <row r="4" spans="1:13" x14ac:dyDescent="0.3">
      <c r="A4" t="s">
        <v>48</v>
      </c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1174</v>
      </c>
      <c r="B2" t="s">
        <v>1175</v>
      </c>
      <c r="C2" t="s">
        <v>81</v>
      </c>
      <c r="D2" t="s">
        <v>26</v>
      </c>
      <c r="E2" s="1">
        <v>470.13</v>
      </c>
      <c r="F2">
        <v>1</v>
      </c>
      <c r="G2">
        <v>0</v>
      </c>
      <c r="H2">
        <v>5</v>
      </c>
      <c r="I2">
        <v>0</v>
      </c>
      <c r="J2">
        <v>0</v>
      </c>
      <c r="K2">
        <f t="shared" ref="K2:K16" si="0">IF(H2-I2-J2&gt;0,H2-I2-J2,0)</f>
        <v>5</v>
      </c>
      <c r="L2" s="1">
        <f t="shared" ref="L2:L16" si="1">IFERROR(I2*E2,0)</f>
        <v>0</v>
      </c>
      <c r="M2" s="1">
        <f t="shared" ref="M2:M16" si="2">IFERROR(K2*E2,0)</f>
        <v>2350.65</v>
      </c>
    </row>
    <row r="3" spans="1:13" x14ac:dyDescent="0.3">
      <c r="A3" t="s">
        <v>1176</v>
      </c>
      <c r="B3" t="s">
        <v>1177</v>
      </c>
      <c r="C3" t="s">
        <v>113</v>
      </c>
      <c r="D3" t="s">
        <v>26</v>
      </c>
      <c r="E3" s="1">
        <v>0</v>
      </c>
      <c r="F3">
        <v>12</v>
      </c>
      <c r="G3">
        <v>0</v>
      </c>
      <c r="H3">
        <v>60</v>
      </c>
      <c r="I3">
        <v>0</v>
      </c>
      <c r="J3">
        <v>0</v>
      </c>
      <c r="K3">
        <f t="shared" si="0"/>
        <v>60</v>
      </c>
      <c r="L3" s="1">
        <f t="shared" si="1"/>
        <v>0</v>
      </c>
      <c r="M3" s="1">
        <f t="shared" si="2"/>
        <v>0</v>
      </c>
    </row>
    <row r="4" spans="1:13" x14ac:dyDescent="0.3">
      <c r="A4" t="s">
        <v>1178</v>
      </c>
      <c r="B4" t="s">
        <v>1179</v>
      </c>
      <c r="C4" t="s">
        <v>211</v>
      </c>
      <c r="D4" t="s">
        <v>26</v>
      </c>
      <c r="E4" s="1">
        <v>22.51</v>
      </c>
      <c r="F4">
        <v>8</v>
      </c>
      <c r="G4">
        <v>0</v>
      </c>
      <c r="H4">
        <v>31</v>
      </c>
      <c r="I4">
        <v>0</v>
      </c>
      <c r="J4">
        <v>0</v>
      </c>
      <c r="K4">
        <f t="shared" si="0"/>
        <v>31</v>
      </c>
      <c r="L4" s="1">
        <f t="shared" si="1"/>
        <v>0</v>
      </c>
      <c r="M4" s="1">
        <f t="shared" si="2"/>
        <v>697.81000000000006</v>
      </c>
    </row>
    <row r="5" spans="1:13" x14ac:dyDescent="0.3">
      <c r="A5" t="s">
        <v>1180</v>
      </c>
      <c r="B5" t="s">
        <v>1181</v>
      </c>
      <c r="C5" t="s">
        <v>81</v>
      </c>
      <c r="D5" t="s">
        <v>26</v>
      </c>
      <c r="E5" s="1">
        <v>36.68</v>
      </c>
      <c r="F5">
        <v>7</v>
      </c>
      <c r="G5">
        <v>0</v>
      </c>
      <c r="H5">
        <v>29</v>
      </c>
      <c r="I5">
        <v>0</v>
      </c>
      <c r="J5">
        <v>0</v>
      </c>
      <c r="K5">
        <f t="shared" si="0"/>
        <v>29</v>
      </c>
      <c r="L5" s="1">
        <f t="shared" si="1"/>
        <v>0</v>
      </c>
      <c r="M5" s="1">
        <f t="shared" si="2"/>
        <v>1063.72</v>
      </c>
    </row>
    <row r="6" spans="1:13" x14ac:dyDescent="0.3">
      <c r="A6" t="s">
        <v>1182</v>
      </c>
      <c r="B6" t="s">
        <v>1183</v>
      </c>
      <c r="C6" t="s">
        <v>211</v>
      </c>
      <c r="D6" t="s">
        <v>26</v>
      </c>
      <c r="E6" s="1">
        <v>0</v>
      </c>
      <c r="F6">
        <v>5</v>
      </c>
      <c r="G6">
        <v>0</v>
      </c>
      <c r="H6">
        <v>23</v>
      </c>
      <c r="I6">
        <v>0</v>
      </c>
      <c r="J6">
        <v>0</v>
      </c>
      <c r="K6">
        <f t="shared" si="0"/>
        <v>23</v>
      </c>
      <c r="L6" s="1">
        <f t="shared" si="1"/>
        <v>0</v>
      </c>
      <c r="M6" s="1">
        <f t="shared" si="2"/>
        <v>0</v>
      </c>
    </row>
    <row r="7" spans="1:13" x14ac:dyDescent="0.3">
      <c r="A7" t="s">
        <v>1184</v>
      </c>
      <c r="B7" t="s">
        <v>1185</v>
      </c>
      <c r="C7" t="s">
        <v>113</v>
      </c>
      <c r="D7" t="s">
        <v>26</v>
      </c>
      <c r="E7" s="1">
        <v>0</v>
      </c>
      <c r="F7">
        <v>9</v>
      </c>
      <c r="G7">
        <v>0</v>
      </c>
      <c r="H7">
        <v>45</v>
      </c>
      <c r="I7">
        <v>0</v>
      </c>
      <c r="J7">
        <v>0</v>
      </c>
      <c r="K7">
        <f t="shared" si="0"/>
        <v>45</v>
      </c>
      <c r="L7" s="1">
        <f t="shared" si="1"/>
        <v>0</v>
      </c>
      <c r="M7" s="1">
        <f t="shared" si="2"/>
        <v>0</v>
      </c>
    </row>
    <row r="8" spans="1:13" x14ac:dyDescent="0.3">
      <c r="A8" t="s">
        <v>1186</v>
      </c>
      <c r="B8" t="s">
        <v>1187</v>
      </c>
      <c r="C8" t="s">
        <v>211</v>
      </c>
      <c r="D8" t="s">
        <v>26</v>
      </c>
      <c r="E8" s="1">
        <v>202</v>
      </c>
      <c r="F8">
        <v>7</v>
      </c>
      <c r="G8">
        <v>0</v>
      </c>
      <c r="H8">
        <v>35</v>
      </c>
      <c r="I8">
        <v>0</v>
      </c>
      <c r="J8">
        <v>0</v>
      </c>
      <c r="K8">
        <f t="shared" si="0"/>
        <v>35</v>
      </c>
      <c r="L8" s="1">
        <f t="shared" si="1"/>
        <v>0</v>
      </c>
      <c r="M8" s="1">
        <f t="shared" si="2"/>
        <v>7070</v>
      </c>
    </row>
    <row r="9" spans="1:13" x14ac:dyDescent="0.3">
      <c r="A9" t="s">
        <v>1188</v>
      </c>
      <c r="B9" t="s">
        <v>1189</v>
      </c>
      <c r="C9" t="s">
        <v>81</v>
      </c>
      <c r="D9" t="s">
        <v>26</v>
      </c>
      <c r="E9" s="1">
        <v>0</v>
      </c>
      <c r="F9">
        <v>6</v>
      </c>
      <c r="G9">
        <v>0</v>
      </c>
      <c r="H9">
        <v>24</v>
      </c>
      <c r="I9">
        <v>0</v>
      </c>
      <c r="J9">
        <v>0</v>
      </c>
      <c r="K9">
        <f t="shared" si="0"/>
        <v>24</v>
      </c>
      <c r="L9" s="1">
        <f t="shared" si="1"/>
        <v>0</v>
      </c>
      <c r="M9" s="1">
        <f t="shared" si="2"/>
        <v>0</v>
      </c>
    </row>
    <row r="10" spans="1:13" x14ac:dyDescent="0.3">
      <c r="A10" t="s">
        <v>1190</v>
      </c>
      <c r="B10" t="s">
        <v>1191</v>
      </c>
      <c r="C10" t="s">
        <v>113</v>
      </c>
      <c r="D10" t="s">
        <v>26</v>
      </c>
      <c r="E10" s="1">
        <v>0</v>
      </c>
      <c r="F10">
        <v>14</v>
      </c>
      <c r="G10">
        <v>0</v>
      </c>
      <c r="H10">
        <v>68</v>
      </c>
      <c r="I10">
        <v>0</v>
      </c>
      <c r="J10">
        <v>0</v>
      </c>
      <c r="K10">
        <f t="shared" si="0"/>
        <v>68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1192</v>
      </c>
      <c r="B11" t="s">
        <v>1193</v>
      </c>
      <c r="C11" t="s">
        <v>211</v>
      </c>
      <c r="D11" t="s">
        <v>26</v>
      </c>
      <c r="E11" s="1">
        <v>0</v>
      </c>
      <c r="F11">
        <v>4</v>
      </c>
      <c r="G11">
        <v>0</v>
      </c>
      <c r="H11">
        <v>14</v>
      </c>
      <c r="I11">
        <v>0</v>
      </c>
      <c r="J11">
        <v>0</v>
      </c>
      <c r="K11">
        <f t="shared" si="0"/>
        <v>14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1194</v>
      </c>
      <c r="B12" t="s">
        <v>1195</v>
      </c>
      <c r="C12" t="s">
        <v>113</v>
      </c>
      <c r="D12" t="s">
        <v>26</v>
      </c>
      <c r="E12" s="1">
        <v>0</v>
      </c>
      <c r="F12">
        <v>14</v>
      </c>
      <c r="G12">
        <v>0</v>
      </c>
      <c r="H12">
        <v>68</v>
      </c>
      <c r="I12">
        <v>0</v>
      </c>
      <c r="J12">
        <v>0</v>
      </c>
      <c r="K12">
        <f t="shared" si="0"/>
        <v>68</v>
      </c>
      <c r="L12" s="1">
        <f t="shared" si="1"/>
        <v>0</v>
      </c>
      <c r="M12" s="1">
        <f t="shared" si="2"/>
        <v>0</v>
      </c>
    </row>
    <row r="13" spans="1:13" x14ac:dyDescent="0.3">
      <c r="A13" t="s">
        <v>1196</v>
      </c>
      <c r="B13" t="s">
        <v>1197</v>
      </c>
      <c r="C13" t="s">
        <v>81</v>
      </c>
      <c r="D13" t="s">
        <v>26</v>
      </c>
      <c r="E13" s="1">
        <v>191.49</v>
      </c>
      <c r="F13">
        <v>2</v>
      </c>
      <c r="G13">
        <v>0</v>
      </c>
      <c r="H13">
        <v>10</v>
      </c>
      <c r="I13">
        <v>0</v>
      </c>
      <c r="J13">
        <v>0</v>
      </c>
      <c r="K13">
        <f t="shared" si="0"/>
        <v>10</v>
      </c>
      <c r="L13" s="1">
        <f t="shared" si="1"/>
        <v>0</v>
      </c>
      <c r="M13" s="1">
        <f t="shared" si="2"/>
        <v>1914.9</v>
      </c>
    </row>
    <row r="14" spans="1:13" x14ac:dyDescent="0.3">
      <c r="A14" t="s">
        <v>1198</v>
      </c>
      <c r="B14" t="s">
        <v>1199</v>
      </c>
      <c r="C14" t="s">
        <v>113</v>
      </c>
      <c r="D14" t="s">
        <v>26</v>
      </c>
      <c r="E14" s="1">
        <v>0</v>
      </c>
      <c r="F14">
        <v>11</v>
      </c>
      <c r="G14">
        <v>0</v>
      </c>
      <c r="H14">
        <v>55</v>
      </c>
      <c r="I14">
        <v>0</v>
      </c>
      <c r="J14">
        <v>0</v>
      </c>
      <c r="K14">
        <f t="shared" si="0"/>
        <v>55</v>
      </c>
      <c r="L14" s="1">
        <f t="shared" si="1"/>
        <v>0</v>
      </c>
      <c r="M14" s="1">
        <f t="shared" si="2"/>
        <v>0</v>
      </c>
    </row>
    <row r="15" spans="1:13" x14ac:dyDescent="0.3">
      <c r="A15" t="s">
        <v>1200</v>
      </c>
      <c r="B15" t="s">
        <v>1201</v>
      </c>
      <c r="C15" t="s">
        <v>211</v>
      </c>
      <c r="D15" t="s">
        <v>26</v>
      </c>
      <c r="E15" s="1">
        <v>23.19</v>
      </c>
      <c r="F15">
        <v>2</v>
      </c>
      <c r="G15">
        <v>0</v>
      </c>
      <c r="H15">
        <v>8</v>
      </c>
      <c r="I15">
        <v>0</v>
      </c>
      <c r="J15">
        <v>0</v>
      </c>
      <c r="K15">
        <f t="shared" si="0"/>
        <v>8</v>
      </c>
      <c r="L15" s="1">
        <f t="shared" si="1"/>
        <v>0</v>
      </c>
      <c r="M15" s="1">
        <f t="shared" si="2"/>
        <v>185.52</v>
      </c>
    </row>
    <row r="16" spans="1:13" x14ac:dyDescent="0.3">
      <c r="A16" t="s">
        <v>1202</v>
      </c>
      <c r="B16" t="s">
        <v>1203</v>
      </c>
      <c r="C16" t="s">
        <v>113</v>
      </c>
      <c r="D16" t="s">
        <v>26</v>
      </c>
      <c r="E16" s="1">
        <v>0</v>
      </c>
      <c r="F16">
        <v>8</v>
      </c>
      <c r="G16">
        <v>0</v>
      </c>
      <c r="H16">
        <v>38</v>
      </c>
      <c r="I16">
        <v>0</v>
      </c>
      <c r="J16">
        <v>0</v>
      </c>
      <c r="K16">
        <f t="shared" si="0"/>
        <v>38</v>
      </c>
      <c r="L16" s="1">
        <f t="shared" si="1"/>
        <v>0</v>
      </c>
      <c r="M16" s="1">
        <f t="shared" si="2"/>
        <v>0</v>
      </c>
    </row>
    <row r="17" spans="1:1" x14ac:dyDescent="0.3">
      <c r="A17" t="s">
        <v>48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1204</v>
      </c>
      <c r="B2" t="s">
        <v>1204</v>
      </c>
      <c r="C2" t="s">
        <v>1205</v>
      </c>
      <c r="D2" t="s">
        <v>27</v>
      </c>
      <c r="E2" s="1">
        <v>566.66999999999996</v>
      </c>
      <c r="F2">
        <v>2</v>
      </c>
      <c r="G2">
        <v>0</v>
      </c>
      <c r="H2">
        <v>8</v>
      </c>
      <c r="I2">
        <v>0</v>
      </c>
      <c r="J2">
        <v>0</v>
      </c>
      <c r="K2">
        <f>IF(H2-I2-J2&gt;0,H2-I2-J2,0)</f>
        <v>8</v>
      </c>
      <c r="L2" s="1">
        <f>IFERROR(I2*E2,0)</f>
        <v>0</v>
      </c>
      <c r="M2" s="1">
        <f>IFERROR(K2*E2,0)</f>
        <v>4533.3599999999997</v>
      </c>
    </row>
    <row r="3" spans="1:13" x14ac:dyDescent="0.3">
      <c r="A3" t="s">
        <v>1206</v>
      </c>
      <c r="B3" t="s">
        <v>1207</v>
      </c>
      <c r="C3" t="s">
        <v>1205</v>
      </c>
      <c r="D3" t="s">
        <v>27</v>
      </c>
      <c r="E3" s="1">
        <v>7</v>
      </c>
      <c r="F3">
        <v>100</v>
      </c>
      <c r="G3">
        <v>0</v>
      </c>
      <c r="H3">
        <v>500</v>
      </c>
      <c r="I3">
        <v>0</v>
      </c>
      <c r="J3">
        <v>0</v>
      </c>
      <c r="K3">
        <f>IF(H3-I3-J3&gt;0,H3-I3-J3,0)</f>
        <v>500</v>
      </c>
      <c r="L3" s="1">
        <f>IFERROR(I3*E3,0)</f>
        <v>0</v>
      </c>
      <c r="M3" s="1">
        <f>IFERROR(K3*E3,0)</f>
        <v>3500</v>
      </c>
    </row>
    <row r="4" spans="1:13" x14ac:dyDescent="0.3">
      <c r="A4" t="s">
        <v>1208</v>
      </c>
      <c r="B4" t="s">
        <v>1208</v>
      </c>
      <c r="C4" t="s">
        <v>1205</v>
      </c>
      <c r="D4" t="s">
        <v>27</v>
      </c>
      <c r="E4" s="1">
        <v>100</v>
      </c>
      <c r="F4">
        <v>1</v>
      </c>
      <c r="G4">
        <v>0</v>
      </c>
      <c r="H4">
        <v>2</v>
      </c>
      <c r="I4">
        <v>0</v>
      </c>
      <c r="J4">
        <v>0</v>
      </c>
      <c r="K4">
        <f>IF(H4-I4-J4&gt;0,H4-I4-J4,0)</f>
        <v>2</v>
      </c>
      <c r="L4" s="1">
        <f>IFERROR(I4*E4,0)</f>
        <v>0</v>
      </c>
      <c r="M4" s="1">
        <f>IFERROR(K4*E4,0)</f>
        <v>200</v>
      </c>
    </row>
    <row r="5" spans="1:13" x14ac:dyDescent="0.3">
      <c r="A5" t="s">
        <v>48</v>
      </c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23"/>
  <sheetViews>
    <sheetView workbookViewId="0">
      <pane ySplit="1" topLeftCell="A2" activePane="bottomLeft" state="frozen"/>
      <selection pane="bottomLeft" activeCell="S14" sqref="S14"/>
    </sheetView>
  </sheetViews>
  <sheetFormatPr defaultRowHeight="14.4" x14ac:dyDescent="0.3"/>
  <cols>
    <col min="1" max="1" width="12.44140625" bestFit="1" customWidth="1"/>
    <col min="2" max="2" width="29.77734375" bestFit="1" customWidth="1"/>
    <col min="3" max="3" width="11.88671875" hidden="1" customWidth="1"/>
    <col min="4" max="4" width="11.5546875" hidden="1" customWidth="1"/>
    <col min="5" max="5" width="11.44140625" hidden="1" customWidth="1"/>
    <col min="6" max="6" width="13.6640625" hidden="1" customWidth="1"/>
    <col min="7" max="7" width="20.33203125" hidden="1" customWidth="1"/>
    <col min="8" max="8" width="23" hidden="1" customWidth="1"/>
    <col min="9" max="9" width="14.6640625" bestFit="1" customWidth="1"/>
    <col min="10" max="10" width="10.88671875" hidden="1" customWidth="1"/>
    <col min="11" max="11" width="15.88671875" hidden="1" customWidth="1"/>
    <col min="12" max="12" width="13.109375" hidden="1" customWidth="1"/>
    <col min="13" max="13" width="13.21875" hidden="1" customWidth="1"/>
  </cols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1209</v>
      </c>
      <c r="B2" t="s">
        <v>1210</v>
      </c>
      <c r="C2" t="s">
        <v>300</v>
      </c>
      <c r="D2" t="s">
        <v>28</v>
      </c>
      <c r="E2" s="1">
        <v>1149.3800000000001</v>
      </c>
      <c r="F2">
        <v>2</v>
      </c>
      <c r="G2">
        <v>0</v>
      </c>
      <c r="H2">
        <v>6</v>
      </c>
      <c r="J2">
        <v>6</v>
      </c>
      <c r="K2">
        <f t="shared" ref="K2:K22" si="0">IF(H2-I2-J2&gt;0,H2-I2-J2,0)</f>
        <v>0</v>
      </c>
      <c r="L2" s="1">
        <f t="shared" ref="L2:L22" si="1">IFERROR(I2*E2,0)</f>
        <v>0</v>
      </c>
      <c r="M2" s="1">
        <f t="shared" ref="M2:M22" si="2">IFERROR(K2*E2,0)</f>
        <v>0</v>
      </c>
    </row>
    <row r="3" spans="1:13" x14ac:dyDescent="0.3">
      <c r="A3" t="s">
        <v>1211</v>
      </c>
      <c r="B3" t="s">
        <v>1212</v>
      </c>
      <c r="C3" t="s">
        <v>300</v>
      </c>
      <c r="D3" t="s">
        <v>28</v>
      </c>
      <c r="E3" s="1">
        <v>1207.6500000000001</v>
      </c>
      <c r="F3">
        <v>2</v>
      </c>
      <c r="G3">
        <v>0</v>
      </c>
      <c r="H3">
        <v>8</v>
      </c>
      <c r="J3">
        <v>0</v>
      </c>
      <c r="K3">
        <f t="shared" si="0"/>
        <v>8</v>
      </c>
      <c r="L3" s="1">
        <f t="shared" si="1"/>
        <v>0</v>
      </c>
      <c r="M3" s="1">
        <f t="shared" si="2"/>
        <v>9661.2000000000007</v>
      </c>
    </row>
    <row r="4" spans="1:13" x14ac:dyDescent="0.3">
      <c r="A4" t="s">
        <v>1213</v>
      </c>
      <c r="B4" t="s">
        <v>1214</v>
      </c>
      <c r="C4" t="s">
        <v>300</v>
      </c>
      <c r="D4" t="s">
        <v>28</v>
      </c>
      <c r="E4" s="1">
        <v>1251.8900000000001</v>
      </c>
      <c r="F4">
        <v>2</v>
      </c>
      <c r="G4">
        <v>0</v>
      </c>
      <c r="H4">
        <v>7</v>
      </c>
      <c r="J4">
        <v>10</v>
      </c>
      <c r="K4">
        <f t="shared" si="0"/>
        <v>0</v>
      </c>
      <c r="L4" s="1">
        <f t="shared" si="1"/>
        <v>0</v>
      </c>
      <c r="M4" s="1">
        <f t="shared" si="2"/>
        <v>0</v>
      </c>
    </row>
    <row r="5" spans="1:13" x14ac:dyDescent="0.3">
      <c r="A5" t="s">
        <v>1215</v>
      </c>
      <c r="B5" t="s">
        <v>1216</v>
      </c>
      <c r="C5" t="s">
        <v>300</v>
      </c>
      <c r="D5" t="s">
        <v>28</v>
      </c>
      <c r="E5" s="1">
        <v>1304.81</v>
      </c>
      <c r="F5">
        <v>3</v>
      </c>
      <c r="G5">
        <v>0</v>
      </c>
      <c r="H5">
        <v>9</v>
      </c>
      <c r="J5">
        <v>10</v>
      </c>
      <c r="K5">
        <f t="shared" si="0"/>
        <v>0</v>
      </c>
      <c r="L5" s="1">
        <f t="shared" si="1"/>
        <v>0</v>
      </c>
      <c r="M5" s="1">
        <f t="shared" si="2"/>
        <v>0</v>
      </c>
    </row>
    <row r="6" spans="1:13" x14ac:dyDescent="0.3">
      <c r="A6" t="s">
        <v>1217</v>
      </c>
      <c r="B6" t="s">
        <v>1218</v>
      </c>
      <c r="C6" t="s">
        <v>300</v>
      </c>
      <c r="D6" t="s">
        <v>28</v>
      </c>
      <c r="E6" s="1">
        <v>1539.27</v>
      </c>
      <c r="F6">
        <v>2</v>
      </c>
      <c r="G6">
        <v>0</v>
      </c>
      <c r="H6">
        <v>9</v>
      </c>
      <c r="J6">
        <v>0</v>
      </c>
      <c r="K6">
        <f t="shared" si="0"/>
        <v>9</v>
      </c>
      <c r="L6" s="1">
        <f t="shared" si="1"/>
        <v>0</v>
      </c>
      <c r="M6" s="1">
        <f t="shared" si="2"/>
        <v>13853.43</v>
      </c>
    </row>
    <row r="7" spans="1:13" x14ac:dyDescent="0.3">
      <c r="A7" t="s">
        <v>1219</v>
      </c>
      <c r="B7" t="s">
        <v>1220</v>
      </c>
      <c r="C7" t="s">
        <v>300</v>
      </c>
      <c r="D7" t="s">
        <v>28</v>
      </c>
      <c r="E7" s="1">
        <v>1590.52</v>
      </c>
      <c r="F7">
        <v>1</v>
      </c>
      <c r="G7">
        <v>0</v>
      </c>
      <c r="H7">
        <v>4</v>
      </c>
      <c r="J7">
        <v>2</v>
      </c>
      <c r="K7">
        <f t="shared" si="0"/>
        <v>2</v>
      </c>
      <c r="L7" s="1">
        <f t="shared" si="1"/>
        <v>0</v>
      </c>
      <c r="M7" s="1">
        <f t="shared" si="2"/>
        <v>3181.04</v>
      </c>
    </row>
    <row r="8" spans="1:13" x14ac:dyDescent="0.3">
      <c r="A8" t="s">
        <v>1221</v>
      </c>
      <c r="B8" t="s">
        <v>1222</v>
      </c>
      <c r="C8" t="s">
        <v>300</v>
      </c>
      <c r="D8" t="s">
        <v>28</v>
      </c>
      <c r="E8" s="1">
        <v>1445.96</v>
      </c>
      <c r="F8">
        <v>3</v>
      </c>
      <c r="G8">
        <v>0</v>
      </c>
      <c r="H8">
        <v>9</v>
      </c>
      <c r="J8">
        <v>6</v>
      </c>
      <c r="K8">
        <f t="shared" si="0"/>
        <v>3</v>
      </c>
      <c r="L8" s="1">
        <f t="shared" si="1"/>
        <v>0</v>
      </c>
      <c r="M8" s="1">
        <f t="shared" si="2"/>
        <v>4337.88</v>
      </c>
    </row>
    <row r="9" spans="1:13" x14ac:dyDescent="0.3">
      <c r="A9" t="s">
        <v>1223</v>
      </c>
      <c r="B9" t="s">
        <v>1224</v>
      </c>
      <c r="C9" t="s">
        <v>300</v>
      </c>
      <c r="D9" t="s">
        <v>28</v>
      </c>
      <c r="E9" s="1">
        <v>1726.71</v>
      </c>
      <c r="F9">
        <v>1</v>
      </c>
      <c r="G9">
        <v>0</v>
      </c>
      <c r="H9">
        <v>4</v>
      </c>
      <c r="J9">
        <v>8</v>
      </c>
      <c r="K9">
        <f t="shared" si="0"/>
        <v>0</v>
      </c>
      <c r="L9" s="1">
        <f t="shared" si="1"/>
        <v>0</v>
      </c>
      <c r="M9" s="1">
        <f t="shared" si="2"/>
        <v>0</v>
      </c>
    </row>
    <row r="10" spans="1:13" x14ac:dyDescent="0.3">
      <c r="A10" t="s">
        <v>1225</v>
      </c>
      <c r="B10" t="s">
        <v>1226</v>
      </c>
      <c r="C10" t="s">
        <v>300</v>
      </c>
      <c r="D10" t="s">
        <v>28</v>
      </c>
      <c r="E10" s="1">
        <v>1751.92</v>
      </c>
      <c r="F10">
        <v>2</v>
      </c>
      <c r="G10">
        <v>0</v>
      </c>
      <c r="H10">
        <v>9</v>
      </c>
      <c r="J10">
        <v>15</v>
      </c>
      <c r="K10">
        <f t="shared" si="0"/>
        <v>0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1227</v>
      </c>
      <c r="B11" t="s">
        <v>1228</v>
      </c>
      <c r="C11" t="s">
        <v>300</v>
      </c>
      <c r="D11" t="s">
        <v>28</v>
      </c>
      <c r="E11" s="1">
        <v>1902.15</v>
      </c>
      <c r="F11">
        <v>1</v>
      </c>
      <c r="G11">
        <v>0</v>
      </c>
      <c r="H11">
        <v>3</v>
      </c>
      <c r="J11">
        <v>5</v>
      </c>
      <c r="K11">
        <f t="shared" si="0"/>
        <v>0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1229</v>
      </c>
      <c r="B12" t="s">
        <v>1230</v>
      </c>
      <c r="C12" t="s">
        <v>300</v>
      </c>
      <c r="D12" t="s">
        <v>28</v>
      </c>
      <c r="E12" s="1">
        <v>2747.74</v>
      </c>
      <c r="F12">
        <v>3</v>
      </c>
      <c r="G12">
        <v>0</v>
      </c>
      <c r="H12">
        <v>9</v>
      </c>
      <c r="J12">
        <v>15</v>
      </c>
      <c r="K12">
        <f t="shared" si="0"/>
        <v>0</v>
      </c>
      <c r="L12" s="1">
        <f t="shared" si="1"/>
        <v>0</v>
      </c>
      <c r="M12" s="1">
        <f t="shared" si="2"/>
        <v>0</v>
      </c>
    </row>
    <row r="13" spans="1:13" x14ac:dyDescent="0.3">
      <c r="A13" t="s">
        <v>1231</v>
      </c>
      <c r="B13" t="s">
        <v>1232</v>
      </c>
      <c r="C13" t="s">
        <v>300</v>
      </c>
      <c r="D13" t="s">
        <v>28</v>
      </c>
      <c r="E13" s="1">
        <v>2225.5300000000002</v>
      </c>
      <c r="F13">
        <v>2</v>
      </c>
      <c r="G13">
        <v>0</v>
      </c>
      <c r="H13">
        <v>5</v>
      </c>
      <c r="J13">
        <v>8</v>
      </c>
      <c r="K13">
        <f t="shared" si="0"/>
        <v>0</v>
      </c>
      <c r="L13" s="1">
        <f t="shared" si="1"/>
        <v>0</v>
      </c>
      <c r="M13" s="1">
        <f t="shared" si="2"/>
        <v>0</v>
      </c>
    </row>
    <row r="14" spans="1:13" x14ac:dyDescent="0.3">
      <c r="A14" t="s">
        <v>1233</v>
      </c>
      <c r="B14" t="s">
        <v>1234</v>
      </c>
      <c r="C14" t="s">
        <v>300</v>
      </c>
      <c r="D14" t="s">
        <v>28</v>
      </c>
      <c r="E14" s="1">
        <v>2652.15</v>
      </c>
      <c r="F14">
        <v>3</v>
      </c>
      <c r="G14">
        <v>0</v>
      </c>
      <c r="H14">
        <v>10</v>
      </c>
      <c r="J14">
        <v>20</v>
      </c>
      <c r="K14">
        <f t="shared" si="0"/>
        <v>0</v>
      </c>
      <c r="L14" s="1">
        <f t="shared" si="1"/>
        <v>0</v>
      </c>
      <c r="M14" s="1">
        <f t="shared" si="2"/>
        <v>0</v>
      </c>
    </row>
    <row r="15" spans="1:13" x14ac:dyDescent="0.3">
      <c r="A15" t="s">
        <v>1235</v>
      </c>
      <c r="B15" t="s">
        <v>1236</v>
      </c>
      <c r="C15" t="s">
        <v>300</v>
      </c>
      <c r="D15" t="s">
        <v>28</v>
      </c>
      <c r="E15" s="1">
        <v>3047.61</v>
      </c>
      <c r="F15">
        <v>1</v>
      </c>
      <c r="G15">
        <v>0</v>
      </c>
      <c r="H15">
        <v>3</v>
      </c>
      <c r="J15">
        <v>3</v>
      </c>
      <c r="K15">
        <f t="shared" si="0"/>
        <v>0</v>
      </c>
      <c r="L15" s="1">
        <f t="shared" si="1"/>
        <v>0</v>
      </c>
      <c r="M15" s="1">
        <f t="shared" si="2"/>
        <v>0</v>
      </c>
    </row>
    <row r="16" spans="1:13" x14ac:dyDescent="0.3">
      <c r="A16" t="s">
        <v>1237</v>
      </c>
      <c r="B16" t="s">
        <v>1238</v>
      </c>
      <c r="C16" t="s">
        <v>300</v>
      </c>
      <c r="D16" t="s">
        <v>28</v>
      </c>
      <c r="E16" s="1">
        <v>3012.02</v>
      </c>
      <c r="F16">
        <v>3</v>
      </c>
      <c r="G16">
        <v>0</v>
      </c>
      <c r="H16">
        <v>9</v>
      </c>
      <c r="J16">
        <v>6</v>
      </c>
      <c r="K16">
        <f t="shared" si="0"/>
        <v>3</v>
      </c>
      <c r="L16" s="1">
        <f t="shared" si="1"/>
        <v>0</v>
      </c>
      <c r="M16" s="1">
        <f t="shared" si="2"/>
        <v>9036.06</v>
      </c>
    </row>
    <row r="17" spans="1:13" x14ac:dyDescent="0.3">
      <c r="A17" t="s">
        <v>1239</v>
      </c>
      <c r="B17" t="s">
        <v>1240</v>
      </c>
      <c r="C17" t="s">
        <v>300</v>
      </c>
      <c r="D17" t="s">
        <v>28</v>
      </c>
      <c r="E17" s="1">
        <v>3644.75</v>
      </c>
      <c r="F17">
        <v>1</v>
      </c>
      <c r="G17">
        <v>0</v>
      </c>
      <c r="H17">
        <v>5</v>
      </c>
      <c r="J17">
        <v>12</v>
      </c>
      <c r="K17">
        <f t="shared" si="0"/>
        <v>0</v>
      </c>
      <c r="L17" s="1">
        <f t="shared" si="1"/>
        <v>0</v>
      </c>
      <c r="M17" s="1">
        <f t="shared" si="2"/>
        <v>0</v>
      </c>
    </row>
    <row r="18" spans="1:13" x14ac:dyDescent="0.3">
      <c r="A18" t="s">
        <v>1241</v>
      </c>
      <c r="B18" t="s">
        <v>1242</v>
      </c>
      <c r="C18" t="s">
        <v>300</v>
      </c>
      <c r="D18" t="s">
        <v>28</v>
      </c>
      <c r="E18" s="1">
        <v>4017.1</v>
      </c>
      <c r="F18">
        <v>3</v>
      </c>
      <c r="G18">
        <v>0</v>
      </c>
      <c r="H18">
        <v>9</v>
      </c>
      <c r="J18">
        <v>8</v>
      </c>
      <c r="K18">
        <f t="shared" si="0"/>
        <v>1</v>
      </c>
      <c r="L18" s="1">
        <f t="shared" si="1"/>
        <v>0</v>
      </c>
      <c r="M18" s="1">
        <f t="shared" si="2"/>
        <v>4017.1</v>
      </c>
    </row>
    <row r="19" spans="1:13" x14ac:dyDescent="0.3">
      <c r="A19" t="s">
        <v>1243</v>
      </c>
      <c r="B19" t="s">
        <v>1244</v>
      </c>
      <c r="C19" t="s">
        <v>1171</v>
      </c>
      <c r="D19" t="s">
        <v>28</v>
      </c>
      <c r="E19" s="1">
        <v>5386.44</v>
      </c>
      <c r="F19">
        <v>1</v>
      </c>
      <c r="G19">
        <v>0</v>
      </c>
      <c r="H19">
        <v>3</v>
      </c>
      <c r="J19">
        <v>0</v>
      </c>
      <c r="K19">
        <f t="shared" si="0"/>
        <v>3</v>
      </c>
      <c r="L19" s="1">
        <f t="shared" si="1"/>
        <v>0</v>
      </c>
      <c r="M19" s="1">
        <f t="shared" si="2"/>
        <v>16159.32</v>
      </c>
    </row>
    <row r="20" spans="1:13" x14ac:dyDescent="0.3">
      <c r="A20" t="s">
        <v>1245</v>
      </c>
      <c r="B20" t="s">
        <v>1246</v>
      </c>
      <c r="C20" t="s">
        <v>300</v>
      </c>
      <c r="D20" t="s">
        <v>28</v>
      </c>
      <c r="E20" s="1">
        <v>4902.91</v>
      </c>
      <c r="F20">
        <v>1</v>
      </c>
      <c r="G20">
        <v>0</v>
      </c>
      <c r="H20">
        <v>3</v>
      </c>
      <c r="J20">
        <v>6</v>
      </c>
      <c r="K20">
        <f t="shared" si="0"/>
        <v>0</v>
      </c>
      <c r="L20" s="1">
        <f t="shared" si="1"/>
        <v>0</v>
      </c>
      <c r="M20" s="1">
        <f t="shared" si="2"/>
        <v>0</v>
      </c>
    </row>
    <row r="21" spans="1:13" x14ac:dyDescent="0.3">
      <c r="A21" t="s">
        <v>1247</v>
      </c>
      <c r="B21" t="s">
        <v>1248</v>
      </c>
      <c r="C21" t="s">
        <v>300</v>
      </c>
      <c r="D21" t="s">
        <v>28</v>
      </c>
      <c r="E21" s="1">
        <v>2722.8</v>
      </c>
      <c r="F21">
        <v>4</v>
      </c>
      <c r="G21">
        <v>0</v>
      </c>
      <c r="H21">
        <v>14</v>
      </c>
      <c r="J21">
        <v>0</v>
      </c>
      <c r="K21">
        <f t="shared" si="0"/>
        <v>14</v>
      </c>
      <c r="L21" s="1">
        <f t="shared" si="1"/>
        <v>0</v>
      </c>
      <c r="M21" s="1">
        <f t="shared" si="2"/>
        <v>38119.200000000004</v>
      </c>
    </row>
    <row r="22" spans="1:13" x14ac:dyDescent="0.3">
      <c r="A22" t="s">
        <v>1249</v>
      </c>
      <c r="B22" t="s">
        <v>1250</v>
      </c>
      <c r="C22" t="s">
        <v>300</v>
      </c>
      <c r="D22" t="s">
        <v>28</v>
      </c>
      <c r="E22" s="1">
        <v>5434.17</v>
      </c>
      <c r="F22">
        <v>1</v>
      </c>
      <c r="G22">
        <v>0</v>
      </c>
      <c r="H22">
        <v>3</v>
      </c>
      <c r="J22">
        <v>0</v>
      </c>
      <c r="K22">
        <f t="shared" si="0"/>
        <v>3</v>
      </c>
      <c r="L22" s="1">
        <f t="shared" si="1"/>
        <v>0</v>
      </c>
      <c r="M22" s="1">
        <f t="shared" si="2"/>
        <v>16302.51</v>
      </c>
    </row>
    <row r="23" spans="1:13" x14ac:dyDescent="0.3">
      <c r="A23" t="s">
        <v>48</v>
      </c>
      <c r="F23">
        <f>SUBTOTAL(109,cat_FMMOTOR[Safety Stock])</f>
        <v>42</v>
      </c>
      <c r="H23">
        <f>SUBTOTAL(109,cat_FMMOTOR[Maximum Stock (MAX)])</f>
        <v>141</v>
      </c>
      <c r="K23">
        <f>SUBTOTAL(109,cat_FMMOTOR[Order Quantity])</f>
        <v>46</v>
      </c>
      <c r="L23">
        <f>SUBTOTAL(109,cat_FMMOTOR[Stock Value])</f>
        <v>0</v>
      </c>
      <c r="M23">
        <f>SUBTOTAL(109,cat_FMMOTOR[Order Value])</f>
        <v>114667.74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34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2.88671875" bestFit="1" customWidth="1"/>
    <col min="2" max="2" width="47.6640625" bestFit="1" customWidth="1"/>
    <col min="3" max="3" width="37.21875" bestFit="1" customWidth="1"/>
    <col min="4" max="4" width="12.6640625" bestFit="1" customWidth="1"/>
    <col min="5" max="5" width="11.44140625" bestFit="1" customWidth="1"/>
    <col min="6" max="6" width="13.6640625" bestFit="1" customWidth="1"/>
    <col min="7" max="7" width="20.33203125" bestFit="1" customWidth="1"/>
    <col min="8" max="8" width="23" bestFit="1" customWidth="1"/>
    <col min="9" max="9" width="14.6640625" bestFit="1" customWidth="1"/>
    <col min="10" max="10" width="10.88671875" bestFit="1" customWidth="1"/>
    <col min="11" max="11" width="15.88671875" bestFit="1" customWidth="1"/>
    <col min="12" max="12" width="13.109375" bestFit="1" customWidth="1"/>
    <col min="13" max="13" width="13.21875" bestFit="1" customWidth="1"/>
  </cols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1251</v>
      </c>
      <c r="B2" t="s">
        <v>1252</v>
      </c>
      <c r="D2" t="s">
        <v>29</v>
      </c>
      <c r="E2" s="1">
        <v>0</v>
      </c>
      <c r="F2">
        <v>1</v>
      </c>
      <c r="G2">
        <v>0</v>
      </c>
      <c r="H2">
        <v>2</v>
      </c>
      <c r="I2">
        <v>0</v>
      </c>
      <c r="J2">
        <v>0</v>
      </c>
      <c r="K2">
        <f t="shared" ref="K2:K33" si="0">IF(H2-I2-J2&gt;0,H2-I2-J2,0)</f>
        <v>2</v>
      </c>
      <c r="L2" s="1">
        <f t="shared" ref="L2:L33" si="1">IFERROR(I2*E2,0)</f>
        <v>0</v>
      </c>
      <c r="M2" s="1">
        <f t="shared" ref="M2:M33" si="2">IFERROR(K2*E2,0)</f>
        <v>0</v>
      </c>
    </row>
    <row r="3" spans="1:13" x14ac:dyDescent="0.3">
      <c r="A3" t="s">
        <v>1253</v>
      </c>
      <c r="B3" t="s">
        <v>1254</v>
      </c>
      <c r="D3" t="s">
        <v>29</v>
      </c>
      <c r="E3" s="1">
        <v>0</v>
      </c>
      <c r="F3">
        <v>1</v>
      </c>
      <c r="G3">
        <v>0</v>
      </c>
      <c r="H3">
        <v>2</v>
      </c>
      <c r="I3">
        <v>0</v>
      </c>
      <c r="J3">
        <v>0</v>
      </c>
      <c r="K3">
        <f t="shared" si="0"/>
        <v>2</v>
      </c>
      <c r="L3" s="1">
        <f t="shared" si="1"/>
        <v>0</v>
      </c>
      <c r="M3" s="1">
        <f t="shared" si="2"/>
        <v>0</v>
      </c>
    </row>
    <row r="4" spans="1:13" x14ac:dyDescent="0.3">
      <c r="A4" t="s">
        <v>1255</v>
      </c>
      <c r="B4" t="s">
        <v>1256</v>
      </c>
      <c r="D4" t="s">
        <v>29</v>
      </c>
      <c r="E4" s="1">
        <v>0</v>
      </c>
      <c r="F4">
        <v>1</v>
      </c>
      <c r="G4">
        <v>0</v>
      </c>
      <c r="H4">
        <v>2</v>
      </c>
      <c r="I4">
        <v>0</v>
      </c>
      <c r="J4">
        <v>0</v>
      </c>
      <c r="K4">
        <f t="shared" si="0"/>
        <v>2</v>
      </c>
      <c r="L4" s="1">
        <f t="shared" si="1"/>
        <v>0</v>
      </c>
      <c r="M4" s="1">
        <f t="shared" si="2"/>
        <v>0</v>
      </c>
    </row>
    <row r="5" spans="1:13" x14ac:dyDescent="0.3">
      <c r="A5" t="s">
        <v>1257</v>
      </c>
      <c r="B5" t="s">
        <v>1258</v>
      </c>
      <c r="C5" t="s">
        <v>1259</v>
      </c>
      <c r="D5" t="s">
        <v>29</v>
      </c>
      <c r="E5" s="1">
        <v>3222</v>
      </c>
      <c r="F5">
        <v>1</v>
      </c>
      <c r="G5">
        <v>0</v>
      </c>
      <c r="H5">
        <v>3</v>
      </c>
      <c r="I5">
        <v>0</v>
      </c>
      <c r="J5">
        <v>0</v>
      </c>
      <c r="K5">
        <f t="shared" si="0"/>
        <v>3</v>
      </c>
      <c r="L5" s="1">
        <f t="shared" si="1"/>
        <v>0</v>
      </c>
      <c r="M5" s="1">
        <f t="shared" si="2"/>
        <v>9666</v>
      </c>
    </row>
    <row r="6" spans="1:13" x14ac:dyDescent="0.3">
      <c r="A6" t="s">
        <v>1260</v>
      </c>
      <c r="B6" t="s">
        <v>1261</v>
      </c>
      <c r="D6" t="s">
        <v>29</v>
      </c>
      <c r="E6" s="1">
        <v>0</v>
      </c>
      <c r="F6">
        <v>1</v>
      </c>
      <c r="G6">
        <v>0</v>
      </c>
      <c r="H6">
        <v>2</v>
      </c>
      <c r="I6">
        <v>0</v>
      </c>
      <c r="J6">
        <v>0</v>
      </c>
      <c r="K6">
        <f t="shared" si="0"/>
        <v>2</v>
      </c>
      <c r="L6" s="1">
        <f t="shared" si="1"/>
        <v>0</v>
      </c>
      <c r="M6" s="1">
        <f t="shared" si="2"/>
        <v>0</v>
      </c>
    </row>
    <row r="7" spans="1:13" x14ac:dyDescent="0.3">
      <c r="A7" t="s">
        <v>1262</v>
      </c>
      <c r="B7" t="s">
        <v>1263</v>
      </c>
      <c r="C7" t="s">
        <v>1259</v>
      </c>
      <c r="D7" t="s">
        <v>29</v>
      </c>
      <c r="E7" s="1">
        <v>2705.32</v>
      </c>
      <c r="F7">
        <v>1</v>
      </c>
      <c r="G7">
        <v>0</v>
      </c>
      <c r="H7">
        <v>2</v>
      </c>
      <c r="I7">
        <v>0</v>
      </c>
      <c r="J7">
        <v>0</v>
      </c>
      <c r="K7">
        <f t="shared" si="0"/>
        <v>2</v>
      </c>
      <c r="L7" s="1">
        <f t="shared" si="1"/>
        <v>0</v>
      </c>
      <c r="M7" s="1">
        <f t="shared" si="2"/>
        <v>5410.64</v>
      </c>
    </row>
    <row r="8" spans="1:13" x14ac:dyDescent="0.3">
      <c r="A8" t="s">
        <v>1264</v>
      </c>
      <c r="B8" t="s">
        <v>1265</v>
      </c>
      <c r="C8" t="s">
        <v>1266</v>
      </c>
      <c r="D8" t="s">
        <v>29</v>
      </c>
      <c r="E8" s="1">
        <v>4085.58</v>
      </c>
      <c r="F8">
        <v>1</v>
      </c>
      <c r="G8">
        <v>0</v>
      </c>
      <c r="H8">
        <v>2</v>
      </c>
      <c r="I8">
        <v>0</v>
      </c>
      <c r="J8">
        <v>0</v>
      </c>
      <c r="K8">
        <f t="shared" si="0"/>
        <v>2</v>
      </c>
      <c r="L8" s="1">
        <f t="shared" si="1"/>
        <v>0</v>
      </c>
      <c r="M8" s="1">
        <f t="shared" si="2"/>
        <v>8171.16</v>
      </c>
    </row>
    <row r="9" spans="1:13" x14ac:dyDescent="0.3">
      <c r="A9" t="s">
        <v>1267</v>
      </c>
      <c r="B9" t="s">
        <v>1268</v>
      </c>
      <c r="D9" t="s">
        <v>29</v>
      </c>
      <c r="E9" s="1">
        <v>0</v>
      </c>
      <c r="F9">
        <v>1</v>
      </c>
      <c r="G9">
        <v>0</v>
      </c>
      <c r="H9">
        <v>2</v>
      </c>
      <c r="I9">
        <v>0</v>
      </c>
      <c r="J9">
        <v>0</v>
      </c>
      <c r="K9">
        <f t="shared" si="0"/>
        <v>2</v>
      </c>
      <c r="L9" s="1">
        <f t="shared" si="1"/>
        <v>0</v>
      </c>
      <c r="M9" s="1">
        <f t="shared" si="2"/>
        <v>0</v>
      </c>
    </row>
    <row r="10" spans="1:13" x14ac:dyDescent="0.3">
      <c r="A10" t="s">
        <v>1269</v>
      </c>
      <c r="B10" t="s">
        <v>1270</v>
      </c>
      <c r="C10" t="s">
        <v>1271</v>
      </c>
      <c r="D10" t="s">
        <v>29</v>
      </c>
      <c r="E10" s="1">
        <v>3665</v>
      </c>
      <c r="F10">
        <v>1</v>
      </c>
      <c r="G10">
        <v>0</v>
      </c>
      <c r="H10">
        <v>3</v>
      </c>
      <c r="I10">
        <v>0</v>
      </c>
      <c r="J10">
        <v>0</v>
      </c>
      <c r="K10">
        <f t="shared" si="0"/>
        <v>3</v>
      </c>
      <c r="L10" s="1">
        <f t="shared" si="1"/>
        <v>0</v>
      </c>
      <c r="M10" s="1">
        <f t="shared" si="2"/>
        <v>10995</v>
      </c>
    </row>
    <row r="11" spans="1:13" x14ac:dyDescent="0.3">
      <c r="A11" t="s">
        <v>1272</v>
      </c>
      <c r="B11" t="s">
        <v>1273</v>
      </c>
      <c r="D11" t="s">
        <v>29</v>
      </c>
      <c r="E11" s="1">
        <v>0</v>
      </c>
      <c r="F11">
        <v>1</v>
      </c>
      <c r="G11">
        <v>0</v>
      </c>
      <c r="H11">
        <v>5</v>
      </c>
      <c r="I11">
        <v>0</v>
      </c>
      <c r="J11">
        <v>0</v>
      </c>
      <c r="K11">
        <f t="shared" si="0"/>
        <v>5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1274</v>
      </c>
      <c r="B12" t="s">
        <v>1275</v>
      </c>
      <c r="D12" t="s">
        <v>29</v>
      </c>
      <c r="E12" s="1">
        <v>0</v>
      </c>
      <c r="F12">
        <v>1</v>
      </c>
      <c r="G12">
        <v>0</v>
      </c>
      <c r="H12">
        <v>2</v>
      </c>
      <c r="I12">
        <v>0</v>
      </c>
      <c r="J12">
        <v>0</v>
      </c>
      <c r="K12">
        <f t="shared" si="0"/>
        <v>2</v>
      </c>
      <c r="L12" s="1">
        <f t="shared" si="1"/>
        <v>0</v>
      </c>
      <c r="M12" s="1">
        <f t="shared" si="2"/>
        <v>0</v>
      </c>
    </row>
    <row r="13" spans="1:13" x14ac:dyDescent="0.3">
      <c r="A13" t="s">
        <v>1276</v>
      </c>
      <c r="B13" t="s">
        <v>1277</v>
      </c>
      <c r="D13" t="s">
        <v>29</v>
      </c>
      <c r="E13" s="1">
        <v>0</v>
      </c>
      <c r="F13">
        <v>1</v>
      </c>
      <c r="G13">
        <v>0</v>
      </c>
      <c r="H13">
        <v>2</v>
      </c>
      <c r="I13">
        <v>0</v>
      </c>
      <c r="J13">
        <v>0</v>
      </c>
      <c r="K13">
        <f t="shared" si="0"/>
        <v>2</v>
      </c>
      <c r="L13" s="1">
        <f t="shared" si="1"/>
        <v>0</v>
      </c>
      <c r="M13" s="1">
        <f t="shared" si="2"/>
        <v>0</v>
      </c>
    </row>
    <row r="14" spans="1:13" x14ac:dyDescent="0.3">
      <c r="A14" t="s">
        <v>1278</v>
      </c>
      <c r="B14" t="s">
        <v>1279</v>
      </c>
      <c r="D14" t="s">
        <v>29</v>
      </c>
      <c r="E14" s="1">
        <v>0</v>
      </c>
      <c r="F14">
        <v>1</v>
      </c>
      <c r="G14">
        <v>0</v>
      </c>
      <c r="H14">
        <v>2</v>
      </c>
      <c r="I14">
        <v>0</v>
      </c>
      <c r="J14">
        <v>0</v>
      </c>
      <c r="K14">
        <f t="shared" si="0"/>
        <v>2</v>
      </c>
      <c r="L14" s="1">
        <f t="shared" si="1"/>
        <v>0</v>
      </c>
      <c r="M14" s="1">
        <f t="shared" si="2"/>
        <v>0</v>
      </c>
    </row>
    <row r="15" spans="1:13" x14ac:dyDescent="0.3">
      <c r="A15" t="s">
        <v>1280</v>
      </c>
      <c r="B15" t="s">
        <v>1281</v>
      </c>
      <c r="D15" t="s">
        <v>29</v>
      </c>
      <c r="E15" s="1">
        <v>0</v>
      </c>
      <c r="F15">
        <v>1</v>
      </c>
      <c r="G15">
        <v>0</v>
      </c>
      <c r="H15">
        <v>2</v>
      </c>
      <c r="I15">
        <v>0</v>
      </c>
      <c r="J15">
        <v>0</v>
      </c>
      <c r="K15">
        <f t="shared" si="0"/>
        <v>2</v>
      </c>
      <c r="L15" s="1">
        <f t="shared" si="1"/>
        <v>0</v>
      </c>
      <c r="M15" s="1">
        <f t="shared" si="2"/>
        <v>0</v>
      </c>
    </row>
    <row r="16" spans="1:13" x14ac:dyDescent="0.3">
      <c r="A16" t="s">
        <v>1282</v>
      </c>
      <c r="B16" t="s">
        <v>1283</v>
      </c>
      <c r="D16" t="s">
        <v>29</v>
      </c>
      <c r="E16" s="1">
        <v>0</v>
      </c>
      <c r="F16">
        <v>1</v>
      </c>
      <c r="G16">
        <v>0</v>
      </c>
      <c r="H16">
        <v>2</v>
      </c>
      <c r="I16">
        <v>0</v>
      </c>
      <c r="J16">
        <v>0</v>
      </c>
      <c r="K16">
        <f t="shared" si="0"/>
        <v>2</v>
      </c>
      <c r="L16" s="1">
        <f t="shared" si="1"/>
        <v>0</v>
      </c>
      <c r="M16" s="1">
        <f t="shared" si="2"/>
        <v>0</v>
      </c>
    </row>
    <row r="17" spans="1:13" x14ac:dyDescent="0.3">
      <c r="A17" t="s">
        <v>1284</v>
      </c>
      <c r="B17" t="s">
        <v>1285</v>
      </c>
      <c r="D17" t="s">
        <v>29</v>
      </c>
      <c r="E17" s="1">
        <v>0</v>
      </c>
      <c r="F17">
        <v>1</v>
      </c>
      <c r="G17">
        <v>0</v>
      </c>
      <c r="H17">
        <v>2</v>
      </c>
      <c r="I17">
        <v>0</v>
      </c>
      <c r="J17">
        <v>0</v>
      </c>
      <c r="K17">
        <f t="shared" si="0"/>
        <v>2</v>
      </c>
      <c r="L17" s="1">
        <f t="shared" si="1"/>
        <v>0</v>
      </c>
      <c r="M17" s="1">
        <f t="shared" si="2"/>
        <v>0</v>
      </c>
    </row>
    <row r="18" spans="1:13" x14ac:dyDescent="0.3">
      <c r="A18" t="s">
        <v>1286</v>
      </c>
      <c r="B18" t="s">
        <v>1287</v>
      </c>
      <c r="D18" t="s">
        <v>29</v>
      </c>
      <c r="E18" s="1">
        <v>0</v>
      </c>
      <c r="F18">
        <v>1</v>
      </c>
      <c r="G18">
        <v>0</v>
      </c>
      <c r="H18">
        <v>2</v>
      </c>
      <c r="I18">
        <v>0</v>
      </c>
      <c r="J18">
        <v>0</v>
      </c>
      <c r="K18">
        <f t="shared" si="0"/>
        <v>2</v>
      </c>
      <c r="L18" s="1">
        <f t="shared" si="1"/>
        <v>0</v>
      </c>
      <c r="M18" s="1">
        <f t="shared" si="2"/>
        <v>0</v>
      </c>
    </row>
    <row r="19" spans="1:13" x14ac:dyDescent="0.3">
      <c r="A19" t="s">
        <v>1288</v>
      </c>
      <c r="B19" t="s">
        <v>1289</v>
      </c>
      <c r="D19" t="s">
        <v>29</v>
      </c>
      <c r="E19" s="1">
        <v>0</v>
      </c>
      <c r="F19">
        <v>1</v>
      </c>
      <c r="G19">
        <v>0</v>
      </c>
      <c r="H19">
        <v>2</v>
      </c>
      <c r="I19">
        <v>0</v>
      </c>
      <c r="J19">
        <v>0</v>
      </c>
      <c r="K19">
        <f t="shared" si="0"/>
        <v>2</v>
      </c>
      <c r="L19" s="1">
        <f t="shared" si="1"/>
        <v>0</v>
      </c>
      <c r="M19" s="1">
        <f t="shared" si="2"/>
        <v>0</v>
      </c>
    </row>
    <row r="20" spans="1:13" x14ac:dyDescent="0.3">
      <c r="A20" t="s">
        <v>1290</v>
      </c>
      <c r="B20" t="s">
        <v>1291</v>
      </c>
      <c r="D20" t="s">
        <v>29</v>
      </c>
      <c r="E20" s="1">
        <v>0</v>
      </c>
      <c r="F20">
        <v>1</v>
      </c>
      <c r="G20">
        <v>0</v>
      </c>
      <c r="H20">
        <v>2</v>
      </c>
      <c r="I20">
        <v>0</v>
      </c>
      <c r="J20">
        <v>0</v>
      </c>
      <c r="K20">
        <f t="shared" si="0"/>
        <v>2</v>
      </c>
      <c r="L20" s="1">
        <f t="shared" si="1"/>
        <v>0</v>
      </c>
      <c r="M20" s="1">
        <f t="shared" si="2"/>
        <v>0</v>
      </c>
    </row>
    <row r="21" spans="1:13" x14ac:dyDescent="0.3">
      <c r="A21" t="s">
        <v>1292</v>
      </c>
      <c r="B21" t="s">
        <v>1293</v>
      </c>
      <c r="D21" t="s">
        <v>29</v>
      </c>
      <c r="E21" s="1">
        <v>0</v>
      </c>
      <c r="F21">
        <v>1</v>
      </c>
      <c r="G21">
        <v>0</v>
      </c>
      <c r="H21">
        <v>2</v>
      </c>
      <c r="I21">
        <v>0</v>
      </c>
      <c r="J21">
        <v>0</v>
      </c>
      <c r="K21">
        <f t="shared" si="0"/>
        <v>2</v>
      </c>
      <c r="L21" s="1">
        <f t="shared" si="1"/>
        <v>0</v>
      </c>
      <c r="M21" s="1">
        <f t="shared" si="2"/>
        <v>0</v>
      </c>
    </row>
    <row r="22" spans="1:13" x14ac:dyDescent="0.3">
      <c r="A22" t="s">
        <v>1294</v>
      </c>
      <c r="B22" t="s">
        <v>1295</v>
      </c>
      <c r="C22" t="s">
        <v>1259</v>
      </c>
      <c r="D22" t="s">
        <v>29</v>
      </c>
      <c r="E22" s="1">
        <v>2986.83</v>
      </c>
      <c r="F22">
        <v>1</v>
      </c>
      <c r="G22">
        <v>0</v>
      </c>
      <c r="H22">
        <v>2</v>
      </c>
      <c r="I22">
        <v>0</v>
      </c>
      <c r="J22">
        <v>0</v>
      </c>
      <c r="K22">
        <f t="shared" si="0"/>
        <v>2</v>
      </c>
      <c r="L22" s="1">
        <f t="shared" si="1"/>
        <v>0</v>
      </c>
      <c r="M22" s="1">
        <f t="shared" si="2"/>
        <v>5973.66</v>
      </c>
    </row>
    <row r="23" spans="1:13" x14ac:dyDescent="0.3">
      <c r="A23" t="s">
        <v>1296</v>
      </c>
      <c r="B23" t="s">
        <v>1297</v>
      </c>
      <c r="D23" t="s">
        <v>29</v>
      </c>
      <c r="E23" s="1">
        <v>0</v>
      </c>
      <c r="F23">
        <v>1</v>
      </c>
      <c r="G23">
        <v>0</v>
      </c>
      <c r="H23">
        <v>2</v>
      </c>
      <c r="I23">
        <v>0</v>
      </c>
      <c r="J23">
        <v>0</v>
      </c>
      <c r="K23">
        <f t="shared" si="0"/>
        <v>2</v>
      </c>
      <c r="L23" s="1">
        <f t="shared" si="1"/>
        <v>0</v>
      </c>
      <c r="M23" s="1">
        <f t="shared" si="2"/>
        <v>0</v>
      </c>
    </row>
    <row r="24" spans="1:13" x14ac:dyDescent="0.3">
      <c r="A24" t="s">
        <v>1298</v>
      </c>
      <c r="B24" t="s">
        <v>1299</v>
      </c>
      <c r="D24" t="s">
        <v>29</v>
      </c>
      <c r="E24" s="1">
        <v>0</v>
      </c>
      <c r="F24">
        <v>1</v>
      </c>
      <c r="G24">
        <v>0</v>
      </c>
      <c r="H24">
        <v>2</v>
      </c>
      <c r="I24">
        <v>0</v>
      </c>
      <c r="J24">
        <v>0</v>
      </c>
      <c r="K24">
        <f t="shared" si="0"/>
        <v>2</v>
      </c>
      <c r="L24" s="1">
        <f t="shared" si="1"/>
        <v>0</v>
      </c>
      <c r="M24" s="1">
        <f t="shared" si="2"/>
        <v>0</v>
      </c>
    </row>
    <row r="25" spans="1:13" x14ac:dyDescent="0.3">
      <c r="A25" t="s">
        <v>1300</v>
      </c>
      <c r="B25" t="s">
        <v>1301</v>
      </c>
      <c r="D25" t="s">
        <v>29</v>
      </c>
      <c r="E25" s="1">
        <v>0</v>
      </c>
      <c r="F25">
        <v>1</v>
      </c>
      <c r="G25">
        <v>0</v>
      </c>
      <c r="H25">
        <v>2</v>
      </c>
      <c r="I25">
        <v>0</v>
      </c>
      <c r="J25">
        <v>0</v>
      </c>
      <c r="K25">
        <f t="shared" si="0"/>
        <v>2</v>
      </c>
      <c r="L25" s="1">
        <f t="shared" si="1"/>
        <v>0</v>
      </c>
      <c r="M25" s="1">
        <f t="shared" si="2"/>
        <v>0</v>
      </c>
    </row>
    <row r="26" spans="1:13" x14ac:dyDescent="0.3">
      <c r="A26" t="s">
        <v>1302</v>
      </c>
      <c r="B26" t="s">
        <v>1303</v>
      </c>
      <c r="D26" t="s">
        <v>29</v>
      </c>
      <c r="E26" s="1">
        <v>0</v>
      </c>
      <c r="F26">
        <v>1</v>
      </c>
      <c r="G26">
        <v>0</v>
      </c>
      <c r="H26">
        <v>2</v>
      </c>
      <c r="I26">
        <v>0</v>
      </c>
      <c r="J26">
        <v>0</v>
      </c>
      <c r="K26">
        <f t="shared" si="0"/>
        <v>2</v>
      </c>
      <c r="L26" s="1">
        <f t="shared" si="1"/>
        <v>0</v>
      </c>
      <c r="M26" s="1">
        <f t="shared" si="2"/>
        <v>0</v>
      </c>
    </row>
    <row r="27" spans="1:13" x14ac:dyDescent="0.3">
      <c r="A27" t="s">
        <v>1304</v>
      </c>
      <c r="B27" t="s">
        <v>1305</v>
      </c>
      <c r="D27" t="s">
        <v>29</v>
      </c>
      <c r="E27" s="1">
        <v>0</v>
      </c>
      <c r="F27">
        <v>1</v>
      </c>
      <c r="G27">
        <v>0</v>
      </c>
      <c r="H27">
        <v>5</v>
      </c>
      <c r="I27">
        <v>0</v>
      </c>
      <c r="J27">
        <v>0</v>
      </c>
      <c r="K27">
        <f t="shared" si="0"/>
        <v>5</v>
      </c>
      <c r="L27" s="1">
        <f t="shared" si="1"/>
        <v>0</v>
      </c>
      <c r="M27" s="1">
        <f t="shared" si="2"/>
        <v>0</v>
      </c>
    </row>
    <row r="28" spans="1:13" x14ac:dyDescent="0.3">
      <c r="A28" t="s">
        <v>1306</v>
      </c>
      <c r="B28" t="s">
        <v>1307</v>
      </c>
      <c r="C28" t="s">
        <v>1259</v>
      </c>
      <c r="D28" t="s">
        <v>29</v>
      </c>
      <c r="E28" s="1">
        <v>1276.17</v>
      </c>
      <c r="F28">
        <v>1</v>
      </c>
      <c r="G28">
        <v>0</v>
      </c>
      <c r="H28">
        <v>2</v>
      </c>
      <c r="I28">
        <v>0</v>
      </c>
      <c r="J28">
        <v>0</v>
      </c>
      <c r="K28">
        <f t="shared" si="0"/>
        <v>2</v>
      </c>
      <c r="L28" s="1">
        <f t="shared" si="1"/>
        <v>0</v>
      </c>
      <c r="M28" s="1">
        <f t="shared" si="2"/>
        <v>2552.34</v>
      </c>
    </row>
    <row r="29" spans="1:13" x14ac:dyDescent="0.3">
      <c r="A29" t="s">
        <v>1308</v>
      </c>
      <c r="B29" t="s">
        <v>1309</v>
      </c>
      <c r="C29" t="s">
        <v>94</v>
      </c>
      <c r="D29" t="s">
        <v>29</v>
      </c>
      <c r="E29" s="1">
        <v>2000</v>
      </c>
      <c r="F29">
        <v>1</v>
      </c>
      <c r="G29">
        <v>0</v>
      </c>
      <c r="H29">
        <v>2</v>
      </c>
      <c r="I29">
        <v>0</v>
      </c>
      <c r="J29">
        <v>0</v>
      </c>
      <c r="K29">
        <f t="shared" si="0"/>
        <v>2</v>
      </c>
      <c r="L29" s="1">
        <f t="shared" si="1"/>
        <v>0</v>
      </c>
      <c r="M29" s="1">
        <f t="shared" si="2"/>
        <v>4000</v>
      </c>
    </row>
    <row r="30" spans="1:13" x14ac:dyDescent="0.3">
      <c r="A30" t="s">
        <v>1310</v>
      </c>
      <c r="B30" t="s">
        <v>1311</v>
      </c>
      <c r="C30" t="s">
        <v>70</v>
      </c>
      <c r="D30" t="s">
        <v>29</v>
      </c>
      <c r="E30" s="1">
        <v>906.86</v>
      </c>
      <c r="F30">
        <v>1</v>
      </c>
      <c r="G30">
        <v>0</v>
      </c>
      <c r="H30">
        <v>2</v>
      </c>
      <c r="I30">
        <v>0</v>
      </c>
      <c r="J30">
        <v>0</v>
      </c>
      <c r="K30">
        <f t="shared" si="0"/>
        <v>2</v>
      </c>
      <c r="L30" s="1">
        <f t="shared" si="1"/>
        <v>0</v>
      </c>
      <c r="M30" s="1">
        <f t="shared" si="2"/>
        <v>1813.72</v>
      </c>
    </row>
    <row r="31" spans="1:13" x14ac:dyDescent="0.3">
      <c r="A31" t="s">
        <v>1312</v>
      </c>
      <c r="B31" t="s">
        <v>1313</v>
      </c>
      <c r="C31" t="s">
        <v>273</v>
      </c>
      <c r="D31" t="s">
        <v>29</v>
      </c>
      <c r="E31" s="1">
        <v>10531</v>
      </c>
      <c r="F31">
        <v>1</v>
      </c>
      <c r="G31">
        <v>0</v>
      </c>
      <c r="H31">
        <v>3</v>
      </c>
      <c r="I31">
        <v>0</v>
      </c>
      <c r="J31">
        <v>0</v>
      </c>
      <c r="K31">
        <f t="shared" si="0"/>
        <v>3</v>
      </c>
      <c r="L31" s="1">
        <f t="shared" si="1"/>
        <v>0</v>
      </c>
      <c r="M31" s="1">
        <f t="shared" si="2"/>
        <v>31593</v>
      </c>
    </row>
    <row r="32" spans="1:13" x14ac:dyDescent="0.3">
      <c r="A32" t="s">
        <v>1314</v>
      </c>
      <c r="B32" t="s">
        <v>1315</v>
      </c>
      <c r="D32" t="s">
        <v>29</v>
      </c>
      <c r="E32" s="1">
        <v>0</v>
      </c>
      <c r="F32">
        <v>1</v>
      </c>
      <c r="G32">
        <v>0</v>
      </c>
      <c r="H32">
        <v>2</v>
      </c>
      <c r="I32">
        <v>0</v>
      </c>
      <c r="J32">
        <v>0</v>
      </c>
      <c r="K32">
        <f t="shared" si="0"/>
        <v>2</v>
      </c>
      <c r="L32" s="1">
        <f t="shared" si="1"/>
        <v>0</v>
      </c>
      <c r="M32" s="1">
        <f t="shared" si="2"/>
        <v>0</v>
      </c>
    </row>
    <row r="33" spans="1:13" x14ac:dyDescent="0.3">
      <c r="A33" t="s">
        <v>1316</v>
      </c>
      <c r="B33" t="s">
        <v>1317</v>
      </c>
      <c r="D33" t="s">
        <v>29</v>
      </c>
      <c r="E33" s="1">
        <v>0</v>
      </c>
      <c r="F33">
        <v>1</v>
      </c>
      <c r="G33">
        <v>0</v>
      </c>
      <c r="H33">
        <v>5</v>
      </c>
      <c r="I33">
        <v>0</v>
      </c>
      <c r="J33">
        <v>0</v>
      </c>
      <c r="K33">
        <f t="shared" si="0"/>
        <v>5</v>
      </c>
      <c r="L33" s="1">
        <f t="shared" si="1"/>
        <v>0</v>
      </c>
      <c r="M33" s="1">
        <f t="shared" si="2"/>
        <v>0</v>
      </c>
    </row>
    <row r="34" spans="1:13" x14ac:dyDescent="0.3">
      <c r="A34" t="s">
        <v>48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1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1318</v>
      </c>
      <c r="B2" t="s">
        <v>1319</v>
      </c>
      <c r="D2" t="s">
        <v>30</v>
      </c>
      <c r="E2" s="1">
        <v>0</v>
      </c>
      <c r="F2">
        <v>1</v>
      </c>
      <c r="G2">
        <v>0</v>
      </c>
      <c r="H2">
        <v>2</v>
      </c>
      <c r="I2">
        <v>0</v>
      </c>
      <c r="J2">
        <v>0</v>
      </c>
      <c r="K2">
        <f t="shared" ref="K2:K11" si="0">IF(H2-I2-J2&gt;0,H2-I2-J2,0)</f>
        <v>2</v>
      </c>
      <c r="L2" s="1">
        <f t="shared" ref="L2:L11" si="1">IFERROR(I2*E2,0)</f>
        <v>0</v>
      </c>
      <c r="M2" s="1">
        <f t="shared" ref="M2:M11" si="2">IFERROR(K2*E2,0)</f>
        <v>0</v>
      </c>
    </row>
    <row r="3" spans="1:13" x14ac:dyDescent="0.3">
      <c r="A3" t="s">
        <v>1320</v>
      </c>
      <c r="B3" t="s">
        <v>1321</v>
      </c>
      <c r="D3" t="s">
        <v>30</v>
      </c>
      <c r="E3" s="1">
        <v>0</v>
      </c>
      <c r="F3">
        <v>1</v>
      </c>
      <c r="G3">
        <v>0</v>
      </c>
      <c r="H3">
        <v>4</v>
      </c>
      <c r="I3">
        <v>0</v>
      </c>
      <c r="J3">
        <v>0</v>
      </c>
      <c r="K3">
        <f t="shared" si="0"/>
        <v>4</v>
      </c>
      <c r="L3" s="1">
        <f t="shared" si="1"/>
        <v>0</v>
      </c>
      <c r="M3" s="1">
        <f t="shared" si="2"/>
        <v>0</v>
      </c>
    </row>
    <row r="4" spans="1:13" x14ac:dyDescent="0.3">
      <c r="A4" t="s">
        <v>1322</v>
      </c>
      <c r="B4" t="s">
        <v>1323</v>
      </c>
      <c r="D4" t="s">
        <v>30</v>
      </c>
      <c r="E4" s="1">
        <v>0</v>
      </c>
      <c r="F4">
        <v>1</v>
      </c>
      <c r="G4">
        <v>0</v>
      </c>
      <c r="H4">
        <v>6</v>
      </c>
      <c r="I4">
        <v>0</v>
      </c>
      <c r="J4">
        <v>0</v>
      </c>
      <c r="K4">
        <f t="shared" si="0"/>
        <v>6</v>
      </c>
      <c r="L4" s="1">
        <f t="shared" si="1"/>
        <v>0</v>
      </c>
      <c r="M4" s="1">
        <f t="shared" si="2"/>
        <v>0</v>
      </c>
    </row>
    <row r="5" spans="1:13" x14ac:dyDescent="0.3">
      <c r="A5" t="s">
        <v>1324</v>
      </c>
      <c r="B5" t="s">
        <v>1325</v>
      </c>
      <c r="D5" t="s">
        <v>30</v>
      </c>
      <c r="E5" s="1">
        <v>0</v>
      </c>
      <c r="F5">
        <v>1</v>
      </c>
      <c r="G5">
        <v>0</v>
      </c>
      <c r="H5">
        <v>2</v>
      </c>
      <c r="I5">
        <v>0</v>
      </c>
      <c r="J5">
        <v>0</v>
      </c>
      <c r="K5">
        <f t="shared" si="0"/>
        <v>2</v>
      </c>
      <c r="L5" s="1">
        <f t="shared" si="1"/>
        <v>0</v>
      </c>
      <c r="M5" s="1">
        <f t="shared" si="2"/>
        <v>0</v>
      </c>
    </row>
    <row r="6" spans="1:13" x14ac:dyDescent="0.3">
      <c r="A6" t="s">
        <v>1326</v>
      </c>
      <c r="B6" t="s">
        <v>1327</v>
      </c>
      <c r="D6" t="s">
        <v>30</v>
      </c>
      <c r="E6" s="1">
        <v>0</v>
      </c>
      <c r="F6">
        <v>2</v>
      </c>
      <c r="G6">
        <v>0</v>
      </c>
      <c r="H6">
        <v>12</v>
      </c>
      <c r="I6">
        <v>0</v>
      </c>
      <c r="J6">
        <v>0</v>
      </c>
      <c r="K6">
        <f t="shared" si="0"/>
        <v>12</v>
      </c>
      <c r="L6" s="1">
        <f t="shared" si="1"/>
        <v>0</v>
      </c>
      <c r="M6" s="1">
        <f t="shared" si="2"/>
        <v>0</v>
      </c>
    </row>
    <row r="7" spans="1:13" x14ac:dyDescent="0.3">
      <c r="A7" t="s">
        <v>1328</v>
      </c>
      <c r="B7" t="s">
        <v>1329</v>
      </c>
      <c r="D7" t="s">
        <v>30</v>
      </c>
      <c r="E7" s="1">
        <v>0</v>
      </c>
      <c r="F7">
        <v>1</v>
      </c>
      <c r="G7">
        <v>0</v>
      </c>
      <c r="H7">
        <v>5</v>
      </c>
      <c r="I7">
        <v>0</v>
      </c>
      <c r="J7">
        <v>0</v>
      </c>
      <c r="K7">
        <f t="shared" si="0"/>
        <v>5</v>
      </c>
      <c r="L7" s="1">
        <f t="shared" si="1"/>
        <v>0</v>
      </c>
      <c r="M7" s="1">
        <f t="shared" si="2"/>
        <v>0</v>
      </c>
    </row>
    <row r="8" spans="1:13" x14ac:dyDescent="0.3">
      <c r="A8" t="s">
        <v>1330</v>
      </c>
      <c r="B8" t="s">
        <v>1331</v>
      </c>
      <c r="C8" t="s">
        <v>70</v>
      </c>
      <c r="D8" t="s">
        <v>30</v>
      </c>
      <c r="E8" s="1">
        <v>2024.25</v>
      </c>
      <c r="F8">
        <v>2</v>
      </c>
      <c r="G8">
        <v>0</v>
      </c>
      <c r="H8">
        <v>8</v>
      </c>
      <c r="I8">
        <v>0</v>
      </c>
      <c r="J8">
        <v>0</v>
      </c>
      <c r="K8">
        <f t="shared" si="0"/>
        <v>8</v>
      </c>
      <c r="L8" s="1">
        <f t="shared" si="1"/>
        <v>0</v>
      </c>
      <c r="M8" s="1">
        <f t="shared" si="2"/>
        <v>16194</v>
      </c>
    </row>
    <row r="9" spans="1:13" x14ac:dyDescent="0.3">
      <c r="A9" t="s">
        <v>1332</v>
      </c>
      <c r="B9" t="s">
        <v>1333</v>
      </c>
      <c r="D9" t="s">
        <v>30</v>
      </c>
      <c r="E9" s="1">
        <v>0</v>
      </c>
      <c r="F9">
        <v>1</v>
      </c>
      <c r="G9">
        <v>0</v>
      </c>
      <c r="H9">
        <v>4</v>
      </c>
      <c r="I9">
        <v>0</v>
      </c>
      <c r="J9">
        <v>0</v>
      </c>
      <c r="K9">
        <f t="shared" si="0"/>
        <v>4</v>
      </c>
      <c r="L9" s="1">
        <f t="shared" si="1"/>
        <v>0</v>
      </c>
      <c r="M9" s="1">
        <f t="shared" si="2"/>
        <v>0</v>
      </c>
    </row>
    <row r="10" spans="1:13" x14ac:dyDescent="0.3">
      <c r="A10" t="s">
        <v>1334</v>
      </c>
      <c r="B10" t="s">
        <v>1335</v>
      </c>
      <c r="D10" t="s">
        <v>30</v>
      </c>
      <c r="E10" s="1">
        <v>0</v>
      </c>
      <c r="F10">
        <v>1</v>
      </c>
      <c r="G10">
        <v>0</v>
      </c>
      <c r="H10">
        <v>2</v>
      </c>
      <c r="I10">
        <v>0</v>
      </c>
      <c r="J10">
        <v>0</v>
      </c>
      <c r="K10">
        <f t="shared" si="0"/>
        <v>2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1336</v>
      </c>
      <c r="B11" t="s">
        <v>1337</v>
      </c>
      <c r="D11" t="s">
        <v>30</v>
      </c>
      <c r="E11" s="1">
        <v>0</v>
      </c>
      <c r="F11">
        <v>1</v>
      </c>
      <c r="G11">
        <v>0</v>
      </c>
      <c r="H11">
        <v>2</v>
      </c>
      <c r="I11">
        <v>0</v>
      </c>
      <c r="J11">
        <v>0</v>
      </c>
      <c r="K11">
        <f t="shared" si="0"/>
        <v>2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48</v>
      </c>
    </row>
  </sheetData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1338</v>
      </c>
      <c r="B2" t="s">
        <v>1339</v>
      </c>
      <c r="D2" t="s">
        <v>31</v>
      </c>
      <c r="E2" s="1">
        <v>0</v>
      </c>
      <c r="F2">
        <v>1</v>
      </c>
      <c r="G2">
        <v>0</v>
      </c>
      <c r="H2">
        <v>5</v>
      </c>
      <c r="I2">
        <v>0</v>
      </c>
      <c r="J2">
        <v>0</v>
      </c>
      <c r="K2">
        <f>IF(H2-I2-J2&gt;0,H2-I2-J2,0)</f>
        <v>5</v>
      </c>
      <c r="L2" s="1">
        <f>IFERROR(I2*E2,0)</f>
        <v>0</v>
      </c>
      <c r="M2" s="1">
        <f>IFERROR(K2*E2,0)</f>
        <v>0</v>
      </c>
    </row>
    <row r="3" spans="1:13" x14ac:dyDescent="0.3">
      <c r="A3" t="s">
        <v>48</v>
      </c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1340</v>
      </c>
      <c r="B2" t="s">
        <v>1341</v>
      </c>
      <c r="C2" t="s">
        <v>91</v>
      </c>
      <c r="D2" t="s">
        <v>32</v>
      </c>
      <c r="E2" s="1">
        <v>1052.26</v>
      </c>
      <c r="F2">
        <v>1</v>
      </c>
      <c r="G2">
        <v>0</v>
      </c>
      <c r="H2">
        <v>2</v>
      </c>
      <c r="I2">
        <v>0</v>
      </c>
      <c r="J2">
        <v>0</v>
      </c>
      <c r="K2">
        <f>IF(H2-I2-J2&gt;0,H2-I2-J2,0)</f>
        <v>2</v>
      </c>
      <c r="L2" s="1">
        <f>IFERROR(I2*E2,0)</f>
        <v>0</v>
      </c>
      <c r="M2" s="1">
        <f>IFERROR(K2*E2,0)</f>
        <v>2104.52</v>
      </c>
    </row>
    <row r="3" spans="1:13" x14ac:dyDescent="0.3">
      <c r="A3" t="s">
        <v>48</v>
      </c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9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1342</v>
      </c>
      <c r="B2" t="s">
        <v>1343</v>
      </c>
      <c r="C2" t="s">
        <v>1344</v>
      </c>
      <c r="D2" t="s">
        <v>33</v>
      </c>
      <c r="E2" s="1">
        <v>1786.4</v>
      </c>
      <c r="F2">
        <v>3</v>
      </c>
      <c r="G2">
        <v>0</v>
      </c>
      <c r="H2">
        <v>5</v>
      </c>
      <c r="I2">
        <v>0</v>
      </c>
      <c r="J2">
        <v>0</v>
      </c>
      <c r="K2">
        <f t="shared" ref="K2:K33" si="0">IF(H2-I2-J2&gt;0,H2-I2-J2,0)</f>
        <v>5</v>
      </c>
      <c r="L2" s="1">
        <f t="shared" ref="L2:L33" si="1">IFERROR(I2*E2,0)</f>
        <v>0</v>
      </c>
      <c r="M2" s="1">
        <f t="shared" ref="M2:M33" si="2">IFERROR(K2*E2,0)</f>
        <v>8932</v>
      </c>
    </row>
    <row r="3" spans="1:13" x14ac:dyDescent="0.3">
      <c r="A3" t="s">
        <v>1345</v>
      </c>
      <c r="B3" t="s">
        <v>1346</v>
      </c>
      <c r="C3" t="s">
        <v>1344</v>
      </c>
      <c r="D3" t="s">
        <v>33</v>
      </c>
      <c r="E3" s="1">
        <v>798.59</v>
      </c>
      <c r="F3">
        <v>1</v>
      </c>
      <c r="G3">
        <v>0</v>
      </c>
      <c r="H3">
        <v>3</v>
      </c>
      <c r="I3">
        <v>0</v>
      </c>
      <c r="J3">
        <v>0</v>
      </c>
      <c r="K3">
        <f t="shared" si="0"/>
        <v>3</v>
      </c>
      <c r="L3" s="1">
        <f t="shared" si="1"/>
        <v>0</v>
      </c>
      <c r="M3" s="1">
        <f t="shared" si="2"/>
        <v>2395.77</v>
      </c>
    </row>
    <row r="4" spans="1:13" x14ac:dyDescent="0.3">
      <c r="A4" t="s">
        <v>1347</v>
      </c>
      <c r="B4" t="s">
        <v>1348</v>
      </c>
      <c r="C4" t="s">
        <v>1344</v>
      </c>
      <c r="D4" t="s">
        <v>33</v>
      </c>
      <c r="E4" s="1">
        <v>299.66000000000003</v>
      </c>
      <c r="F4">
        <v>3</v>
      </c>
      <c r="G4">
        <v>0</v>
      </c>
      <c r="H4">
        <v>5</v>
      </c>
      <c r="I4">
        <v>0</v>
      </c>
      <c r="J4">
        <v>0</v>
      </c>
      <c r="K4">
        <f t="shared" si="0"/>
        <v>5</v>
      </c>
      <c r="L4" s="1">
        <f t="shared" si="1"/>
        <v>0</v>
      </c>
      <c r="M4" s="1">
        <f t="shared" si="2"/>
        <v>1498.3000000000002</v>
      </c>
    </row>
    <row r="5" spans="1:13" x14ac:dyDescent="0.3">
      <c r="A5" t="s">
        <v>1349</v>
      </c>
      <c r="B5" t="s">
        <v>1350</v>
      </c>
      <c r="C5" t="s">
        <v>1344</v>
      </c>
      <c r="D5" t="s">
        <v>33</v>
      </c>
      <c r="E5" s="1">
        <v>2222.02</v>
      </c>
      <c r="F5">
        <v>2</v>
      </c>
      <c r="G5">
        <v>0</v>
      </c>
      <c r="H5">
        <v>4</v>
      </c>
      <c r="I5">
        <v>0</v>
      </c>
      <c r="J5">
        <v>0</v>
      </c>
      <c r="K5">
        <f t="shared" si="0"/>
        <v>4</v>
      </c>
      <c r="L5" s="1">
        <f t="shared" si="1"/>
        <v>0</v>
      </c>
      <c r="M5" s="1">
        <f t="shared" si="2"/>
        <v>8888.08</v>
      </c>
    </row>
    <row r="6" spans="1:13" x14ac:dyDescent="0.3">
      <c r="A6" t="s">
        <v>1351</v>
      </c>
      <c r="B6" t="s">
        <v>1352</v>
      </c>
      <c r="C6" t="s">
        <v>1171</v>
      </c>
      <c r="D6" t="s">
        <v>33</v>
      </c>
      <c r="E6" s="1">
        <v>0</v>
      </c>
      <c r="F6">
        <v>2</v>
      </c>
      <c r="G6">
        <v>0</v>
      </c>
      <c r="H6">
        <v>4</v>
      </c>
      <c r="I6">
        <v>0</v>
      </c>
      <c r="J6">
        <v>0</v>
      </c>
      <c r="K6">
        <f t="shared" si="0"/>
        <v>4</v>
      </c>
      <c r="L6" s="1">
        <f t="shared" si="1"/>
        <v>0</v>
      </c>
      <c r="M6" s="1">
        <f t="shared" si="2"/>
        <v>0</v>
      </c>
    </row>
    <row r="7" spans="1:13" x14ac:dyDescent="0.3">
      <c r="A7" t="s">
        <v>1353</v>
      </c>
      <c r="B7" t="s">
        <v>1354</v>
      </c>
      <c r="D7" t="s">
        <v>33</v>
      </c>
      <c r="E7" s="1">
        <v>0</v>
      </c>
      <c r="F7">
        <v>1</v>
      </c>
      <c r="G7">
        <v>0</v>
      </c>
      <c r="H7">
        <v>2</v>
      </c>
      <c r="I7">
        <v>0</v>
      </c>
      <c r="J7">
        <v>0</v>
      </c>
      <c r="K7">
        <f t="shared" si="0"/>
        <v>2</v>
      </c>
      <c r="L7" s="1">
        <f t="shared" si="1"/>
        <v>0</v>
      </c>
      <c r="M7" s="1">
        <f t="shared" si="2"/>
        <v>0</v>
      </c>
    </row>
    <row r="8" spans="1:13" x14ac:dyDescent="0.3">
      <c r="A8" t="s">
        <v>1355</v>
      </c>
      <c r="B8" t="s">
        <v>1356</v>
      </c>
      <c r="D8" t="s">
        <v>33</v>
      </c>
      <c r="E8" s="1">
        <v>0</v>
      </c>
      <c r="F8">
        <v>1</v>
      </c>
      <c r="G8">
        <v>0</v>
      </c>
      <c r="H8">
        <v>2</v>
      </c>
      <c r="I8">
        <v>0</v>
      </c>
      <c r="J8">
        <v>0</v>
      </c>
      <c r="K8">
        <f t="shared" si="0"/>
        <v>2</v>
      </c>
      <c r="L8" s="1">
        <f t="shared" si="1"/>
        <v>0</v>
      </c>
      <c r="M8" s="1">
        <f t="shared" si="2"/>
        <v>0</v>
      </c>
    </row>
    <row r="9" spans="1:13" x14ac:dyDescent="0.3">
      <c r="A9" t="s">
        <v>1357</v>
      </c>
      <c r="B9" t="s">
        <v>1358</v>
      </c>
      <c r="D9" t="s">
        <v>33</v>
      </c>
      <c r="E9" s="1">
        <v>0</v>
      </c>
      <c r="F9">
        <v>1</v>
      </c>
      <c r="G9">
        <v>0</v>
      </c>
      <c r="H9">
        <v>2</v>
      </c>
      <c r="I9">
        <v>0</v>
      </c>
      <c r="J9">
        <v>0</v>
      </c>
      <c r="K9">
        <f t="shared" si="0"/>
        <v>2</v>
      </c>
      <c r="L9" s="1">
        <f t="shared" si="1"/>
        <v>0</v>
      </c>
      <c r="M9" s="1">
        <f t="shared" si="2"/>
        <v>0</v>
      </c>
    </row>
    <row r="10" spans="1:13" x14ac:dyDescent="0.3">
      <c r="A10" t="s">
        <v>1359</v>
      </c>
      <c r="B10" t="s">
        <v>1360</v>
      </c>
      <c r="D10" t="s">
        <v>33</v>
      </c>
      <c r="E10" s="1">
        <v>0</v>
      </c>
      <c r="F10">
        <v>1</v>
      </c>
      <c r="G10">
        <v>0</v>
      </c>
      <c r="H10">
        <v>2</v>
      </c>
      <c r="I10">
        <v>0</v>
      </c>
      <c r="J10">
        <v>0</v>
      </c>
      <c r="K10">
        <f t="shared" si="0"/>
        <v>2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1361</v>
      </c>
      <c r="B11" t="s">
        <v>1362</v>
      </c>
      <c r="D11" t="s">
        <v>33</v>
      </c>
      <c r="E11" s="1">
        <v>0</v>
      </c>
      <c r="F11">
        <v>1</v>
      </c>
      <c r="G11">
        <v>0</v>
      </c>
      <c r="H11">
        <v>2</v>
      </c>
      <c r="I11">
        <v>0</v>
      </c>
      <c r="J11">
        <v>0</v>
      </c>
      <c r="K11">
        <f t="shared" si="0"/>
        <v>2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1363</v>
      </c>
      <c r="B12" t="s">
        <v>1364</v>
      </c>
      <c r="C12" t="s">
        <v>1344</v>
      </c>
      <c r="D12" t="s">
        <v>33</v>
      </c>
      <c r="E12" s="1">
        <v>10445.1</v>
      </c>
      <c r="F12">
        <v>2</v>
      </c>
      <c r="G12">
        <v>0</v>
      </c>
      <c r="H12">
        <v>4</v>
      </c>
      <c r="I12">
        <v>0</v>
      </c>
      <c r="J12">
        <v>0</v>
      </c>
      <c r="K12">
        <f t="shared" si="0"/>
        <v>4</v>
      </c>
      <c r="L12" s="1">
        <f t="shared" si="1"/>
        <v>0</v>
      </c>
      <c r="M12" s="1">
        <f t="shared" si="2"/>
        <v>41780.400000000001</v>
      </c>
    </row>
    <row r="13" spans="1:13" x14ac:dyDescent="0.3">
      <c r="A13" t="s">
        <v>1365</v>
      </c>
      <c r="B13" t="s">
        <v>1366</v>
      </c>
      <c r="D13" t="s">
        <v>33</v>
      </c>
      <c r="E13" s="1">
        <v>0</v>
      </c>
      <c r="F13">
        <v>1</v>
      </c>
      <c r="G13">
        <v>0</v>
      </c>
      <c r="H13">
        <v>2</v>
      </c>
      <c r="I13">
        <v>0</v>
      </c>
      <c r="J13">
        <v>0</v>
      </c>
      <c r="K13">
        <f t="shared" si="0"/>
        <v>2</v>
      </c>
      <c r="L13" s="1">
        <f t="shared" si="1"/>
        <v>0</v>
      </c>
      <c r="M13" s="1">
        <f t="shared" si="2"/>
        <v>0</v>
      </c>
    </row>
    <row r="14" spans="1:13" x14ac:dyDescent="0.3">
      <c r="A14" t="s">
        <v>1367</v>
      </c>
      <c r="B14" t="s">
        <v>1368</v>
      </c>
      <c r="D14" t="s">
        <v>33</v>
      </c>
      <c r="E14" s="1">
        <v>0</v>
      </c>
      <c r="F14">
        <v>1</v>
      </c>
      <c r="G14">
        <v>0</v>
      </c>
      <c r="H14">
        <v>2</v>
      </c>
      <c r="I14">
        <v>0</v>
      </c>
      <c r="J14">
        <v>0</v>
      </c>
      <c r="K14">
        <f t="shared" si="0"/>
        <v>2</v>
      </c>
      <c r="L14" s="1">
        <f t="shared" si="1"/>
        <v>0</v>
      </c>
      <c r="M14" s="1">
        <f t="shared" si="2"/>
        <v>0</v>
      </c>
    </row>
    <row r="15" spans="1:13" x14ac:dyDescent="0.3">
      <c r="A15" t="s">
        <v>1369</v>
      </c>
      <c r="B15" t="s">
        <v>1370</v>
      </c>
      <c r="C15" t="s">
        <v>1344</v>
      </c>
      <c r="D15" t="s">
        <v>33</v>
      </c>
      <c r="E15" s="1">
        <v>10228.92</v>
      </c>
      <c r="F15">
        <v>2</v>
      </c>
      <c r="G15">
        <v>0</v>
      </c>
      <c r="H15">
        <v>4</v>
      </c>
      <c r="I15">
        <v>0</v>
      </c>
      <c r="J15">
        <v>0</v>
      </c>
      <c r="K15">
        <f t="shared" si="0"/>
        <v>4</v>
      </c>
      <c r="L15" s="1">
        <f t="shared" si="1"/>
        <v>0</v>
      </c>
      <c r="M15" s="1">
        <f t="shared" si="2"/>
        <v>40915.68</v>
      </c>
    </row>
    <row r="16" spans="1:13" x14ac:dyDescent="0.3">
      <c r="A16" t="s">
        <v>1371</v>
      </c>
      <c r="B16" t="s">
        <v>1372</v>
      </c>
      <c r="D16" t="s">
        <v>33</v>
      </c>
      <c r="E16" s="1">
        <v>0</v>
      </c>
      <c r="F16">
        <v>1</v>
      </c>
      <c r="G16">
        <v>0</v>
      </c>
      <c r="H16">
        <v>2</v>
      </c>
      <c r="I16">
        <v>0</v>
      </c>
      <c r="J16">
        <v>0</v>
      </c>
      <c r="K16">
        <f t="shared" si="0"/>
        <v>2</v>
      </c>
      <c r="L16" s="1">
        <f t="shared" si="1"/>
        <v>0</v>
      </c>
      <c r="M16" s="1">
        <f t="shared" si="2"/>
        <v>0</v>
      </c>
    </row>
    <row r="17" spans="1:13" x14ac:dyDescent="0.3">
      <c r="A17" t="s">
        <v>1373</v>
      </c>
      <c r="B17" t="s">
        <v>1374</v>
      </c>
      <c r="D17" t="s">
        <v>33</v>
      </c>
      <c r="E17" s="1">
        <v>0</v>
      </c>
      <c r="F17">
        <v>1</v>
      </c>
      <c r="G17">
        <v>0</v>
      </c>
      <c r="H17">
        <v>2</v>
      </c>
      <c r="I17">
        <v>0</v>
      </c>
      <c r="J17">
        <v>0</v>
      </c>
      <c r="K17">
        <f t="shared" si="0"/>
        <v>2</v>
      </c>
      <c r="L17" s="1">
        <f t="shared" si="1"/>
        <v>0</v>
      </c>
      <c r="M17" s="1">
        <f t="shared" si="2"/>
        <v>0</v>
      </c>
    </row>
    <row r="18" spans="1:13" x14ac:dyDescent="0.3">
      <c r="A18" t="s">
        <v>1375</v>
      </c>
      <c r="B18" t="s">
        <v>1376</v>
      </c>
      <c r="C18" t="s">
        <v>1344</v>
      </c>
      <c r="D18" t="s">
        <v>33</v>
      </c>
      <c r="E18" s="1">
        <v>7297.22</v>
      </c>
      <c r="F18">
        <v>2</v>
      </c>
      <c r="G18">
        <v>0</v>
      </c>
      <c r="H18">
        <v>4</v>
      </c>
      <c r="I18">
        <v>0</v>
      </c>
      <c r="J18">
        <v>0</v>
      </c>
      <c r="K18">
        <f t="shared" si="0"/>
        <v>4</v>
      </c>
      <c r="L18" s="1">
        <f t="shared" si="1"/>
        <v>0</v>
      </c>
      <c r="M18" s="1">
        <f t="shared" si="2"/>
        <v>29188.880000000001</v>
      </c>
    </row>
    <row r="19" spans="1:13" x14ac:dyDescent="0.3">
      <c r="A19" t="s">
        <v>1377</v>
      </c>
      <c r="B19" t="s">
        <v>1378</v>
      </c>
      <c r="C19" t="s">
        <v>1344</v>
      </c>
      <c r="D19" t="s">
        <v>33</v>
      </c>
      <c r="E19" s="1">
        <v>9057.07</v>
      </c>
      <c r="F19">
        <v>2</v>
      </c>
      <c r="G19">
        <v>0</v>
      </c>
      <c r="H19">
        <v>4</v>
      </c>
      <c r="I19">
        <v>0</v>
      </c>
      <c r="J19">
        <v>0</v>
      </c>
      <c r="K19">
        <f t="shared" si="0"/>
        <v>4</v>
      </c>
      <c r="L19" s="1">
        <f t="shared" si="1"/>
        <v>0</v>
      </c>
      <c r="M19" s="1">
        <f t="shared" si="2"/>
        <v>36228.28</v>
      </c>
    </row>
    <row r="20" spans="1:13" x14ac:dyDescent="0.3">
      <c r="A20" t="s">
        <v>1379</v>
      </c>
      <c r="B20" t="s">
        <v>1380</v>
      </c>
      <c r="C20" t="s">
        <v>1344</v>
      </c>
      <c r="D20" t="s">
        <v>33</v>
      </c>
      <c r="E20" s="1">
        <v>8659.74</v>
      </c>
      <c r="F20">
        <v>2</v>
      </c>
      <c r="G20">
        <v>0</v>
      </c>
      <c r="H20">
        <v>4</v>
      </c>
      <c r="I20">
        <v>0</v>
      </c>
      <c r="J20">
        <v>0</v>
      </c>
      <c r="K20">
        <f t="shared" si="0"/>
        <v>4</v>
      </c>
      <c r="L20" s="1">
        <f t="shared" si="1"/>
        <v>0</v>
      </c>
      <c r="M20" s="1">
        <f t="shared" si="2"/>
        <v>34638.959999999999</v>
      </c>
    </row>
    <row r="21" spans="1:13" x14ac:dyDescent="0.3">
      <c r="A21" t="s">
        <v>1381</v>
      </c>
      <c r="B21" t="s">
        <v>1382</v>
      </c>
      <c r="C21" t="s">
        <v>1344</v>
      </c>
      <c r="D21" t="s">
        <v>33</v>
      </c>
      <c r="E21" s="1">
        <v>6576.53</v>
      </c>
      <c r="F21">
        <v>3</v>
      </c>
      <c r="G21">
        <v>0</v>
      </c>
      <c r="H21">
        <v>5</v>
      </c>
      <c r="I21">
        <v>0</v>
      </c>
      <c r="J21">
        <v>0</v>
      </c>
      <c r="K21">
        <f t="shared" si="0"/>
        <v>5</v>
      </c>
      <c r="L21" s="1">
        <f t="shared" si="1"/>
        <v>0</v>
      </c>
      <c r="M21" s="1">
        <f t="shared" si="2"/>
        <v>32882.65</v>
      </c>
    </row>
    <row r="22" spans="1:13" x14ac:dyDescent="0.3">
      <c r="A22" t="s">
        <v>1383</v>
      </c>
      <c r="B22" t="s">
        <v>1384</v>
      </c>
      <c r="D22" t="s">
        <v>33</v>
      </c>
      <c r="E22" s="1">
        <v>0</v>
      </c>
      <c r="F22">
        <v>1</v>
      </c>
      <c r="G22">
        <v>0</v>
      </c>
      <c r="H22">
        <v>2</v>
      </c>
      <c r="I22">
        <v>0</v>
      </c>
      <c r="J22">
        <v>0</v>
      </c>
      <c r="K22">
        <f t="shared" si="0"/>
        <v>2</v>
      </c>
      <c r="L22" s="1">
        <f t="shared" si="1"/>
        <v>0</v>
      </c>
      <c r="M22" s="1">
        <f t="shared" si="2"/>
        <v>0</v>
      </c>
    </row>
    <row r="23" spans="1:13" x14ac:dyDescent="0.3">
      <c r="A23" t="s">
        <v>1385</v>
      </c>
      <c r="B23" t="s">
        <v>1386</v>
      </c>
      <c r="C23" t="s">
        <v>1344</v>
      </c>
      <c r="D23" t="s">
        <v>33</v>
      </c>
      <c r="E23" s="1">
        <v>2161.9299999999998</v>
      </c>
      <c r="F23">
        <v>2</v>
      </c>
      <c r="G23">
        <v>0</v>
      </c>
      <c r="H23">
        <v>4</v>
      </c>
      <c r="I23">
        <v>0</v>
      </c>
      <c r="J23">
        <v>0</v>
      </c>
      <c r="K23">
        <f t="shared" si="0"/>
        <v>4</v>
      </c>
      <c r="L23" s="1">
        <f t="shared" si="1"/>
        <v>0</v>
      </c>
      <c r="M23" s="1">
        <f t="shared" si="2"/>
        <v>8647.7199999999993</v>
      </c>
    </row>
    <row r="24" spans="1:13" x14ac:dyDescent="0.3">
      <c r="A24" t="s">
        <v>1387</v>
      </c>
      <c r="B24" t="s">
        <v>1388</v>
      </c>
      <c r="C24" t="s">
        <v>1344</v>
      </c>
      <c r="D24" t="s">
        <v>33</v>
      </c>
      <c r="E24" s="1">
        <v>1227.76</v>
      </c>
      <c r="F24">
        <v>3</v>
      </c>
      <c r="G24">
        <v>0</v>
      </c>
      <c r="H24">
        <v>5</v>
      </c>
      <c r="I24">
        <v>0</v>
      </c>
      <c r="J24">
        <v>0</v>
      </c>
      <c r="K24">
        <f t="shared" si="0"/>
        <v>5</v>
      </c>
      <c r="L24" s="1">
        <f t="shared" si="1"/>
        <v>0</v>
      </c>
      <c r="M24" s="1">
        <f t="shared" si="2"/>
        <v>6138.8</v>
      </c>
    </row>
    <row r="25" spans="1:13" x14ac:dyDescent="0.3">
      <c r="A25" t="s">
        <v>1389</v>
      </c>
      <c r="B25" t="s">
        <v>1390</v>
      </c>
      <c r="C25" t="s">
        <v>1344</v>
      </c>
      <c r="D25" t="s">
        <v>33</v>
      </c>
      <c r="E25" s="1">
        <v>3195.59</v>
      </c>
      <c r="F25">
        <v>2</v>
      </c>
      <c r="G25">
        <v>0</v>
      </c>
      <c r="H25">
        <v>4</v>
      </c>
      <c r="I25">
        <v>0</v>
      </c>
      <c r="J25">
        <v>0</v>
      </c>
      <c r="K25">
        <f t="shared" si="0"/>
        <v>4</v>
      </c>
      <c r="L25" s="1">
        <f t="shared" si="1"/>
        <v>0</v>
      </c>
      <c r="M25" s="1">
        <f t="shared" si="2"/>
        <v>12782.36</v>
      </c>
    </row>
    <row r="26" spans="1:13" x14ac:dyDescent="0.3">
      <c r="A26" t="s">
        <v>1391</v>
      </c>
      <c r="B26" t="s">
        <v>1392</v>
      </c>
      <c r="C26" t="s">
        <v>1344</v>
      </c>
      <c r="D26" t="s">
        <v>33</v>
      </c>
      <c r="E26" s="1">
        <v>4623.7700000000004</v>
      </c>
      <c r="F26">
        <v>3</v>
      </c>
      <c r="G26">
        <v>0</v>
      </c>
      <c r="H26">
        <v>6</v>
      </c>
      <c r="I26">
        <v>0</v>
      </c>
      <c r="J26">
        <v>0</v>
      </c>
      <c r="K26">
        <f t="shared" si="0"/>
        <v>6</v>
      </c>
      <c r="L26" s="1">
        <f t="shared" si="1"/>
        <v>0</v>
      </c>
      <c r="M26" s="1">
        <f t="shared" si="2"/>
        <v>27742.620000000003</v>
      </c>
    </row>
    <row r="27" spans="1:13" x14ac:dyDescent="0.3">
      <c r="A27" t="s">
        <v>1393</v>
      </c>
      <c r="B27" t="s">
        <v>1394</v>
      </c>
      <c r="C27" t="s">
        <v>1344</v>
      </c>
      <c r="D27" t="s">
        <v>33</v>
      </c>
      <c r="E27" s="1">
        <v>3573.35</v>
      </c>
      <c r="F27">
        <v>2</v>
      </c>
      <c r="G27">
        <v>0</v>
      </c>
      <c r="H27">
        <v>4</v>
      </c>
      <c r="I27">
        <v>0</v>
      </c>
      <c r="J27">
        <v>0</v>
      </c>
      <c r="K27">
        <f t="shared" si="0"/>
        <v>4</v>
      </c>
      <c r="L27" s="1">
        <f t="shared" si="1"/>
        <v>0</v>
      </c>
      <c r="M27" s="1">
        <f t="shared" si="2"/>
        <v>14293.4</v>
      </c>
    </row>
    <row r="28" spans="1:13" x14ac:dyDescent="0.3">
      <c r="A28" t="s">
        <v>1395</v>
      </c>
      <c r="B28" t="s">
        <v>1396</v>
      </c>
      <c r="C28" t="s">
        <v>1344</v>
      </c>
      <c r="D28" t="s">
        <v>33</v>
      </c>
      <c r="E28" s="1">
        <v>4990.01</v>
      </c>
      <c r="F28">
        <v>2</v>
      </c>
      <c r="G28">
        <v>0</v>
      </c>
      <c r="H28">
        <v>4</v>
      </c>
      <c r="I28">
        <v>0</v>
      </c>
      <c r="J28">
        <v>0</v>
      </c>
      <c r="K28">
        <f t="shared" si="0"/>
        <v>4</v>
      </c>
      <c r="L28" s="1">
        <f t="shared" si="1"/>
        <v>0</v>
      </c>
      <c r="M28" s="1">
        <f t="shared" si="2"/>
        <v>19960.04</v>
      </c>
    </row>
    <row r="29" spans="1:13" x14ac:dyDescent="0.3">
      <c r="A29" t="s">
        <v>1397</v>
      </c>
      <c r="B29" t="s">
        <v>1398</v>
      </c>
      <c r="C29" t="s">
        <v>1344</v>
      </c>
      <c r="D29" t="s">
        <v>33</v>
      </c>
      <c r="E29" s="1">
        <v>3795.3</v>
      </c>
      <c r="F29">
        <v>2</v>
      </c>
      <c r="G29">
        <v>0</v>
      </c>
      <c r="H29">
        <v>4</v>
      </c>
      <c r="I29">
        <v>0</v>
      </c>
      <c r="J29">
        <v>0</v>
      </c>
      <c r="K29">
        <f t="shared" si="0"/>
        <v>4</v>
      </c>
      <c r="L29" s="1">
        <f t="shared" si="1"/>
        <v>0</v>
      </c>
      <c r="M29" s="1">
        <f t="shared" si="2"/>
        <v>15181.2</v>
      </c>
    </row>
    <row r="30" spans="1:13" x14ac:dyDescent="0.3">
      <c r="A30" t="s">
        <v>1399</v>
      </c>
      <c r="B30" t="s">
        <v>1400</v>
      </c>
      <c r="C30" t="s">
        <v>1344</v>
      </c>
      <c r="D30" t="s">
        <v>33</v>
      </c>
      <c r="E30" s="1">
        <v>7066.18</v>
      </c>
      <c r="F30">
        <v>5</v>
      </c>
      <c r="G30">
        <v>0</v>
      </c>
      <c r="H30">
        <v>9</v>
      </c>
      <c r="I30">
        <v>0</v>
      </c>
      <c r="J30">
        <v>0</v>
      </c>
      <c r="K30">
        <f t="shared" si="0"/>
        <v>9</v>
      </c>
      <c r="L30" s="1">
        <f t="shared" si="1"/>
        <v>0</v>
      </c>
      <c r="M30" s="1">
        <f t="shared" si="2"/>
        <v>63595.62</v>
      </c>
    </row>
    <row r="31" spans="1:13" x14ac:dyDescent="0.3">
      <c r="A31" t="s">
        <v>1401</v>
      </c>
      <c r="B31" t="s">
        <v>1402</v>
      </c>
      <c r="C31" t="s">
        <v>1344</v>
      </c>
      <c r="D31" t="s">
        <v>33</v>
      </c>
      <c r="E31" s="1">
        <v>6501.35</v>
      </c>
      <c r="F31">
        <v>3</v>
      </c>
      <c r="G31">
        <v>0</v>
      </c>
      <c r="H31">
        <v>5</v>
      </c>
      <c r="I31">
        <v>0</v>
      </c>
      <c r="J31">
        <v>0</v>
      </c>
      <c r="K31">
        <f t="shared" si="0"/>
        <v>5</v>
      </c>
      <c r="L31" s="1">
        <f t="shared" si="1"/>
        <v>0</v>
      </c>
      <c r="M31" s="1">
        <f t="shared" si="2"/>
        <v>32506.75</v>
      </c>
    </row>
    <row r="32" spans="1:13" x14ac:dyDescent="0.3">
      <c r="A32" t="s">
        <v>1403</v>
      </c>
      <c r="B32" t="s">
        <v>1404</v>
      </c>
      <c r="D32" t="s">
        <v>33</v>
      </c>
      <c r="E32" s="1">
        <v>0</v>
      </c>
      <c r="F32">
        <v>1</v>
      </c>
      <c r="G32">
        <v>0</v>
      </c>
      <c r="H32">
        <v>2</v>
      </c>
      <c r="I32">
        <v>0</v>
      </c>
      <c r="J32">
        <v>0</v>
      </c>
      <c r="K32">
        <f t="shared" si="0"/>
        <v>2</v>
      </c>
      <c r="L32" s="1">
        <f t="shared" si="1"/>
        <v>0</v>
      </c>
      <c r="M32" s="1">
        <f t="shared" si="2"/>
        <v>0</v>
      </c>
    </row>
    <row r="33" spans="1:13" x14ac:dyDescent="0.3">
      <c r="A33" t="s">
        <v>1405</v>
      </c>
      <c r="B33" t="s">
        <v>1406</v>
      </c>
      <c r="D33" t="s">
        <v>33</v>
      </c>
      <c r="E33" s="1">
        <v>0</v>
      </c>
      <c r="F33">
        <v>1</v>
      </c>
      <c r="G33">
        <v>0</v>
      </c>
      <c r="H33">
        <v>2</v>
      </c>
      <c r="I33">
        <v>0</v>
      </c>
      <c r="J33">
        <v>0</v>
      </c>
      <c r="K33">
        <f t="shared" si="0"/>
        <v>2</v>
      </c>
      <c r="L33" s="1">
        <f t="shared" si="1"/>
        <v>0</v>
      </c>
      <c r="M33" s="1">
        <f t="shared" si="2"/>
        <v>0</v>
      </c>
    </row>
    <row r="34" spans="1:13" x14ac:dyDescent="0.3">
      <c r="A34" t="s">
        <v>1407</v>
      </c>
      <c r="B34" t="s">
        <v>1408</v>
      </c>
      <c r="C34" t="s">
        <v>1344</v>
      </c>
      <c r="D34" t="s">
        <v>33</v>
      </c>
      <c r="E34" s="1">
        <v>8327.86</v>
      </c>
      <c r="F34">
        <v>3</v>
      </c>
      <c r="G34">
        <v>0</v>
      </c>
      <c r="H34">
        <v>5</v>
      </c>
      <c r="I34">
        <v>0</v>
      </c>
      <c r="J34">
        <v>0</v>
      </c>
      <c r="K34">
        <f t="shared" ref="K34:K65" si="3">IF(H34-I34-J34&gt;0,H34-I34-J34,0)</f>
        <v>5</v>
      </c>
      <c r="L34" s="1">
        <f t="shared" ref="L34:L65" si="4">IFERROR(I34*E34,0)</f>
        <v>0</v>
      </c>
      <c r="M34" s="1">
        <f t="shared" ref="M34:M65" si="5">IFERROR(K34*E34,0)</f>
        <v>41639.300000000003</v>
      </c>
    </row>
    <row r="35" spans="1:13" x14ac:dyDescent="0.3">
      <c r="A35" t="s">
        <v>1409</v>
      </c>
      <c r="B35" t="s">
        <v>1410</v>
      </c>
      <c r="C35" t="s">
        <v>1344</v>
      </c>
      <c r="D35" t="s">
        <v>33</v>
      </c>
      <c r="E35" s="1">
        <v>7791.64</v>
      </c>
      <c r="F35">
        <v>2</v>
      </c>
      <c r="G35">
        <v>0</v>
      </c>
      <c r="H35">
        <v>4</v>
      </c>
      <c r="I35">
        <v>0</v>
      </c>
      <c r="J35">
        <v>0</v>
      </c>
      <c r="K35">
        <f t="shared" si="3"/>
        <v>4</v>
      </c>
      <c r="L35" s="1">
        <f t="shared" si="4"/>
        <v>0</v>
      </c>
      <c r="M35" s="1">
        <f t="shared" si="5"/>
        <v>31166.560000000001</v>
      </c>
    </row>
    <row r="36" spans="1:13" x14ac:dyDescent="0.3">
      <c r="A36" t="s">
        <v>1411</v>
      </c>
      <c r="B36" t="s">
        <v>1412</v>
      </c>
      <c r="D36" t="s">
        <v>33</v>
      </c>
      <c r="E36" s="1">
        <v>0</v>
      </c>
      <c r="F36">
        <v>1</v>
      </c>
      <c r="G36">
        <v>0</v>
      </c>
      <c r="H36">
        <v>2</v>
      </c>
      <c r="I36">
        <v>0</v>
      </c>
      <c r="J36">
        <v>0</v>
      </c>
      <c r="K36">
        <f t="shared" si="3"/>
        <v>2</v>
      </c>
      <c r="L36" s="1">
        <f t="shared" si="4"/>
        <v>0</v>
      </c>
      <c r="M36" s="1">
        <f t="shared" si="5"/>
        <v>0</v>
      </c>
    </row>
    <row r="37" spans="1:13" x14ac:dyDescent="0.3">
      <c r="A37" t="s">
        <v>1413</v>
      </c>
      <c r="B37" t="s">
        <v>1414</v>
      </c>
      <c r="D37" t="s">
        <v>33</v>
      </c>
      <c r="E37" s="1">
        <v>0</v>
      </c>
      <c r="F37">
        <v>1</v>
      </c>
      <c r="G37">
        <v>0</v>
      </c>
      <c r="H37">
        <v>2</v>
      </c>
      <c r="I37">
        <v>0</v>
      </c>
      <c r="J37">
        <v>0</v>
      </c>
      <c r="K37">
        <f t="shared" si="3"/>
        <v>2</v>
      </c>
      <c r="L37" s="1">
        <f t="shared" si="4"/>
        <v>0</v>
      </c>
      <c r="M37" s="1">
        <f t="shared" si="5"/>
        <v>0</v>
      </c>
    </row>
    <row r="38" spans="1:13" x14ac:dyDescent="0.3">
      <c r="A38" t="s">
        <v>1415</v>
      </c>
      <c r="B38" t="s">
        <v>1416</v>
      </c>
      <c r="C38" t="s">
        <v>1344</v>
      </c>
      <c r="D38" t="s">
        <v>33</v>
      </c>
      <c r="E38" s="1">
        <v>13272.68</v>
      </c>
      <c r="F38">
        <v>3</v>
      </c>
      <c r="G38">
        <v>0</v>
      </c>
      <c r="H38">
        <v>5</v>
      </c>
      <c r="I38">
        <v>0</v>
      </c>
      <c r="J38">
        <v>0</v>
      </c>
      <c r="K38">
        <f t="shared" si="3"/>
        <v>5</v>
      </c>
      <c r="L38" s="1">
        <f t="shared" si="4"/>
        <v>0</v>
      </c>
      <c r="M38" s="1">
        <f t="shared" si="5"/>
        <v>66363.399999999994</v>
      </c>
    </row>
    <row r="39" spans="1:13" x14ac:dyDescent="0.3">
      <c r="A39" t="s">
        <v>1417</v>
      </c>
      <c r="B39" t="s">
        <v>1418</v>
      </c>
      <c r="D39" t="s">
        <v>33</v>
      </c>
      <c r="E39" s="1">
        <v>0</v>
      </c>
      <c r="F39">
        <v>1</v>
      </c>
      <c r="G39">
        <v>0</v>
      </c>
      <c r="H39">
        <v>2</v>
      </c>
      <c r="I39">
        <v>0</v>
      </c>
      <c r="J39">
        <v>0</v>
      </c>
      <c r="K39">
        <f t="shared" si="3"/>
        <v>2</v>
      </c>
      <c r="L39" s="1">
        <f t="shared" si="4"/>
        <v>0</v>
      </c>
      <c r="M39" s="1">
        <f t="shared" si="5"/>
        <v>0</v>
      </c>
    </row>
    <row r="40" spans="1:13" x14ac:dyDescent="0.3">
      <c r="A40" t="s">
        <v>1419</v>
      </c>
      <c r="B40" t="s">
        <v>1420</v>
      </c>
      <c r="C40" t="s">
        <v>1344</v>
      </c>
      <c r="D40" t="s">
        <v>33</v>
      </c>
      <c r="E40" s="1">
        <v>14410.33</v>
      </c>
      <c r="F40">
        <v>2</v>
      </c>
      <c r="G40">
        <v>0</v>
      </c>
      <c r="H40">
        <v>4</v>
      </c>
      <c r="I40">
        <v>0</v>
      </c>
      <c r="J40">
        <v>0</v>
      </c>
      <c r="K40">
        <f t="shared" si="3"/>
        <v>4</v>
      </c>
      <c r="L40" s="1">
        <f t="shared" si="4"/>
        <v>0</v>
      </c>
      <c r="M40" s="1">
        <f t="shared" si="5"/>
        <v>57641.32</v>
      </c>
    </row>
    <row r="41" spans="1:13" x14ac:dyDescent="0.3">
      <c r="A41" t="s">
        <v>1421</v>
      </c>
      <c r="B41" t="s">
        <v>1422</v>
      </c>
      <c r="C41" t="s">
        <v>1344</v>
      </c>
      <c r="D41" t="s">
        <v>33</v>
      </c>
      <c r="E41" s="1">
        <v>23609.05</v>
      </c>
      <c r="F41">
        <v>2</v>
      </c>
      <c r="G41">
        <v>0</v>
      </c>
      <c r="H41">
        <v>4</v>
      </c>
      <c r="I41">
        <v>0</v>
      </c>
      <c r="J41">
        <v>0</v>
      </c>
      <c r="K41">
        <f t="shared" si="3"/>
        <v>4</v>
      </c>
      <c r="L41" s="1">
        <f t="shared" si="4"/>
        <v>0</v>
      </c>
      <c r="M41" s="1">
        <f t="shared" si="5"/>
        <v>94436.2</v>
      </c>
    </row>
    <row r="42" spans="1:13" x14ac:dyDescent="0.3">
      <c r="A42" t="s">
        <v>1423</v>
      </c>
      <c r="B42" t="s">
        <v>1424</v>
      </c>
      <c r="D42" t="s">
        <v>33</v>
      </c>
      <c r="E42" s="1">
        <v>0</v>
      </c>
      <c r="F42">
        <v>1</v>
      </c>
      <c r="G42">
        <v>0</v>
      </c>
      <c r="H42">
        <v>2</v>
      </c>
      <c r="I42">
        <v>0</v>
      </c>
      <c r="J42">
        <v>0</v>
      </c>
      <c r="K42">
        <f t="shared" si="3"/>
        <v>2</v>
      </c>
      <c r="L42" s="1">
        <f t="shared" si="4"/>
        <v>0</v>
      </c>
      <c r="M42" s="1">
        <f t="shared" si="5"/>
        <v>0</v>
      </c>
    </row>
    <row r="43" spans="1:13" x14ac:dyDescent="0.3">
      <c r="A43" t="s">
        <v>1425</v>
      </c>
      <c r="B43" t="s">
        <v>1426</v>
      </c>
      <c r="D43" t="s">
        <v>33</v>
      </c>
      <c r="E43" s="1">
        <v>0</v>
      </c>
      <c r="F43">
        <v>1</v>
      </c>
      <c r="G43">
        <v>0</v>
      </c>
      <c r="H43">
        <v>2</v>
      </c>
      <c r="I43">
        <v>0</v>
      </c>
      <c r="J43">
        <v>0</v>
      </c>
      <c r="K43">
        <f t="shared" si="3"/>
        <v>2</v>
      </c>
      <c r="L43" s="1">
        <f t="shared" si="4"/>
        <v>0</v>
      </c>
      <c r="M43" s="1">
        <f t="shared" si="5"/>
        <v>0</v>
      </c>
    </row>
    <row r="44" spans="1:13" x14ac:dyDescent="0.3">
      <c r="A44" t="s">
        <v>1427</v>
      </c>
      <c r="B44" t="s">
        <v>1428</v>
      </c>
      <c r="D44" t="s">
        <v>33</v>
      </c>
      <c r="E44" s="1">
        <v>0</v>
      </c>
      <c r="F44">
        <v>1</v>
      </c>
      <c r="G44">
        <v>0</v>
      </c>
      <c r="H44">
        <v>2</v>
      </c>
      <c r="I44">
        <v>0</v>
      </c>
      <c r="J44">
        <v>0</v>
      </c>
      <c r="K44">
        <f t="shared" si="3"/>
        <v>2</v>
      </c>
      <c r="L44" s="1">
        <f t="shared" si="4"/>
        <v>0</v>
      </c>
      <c r="M44" s="1">
        <f t="shared" si="5"/>
        <v>0</v>
      </c>
    </row>
    <row r="45" spans="1:13" x14ac:dyDescent="0.3">
      <c r="A45" t="s">
        <v>1429</v>
      </c>
      <c r="B45" t="s">
        <v>1430</v>
      </c>
      <c r="C45" t="s">
        <v>1344</v>
      </c>
      <c r="D45" t="s">
        <v>33</v>
      </c>
      <c r="E45" s="1">
        <v>735.24</v>
      </c>
      <c r="F45">
        <v>2</v>
      </c>
      <c r="G45">
        <v>0</v>
      </c>
      <c r="H45">
        <v>4</v>
      </c>
      <c r="I45">
        <v>0</v>
      </c>
      <c r="J45">
        <v>0</v>
      </c>
      <c r="K45">
        <f t="shared" si="3"/>
        <v>4</v>
      </c>
      <c r="L45" s="1">
        <f t="shared" si="4"/>
        <v>0</v>
      </c>
      <c r="M45" s="1">
        <f t="shared" si="5"/>
        <v>2940.96</v>
      </c>
    </row>
    <row r="46" spans="1:13" x14ac:dyDescent="0.3">
      <c r="A46" t="s">
        <v>1431</v>
      </c>
      <c r="B46" t="s">
        <v>1432</v>
      </c>
      <c r="C46" t="s">
        <v>1344</v>
      </c>
      <c r="D46" t="s">
        <v>33</v>
      </c>
      <c r="E46" s="1">
        <v>1727.72</v>
      </c>
      <c r="F46">
        <v>4</v>
      </c>
      <c r="G46">
        <v>0</v>
      </c>
      <c r="H46">
        <v>8</v>
      </c>
      <c r="I46">
        <v>0</v>
      </c>
      <c r="J46">
        <v>0</v>
      </c>
      <c r="K46">
        <f t="shared" si="3"/>
        <v>8</v>
      </c>
      <c r="L46" s="1">
        <f t="shared" si="4"/>
        <v>0</v>
      </c>
      <c r="M46" s="1">
        <f t="shared" si="5"/>
        <v>13821.76</v>
      </c>
    </row>
    <row r="47" spans="1:13" x14ac:dyDescent="0.3">
      <c r="A47" t="s">
        <v>1433</v>
      </c>
      <c r="B47" t="s">
        <v>1434</v>
      </c>
      <c r="C47" t="s">
        <v>1344</v>
      </c>
      <c r="D47" t="s">
        <v>33</v>
      </c>
      <c r="E47" s="1">
        <v>1993.97</v>
      </c>
      <c r="F47">
        <v>4</v>
      </c>
      <c r="G47">
        <v>0</v>
      </c>
      <c r="H47">
        <v>8</v>
      </c>
      <c r="I47">
        <v>0</v>
      </c>
      <c r="J47">
        <v>0</v>
      </c>
      <c r="K47">
        <f t="shared" si="3"/>
        <v>8</v>
      </c>
      <c r="L47" s="1">
        <f t="shared" si="4"/>
        <v>0</v>
      </c>
      <c r="M47" s="1">
        <f t="shared" si="5"/>
        <v>15951.76</v>
      </c>
    </row>
    <row r="48" spans="1:13" x14ac:dyDescent="0.3">
      <c r="A48" t="s">
        <v>1435</v>
      </c>
      <c r="B48" t="s">
        <v>1436</v>
      </c>
      <c r="C48" t="s">
        <v>1344</v>
      </c>
      <c r="D48" t="s">
        <v>33</v>
      </c>
      <c r="E48" s="1">
        <v>2095.15</v>
      </c>
      <c r="F48">
        <v>4</v>
      </c>
      <c r="G48">
        <v>0</v>
      </c>
      <c r="H48">
        <v>8</v>
      </c>
      <c r="I48">
        <v>0</v>
      </c>
      <c r="J48">
        <v>0</v>
      </c>
      <c r="K48">
        <f t="shared" si="3"/>
        <v>8</v>
      </c>
      <c r="L48" s="1">
        <f t="shared" si="4"/>
        <v>0</v>
      </c>
      <c r="M48" s="1">
        <f t="shared" si="5"/>
        <v>16761.2</v>
      </c>
    </row>
    <row r="49" spans="1:13" x14ac:dyDescent="0.3">
      <c r="A49" t="s">
        <v>1437</v>
      </c>
      <c r="B49" t="s">
        <v>1438</v>
      </c>
      <c r="C49" t="s">
        <v>1344</v>
      </c>
      <c r="D49" t="s">
        <v>33</v>
      </c>
      <c r="E49" s="1">
        <v>1429.71</v>
      </c>
      <c r="F49">
        <v>2</v>
      </c>
      <c r="G49">
        <v>0</v>
      </c>
      <c r="H49">
        <v>4</v>
      </c>
      <c r="I49">
        <v>0</v>
      </c>
      <c r="J49">
        <v>0</v>
      </c>
      <c r="K49">
        <f t="shared" si="3"/>
        <v>4</v>
      </c>
      <c r="L49" s="1">
        <f t="shared" si="4"/>
        <v>0</v>
      </c>
      <c r="M49" s="1">
        <f t="shared" si="5"/>
        <v>5718.84</v>
      </c>
    </row>
    <row r="50" spans="1:13" x14ac:dyDescent="0.3">
      <c r="A50" t="s">
        <v>1439</v>
      </c>
      <c r="B50" t="s">
        <v>1440</v>
      </c>
      <c r="C50" t="s">
        <v>1344</v>
      </c>
      <c r="D50" t="s">
        <v>33</v>
      </c>
      <c r="E50" s="1">
        <v>2732.17</v>
      </c>
      <c r="F50">
        <v>5</v>
      </c>
      <c r="G50">
        <v>0</v>
      </c>
      <c r="H50">
        <v>10</v>
      </c>
      <c r="I50">
        <v>0</v>
      </c>
      <c r="J50">
        <v>0</v>
      </c>
      <c r="K50">
        <f t="shared" si="3"/>
        <v>10</v>
      </c>
      <c r="L50" s="1">
        <f t="shared" si="4"/>
        <v>0</v>
      </c>
      <c r="M50" s="1">
        <f t="shared" si="5"/>
        <v>27321.7</v>
      </c>
    </row>
    <row r="51" spans="1:13" x14ac:dyDescent="0.3">
      <c r="A51" t="s">
        <v>1441</v>
      </c>
      <c r="B51" t="s">
        <v>1442</v>
      </c>
      <c r="D51" t="s">
        <v>33</v>
      </c>
      <c r="E51" s="1">
        <v>0</v>
      </c>
      <c r="F51">
        <v>1</v>
      </c>
      <c r="G51">
        <v>0</v>
      </c>
      <c r="H51">
        <v>2</v>
      </c>
      <c r="I51">
        <v>0</v>
      </c>
      <c r="J51">
        <v>0</v>
      </c>
      <c r="K51">
        <f t="shared" si="3"/>
        <v>2</v>
      </c>
      <c r="L51" s="1">
        <f t="shared" si="4"/>
        <v>0</v>
      </c>
      <c r="M51" s="1">
        <f t="shared" si="5"/>
        <v>0</v>
      </c>
    </row>
    <row r="52" spans="1:13" x14ac:dyDescent="0.3">
      <c r="A52" t="s">
        <v>1443</v>
      </c>
      <c r="B52" t="s">
        <v>1444</v>
      </c>
      <c r="D52" t="s">
        <v>33</v>
      </c>
      <c r="E52" s="1">
        <v>0</v>
      </c>
      <c r="F52">
        <v>1</v>
      </c>
      <c r="G52">
        <v>0</v>
      </c>
      <c r="H52">
        <v>2</v>
      </c>
      <c r="I52">
        <v>0</v>
      </c>
      <c r="J52">
        <v>0</v>
      </c>
      <c r="K52">
        <f t="shared" si="3"/>
        <v>2</v>
      </c>
      <c r="L52" s="1">
        <f t="shared" si="4"/>
        <v>0</v>
      </c>
      <c r="M52" s="1">
        <f t="shared" si="5"/>
        <v>0</v>
      </c>
    </row>
    <row r="53" spans="1:13" x14ac:dyDescent="0.3">
      <c r="A53" t="s">
        <v>1445</v>
      </c>
      <c r="B53" t="s">
        <v>1446</v>
      </c>
      <c r="C53" t="s">
        <v>1344</v>
      </c>
      <c r="D53" t="s">
        <v>33</v>
      </c>
      <c r="E53" s="1">
        <v>2967.12</v>
      </c>
      <c r="F53">
        <v>3</v>
      </c>
      <c r="G53">
        <v>0</v>
      </c>
      <c r="H53">
        <v>5</v>
      </c>
      <c r="I53">
        <v>0</v>
      </c>
      <c r="J53">
        <v>0</v>
      </c>
      <c r="K53">
        <f t="shared" si="3"/>
        <v>5</v>
      </c>
      <c r="L53" s="1">
        <f t="shared" si="4"/>
        <v>0</v>
      </c>
      <c r="M53" s="1">
        <f t="shared" si="5"/>
        <v>14835.599999999999</v>
      </c>
    </row>
    <row r="54" spans="1:13" x14ac:dyDescent="0.3">
      <c r="A54" t="s">
        <v>1447</v>
      </c>
      <c r="B54" t="s">
        <v>1448</v>
      </c>
      <c r="C54" t="s">
        <v>1344</v>
      </c>
      <c r="D54" t="s">
        <v>33</v>
      </c>
      <c r="E54" s="1">
        <v>4105.16</v>
      </c>
      <c r="F54">
        <v>2</v>
      </c>
      <c r="G54">
        <v>0</v>
      </c>
      <c r="H54">
        <v>4</v>
      </c>
      <c r="I54">
        <v>0</v>
      </c>
      <c r="J54">
        <v>0</v>
      </c>
      <c r="K54">
        <f t="shared" si="3"/>
        <v>4</v>
      </c>
      <c r="L54" s="1">
        <f t="shared" si="4"/>
        <v>0</v>
      </c>
      <c r="M54" s="1">
        <f t="shared" si="5"/>
        <v>16420.64</v>
      </c>
    </row>
    <row r="55" spans="1:13" x14ac:dyDescent="0.3">
      <c r="A55" t="s">
        <v>1449</v>
      </c>
      <c r="B55" t="s">
        <v>1450</v>
      </c>
      <c r="C55" t="s">
        <v>1344</v>
      </c>
      <c r="D55" t="s">
        <v>33</v>
      </c>
      <c r="E55" s="1">
        <v>4679.1400000000003</v>
      </c>
      <c r="F55">
        <v>2</v>
      </c>
      <c r="G55">
        <v>0</v>
      </c>
      <c r="H55">
        <v>4</v>
      </c>
      <c r="I55">
        <v>0</v>
      </c>
      <c r="J55">
        <v>0</v>
      </c>
      <c r="K55">
        <f t="shared" si="3"/>
        <v>4</v>
      </c>
      <c r="L55" s="1">
        <f t="shared" si="4"/>
        <v>0</v>
      </c>
      <c r="M55" s="1">
        <f t="shared" si="5"/>
        <v>18716.560000000001</v>
      </c>
    </row>
    <row r="56" spans="1:13" x14ac:dyDescent="0.3">
      <c r="A56" t="s">
        <v>1451</v>
      </c>
      <c r="B56" t="s">
        <v>1452</v>
      </c>
      <c r="C56" t="s">
        <v>1344</v>
      </c>
      <c r="D56" t="s">
        <v>33</v>
      </c>
      <c r="E56" s="1">
        <v>6886.04</v>
      </c>
      <c r="F56">
        <v>4</v>
      </c>
      <c r="G56">
        <v>0</v>
      </c>
      <c r="H56">
        <v>8</v>
      </c>
      <c r="I56">
        <v>0</v>
      </c>
      <c r="J56">
        <v>0</v>
      </c>
      <c r="K56">
        <f t="shared" si="3"/>
        <v>8</v>
      </c>
      <c r="L56" s="1">
        <f t="shared" si="4"/>
        <v>0</v>
      </c>
      <c r="M56" s="1">
        <f t="shared" si="5"/>
        <v>55088.32</v>
      </c>
    </row>
    <row r="57" spans="1:13" x14ac:dyDescent="0.3">
      <c r="A57" t="s">
        <v>1453</v>
      </c>
      <c r="B57" t="s">
        <v>1454</v>
      </c>
      <c r="D57" t="s">
        <v>33</v>
      </c>
      <c r="E57" s="1">
        <v>0</v>
      </c>
      <c r="F57">
        <v>1</v>
      </c>
      <c r="G57">
        <v>0</v>
      </c>
      <c r="H57">
        <v>2</v>
      </c>
      <c r="I57">
        <v>0</v>
      </c>
      <c r="J57">
        <v>0</v>
      </c>
      <c r="K57">
        <f t="shared" si="3"/>
        <v>2</v>
      </c>
      <c r="L57" s="1">
        <f t="shared" si="4"/>
        <v>0</v>
      </c>
      <c r="M57" s="1">
        <f t="shared" si="5"/>
        <v>0</v>
      </c>
    </row>
    <row r="58" spans="1:13" x14ac:dyDescent="0.3">
      <c r="A58" t="s">
        <v>1455</v>
      </c>
      <c r="B58" t="s">
        <v>1456</v>
      </c>
      <c r="C58" t="s">
        <v>1344</v>
      </c>
      <c r="D58" t="s">
        <v>33</v>
      </c>
      <c r="E58" s="1">
        <v>1464.39</v>
      </c>
      <c r="F58">
        <v>3</v>
      </c>
      <c r="G58">
        <v>0</v>
      </c>
      <c r="H58">
        <v>5</v>
      </c>
      <c r="I58">
        <v>0</v>
      </c>
      <c r="J58">
        <v>0</v>
      </c>
      <c r="K58">
        <f t="shared" si="3"/>
        <v>5</v>
      </c>
      <c r="L58" s="1">
        <f t="shared" si="4"/>
        <v>0</v>
      </c>
      <c r="M58" s="1">
        <f t="shared" si="5"/>
        <v>7321.9500000000007</v>
      </c>
    </row>
    <row r="59" spans="1:13" x14ac:dyDescent="0.3">
      <c r="A59" t="s">
        <v>1457</v>
      </c>
      <c r="B59" t="s">
        <v>1458</v>
      </c>
      <c r="D59" t="s">
        <v>33</v>
      </c>
      <c r="E59" s="1">
        <v>0</v>
      </c>
      <c r="F59">
        <v>1</v>
      </c>
      <c r="G59">
        <v>0</v>
      </c>
      <c r="H59">
        <v>2</v>
      </c>
      <c r="I59">
        <v>0</v>
      </c>
      <c r="J59">
        <v>0</v>
      </c>
      <c r="K59">
        <f t="shared" si="3"/>
        <v>2</v>
      </c>
      <c r="L59" s="1">
        <f t="shared" si="4"/>
        <v>0</v>
      </c>
      <c r="M59" s="1">
        <f t="shared" si="5"/>
        <v>0</v>
      </c>
    </row>
    <row r="60" spans="1:13" x14ac:dyDescent="0.3">
      <c r="A60" t="s">
        <v>1459</v>
      </c>
      <c r="B60" t="s">
        <v>1460</v>
      </c>
      <c r="C60" t="s">
        <v>70</v>
      </c>
      <c r="D60" t="s">
        <v>33</v>
      </c>
      <c r="E60" s="1">
        <v>1340.63</v>
      </c>
      <c r="F60">
        <v>1</v>
      </c>
      <c r="G60">
        <v>0</v>
      </c>
      <c r="H60">
        <v>2</v>
      </c>
      <c r="I60">
        <v>0</v>
      </c>
      <c r="J60">
        <v>0</v>
      </c>
      <c r="K60">
        <f t="shared" si="3"/>
        <v>2</v>
      </c>
      <c r="L60" s="1">
        <f t="shared" si="4"/>
        <v>0</v>
      </c>
      <c r="M60" s="1">
        <f t="shared" si="5"/>
        <v>2681.26</v>
      </c>
    </row>
    <row r="61" spans="1:13" x14ac:dyDescent="0.3">
      <c r="A61" t="s">
        <v>1461</v>
      </c>
      <c r="B61" t="s">
        <v>1462</v>
      </c>
      <c r="D61" t="s">
        <v>33</v>
      </c>
      <c r="E61" s="1">
        <v>0</v>
      </c>
      <c r="F61">
        <v>1</v>
      </c>
      <c r="G61">
        <v>0</v>
      </c>
      <c r="H61">
        <v>2</v>
      </c>
      <c r="I61">
        <v>0</v>
      </c>
      <c r="J61">
        <v>0</v>
      </c>
      <c r="K61">
        <f t="shared" si="3"/>
        <v>2</v>
      </c>
      <c r="L61" s="1">
        <f t="shared" si="4"/>
        <v>0</v>
      </c>
      <c r="M61" s="1">
        <f t="shared" si="5"/>
        <v>0</v>
      </c>
    </row>
    <row r="62" spans="1:13" x14ac:dyDescent="0.3">
      <c r="A62" t="s">
        <v>1463</v>
      </c>
      <c r="B62" t="s">
        <v>1464</v>
      </c>
      <c r="D62" t="s">
        <v>33</v>
      </c>
      <c r="E62" s="1">
        <v>0</v>
      </c>
      <c r="F62">
        <v>1</v>
      </c>
      <c r="G62">
        <v>0</v>
      </c>
      <c r="H62">
        <v>2</v>
      </c>
      <c r="I62">
        <v>0</v>
      </c>
      <c r="J62">
        <v>0</v>
      </c>
      <c r="K62">
        <f t="shared" si="3"/>
        <v>2</v>
      </c>
      <c r="L62" s="1">
        <f t="shared" si="4"/>
        <v>0</v>
      </c>
      <c r="M62" s="1">
        <f t="shared" si="5"/>
        <v>0</v>
      </c>
    </row>
    <row r="63" spans="1:13" x14ac:dyDescent="0.3">
      <c r="A63" t="s">
        <v>1465</v>
      </c>
      <c r="B63" t="s">
        <v>1466</v>
      </c>
      <c r="D63" t="s">
        <v>33</v>
      </c>
      <c r="E63" s="1">
        <v>0</v>
      </c>
      <c r="F63">
        <v>1</v>
      </c>
      <c r="G63">
        <v>0</v>
      </c>
      <c r="H63">
        <v>2</v>
      </c>
      <c r="I63">
        <v>0</v>
      </c>
      <c r="J63">
        <v>0</v>
      </c>
      <c r="K63">
        <f t="shared" si="3"/>
        <v>2</v>
      </c>
      <c r="L63" s="1">
        <f t="shared" si="4"/>
        <v>0</v>
      </c>
      <c r="M63" s="1">
        <f t="shared" si="5"/>
        <v>0</v>
      </c>
    </row>
    <row r="64" spans="1:13" x14ac:dyDescent="0.3">
      <c r="A64" t="s">
        <v>1467</v>
      </c>
      <c r="B64" t="s">
        <v>1468</v>
      </c>
      <c r="D64" t="s">
        <v>33</v>
      </c>
      <c r="E64" s="1">
        <v>0</v>
      </c>
      <c r="F64">
        <v>1</v>
      </c>
      <c r="G64">
        <v>0</v>
      </c>
      <c r="H64">
        <v>2</v>
      </c>
      <c r="I64">
        <v>0</v>
      </c>
      <c r="J64">
        <v>0</v>
      </c>
      <c r="K64">
        <f t="shared" si="3"/>
        <v>2</v>
      </c>
      <c r="L64" s="1">
        <f t="shared" si="4"/>
        <v>0</v>
      </c>
      <c r="M64" s="1">
        <f t="shared" si="5"/>
        <v>0</v>
      </c>
    </row>
    <row r="65" spans="1:13" x14ac:dyDescent="0.3">
      <c r="A65" t="s">
        <v>1469</v>
      </c>
      <c r="B65" t="s">
        <v>1470</v>
      </c>
      <c r="D65" t="s">
        <v>33</v>
      </c>
      <c r="E65" s="1">
        <v>0</v>
      </c>
      <c r="F65">
        <v>1</v>
      </c>
      <c r="G65">
        <v>0</v>
      </c>
      <c r="H65">
        <v>2</v>
      </c>
      <c r="I65">
        <v>0</v>
      </c>
      <c r="J65">
        <v>0</v>
      </c>
      <c r="K65">
        <f t="shared" si="3"/>
        <v>2</v>
      </c>
      <c r="L65" s="1">
        <f t="shared" si="4"/>
        <v>0</v>
      </c>
      <c r="M65" s="1">
        <f t="shared" si="5"/>
        <v>0</v>
      </c>
    </row>
    <row r="66" spans="1:13" x14ac:dyDescent="0.3">
      <c r="A66" t="s">
        <v>1471</v>
      </c>
      <c r="B66" t="s">
        <v>1472</v>
      </c>
      <c r="C66" t="s">
        <v>70</v>
      </c>
      <c r="D66" t="s">
        <v>33</v>
      </c>
      <c r="E66" s="1">
        <v>2993.25</v>
      </c>
      <c r="F66">
        <v>1</v>
      </c>
      <c r="G66">
        <v>0</v>
      </c>
      <c r="H66">
        <v>2</v>
      </c>
      <c r="I66">
        <v>0</v>
      </c>
      <c r="J66">
        <v>0</v>
      </c>
      <c r="K66">
        <f t="shared" ref="K66:K94" si="6">IF(H66-I66-J66&gt;0,H66-I66-J66,0)</f>
        <v>2</v>
      </c>
      <c r="L66" s="1">
        <f t="shared" ref="L66:L94" si="7">IFERROR(I66*E66,0)</f>
        <v>0</v>
      </c>
      <c r="M66" s="1">
        <f t="shared" ref="M66:M94" si="8">IFERROR(K66*E66,0)</f>
        <v>5986.5</v>
      </c>
    </row>
    <row r="67" spans="1:13" x14ac:dyDescent="0.3">
      <c r="A67" t="s">
        <v>1473</v>
      </c>
      <c r="B67" t="s">
        <v>1474</v>
      </c>
      <c r="D67" t="s">
        <v>33</v>
      </c>
      <c r="E67" s="1">
        <v>0</v>
      </c>
      <c r="F67">
        <v>1</v>
      </c>
      <c r="G67">
        <v>0</v>
      </c>
      <c r="H67">
        <v>2</v>
      </c>
      <c r="I67">
        <v>0</v>
      </c>
      <c r="J67">
        <v>0</v>
      </c>
      <c r="K67">
        <f t="shared" si="6"/>
        <v>2</v>
      </c>
      <c r="L67" s="1">
        <f t="shared" si="7"/>
        <v>0</v>
      </c>
      <c r="M67" s="1">
        <f t="shared" si="8"/>
        <v>0</v>
      </c>
    </row>
    <row r="68" spans="1:13" x14ac:dyDescent="0.3">
      <c r="A68" t="s">
        <v>1475</v>
      </c>
      <c r="B68" t="s">
        <v>1476</v>
      </c>
      <c r="C68" t="s">
        <v>70</v>
      </c>
      <c r="D68" t="s">
        <v>33</v>
      </c>
      <c r="E68" s="1">
        <v>2783.25</v>
      </c>
      <c r="F68">
        <v>1</v>
      </c>
      <c r="G68">
        <v>0</v>
      </c>
      <c r="H68">
        <v>2</v>
      </c>
      <c r="I68">
        <v>0</v>
      </c>
      <c r="J68">
        <v>0</v>
      </c>
      <c r="K68">
        <f t="shared" si="6"/>
        <v>2</v>
      </c>
      <c r="L68" s="1">
        <f t="shared" si="7"/>
        <v>0</v>
      </c>
      <c r="M68" s="1">
        <f t="shared" si="8"/>
        <v>5566.5</v>
      </c>
    </row>
    <row r="69" spans="1:13" x14ac:dyDescent="0.3">
      <c r="A69" t="s">
        <v>1477</v>
      </c>
      <c r="B69" t="s">
        <v>1478</v>
      </c>
      <c r="C69" t="s">
        <v>1344</v>
      </c>
      <c r="D69" t="s">
        <v>33</v>
      </c>
      <c r="E69" s="1">
        <v>5554.99</v>
      </c>
      <c r="F69">
        <v>1</v>
      </c>
      <c r="G69">
        <v>0</v>
      </c>
      <c r="H69">
        <v>3</v>
      </c>
      <c r="I69">
        <v>0</v>
      </c>
      <c r="J69">
        <v>0</v>
      </c>
      <c r="K69">
        <f t="shared" si="6"/>
        <v>3</v>
      </c>
      <c r="L69" s="1">
        <f t="shared" si="7"/>
        <v>0</v>
      </c>
      <c r="M69" s="1">
        <f t="shared" si="8"/>
        <v>16664.97</v>
      </c>
    </row>
    <row r="70" spans="1:13" x14ac:dyDescent="0.3">
      <c r="A70" t="s">
        <v>1479</v>
      </c>
      <c r="B70" t="s">
        <v>1480</v>
      </c>
      <c r="D70" t="s">
        <v>33</v>
      </c>
      <c r="E70" s="1">
        <v>0</v>
      </c>
      <c r="F70">
        <v>1</v>
      </c>
      <c r="G70">
        <v>0</v>
      </c>
      <c r="H70">
        <v>2</v>
      </c>
      <c r="I70">
        <v>0</v>
      </c>
      <c r="J70">
        <v>0</v>
      </c>
      <c r="K70">
        <f t="shared" si="6"/>
        <v>2</v>
      </c>
      <c r="L70" s="1">
        <f t="shared" si="7"/>
        <v>0</v>
      </c>
      <c r="M70" s="1">
        <f t="shared" si="8"/>
        <v>0</v>
      </c>
    </row>
    <row r="71" spans="1:13" x14ac:dyDescent="0.3">
      <c r="A71" t="s">
        <v>1481</v>
      </c>
      <c r="B71" t="s">
        <v>1482</v>
      </c>
      <c r="D71" t="s">
        <v>33</v>
      </c>
      <c r="E71" s="1">
        <v>0</v>
      </c>
      <c r="F71">
        <v>1</v>
      </c>
      <c r="G71">
        <v>0</v>
      </c>
      <c r="H71">
        <v>2</v>
      </c>
      <c r="I71">
        <v>0</v>
      </c>
      <c r="J71">
        <v>0</v>
      </c>
      <c r="K71">
        <f t="shared" si="6"/>
        <v>2</v>
      </c>
      <c r="L71" s="1">
        <f t="shared" si="7"/>
        <v>0</v>
      </c>
      <c r="M71" s="1">
        <f t="shared" si="8"/>
        <v>0</v>
      </c>
    </row>
    <row r="72" spans="1:13" x14ac:dyDescent="0.3">
      <c r="A72" t="s">
        <v>1483</v>
      </c>
      <c r="B72" t="s">
        <v>1484</v>
      </c>
      <c r="C72" t="s">
        <v>70</v>
      </c>
      <c r="D72" t="s">
        <v>33</v>
      </c>
      <c r="E72" s="1">
        <v>2428.5</v>
      </c>
      <c r="F72">
        <v>1</v>
      </c>
      <c r="G72">
        <v>0</v>
      </c>
      <c r="H72">
        <v>5</v>
      </c>
      <c r="I72">
        <v>0</v>
      </c>
      <c r="J72">
        <v>0</v>
      </c>
      <c r="K72">
        <f t="shared" si="6"/>
        <v>5</v>
      </c>
      <c r="L72" s="1">
        <f t="shared" si="7"/>
        <v>0</v>
      </c>
      <c r="M72" s="1">
        <f t="shared" si="8"/>
        <v>12142.5</v>
      </c>
    </row>
    <row r="73" spans="1:13" x14ac:dyDescent="0.3">
      <c r="A73" t="s">
        <v>1485</v>
      </c>
      <c r="B73" t="s">
        <v>1486</v>
      </c>
      <c r="C73" t="s">
        <v>1344</v>
      </c>
      <c r="D73" t="s">
        <v>33</v>
      </c>
      <c r="E73" s="1">
        <v>657.41</v>
      </c>
      <c r="F73">
        <v>52</v>
      </c>
      <c r="G73">
        <v>0</v>
      </c>
      <c r="H73">
        <v>104</v>
      </c>
      <c r="I73">
        <v>0</v>
      </c>
      <c r="J73">
        <v>0</v>
      </c>
      <c r="K73">
        <f t="shared" si="6"/>
        <v>104</v>
      </c>
      <c r="L73" s="1">
        <f t="shared" si="7"/>
        <v>0</v>
      </c>
      <c r="M73" s="1">
        <f t="shared" si="8"/>
        <v>68370.64</v>
      </c>
    </row>
    <row r="74" spans="1:13" x14ac:dyDescent="0.3">
      <c r="A74" t="s">
        <v>1487</v>
      </c>
      <c r="B74" t="s">
        <v>1488</v>
      </c>
      <c r="C74" t="s">
        <v>1344</v>
      </c>
      <c r="D74" t="s">
        <v>33</v>
      </c>
      <c r="E74" s="1">
        <v>1004.27</v>
      </c>
      <c r="F74">
        <v>52</v>
      </c>
      <c r="G74">
        <v>0</v>
      </c>
      <c r="H74">
        <v>104</v>
      </c>
      <c r="I74">
        <v>0</v>
      </c>
      <c r="J74">
        <v>0</v>
      </c>
      <c r="K74">
        <f t="shared" si="6"/>
        <v>104</v>
      </c>
      <c r="L74" s="1">
        <f t="shared" si="7"/>
        <v>0</v>
      </c>
      <c r="M74" s="1">
        <f t="shared" si="8"/>
        <v>104444.08</v>
      </c>
    </row>
    <row r="75" spans="1:13" x14ac:dyDescent="0.3">
      <c r="A75" t="s">
        <v>1489</v>
      </c>
      <c r="B75" t="s">
        <v>1490</v>
      </c>
      <c r="C75" t="s">
        <v>1344</v>
      </c>
      <c r="D75" t="s">
        <v>33</v>
      </c>
      <c r="E75" s="1">
        <v>1887.42</v>
      </c>
      <c r="F75">
        <v>52</v>
      </c>
      <c r="G75">
        <v>0</v>
      </c>
      <c r="H75">
        <v>104</v>
      </c>
      <c r="I75">
        <v>0</v>
      </c>
      <c r="J75">
        <v>0</v>
      </c>
      <c r="K75">
        <f t="shared" si="6"/>
        <v>104</v>
      </c>
      <c r="L75" s="1">
        <f t="shared" si="7"/>
        <v>0</v>
      </c>
      <c r="M75" s="1">
        <f t="shared" si="8"/>
        <v>196291.68</v>
      </c>
    </row>
    <row r="76" spans="1:13" x14ac:dyDescent="0.3">
      <c r="A76" t="s">
        <v>1491</v>
      </c>
      <c r="B76" t="s">
        <v>1492</v>
      </c>
      <c r="C76" t="s">
        <v>1344</v>
      </c>
      <c r="D76" t="s">
        <v>33</v>
      </c>
      <c r="E76" s="1">
        <v>2583.6</v>
      </c>
      <c r="F76">
        <v>11</v>
      </c>
      <c r="G76">
        <v>0</v>
      </c>
      <c r="H76">
        <v>22</v>
      </c>
      <c r="I76">
        <v>0</v>
      </c>
      <c r="J76">
        <v>0</v>
      </c>
      <c r="K76">
        <f t="shared" si="6"/>
        <v>22</v>
      </c>
      <c r="L76" s="1">
        <f t="shared" si="7"/>
        <v>0</v>
      </c>
      <c r="M76" s="1">
        <f t="shared" si="8"/>
        <v>56839.199999999997</v>
      </c>
    </row>
    <row r="77" spans="1:13" x14ac:dyDescent="0.3">
      <c r="A77" t="s">
        <v>1493</v>
      </c>
      <c r="B77" t="s">
        <v>1494</v>
      </c>
      <c r="C77" t="s">
        <v>1344</v>
      </c>
      <c r="D77" t="s">
        <v>33</v>
      </c>
      <c r="E77" s="1">
        <v>7659.2</v>
      </c>
      <c r="F77">
        <v>3</v>
      </c>
      <c r="G77">
        <v>0</v>
      </c>
      <c r="H77">
        <v>5</v>
      </c>
      <c r="I77">
        <v>0</v>
      </c>
      <c r="J77">
        <v>0</v>
      </c>
      <c r="K77">
        <f t="shared" si="6"/>
        <v>5</v>
      </c>
      <c r="L77" s="1">
        <f t="shared" si="7"/>
        <v>0</v>
      </c>
      <c r="M77" s="1">
        <f t="shared" si="8"/>
        <v>38296</v>
      </c>
    </row>
    <row r="78" spans="1:13" x14ac:dyDescent="0.3">
      <c r="A78" t="s">
        <v>1495</v>
      </c>
      <c r="B78" t="s">
        <v>1496</v>
      </c>
      <c r="C78" t="s">
        <v>273</v>
      </c>
      <c r="D78" t="s">
        <v>33</v>
      </c>
      <c r="E78" s="1">
        <v>163.13</v>
      </c>
      <c r="F78">
        <v>1</v>
      </c>
      <c r="G78">
        <v>0</v>
      </c>
      <c r="H78">
        <v>5</v>
      </c>
      <c r="I78">
        <v>0</v>
      </c>
      <c r="J78">
        <v>0</v>
      </c>
      <c r="K78">
        <f t="shared" si="6"/>
        <v>5</v>
      </c>
      <c r="L78" s="1">
        <f t="shared" si="7"/>
        <v>0</v>
      </c>
      <c r="M78" s="1">
        <f t="shared" si="8"/>
        <v>815.65</v>
      </c>
    </row>
    <row r="79" spans="1:13" x14ac:dyDescent="0.3">
      <c r="A79" t="s">
        <v>1497</v>
      </c>
      <c r="B79" t="s">
        <v>1498</v>
      </c>
      <c r="C79" t="s">
        <v>252</v>
      </c>
      <c r="D79" t="s">
        <v>33</v>
      </c>
      <c r="E79" s="1">
        <v>430.34</v>
      </c>
      <c r="F79">
        <v>1</v>
      </c>
      <c r="G79">
        <v>0</v>
      </c>
      <c r="H79">
        <v>2</v>
      </c>
      <c r="I79">
        <v>0</v>
      </c>
      <c r="J79">
        <v>0</v>
      </c>
      <c r="K79">
        <f t="shared" si="6"/>
        <v>2</v>
      </c>
      <c r="L79" s="1">
        <f t="shared" si="7"/>
        <v>0</v>
      </c>
      <c r="M79" s="1">
        <f t="shared" si="8"/>
        <v>860.68</v>
      </c>
    </row>
    <row r="80" spans="1:13" x14ac:dyDescent="0.3">
      <c r="A80" t="s">
        <v>1499</v>
      </c>
      <c r="B80" t="s">
        <v>1500</v>
      </c>
      <c r="C80" t="s">
        <v>252</v>
      </c>
      <c r="D80" t="s">
        <v>33</v>
      </c>
      <c r="E80" s="1">
        <v>250</v>
      </c>
      <c r="F80">
        <v>1</v>
      </c>
      <c r="G80">
        <v>0</v>
      </c>
      <c r="H80">
        <v>2</v>
      </c>
      <c r="I80">
        <v>0</v>
      </c>
      <c r="J80">
        <v>0</v>
      </c>
      <c r="K80">
        <f t="shared" si="6"/>
        <v>2</v>
      </c>
      <c r="L80" s="1">
        <f t="shared" si="7"/>
        <v>0</v>
      </c>
      <c r="M80" s="1">
        <f t="shared" si="8"/>
        <v>500</v>
      </c>
    </row>
    <row r="81" spans="1:13" x14ac:dyDescent="0.3">
      <c r="A81" t="s">
        <v>1501</v>
      </c>
      <c r="B81" t="s">
        <v>1502</v>
      </c>
      <c r="C81" t="s">
        <v>70</v>
      </c>
      <c r="D81" t="s">
        <v>33</v>
      </c>
      <c r="E81" s="1">
        <v>2681.25</v>
      </c>
      <c r="F81">
        <v>7</v>
      </c>
      <c r="G81">
        <v>0</v>
      </c>
      <c r="H81">
        <v>24</v>
      </c>
      <c r="I81">
        <v>0</v>
      </c>
      <c r="J81">
        <v>0</v>
      </c>
      <c r="K81">
        <f t="shared" si="6"/>
        <v>24</v>
      </c>
      <c r="L81" s="1">
        <f t="shared" si="7"/>
        <v>0</v>
      </c>
      <c r="M81" s="1">
        <f t="shared" si="8"/>
        <v>64350</v>
      </c>
    </row>
    <row r="82" spans="1:13" x14ac:dyDescent="0.3">
      <c r="A82" t="s">
        <v>1503</v>
      </c>
      <c r="B82" t="s">
        <v>1504</v>
      </c>
      <c r="D82" t="s">
        <v>33</v>
      </c>
      <c r="E82" s="1">
        <v>0</v>
      </c>
      <c r="F82">
        <v>4</v>
      </c>
      <c r="G82">
        <v>0</v>
      </c>
      <c r="H82">
        <v>20</v>
      </c>
      <c r="I82">
        <v>0</v>
      </c>
      <c r="J82">
        <v>0</v>
      </c>
      <c r="K82">
        <f t="shared" si="6"/>
        <v>20</v>
      </c>
      <c r="L82" s="1">
        <f t="shared" si="7"/>
        <v>0</v>
      </c>
      <c r="M82" s="1">
        <f t="shared" si="8"/>
        <v>0</v>
      </c>
    </row>
    <row r="83" spans="1:13" x14ac:dyDescent="0.3">
      <c r="A83" t="s">
        <v>1505</v>
      </c>
      <c r="B83" t="s">
        <v>1506</v>
      </c>
      <c r="D83" t="s">
        <v>33</v>
      </c>
      <c r="E83" s="1">
        <v>0</v>
      </c>
      <c r="F83">
        <v>3</v>
      </c>
      <c r="G83">
        <v>0</v>
      </c>
      <c r="H83">
        <v>14</v>
      </c>
      <c r="I83">
        <v>0</v>
      </c>
      <c r="J83">
        <v>0</v>
      </c>
      <c r="K83">
        <f t="shared" si="6"/>
        <v>14</v>
      </c>
      <c r="L83" s="1">
        <f t="shared" si="7"/>
        <v>0</v>
      </c>
      <c r="M83" s="1">
        <f t="shared" si="8"/>
        <v>0</v>
      </c>
    </row>
    <row r="84" spans="1:13" x14ac:dyDescent="0.3">
      <c r="A84" t="s">
        <v>1507</v>
      </c>
      <c r="B84" t="s">
        <v>1508</v>
      </c>
      <c r="D84" t="s">
        <v>33</v>
      </c>
      <c r="E84" s="1">
        <v>0</v>
      </c>
      <c r="F84">
        <v>1</v>
      </c>
      <c r="G84">
        <v>0</v>
      </c>
      <c r="H84">
        <v>2</v>
      </c>
      <c r="I84">
        <v>0</v>
      </c>
      <c r="J84">
        <v>0</v>
      </c>
      <c r="K84">
        <f t="shared" si="6"/>
        <v>2</v>
      </c>
      <c r="L84" s="1">
        <f t="shared" si="7"/>
        <v>0</v>
      </c>
      <c r="M84" s="1">
        <f t="shared" si="8"/>
        <v>0</v>
      </c>
    </row>
    <row r="85" spans="1:13" x14ac:dyDescent="0.3">
      <c r="A85" t="s">
        <v>1509</v>
      </c>
      <c r="B85" t="s">
        <v>1510</v>
      </c>
      <c r="D85" t="s">
        <v>33</v>
      </c>
      <c r="E85" s="1">
        <v>0</v>
      </c>
      <c r="F85">
        <v>1</v>
      </c>
      <c r="G85">
        <v>0</v>
      </c>
      <c r="H85">
        <v>4</v>
      </c>
      <c r="I85">
        <v>0</v>
      </c>
      <c r="J85">
        <v>0</v>
      </c>
      <c r="K85">
        <f t="shared" si="6"/>
        <v>4</v>
      </c>
      <c r="L85" s="1">
        <f t="shared" si="7"/>
        <v>0</v>
      </c>
      <c r="M85" s="1">
        <f t="shared" si="8"/>
        <v>0</v>
      </c>
    </row>
    <row r="86" spans="1:13" x14ac:dyDescent="0.3">
      <c r="A86" t="s">
        <v>1511</v>
      </c>
      <c r="B86" t="s">
        <v>1512</v>
      </c>
      <c r="C86" t="s">
        <v>70</v>
      </c>
      <c r="D86" t="s">
        <v>33</v>
      </c>
      <c r="E86" s="1">
        <v>2428.5</v>
      </c>
      <c r="F86">
        <v>1</v>
      </c>
      <c r="G86">
        <v>0</v>
      </c>
      <c r="H86">
        <v>2</v>
      </c>
      <c r="I86">
        <v>0</v>
      </c>
      <c r="J86">
        <v>0</v>
      </c>
      <c r="K86">
        <f t="shared" si="6"/>
        <v>2</v>
      </c>
      <c r="L86" s="1">
        <f t="shared" si="7"/>
        <v>0</v>
      </c>
      <c r="M86" s="1">
        <f t="shared" si="8"/>
        <v>4857</v>
      </c>
    </row>
    <row r="87" spans="1:13" x14ac:dyDescent="0.3">
      <c r="A87" t="s">
        <v>1513</v>
      </c>
      <c r="B87" t="s">
        <v>1514</v>
      </c>
      <c r="C87" t="s">
        <v>70</v>
      </c>
      <c r="D87" t="s">
        <v>33</v>
      </c>
      <c r="E87" s="1">
        <v>1462.71</v>
      </c>
      <c r="F87">
        <v>1</v>
      </c>
      <c r="G87">
        <v>0</v>
      </c>
      <c r="H87">
        <v>2</v>
      </c>
      <c r="I87">
        <v>0</v>
      </c>
      <c r="J87">
        <v>0</v>
      </c>
      <c r="K87">
        <f t="shared" si="6"/>
        <v>2</v>
      </c>
      <c r="L87" s="1">
        <f t="shared" si="7"/>
        <v>0</v>
      </c>
      <c r="M87" s="1">
        <f t="shared" si="8"/>
        <v>2925.42</v>
      </c>
    </row>
    <row r="88" spans="1:13" x14ac:dyDescent="0.3">
      <c r="A88" t="s">
        <v>1515</v>
      </c>
      <c r="B88" t="s">
        <v>1516</v>
      </c>
      <c r="C88" t="s">
        <v>70</v>
      </c>
      <c r="D88" t="s">
        <v>33</v>
      </c>
      <c r="E88" s="1">
        <v>1240</v>
      </c>
      <c r="F88">
        <v>1</v>
      </c>
      <c r="G88">
        <v>0</v>
      </c>
      <c r="H88">
        <v>2</v>
      </c>
      <c r="I88">
        <v>0</v>
      </c>
      <c r="J88">
        <v>0</v>
      </c>
      <c r="K88">
        <f t="shared" si="6"/>
        <v>2</v>
      </c>
      <c r="L88" s="1">
        <f t="shared" si="7"/>
        <v>0</v>
      </c>
      <c r="M88" s="1">
        <f t="shared" si="8"/>
        <v>2480</v>
      </c>
    </row>
    <row r="89" spans="1:13" x14ac:dyDescent="0.3">
      <c r="A89" t="s">
        <v>1517</v>
      </c>
      <c r="B89" t="s">
        <v>1518</v>
      </c>
      <c r="C89" t="s">
        <v>70</v>
      </c>
      <c r="D89" t="s">
        <v>33</v>
      </c>
      <c r="E89" s="1">
        <v>1413.75</v>
      </c>
      <c r="F89">
        <v>1</v>
      </c>
      <c r="G89">
        <v>0</v>
      </c>
      <c r="H89">
        <v>3</v>
      </c>
      <c r="I89">
        <v>0</v>
      </c>
      <c r="J89">
        <v>0</v>
      </c>
      <c r="K89">
        <f t="shared" si="6"/>
        <v>3</v>
      </c>
      <c r="L89" s="1">
        <f t="shared" si="7"/>
        <v>0</v>
      </c>
      <c r="M89" s="1">
        <f t="shared" si="8"/>
        <v>4241.25</v>
      </c>
    </row>
    <row r="90" spans="1:13" x14ac:dyDescent="0.3">
      <c r="A90" t="s">
        <v>1519</v>
      </c>
      <c r="B90" t="s">
        <v>1520</v>
      </c>
      <c r="C90" t="s">
        <v>845</v>
      </c>
      <c r="D90" t="s">
        <v>33</v>
      </c>
      <c r="E90" s="1">
        <v>2838.9</v>
      </c>
      <c r="F90">
        <v>1</v>
      </c>
      <c r="G90">
        <v>0</v>
      </c>
      <c r="H90">
        <v>2</v>
      </c>
      <c r="I90">
        <v>0</v>
      </c>
      <c r="J90">
        <v>0</v>
      </c>
      <c r="K90">
        <f t="shared" si="6"/>
        <v>2</v>
      </c>
      <c r="L90" s="1">
        <f t="shared" si="7"/>
        <v>0</v>
      </c>
      <c r="M90" s="1">
        <f t="shared" si="8"/>
        <v>5677.8</v>
      </c>
    </row>
    <row r="91" spans="1:13" x14ac:dyDescent="0.3">
      <c r="A91" t="s">
        <v>1521</v>
      </c>
      <c r="B91" t="s">
        <v>1522</v>
      </c>
      <c r="C91" t="s">
        <v>845</v>
      </c>
      <c r="D91" t="s">
        <v>33</v>
      </c>
      <c r="E91" s="1">
        <v>2523.0700000000002</v>
      </c>
      <c r="F91">
        <v>1</v>
      </c>
      <c r="G91">
        <v>0</v>
      </c>
      <c r="H91">
        <v>2</v>
      </c>
      <c r="I91">
        <v>0</v>
      </c>
      <c r="J91">
        <v>0</v>
      </c>
      <c r="K91">
        <f t="shared" si="6"/>
        <v>2</v>
      </c>
      <c r="L91" s="1">
        <f t="shared" si="7"/>
        <v>0</v>
      </c>
      <c r="M91" s="1">
        <f t="shared" si="8"/>
        <v>5046.1400000000003</v>
      </c>
    </row>
    <row r="92" spans="1:13" x14ac:dyDescent="0.3">
      <c r="A92" t="s">
        <v>1523</v>
      </c>
      <c r="B92" t="s">
        <v>1524</v>
      </c>
      <c r="C92" t="s">
        <v>70</v>
      </c>
      <c r="D92" t="s">
        <v>33</v>
      </c>
      <c r="E92" s="1">
        <v>2681.07</v>
      </c>
      <c r="F92">
        <v>1</v>
      </c>
      <c r="G92">
        <v>0</v>
      </c>
      <c r="H92">
        <v>2</v>
      </c>
      <c r="I92">
        <v>0</v>
      </c>
      <c r="J92">
        <v>0</v>
      </c>
      <c r="K92">
        <f t="shared" si="6"/>
        <v>2</v>
      </c>
      <c r="L92" s="1">
        <f t="shared" si="7"/>
        <v>0</v>
      </c>
      <c r="M92" s="1">
        <f t="shared" si="8"/>
        <v>5362.14</v>
      </c>
    </row>
    <row r="93" spans="1:13" x14ac:dyDescent="0.3">
      <c r="A93" t="s">
        <v>1525</v>
      </c>
      <c r="B93" t="s">
        <v>1526</v>
      </c>
      <c r="C93" t="s">
        <v>70</v>
      </c>
      <c r="D93" t="s">
        <v>33</v>
      </c>
      <c r="E93" s="1">
        <v>930</v>
      </c>
      <c r="F93">
        <v>1</v>
      </c>
      <c r="G93">
        <v>0</v>
      </c>
      <c r="H93">
        <v>2</v>
      </c>
      <c r="I93">
        <v>0</v>
      </c>
      <c r="J93">
        <v>0</v>
      </c>
      <c r="K93">
        <f t="shared" si="6"/>
        <v>2</v>
      </c>
      <c r="L93" s="1">
        <f t="shared" si="7"/>
        <v>0</v>
      </c>
      <c r="M93" s="1">
        <f t="shared" si="8"/>
        <v>1860</v>
      </c>
    </row>
    <row r="94" spans="1:13" x14ac:dyDescent="0.3">
      <c r="A94" t="s">
        <v>1527</v>
      </c>
      <c r="B94" t="s">
        <v>1528</v>
      </c>
      <c r="C94" t="s">
        <v>70</v>
      </c>
      <c r="D94" t="s">
        <v>33</v>
      </c>
      <c r="E94" s="1">
        <v>338.39</v>
      </c>
      <c r="F94">
        <v>1</v>
      </c>
      <c r="G94">
        <v>0</v>
      </c>
      <c r="H94">
        <v>2</v>
      </c>
      <c r="I94">
        <v>0</v>
      </c>
      <c r="J94">
        <v>0</v>
      </c>
      <c r="K94">
        <f t="shared" si="6"/>
        <v>2</v>
      </c>
      <c r="L94" s="1">
        <f t="shared" si="7"/>
        <v>0</v>
      </c>
      <c r="M94" s="1">
        <f t="shared" si="8"/>
        <v>676.78</v>
      </c>
    </row>
    <row r="95" spans="1:13" x14ac:dyDescent="0.3">
      <c r="A95" t="s">
        <v>48</v>
      </c>
    </row>
  </sheetData>
  <pageMargins left="0.75" right="0.75" top="1" bottom="1" header="0.5" footer="0.5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1529</v>
      </c>
      <c r="B2" t="s">
        <v>1530</v>
      </c>
      <c r="C2" t="s">
        <v>1531</v>
      </c>
      <c r="D2" t="s">
        <v>34</v>
      </c>
      <c r="E2" s="1">
        <v>42.93</v>
      </c>
      <c r="F2">
        <v>4</v>
      </c>
      <c r="G2">
        <v>0</v>
      </c>
      <c r="H2">
        <v>20</v>
      </c>
      <c r="I2">
        <v>0</v>
      </c>
      <c r="J2">
        <v>0</v>
      </c>
      <c r="K2">
        <f>IF(H2-I2-J2&gt;0,H2-I2-J2,0)</f>
        <v>20</v>
      </c>
      <c r="L2" s="1">
        <f>IFERROR(I2*E2,0)</f>
        <v>0</v>
      </c>
      <c r="M2" s="1">
        <f>IFERROR(K2*E2,0)</f>
        <v>858.6</v>
      </c>
    </row>
    <row r="3" spans="1:13" x14ac:dyDescent="0.3">
      <c r="A3" t="s">
        <v>1532</v>
      </c>
      <c r="B3" t="s">
        <v>1533</v>
      </c>
      <c r="C3" t="s">
        <v>1531</v>
      </c>
      <c r="D3" t="s">
        <v>34</v>
      </c>
      <c r="E3" s="1">
        <v>372.2</v>
      </c>
      <c r="F3">
        <v>1</v>
      </c>
      <c r="G3">
        <v>0</v>
      </c>
      <c r="H3">
        <v>5</v>
      </c>
      <c r="I3">
        <v>0</v>
      </c>
      <c r="J3">
        <v>0</v>
      </c>
      <c r="K3">
        <f>IF(H3-I3-J3&gt;0,H3-I3-J3,0)</f>
        <v>5</v>
      </c>
      <c r="L3" s="1">
        <f>IFERROR(I3*E3,0)</f>
        <v>0</v>
      </c>
      <c r="M3" s="1">
        <f>IFERROR(K3*E3,0)</f>
        <v>1861</v>
      </c>
    </row>
    <row r="4" spans="1:13" x14ac:dyDescent="0.3">
      <c r="A4" t="s">
        <v>1534</v>
      </c>
      <c r="B4" t="s">
        <v>1535</v>
      </c>
      <c r="C4" t="s">
        <v>1531</v>
      </c>
      <c r="D4" t="s">
        <v>34</v>
      </c>
      <c r="E4" s="1">
        <v>592.64</v>
      </c>
      <c r="F4">
        <v>1</v>
      </c>
      <c r="G4">
        <v>0</v>
      </c>
      <c r="H4">
        <v>5</v>
      </c>
      <c r="I4">
        <v>0</v>
      </c>
      <c r="J4">
        <v>0</v>
      </c>
      <c r="K4">
        <f>IF(H4-I4-J4&gt;0,H4-I4-J4,0)</f>
        <v>5</v>
      </c>
      <c r="L4" s="1">
        <f>IFERROR(I4*E4,0)</f>
        <v>0</v>
      </c>
      <c r="M4" s="1">
        <f>IFERROR(K4*E4,0)</f>
        <v>2963.2</v>
      </c>
    </row>
    <row r="5" spans="1:13" x14ac:dyDescent="0.3">
      <c r="A5" t="s">
        <v>1536</v>
      </c>
      <c r="B5" t="s">
        <v>1537</v>
      </c>
      <c r="C5" t="s">
        <v>1531</v>
      </c>
      <c r="D5" t="s">
        <v>34</v>
      </c>
      <c r="E5" s="1">
        <v>592.63</v>
      </c>
      <c r="F5">
        <v>1</v>
      </c>
      <c r="G5">
        <v>0</v>
      </c>
      <c r="H5">
        <v>2</v>
      </c>
      <c r="I5">
        <v>0</v>
      </c>
      <c r="J5">
        <v>0</v>
      </c>
      <c r="K5">
        <f>IF(H5-I5-J5&gt;0,H5-I5-J5,0)</f>
        <v>2</v>
      </c>
      <c r="L5" s="1">
        <f>IFERROR(I5*E5,0)</f>
        <v>0</v>
      </c>
      <c r="M5" s="1">
        <f>IFERROR(K5*E5,0)</f>
        <v>1185.26</v>
      </c>
    </row>
    <row r="6" spans="1:13" x14ac:dyDescent="0.3">
      <c r="A6" t="s">
        <v>1538</v>
      </c>
      <c r="B6" t="s">
        <v>1539</v>
      </c>
      <c r="C6" t="s">
        <v>1531</v>
      </c>
      <c r="D6" t="s">
        <v>34</v>
      </c>
      <c r="E6" s="1">
        <v>194.15</v>
      </c>
      <c r="F6">
        <v>1</v>
      </c>
      <c r="G6">
        <v>0</v>
      </c>
      <c r="H6">
        <v>5</v>
      </c>
      <c r="I6">
        <v>0</v>
      </c>
      <c r="J6">
        <v>0</v>
      </c>
      <c r="K6">
        <f>IF(H6-I6-J6&gt;0,H6-I6-J6,0)</f>
        <v>5</v>
      </c>
      <c r="L6" s="1">
        <f>IFERROR(I6*E6,0)</f>
        <v>0</v>
      </c>
      <c r="M6" s="1">
        <f>IFERROR(K6*E6,0)</f>
        <v>970.75</v>
      </c>
    </row>
    <row r="7" spans="1:13" x14ac:dyDescent="0.3">
      <c r="A7" t="s">
        <v>48</v>
      </c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8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1540</v>
      </c>
      <c r="B2" t="s">
        <v>1541</v>
      </c>
      <c r="D2" t="s">
        <v>35</v>
      </c>
      <c r="E2" s="1">
        <v>0</v>
      </c>
      <c r="F2">
        <v>1</v>
      </c>
      <c r="G2">
        <v>0</v>
      </c>
      <c r="H2">
        <v>2</v>
      </c>
      <c r="I2">
        <v>0</v>
      </c>
      <c r="J2">
        <v>0</v>
      </c>
      <c r="K2">
        <f t="shared" ref="K2:K33" si="0">IF(H2-I2-J2&gt;0,H2-I2-J2,0)</f>
        <v>2</v>
      </c>
      <c r="L2" s="1">
        <f t="shared" ref="L2:L33" si="1">IFERROR(I2*E2,0)</f>
        <v>0</v>
      </c>
      <c r="M2" s="1">
        <f t="shared" ref="M2:M33" si="2">IFERROR(K2*E2,0)</f>
        <v>0</v>
      </c>
    </row>
    <row r="3" spans="1:13" x14ac:dyDescent="0.3">
      <c r="A3" t="s">
        <v>1542</v>
      </c>
      <c r="B3" t="s">
        <v>1543</v>
      </c>
      <c r="D3" t="s">
        <v>35</v>
      </c>
      <c r="E3" s="1">
        <v>0</v>
      </c>
      <c r="F3">
        <v>1</v>
      </c>
      <c r="G3">
        <v>0</v>
      </c>
      <c r="H3">
        <v>2</v>
      </c>
      <c r="I3">
        <v>0</v>
      </c>
      <c r="J3">
        <v>0</v>
      </c>
      <c r="K3">
        <f t="shared" si="0"/>
        <v>2</v>
      </c>
      <c r="L3" s="1">
        <f t="shared" si="1"/>
        <v>0</v>
      </c>
      <c r="M3" s="1">
        <f t="shared" si="2"/>
        <v>0</v>
      </c>
    </row>
    <row r="4" spans="1:13" x14ac:dyDescent="0.3">
      <c r="A4" t="s">
        <v>1544</v>
      </c>
      <c r="B4" t="s">
        <v>1545</v>
      </c>
      <c r="C4" t="s">
        <v>1546</v>
      </c>
      <c r="D4" t="s">
        <v>35</v>
      </c>
      <c r="E4" s="1">
        <v>129.55000000000001</v>
      </c>
      <c r="F4">
        <v>1</v>
      </c>
      <c r="G4">
        <v>0</v>
      </c>
      <c r="H4">
        <v>2</v>
      </c>
      <c r="I4">
        <v>0</v>
      </c>
      <c r="J4">
        <v>0</v>
      </c>
      <c r="K4">
        <f t="shared" si="0"/>
        <v>2</v>
      </c>
      <c r="L4" s="1">
        <f t="shared" si="1"/>
        <v>0</v>
      </c>
      <c r="M4" s="1">
        <f t="shared" si="2"/>
        <v>259.10000000000002</v>
      </c>
    </row>
    <row r="5" spans="1:13" x14ac:dyDescent="0.3">
      <c r="A5" t="s">
        <v>1547</v>
      </c>
      <c r="B5" t="s">
        <v>1548</v>
      </c>
      <c r="D5" t="s">
        <v>35</v>
      </c>
      <c r="E5" s="1">
        <v>0</v>
      </c>
      <c r="F5">
        <v>1</v>
      </c>
      <c r="G5">
        <v>0</v>
      </c>
      <c r="H5">
        <v>2</v>
      </c>
      <c r="I5">
        <v>0</v>
      </c>
      <c r="J5">
        <v>0</v>
      </c>
      <c r="K5">
        <f t="shared" si="0"/>
        <v>2</v>
      </c>
      <c r="L5" s="1">
        <f t="shared" si="1"/>
        <v>0</v>
      </c>
      <c r="M5" s="1">
        <f t="shared" si="2"/>
        <v>0</v>
      </c>
    </row>
    <row r="6" spans="1:13" x14ac:dyDescent="0.3">
      <c r="A6" t="s">
        <v>1549</v>
      </c>
      <c r="B6" t="s">
        <v>1550</v>
      </c>
      <c r="C6" t="s">
        <v>1546</v>
      </c>
      <c r="D6" t="s">
        <v>35</v>
      </c>
      <c r="E6" s="1">
        <v>887.76</v>
      </c>
      <c r="F6">
        <v>2</v>
      </c>
      <c r="G6">
        <v>0</v>
      </c>
      <c r="H6">
        <v>5</v>
      </c>
      <c r="I6">
        <v>0</v>
      </c>
      <c r="J6">
        <v>0</v>
      </c>
      <c r="K6">
        <f t="shared" si="0"/>
        <v>5</v>
      </c>
      <c r="L6" s="1">
        <f t="shared" si="1"/>
        <v>0</v>
      </c>
      <c r="M6" s="1">
        <f t="shared" si="2"/>
        <v>4438.8</v>
      </c>
    </row>
    <row r="7" spans="1:13" x14ac:dyDescent="0.3">
      <c r="A7" t="s">
        <v>1551</v>
      </c>
      <c r="B7" t="s">
        <v>1552</v>
      </c>
      <c r="D7" t="s">
        <v>35</v>
      </c>
      <c r="E7" s="1">
        <v>0</v>
      </c>
      <c r="F7">
        <v>1</v>
      </c>
      <c r="G7">
        <v>0</v>
      </c>
      <c r="H7">
        <v>2</v>
      </c>
      <c r="I7">
        <v>0</v>
      </c>
      <c r="J7">
        <v>0</v>
      </c>
      <c r="K7">
        <f t="shared" si="0"/>
        <v>2</v>
      </c>
      <c r="L7" s="1">
        <f t="shared" si="1"/>
        <v>0</v>
      </c>
      <c r="M7" s="1">
        <f t="shared" si="2"/>
        <v>0</v>
      </c>
    </row>
    <row r="8" spans="1:13" x14ac:dyDescent="0.3">
      <c r="A8" t="s">
        <v>1553</v>
      </c>
      <c r="B8" t="s">
        <v>1554</v>
      </c>
      <c r="D8" t="s">
        <v>35</v>
      </c>
      <c r="E8" s="1">
        <v>0</v>
      </c>
      <c r="F8">
        <v>1</v>
      </c>
      <c r="G8">
        <v>0</v>
      </c>
      <c r="H8">
        <v>2</v>
      </c>
      <c r="I8">
        <v>0</v>
      </c>
      <c r="J8">
        <v>0</v>
      </c>
      <c r="K8">
        <f t="shared" si="0"/>
        <v>2</v>
      </c>
      <c r="L8" s="1">
        <f t="shared" si="1"/>
        <v>0</v>
      </c>
      <c r="M8" s="1">
        <f t="shared" si="2"/>
        <v>0</v>
      </c>
    </row>
    <row r="9" spans="1:13" x14ac:dyDescent="0.3">
      <c r="A9" t="s">
        <v>1555</v>
      </c>
      <c r="B9" t="s">
        <v>1556</v>
      </c>
      <c r="D9" t="s">
        <v>35</v>
      </c>
      <c r="E9" s="1">
        <v>0</v>
      </c>
      <c r="F9">
        <v>1</v>
      </c>
      <c r="G9">
        <v>0</v>
      </c>
      <c r="H9">
        <v>2</v>
      </c>
      <c r="I9">
        <v>0</v>
      </c>
      <c r="J9">
        <v>0</v>
      </c>
      <c r="K9">
        <f t="shared" si="0"/>
        <v>2</v>
      </c>
      <c r="L9" s="1">
        <f t="shared" si="1"/>
        <v>0</v>
      </c>
      <c r="M9" s="1">
        <f t="shared" si="2"/>
        <v>0</v>
      </c>
    </row>
    <row r="10" spans="1:13" x14ac:dyDescent="0.3">
      <c r="A10" t="s">
        <v>1557</v>
      </c>
      <c r="B10" t="s">
        <v>1558</v>
      </c>
      <c r="D10" t="s">
        <v>35</v>
      </c>
      <c r="E10" s="1">
        <v>0</v>
      </c>
      <c r="F10">
        <v>1</v>
      </c>
      <c r="G10">
        <v>0</v>
      </c>
      <c r="H10">
        <v>2</v>
      </c>
      <c r="I10">
        <v>0</v>
      </c>
      <c r="J10">
        <v>0</v>
      </c>
      <c r="K10">
        <f t="shared" si="0"/>
        <v>2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1559</v>
      </c>
      <c r="B11" t="s">
        <v>1560</v>
      </c>
      <c r="D11" t="s">
        <v>35</v>
      </c>
      <c r="E11" s="1">
        <v>0</v>
      </c>
      <c r="F11">
        <v>1</v>
      </c>
      <c r="G11">
        <v>0</v>
      </c>
      <c r="H11">
        <v>2</v>
      </c>
      <c r="I11">
        <v>0</v>
      </c>
      <c r="J11">
        <v>0</v>
      </c>
      <c r="K11">
        <f t="shared" si="0"/>
        <v>2</v>
      </c>
      <c r="L11" s="1">
        <f t="shared" si="1"/>
        <v>0</v>
      </c>
      <c r="M11" s="1">
        <f t="shared" si="2"/>
        <v>0</v>
      </c>
    </row>
    <row r="12" spans="1:13" x14ac:dyDescent="0.3">
      <c r="A12" t="s">
        <v>1561</v>
      </c>
      <c r="B12" t="s">
        <v>1562</v>
      </c>
      <c r="D12" t="s">
        <v>35</v>
      </c>
      <c r="E12" s="1">
        <v>0</v>
      </c>
      <c r="F12">
        <v>1</v>
      </c>
      <c r="G12">
        <v>0</v>
      </c>
      <c r="H12">
        <v>2</v>
      </c>
      <c r="I12">
        <v>0</v>
      </c>
      <c r="J12">
        <v>0</v>
      </c>
      <c r="K12">
        <f t="shared" si="0"/>
        <v>2</v>
      </c>
      <c r="L12" s="1">
        <f t="shared" si="1"/>
        <v>0</v>
      </c>
      <c r="M12" s="1">
        <f t="shared" si="2"/>
        <v>0</v>
      </c>
    </row>
    <row r="13" spans="1:13" x14ac:dyDescent="0.3">
      <c r="A13" t="s">
        <v>1563</v>
      </c>
      <c r="B13" t="s">
        <v>1564</v>
      </c>
      <c r="D13" t="s">
        <v>35</v>
      </c>
      <c r="E13" s="1">
        <v>0</v>
      </c>
      <c r="F13">
        <v>1</v>
      </c>
      <c r="G13">
        <v>0</v>
      </c>
      <c r="H13">
        <v>2</v>
      </c>
      <c r="I13">
        <v>0</v>
      </c>
      <c r="J13">
        <v>0</v>
      </c>
      <c r="K13">
        <f t="shared" si="0"/>
        <v>2</v>
      </c>
      <c r="L13" s="1">
        <f t="shared" si="1"/>
        <v>0</v>
      </c>
      <c r="M13" s="1">
        <f t="shared" si="2"/>
        <v>0</v>
      </c>
    </row>
    <row r="14" spans="1:13" x14ac:dyDescent="0.3">
      <c r="A14" t="s">
        <v>1565</v>
      </c>
      <c r="B14" t="s">
        <v>1566</v>
      </c>
      <c r="D14" t="s">
        <v>35</v>
      </c>
      <c r="E14" s="1">
        <v>0</v>
      </c>
      <c r="F14">
        <v>1</v>
      </c>
      <c r="G14">
        <v>0</v>
      </c>
      <c r="H14">
        <v>2</v>
      </c>
      <c r="I14">
        <v>0</v>
      </c>
      <c r="J14">
        <v>0</v>
      </c>
      <c r="K14">
        <f t="shared" si="0"/>
        <v>2</v>
      </c>
      <c r="L14" s="1">
        <f t="shared" si="1"/>
        <v>0</v>
      </c>
      <c r="M14" s="1">
        <f t="shared" si="2"/>
        <v>0</v>
      </c>
    </row>
    <row r="15" spans="1:13" x14ac:dyDescent="0.3">
      <c r="A15" t="s">
        <v>1567</v>
      </c>
      <c r="B15" t="s">
        <v>1568</v>
      </c>
      <c r="D15" t="s">
        <v>35</v>
      </c>
      <c r="E15" s="1">
        <v>0</v>
      </c>
      <c r="F15">
        <v>1</v>
      </c>
      <c r="G15">
        <v>0</v>
      </c>
      <c r="H15">
        <v>2</v>
      </c>
      <c r="I15">
        <v>0</v>
      </c>
      <c r="J15">
        <v>0</v>
      </c>
      <c r="K15">
        <f t="shared" si="0"/>
        <v>2</v>
      </c>
      <c r="L15" s="1">
        <f t="shared" si="1"/>
        <v>0</v>
      </c>
      <c r="M15" s="1">
        <f t="shared" si="2"/>
        <v>0</v>
      </c>
    </row>
    <row r="16" spans="1:13" x14ac:dyDescent="0.3">
      <c r="A16" t="s">
        <v>1569</v>
      </c>
      <c r="B16" t="s">
        <v>1570</v>
      </c>
      <c r="D16" t="s">
        <v>35</v>
      </c>
      <c r="E16" s="1">
        <v>0</v>
      </c>
      <c r="F16">
        <v>1</v>
      </c>
      <c r="G16">
        <v>0</v>
      </c>
      <c r="H16">
        <v>2</v>
      </c>
      <c r="I16">
        <v>0</v>
      </c>
      <c r="J16">
        <v>0</v>
      </c>
      <c r="K16">
        <f t="shared" si="0"/>
        <v>2</v>
      </c>
      <c r="L16" s="1">
        <f t="shared" si="1"/>
        <v>0</v>
      </c>
      <c r="M16" s="1">
        <f t="shared" si="2"/>
        <v>0</v>
      </c>
    </row>
    <row r="17" spans="1:13" x14ac:dyDescent="0.3">
      <c r="A17" t="s">
        <v>1571</v>
      </c>
      <c r="B17" t="s">
        <v>1572</v>
      </c>
      <c r="D17" t="s">
        <v>35</v>
      </c>
      <c r="E17" s="1">
        <v>0</v>
      </c>
      <c r="F17">
        <v>1</v>
      </c>
      <c r="G17">
        <v>0</v>
      </c>
      <c r="H17">
        <v>2</v>
      </c>
      <c r="I17">
        <v>0</v>
      </c>
      <c r="J17">
        <v>0</v>
      </c>
      <c r="K17">
        <f t="shared" si="0"/>
        <v>2</v>
      </c>
      <c r="L17" s="1">
        <f t="shared" si="1"/>
        <v>0</v>
      </c>
      <c r="M17" s="1">
        <f t="shared" si="2"/>
        <v>0</v>
      </c>
    </row>
    <row r="18" spans="1:13" x14ac:dyDescent="0.3">
      <c r="A18" t="s">
        <v>1573</v>
      </c>
      <c r="B18" t="s">
        <v>1574</v>
      </c>
      <c r="C18" t="s">
        <v>1546</v>
      </c>
      <c r="D18" t="s">
        <v>35</v>
      </c>
      <c r="E18" s="1">
        <v>623.03</v>
      </c>
      <c r="F18">
        <v>3</v>
      </c>
      <c r="G18">
        <v>0</v>
      </c>
      <c r="H18">
        <v>12</v>
      </c>
      <c r="I18">
        <v>0</v>
      </c>
      <c r="J18">
        <v>0</v>
      </c>
      <c r="K18">
        <f t="shared" si="0"/>
        <v>12</v>
      </c>
      <c r="L18" s="1">
        <f t="shared" si="1"/>
        <v>0</v>
      </c>
      <c r="M18" s="1">
        <f t="shared" si="2"/>
        <v>7476.36</v>
      </c>
    </row>
    <row r="19" spans="1:13" x14ac:dyDescent="0.3">
      <c r="A19" t="s">
        <v>1575</v>
      </c>
      <c r="B19" t="s">
        <v>1576</v>
      </c>
      <c r="C19" t="s">
        <v>1546</v>
      </c>
      <c r="D19" t="s">
        <v>35</v>
      </c>
      <c r="E19" s="1">
        <v>788.55</v>
      </c>
      <c r="F19">
        <v>2</v>
      </c>
      <c r="G19">
        <v>0</v>
      </c>
      <c r="H19">
        <v>8</v>
      </c>
      <c r="I19">
        <v>0</v>
      </c>
      <c r="J19">
        <v>0</v>
      </c>
      <c r="K19">
        <f t="shared" si="0"/>
        <v>8</v>
      </c>
      <c r="L19" s="1">
        <f t="shared" si="1"/>
        <v>0</v>
      </c>
      <c r="M19" s="1">
        <f t="shared" si="2"/>
        <v>6308.4</v>
      </c>
    </row>
    <row r="20" spans="1:13" x14ac:dyDescent="0.3">
      <c r="A20" t="s">
        <v>1577</v>
      </c>
      <c r="B20" t="s">
        <v>1578</v>
      </c>
      <c r="D20" t="s">
        <v>35</v>
      </c>
      <c r="E20" s="1">
        <v>0</v>
      </c>
      <c r="F20">
        <v>1</v>
      </c>
      <c r="G20">
        <v>0</v>
      </c>
      <c r="H20">
        <v>2</v>
      </c>
      <c r="I20">
        <v>0</v>
      </c>
      <c r="J20">
        <v>0</v>
      </c>
      <c r="K20">
        <f t="shared" si="0"/>
        <v>2</v>
      </c>
      <c r="L20" s="1">
        <f t="shared" si="1"/>
        <v>0</v>
      </c>
      <c r="M20" s="1">
        <f t="shared" si="2"/>
        <v>0</v>
      </c>
    </row>
    <row r="21" spans="1:13" x14ac:dyDescent="0.3">
      <c r="A21" t="s">
        <v>1579</v>
      </c>
      <c r="B21" t="s">
        <v>1580</v>
      </c>
      <c r="D21" t="s">
        <v>35</v>
      </c>
      <c r="E21" s="1">
        <v>0</v>
      </c>
      <c r="F21">
        <v>1</v>
      </c>
      <c r="G21">
        <v>0</v>
      </c>
      <c r="H21">
        <v>2</v>
      </c>
      <c r="I21">
        <v>0</v>
      </c>
      <c r="J21">
        <v>0</v>
      </c>
      <c r="K21">
        <f t="shared" si="0"/>
        <v>2</v>
      </c>
      <c r="L21" s="1">
        <f t="shared" si="1"/>
        <v>0</v>
      </c>
      <c r="M21" s="1">
        <f t="shared" si="2"/>
        <v>0</v>
      </c>
    </row>
    <row r="22" spans="1:13" x14ac:dyDescent="0.3">
      <c r="A22" t="s">
        <v>1581</v>
      </c>
      <c r="B22" t="s">
        <v>1582</v>
      </c>
      <c r="D22" t="s">
        <v>35</v>
      </c>
      <c r="E22" s="1">
        <v>0</v>
      </c>
      <c r="F22">
        <v>1</v>
      </c>
      <c r="G22">
        <v>0</v>
      </c>
      <c r="H22">
        <v>2</v>
      </c>
      <c r="I22">
        <v>0</v>
      </c>
      <c r="J22">
        <v>0</v>
      </c>
      <c r="K22">
        <f t="shared" si="0"/>
        <v>2</v>
      </c>
      <c r="L22" s="1">
        <f t="shared" si="1"/>
        <v>0</v>
      </c>
      <c r="M22" s="1">
        <f t="shared" si="2"/>
        <v>0</v>
      </c>
    </row>
    <row r="23" spans="1:13" x14ac:dyDescent="0.3">
      <c r="A23" t="s">
        <v>1583</v>
      </c>
      <c r="B23" t="s">
        <v>1584</v>
      </c>
      <c r="C23" t="s">
        <v>1546</v>
      </c>
      <c r="D23" t="s">
        <v>35</v>
      </c>
      <c r="E23" s="1">
        <v>1500.14</v>
      </c>
      <c r="F23">
        <v>2</v>
      </c>
      <c r="G23">
        <v>0</v>
      </c>
      <c r="H23">
        <v>4</v>
      </c>
      <c r="I23">
        <v>0</v>
      </c>
      <c r="J23">
        <v>0</v>
      </c>
      <c r="K23">
        <f t="shared" si="0"/>
        <v>4</v>
      </c>
      <c r="L23" s="1">
        <f t="shared" si="1"/>
        <v>0</v>
      </c>
      <c r="M23" s="1">
        <f t="shared" si="2"/>
        <v>6000.56</v>
      </c>
    </row>
    <row r="24" spans="1:13" x14ac:dyDescent="0.3">
      <c r="A24" t="s">
        <v>1585</v>
      </c>
      <c r="B24" t="s">
        <v>1586</v>
      </c>
      <c r="C24" t="s">
        <v>1546</v>
      </c>
      <c r="D24" t="s">
        <v>35</v>
      </c>
      <c r="E24" s="1">
        <v>1932.21</v>
      </c>
      <c r="F24">
        <v>1</v>
      </c>
      <c r="G24">
        <v>0</v>
      </c>
      <c r="H24">
        <v>3</v>
      </c>
      <c r="I24">
        <v>0</v>
      </c>
      <c r="J24">
        <v>0</v>
      </c>
      <c r="K24">
        <f t="shared" si="0"/>
        <v>3</v>
      </c>
      <c r="L24" s="1">
        <f t="shared" si="1"/>
        <v>0</v>
      </c>
      <c r="M24" s="1">
        <f t="shared" si="2"/>
        <v>5796.63</v>
      </c>
    </row>
    <row r="25" spans="1:13" x14ac:dyDescent="0.3">
      <c r="A25" t="s">
        <v>1587</v>
      </c>
      <c r="B25" t="s">
        <v>1588</v>
      </c>
      <c r="C25" t="s">
        <v>1546</v>
      </c>
      <c r="D25" t="s">
        <v>35</v>
      </c>
      <c r="E25" s="1">
        <v>2151.5100000000002</v>
      </c>
      <c r="F25">
        <v>2</v>
      </c>
      <c r="G25">
        <v>0</v>
      </c>
      <c r="H25">
        <v>5</v>
      </c>
      <c r="I25">
        <v>0</v>
      </c>
      <c r="J25">
        <v>0</v>
      </c>
      <c r="K25">
        <f t="shared" si="0"/>
        <v>5</v>
      </c>
      <c r="L25" s="1">
        <f t="shared" si="1"/>
        <v>0</v>
      </c>
      <c r="M25" s="1">
        <f t="shared" si="2"/>
        <v>10757.550000000001</v>
      </c>
    </row>
    <row r="26" spans="1:13" x14ac:dyDescent="0.3">
      <c r="A26" t="s">
        <v>1589</v>
      </c>
      <c r="B26" t="s">
        <v>1590</v>
      </c>
      <c r="D26" t="s">
        <v>35</v>
      </c>
      <c r="E26" s="1">
        <v>0</v>
      </c>
      <c r="F26">
        <v>1</v>
      </c>
      <c r="G26">
        <v>0</v>
      </c>
      <c r="H26">
        <v>2</v>
      </c>
      <c r="I26">
        <v>0</v>
      </c>
      <c r="J26">
        <v>0</v>
      </c>
      <c r="K26">
        <f t="shared" si="0"/>
        <v>2</v>
      </c>
      <c r="L26" s="1">
        <f t="shared" si="1"/>
        <v>0</v>
      </c>
      <c r="M26" s="1">
        <f t="shared" si="2"/>
        <v>0</v>
      </c>
    </row>
    <row r="27" spans="1:13" x14ac:dyDescent="0.3">
      <c r="A27" t="s">
        <v>1591</v>
      </c>
      <c r="B27" t="s">
        <v>1592</v>
      </c>
      <c r="D27" t="s">
        <v>35</v>
      </c>
      <c r="E27" s="1">
        <v>0</v>
      </c>
      <c r="F27">
        <v>1</v>
      </c>
      <c r="G27">
        <v>0</v>
      </c>
      <c r="H27">
        <v>2</v>
      </c>
      <c r="I27">
        <v>0</v>
      </c>
      <c r="J27">
        <v>0</v>
      </c>
      <c r="K27">
        <f t="shared" si="0"/>
        <v>2</v>
      </c>
      <c r="L27" s="1">
        <f t="shared" si="1"/>
        <v>0</v>
      </c>
      <c r="M27" s="1">
        <f t="shared" si="2"/>
        <v>0</v>
      </c>
    </row>
    <row r="28" spans="1:13" x14ac:dyDescent="0.3">
      <c r="A28" t="s">
        <v>1593</v>
      </c>
      <c r="B28" t="s">
        <v>1594</v>
      </c>
      <c r="D28" t="s">
        <v>35</v>
      </c>
      <c r="E28" s="1">
        <v>0</v>
      </c>
      <c r="F28">
        <v>1</v>
      </c>
      <c r="G28">
        <v>0</v>
      </c>
      <c r="H28">
        <v>2</v>
      </c>
      <c r="I28">
        <v>0</v>
      </c>
      <c r="J28">
        <v>0</v>
      </c>
      <c r="K28">
        <f t="shared" si="0"/>
        <v>2</v>
      </c>
      <c r="L28" s="1">
        <f t="shared" si="1"/>
        <v>0</v>
      </c>
      <c r="M28" s="1">
        <f t="shared" si="2"/>
        <v>0</v>
      </c>
    </row>
    <row r="29" spans="1:13" x14ac:dyDescent="0.3">
      <c r="A29" t="s">
        <v>1595</v>
      </c>
      <c r="B29" t="s">
        <v>1596</v>
      </c>
      <c r="C29" t="s">
        <v>1546</v>
      </c>
      <c r="D29" t="s">
        <v>35</v>
      </c>
      <c r="E29" s="1">
        <v>1730.79</v>
      </c>
      <c r="F29">
        <v>4</v>
      </c>
      <c r="G29">
        <v>0</v>
      </c>
      <c r="H29">
        <v>10</v>
      </c>
      <c r="I29">
        <v>0</v>
      </c>
      <c r="J29">
        <v>0</v>
      </c>
      <c r="K29">
        <f t="shared" si="0"/>
        <v>10</v>
      </c>
      <c r="L29" s="1">
        <f t="shared" si="1"/>
        <v>0</v>
      </c>
      <c r="M29" s="1">
        <f t="shared" si="2"/>
        <v>17307.900000000001</v>
      </c>
    </row>
    <row r="30" spans="1:13" x14ac:dyDescent="0.3">
      <c r="A30" t="s">
        <v>1597</v>
      </c>
      <c r="B30" t="s">
        <v>1598</v>
      </c>
      <c r="D30" t="s">
        <v>35</v>
      </c>
      <c r="E30" s="1">
        <v>0</v>
      </c>
      <c r="F30">
        <v>1</v>
      </c>
      <c r="G30">
        <v>0</v>
      </c>
      <c r="H30">
        <v>2</v>
      </c>
      <c r="I30">
        <v>0</v>
      </c>
      <c r="J30">
        <v>0</v>
      </c>
      <c r="K30">
        <f t="shared" si="0"/>
        <v>2</v>
      </c>
      <c r="L30" s="1">
        <f t="shared" si="1"/>
        <v>0</v>
      </c>
      <c r="M30" s="1">
        <f t="shared" si="2"/>
        <v>0</v>
      </c>
    </row>
    <row r="31" spans="1:13" x14ac:dyDescent="0.3">
      <c r="A31" t="s">
        <v>1599</v>
      </c>
      <c r="B31" t="s">
        <v>1600</v>
      </c>
      <c r="D31" t="s">
        <v>35</v>
      </c>
      <c r="E31" s="1">
        <v>0</v>
      </c>
      <c r="F31">
        <v>1</v>
      </c>
      <c r="G31">
        <v>0</v>
      </c>
      <c r="H31">
        <v>2</v>
      </c>
      <c r="I31">
        <v>0</v>
      </c>
      <c r="J31">
        <v>0</v>
      </c>
      <c r="K31">
        <f t="shared" si="0"/>
        <v>2</v>
      </c>
      <c r="L31" s="1">
        <f t="shared" si="1"/>
        <v>0</v>
      </c>
      <c r="M31" s="1">
        <f t="shared" si="2"/>
        <v>0</v>
      </c>
    </row>
    <row r="32" spans="1:13" x14ac:dyDescent="0.3">
      <c r="A32" t="s">
        <v>1601</v>
      </c>
      <c r="B32" t="s">
        <v>1602</v>
      </c>
      <c r="C32" t="s">
        <v>1546</v>
      </c>
      <c r="D32" t="s">
        <v>35</v>
      </c>
      <c r="E32" s="1">
        <v>1804.1</v>
      </c>
      <c r="F32">
        <v>3</v>
      </c>
      <c r="G32">
        <v>0</v>
      </c>
      <c r="H32">
        <v>7</v>
      </c>
      <c r="I32">
        <v>0</v>
      </c>
      <c r="J32">
        <v>0</v>
      </c>
      <c r="K32">
        <f t="shared" si="0"/>
        <v>7</v>
      </c>
      <c r="L32" s="1">
        <f t="shared" si="1"/>
        <v>0</v>
      </c>
      <c r="M32" s="1">
        <f t="shared" si="2"/>
        <v>12628.699999999999</v>
      </c>
    </row>
    <row r="33" spans="1:13" x14ac:dyDescent="0.3">
      <c r="A33" t="s">
        <v>1603</v>
      </c>
      <c r="B33" t="s">
        <v>1604</v>
      </c>
      <c r="D33" t="s">
        <v>35</v>
      </c>
      <c r="E33" s="1">
        <v>0</v>
      </c>
      <c r="F33">
        <v>1</v>
      </c>
      <c r="G33">
        <v>0</v>
      </c>
      <c r="H33">
        <v>2</v>
      </c>
      <c r="I33">
        <v>0</v>
      </c>
      <c r="J33">
        <v>0</v>
      </c>
      <c r="K33">
        <f t="shared" si="0"/>
        <v>2</v>
      </c>
      <c r="L33" s="1">
        <f t="shared" si="1"/>
        <v>0</v>
      </c>
      <c r="M33" s="1">
        <f t="shared" si="2"/>
        <v>0</v>
      </c>
    </row>
    <row r="34" spans="1:13" x14ac:dyDescent="0.3">
      <c r="A34" t="s">
        <v>1605</v>
      </c>
      <c r="B34" t="s">
        <v>1606</v>
      </c>
      <c r="D34" t="s">
        <v>35</v>
      </c>
      <c r="E34" s="1">
        <v>0</v>
      </c>
      <c r="F34">
        <v>1</v>
      </c>
      <c r="G34">
        <v>0</v>
      </c>
      <c r="H34">
        <v>2</v>
      </c>
      <c r="I34">
        <v>0</v>
      </c>
      <c r="J34">
        <v>0</v>
      </c>
      <c r="K34">
        <f t="shared" ref="K34:K65" si="3">IF(H34-I34-J34&gt;0,H34-I34-J34,0)</f>
        <v>2</v>
      </c>
      <c r="L34" s="1">
        <f t="shared" ref="L34:L65" si="4">IFERROR(I34*E34,0)</f>
        <v>0</v>
      </c>
      <c r="M34" s="1">
        <f t="shared" ref="M34:M65" si="5">IFERROR(K34*E34,0)</f>
        <v>0</v>
      </c>
    </row>
    <row r="35" spans="1:13" x14ac:dyDescent="0.3">
      <c r="A35" t="s">
        <v>1607</v>
      </c>
      <c r="B35" t="s">
        <v>1608</v>
      </c>
      <c r="C35" t="s">
        <v>1546</v>
      </c>
      <c r="D35" t="s">
        <v>35</v>
      </c>
      <c r="E35" s="1">
        <v>887.29</v>
      </c>
      <c r="F35">
        <v>4</v>
      </c>
      <c r="G35">
        <v>0</v>
      </c>
      <c r="H35">
        <v>11</v>
      </c>
      <c r="I35">
        <v>0</v>
      </c>
      <c r="J35">
        <v>0</v>
      </c>
      <c r="K35">
        <f t="shared" si="3"/>
        <v>11</v>
      </c>
      <c r="L35" s="1">
        <f t="shared" si="4"/>
        <v>0</v>
      </c>
      <c r="M35" s="1">
        <f t="shared" si="5"/>
        <v>9760.1899999999987</v>
      </c>
    </row>
    <row r="36" spans="1:13" x14ac:dyDescent="0.3">
      <c r="A36" t="s">
        <v>1609</v>
      </c>
      <c r="B36" t="s">
        <v>1610</v>
      </c>
      <c r="C36" t="s">
        <v>1546</v>
      </c>
      <c r="D36" t="s">
        <v>35</v>
      </c>
      <c r="E36" s="1">
        <v>667.21</v>
      </c>
      <c r="F36">
        <v>1</v>
      </c>
      <c r="G36">
        <v>0</v>
      </c>
      <c r="H36">
        <v>3</v>
      </c>
      <c r="I36">
        <v>0</v>
      </c>
      <c r="J36">
        <v>0</v>
      </c>
      <c r="K36">
        <f t="shared" si="3"/>
        <v>3</v>
      </c>
      <c r="L36" s="1">
        <f t="shared" si="4"/>
        <v>0</v>
      </c>
      <c r="M36" s="1">
        <f t="shared" si="5"/>
        <v>2001.63</v>
      </c>
    </row>
    <row r="37" spans="1:13" x14ac:dyDescent="0.3">
      <c r="A37" t="s">
        <v>1611</v>
      </c>
      <c r="B37" t="s">
        <v>1612</v>
      </c>
      <c r="C37" t="s">
        <v>1546</v>
      </c>
      <c r="D37" t="s">
        <v>35</v>
      </c>
      <c r="E37" s="1">
        <v>994.12</v>
      </c>
      <c r="F37">
        <v>3</v>
      </c>
      <c r="G37">
        <v>0</v>
      </c>
      <c r="H37">
        <v>10</v>
      </c>
      <c r="I37">
        <v>0</v>
      </c>
      <c r="J37">
        <v>0</v>
      </c>
      <c r="K37">
        <f t="shared" si="3"/>
        <v>10</v>
      </c>
      <c r="L37" s="1">
        <f t="shared" si="4"/>
        <v>0</v>
      </c>
      <c r="M37" s="1">
        <f t="shared" si="5"/>
        <v>9941.2000000000007</v>
      </c>
    </row>
    <row r="38" spans="1:13" x14ac:dyDescent="0.3">
      <c r="A38" t="s">
        <v>1613</v>
      </c>
      <c r="B38" t="s">
        <v>1614</v>
      </c>
      <c r="D38" t="s">
        <v>35</v>
      </c>
      <c r="E38" s="1">
        <v>0</v>
      </c>
      <c r="F38">
        <v>1</v>
      </c>
      <c r="G38">
        <v>0</v>
      </c>
      <c r="H38">
        <v>2</v>
      </c>
      <c r="I38">
        <v>0</v>
      </c>
      <c r="J38">
        <v>0</v>
      </c>
      <c r="K38">
        <f t="shared" si="3"/>
        <v>2</v>
      </c>
      <c r="L38" s="1">
        <f t="shared" si="4"/>
        <v>0</v>
      </c>
      <c r="M38" s="1">
        <f t="shared" si="5"/>
        <v>0</v>
      </c>
    </row>
    <row r="39" spans="1:13" x14ac:dyDescent="0.3">
      <c r="A39" t="s">
        <v>1615</v>
      </c>
      <c r="B39" t="s">
        <v>1616</v>
      </c>
      <c r="D39" t="s">
        <v>35</v>
      </c>
      <c r="E39" s="1">
        <v>0</v>
      </c>
      <c r="F39">
        <v>1</v>
      </c>
      <c r="G39">
        <v>0</v>
      </c>
      <c r="H39">
        <v>2</v>
      </c>
      <c r="I39">
        <v>0</v>
      </c>
      <c r="J39">
        <v>0</v>
      </c>
      <c r="K39">
        <f t="shared" si="3"/>
        <v>2</v>
      </c>
      <c r="L39" s="1">
        <f t="shared" si="4"/>
        <v>0</v>
      </c>
      <c r="M39" s="1">
        <f t="shared" si="5"/>
        <v>0</v>
      </c>
    </row>
    <row r="40" spans="1:13" x14ac:dyDescent="0.3">
      <c r="A40" t="s">
        <v>1617</v>
      </c>
      <c r="B40" t="s">
        <v>1618</v>
      </c>
      <c r="C40" t="s">
        <v>1546</v>
      </c>
      <c r="D40" t="s">
        <v>35</v>
      </c>
      <c r="E40" s="1">
        <v>514.79</v>
      </c>
      <c r="F40">
        <v>2</v>
      </c>
      <c r="G40">
        <v>0</v>
      </c>
      <c r="H40">
        <v>6</v>
      </c>
      <c r="I40">
        <v>0</v>
      </c>
      <c r="J40">
        <v>0</v>
      </c>
      <c r="K40">
        <f t="shared" si="3"/>
        <v>6</v>
      </c>
      <c r="L40" s="1">
        <f t="shared" si="4"/>
        <v>0</v>
      </c>
      <c r="M40" s="1">
        <f t="shared" si="5"/>
        <v>3088.74</v>
      </c>
    </row>
    <row r="41" spans="1:13" x14ac:dyDescent="0.3">
      <c r="A41" t="s">
        <v>1619</v>
      </c>
      <c r="B41" t="s">
        <v>1620</v>
      </c>
      <c r="D41" t="s">
        <v>35</v>
      </c>
      <c r="E41" s="1">
        <v>0</v>
      </c>
      <c r="F41">
        <v>1</v>
      </c>
      <c r="G41">
        <v>0</v>
      </c>
      <c r="H41">
        <v>2</v>
      </c>
      <c r="I41">
        <v>0</v>
      </c>
      <c r="J41">
        <v>0</v>
      </c>
      <c r="K41">
        <f t="shared" si="3"/>
        <v>2</v>
      </c>
      <c r="L41" s="1">
        <f t="shared" si="4"/>
        <v>0</v>
      </c>
      <c r="M41" s="1">
        <f t="shared" si="5"/>
        <v>0</v>
      </c>
    </row>
    <row r="42" spans="1:13" x14ac:dyDescent="0.3">
      <c r="A42" t="s">
        <v>1621</v>
      </c>
      <c r="B42" t="s">
        <v>1622</v>
      </c>
      <c r="D42" t="s">
        <v>35</v>
      </c>
      <c r="E42" s="1">
        <v>0</v>
      </c>
      <c r="F42">
        <v>1</v>
      </c>
      <c r="G42">
        <v>0</v>
      </c>
      <c r="H42">
        <v>2</v>
      </c>
      <c r="I42">
        <v>0</v>
      </c>
      <c r="J42">
        <v>0</v>
      </c>
      <c r="K42">
        <f t="shared" si="3"/>
        <v>2</v>
      </c>
      <c r="L42" s="1">
        <f t="shared" si="4"/>
        <v>0</v>
      </c>
      <c r="M42" s="1">
        <f t="shared" si="5"/>
        <v>0</v>
      </c>
    </row>
    <row r="43" spans="1:13" x14ac:dyDescent="0.3">
      <c r="A43" t="s">
        <v>1623</v>
      </c>
      <c r="B43" t="s">
        <v>1624</v>
      </c>
      <c r="D43" t="s">
        <v>35</v>
      </c>
      <c r="E43" s="1">
        <v>0</v>
      </c>
      <c r="F43">
        <v>1</v>
      </c>
      <c r="G43">
        <v>0</v>
      </c>
      <c r="H43">
        <v>2</v>
      </c>
      <c r="I43">
        <v>0</v>
      </c>
      <c r="J43">
        <v>0</v>
      </c>
      <c r="K43">
        <f t="shared" si="3"/>
        <v>2</v>
      </c>
      <c r="L43" s="1">
        <f t="shared" si="4"/>
        <v>0</v>
      </c>
      <c r="M43" s="1">
        <f t="shared" si="5"/>
        <v>0</v>
      </c>
    </row>
    <row r="44" spans="1:13" x14ac:dyDescent="0.3">
      <c r="A44" t="s">
        <v>1625</v>
      </c>
      <c r="B44" t="s">
        <v>1626</v>
      </c>
      <c r="C44" t="s">
        <v>1546</v>
      </c>
      <c r="D44" t="s">
        <v>35</v>
      </c>
      <c r="E44" s="1">
        <v>0</v>
      </c>
      <c r="F44">
        <v>2</v>
      </c>
      <c r="G44">
        <v>0</v>
      </c>
      <c r="H44">
        <v>5</v>
      </c>
      <c r="I44">
        <v>0</v>
      </c>
      <c r="J44">
        <v>0</v>
      </c>
      <c r="K44">
        <f t="shared" si="3"/>
        <v>5</v>
      </c>
      <c r="L44" s="1">
        <f t="shared" si="4"/>
        <v>0</v>
      </c>
      <c r="M44" s="1">
        <f t="shared" si="5"/>
        <v>0</v>
      </c>
    </row>
    <row r="45" spans="1:13" x14ac:dyDescent="0.3">
      <c r="A45" t="s">
        <v>1627</v>
      </c>
      <c r="B45" t="s">
        <v>1628</v>
      </c>
      <c r="C45" t="s">
        <v>1546</v>
      </c>
      <c r="D45" t="s">
        <v>35</v>
      </c>
      <c r="E45" s="1">
        <v>1330.13</v>
      </c>
      <c r="F45">
        <v>3</v>
      </c>
      <c r="G45">
        <v>0</v>
      </c>
      <c r="H45">
        <v>9</v>
      </c>
      <c r="I45">
        <v>0</v>
      </c>
      <c r="J45">
        <v>0</v>
      </c>
      <c r="K45">
        <f t="shared" si="3"/>
        <v>9</v>
      </c>
      <c r="L45" s="1">
        <f t="shared" si="4"/>
        <v>0</v>
      </c>
      <c r="M45" s="1">
        <f t="shared" si="5"/>
        <v>11971.170000000002</v>
      </c>
    </row>
    <row r="46" spans="1:13" x14ac:dyDescent="0.3">
      <c r="A46" t="s">
        <v>1629</v>
      </c>
      <c r="B46" t="s">
        <v>1630</v>
      </c>
      <c r="C46" t="s">
        <v>1546</v>
      </c>
      <c r="D46" t="s">
        <v>35</v>
      </c>
      <c r="E46" s="1">
        <v>5798.62</v>
      </c>
      <c r="F46">
        <v>4</v>
      </c>
      <c r="G46">
        <v>0</v>
      </c>
      <c r="H46">
        <v>14</v>
      </c>
      <c r="I46">
        <v>0</v>
      </c>
      <c r="J46">
        <v>0</v>
      </c>
      <c r="K46">
        <f t="shared" si="3"/>
        <v>14</v>
      </c>
      <c r="L46" s="1">
        <f t="shared" si="4"/>
        <v>0</v>
      </c>
      <c r="M46" s="1">
        <f t="shared" si="5"/>
        <v>81180.679999999993</v>
      </c>
    </row>
    <row r="47" spans="1:13" x14ac:dyDescent="0.3">
      <c r="A47" t="s">
        <v>1631</v>
      </c>
      <c r="B47" t="s">
        <v>1632</v>
      </c>
      <c r="D47" t="s">
        <v>35</v>
      </c>
      <c r="E47" s="1">
        <v>0</v>
      </c>
      <c r="F47">
        <v>1</v>
      </c>
      <c r="G47">
        <v>0</v>
      </c>
      <c r="H47">
        <v>2</v>
      </c>
      <c r="I47">
        <v>0</v>
      </c>
      <c r="J47">
        <v>0</v>
      </c>
      <c r="K47">
        <f t="shared" si="3"/>
        <v>2</v>
      </c>
      <c r="L47" s="1">
        <f t="shared" si="4"/>
        <v>0</v>
      </c>
      <c r="M47" s="1">
        <f t="shared" si="5"/>
        <v>0</v>
      </c>
    </row>
    <row r="48" spans="1:13" x14ac:dyDescent="0.3">
      <c r="A48" t="s">
        <v>1633</v>
      </c>
      <c r="B48" t="s">
        <v>1634</v>
      </c>
      <c r="D48" t="s">
        <v>35</v>
      </c>
      <c r="E48" s="1">
        <v>0</v>
      </c>
      <c r="F48">
        <v>1</v>
      </c>
      <c r="G48">
        <v>0</v>
      </c>
      <c r="H48">
        <v>2</v>
      </c>
      <c r="I48">
        <v>0</v>
      </c>
      <c r="J48">
        <v>0</v>
      </c>
      <c r="K48">
        <f t="shared" si="3"/>
        <v>2</v>
      </c>
      <c r="L48" s="1">
        <f t="shared" si="4"/>
        <v>0</v>
      </c>
      <c r="M48" s="1">
        <f t="shared" si="5"/>
        <v>0</v>
      </c>
    </row>
    <row r="49" spans="1:13" x14ac:dyDescent="0.3">
      <c r="A49" t="s">
        <v>1635</v>
      </c>
      <c r="B49" t="s">
        <v>1636</v>
      </c>
      <c r="D49" t="s">
        <v>35</v>
      </c>
      <c r="E49" s="1">
        <v>0</v>
      </c>
      <c r="F49">
        <v>1</v>
      </c>
      <c r="G49">
        <v>0</v>
      </c>
      <c r="H49">
        <v>2</v>
      </c>
      <c r="I49">
        <v>0</v>
      </c>
      <c r="J49">
        <v>0</v>
      </c>
      <c r="K49">
        <f t="shared" si="3"/>
        <v>2</v>
      </c>
      <c r="L49" s="1">
        <f t="shared" si="4"/>
        <v>0</v>
      </c>
      <c r="M49" s="1">
        <f t="shared" si="5"/>
        <v>0</v>
      </c>
    </row>
    <row r="50" spans="1:13" x14ac:dyDescent="0.3">
      <c r="A50" t="s">
        <v>1637</v>
      </c>
      <c r="B50" t="s">
        <v>1638</v>
      </c>
      <c r="D50" t="s">
        <v>35</v>
      </c>
      <c r="E50" s="1">
        <v>0</v>
      </c>
      <c r="F50">
        <v>1</v>
      </c>
      <c r="G50">
        <v>0</v>
      </c>
      <c r="H50">
        <v>4</v>
      </c>
      <c r="I50">
        <v>0</v>
      </c>
      <c r="J50">
        <v>0</v>
      </c>
      <c r="K50">
        <f t="shared" si="3"/>
        <v>4</v>
      </c>
      <c r="L50" s="1">
        <f t="shared" si="4"/>
        <v>0</v>
      </c>
      <c r="M50" s="1">
        <f t="shared" si="5"/>
        <v>0</v>
      </c>
    </row>
    <row r="51" spans="1:13" x14ac:dyDescent="0.3">
      <c r="A51" t="s">
        <v>1639</v>
      </c>
      <c r="B51" t="s">
        <v>1640</v>
      </c>
      <c r="C51" t="s">
        <v>1546</v>
      </c>
      <c r="D51" t="s">
        <v>35</v>
      </c>
      <c r="E51" s="1">
        <v>1177.92</v>
      </c>
      <c r="F51">
        <v>1</v>
      </c>
      <c r="G51">
        <v>0</v>
      </c>
      <c r="H51">
        <v>3</v>
      </c>
      <c r="I51">
        <v>0</v>
      </c>
      <c r="J51">
        <v>0</v>
      </c>
      <c r="K51">
        <f t="shared" si="3"/>
        <v>3</v>
      </c>
      <c r="L51" s="1">
        <f t="shared" si="4"/>
        <v>0</v>
      </c>
      <c r="M51" s="1">
        <f t="shared" si="5"/>
        <v>3533.76</v>
      </c>
    </row>
    <row r="52" spans="1:13" x14ac:dyDescent="0.3">
      <c r="A52" t="s">
        <v>1641</v>
      </c>
      <c r="B52" t="s">
        <v>1642</v>
      </c>
      <c r="C52" t="s">
        <v>1546</v>
      </c>
      <c r="D52" t="s">
        <v>35</v>
      </c>
      <c r="E52" s="1">
        <v>1329.45</v>
      </c>
      <c r="F52">
        <v>2</v>
      </c>
      <c r="G52">
        <v>0</v>
      </c>
      <c r="H52">
        <v>7</v>
      </c>
      <c r="I52">
        <v>0</v>
      </c>
      <c r="J52">
        <v>0</v>
      </c>
      <c r="K52">
        <f t="shared" si="3"/>
        <v>7</v>
      </c>
      <c r="L52" s="1">
        <f t="shared" si="4"/>
        <v>0</v>
      </c>
      <c r="M52" s="1">
        <f t="shared" si="5"/>
        <v>9306.15</v>
      </c>
    </row>
    <row r="53" spans="1:13" x14ac:dyDescent="0.3">
      <c r="A53" t="s">
        <v>1643</v>
      </c>
      <c r="B53" t="s">
        <v>1644</v>
      </c>
      <c r="C53" t="s">
        <v>1546</v>
      </c>
      <c r="D53" t="s">
        <v>35</v>
      </c>
      <c r="E53" s="1">
        <v>1397.64</v>
      </c>
      <c r="F53">
        <v>11</v>
      </c>
      <c r="G53">
        <v>0</v>
      </c>
      <c r="H53">
        <v>27</v>
      </c>
      <c r="I53">
        <v>0</v>
      </c>
      <c r="J53">
        <v>0</v>
      </c>
      <c r="K53">
        <f t="shared" si="3"/>
        <v>27</v>
      </c>
      <c r="L53" s="1">
        <f t="shared" si="4"/>
        <v>0</v>
      </c>
      <c r="M53" s="1">
        <f t="shared" si="5"/>
        <v>37736.280000000006</v>
      </c>
    </row>
    <row r="54" spans="1:13" x14ac:dyDescent="0.3">
      <c r="A54" t="s">
        <v>1645</v>
      </c>
      <c r="B54" t="s">
        <v>1646</v>
      </c>
      <c r="C54" t="s">
        <v>1546</v>
      </c>
      <c r="D54" t="s">
        <v>35</v>
      </c>
      <c r="E54" s="1">
        <v>442.78</v>
      </c>
      <c r="F54">
        <v>1</v>
      </c>
      <c r="G54">
        <v>0</v>
      </c>
      <c r="H54">
        <v>3</v>
      </c>
      <c r="I54">
        <v>0</v>
      </c>
      <c r="J54">
        <v>0</v>
      </c>
      <c r="K54">
        <f t="shared" si="3"/>
        <v>3</v>
      </c>
      <c r="L54" s="1">
        <f t="shared" si="4"/>
        <v>0</v>
      </c>
      <c r="M54" s="1">
        <f t="shared" si="5"/>
        <v>1328.34</v>
      </c>
    </row>
    <row r="55" spans="1:13" x14ac:dyDescent="0.3">
      <c r="A55" t="s">
        <v>1647</v>
      </c>
      <c r="B55" t="s">
        <v>1648</v>
      </c>
      <c r="C55" t="s">
        <v>1546</v>
      </c>
      <c r="D55" t="s">
        <v>35</v>
      </c>
      <c r="E55" s="1">
        <v>1513.62</v>
      </c>
      <c r="F55">
        <v>2</v>
      </c>
      <c r="G55">
        <v>0</v>
      </c>
      <c r="H55">
        <v>5</v>
      </c>
      <c r="I55">
        <v>0</v>
      </c>
      <c r="J55">
        <v>0</v>
      </c>
      <c r="K55">
        <f t="shared" si="3"/>
        <v>5</v>
      </c>
      <c r="L55" s="1">
        <f t="shared" si="4"/>
        <v>0</v>
      </c>
      <c r="M55" s="1">
        <f t="shared" si="5"/>
        <v>7568.0999999999995</v>
      </c>
    </row>
    <row r="56" spans="1:13" x14ac:dyDescent="0.3">
      <c r="A56" t="s">
        <v>1649</v>
      </c>
      <c r="B56" t="s">
        <v>1650</v>
      </c>
      <c r="C56" t="s">
        <v>1546</v>
      </c>
      <c r="D56" t="s">
        <v>35</v>
      </c>
      <c r="E56" s="1">
        <v>1762.95</v>
      </c>
      <c r="F56">
        <v>2</v>
      </c>
      <c r="G56">
        <v>0</v>
      </c>
      <c r="H56">
        <v>7</v>
      </c>
      <c r="I56">
        <v>0</v>
      </c>
      <c r="J56">
        <v>0</v>
      </c>
      <c r="K56">
        <f t="shared" si="3"/>
        <v>7</v>
      </c>
      <c r="L56" s="1">
        <f t="shared" si="4"/>
        <v>0</v>
      </c>
      <c r="M56" s="1">
        <f t="shared" si="5"/>
        <v>12340.65</v>
      </c>
    </row>
    <row r="57" spans="1:13" x14ac:dyDescent="0.3">
      <c r="A57" t="s">
        <v>1651</v>
      </c>
      <c r="B57" t="s">
        <v>1652</v>
      </c>
      <c r="C57" t="s">
        <v>1546</v>
      </c>
      <c r="D57" t="s">
        <v>35</v>
      </c>
      <c r="E57" s="1">
        <v>2488.4</v>
      </c>
      <c r="F57">
        <v>2</v>
      </c>
      <c r="G57">
        <v>0</v>
      </c>
      <c r="H57">
        <v>7</v>
      </c>
      <c r="I57">
        <v>0</v>
      </c>
      <c r="J57">
        <v>0</v>
      </c>
      <c r="K57">
        <f t="shared" si="3"/>
        <v>7</v>
      </c>
      <c r="L57" s="1">
        <f t="shared" si="4"/>
        <v>0</v>
      </c>
      <c r="M57" s="1">
        <f t="shared" si="5"/>
        <v>17418.8</v>
      </c>
    </row>
    <row r="58" spans="1:13" x14ac:dyDescent="0.3">
      <c r="A58" t="s">
        <v>1653</v>
      </c>
      <c r="B58" t="s">
        <v>1654</v>
      </c>
      <c r="C58" t="s">
        <v>1546</v>
      </c>
      <c r="D58" t="s">
        <v>35</v>
      </c>
      <c r="E58" s="1">
        <v>5043.1499999999996</v>
      </c>
      <c r="F58">
        <v>2</v>
      </c>
      <c r="G58">
        <v>0</v>
      </c>
      <c r="H58">
        <v>8</v>
      </c>
      <c r="I58">
        <v>0</v>
      </c>
      <c r="J58">
        <v>0</v>
      </c>
      <c r="K58">
        <f t="shared" si="3"/>
        <v>8</v>
      </c>
      <c r="L58" s="1">
        <f t="shared" si="4"/>
        <v>0</v>
      </c>
      <c r="M58" s="1">
        <f t="shared" si="5"/>
        <v>40345.199999999997</v>
      </c>
    </row>
    <row r="59" spans="1:13" x14ac:dyDescent="0.3">
      <c r="A59" t="s">
        <v>1655</v>
      </c>
      <c r="B59" t="s">
        <v>1656</v>
      </c>
      <c r="C59" t="s">
        <v>1546</v>
      </c>
      <c r="D59" t="s">
        <v>35</v>
      </c>
      <c r="E59" s="1">
        <v>6627.02</v>
      </c>
      <c r="F59">
        <v>1</v>
      </c>
      <c r="G59">
        <v>0</v>
      </c>
      <c r="H59">
        <v>5</v>
      </c>
      <c r="I59">
        <v>0</v>
      </c>
      <c r="J59">
        <v>0</v>
      </c>
      <c r="K59">
        <f t="shared" si="3"/>
        <v>5</v>
      </c>
      <c r="L59" s="1">
        <f t="shared" si="4"/>
        <v>0</v>
      </c>
      <c r="M59" s="1">
        <f t="shared" si="5"/>
        <v>33135.100000000006</v>
      </c>
    </row>
    <row r="60" spans="1:13" x14ac:dyDescent="0.3">
      <c r="A60" t="s">
        <v>1657</v>
      </c>
      <c r="B60" t="s">
        <v>1658</v>
      </c>
      <c r="C60" t="s">
        <v>1546</v>
      </c>
      <c r="D60" t="s">
        <v>35</v>
      </c>
      <c r="E60" s="1">
        <v>1644.45</v>
      </c>
      <c r="F60">
        <v>2</v>
      </c>
      <c r="G60">
        <v>0</v>
      </c>
      <c r="H60">
        <v>6</v>
      </c>
      <c r="I60">
        <v>0</v>
      </c>
      <c r="J60">
        <v>0</v>
      </c>
      <c r="K60">
        <f t="shared" si="3"/>
        <v>6</v>
      </c>
      <c r="L60" s="1">
        <f t="shared" si="4"/>
        <v>0</v>
      </c>
      <c r="M60" s="1">
        <f t="shared" si="5"/>
        <v>9866.7000000000007</v>
      </c>
    </row>
    <row r="61" spans="1:13" x14ac:dyDescent="0.3">
      <c r="A61" t="s">
        <v>1659</v>
      </c>
      <c r="B61" t="s">
        <v>1660</v>
      </c>
      <c r="C61" t="s">
        <v>1546</v>
      </c>
      <c r="D61" t="s">
        <v>35</v>
      </c>
      <c r="E61" s="1">
        <v>2207.34</v>
      </c>
      <c r="F61">
        <v>1</v>
      </c>
      <c r="G61">
        <v>0</v>
      </c>
      <c r="H61">
        <v>2</v>
      </c>
      <c r="I61">
        <v>0</v>
      </c>
      <c r="J61">
        <v>0</v>
      </c>
      <c r="K61">
        <f t="shared" si="3"/>
        <v>2</v>
      </c>
      <c r="L61" s="1">
        <f t="shared" si="4"/>
        <v>0</v>
      </c>
      <c r="M61" s="1">
        <f t="shared" si="5"/>
        <v>4414.68</v>
      </c>
    </row>
    <row r="62" spans="1:13" x14ac:dyDescent="0.3">
      <c r="A62" t="s">
        <v>1661</v>
      </c>
      <c r="B62" t="s">
        <v>1662</v>
      </c>
      <c r="C62" t="s">
        <v>1546</v>
      </c>
      <c r="D62" t="s">
        <v>35</v>
      </c>
      <c r="E62" s="1">
        <v>3058.29</v>
      </c>
      <c r="F62">
        <v>3</v>
      </c>
      <c r="G62">
        <v>0</v>
      </c>
      <c r="H62">
        <v>10</v>
      </c>
      <c r="I62">
        <v>0</v>
      </c>
      <c r="J62">
        <v>0</v>
      </c>
      <c r="K62">
        <f t="shared" si="3"/>
        <v>10</v>
      </c>
      <c r="L62" s="1">
        <f t="shared" si="4"/>
        <v>0</v>
      </c>
      <c r="M62" s="1">
        <f t="shared" si="5"/>
        <v>30582.9</v>
      </c>
    </row>
    <row r="63" spans="1:13" x14ac:dyDescent="0.3">
      <c r="A63" t="s">
        <v>1663</v>
      </c>
      <c r="B63" t="s">
        <v>1664</v>
      </c>
      <c r="D63" t="s">
        <v>35</v>
      </c>
      <c r="E63" s="1">
        <v>0</v>
      </c>
      <c r="F63">
        <v>2</v>
      </c>
      <c r="G63">
        <v>0</v>
      </c>
      <c r="H63">
        <v>10</v>
      </c>
      <c r="I63">
        <v>0</v>
      </c>
      <c r="J63">
        <v>0</v>
      </c>
      <c r="K63">
        <f t="shared" si="3"/>
        <v>10</v>
      </c>
      <c r="L63" s="1">
        <f t="shared" si="4"/>
        <v>0</v>
      </c>
      <c r="M63" s="1">
        <f t="shared" si="5"/>
        <v>0</v>
      </c>
    </row>
    <row r="64" spans="1:13" x14ac:dyDescent="0.3">
      <c r="A64" t="s">
        <v>1665</v>
      </c>
      <c r="B64" t="s">
        <v>1666</v>
      </c>
      <c r="D64" t="s">
        <v>35</v>
      </c>
      <c r="E64" s="1">
        <v>0</v>
      </c>
      <c r="F64">
        <v>1</v>
      </c>
      <c r="G64">
        <v>0</v>
      </c>
      <c r="H64">
        <v>4</v>
      </c>
      <c r="I64">
        <v>0</v>
      </c>
      <c r="J64">
        <v>0</v>
      </c>
      <c r="K64">
        <f t="shared" si="3"/>
        <v>4</v>
      </c>
      <c r="L64" s="1">
        <f t="shared" si="4"/>
        <v>0</v>
      </c>
      <c r="M64" s="1">
        <f t="shared" si="5"/>
        <v>0</v>
      </c>
    </row>
    <row r="65" spans="1:13" x14ac:dyDescent="0.3">
      <c r="A65" t="s">
        <v>1667</v>
      </c>
      <c r="B65" t="s">
        <v>1668</v>
      </c>
      <c r="C65" t="s">
        <v>1546</v>
      </c>
      <c r="D65" t="s">
        <v>35</v>
      </c>
      <c r="E65" s="1">
        <v>35.35</v>
      </c>
      <c r="F65">
        <v>4</v>
      </c>
      <c r="G65">
        <v>0</v>
      </c>
      <c r="H65">
        <v>15</v>
      </c>
      <c r="I65">
        <v>0</v>
      </c>
      <c r="J65">
        <v>0</v>
      </c>
      <c r="K65">
        <f t="shared" si="3"/>
        <v>15</v>
      </c>
      <c r="L65" s="1">
        <f t="shared" si="4"/>
        <v>0</v>
      </c>
      <c r="M65" s="1">
        <f t="shared" si="5"/>
        <v>530.25</v>
      </c>
    </row>
    <row r="66" spans="1:13" x14ac:dyDescent="0.3">
      <c r="A66" t="s">
        <v>1669</v>
      </c>
      <c r="B66" t="s">
        <v>1670</v>
      </c>
      <c r="D66" t="s">
        <v>35</v>
      </c>
      <c r="E66" s="1">
        <v>0</v>
      </c>
      <c r="F66">
        <v>1</v>
      </c>
      <c r="G66">
        <v>0</v>
      </c>
      <c r="H66">
        <v>2</v>
      </c>
      <c r="I66">
        <v>0</v>
      </c>
      <c r="J66">
        <v>0</v>
      </c>
      <c r="K66">
        <f t="shared" ref="K66:K87" si="6">IF(H66-I66-J66&gt;0,H66-I66-J66,0)</f>
        <v>2</v>
      </c>
      <c r="L66" s="1">
        <f t="shared" ref="L66:L87" si="7">IFERROR(I66*E66,0)</f>
        <v>0</v>
      </c>
      <c r="M66" s="1">
        <f t="shared" ref="M66:M87" si="8">IFERROR(K66*E66,0)</f>
        <v>0</v>
      </c>
    </row>
    <row r="67" spans="1:13" x14ac:dyDescent="0.3">
      <c r="A67" t="s">
        <v>1671</v>
      </c>
      <c r="B67" t="s">
        <v>1672</v>
      </c>
      <c r="D67" t="s">
        <v>35</v>
      </c>
      <c r="E67" s="1">
        <v>0</v>
      </c>
      <c r="F67">
        <v>1</v>
      </c>
      <c r="G67">
        <v>0</v>
      </c>
      <c r="H67">
        <v>2</v>
      </c>
      <c r="I67">
        <v>0</v>
      </c>
      <c r="J67">
        <v>0</v>
      </c>
      <c r="K67">
        <f t="shared" si="6"/>
        <v>2</v>
      </c>
      <c r="L67" s="1">
        <f t="shared" si="7"/>
        <v>0</v>
      </c>
      <c r="M67" s="1">
        <f t="shared" si="8"/>
        <v>0</v>
      </c>
    </row>
    <row r="68" spans="1:13" x14ac:dyDescent="0.3">
      <c r="A68" t="s">
        <v>1673</v>
      </c>
      <c r="B68" t="s">
        <v>1674</v>
      </c>
      <c r="D68" t="s">
        <v>35</v>
      </c>
      <c r="E68" s="1">
        <v>0</v>
      </c>
      <c r="F68">
        <v>1</v>
      </c>
      <c r="G68">
        <v>0</v>
      </c>
      <c r="H68">
        <v>2</v>
      </c>
      <c r="I68">
        <v>0</v>
      </c>
      <c r="J68">
        <v>0</v>
      </c>
      <c r="K68">
        <f t="shared" si="6"/>
        <v>2</v>
      </c>
      <c r="L68" s="1">
        <f t="shared" si="7"/>
        <v>0</v>
      </c>
      <c r="M68" s="1">
        <f t="shared" si="8"/>
        <v>0</v>
      </c>
    </row>
    <row r="69" spans="1:13" x14ac:dyDescent="0.3">
      <c r="A69" t="s">
        <v>1675</v>
      </c>
      <c r="B69" t="s">
        <v>1676</v>
      </c>
      <c r="D69" t="s">
        <v>35</v>
      </c>
      <c r="E69" s="1">
        <v>47.94</v>
      </c>
      <c r="F69">
        <v>1</v>
      </c>
      <c r="G69">
        <v>0</v>
      </c>
      <c r="H69">
        <v>2</v>
      </c>
      <c r="I69">
        <v>0</v>
      </c>
      <c r="J69">
        <v>0</v>
      </c>
      <c r="K69">
        <f t="shared" si="6"/>
        <v>2</v>
      </c>
      <c r="L69" s="1">
        <f t="shared" si="7"/>
        <v>0</v>
      </c>
      <c r="M69" s="1">
        <f t="shared" si="8"/>
        <v>95.88</v>
      </c>
    </row>
    <row r="70" spans="1:13" x14ac:dyDescent="0.3">
      <c r="A70" t="s">
        <v>1677</v>
      </c>
      <c r="B70" t="s">
        <v>1678</v>
      </c>
      <c r="D70" t="s">
        <v>35</v>
      </c>
      <c r="E70" s="1">
        <v>31.15</v>
      </c>
      <c r="F70">
        <v>1</v>
      </c>
      <c r="G70">
        <v>0</v>
      </c>
      <c r="H70">
        <v>2</v>
      </c>
      <c r="I70">
        <v>0</v>
      </c>
      <c r="J70">
        <v>0</v>
      </c>
      <c r="K70">
        <f t="shared" si="6"/>
        <v>2</v>
      </c>
      <c r="L70" s="1">
        <f t="shared" si="7"/>
        <v>0</v>
      </c>
      <c r="M70" s="1">
        <f t="shared" si="8"/>
        <v>62.3</v>
      </c>
    </row>
    <row r="71" spans="1:13" x14ac:dyDescent="0.3">
      <c r="A71" t="s">
        <v>1679</v>
      </c>
      <c r="B71" t="s">
        <v>1680</v>
      </c>
      <c r="D71" t="s">
        <v>35</v>
      </c>
      <c r="E71" s="1">
        <v>0</v>
      </c>
      <c r="F71">
        <v>1</v>
      </c>
      <c r="G71">
        <v>0</v>
      </c>
      <c r="H71">
        <v>2</v>
      </c>
      <c r="I71">
        <v>0</v>
      </c>
      <c r="J71">
        <v>0</v>
      </c>
      <c r="K71">
        <f t="shared" si="6"/>
        <v>2</v>
      </c>
      <c r="L71" s="1">
        <f t="shared" si="7"/>
        <v>0</v>
      </c>
      <c r="M71" s="1">
        <f t="shared" si="8"/>
        <v>0</v>
      </c>
    </row>
    <row r="72" spans="1:13" x14ac:dyDescent="0.3">
      <c r="A72" t="s">
        <v>1681</v>
      </c>
      <c r="B72" t="s">
        <v>1682</v>
      </c>
      <c r="D72" t="s">
        <v>35</v>
      </c>
      <c r="E72" s="1">
        <v>0</v>
      </c>
      <c r="F72">
        <v>1</v>
      </c>
      <c r="G72">
        <v>0</v>
      </c>
      <c r="H72">
        <v>2</v>
      </c>
      <c r="I72">
        <v>0</v>
      </c>
      <c r="J72">
        <v>0</v>
      </c>
      <c r="K72">
        <f t="shared" si="6"/>
        <v>2</v>
      </c>
      <c r="L72" s="1">
        <f t="shared" si="7"/>
        <v>0</v>
      </c>
      <c r="M72" s="1">
        <f t="shared" si="8"/>
        <v>0</v>
      </c>
    </row>
    <row r="73" spans="1:13" x14ac:dyDescent="0.3">
      <c r="A73" t="s">
        <v>1683</v>
      </c>
      <c r="B73" t="s">
        <v>1684</v>
      </c>
      <c r="D73" t="s">
        <v>35</v>
      </c>
      <c r="E73" s="1">
        <v>0</v>
      </c>
      <c r="F73">
        <v>1</v>
      </c>
      <c r="G73">
        <v>0</v>
      </c>
      <c r="H73">
        <v>2</v>
      </c>
      <c r="I73">
        <v>0</v>
      </c>
      <c r="J73">
        <v>0</v>
      </c>
      <c r="K73">
        <f t="shared" si="6"/>
        <v>2</v>
      </c>
      <c r="L73" s="1">
        <f t="shared" si="7"/>
        <v>0</v>
      </c>
      <c r="M73" s="1">
        <f t="shared" si="8"/>
        <v>0</v>
      </c>
    </row>
    <row r="74" spans="1:13" x14ac:dyDescent="0.3">
      <c r="A74" t="s">
        <v>1685</v>
      </c>
      <c r="B74" t="s">
        <v>1686</v>
      </c>
      <c r="D74" t="s">
        <v>35</v>
      </c>
      <c r="E74" s="1">
        <v>0</v>
      </c>
      <c r="F74">
        <v>1</v>
      </c>
      <c r="G74">
        <v>0</v>
      </c>
      <c r="H74">
        <v>2</v>
      </c>
      <c r="I74">
        <v>0</v>
      </c>
      <c r="J74">
        <v>0</v>
      </c>
      <c r="K74">
        <f t="shared" si="6"/>
        <v>2</v>
      </c>
      <c r="L74" s="1">
        <f t="shared" si="7"/>
        <v>0</v>
      </c>
      <c r="M74" s="1">
        <f t="shared" si="8"/>
        <v>0</v>
      </c>
    </row>
    <row r="75" spans="1:13" x14ac:dyDescent="0.3">
      <c r="A75" t="s">
        <v>1687</v>
      </c>
      <c r="B75" t="s">
        <v>1688</v>
      </c>
      <c r="C75" t="s">
        <v>1546</v>
      </c>
      <c r="D75" t="s">
        <v>35</v>
      </c>
      <c r="E75" s="1">
        <v>4791.0600000000004</v>
      </c>
      <c r="F75">
        <v>1</v>
      </c>
      <c r="G75">
        <v>0</v>
      </c>
      <c r="H75">
        <v>3</v>
      </c>
      <c r="I75">
        <v>0</v>
      </c>
      <c r="J75">
        <v>0</v>
      </c>
      <c r="K75">
        <f t="shared" si="6"/>
        <v>3</v>
      </c>
      <c r="L75" s="1">
        <f t="shared" si="7"/>
        <v>0</v>
      </c>
      <c r="M75" s="1">
        <f t="shared" si="8"/>
        <v>14373.18</v>
      </c>
    </row>
    <row r="76" spans="1:13" x14ac:dyDescent="0.3">
      <c r="A76" t="s">
        <v>1689</v>
      </c>
      <c r="B76" t="s">
        <v>1690</v>
      </c>
      <c r="C76" t="s">
        <v>1546</v>
      </c>
      <c r="D76" t="s">
        <v>35</v>
      </c>
      <c r="E76" s="1">
        <v>7004.13</v>
      </c>
      <c r="F76">
        <v>1</v>
      </c>
      <c r="G76">
        <v>0</v>
      </c>
      <c r="H76">
        <v>3</v>
      </c>
      <c r="I76">
        <v>0</v>
      </c>
      <c r="J76">
        <v>0</v>
      </c>
      <c r="K76">
        <f t="shared" si="6"/>
        <v>3</v>
      </c>
      <c r="L76" s="1">
        <f t="shared" si="7"/>
        <v>0</v>
      </c>
      <c r="M76" s="1">
        <f t="shared" si="8"/>
        <v>21012.39</v>
      </c>
    </row>
    <row r="77" spans="1:13" x14ac:dyDescent="0.3">
      <c r="A77" t="s">
        <v>1691</v>
      </c>
      <c r="B77" t="s">
        <v>1692</v>
      </c>
      <c r="C77" t="s">
        <v>1546</v>
      </c>
      <c r="D77" t="s">
        <v>35</v>
      </c>
      <c r="E77" s="1">
        <v>7909.61</v>
      </c>
      <c r="F77">
        <v>1</v>
      </c>
      <c r="G77">
        <v>0</v>
      </c>
      <c r="H77">
        <v>2</v>
      </c>
      <c r="I77">
        <v>0</v>
      </c>
      <c r="J77">
        <v>0</v>
      </c>
      <c r="K77">
        <f t="shared" si="6"/>
        <v>2</v>
      </c>
      <c r="L77" s="1">
        <f t="shared" si="7"/>
        <v>0</v>
      </c>
      <c r="M77" s="1">
        <f t="shared" si="8"/>
        <v>15819.22</v>
      </c>
    </row>
    <row r="78" spans="1:13" x14ac:dyDescent="0.3">
      <c r="A78" t="s">
        <v>1693</v>
      </c>
      <c r="B78" t="s">
        <v>1694</v>
      </c>
      <c r="D78" t="s">
        <v>35</v>
      </c>
      <c r="E78" s="1">
        <v>0</v>
      </c>
      <c r="F78">
        <v>1</v>
      </c>
      <c r="G78">
        <v>0</v>
      </c>
      <c r="H78">
        <v>2</v>
      </c>
      <c r="I78">
        <v>0</v>
      </c>
      <c r="J78">
        <v>0</v>
      </c>
      <c r="K78">
        <f t="shared" si="6"/>
        <v>2</v>
      </c>
      <c r="L78" s="1">
        <f t="shared" si="7"/>
        <v>0</v>
      </c>
      <c r="M78" s="1">
        <f t="shared" si="8"/>
        <v>0</v>
      </c>
    </row>
    <row r="79" spans="1:13" x14ac:dyDescent="0.3">
      <c r="A79" t="s">
        <v>1695</v>
      </c>
      <c r="B79" t="s">
        <v>1696</v>
      </c>
      <c r="D79" t="s">
        <v>35</v>
      </c>
      <c r="E79" s="1">
        <v>0</v>
      </c>
      <c r="F79">
        <v>1</v>
      </c>
      <c r="G79">
        <v>0</v>
      </c>
      <c r="H79">
        <v>2</v>
      </c>
      <c r="I79">
        <v>0</v>
      </c>
      <c r="J79">
        <v>0</v>
      </c>
      <c r="K79">
        <f t="shared" si="6"/>
        <v>2</v>
      </c>
      <c r="L79" s="1">
        <f t="shared" si="7"/>
        <v>0</v>
      </c>
      <c r="M79" s="1">
        <f t="shared" si="8"/>
        <v>0</v>
      </c>
    </row>
    <row r="80" spans="1:13" x14ac:dyDescent="0.3">
      <c r="A80" t="s">
        <v>1697</v>
      </c>
      <c r="B80" t="s">
        <v>1698</v>
      </c>
      <c r="D80" t="s">
        <v>35</v>
      </c>
      <c r="E80" s="1">
        <v>0</v>
      </c>
      <c r="F80">
        <v>1</v>
      </c>
      <c r="G80">
        <v>0</v>
      </c>
      <c r="H80">
        <v>2</v>
      </c>
      <c r="I80">
        <v>0</v>
      </c>
      <c r="J80">
        <v>0</v>
      </c>
      <c r="K80">
        <f t="shared" si="6"/>
        <v>2</v>
      </c>
      <c r="L80" s="1">
        <f t="shared" si="7"/>
        <v>0</v>
      </c>
      <c r="M80" s="1">
        <f t="shared" si="8"/>
        <v>0</v>
      </c>
    </row>
    <row r="81" spans="1:13" x14ac:dyDescent="0.3">
      <c r="A81" t="s">
        <v>1699</v>
      </c>
      <c r="B81" t="s">
        <v>1700</v>
      </c>
      <c r="C81" t="s">
        <v>1546</v>
      </c>
      <c r="D81" t="s">
        <v>35</v>
      </c>
      <c r="E81" s="1">
        <v>5930.81</v>
      </c>
      <c r="F81">
        <v>1</v>
      </c>
      <c r="G81">
        <v>0</v>
      </c>
      <c r="H81">
        <v>3</v>
      </c>
      <c r="I81">
        <v>0</v>
      </c>
      <c r="J81">
        <v>0</v>
      </c>
      <c r="K81">
        <f t="shared" si="6"/>
        <v>3</v>
      </c>
      <c r="L81" s="1">
        <f t="shared" si="7"/>
        <v>0</v>
      </c>
      <c r="M81" s="1">
        <f t="shared" si="8"/>
        <v>17792.43</v>
      </c>
    </row>
    <row r="82" spans="1:13" x14ac:dyDescent="0.3">
      <c r="A82" t="s">
        <v>1701</v>
      </c>
      <c r="B82" t="s">
        <v>1702</v>
      </c>
      <c r="C82" t="s">
        <v>1546</v>
      </c>
      <c r="D82" t="s">
        <v>35</v>
      </c>
      <c r="E82" s="1">
        <v>0</v>
      </c>
      <c r="F82">
        <v>1</v>
      </c>
      <c r="G82">
        <v>0</v>
      </c>
      <c r="H82">
        <v>3</v>
      </c>
      <c r="I82">
        <v>0</v>
      </c>
      <c r="J82">
        <v>0</v>
      </c>
      <c r="K82">
        <f t="shared" si="6"/>
        <v>3</v>
      </c>
      <c r="L82" s="1">
        <f t="shared" si="7"/>
        <v>0</v>
      </c>
      <c r="M82" s="1">
        <f t="shared" si="8"/>
        <v>0</v>
      </c>
    </row>
    <row r="83" spans="1:13" x14ac:dyDescent="0.3">
      <c r="A83" t="s">
        <v>1703</v>
      </c>
      <c r="B83" t="s">
        <v>1704</v>
      </c>
      <c r="D83" t="s">
        <v>35</v>
      </c>
      <c r="E83" s="1">
        <v>0</v>
      </c>
      <c r="F83">
        <v>1</v>
      </c>
      <c r="G83">
        <v>0</v>
      </c>
      <c r="H83">
        <v>2</v>
      </c>
      <c r="I83">
        <v>0</v>
      </c>
      <c r="J83">
        <v>0</v>
      </c>
      <c r="K83">
        <f t="shared" si="6"/>
        <v>2</v>
      </c>
      <c r="L83" s="1">
        <f t="shared" si="7"/>
        <v>0</v>
      </c>
      <c r="M83" s="1">
        <f t="shared" si="8"/>
        <v>0</v>
      </c>
    </row>
    <row r="84" spans="1:13" x14ac:dyDescent="0.3">
      <c r="A84" t="s">
        <v>1705</v>
      </c>
      <c r="B84" t="s">
        <v>1706</v>
      </c>
      <c r="C84" t="s">
        <v>1546</v>
      </c>
      <c r="D84" t="s">
        <v>35</v>
      </c>
      <c r="E84" s="1">
        <v>2758.05</v>
      </c>
      <c r="F84">
        <v>1</v>
      </c>
      <c r="G84">
        <v>0</v>
      </c>
      <c r="H84">
        <v>3</v>
      </c>
      <c r="I84">
        <v>0</v>
      </c>
      <c r="J84">
        <v>0</v>
      </c>
      <c r="K84">
        <f t="shared" si="6"/>
        <v>3</v>
      </c>
      <c r="L84" s="1">
        <f t="shared" si="7"/>
        <v>0</v>
      </c>
      <c r="M84" s="1">
        <f t="shared" si="8"/>
        <v>8274.1500000000015</v>
      </c>
    </row>
    <row r="85" spans="1:13" x14ac:dyDescent="0.3">
      <c r="A85" t="s">
        <v>1707</v>
      </c>
      <c r="B85" t="s">
        <v>1708</v>
      </c>
      <c r="C85" t="s">
        <v>1546</v>
      </c>
      <c r="D85" t="s">
        <v>35</v>
      </c>
      <c r="E85" s="1">
        <v>3107.62</v>
      </c>
      <c r="F85">
        <v>1</v>
      </c>
      <c r="G85">
        <v>0</v>
      </c>
      <c r="H85">
        <v>3</v>
      </c>
      <c r="I85">
        <v>0</v>
      </c>
      <c r="J85">
        <v>0</v>
      </c>
      <c r="K85">
        <f t="shared" si="6"/>
        <v>3</v>
      </c>
      <c r="L85" s="1">
        <f t="shared" si="7"/>
        <v>0</v>
      </c>
      <c r="M85" s="1">
        <f t="shared" si="8"/>
        <v>9322.86</v>
      </c>
    </row>
    <row r="86" spans="1:13" x14ac:dyDescent="0.3">
      <c r="A86" t="s">
        <v>1709</v>
      </c>
      <c r="B86" t="s">
        <v>1710</v>
      </c>
      <c r="D86" t="s">
        <v>35</v>
      </c>
      <c r="E86" s="1">
        <v>0</v>
      </c>
      <c r="F86">
        <v>1</v>
      </c>
      <c r="G86">
        <v>0</v>
      </c>
      <c r="H86">
        <v>2</v>
      </c>
      <c r="I86">
        <v>0</v>
      </c>
      <c r="J86">
        <v>0</v>
      </c>
      <c r="K86">
        <f t="shared" si="6"/>
        <v>2</v>
      </c>
      <c r="L86" s="1">
        <f t="shared" si="7"/>
        <v>0</v>
      </c>
      <c r="M86" s="1">
        <f t="shared" si="8"/>
        <v>0</v>
      </c>
    </row>
    <row r="87" spans="1:13" x14ac:dyDescent="0.3">
      <c r="A87" t="s">
        <v>1711</v>
      </c>
      <c r="B87" t="s">
        <v>1712</v>
      </c>
      <c r="D87" t="s">
        <v>35</v>
      </c>
      <c r="E87" s="1">
        <v>0</v>
      </c>
      <c r="F87">
        <v>1</v>
      </c>
      <c r="G87">
        <v>0</v>
      </c>
      <c r="H87">
        <v>2</v>
      </c>
      <c r="I87">
        <v>0</v>
      </c>
      <c r="J87">
        <v>0</v>
      </c>
      <c r="K87">
        <f t="shared" si="6"/>
        <v>2</v>
      </c>
      <c r="L87" s="1">
        <f t="shared" si="7"/>
        <v>0</v>
      </c>
      <c r="M87" s="1">
        <f t="shared" si="8"/>
        <v>0</v>
      </c>
    </row>
    <row r="88" spans="1:13" x14ac:dyDescent="0.3">
      <c r="A88" t="s">
        <v>48</v>
      </c>
    </row>
  </sheetData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1713</v>
      </c>
      <c r="B2" t="s">
        <v>1713</v>
      </c>
      <c r="C2" t="s">
        <v>1714</v>
      </c>
      <c r="D2" t="s">
        <v>36</v>
      </c>
      <c r="E2" s="1">
        <v>81.45</v>
      </c>
      <c r="F2">
        <v>2</v>
      </c>
      <c r="G2">
        <v>0</v>
      </c>
      <c r="H2">
        <v>4</v>
      </c>
      <c r="I2">
        <v>0</v>
      </c>
      <c r="J2">
        <v>0</v>
      </c>
      <c r="K2">
        <f>IF(H2-I2-J2&gt;0,H2-I2-J2,0)</f>
        <v>4</v>
      </c>
      <c r="L2" s="1">
        <f>IFERROR(I2*E2,0)</f>
        <v>0</v>
      </c>
      <c r="M2" s="1">
        <f>IFERROR(K2*E2,0)</f>
        <v>325.8</v>
      </c>
    </row>
    <row r="3" spans="1:13" x14ac:dyDescent="0.3">
      <c r="A3" t="s">
        <v>48</v>
      </c>
    </row>
  </sheetData>
  <pageMargins left="0.75" right="0.75" top="1" bottom="1" header="0.5" footer="0.5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1715</v>
      </c>
      <c r="B2" t="s">
        <v>1716</v>
      </c>
      <c r="C2" t="s">
        <v>70</v>
      </c>
      <c r="D2" t="s">
        <v>37</v>
      </c>
      <c r="E2" s="1">
        <v>854.1</v>
      </c>
      <c r="F2">
        <v>1</v>
      </c>
      <c r="G2">
        <v>0</v>
      </c>
      <c r="H2">
        <v>2</v>
      </c>
      <c r="I2">
        <v>0</v>
      </c>
      <c r="J2">
        <v>0</v>
      </c>
      <c r="K2">
        <f t="shared" ref="K2:K7" si="0">IF(H2-I2-J2&gt;0,H2-I2-J2,0)</f>
        <v>2</v>
      </c>
      <c r="L2" s="1">
        <f t="shared" ref="L2:L7" si="1">IFERROR(I2*E2,0)</f>
        <v>0</v>
      </c>
      <c r="M2" s="1">
        <f t="shared" ref="M2:M7" si="2">IFERROR(K2*E2,0)</f>
        <v>1708.2</v>
      </c>
    </row>
    <row r="3" spans="1:13" x14ac:dyDescent="0.3">
      <c r="A3" t="s">
        <v>1717</v>
      </c>
      <c r="B3" t="s">
        <v>1718</v>
      </c>
      <c r="C3" t="s">
        <v>70</v>
      </c>
      <c r="D3" t="s">
        <v>37</v>
      </c>
      <c r="E3" s="1">
        <v>1361.75</v>
      </c>
      <c r="F3">
        <v>1</v>
      </c>
      <c r="G3">
        <v>0</v>
      </c>
      <c r="H3">
        <v>2</v>
      </c>
      <c r="I3">
        <v>0</v>
      </c>
      <c r="J3">
        <v>0</v>
      </c>
      <c r="K3">
        <f t="shared" si="0"/>
        <v>2</v>
      </c>
      <c r="L3" s="1">
        <f t="shared" si="1"/>
        <v>0</v>
      </c>
      <c r="M3" s="1">
        <f t="shared" si="2"/>
        <v>2723.5</v>
      </c>
    </row>
    <row r="4" spans="1:13" x14ac:dyDescent="0.3">
      <c r="A4" t="s">
        <v>1719</v>
      </c>
      <c r="B4" t="s">
        <v>1720</v>
      </c>
      <c r="C4" t="s">
        <v>70</v>
      </c>
      <c r="D4" t="s">
        <v>37</v>
      </c>
      <c r="E4" s="1">
        <v>2098.1999999999998</v>
      </c>
      <c r="F4">
        <v>1</v>
      </c>
      <c r="G4">
        <v>0</v>
      </c>
      <c r="H4">
        <v>2</v>
      </c>
      <c r="I4">
        <v>0</v>
      </c>
      <c r="J4">
        <v>0</v>
      </c>
      <c r="K4">
        <f t="shared" si="0"/>
        <v>2</v>
      </c>
      <c r="L4" s="1">
        <f t="shared" si="1"/>
        <v>0</v>
      </c>
      <c r="M4" s="1">
        <f t="shared" si="2"/>
        <v>4196.3999999999996</v>
      </c>
    </row>
    <row r="5" spans="1:13" x14ac:dyDescent="0.3">
      <c r="A5" t="s">
        <v>1721</v>
      </c>
      <c r="B5" t="s">
        <v>1722</v>
      </c>
      <c r="C5" t="s">
        <v>70</v>
      </c>
      <c r="D5" t="s">
        <v>37</v>
      </c>
      <c r="E5" s="1">
        <v>2104.6999999999998</v>
      </c>
      <c r="F5">
        <v>1</v>
      </c>
      <c r="G5">
        <v>0</v>
      </c>
      <c r="H5">
        <v>2</v>
      </c>
      <c r="I5">
        <v>0</v>
      </c>
      <c r="J5">
        <v>0</v>
      </c>
      <c r="K5">
        <f t="shared" si="0"/>
        <v>2</v>
      </c>
      <c r="L5" s="1">
        <f t="shared" si="1"/>
        <v>0</v>
      </c>
      <c r="M5" s="1">
        <f t="shared" si="2"/>
        <v>4209.3999999999996</v>
      </c>
    </row>
    <row r="6" spans="1:13" x14ac:dyDescent="0.3">
      <c r="A6" t="s">
        <v>1723</v>
      </c>
      <c r="B6" t="s">
        <v>1724</v>
      </c>
      <c r="C6" t="s">
        <v>70</v>
      </c>
      <c r="D6" t="s">
        <v>37</v>
      </c>
      <c r="E6" s="1">
        <v>1517.75</v>
      </c>
      <c r="F6">
        <v>1</v>
      </c>
      <c r="G6">
        <v>0</v>
      </c>
      <c r="H6">
        <v>5</v>
      </c>
      <c r="I6">
        <v>0</v>
      </c>
      <c r="J6">
        <v>0</v>
      </c>
      <c r="K6">
        <f t="shared" si="0"/>
        <v>5</v>
      </c>
      <c r="L6" s="1">
        <f t="shared" si="1"/>
        <v>0</v>
      </c>
      <c r="M6" s="1">
        <f t="shared" si="2"/>
        <v>7588.75</v>
      </c>
    </row>
    <row r="7" spans="1:13" x14ac:dyDescent="0.3">
      <c r="A7" t="s">
        <v>1725</v>
      </c>
      <c r="B7" t="s">
        <v>1726</v>
      </c>
      <c r="C7" t="s">
        <v>70</v>
      </c>
      <c r="D7" t="s">
        <v>37</v>
      </c>
      <c r="E7" s="1">
        <v>2594.15</v>
      </c>
      <c r="F7">
        <v>1</v>
      </c>
      <c r="G7">
        <v>0</v>
      </c>
      <c r="H7">
        <v>5</v>
      </c>
      <c r="I7">
        <v>0</v>
      </c>
      <c r="J7">
        <v>0</v>
      </c>
      <c r="K7">
        <f t="shared" si="0"/>
        <v>5</v>
      </c>
      <c r="L7" s="1">
        <f t="shared" si="1"/>
        <v>0</v>
      </c>
      <c r="M7" s="1">
        <f t="shared" si="2"/>
        <v>12970.75</v>
      </c>
    </row>
    <row r="8" spans="1:13" x14ac:dyDescent="0.3">
      <c r="A8" t="s">
        <v>48</v>
      </c>
    </row>
  </sheetData>
  <pageMargins left="0.75" right="0.75" top="1" bottom="1" header="0.5" footer="0.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1727</v>
      </c>
      <c r="B2" t="s">
        <v>1728</v>
      </c>
      <c r="C2" t="s">
        <v>81</v>
      </c>
      <c r="D2" t="s">
        <v>38</v>
      </c>
      <c r="E2" s="1">
        <v>1135.05</v>
      </c>
      <c r="F2">
        <v>1</v>
      </c>
      <c r="G2">
        <v>0</v>
      </c>
      <c r="H2">
        <v>3</v>
      </c>
      <c r="I2">
        <v>0</v>
      </c>
      <c r="J2">
        <v>0</v>
      </c>
      <c r="K2">
        <f>IF(H2-I2-J2&gt;0,H2-I2-J2,0)</f>
        <v>3</v>
      </c>
      <c r="L2" s="1">
        <f>IFERROR(I2*E2,0)</f>
        <v>0</v>
      </c>
      <c r="M2" s="1">
        <f>IFERROR(K2*E2,0)</f>
        <v>3405.1499999999996</v>
      </c>
    </row>
    <row r="3" spans="1:13" x14ac:dyDescent="0.3">
      <c r="A3" t="s">
        <v>1729</v>
      </c>
      <c r="B3" t="s">
        <v>1730</v>
      </c>
      <c r="C3" t="s">
        <v>81</v>
      </c>
      <c r="D3" t="s">
        <v>38</v>
      </c>
      <c r="E3" s="1">
        <v>1345.25</v>
      </c>
      <c r="F3">
        <v>2</v>
      </c>
      <c r="G3">
        <v>0</v>
      </c>
      <c r="H3">
        <v>5</v>
      </c>
      <c r="I3">
        <v>0</v>
      </c>
      <c r="J3">
        <v>0</v>
      </c>
      <c r="K3">
        <f>IF(H3-I3-J3&gt;0,H3-I3-J3,0)</f>
        <v>5</v>
      </c>
      <c r="L3" s="1">
        <f>IFERROR(I3*E3,0)</f>
        <v>0</v>
      </c>
      <c r="M3" s="1">
        <f>IFERROR(K3*E3,0)</f>
        <v>6726.25</v>
      </c>
    </row>
    <row r="4" spans="1:13" x14ac:dyDescent="0.3">
      <c r="A4" t="s">
        <v>1731</v>
      </c>
      <c r="B4" t="s">
        <v>1732</v>
      </c>
      <c r="C4" t="s">
        <v>211</v>
      </c>
      <c r="D4" t="s">
        <v>38</v>
      </c>
      <c r="E4" s="1">
        <v>90.15</v>
      </c>
      <c r="F4">
        <v>6</v>
      </c>
      <c r="G4">
        <v>0</v>
      </c>
      <c r="H4">
        <v>14</v>
      </c>
      <c r="I4">
        <v>0</v>
      </c>
      <c r="J4">
        <v>0</v>
      </c>
      <c r="K4">
        <f>IF(H4-I4-J4&gt;0,H4-I4-J4,0)</f>
        <v>14</v>
      </c>
      <c r="L4" s="1">
        <f>IFERROR(I4*E4,0)</f>
        <v>0</v>
      </c>
      <c r="M4" s="1">
        <f>IFERROR(K4*E4,0)</f>
        <v>1262.1000000000001</v>
      </c>
    </row>
    <row r="5" spans="1:13" x14ac:dyDescent="0.3">
      <c r="A5" t="s">
        <v>1733</v>
      </c>
      <c r="B5" t="s">
        <v>1734</v>
      </c>
      <c r="D5" t="s">
        <v>38</v>
      </c>
      <c r="E5" s="1">
        <v>0</v>
      </c>
      <c r="F5">
        <v>2</v>
      </c>
      <c r="G5">
        <v>0</v>
      </c>
      <c r="H5">
        <v>10</v>
      </c>
      <c r="I5">
        <v>0</v>
      </c>
      <c r="J5">
        <v>0</v>
      </c>
      <c r="K5">
        <f>IF(H5-I5-J5&gt;0,H5-I5-J5,0)</f>
        <v>10</v>
      </c>
      <c r="L5" s="1">
        <f>IFERROR(I5*E5,0)</f>
        <v>0</v>
      </c>
      <c r="M5" s="1">
        <f>IFERROR(K5*E5,0)</f>
        <v>0</v>
      </c>
    </row>
    <row r="6" spans="1:13" x14ac:dyDescent="0.3">
      <c r="A6" t="s">
        <v>1735</v>
      </c>
      <c r="B6" t="s">
        <v>1736</v>
      </c>
      <c r="C6" t="s">
        <v>88</v>
      </c>
      <c r="D6" t="s">
        <v>38</v>
      </c>
      <c r="E6" s="1">
        <v>0</v>
      </c>
      <c r="F6">
        <v>2</v>
      </c>
      <c r="G6">
        <v>0</v>
      </c>
      <c r="H6">
        <v>10</v>
      </c>
      <c r="I6">
        <v>0</v>
      </c>
      <c r="J6">
        <v>0</v>
      </c>
      <c r="K6">
        <f>IF(H6-I6-J6&gt;0,H6-I6-J6,0)</f>
        <v>10</v>
      </c>
      <c r="L6" s="1">
        <f>IFERROR(I6*E6,0)</f>
        <v>0</v>
      </c>
      <c r="M6" s="1">
        <f>IFERROR(K6*E6,0)</f>
        <v>0</v>
      </c>
    </row>
    <row r="7" spans="1:13" x14ac:dyDescent="0.3">
      <c r="A7" t="s">
        <v>48</v>
      </c>
    </row>
  </sheetData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1737</v>
      </c>
      <c r="B2" t="s">
        <v>1738</v>
      </c>
      <c r="C2" t="s">
        <v>1739</v>
      </c>
      <c r="D2" t="s">
        <v>39</v>
      </c>
      <c r="E2" s="1">
        <v>0</v>
      </c>
      <c r="F2">
        <v>1</v>
      </c>
      <c r="G2">
        <v>0</v>
      </c>
      <c r="H2">
        <v>2</v>
      </c>
      <c r="I2">
        <v>0</v>
      </c>
      <c r="J2">
        <v>0</v>
      </c>
      <c r="K2">
        <f>IF(H2-I2-J2&gt;0,H2-I2-J2,0)</f>
        <v>2</v>
      </c>
      <c r="L2" s="1">
        <f>IFERROR(I2*E2,0)</f>
        <v>0</v>
      </c>
      <c r="M2" s="1">
        <f>IFERROR(K2*E2,0)</f>
        <v>0</v>
      </c>
    </row>
    <row r="3" spans="1:13" x14ac:dyDescent="0.3">
      <c r="A3" t="s">
        <v>48</v>
      </c>
    </row>
  </sheetData>
  <pageMargins left="0.75" right="0.75" top="1" bottom="1" header="0.5" footer="0.5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1740</v>
      </c>
      <c r="B2" t="s">
        <v>1741</v>
      </c>
      <c r="C2" t="s">
        <v>1742</v>
      </c>
      <c r="D2" t="s">
        <v>40</v>
      </c>
      <c r="E2" s="1">
        <v>1430</v>
      </c>
      <c r="F2">
        <v>1</v>
      </c>
      <c r="G2">
        <v>0</v>
      </c>
      <c r="H2">
        <v>3</v>
      </c>
      <c r="I2">
        <v>0</v>
      </c>
      <c r="J2">
        <v>0</v>
      </c>
      <c r="K2">
        <f>IF(H2-I2-J2&gt;0,H2-I2-J2,0)</f>
        <v>3</v>
      </c>
      <c r="L2" s="1">
        <f>IFERROR(I2*E2,0)</f>
        <v>0</v>
      </c>
      <c r="M2" s="1">
        <f>IFERROR(K2*E2,0)</f>
        <v>4290</v>
      </c>
    </row>
    <row r="3" spans="1:13" x14ac:dyDescent="0.3">
      <c r="A3" t="s">
        <v>1743</v>
      </c>
      <c r="B3" t="s">
        <v>1744</v>
      </c>
      <c r="C3" t="s">
        <v>1745</v>
      </c>
      <c r="D3" t="s">
        <v>40</v>
      </c>
      <c r="E3" s="1">
        <v>1480</v>
      </c>
      <c r="F3">
        <v>1</v>
      </c>
      <c r="G3">
        <v>0</v>
      </c>
      <c r="H3">
        <v>2</v>
      </c>
      <c r="I3">
        <v>0</v>
      </c>
      <c r="J3">
        <v>0</v>
      </c>
      <c r="K3">
        <f>IF(H3-I3-J3&gt;0,H3-I3-J3,0)</f>
        <v>2</v>
      </c>
      <c r="L3" s="1">
        <f>IFERROR(I3*E3,0)</f>
        <v>0</v>
      </c>
      <c r="M3" s="1">
        <f>IFERROR(K3*E3,0)</f>
        <v>2960</v>
      </c>
    </row>
    <row r="4" spans="1:13" x14ac:dyDescent="0.3">
      <c r="A4" t="s">
        <v>1746</v>
      </c>
      <c r="B4" t="s">
        <v>1747</v>
      </c>
      <c r="C4" t="s">
        <v>1739</v>
      </c>
      <c r="D4" t="s">
        <v>40</v>
      </c>
      <c r="E4" s="1">
        <v>7175</v>
      </c>
      <c r="F4">
        <v>1</v>
      </c>
      <c r="G4">
        <v>0</v>
      </c>
      <c r="H4">
        <v>2</v>
      </c>
      <c r="I4">
        <v>0</v>
      </c>
      <c r="J4">
        <v>0</v>
      </c>
      <c r="K4">
        <f>IF(H4-I4-J4&gt;0,H4-I4-J4,0)</f>
        <v>2</v>
      </c>
      <c r="L4" s="1">
        <f>IFERROR(I4*E4,0)</f>
        <v>0</v>
      </c>
      <c r="M4" s="1">
        <f>IFERROR(K4*E4,0)</f>
        <v>14350</v>
      </c>
    </row>
    <row r="5" spans="1:13" x14ac:dyDescent="0.3">
      <c r="A5" t="s">
        <v>1748</v>
      </c>
      <c r="B5" t="s">
        <v>1749</v>
      </c>
      <c r="C5" t="s">
        <v>1742</v>
      </c>
      <c r="D5" t="s">
        <v>40</v>
      </c>
      <c r="E5" s="1">
        <v>26234</v>
      </c>
      <c r="F5">
        <v>1</v>
      </c>
      <c r="G5">
        <v>0</v>
      </c>
      <c r="H5">
        <v>2</v>
      </c>
      <c r="I5">
        <v>0</v>
      </c>
      <c r="J5">
        <v>0</v>
      </c>
      <c r="K5">
        <f>IF(H5-I5-J5&gt;0,H5-I5-J5,0)</f>
        <v>2</v>
      </c>
      <c r="L5" s="1">
        <f>IFERROR(I5*E5,0)</f>
        <v>0</v>
      </c>
      <c r="M5" s="1">
        <f>IFERROR(K5*E5,0)</f>
        <v>52468</v>
      </c>
    </row>
    <row r="6" spans="1:13" x14ac:dyDescent="0.3">
      <c r="A6" t="s">
        <v>48</v>
      </c>
    </row>
  </sheetData>
  <pageMargins left="0.75" right="0.75" top="1" bottom="1" header="0.5" footer="0.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1750</v>
      </c>
      <c r="B2" t="s">
        <v>1751</v>
      </c>
      <c r="C2" t="s">
        <v>1752</v>
      </c>
      <c r="D2" t="s">
        <v>41</v>
      </c>
      <c r="E2" s="1">
        <v>496.99</v>
      </c>
      <c r="F2">
        <v>1</v>
      </c>
      <c r="G2">
        <v>0</v>
      </c>
      <c r="H2">
        <v>2</v>
      </c>
      <c r="I2">
        <v>0</v>
      </c>
      <c r="J2">
        <v>0</v>
      </c>
      <c r="K2">
        <f>IF(H2-I2-J2&gt;0,H2-I2-J2,0)</f>
        <v>2</v>
      </c>
      <c r="L2" s="1">
        <f>IFERROR(I2*E2,0)</f>
        <v>0</v>
      </c>
      <c r="M2" s="1">
        <f>IFERROR(K2*E2,0)</f>
        <v>993.98</v>
      </c>
    </row>
    <row r="3" spans="1:13" x14ac:dyDescent="0.3">
      <c r="A3" t="s">
        <v>48</v>
      </c>
    </row>
  </sheetData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1753</v>
      </c>
      <c r="B2" t="s">
        <v>1754</v>
      </c>
      <c r="C2" t="s">
        <v>1755</v>
      </c>
      <c r="D2" t="s">
        <v>42</v>
      </c>
      <c r="E2" s="1">
        <v>2334</v>
      </c>
      <c r="F2">
        <v>1</v>
      </c>
      <c r="G2">
        <v>0</v>
      </c>
      <c r="H2">
        <v>6</v>
      </c>
      <c r="I2">
        <v>0</v>
      </c>
      <c r="J2">
        <v>0</v>
      </c>
      <c r="K2">
        <f>IF(H2-I2-J2&gt;0,H2-I2-J2,0)</f>
        <v>6</v>
      </c>
      <c r="L2" s="1">
        <f>IFERROR(I2*E2,0)</f>
        <v>0</v>
      </c>
      <c r="M2" s="1">
        <f>IFERROR(K2*E2,0)</f>
        <v>14004</v>
      </c>
    </row>
    <row r="3" spans="1:13" x14ac:dyDescent="0.3">
      <c r="A3" t="s">
        <v>48</v>
      </c>
    </row>
  </sheetData>
  <pageMargins left="0.75" right="0.75" top="1" bottom="1" header="0.5" footer="0.5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1756</v>
      </c>
      <c r="B2" t="s">
        <v>1757</v>
      </c>
      <c r="C2" t="s">
        <v>472</v>
      </c>
      <c r="D2" t="s">
        <v>43</v>
      </c>
      <c r="E2" s="1">
        <v>14073</v>
      </c>
      <c r="F2">
        <v>1</v>
      </c>
      <c r="G2">
        <v>0</v>
      </c>
      <c r="H2">
        <v>3</v>
      </c>
      <c r="I2">
        <v>0</v>
      </c>
      <c r="J2">
        <v>0</v>
      </c>
      <c r="K2">
        <f>IF(H2-I2-J2&gt;0,H2-I2-J2,0)</f>
        <v>3</v>
      </c>
      <c r="L2" s="1">
        <f>IFERROR(I2*E2,0)</f>
        <v>0</v>
      </c>
      <c r="M2" s="1">
        <f>IFERROR(K2*E2,0)</f>
        <v>42219</v>
      </c>
    </row>
    <row r="3" spans="1:13" x14ac:dyDescent="0.3">
      <c r="A3" t="s">
        <v>48</v>
      </c>
    </row>
  </sheetData>
  <pageMargins left="0.75" right="0.75" top="1" bottom="1" header="0.5" footer="0.5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1758</v>
      </c>
      <c r="B2" t="s">
        <v>1759</v>
      </c>
      <c r="D2" t="s">
        <v>44</v>
      </c>
      <c r="E2" s="1">
        <v>0</v>
      </c>
      <c r="F2">
        <v>1</v>
      </c>
      <c r="G2">
        <v>0</v>
      </c>
      <c r="H2">
        <v>2</v>
      </c>
      <c r="I2">
        <v>0</v>
      </c>
      <c r="J2">
        <v>0</v>
      </c>
      <c r="K2">
        <f>IF(H2-I2-J2&gt;0,H2-I2-J2,0)</f>
        <v>2</v>
      </c>
      <c r="L2" s="1">
        <f>IFERROR(I2*E2,0)</f>
        <v>0</v>
      </c>
      <c r="M2" s="1">
        <f>IFERROR(K2*E2,0)</f>
        <v>0</v>
      </c>
    </row>
    <row r="3" spans="1:13" x14ac:dyDescent="0.3">
      <c r="A3" t="s">
        <v>1760</v>
      </c>
      <c r="B3" t="s">
        <v>1761</v>
      </c>
      <c r="C3" t="s">
        <v>1344</v>
      </c>
      <c r="D3" t="s">
        <v>44</v>
      </c>
      <c r="E3" s="1">
        <v>2971.02</v>
      </c>
      <c r="F3">
        <v>2</v>
      </c>
      <c r="G3">
        <v>0</v>
      </c>
      <c r="H3">
        <v>4</v>
      </c>
      <c r="I3">
        <v>0</v>
      </c>
      <c r="J3">
        <v>0</v>
      </c>
      <c r="K3">
        <f>IF(H3-I3-J3&gt;0,H3-I3-J3,0)</f>
        <v>4</v>
      </c>
      <c r="L3" s="1">
        <f>IFERROR(I3*E3,0)</f>
        <v>0</v>
      </c>
      <c r="M3" s="1">
        <f>IFERROR(K3*E3,0)</f>
        <v>11884.08</v>
      </c>
    </row>
    <row r="4" spans="1:13" x14ac:dyDescent="0.3">
      <c r="A4" t="s">
        <v>48</v>
      </c>
    </row>
  </sheetData>
  <pageMargins left="0.75" right="0.75" top="1" bottom="1" header="0.5" footer="0.5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718"/>
  <sheetViews>
    <sheetView zoomScale="70" zoomScaleNormal="70" workbookViewId="0">
      <pane ySplit="1" topLeftCell="A78" activePane="bottomLeft" state="frozen"/>
      <selection pane="bottomLeft" activeCell="A96" sqref="A96"/>
    </sheetView>
  </sheetViews>
  <sheetFormatPr defaultColWidth="15.33203125" defaultRowHeight="14.4" x14ac:dyDescent="0.3"/>
  <cols>
    <col min="1" max="1" width="21.33203125" style="2" customWidth="1"/>
    <col min="2" max="2" width="92.44140625" style="2" bestFit="1" customWidth="1"/>
    <col min="3" max="3" width="34.77734375" style="4" customWidth="1"/>
    <col min="4" max="4" width="15.33203125" style="6"/>
    <col min="5" max="5" width="15.33203125" style="4"/>
    <col min="6" max="11" width="10.33203125" style="4" customWidth="1"/>
    <col min="12" max="16384" width="15.33203125" style="4"/>
  </cols>
  <sheetData>
    <row r="1" spans="1:13" s="2" customFormat="1" ht="43.2" x14ac:dyDescent="0.3">
      <c r="A1" s="2" t="s">
        <v>49</v>
      </c>
      <c r="B1" s="2" t="s">
        <v>50</v>
      </c>
      <c r="C1" s="3" t="s">
        <v>51</v>
      </c>
      <c r="D1" s="3" t="s">
        <v>0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</row>
    <row r="2" spans="1:13" customFormat="1" hidden="1" x14ac:dyDescent="0.3">
      <c r="A2" t="s">
        <v>1762</v>
      </c>
      <c r="B2" t="s">
        <v>1763</v>
      </c>
      <c r="C2" t="s">
        <v>1764</v>
      </c>
      <c r="D2" t="s">
        <v>45</v>
      </c>
      <c r="E2" s="1">
        <v>6515.6</v>
      </c>
      <c r="F2">
        <v>1</v>
      </c>
      <c r="G2">
        <v>0</v>
      </c>
      <c r="H2">
        <v>2</v>
      </c>
      <c r="I2">
        <v>0</v>
      </c>
      <c r="J2">
        <v>0</v>
      </c>
      <c r="K2">
        <f t="shared" ref="K2:K65" si="0">IF(H2-I2-J2&gt;0,H2-I2-J2,0)</f>
        <v>2</v>
      </c>
      <c r="L2" s="1">
        <f t="shared" ref="L2:L65" si="1">IFERROR(I2*E2,0)</f>
        <v>0</v>
      </c>
      <c r="M2" s="1">
        <f t="shared" ref="M2:M65" si="2">IFERROR(K2*E2,0)</f>
        <v>13031.2</v>
      </c>
    </row>
    <row r="3" spans="1:13" customFormat="1" hidden="1" x14ac:dyDescent="0.3">
      <c r="A3" t="s">
        <v>1765</v>
      </c>
      <c r="B3" t="s">
        <v>1766</v>
      </c>
      <c r="C3" t="s">
        <v>300</v>
      </c>
      <c r="D3" t="s">
        <v>45</v>
      </c>
      <c r="E3" s="1">
        <v>1359</v>
      </c>
      <c r="F3">
        <v>1</v>
      </c>
      <c r="G3">
        <v>0</v>
      </c>
      <c r="H3">
        <v>3</v>
      </c>
      <c r="I3">
        <v>0</v>
      </c>
      <c r="J3">
        <v>0</v>
      </c>
      <c r="K3">
        <f t="shared" si="0"/>
        <v>3</v>
      </c>
      <c r="L3" s="1">
        <f t="shared" si="1"/>
        <v>0</v>
      </c>
      <c r="M3" s="1">
        <f t="shared" si="2"/>
        <v>4077</v>
      </c>
    </row>
    <row r="4" spans="1:13" customFormat="1" hidden="1" x14ac:dyDescent="0.3">
      <c r="A4" t="s">
        <v>1767</v>
      </c>
      <c r="B4" t="s">
        <v>1768</v>
      </c>
      <c r="C4" t="s">
        <v>300</v>
      </c>
      <c r="D4" t="s">
        <v>45</v>
      </c>
      <c r="E4" s="1">
        <v>1591</v>
      </c>
      <c r="F4">
        <v>4</v>
      </c>
      <c r="G4">
        <v>0</v>
      </c>
      <c r="H4">
        <v>10</v>
      </c>
      <c r="I4">
        <v>0</v>
      </c>
      <c r="J4">
        <v>0</v>
      </c>
      <c r="K4">
        <f t="shared" si="0"/>
        <v>10</v>
      </c>
      <c r="L4" s="1">
        <f t="shared" si="1"/>
        <v>0</v>
      </c>
      <c r="M4" s="1">
        <f t="shared" si="2"/>
        <v>15910</v>
      </c>
    </row>
    <row r="5" spans="1:13" customFormat="1" hidden="1" x14ac:dyDescent="0.3">
      <c r="A5" t="s">
        <v>1769</v>
      </c>
      <c r="B5" t="s">
        <v>1770</v>
      </c>
      <c r="C5" t="s">
        <v>300</v>
      </c>
      <c r="D5" t="s">
        <v>45</v>
      </c>
      <c r="E5" s="1">
        <v>1880</v>
      </c>
      <c r="F5">
        <v>1</v>
      </c>
      <c r="G5">
        <v>0</v>
      </c>
      <c r="H5">
        <v>3</v>
      </c>
      <c r="I5">
        <v>0</v>
      </c>
      <c r="J5">
        <v>0</v>
      </c>
      <c r="K5">
        <f t="shared" si="0"/>
        <v>3</v>
      </c>
      <c r="L5" s="1">
        <f t="shared" si="1"/>
        <v>0</v>
      </c>
      <c r="M5" s="1">
        <f t="shared" si="2"/>
        <v>5640</v>
      </c>
    </row>
    <row r="6" spans="1:13" customFormat="1" hidden="1" x14ac:dyDescent="0.3">
      <c r="A6" t="s">
        <v>1771</v>
      </c>
      <c r="B6" t="s">
        <v>1772</v>
      </c>
      <c r="C6" t="s">
        <v>1745</v>
      </c>
      <c r="D6" t="s">
        <v>45</v>
      </c>
      <c r="E6" s="1">
        <v>1630</v>
      </c>
      <c r="F6">
        <v>1</v>
      </c>
      <c r="G6">
        <v>0</v>
      </c>
      <c r="H6">
        <v>2</v>
      </c>
      <c r="I6">
        <v>0</v>
      </c>
      <c r="J6">
        <v>0</v>
      </c>
      <c r="K6">
        <f t="shared" si="0"/>
        <v>2</v>
      </c>
      <c r="L6" s="1">
        <f t="shared" si="1"/>
        <v>0</v>
      </c>
      <c r="M6" s="1">
        <f t="shared" si="2"/>
        <v>3260</v>
      </c>
    </row>
    <row r="7" spans="1:13" customFormat="1" hidden="1" x14ac:dyDescent="0.3">
      <c r="A7" t="s">
        <v>1773</v>
      </c>
      <c r="B7" t="s">
        <v>1774</v>
      </c>
      <c r="C7" t="s">
        <v>300</v>
      </c>
      <c r="D7" t="s">
        <v>45</v>
      </c>
      <c r="E7" s="1">
        <v>1834</v>
      </c>
      <c r="F7">
        <v>2</v>
      </c>
      <c r="G7">
        <v>0</v>
      </c>
      <c r="H7">
        <v>4</v>
      </c>
      <c r="I7">
        <v>0</v>
      </c>
      <c r="J7">
        <v>0</v>
      </c>
      <c r="K7">
        <f t="shared" si="0"/>
        <v>4</v>
      </c>
      <c r="L7" s="1">
        <f t="shared" si="1"/>
        <v>0</v>
      </c>
      <c r="M7" s="1">
        <f t="shared" si="2"/>
        <v>7336</v>
      </c>
    </row>
    <row r="8" spans="1:13" customFormat="1" hidden="1" x14ac:dyDescent="0.3">
      <c r="A8" t="s">
        <v>1775</v>
      </c>
      <c r="B8" t="s">
        <v>1776</v>
      </c>
      <c r="C8" t="s">
        <v>1777</v>
      </c>
      <c r="D8" t="s">
        <v>45</v>
      </c>
      <c r="E8" s="1">
        <v>2710</v>
      </c>
      <c r="F8">
        <v>1</v>
      </c>
      <c r="G8">
        <v>0</v>
      </c>
      <c r="H8">
        <v>3</v>
      </c>
      <c r="I8">
        <v>0</v>
      </c>
      <c r="J8">
        <v>1</v>
      </c>
      <c r="K8">
        <f t="shared" si="0"/>
        <v>2</v>
      </c>
      <c r="L8" s="1">
        <f t="shared" si="1"/>
        <v>0</v>
      </c>
      <c r="M8" s="1">
        <f t="shared" si="2"/>
        <v>5420</v>
      </c>
    </row>
    <row r="9" spans="1:13" customFormat="1" hidden="1" x14ac:dyDescent="0.3">
      <c r="A9" t="s">
        <v>1778</v>
      </c>
      <c r="B9" t="s">
        <v>1779</v>
      </c>
      <c r="D9" t="s">
        <v>45</v>
      </c>
      <c r="E9" s="1">
        <v>0</v>
      </c>
      <c r="F9">
        <v>1</v>
      </c>
      <c r="G9">
        <v>0</v>
      </c>
      <c r="H9">
        <v>6</v>
      </c>
      <c r="I9">
        <v>0</v>
      </c>
      <c r="J9">
        <v>0</v>
      </c>
      <c r="K9">
        <f t="shared" si="0"/>
        <v>6</v>
      </c>
      <c r="L9" s="1">
        <f t="shared" si="1"/>
        <v>0</v>
      </c>
      <c r="M9" s="1">
        <f t="shared" si="2"/>
        <v>0</v>
      </c>
    </row>
    <row r="10" spans="1:13" customFormat="1" hidden="1" x14ac:dyDescent="0.3">
      <c r="A10" t="s">
        <v>1780</v>
      </c>
      <c r="B10" t="s">
        <v>1781</v>
      </c>
      <c r="D10" t="s">
        <v>45</v>
      </c>
      <c r="E10" s="1">
        <v>0</v>
      </c>
      <c r="F10">
        <v>10</v>
      </c>
      <c r="G10">
        <v>0</v>
      </c>
      <c r="H10">
        <v>50</v>
      </c>
      <c r="I10">
        <v>0</v>
      </c>
      <c r="J10">
        <v>0</v>
      </c>
      <c r="K10">
        <f t="shared" si="0"/>
        <v>50</v>
      </c>
      <c r="L10" s="1">
        <f t="shared" si="1"/>
        <v>0</v>
      </c>
      <c r="M10" s="1">
        <f t="shared" si="2"/>
        <v>0</v>
      </c>
    </row>
    <row r="11" spans="1:13" customFormat="1" hidden="1" x14ac:dyDescent="0.3">
      <c r="A11" t="s">
        <v>1782</v>
      </c>
      <c r="B11" t="s">
        <v>1783</v>
      </c>
      <c r="C11" t="s">
        <v>1784</v>
      </c>
      <c r="D11" t="s">
        <v>45</v>
      </c>
      <c r="E11" s="1">
        <v>4276.18</v>
      </c>
      <c r="F11">
        <v>1</v>
      </c>
      <c r="G11">
        <v>0</v>
      </c>
      <c r="H11">
        <v>2</v>
      </c>
      <c r="I11">
        <v>0</v>
      </c>
      <c r="J11">
        <v>0</v>
      </c>
      <c r="K11">
        <f t="shared" si="0"/>
        <v>2</v>
      </c>
      <c r="L11" s="1">
        <f t="shared" si="1"/>
        <v>0</v>
      </c>
      <c r="M11" s="1">
        <f t="shared" si="2"/>
        <v>8552.36</v>
      </c>
    </row>
    <row r="12" spans="1:13" customFormat="1" hidden="1" x14ac:dyDescent="0.3">
      <c r="A12" t="s">
        <v>1785</v>
      </c>
      <c r="B12" t="s">
        <v>1786</v>
      </c>
      <c r="C12" t="s">
        <v>118</v>
      </c>
      <c r="D12" t="s">
        <v>45</v>
      </c>
      <c r="E12" s="1">
        <v>520</v>
      </c>
      <c r="F12">
        <v>1</v>
      </c>
      <c r="G12">
        <v>0</v>
      </c>
      <c r="H12">
        <v>5</v>
      </c>
      <c r="I12">
        <v>0</v>
      </c>
      <c r="J12">
        <v>0</v>
      </c>
      <c r="K12">
        <f t="shared" si="0"/>
        <v>5</v>
      </c>
      <c r="L12" s="1">
        <f t="shared" si="1"/>
        <v>0</v>
      </c>
      <c r="M12" s="1">
        <f t="shared" si="2"/>
        <v>2600</v>
      </c>
    </row>
    <row r="13" spans="1:13" customFormat="1" hidden="1" x14ac:dyDescent="0.3">
      <c r="A13" t="s">
        <v>1787</v>
      </c>
      <c r="B13" t="s">
        <v>1788</v>
      </c>
      <c r="C13" t="s">
        <v>1171</v>
      </c>
      <c r="D13" t="s">
        <v>45</v>
      </c>
      <c r="E13" s="1">
        <v>1004</v>
      </c>
      <c r="F13">
        <v>1</v>
      </c>
      <c r="G13">
        <v>0</v>
      </c>
      <c r="H13">
        <v>2</v>
      </c>
      <c r="I13">
        <v>0</v>
      </c>
      <c r="J13">
        <v>0</v>
      </c>
      <c r="K13">
        <f t="shared" si="0"/>
        <v>2</v>
      </c>
      <c r="L13" s="1">
        <f t="shared" si="1"/>
        <v>0</v>
      </c>
      <c r="M13" s="1">
        <f t="shared" si="2"/>
        <v>2008</v>
      </c>
    </row>
    <row r="14" spans="1:13" customFormat="1" hidden="1" x14ac:dyDescent="0.3">
      <c r="A14" t="s">
        <v>1789</v>
      </c>
      <c r="B14" t="s">
        <v>1790</v>
      </c>
      <c r="C14" t="s">
        <v>300</v>
      </c>
      <c r="D14" t="s">
        <v>45</v>
      </c>
      <c r="E14" s="1">
        <v>1768.63</v>
      </c>
      <c r="F14">
        <v>1</v>
      </c>
      <c r="G14">
        <v>0</v>
      </c>
      <c r="H14">
        <v>3</v>
      </c>
      <c r="I14">
        <v>0</v>
      </c>
      <c r="J14">
        <v>0</v>
      </c>
      <c r="K14">
        <f t="shared" si="0"/>
        <v>3</v>
      </c>
      <c r="L14" s="1">
        <f t="shared" si="1"/>
        <v>0</v>
      </c>
      <c r="M14" s="1">
        <f t="shared" si="2"/>
        <v>5305.89</v>
      </c>
    </row>
    <row r="15" spans="1:13" customFormat="1" hidden="1" x14ac:dyDescent="0.3">
      <c r="A15" t="s">
        <v>1791</v>
      </c>
      <c r="B15" t="s">
        <v>1792</v>
      </c>
      <c r="C15" t="s">
        <v>1745</v>
      </c>
      <c r="D15" t="s">
        <v>45</v>
      </c>
      <c r="E15" s="1">
        <v>2276</v>
      </c>
      <c r="F15">
        <v>1</v>
      </c>
      <c r="G15">
        <v>0</v>
      </c>
      <c r="H15">
        <v>3</v>
      </c>
      <c r="I15">
        <v>0</v>
      </c>
      <c r="J15">
        <v>0</v>
      </c>
      <c r="K15">
        <f t="shared" si="0"/>
        <v>3</v>
      </c>
      <c r="L15" s="1">
        <f t="shared" si="1"/>
        <v>0</v>
      </c>
      <c r="M15" s="1">
        <f t="shared" si="2"/>
        <v>6828</v>
      </c>
    </row>
    <row r="16" spans="1:13" customFormat="1" hidden="1" x14ac:dyDescent="0.3">
      <c r="A16" t="s">
        <v>1793</v>
      </c>
      <c r="B16" t="s">
        <v>1794</v>
      </c>
      <c r="C16" t="s">
        <v>300</v>
      </c>
      <c r="D16" t="s">
        <v>45</v>
      </c>
      <c r="E16" s="1">
        <v>1864</v>
      </c>
      <c r="F16">
        <v>1</v>
      </c>
      <c r="G16">
        <v>0</v>
      </c>
      <c r="H16">
        <v>2</v>
      </c>
      <c r="I16">
        <v>0</v>
      </c>
      <c r="J16">
        <v>0</v>
      </c>
      <c r="K16">
        <f t="shared" si="0"/>
        <v>2</v>
      </c>
      <c r="L16" s="1">
        <f t="shared" si="1"/>
        <v>0</v>
      </c>
      <c r="M16" s="1">
        <f t="shared" si="2"/>
        <v>3728</v>
      </c>
    </row>
    <row r="17" spans="1:13" customFormat="1" hidden="1" x14ac:dyDescent="0.3">
      <c r="A17" t="s">
        <v>1795</v>
      </c>
      <c r="B17" t="s">
        <v>1796</v>
      </c>
      <c r="C17" t="s">
        <v>1742</v>
      </c>
      <c r="D17" t="s">
        <v>45</v>
      </c>
      <c r="E17" s="1">
        <v>2430</v>
      </c>
      <c r="F17">
        <v>1</v>
      </c>
      <c r="G17">
        <v>0</v>
      </c>
      <c r="H17">
        <v>5</v>
      </c>
      <c r="I17">
        <v>0</v>
      </c>
      <c r="J17">
        <v>0</v>
      </c>
      <c r="K17">
        <f t="shared" si="0"/>
        <v>5</v>
      </c>
      <c r="L17" s="1">
        <f t="shared" si="1"/>
        <v>0</v>
      </c>
      <c r="M17" s="1">
        <f t="shared" si="2"/>
        <v>12150</v>
      </c>
    </row>
    <row r="18" spans="1:13" customFormat="1" hidden="1" x14ac:dyDescent="0.3">
      <c r="A18" t="s">
        <v>1797</v>
      </c>
      <c r="B18" t="s">
        <v>1798</v>
      </c>
      <c r="C18" t="s">
        <v>300</v>
      </c>
      <c r="D18" t="s">
        <v>45</v>
      </c>
      <c r="E18" s="1">
        <v>2681</v>
      </c>
      <c r="F18">
        <v>14</v>
      </c>
      <c r="G18">
        <v>0</v>
      </c>
      <c r="H18">
        <v>34</v>
      </c>
      <c r="I18">
        <v>0</v>
      </c>
      <c r="J18">
        <v>0</v>
      </c>
      <c r="K18">
        <f t="shared" si="0"/>
        <v>34</v>
      </c>
      <c r="L18" s="1">
        <f t="shared" si="1"/>
        <v>0</v>
      </c>
      <c r="M18" s="1">
        <f t="shared" si="2"/>
        <v>91154</v>
      </c>
    </row>
    <row r="19" spans="1:13" customFormat="1" hidden="1" x14ac:dyDescent="0.3">
      <c r="A19" t="s">
        <v>1799</v>
      </c>
      <c r="B19" t="s">
        <v>1800</v>
      </c>
      <c r="C19" t="s">
        <v>1801</v>
      </c>
      <c r="D19" t="s">
        <v>45</v>
      </c>
      <c r="E19" s="1">
        <v>2853.04</v>
      </c>
      <c r="F19">
        <v>1</v>
      </c>
      <c r="G19">
        <v>0</v>
      </c>
      <c r="H19">
        <v>2</v>
      </c>
      <c r="I19">
        <v>0</v>
      </c>
      <c r="J19">
        <v>0</v>
      </c>
      <c r="K19">
        <f t="shared" si="0"/>
        <v>2</v>
      </c>
      <c r="L19" s="1">
        <f t="shared" si="1"/>
        <v>0</v>
      </c>
      <c r="M19" s="1">
        <f t="shared" si="2"/>
        <v>5706.08</v>
      </c>
    </row>
    <row r="20" spans="1:13" customFormat="1" hidden="1" x14ac:dyDescent="0.3">
      <c r="A20" t="s">
        <v>1802</v>
      </c>
      <c r="B20" t="s">
        <v>1803</v>
      </c>
      <c r="C20" t="s">
        <v>1804</v>
      </c>
      <c r="D20" t="s">
        <v>45</v>
      </c>
      <c r="E20" s="1">
        <v>30</v>
      </c>
      <c r="F20">
        <v>6</v>
      </c>
      <c r="G20">
        <v>0</v>
      </c>
      <c r="H20">
        <v>31</v>
      </c>
      <c r="I20">
        <v>0</v>
      </c>
      <c r="J20">
        <v>0</v>
      </c>
      <c r="K20">
        <f t="shared" si="0"/>
        <v>31</v>
      </c>
      <c r="L20" s="1">
        <f t="shared" si="1"/>
        <v>0</v>
      </c>
      <c r="M20" s="1">
        <f t="shared" si="2"/>
        <v>930</v>
      </c>
    </row>
    <row r="21" spans="1:13" customFormat="1" hidden="1" x14ac:dyDescent="0.3">
      <c r="A21" t="s">
        <v>1805</v>
      </c>
      <c r="B21" t="s">
        <v>1806</v>
      </c>
      <c r="C21" t="s">
        <v>1807</v>
      </c>
      <c r="D21" t="s">
        <v>45</v>
      </c>
      <c r="E21" s="1">
        <v>876</v>
      </c>
      <c r="F21">
        <v>1</v>
      </c>
      <c r="G21">
        <v>0</v>
      </c>
      <c r="H21">
        <v>5</v>
      </c>
      <c r="I21">
        <v>0</v>
      </c>
      <c r="J21">
        <v>0</v>
      </c>
      <c r="K21">
        <f t="shared" si="0"/>
        <v>5</v>
      </c>
      <c r="L21" s="1">
        <f t="shared" si="1"/>
        <v>0</v>
      </c>
      <c r="M21" s="1">
        <f t="shared" si="2"/>
        <v>4380</v>
      </c>
    </row>
    <row r="22" spans="1:13" customFormat="1" hidden="1" x14ac:dyDescent="0.3">
      <c r="A22" t="s">
        <v>1808</v>
      </c>
      <c r="B22" t="s">
        <v>1809</v>
      </c>
      <c r="D22" t="s">
        <v>45</v>
      </c>
      <c r="E22" s="1">
        <v>0</v>
      </c>
      <c r="F22">
        <v>1</v>
      </c>
      <c r="G22">
        <v>0</v>
      </c>
      <c r="H22">
        <v>5</v>
      </c>
      <c r="I22">
        <v>0</v>
      </c>
      <c r="J22">
        <v>0</v>
      </c>
      <c r="K22">
        <f t="shared" si="0"/>
        <v>5</v>
      </c>
      <c r="L22" s="1">
        <f t="shared" si="1"/>
        <v>0</v>
      </c>
      <c r="M22" s="1">
        <f t="shared" si="2"/>
        <v>0</v>
      </c>
    </row>
    <row r="23" spans="1:13" customFormat="1" hidden="1" x14ac:dyDescent="0.3">
      <c r="A23" t="s">
        <v>1810</v>
      </c>
      <c r="B23" t="s">
        <v>1811</v>
      </c>
      <c r="D23" t="s">
        <v>45</v>
      </c>
      <c r="E23" s="1">
        <v>0</v>
      </c>
      <c r="F23">
        <v>1</v>
      </c>
      <c r="G23">
        <v>0</v>
      </c>
      <c r="H23">
        <v>2</v>
      </c>
      <c r="I23">
        <v>0</v>
      </c>
      <c r="J23">
        <v>0</v>
      </c>
      <c r="K23">
        <f t="shared" si="0"/>
        <v>2</v>
      </c>
      <c r="L23" s="1">
        <f t="shared" si="1"/>
        <v>0</v>
      </c>
      <c r="M23" s="1">
        <f t="shared" si="2"/>
        <v>0</v>
      </c>
    </row>
    <row r="24" spans="1:13" customFormat="1" hidden="1" x14ac:dyDescent="0.3">
      <c r="A24" t="s">
        <v>1812</v>
      </c>
      <c r="B24" t="s">
        <v>1813</v>
      </c>
      <c r="D24" t="s">
        <v>45</v>
      </c>
      <c r="E24" s="1">
        <v>0</v>
      </c>
      <c r="F24">
        <v>1</v>
      </c>
      <c r="G24">
        <v>0</v>
      </c>
      <c r="H24">
        <v>5</v>
      </c>
      <c r="I24">
        <v>0</v>
      </c>
      <c r="J24">
        <v>0</v>
      </c>
      <c r="K24">
        <f t="shared" si="0"/>
        <v>5</v>
      </c>
      <c r="L24" s="1">
        <f t="shared" si="1"/>
        <v>0</v>
      </c>
      <c r="M24" s="1">
        <f t="shared" si="2"/>
        <v>0</v>
      </c>
    </row>
    <row r="25" spans="1:13" customFormat="1" hidden="1" x14ac:dyDescent="0.3">
      <c r="A25" t="s">
        <v>1814</v>
      </c>
      <c r="B25" t="s">
        <v>1815</v>
      </c>
      <c r="C25" t="s">
        <v>70</v>
      </c>
      <c r="D25" t="s">
        <v>45</v>
      </c>
      <c r="E25" s="1">
        <v>1612</v>
      </c>
      <c r="F25">
        <v>1</v>
      </c>
      <c r="G25">
        <v>0</v>
      </c>
      <c r="H25">
        <v>2</v>
      </c>
      <c r="I25">
        <v>0</v>
      </c>
      <c r="J25">
        <v>0</v>
      </c>
      <c r="K25">
        <f t="shared" si="0"/>
        <v>2</v>
      </c>
      <c r="L25" s="1">
        <f t="shared" si="1"/>
        <v>0</v>
      </c>
      <c r="M25" s="1">
        <f t="shared" si="2"/>
        <v>3224</v>
      </c>
    </row>
    <row r="26" spans="1:13" customFormat="1" hidden="1" x14ac:dyDescent="0.3">
      <c r="A26" t="s">
        <v>1816</v>
      </c>
      <c r="B26" t="s">
        <v>1817</v>
      </c>
      <c r="C26" t="s">
        <v>1818</v>
      </c>
      <c r="D26" t="s">
        <v>45</v>
      </c>
      <c r="E26" s="1">
        <v>4000</v>
      </c>
      <c r="F26">
        <v>1</v>
      </c>
      <c r="G26">
        <v>0</v>
      </c>
      <c r="H26">
        <v>2</v>
      </c>
      <c r="I26">
        <v>0</v>
      </c>
      <c r="J26">
        <v>0</v>
      </c>
      <c r="K26">
        <f t="shared" si="0"/>
        <v>2</v>
      </c>
      <c r="L26" s="1">
        <f t="shared" si="1"/>
        <v>0</v>
      </c>
      <c r="M26" s="1">
        <f t="shared" si="2"/>
        <v>8000</v>
      </c>
    </row>
    <row r="27" spans="1:13" customFormat="1" hidden="1" x14ac:dyDescent="0.3">
      <c r="A27" t="s">
        <v>1819</v>
      </c>
      <c r="B27" t="s">
        <v>1820</v>
      </c>
      <c r="C27" t="s">
        <v>1344</v>
      </c>
      <c r="D27" t="s">
        <v>45</v>
      </c>
      <c r="E27" s="1">
        <v>1635.63</v>
      </c>
      <c r="F27">
        <v>17</v>
      </c>
      <c r="G27">
        <v>0</v>
      </c>
      <c r="H27">
        <v>33</v>
      </c>
      <c r="I27">
        <v>0</v>
      </c>
      <c r="J27">
        <v>0</v>
      </c>
      <c r="K27">
        <f t="shared" si="0"/>
        <v>33</v>
      </c>
      <c r="L27" s="1">
        <f t="shared" si="1"/>
        <v>0</v>
      </c>
      <c r="M27" s="1">
        <f t="shared" si="2"/>
        <v>53975.79</v>
      </c>
    </row>
    <row r="28" spans="1:13" customFormat="1" hidden="1" x14ac:dyDescent="0.3">
      <c r="A28" t="s">
        <v>1821</v>
      </c>
      <c r="B28" t="s">
        <v>1822</v>
      </c>
      <c r="C28" t="s">
        <v>118</v>
      </c>
      <c r="D28" t="s">
        <v>45</v>
      </c>
      <c r="E28" s="1">
        <v>0</v>
      </c>
      <c r="F28">
        <v>2</v>
      </c>
      <c r="G28">
        <v>0</v>
      </c>
      <c r="H28">
        <v>12</v>
      </c>
      <c r="I28">
        <v>0</v>
      </c>
      <c r="J28">
        <v>0</v>
      </c>
      <c r="K28">
        <f t="shared" si="0"/>
        <v>12</v>
      </c>
      <c r="L28" s="1">
        <f t="shared" si="1"/>
        <v>0</v>
      </c>
      <c r="M28" s="1">
        <f t="shared" si="2"/>
        <v>0</v>
      </c>
    </row>
    <row r="29" spans="1:13" customFormat="1" hidden="1" x14ac:dyDescent="0.3">
      <c r="A29" t="s">
        <v>1823</v>
      </c>
      <c r="B29" t="s">
        <v>1824</v>
      </c>
      <c r="C29" t="s">
        <v>118</v>
      </c>
      <c r="D29" t="s">
        <v>45</v>
      </c>
      <c r="E29" s="1">
        <v>0</v>
      </c>
      <c r="F29">
        <v>2</v>
      </c>
      <c r="G29">
        <v>0</v>
      </c>
      <c r="H29">
        <v>12</v>
      </c>
      <c r="I29">
        <v>0</v>
      </c>
      <c r="J29">
        <v>0</v>
      </c>
      <c r="K29">
        <f t="shared" si="0"/>
        <v>12</v>
      </c>
      <c r="L29" s="1">
        <f t="shared" si="1"/>
        <v>0</v>
      </c>
      <c r="M29" s="1">
        <f t="shared" si="2"/>
        <v>0</v>
      </c>
    </row>
    <row r="30" spans="1:13" customFormat="1" hidden="1" x14ac:dyDescent="0.3">
      <c r="A30" t="s">
        <v>1825</v>
      </c>
      <c r="B30" t="s">
        <v>1826</v>
      </c>
      <c r="C30" t="s">
        <v>118</v>
      </c>
      <c r="D30" t="s">
        <v>45</v>
      </c>
      <c r="E30" s="1">
        <v>0</v>
      </c>
      <c r="F30">
        <v>1</v>
      </c>
      <c r="G30">
        <v>0</v>
      </c>
      <c r="H30">
        <v>2</v>
      </c>
      <c r="I30">
        <v>0</v>
      </c>
      <c r="J30">
        <v>0</v>
      </c>
      <c r="K30">
        <f t="shared" si="0"/>
        <v>2</v>
      </c>
      <c r="L30" s="1">
        <f t="shared" si="1"/>
        <v>0</v>
      </c>
      <c r="M30" s="1">
        <f t="shared" si="2"/>
        <v>0</v>
      </c>
    </row>
    <row r="31" spans="1:13" customFormat="1" hidden="1" x14ac:dyDescent="0.3">
      <c r="A31" t="s">
        <v>1827</v>
      </c>
      <c r="B31" t="s">
        <v>1828</v>
      </c>
      <c r="C31" t="s">
        <v>211</v>
      </c>
      <c r="D31" t="s">
        <v>45</v>
      </c>
      <c r="E31" s="1">
        <v>1478</v>
      </c>
      <c r="F31">
        <v>6</v>
      </c>
      <c r="G31">
        <v>0</v>
      </c>
      <c r="H31">
        <v>30</v>
      </c>
      <c r="I31">
        <v>0</v>
      </c>
      <c r="J31">
        <v>0</v>
      </c>
      <c r="K31">
        <f t="shared" si="0"/>
        <v>30</v>
      </c>
      <c r="L31" s="1">
        <f t="shared" si="1"/>
        <v>0</v>
      </c>
      <c r="M31" s="1">
        <f t="shared" si="2"/>
        <v>44340</v>
      </c>
    </row>
    <row r="32" spans="1:13" customFormat="1" hidden="1" x14ac:dyDescent="0.3">
      <c r="A32" t="s">
        <v>1829</v>
      </c>
      <c r="B32" t="s">
        <v>1830</v>
      </c>
      <c r="C32" t="s">
        <v>1755</v>
      </c>
      <c r="D32" t="s">
        <v>45</v>
      </c>
      <c r="E32" s="1">
        <v>72.61</v>
      </c>
      <c r="F32">
        <v>1</v>
      </c>
      <c r="G32">
        <v>0</v>
      </c>
      <c r="H32">
        <v>4</v>
      </c>
      <c r="I32">
        <v>0</v>
      </c>
      <c r="J32">
        <v>0</v>
      </c>
      <c r="K32">
        <f t="shared" si="0"/>
        <v>4</v>
      </c>
      <c r="L32" s="1">
        <f t="shared" si="1"/>
        <v>0</v>
      </c>
      <c r="M32" s="1">
        <f t="shared" si="2"/>
        <v>290.44</v>
      </c>
    </row>
    <row r="33" spans="1:13" customFormat="1" hidden="1" x14ac:dyDescent="0.3">
      <c r="A33" t="s">
        <v>1831</v>
      </c>
      <c r="B33" t="s">
        <v>1832</v>
      </c>
      <c r="C33" t="s">
        <v>1344</v>
      </c>
      <c r="D33" t="s">
        <v>45</v>
      </c>
      <c r="E33" s="1">
        <v>553.54999999999995</v>
      </c>
      <c r="F33">
        <v>22</v>
      </c>
      <c r="G33">
        <v>0</v>
      </c>
      <c r="H33">
        <v>38</v>
      </c>
      <c r="I33">
        <v>0</v>
      </c>
      <c r="J33">
        <v>0</v>
      </c>
      <c r="K33">
        <f t="shared" si="0"/>
        <v>38</v>
      </c>
      <c r="L33" s="1">
        <f t="shared" si="1"/>
        <v>0</v>
      </c>
      <c r="M33" s="1">
        <f t="shared" si="2"/>
        <v>21034.899999999998</v>
      </c>
    </row>
    <row r="34" spans="1:13" customFormat="1" hidden="1" x14ac:dyDescent="0.3">
      <c r="A34" t="s">
        <v>1833</v>
      </c>
      <c r="B34" t="s">
        <v>1834</v>
      </c>
      <c r="C34" t="s">
        <v>1344</v>
      </c>
      <c r="D34" t="s">
        <v>45</v>
      </c>
      <c r="E34" s="1">
        <v>281.92</v>
      </c>
      <c r="F34">
        <v>11</v>
      </c>
      <c r="G34">
        <v>0</v>
      </c>
      <c r="H34">
        <v>19</v>
      </c>
      <c r="I34">
        <v>0</v>
      </c>
      <c r="J34">
        <v>0</v>
      </c>
      <c r="K34">
        <f t="shared" si="0"/>
        <v>19</v>
      </c>
      <c r="L34" s="1">
        <f t="shared" si="1"/>
        <v>0</v>
      </c>
      <c r="M34" s="1">
        <f t="shared" si="2"/>
        <v>5356.4800000000005</v>
      </c>
    </row>
    <row r="35" spans="1:13" customFormat="1" hidden="1" x14ac:dyDescent="0.3">
      <c r="A35" t="s">
        <v>1835</v>
      </c>
      <c r="B35" t="s">
        <v>1836</v>
      </c>
      <c r="C35" t="s">
        <v>1344</v>
      </c>
      <c r="D35" t="s">
        <v>45</v>
      </c>
      <c r="E35" s="1">
        <v>754.81</v>
      </c>
      <c r="F35">
        <v>11</v>
      </c>
      <c r="G35">
        <v>0</v>
      </c>
      <c r="H35">
        <v>19</v>
      </c>
      <c r="I35">
        <v>0</v>
      </c>
      <c r="J35">
        <v>0</v>
      </c>
      <c r="K35">
        <f t="shared" si="0"/>
        <v>19</v>
      </c>
      <c r="L35" s="1">
        <f t="shared" si="1"/>
        <v>0</v>
      </c>
      <c r="M35" s="1">
        <f t="shared" si="2"/>
        <v>14341.39</v>
      </c>
    </row>
    <row r="36" spans="1:13" customFormat="1" hidden="1" x14ac:dyDescent="0.3">
      <c r="A36" t="s">
        <v>1837</v>
      </c>
      <c r="B36" t="s">
        <v>1838</v>
      </c>
      <c r="C36" t="s">
        <v>1344</v>
      </c>
      <c r="D36" t="s">
        <v>45</v>
      </c>
      <c r="E36" s="1">
        <v>3198.31</v>
      </c>
      <c r="F36">
        <v>22</v>
      </c>
      <c r="G36">
        <v>0</v>
      </c>
      <c r="H36">
        <v>44</v>
      </c>
      <c r="I36">
        <v>0</v>
      </c>
      <c r="J36">
        <v>0</v>
      </c>
      <c r="K36">
        <f t="shared" si="0"/>
        <v>44</v>
      </c>
      <c r="L36" s="1">
        <f t="shared" si="1"/>
        <v>0</v>
      </c>
      <c r="M36" s="1">
        <f t="shared" si="2"/>
        <v>140725.63999999998</v>
      </c>
    </row>
    <row r="37" spans="1:13" customFormat="1" hidden="1" x14ac:dyDescent="0.3">
      <c r="A37" t="s">
        <v>1839</v>
      </c>
      <c r="B37" t="s">
        <v>1840</v>
      </c>
      <c r="C37" t="s">
        <v>1841</v>
      </c>
      <c r="D37" t="s">
        <v>45</v>
      </c>
      <c r="E37" s="1">
        <v>2020</v>
      </c>
      <c r="F37">
        <v>8</v>
      </c>
      <c r="G37">
        <v>0</v>
      </c>
      <c r="H37">
        <v>42</v>
      </c>
      <c r="I37">
        <v>0</v>
      </c>
      <c r="J37">
        <v>0</v>
      </c>
      <c r="K37">
        <f t="shared" si="0"/>
        <v>42</v>
      </c>
      <c r="L37" s="1">
        <f t="shared" si="1"/>
        <v>0</v>
      </c>
      <c r="M37" s="1">
        <f t="shared" si="2"/>
        <v>84840</v>
      </c>
    </row>
    <row r="38" spans="1:13" customFormat="1" hidden="1" x14ac:dyDescent="0.3">
      <c r="A38" t="s">
        <v>1842</v>
      </c>
      <c r="B38" t="s">
        <v>1843</v>
      </c>
      <c r="C38" t="s">
        <v>1344</v>
      </c>
      <c r="D38" t="s">
        <v>45</v>
      </c>
      <c r="E38" s="1">
        <v>20655.41</v>
      </c>
      <c r="F38">
        <v>2</v>
      </c>
      <c r="G38">
        <v>0</v>
      </c>
      <c r="H38">
        <v>6</v>
      </c>
      <c r="I38">
        <v>0</v>
      </c>
      <c r="J38">
        <v>0</v>
      </c>
      <c r="K38">
        <f t="shared" si="0"/>
        <v>6</v>
      </c>
      <c r="L38" s="1">
        <f t="shared" si="1"/>
        <v>0</v>
      </c>
      <c r="M38" s="1">
        <f t="shared" si="2"/>
        <v>123932.45999999999</v>
      </c>
    </row>
    <row r="39" spans="1:13" customFormat="1" hidden="1" x14ac:dyDescent="0.3">
      <c r="A39" t="s">
        <v>1844</v>
      </c>
      <c r="B39" t="s">
        <v>1845</v>
      </c>
      <c r="C39" t="s">
        <v>118</v>
      </c>
      <c r="D39" t="s">
        <v>45</v>
      </c>
      <c r="E39" s="1">
        <v>35</v>
      </c>
      <c r="F39">
        <v>30</v>
      </c>
      <c r="G39">
        <v>0</v>
      </c>
      <c r="H39">
        <v>150</v>
      </c>
      <c r="I39">
        <v>0</v>
      </c>
      <c r="J39">
        <v>0</v>
      </c>
      <c r="K39">
        <f t="shared" si="0"/>
        <v>150</v>
      </c>
      <c r="L39" s="1">
        <f t="shared" si="1"/>
        <v>0</v>
      </c>
      <c r="M39" s="1">
        <f t="shared" si="2"/>
        <v>5250</v>
      </c>
    </row>
    <row r="40" spans="1:13" customFormat="1" hidden="1" x14ac:dyDescent="0.3">
      <c r="A40" t="s">
        <v>1846</v>
      </c>
      <c r="B40" t="s">
        <v>1847</v>
      </c>
      <c r="C40" t="s">
        <v>1848</v>
      </c>
      <c r="D40" t="s">
        <v>45</v>
      </c>
      <c r="E40" s="1">
        <v>1500</v>
      </c>
      <c r="F40">
        <v>1</v>
      </c>
      <c r="G40">
        <v>0</v>
      </c>
      <c r="H40">
        <v>3</v>
      </c>
      <c r="I40">
        <v>0</v>
      </c>
      <c r="J40">
        <v>0</v>
      </c>
      <c r="K40">
        <f t="shared" si="0"/>
        <v>3</v>
      </c>
      <c r="L40" s="1">
        <f t="shared" si="1"/>
        <v>0</v>
      </c>
      <c r="M40" s="1">
        <f t="shared" si="2"/>
        <v>4500</v>
      </c>
    </row>
    <row r="41" spans="1:13" customFormat="1" hidden="1" x14ac:dyDescent="0.3">
      <c r="A41" t="s">
        <v>1849</v>
      </c>
      <c r="B41" t="s">
        <v>1850</v>
      </c>
      <c r="C41" t="s">
        <v>1344</v>
      </c>
      <c r="D41" t="s">
        <v>45</v>
      </c>
      <c r="E41" s="1">
        <v>2093.91</v>
      </c>
      <c r="F41">
        <v>4</v>
      </c>
      <c r="G41">
        <v>0</v>
      </c>
      <c r="H41">
        <v>7</v>
      </c>
      <c r="I41">
        <v>0</v>
      </c>
      <c r="J41">
        <v>0</v>
      </c>
      <c r="K41">
        <f t="shared" si="0"/>
        <v>7</v>
      </c>
      <c r="L41" s="1">
        <f t="shared" si="1"/>
        <v>0</v>
      </c>
      <c r="M41" s="1">
        <f t="shared" si="2"/>
        <v>14657.369999999999</v>
      </c>
    </row>
    <row r="42" spans="1:13" customFormat="1" hidden="1" x14ac:dyDescent="0.3">
      <c r="A42" t="s">
        <v>1851</v>
      </c>
      <c r="B42" t="s">
        <v>1852</v>
      </c>
      <c r="C42" t="s">
        <v>118</v>
      </c>
      <c r="D42" t="s">
        <v>45</v>
      </c>
      <c r="E42" s="1">
        <v>75.069999999999993</v>
      </c>
      <c r="F42">
        <v>10</v>
      </c>
      <c r="G42">
        <v>0</v>
      </c>
      <c r="H42">
        <v>50</v>
      </c>
      <c r="I42">
        <v>0</v>
      </c>
      <c r="J42">
        <v>0</v>
      </c>
      <c r="K42">
        <f t="shared" si="0"/>
        <v>50</v>
      </c>
      <c r="L42" s="1">
        <f t="shared" si="1"/>
        <v>0</v>
      </c>
      <c r="M42" s="1">
        <f t="shared" si="2"/>
        <v>3753.4999999999995</v>
      </c>
    </row>
    <row r="43" spans="1:13" customFormat="1" hidden="1" x14ac:dyDescent="0.3">
      <c r="A43" t="s">
        <v>1853</v>
      </c>
      <c r="B43" t="s">
        <v>1854</v>
      </c>
      <c r="C43" t="s">
        <v>1344</v>
      </c>
      <c r="D43" t="s">
        <v>45</v>
      </c>
      <c r="E43" s="1">
        <v>3617.41</v>
      </c>
      <c r="F43">
        <v>8</v>
      </c>
      <c r="G43">
        <v>0</v>
      </c>
      <c r="H43">
        <v>14</v>
      </c>
      <c r="I43">
        <v>0</v>
      </c>
      <c r="J43">
        <v>0</v>
      </c>
      <c r="K43">
        <f t="shared" si="0"/>
        <v>14</v>
      </c>
      <c r="L43" s="1">
        <f t="shared" si="1"/>
        <v>0</v>
      </c>
      <c r="M43" s="1">
        <f t="shared" si="2"/>
        <v>50643.74</v>
      </c>
    </row>
    <row r="44" spans="1:13" customFormat="1" hidden="1" x14ac:dyDescent="0.3">
      <c r="A44" t="s">
        <v>1855</v>
      </c>
      <c r="B44" t="s">
        <v>1856</v>
      </c>
      <c r="C44" t="s">
        <v>1344</v>
      </c>
      <c r="D44" t="s">
        <v>45</v>
      </c>
      <c r="E44" s="1">
        <v>4831.25</v>
      </c>
      <c r="F44">
        <v>7</v>
      </c>
      <c r="G44">
        <v>0</v>
      </c>
      <c r="H44">
        <v>17</v>
      </c>
      <c r="I44">
        <v>0</v>
      </c>
      <c r="J44">
        <v>20</v>
      </c>
      <c r="K44">
        <f t="shared" si="0"/>
        <v>0</v>
      </c>
      <c r="L44" s="1">
        <f t="shared" si="1"/>
        <v>0</v>
      </c>
      <c r="M44" s="1">
        <f t="shared" si="2"/>
        <v>0</v>
      </c>
    </row>
    <row r="45" spans="1:13" customFormat="1" hidden="1" x14ac:dyDescent="0.3">
      <c r="A45" t="s">
        <v>1857</v>
      </c>
      <c r="B45" t="s">
        <v>1858</v>
      </c>
      <c r="C45" t="s">
        <v>1344</v>
      </c>
      <c r="D45" t="s">
        <v>45</v>
      </c>
      <c r="E45" s="1">
        <v>357.27</v>
      </c>
      <c r="F45">
        <v>52</v>
      </c>
      <c r="G45">
        <v>0</v>
      </c>
      <c r="H45">
        <v>104</v>
      </c>
      <c r="I45">
        <v>0</v>
      </c>
      <c r="J45">
        <v>0</v>
      </c>
      <c r="K45">
        <f t="shared" si="0"/>
        <v>104</v>
      </c>
      <c r="L45" s="1">
        <f t="shared" si="1"/>
        <v>0</v>
      </c>
      <c r="M45" s="1">
        <f t="shared" si="2"/>
        <v>37156.080000000002</v>
      </c>
    </row>
    <row r="46" spans="1:13" customFormat="1" hidden="1" x14ac:dyDescent="0.3">
      <c r="A46" t="s">
        <v>1859</v>
      </c>
      <c r="B46" t="s">
        <v>1860</v>
      </c>
      <c r="C46" t="s">
        <v>1801</v>
      </c>
      <c r="D46" t="s">
        <v>45</v>
      </c>
      <c r="E46" s="1">
        <v>232.51</v>
      </c>
      <c r="F46">
        <v>1</v>
      </c>
      <c r="G46">
        <v>0</v>
      </c>
      <c r="H46">
        <v>5</v>
      </c>
      <c r="I46">
        <v>0</v>
      </c>
      <c r="J46">
        <v>0</v>
      </c>
      <c r="K46">
        <f t="shared" si="0"/>
        <v>5</v>
      </c>
      <c r="L46" s="1">
        <f t="shared" si="1"/>
        <v>0</v>
      </c>
      <c r="M46" s="1">
        <f t="shared" si="2"/>
        <v>1162.55</v>
      </c>
    </row>
    <row r="47" spans="1:13" customFormat="1" hidden="1" x14ac:dyDescent="0.3">
      <c r="A47" t="s">
        <v>1861</v>
      </c>
      <c r="B47" t="s">
        <v>1862</v>
      </c>
      <c r="C47" t="s">
        <v>1863</v>
      </c>
      <c r="D47" t="s">
        <v>45</v>
      </c>
      <c r="E47" s="1">
        <v>1388.54</v>
      </c>
      <c r="F47">
        <v>1</v>
      </c>
      <c r="G47">
        <v>0</v>
      </c>
      <c r="H47">
        <v>2</v>
      </c>
      <c r="I47">
        <v>0</v>
      </c>
      <c r="J47">
        <v>0</v>
      </c>
      <c r="K47">
        <f t="shared" si="0"/>
        <v>2</v>
      </c>
      <c r="L47" s="1">
        <f t="shared" si="1"/>
        <v>0</v>
      </c>
      <c r="M47" s="1">
        <f t="shared" si="2"/>
        <v>2777.08</v>
      </c>
    </row>
    <row r="48" spans="1:13" customFormat="1" hidden="1" x14ac:dyDescent="0.3">
      <c r="A48" t="s">
        <v>1864</v>
      </c>
      <c r="B48" t="s">
        <v>1865</v>
      </c>
      <c r="C48" t="s">
        <v>1801</v>
      </c>
      <c r="D48" t="s">
        <v>45</v>
      </c>
      <c r="E48" s="1">
        <v>83.2</v>
      </c>
      <c r="F48">
        <v>2</v>
      </c>
      <c r="G48">
        <v>0</v>
      </c>
      <c r="H48">
        <v>4</v>
      </c>
      <c r="I48">
        <v>0</v>
      </c>
      <c r="J48">
        <v>0</v>
      </c>
      <c r="K48">
        <f t="shared" si="0"/>
        <v>4</v>
      </c>
      <c r="L48" s="1">
        <f t="shared" si="1"/>
        <v>0</v>
      </c>
      <c r="M48" s="1">
        <f t="shared" si="2"/>
        <v>332.8</v>
      </c>
    </row>
    <row r="49" spans="1:13" customFormat="1" hidden="1" x14ac:dyDescent="0.3">
      <c r="A49" t="s">
        <v>1866</v>
      </c>
      <c r="B49" t="s">
        <v>1867</v>
      </c>
      <c r="C49" t="s">
        <v>300</v>
      </c>
      <c r="D49" t="s">
        <v>45</v>
      </c>
      <c r="E49" s="1">
        <v>11439</v>
      </c>
      <c r="F49">
        <v>2</v>
      </c>
      <c r="G49">
        <v>0</v>
      </c>
      <c r="H49">
        <v>7</v>
      </c>
      <c r="I49">
        <v>0</v>
      </c>
      <c r="J49">
        <v>0</v>
      </c>
      <c r="K49">
        <f t="shared" si="0"/>
        <v>7</v>
      </c>
      <c r="L49" s="1">
        <f t="shared" si="1"/>
        <v>0</v>
      </c>
      <c r="M49" s="1">
        <f t="shared" si="2"/>
        <v>80073</v>
      </c>
    </row>
    <row r="50" spans="1:13" customFormat="1" hidden="1" x14ac:dyDescent="0.3">
      <c r="A50" t="s">
        <v>1868</v>
      </c>
      <c r="B50" t="s">
        <v>1869</v>
      </c>
      <c r="C50" t="s">
        <v>1801</v>
      </c>
      <c r="D50" t="s">
        <v>45</v>
      </c>
      <c r="E50" s="1">
        <v>243.11</v>
      </c>
      <c r="F50">
        <v>1</v>
      </c>
      <c r="G50">
        <v>0</v>
      </c>
      <c r="H50">
        <v>3</v>
      </c>
      <c r="I50">
        <v>0</v>
      </c>
      <c r="J50">
        <v>0</v>
      </c>
      <c r="K50">
        <f t="shared" si="0"/>
        <v>3</v>
      </c>
      <c r="L50" s="1">
        <f t="shared" si="1"/>
        <v>0</v>
      </c>
      <c r="M50" s="1">
        <f t="shared" si="2"/>
        <v>729.33</v>
      </c>
    </row>
    <row r="51" spans="1:13" customFormat="1" hidden="1" x14ac:dyDescent="0.3">
      <c r="A51" t="s">
        <v>1870</v>
      </c>
      <c r="B51" t="s">
        <v>1871</v>
      </c>
      <c r="C51" t="s">
        <v>300</v>
      </c>
      <c r="D51" t="s">
        <v>45</v>
      </c>
      <c r="E51" s="1">
        <v>8185</v>
      </c>
      <c r="F51">
        <v>1</v>
      </c>
      <c r="G51">
        <v>0</v>
      </c>
      <c r="H51">
        <v>5</v>
      </c>
      <c r="I51">
        <v>0</v>
      </c>
      <c r="J51">
        <v>0</v>
      </c>
      <c r="K51">
        <f t="shared" si="0"/>
        <v>5</v>
      </c>
      <c r="L51" s="1">
        <f t="shared" si="1"/>
        <v>0</v>
      </c>
      <c r="M51" s="1">
        <f t="shared" si="2"/>
        <v>40925</v>
      </c>
    </row>
    <row r="52" spans="1:13" customFormat="1" hidden="1" x14ac:dyDescent="0.3">
      <c r="A52" t="s">
        <v>1872</v>
      </c>
      <c r="B52" t="s">
        <v>1873</v>
      </c>
      <c r="C52" t="s">
        <v>1742</v>
      </c>
      <c r="D52" t="s">
        <v>45</v>
      </c>
      <c r="E52" s="1">
        <v>7897.17</v>
      </c>
      <c r="F52">
        <v>2</v>
      </c>
      <c r="G52">
        <v>0</v>
      </c>
      <c r="H52">
        <v>8</v>
      </c>
      <c r="I52">
        <v>0</v>
      </c>
      <c r="J52">
        <v>0</v>
      </c>
      <c r="K52">
        <f t="shared" si="0"/>
        <v>8</v>
      </c>
      <c r="L52" s="1">
        <f t="shared" si="1"/>
        <v>0</v>
      </c>
      <c r="M52" s="1">
        <f t="shared" si="2"/>
        <v>63177.36</v>
      </c>
    </row>
    <row r="53" spans="1:13" customFormat="1" hidden="1" x14ac:dyDescent="0.3">
      <c r="A53" t="s">
        <v>1874</v>
      </c>
      <c r="B53" t="s">
        <v>1875</v>
      </c>
      <c r="C53" t="s">
        <v>1801</v>
      </c>
      <c r="D53" t="s">
        <v>45</v>
      </c>
      <c r="E53" s="1">
        <v>220.95</v>
      </c>
      <c r="F53">
        <v>1</v>
      </c>
      <c r="G53">
        <v>0</v>
      </c>
      <c r="H53">
        <v>5</v>
      </c>
      <c r="I53">
        <v>0</v>
      </c>
      <c r="J53">
        <v>0</v>
      </c>
      <c r="K53">
        <f t="shared" si="0"/>
        <v>5</v>
      </c>
      <c r="L53" s="1">
        <f t="shared" si="1"/>
        <v>0</v>
      </c>
      <c r="M53" s="1">
        <f t="shared" si="2"/>
        <v>1104.75</v>
      </c>
    </row>
    <row r="54" spans="1:13" customFormat="1" hidden="1" x14ac:dyDescent="0.3">
      <c r="A54" t="s">
        <v>1876</v>
      </c>
      <c r="B54" t="s">
        <v>1877</v>
      </c>
      <c r="C54" t="s">
        <v>1801</v>
      </c>
      <c r="D54" t="s">
        <v>45</v>
      </c>
      <c r="E54" s="1">
        <v>309.08999999999997</v>
      </c>
      <c r="F54">
        <v>1</v>
      </c>
      <c r="G54">
        <v>0</v>
      </c>
      <c r="H54">
        <v>2</v>
      </c>
      <c r="I54">
        <v>0</v>
      </c>
      <c r="J54">
        <v>0</v>
      </c>
      <c r="K54">
        <f t="shared" si="0"/>
        <v>2</v>
      </c>
      <c r="L54" s="1">
        <f t="shared" si="1"/>
        <v>0</v>
      </c>
      <c r="M54" s="1">
        <f t="shared" si="2"/>
        <v>618.17999999999995</v>
      </c>
    </row>
    <row r="55" spans="1:13" customFormat="1" hidden="1" x14ac:dyDescent="0.3">
      <c r="A55" t="s">
        <v>1878</v>
      </c>
      <c r="B55" t="s">
        <v>1879</v>
      </c>
      <c r="C55" t="s">
        <v>1863</v>
      </c>
      <c r="D55" t="s">
        <v>45</v>
      </c>
      <c r="E55" s="1">
        <v>252.53</v>
      </c>
      <c r="F55">
        <v>1</v>
      </c>
      <c r="G55">
        <v>0</v>
      </c>
      <c r="H55">
        <v>2</v>
      </c>
      <c r="I55">
        <v>0</v>
      </c>
      <c r="J55">
        <v>0</v>
      </c>
      <c r="K55">
        <f t="shared" si="0"/>
        <v>2</v>
      </c>
      <c r="L55" s="1">
        <f t="shared" si="1"/>
        <v>0</v>
      </c>
      <c r="M55" s="1">
        <f t="shared" si="2"/>
        <v>505.06</v>
      </c>
    </row>
    <row r="56" spans="1:13" customFormat="1" hidden="1" x14ac:dyDescent="0.3">
      <c r="A56" t="s">
        <v>1880</v>
      </c>
      <c r="B56" t="s">
        <v>1881</v>
      </c>
      <c r="C56" t="s">
        <v>1801</v>
      </c>
      <c r="D56" t="s">
        <v>45</v>
      </c>
      <c r="E56" s="1">
        <v>62.04</v>
      </c>
      <c r="F56">
        <v>1</v>
      </c>
      <c r="G56">
        <v>0</v>
      </c>
      <c r="H56">
        <v>5</v>
      </c>
      <c r="I56">
        <v>0</v>
      </c>
      <c r="J56">
        <v>0</v>
      </c>
      <c r="K56">
        <f t="shared" si="0"/>
        <v>5</v>
      </c>
      <c r="L56" s="1">
        <f t="shared" si="1"/>
        <v>0</v>
      </c>
      <c r="M56" s="1">
        <f t="shared" si="2"/>
        <v>310.2</v>
      </c>
    </row>
    <row r="57" spans="1:13" customFormat="1" hidden="1" x14ac:dyDescent="0.3">
      <c r="A57" t="s">
        <v>1882</v>
      </c>
      <c r="B57" t="s">
        <v>1883</v>
      </c>
      <c r="C57" t="s">
        <v>1884</v>
      </c>
      <c r="D57" t="s">
        <v>45</v>
      </c>
      <c r="E57" s="1">
        <v>32</v>
      </c>
      <c r="F57">
        <v>4</v>
      </c>
      <c r="G57">
        <v>0</v>
      </c>
      <c r="H57">
        <v>20</v>
      </c>
      <c r="I57">
        <v>0</v>
      </c>
      <c r="J57">
        <v>0</v>
      </c>
      <c r="K57">
        <f t="shared" si="0"/>
        <v>20</v>
      </c>
      <c r="L57" s="1">
        <f t="shared" si="1"/>
        <v>0</v>
      </c>
      <c r="M57" s="1">
        <f t="shared" si="2"/>
        <v>640</v>
      </c>
    </row>
    <row r="58" spans="1:13" customFormat="1" hidden="1" x14ac:dyDescent="0.3">
      <c r="A58" t="s">
        <v>1885</v>
      </c>
      <c r="B58" t="s">
        <v>1886</v>
      </c>
      <c r="C58" t="s">
        <v>1884</v>
      </c>
      <c r="D58" t="s">
        <v>45</v>
      </c>
      <c r="E58" s="1">
        <v>52</v>
      </c>
      <c r="F58">
        <v>4</v>
      </c>
      <c r="G58">
        <v>0</v>
      </c>
      <c r="H58">
        <v>20</v>
      </c>
      <c r="I58">
        <v>0</v>
      </c>
      <c r="J58">
        <v>0</v>
      </c>
      <c r="K58">
        <f t="shared" si="0"/>
        <v>20</v>
      </c>
      <c r="L58" s="1">
        <f t="shared" si="1"/>
        <v>0</v>
      </c>
      <c r="M58" s="1">
        <f t="shared" si="2"/>
        <v>1040</v>
      </c>
    </row>
    <row r="59" spans="1:13" customFormat="1" hidden="1" x14ac:dyDescent="0.3">
      <c r="A59" t="s">
        <v>1887</v>
      </c>
      <c r="B59" t="s">
        <v>1888</v>
      </c>
      <c r="C59" t="s">
        <v>1801</v>
      </c>
      <c r="D59" t="s">
        <v>45</v>
      </c>
      <c r="E59" s="1">
        <v>597.32000000000005</v>
      </c>
      <c r="F59">
        <v>2</v>
      </c>
      <c r="G59">
        <v>0</v>
      </c>
      <c r="H59">
        <v>4</v>
      </c>
      <c r="I59">
        <v>0</v>
      </c>
      <c r="J59">
        <v>0</v>
      </c>
      <c r="K59">
        <f t="shared" si="0"/>
        <v>4</v>
      </c>
      <c r="L59" s="1">
        <f t="shared" si="1"/>
        <v>0</v>
      </c>
      <c r="M59" s="1">
        <f t="shared" si="2"/>
        <v>2389.2800000000002</v>
      </c>
    </row>
    <row r="60" spans="1:13" customFormat="1" hidden="1" x14ac:dyDescent="0.3">
      <c r="A60" t="s">
        <v>1889</v>
      </c>
      <c r="B60" t="s">
        <v>1890</v>
      </c>
      <c r="C60" t="s">
        <v>1891</v>
      </c>
      <c r="D60" t="s">
        <v>45</v>
      </c>
      <c r="E60" s="1">
        <v>250</v>
      </c>
      <c r="F60">
        <v>12</v>
      </c>
      <c r="G60">
        <v>0</v>
      </c>
      <c r="H60">
        <v>32</v>
      </c>
      <c r="I60">
        <v>0</v>
      </c>
      <c r="J60">
        <v>0</v>
      </c>
      <c r="K60">
        <f t="shared" si="0"/>
        <v>32</v>
      </c>
      <c r="L60" s="1">
        <f t="shared" si="1"/>
        <v>0</v>
      </c>
      <c r="M60" s="1">
        <f t="shared" si="2"/>
        <v>8000</v>
      </c>
    </row>
    <row r="61" spans="1:13" customFormat="1" hidden="1" x14ac:dyDescent="0.3">
      <c r="A61" t="s">
        <v>1892</v>
      </c>
      <c r="B61" t="s">
        <v>1893</v>
      </c>
      <c r="C61" t="s">
        <v>1894</v>
      </c>
      <c r="D61" t="s">
        <v>45</v>
      </c>
      <c r="E61" s="1">
        <v>14.85</v>
      </c>
      <c r="F61">
        <v>1</v>
      </c>
      <c r="G61">
        <v>0</v>
      </c>
      <c r="H61">
        <v>5</v>
      </c>
      <c r="I61">
        <v>0</v>
      </c>
      <c r="J61">
        <v>0</v>
      </c>
      <c r="K61">
        <f t="shared" si="0"/>
        <v>5</v>
      </c>
      <c r="L61" s="1">
        <f t="shared" si="1"/>
        <v>0</v>
      </c>
      <c r="M61" s="1">
        <f t="shared" si="2"/>
        <v>74.25</v>
      </c>
    </row>
    <row r="62" spans="1:13" customFormat="1" hidden="1" x14ac:dyDescent="0.3">
      <c r="A62" t="s">
        <v>1895</v>
      </c>
      <c r="B62" t="s">
        <v>1896</v>
      </c>
      <c r="C62" t="s">
        <v>1894</v>
      </c>
      <c r="D62" t="s">
        <v>45</v>
      </c>
      <c r="E62" s="1">
        <v>48.51</v>
      </c>
      <c r="F62">
        <v>2</v>
      </c>
      <c r="G62">
        <v>0</v>
      </c>
      <c r="H62">
        <v>8</v>
      </c>
      <c r="I62">
        <v>0</v>
      </c>
      <c r="J62">
        <v>0</v>
      </c>
      <c r="K62">
        <f t="shared" si="0"/>
        <v>8</v>
      </c>
      <c r="L62" s="1">
        <f t="shared" si="1"/>
        <v>0</v>
      </c>
      <c r="M62" s="1">
        <f t="shared" si="2"/>
        <v>388.08</v>
      </c>
    </row>
    <row r="63" spans="1:13" customFormat="1" hidden="1" x14ac:dyDescent="0.3">
      <c r="A63" t="s">
        <v>1897</v>
      </c>
      <c r="B63" t="s">
        <v>1898</v>
      </c>
      <c r="C63" t="s">
        <v>118</v>
      </c>
      <c r="D63" t="s">
        <v>45</v>
      </c>
      <c r="E63" s="1">
        <v>1130.43</v>
      </c>
      <c r="F63">
        <v>3</v>
      </c>
      <c r="G63">
        <v>0</v>
      </c>
      <c r="H63">
        <v>15</v>
      </c>
      <c r="I63">
        <v>0</v>
      </c>
      <c r="J63">
        <v>0</v>
      </c>
      <c r="K63">
        <f t="shared" si="0"/>
        <v>15</v>
      </c>
      <c r="L63" s="1">
        <f t="shared" si="1"/>
        <v>0</v>
      </c>
      <c r="M63" s="1">
        <f t="shared" si="2"/>
        <v>16956.45</v>
      </c>
    </row>
    <row r="64" spans="1:13" customFormat="1" hidden="1" x14ac:dyDescent="0.3">
      <c r="A64" t="s">
        <v>1899</v>
      </c>
      <c r="B64" t="s">
        <v>1900</v>
      </c>
      <c r="C64" t="s">
        <v>1344</v>
      </c>
      <c r="D64" t="s">
        <v>45</v>
      </c>
      <c r="E64" s="1">
        <v>21774.6</v>
      </c>
      <c r="F64">
        <v>54</v>
      </c>
      <c r="G64">
        <v>0</v>
      </c>
      <c r="H64">
        <v>94</v>
      </c>
      <c r="I64">
        <v>0</v>
      </c>
      <c r="J64">
        <v>0</v>
      </c>
      <c r="K64">
        <f t="shared" si="0"/>
        <v>94</v>
      </c>
      <c r="L64" s="1">
        <f t="shared" si="1"/>
        <v>0</v>
      </c>
      <c r="M64" s="1">
        <f t="shared" si="2"/>
        <v>2046812.4</v>
      </c>
    </row>
    <row r="65" spans="1:13" customFormat="1" hidden="1" x14ac:dyDescent="0.3">
      <c r="A65" t="s">
        <v>1901</v>
      </c>
      <c r="B65" t="s">
        <v>1902</v>
      </c>
      <c r="C65" t="s">
        <v>1344</v>
      </c>
      <c r="D65" t="s">
        <v>45</v>
      </c>
      <c r="E65" s="1">
        <v>4281.6400000000003</v>
      </c>
      <c r="F65">
        <v>1</v>
      </c>
      <c r="G65">
        <v>0</v>
      </c>
      <c r="H65">
        <v>3</v>
      </c>
      <c r="I65">
        <v>0</v>
      </c>
      <c r="J65">
        <v>0</v>
      </c>
      <c r="K65">
        <f t="shared" si="0"/>
        <v>3</v>
      </c>
      <c r="L65" s="1">
        <f t="shared" si="1"/>
        <v>0</v>
      </c>
      <c r="M65" s="1">
        <f t="shared" si="2"/>
        <v>12844.920000000002</v>
      </c>
    </row>
    <row r="66" spans="1:13" customFormat="1" hidden="1" x14ac:dyDescent="0.3">
      <c r="A66" t="s">
        <v>1903</v>
      </c>
      <c r="B66" t="s">
        <v>1904</v>
      </c>
      <c r="C66" t="s">
        <v>273</v>
      </c>
      <c r="D66" t="s">
        <v>45</v>
      </c>
      <c r="E66" s="1">
        <v>556</v>
      </c>
      <c r="F66">
        <v>4</v>
      </c>
      <c r="G66">
        <v>0</v>
      </c>
      <c r="H66">
        <v>22</v>
      </c>
      <c r="I66">
        <v>0</v>
      </c>
      <c r="J66">
        <v>0</v>
      </c>
      <c r="K66">
        <f t="shared" ref="K66:K77" si="3">IF(H66-I66-J66&gt;0,H66-I66-J66,0)</f>
        <v>22</v>
      </c>
      <c r="L66" s="1">
        <f t="shared" ref="L66:L77" si="4">IFERROR(I66*E66,0)</f>
        <v>0</v>
      </c>
      <c r="M66" s="1">
        <f t="shared" ref="M66:M77" si="5">IFERROR(K66*E66,0)</f>
        <v>12232</v>
      </c>
    </row>
    <row r="67" spans="1:13" customFormat="1" hidden="1" x14ac:dyDescent="0.3">
      <c r="A67" t="s">
        <v>1905</v>
      </c>
      <c r="B67" t="s">
        <v>1906</v>
      </c>
      <c r="D67" t="s">
        <v>45</v>
      </c>
      <c r="E67" s="1">
        <v>0</v>
      </c>
      <c r="F67">
        <v>1</v>
      </c>
      <c r="G67">
        <v>0</v>
      </c>
      <c r="H67">
        <v>2</v>
      </c>
      <c r="I67">
        <v>0</v>
      </c>
      <c r="J67">
        <v>0</v>
      </c>
      <c r="K67">
        <f t="shared" si="3"/>
        <v>2</v>
      </c>
      <c r="L67" s="1">
        <f t="shared" si="4"/>
        <v>0</v>
      </c>
      <c r="M67" s="1">
        <f t="shared" si="5"/>
        <v>0</v>
      </c>
    </row>
    <row r="68" spans="1:13" customFormat="1" hidden="1" x14ac:dyDescent="0.3">
      <c r="A68" t="s">
        <v>1907</v>
      </c>
      <c r="B68" t="s">
        <v>1710</v>
      </c>
      <c r="C68" t="s">
        <v>1546</v>
      </c>
      <c r="D68" t="s">
        <v>45</v>
      </c>
      <c r="E68" s="1">
        <v>2555.16</v>
      </c>
      <c r="F68">
        <v>1</v>
      </c>
      <c r="G68">
        <v>0</v>
      </c>
      <c r="H68">
        <v>2</v>
      </c>
      <c r="I68">
        <v>0</v>
      </c>
      <c r="J68">
        <v>0</v>
      </c>
      <c r="K68">
        <f t="shared" si="3"/>
        <v>2</v>
      </c>
      <c r="L68" s="1">
        <f t="shared" si="4"/>
        <v>0</v>
      </c>
      <c r="M68" s="1">
        <f t="shared" si="5"/>
        <v>5110.32</v>
      </c>
    </row>
    <row r="69" spans="1:13" customFormat="1" hidden="1" x14ac:dyDescent="0.3">
      <c r="A69" t="s">
        <v>1908</v>
      </c>
      <c r="B69" t="s">
        <v>1909</v>
      </c>
      <c r="C69" t="s">
        <v>1801</v>
      </c>
      <c r="D69" t="s">
        <v>45</v>
      </c>
      <c r="E69" s="1">
        <v>474.51</v>
      </c>
      <c r="F69">
        <v>1</v>
      </c>
      <c r="G69">
        <v>0</v>
      </c>
      <c r="H69">
        <v>3</v>
      </c>
      <c r="I69">
        <v>0</v>
      </c>
      <c r="J69">
        <v>0</v>
      </c>
      <c r="K69">
        <f t="shared" si="3"/>
        <v>3</v>
      </c>
      <c r="L69" s="1">
        <f t="shared" si="4"/>
        <v>0</v>
      </c>
      <c r="M69" s="1">
        <f t="shared" si="5"/>
        <v>1423.53</v>
      </c>
    </row>
    <row r="70" spans="1:13" customFormat="1" hidden="1" x14ac:dyDescent="0.3">
      <c r="A70" t="s">
        <v>1910</v>
      </c>
      <c r="B70" t="s">
        <v>1911</v>
      </c>
      <c r="C70" t="s">
        <v>1801</v>
      </c>
      <c r="D70" t="s">
        <v>45</v>
      </c>
      <c r="E70" s="1">
        <v>72.31</v>
      </c>
      <c r="F70">
        <v>1</v>
      </c>
      <c r="G70">
        <v>0</v>
      </c>
      <c r="H70">
        <v>5</v>
      </c>
      <c r="I70">
        <v>0</v>
      </c>
      <c r="J70">
        <v>0</v>
      </c>
      <c r="K70">
        <f t="shared" si="3"/>
        <v>5</v>
      </c>
      <c r="L70" s="1">
        <f t="shared" si="4"/>
        <v>0</v>
      </c>
      <c r="M70" s="1">
        <f t="shared" si="5"/>
        <v>361.55</v>
      </c>
    </row>
    <row r="71" spans="1:13" customFormat="1" hidden="1" x14ac:dyDescent="0.3">
      <c r="A71" t="s">
        <v>1912</v>
      </c>
      <c r="B71" t="s">
        <v>1913</v>
      </c>
      <c r="C71" t="s">
        <v>1801</v>
      </c>
      <c r="D71" t="s">
        <v>45</v>
      </c>
      <c r="E71" s="1">
        <v>74.83</v>
      </c>
      <c r="F71">
        <v>1</v>
      </c>
      <c r="G71">
        <v>0</v>
      </c>
      <c r="H71">
        <v>4</v>
      </c>
      <c r="I71">
        <v>0</v>
      </c>
      <c r="J71">
        <v>0</v>
      </c>
      <c r="K71">
        <f t="shared" si="3"/>
        <v>4</v>
      </c>
      <c r="L71" s="1">
        <f t="shared" si="4"/>
        <v>0</v>
      </c>
      <c r="M71" s="1">
        <f t="shared" si="5"/>
        <v>299.32</v>
      </c>
    </row>
    <row r="72" spans="1:13" customFormat="1" hidden="1" x14ac:dyDescent="0.3">
      <c r="A72" t="s">
        <v>1914</v>
      </c>
      <c r="B72" t="s">
        <v>1915</v>
      </c>
      <c r="C72" t="s">
        <v>1801</v>
      </c>
      <c r="D72" t="s">
        <v>45</v>
      </c>
      <c r="E72" s="1">
        <v>77.680000000000007</v>
      </c>
      <c r="F72">
        <v>1</v>
      </c>
      <c r="G72">
        <v>0</v>
      </c>
      <c r="H72">
        <v>2</v>
      </c>
      <c r="I72">
        <v>0</v>
      </c>
      <c r="J72">
        <v>0</v>
      </c>
      <c r="K72">
        <f t="shared" si="3"/>
        <v>2</v>
      </c>
      <c r="L72" s="1">
        <f t="shared" si="4"/>
        <v>0</v>
      </c>
      <c r="M72" s="1">
        <f t="shared" si="5"/>
        <v>155.36000000000001</v>
      </c>
    </row>
    <row r="73" spans="1:13" customFormat="1" hidden="1" x14ac:dyDescent="0.3">
      <c r="A73" t="s">
        <v>1916</v>
      </c>
      <c r="B73" t="s">
        <v>1917</v>
      </c>
      <c r="C73" t="s">
        <v>1546</v>
      </c>
      <c r="D73" t="s">
        <v>45</v>
      </c>
      <c r="E73" s="1">
        <v>3263.14</v>
      </c>
      <c r="F73">
        <v>2</v>
      </c>
      <c r="G73">
        <v>0</v>
      </c>
      <c r="H73">
        <v>6</v>
      </c>
      <c r="I73">
        <v>0</v>
      </c>
      <c r="J73">
        <v>0</v>
      </c>
      <c r="K73">
        <f t="shared" si="3"/>
        <v>6</v>
      </c>
      <c r="L73" s="1">
        <f t="shared" si="4"/>
        <v>0</v>
      </c>
      <c r="M73" s="1">
        <f t="shared" si="5"/>
        <v>19578.84</v>
      </c>
    </row>
    <row r="74" spans="1:13" customFormat="1" hidden="1" x14ac:dyDescent="0.3">
      <c r="A74" t="s">
        <v>1918</v>
      </c>
      <c r="B74" t="s">
        <v>1919</v>
      </c>
      <c r="C74" t="s">
        <v>1784</v>
      </c>
      <c r="D74" t="s">
        <v>45</v>
      </c>
      <c r="E74" s="1">
        <v>247.02</v>
      </c>
      <c r="F74">
        <v>2</v>
      </c>
      <c r="G74">
        <v>0</v>
      </c>
      <c r="H74">
        <v>10</v>
      </c>
      <c r="I74">
        <v>0</v>
      </c>
      <c r="J74">
        <v>0</v>
      </c>
      <c r="K74">
        <f t="shared" si="3"/>
        <v>10</v>
      </c>
      <c r="L74" s="1">
        <f t="shared" si="4"/>
        <v>0</v>
      </c>
      <c r="M74" s="1">
        <f t="shared" si="5"/>
        <v>2470.2000000000003</v>
      </c>
    </row>
    <row r="75" spans="1:13" customFormat="1" hidden="1" x14ac:dyDescent="0.3">
      <c r="A75" t="s">
        <v>1920</v>
      </c>
      <c r="B75" t="s">
        <v>1921</v>
      </c>
      <c r="C75" t="s">
        <v>1894</v>
      </c>
      <c r="D75" t="s">
        <v>45</v>
      </c>
      <c r="E75" s="1">
        <v>47.03</v>
      </c>
      <c r="F75">
        <v>2</v>
      </c>
      <c r="G75">
        <v>0</v>
      </c>
      <c r="H75">
        <v>10</v>
      </c>
      <c r="I75">
        <v>0</v>
      </c>
      <c r="J75">
        <v>0</v>
      </c>
      <c r="K75">
        <f t="shared" si="3"/>
        <v>10</v>
      </c>
      <c r="L75" s="1">
        <f t="shared" si="4"/>
        <v>0</v>
      </c>
      <c r="M75" s="1">
        <f t="shared" si="5"/>
        <v>470.3</v>
      </c>
    </row>
    <row r="76" spans="1:13" customFormat="1" hidden="1" x14ac:dyDescent="0.3">
      <c r="A76" t="s">
        <v>1922</v>
      </c>
      <c r="B76" t="s">
        <v>1923</v>
      </c>
      <c r="C76" t="s">
        <v>472</v>
      </c>
      <c r="D76" t="s">
        <v>45</v>
      </c>
      <c r="E76" s="1">
        <v>630</v>
      </c>
      <c r="F76">
        <v>1</v>
      </c>
      <c r="G76">
        <v>0</v>
      </c>
      <c r="H76">
        <v>2</v>
      </c>
      <c r="I76">
        <v>0</v>
      </c>
      <c r="J76">
        <v>0</v>
      </c>
      <c r="K76">
        <f t="shared" si="3"/>
        <v>2</v>
      </c>
      <c r="L76" s="1">
        <f t="shared" si="4"/>
        <v>0</v>
      </c>
      <c r="M76" s="1">
        <f t="shared" si="5"/>
        <v>1260</v>
      </c>
    </row>
    <row r="77" spans="1:13" customFormat="1" hidden="1" x14ac:dyDescent="0.3">
      <c r="A77" t="s">
        <v>1924</v>
      </c>
      <c r="B77" t="s">
        <v>1925</v>
      </c>
      <c r="C77" t="s">
        <v>118</v>
      </c>
      <c r="D77" t="s">
        <v>45</v>
      </c>
      <c r="E77" s="1">
        <v>208.69</v>
      </c>
      <c r="F77">
        <v>3</v>
      </c>
      <c r="G77">
        <v>0</v>
      </c>
      <c r="H77">
        <v>15</v>
      </c>
      <c r="I77">
        <v>0</v>
      </c>
      <c r="J77">
        <v>0</v>
      </c>
      <c r="K77">
        <f t="shared" si="3"/>
        <v>15</v>
      </c>
      <c r="L77" s="1">
        <f t="shared" si="4"/>
        <v>0</v>
      </c>
      <c r="M77" s="1">
        <f t="shared" si="5"/>
        <v>3130.35</v>
      </c>
    </row>
    <row r="78" spans="1:13" x14ac:dyDescent="0.3">
      <c r="A78" s="2" t="s">
        <v>1930</v>
      </c>
      <c r="B78" s="2" t="s">
        <v>1931</v>
      </c>
      <c r="C78" s="4" t="s">
        <v>73</v>
      </c>
      <c r="D78" s="6" t="s">
        <v>45</v>
      </c>
      <c r="E78" s="5">
        <v>0.8</v>
      </c>
      <c r="F78" s="4">
        <v>400</v>
      </c>
      <c r="G78" s="4">
        <v>0</v>
      </c>
      <c r="H78" s="4">
        <v>2000</v>
      </c>
      <c r="I78" s="4">
        <v>0</v>
      </c>
      <c r="J78" s="4">
        <v>0</v>
      </c>
      <c r="K78" s="4">
        <f t="shared" ref="K78:K141" si="6">IF(H78-I78-J78&gt;0,H78-I78-J78,0)</f>
        <v>2000</v>
      </c>
      <c r="L78" s="5">
        <f t="shared" ref="L78:L141" si="7">IFERROR(I78*E78,0)</f>
        <v>0</v>
      </c>
      <c r="M78" s="5">
        <f t="shared" ref="M78:M141" si="8">IFERROR(K78*E78,0)</f>
        <v>1600</v>
      </c>
    </row>
    <row r="79" spans="1:13" x14ac:dyDescent="0.3">
      <c r="A79" s="2" t="s">
        <v>2806</v>
      </c>
      <c r="B79" s="2" t="s">
        <v>2807</v>
      </c>
      <c r="C79" s="4" t="s">
        <v>73</v>
      </c>
      <c r="D79" s="6" t="s">
        <v>45</v>
      </c>
      <c r="E79" s="5">
        <v>3.17</v>
      </c>
      <c r="F79" s="4">
        <v>432</v>
      </c>
      <c r="G79" s="4">
        <v>0</v>
      </c>
      <c r="H79" s="4">
        <v>1512</v>
      </c>
      <c r="I79" s="4">
        <v>0</v>
      </c>
      <c r="J79" s="4">
        <v>0</v>
      </c>
      <c r="K79" s="4">
        <f t="shared" si="6"/>
        <v>1512</v>
      </c>
      <c r="L79" s="5">
        <f t="shared" si="7"/>
        <v>0</v>
      </c>
      <c r="M79" s="5">
        <f t="shared" si="8"/>
        <v>4793.04</v>
      </c>
    </row>
    <row r="80" spans="1:13" x14ac:dyDescent="0.3">
      <c r="A80" s="2" t="s">
        <v>2004</v>
      </c>
      <c r="B80" s="2" t="s">
        <v>2005</v>
      </c>
      <c r="C80" s="4" t="s">
        <v>73</v>
      </c>
      <c r="D80" s="6" t="s">
        <v>45</v>
      </c>
      <c r="E80" s="5">
        <v>0.65</v>
      </c>
      <c r="F80" s="4">
        <v>210</v>
      </c>
      <c r="G80" s="4">
        <v>0</v>
      </c>
      <c r="H80" s="4">
        <v>1050</v>
      </c>
      <c r="I80" s="4">
        <v>0</v>
      </c>
      <c r="J80" s="4">
        <v>0</v>
      </c>
      <c r="K80" s="4">
        <f t="shared" si="6"/>
        <v>1050</v>
      </c>
      <c r="L80" s="5">
        <f t="shared" si="7"/>
        <v>0</v>
      </c>
      <c r="M80" s="5">
        <f t="shared" si="8"/>
        <v>682.5</v>
      </c>
    </row>
    <row r="81" spans="1:13" x14ac:dyDescent="0.3">
      <c r="A81" s="2" t="s">
        <v>2006</v>
      </c>
      <c r="B81" s="2" t="s">
        <v>2007</v>
      </c>
      <c r="C81" s="4" t="s">
        <v>73</v>
      </c>
      <c r="D81" s="6" t="s">
        <v>45</v>
      </c>
      <c r="E81" s="5">
        <v>0.8</v>
      </c>
      <c r="F81" s="4">
        <v>210</v>
      </c>
      <c r="G81" s="4">
        <v>0</v>
      </c>
      <c r="H81" s="4">
        <v>1050</v>
      </c>
      <c r="I81" s="4">
        <v>0</v>
      </c>
      <c r="J81" s="4">
        <v>0</v>
      </c>
      <c r="K81" s="4">
        <f t="shared" si="6"/>
        <v>1050</v>
      </c>
      <c r="L81" s="5">
        <f t="shared" si="7"/>
        <v>0</v>
      </c>
      <c r="M81" s="5">
        <f t="shared" si="8"/>
        <v>840</v>
      </c>
    </row>
    <row r="82" spans="1:13" x14ac:dyDescent="0.3">
      <c r="A82" s="2" t="s">
        <v>2814</v>
      </c>
      <c r="B82" s="2" t="s">
        <v>2815</v>
      </c>
      <c r="C82" s="4" t="s">
        <v>73</v>
      </c>
      <c r="D82" s="6" t="s">
        <v>45</v>
      </c>
      <c r="E82" s="5">
        <v>0.8</v>
      </c>
      <c r="F82" s="4">
        <v>360</v>
      </c>
      <c r="G82" s="4">
        <v>0</v>
      </c>
      <c r="H82" s="4">
        <v>840</v>
      </c>
      <c r="I82" s="4">
        <v>0</v>
      </c>
      <c r="J82" s="4">
        <v>0</v>
      </c>
      <c r="K82" s="4">
        <f t="shared" si="6"/>
        <v>840</v>
      </c>
      <c r="L82" s="5">
        <f t="shared" si="7"/>
        <v>0</v>
      </c>
      <c r="M82" s="5">
        <f t="shared" si="8"/>
        <v>672</v>
      </c>
    </row>
    <row r="83" spans="1:13" customFormat="1" hidden="1" x14ac:dyDescent="0.3">
      <c r="A83" t="s">
        <v>1936</v>
      </c>
      <c r="B83" t="s">
        <v>1937</v>
      </c>
      <c r="C83" t="s">
        <v>1938</v>
      </c>
      <c r="D83" t="s">
        <v>45</v>
      </c>
      <c r="E83" s="1">
        <v>0</v>
      </c>
      <c r="F83">
        <v>3</v>
      </c>
      <c r="G83">
        <v>0</v>
      </c>
      <c r="H83">
        <v>9</v>
      </c>
      <c r="I83">
        <v>0</v>
      </c>
      <c r="J83">
        <v>1</v>
      </c>
      <c r="K83">
        <f t="shared" si="6"/>
        <v>8</v>
      </c>
      <c r="L83" s="1">
        <f t="shared" si="7"/>
        <v>0</v>
      </c>
      <c r="M83" s="1">
        <f t="shared" si="8"/>
        <v>0</v>
      </c>
    </row>
    <row r="84" spans="1:13" customFormat="1" hidden="1" x14ac:dyDescent="0.3">
      <c r="A84" t="s">
        <v>1939</v>
      </c>
      <c r="B84" t="s">
        <v>1940</v>
      </c>
      <c r="C84" t="s">
        <v>300</v>
      </c>
      <c r="D84" t="s">
        <v>45</v>
      </c>
      <c r="E84" s="1">
        <v>2509.5</v>
      </c>
      <c r="F84">
        <v>1</v>
      </c>
      <c r="G84">
        <v>0</v>
      </c>
      <c r="H84">
        <v>2</v>
      </c>
      <c r="I84">
        <v>0</v>
      </c>
      <c r="J84">
        <v>0</v>
      </c>
      <c r="K84">
        <f t="shared" si="6"/>
        <v>2</v>
      </c>
      <c r="L84" s="1">
        <f t="shared" si="7"/>
        <v>0</v>
      </c>
      <c r="M84" s="1">
        <f t="shared" si="8"/>
        <v>5019</v>
      </c>
    </row>
    <row r="85" spans="1:13" customFormat="1" hidden="1" x14ac:dyDescent="0.3">
      <c r="A85" t="s">
        <v>1941</v>
      </c>
      <c r="B85" t="s">
        <v>1942</v>
      </c>
      <c r="D85" t="s">
        <v>45</v>
      </c>
      <c r="E85" s="1">
        <v>0</v>
      </c>
      <c r="F85">
        <v>3</v>
      </c>
      <c r="G85">
        <v>0</v>
      </c>
      <c r="H85">
        <v>15</v>
      </c>
      <c r="I85">
        <v>0</v>
      </c>
      <c r="J85">
        <v>0</v>
      </c>
      <c r="K85">
        <f t="shared" si="6"/>
        <v>15</v>
      </c>
      <c r="L85" s="1">
        <f t="shared" si="7"/>
        <v>0</v>
      </c>
      <c r="M85" s="1">
        <f t="shared" si="8"/>
        <v>0</v>
      </c>
    </row>
    <row r="86" spans="1:13" customFormat="1" hidden="1" x14ac:dyDescent="0.3">
      <c r="A86" t="s">
        <v>1943</v>
      </c>
      <c r="B86" t="s">
        <v>1944</v>
      </c>
      <c r="C86" t="s">
        <v>273</v>
      </c>
      <c r="D86" t="s">
        <v>45</v>
      </c>
      <c r="E86" s="1">
        <v>727</v>
      </c>
      <c r="F86">
        <v>8</v>
      </c>
      <c r="G86">
        <v>0</v>
      </c>
      <c r="H86">
        <v>40</v>
      </c>
      <c r="I86">
        <v>0</v>
      </c>
      <c r="J86">
        <v>0</v>
      </c>
      <c r="K86">
        <f t="shared" si="6"/>
        <v>40</v>
      </c>
      <c r="L86" s="1">
        <f t="shared" si="7"/>
        <v>0</v>
      </c>
      <c r="M86" s="1">
        <f t="shared" si="8"/>
        <v>29080</v>
      </c>
    </row>
    <row r="87" spans="1:13" customFormat="1" hidden="1" x14ac:dyDescent="0.3">
      <c r="A87" t="s">
        <v>1945</v>
      </c>
      <c r="B87" t="s">
        <v>1946</v>
      </c>
      <c r="C87" t="s">
        <v>1801</v>
      </c>
      <c r="D87" t="s">
        <v>45</v>
      </c>
      <c r="E87" s="1">
        <v>100.65</v>
      </c>
      <c r="F87">
        <v>1</v>
      </c>
      <c r="G87">
        <v>0</v>
      </c>
      <c r="H87">
        <v>2</v>
      </c>
      <c r="I87">
        <v>0</v>
      </c>
      <c r="J87">
        <v>0</v>
      </c>
      <c r="K87">
        <f t="shared" si="6"/>
        <v>2</v>
      </c>
      <c r="L87" s="1">
        <f t="shared" si="7"/>
        <v>0</v>
      </c>
      <c r="M87" s="1">
        <f t="shared" si="8"/>
        <v>201.3</v>
      </c>
    </row>
    <row r="88" spans="1:13" customFormat="1" hidden="1" x14ac:dyDescent="0.3">
      <c r="A88" t="s">
        <v>1947</v>
      </c>
      <c r="B88" t="s">
        <v>1948</v>
      </c>
      <c r="C88" t="s">
        <v>1801</v>
      </c>
      <c r="D88" t="s">
        <v>45</v>
      </c>
      <c r="E88" s="1">
        <v>102.04</v>
      </c>
      <c r="F88">
        <v>1</v>
      </c>
      <c r="G88">
        <v>0</v>
      </c>
      <c r="H88">
        <v>3</v>
      </c>
      <c r="I88">
        <v>0</v>
      </c>
      <c r="J88">
        <v>0</v>
      </c>
      <c r="K88">
        <f t="shared" si="6"/>
        <v>3</v>
      </c>
      <c r="L88" s="1">
        <f t="shared" si="7"/>
        <v>0</v>
      </c>
      <c r="M88" s="1">
        <f t="shared" si="8"/>
        <v>306.12</v>
      </c>
    </row>
    <row r="89" spans="1:13" ht="43.2" x14ac:dyDescent="0.3">
      <c r="A89" s="2" t="s">
        <v>2834</v>
      </c>
      <c r="B89" s="2" t="s">
        <v>2834</v>
      </c>
      <c r="C89" s="4" t="s">
        <v>73</v>
      </c>
      <c r="D89" s="6" t="s">
        <v>45</v>
      </c>
      <c r="E89" s="5">
        <v>0.8</v>
      </c>
      <c r="F89" s="4">
        <v>167</v>
      </c>
      <c r="G89" s="4">
        <v>0</v>
      </c>
      <c r="H89" s="4">
        <v>836</v>
      </c>
      <c r="I89" s="4">
        <v>0</v>
      </c>
      <c r="J89" s="4">
        <v>0</v>
      </c>
      <c r="K89" s="4">
        <f t="shared" si="6"/>
        <v>836</v>
      </c>
      <c r="L89" s="5">
        <f t="shared" si="7"/>
        <v>0</v>
      </c>
      <c r="M89" s="5">
        <f t="shared" si="8"/>
        <v>668.80000000000007</v>
      </c>
    </row>
    <row r="90" spans="1:13" x14ac:dyDescent="0.3">
      <c r="A90" s="2" t="s">
        <v>1986</v>
      </c>
      <c r="B90" s="2" t="s">
        <v>1987</v>
      </c>
      <c r="C90" s="4" t="s">
        <v>73</v>
      </c>
      <c r="D90" s="6" t="s">
        <v>45</v>
      </c>
      <c r="E90" s="5">
        <v>0.8</v>
      </c>
      <c r="F90" s="4">
        <v>166</v>
      </c>
      <c r="G90" s="4">
        <v>0</v>
      </c>
      <c r="H90" s="4">
        <v>830</v>
      </c>
      <c r="I90" s="4">
        <v>0</v>
      </c>
      <c r="J90" s="4">
        <v>0</v>
      </c>
      <c r="K90" s="4">
        <f t="shared" si="6"/>
        <v>830</v>
      </c>
      <c r="L90" s="5">
        <f t="shared" si="7"/>
        <v>0</v>
      </c>
      <c r="M90" s="5">
        <f t="shared" si="8"/>
        <v>664</v>
      </c>
    </row>
    <row r="91" spans="1:13" x14ac:dyDescent="0.3">
      <c r="A91" s="2" t="s">
        <v>1928</v>
      </c>
      <c r="B91" s="2" t="s">
        <v>1929</v>
      </c>
      <c r="C91" s="4" t="s">
        <v>73</v>
      </c>
      <c r="D91" s="6" t="s">
        <v>45</v>
      </c>
      <c r="E91" s="5">
        <v>0.4</v>
      </c>
      <c r="F91" s="4">
        <v>156</v>
      </c>
      <c r="G91" s="4">
        <v>0</v>
      </c>
      <c r="H91" s="4">
        <v>778</v>
      </c>
      <c r="I91" s="4">
        <v>0</v>
      </c>
      <c r="J91" s="4">
        <v>0</v>
      </c>
      <c r="K91" s="4">
        <f t="shared" si="6"/>
        <v>778</v>
      </c>
      <c r="L91" s="5">
        <f t="shared" si="7"/>
        <v>0</v>
      </c>
      <c r="M91" s="5">
        <f t="shared" si="8"/>
        <v>311.20000000000005</v>
      </c>
    </row>
    <row r="92" spans="1:13" customFormat="1" hidden="1" x14ac:dyDescent="0.3">
      <c r="A92" t="s">
        <v>1955</v>
      </c>
      <c r="B92" t="s">
        <v>1956</v>
      </c>
      <c r="D92" t="s">
        <v>45</v>
      </c>
      <c r="E92" s="1">
        <v>0</v>
      </c>
      <c r="F92">
        <v>1</v>
      </c>
      <c r="G92">
        <v>0</v>
      </c>
      <c r="H92">
        <v>2</v>
      </c>
      <c r="I92">
        <v>0</v>
      </c>
      <c r="J92">
        <v>0</v>
      </c>
      <c r="K92">
        <f t="shared" si="6"/>
        <v>2</v>
      </c>
      <c r="L92" s="1">
        <f t="shared" si="7"/>
        <v>0</v>
      </c>
      <c r="M92" s="1">
        <f t="shared" si="8"/>
        <v>0</v>
      </c>
    </row>
    <row r="93" spans="1:13" customFormat="1" hidden="1" x14ac:dyDescent="0.3">
      <c r="A93" t="s">
        <v>1957</v>
      </c>
      <c r="B93" t="s">
        <v>1958</v>
      </c>
      <c r="C93" t="s">
        <v>1959</v>
      </c>
      <c r="D93" t="s">
        <v>45</v>
      </c>
      <c r="E93" s="1">
        <v>26</v>
      </c>
      <c r="F93">
        <v>6</v>
      </c>
      <c r="G93">
        <v>0</v>
      </c>
      <c r="H93">
        <v>22</v>
      </c>
      <c r="I93">
        <v>0</v>
      </c>
      <c r="J93">
        <v>0</v>
      </c>
      <c r="K93">
        <f t="shared" si="6"/>
        <v>22</v>
      </c>
      <c r="L93" s="1">
        <f t="shared" si="7"/>
        <v>0</v>
      </c>
      <c r="M93" s="1">
        <f t="shared" si="8"/>
        <v>572</v>
      </c>
    </row>
    <row r="94" spans="1:13" x14ac:dyDescent="0.3">
      <c r="A94" s="2" t="s">
        <v>1932</v>
      </c>
      <c r="B94" s="2" t="s">
        <v>1933</v>
      </c>
      <c r="C94" s="4" t="s">
        <v>73</v>
      </c>
      <c r="D94" s="6" t="s">
        <v>45</v>
      </c>
      <c r="E94" s="5">
        <v>0.08</v>
      </c>
      <c r="F94" s="4">
        <v>150</v>
      </c>
      <c r="G94" s="4">
        <v>0</v>
      </c>
      <c r="H94" s="4">
        <v>750</v>
      </c>
      <c r="I94" s="4">
        <v>0</v>
      </c>
      <c r="J94" s="4">
        <v>0</v>
      </c>
      <c r="K94" s="4">
        <f t="shared" si="6"/>
        <v>750</v>
      </c>
      <c r="L94" s="5">
        <f t="shared" si="7"/>
        <v>0</v>
      </c>
      <c r="M94" s="5">
        <f t="shared" si="8"/>
        <v>60</v>
      </c>
    </row>
    <row r="95" spans="1:13" x14ac:dyDescent="0.3">
      <c r="A95" s="2" t="s">
        <v>1980</v>
      </c>
      <c r="B95" s="2" t="s">
        <v>1981</v>
      </c>
      <c r="C95" s="4" t="s">
        <v>73</v>
      </c>
      <c r="D95" s="6" t="s">
        <v>45</v>
      </c>
      <c r="E95" s="5">
        <v>0.65</v>
      </c>
      <c r="F95" s="4">
        <v>150</v>
      </c>
      <c r="G95" s="4">
        <v>0</v>
      </c>
      <c r="H95" s="4">
        <v>750</v>
      </c>
      <c r="I95" s="4">
        <v>0</v>
      </c>
      <c r="J95" s="4">
        <v>0</v>
      </c>
      <c r="K95" s="4">
        <f t="shared" si="6"/>
        <v>750</v>
      </c>
      <c r="L95" s="5">
        <f t="shared" si="7"/>
        <v>0</v>
      </c>
      <c r="M95" s="5">
        <f t="shared" si="8"/>
        <v>487.5</v>
      </c>
    </row>
    <row r="96" spans="1:13" x14ac:dyDescent="0.3">
      <c r="A96" s="2" t="s">
        <v>2012</v>
      </c>
      <c r="B96" s="2" t="s">
        <v>2013</v>
      </c>
      <c r="C96" s="4" t="s">
        <v>73</v>
      </c>
      <c r="D96" s="6" t="s">
        <v>45</v>
      </c>
      <c r="E96" s="5">
        <v>0.2</v>
      </c>
      <c r="F96" s="4">
        <v>150</v>
      </c>
      <c r="G96" s="4">
        <v>0</v>
      </c>
      <c r="H96" s="4">
        <v>750</v>
      </c>
      <c r="I96" s="4">
        <v>0</v>
      </c>
      <c r="J96" s="4">
        <v>0</v>
      </c>
      <c r="K96" s="4">
        <f t="shared" si="6"/>
        <v>750</v>
      </c>
      <c r="L96" s="5">
        <f t="shared" si="7"/>
        <v>0</v>
      </c>
      <c r="M96" s="5">
        <f t="shared" si="8"/>
        <v>150</v>
      </c>
    </row>
    <row r="97" spans="1:13" x14ac:dyDescent="0.3">
      <c r="A97" s="2" t="s">
        <v>2014</v>
      </c>
      <c r="B97" s="2" t="s">
        <v>2015</v>
      </c>
      <c r="C97" s="4" t="s">
        <v>73</v>
      </c>
      <c r="D97" s="6" t="s">
        <v>45</v>
      </c>
      <c r="E97" s="5">
        <v>0.3</v>
      </c>
      <c r="F97" s="4">
        <v>150</v>
      </c>
      <c r="G97" s="4">
        <v>0</v>
      </c>
      <c r="H97" s="4">
        <v>750</v>
      </c>
      <c r="I97" s="4">
        <v>0</v>
      </c>
      <c r="J97" s="4">
        <v>0</v>
      </c>
      <c r="K97" s="4">
        <f t="shared" si="6"/>
        <v>750</v>
      </c>
      <c r="L97" s="5">
        <f t="shared" si="7"/>
        <v>0</v>
      </c>
      <c r="M97" s="5">
        <f t="shared" si="8"/>
        <v>225</v>
      </c>
    </row>
    <row r="98" spans="1:13" x14ac:dyDescent="0.3">
      <c r="A98" s="2" t="s">
        <v>2838</v>
      </c>
      <c r="B98" s="2" t="s">
        <v>2839</v>
      </c>
      <c r="C98" s="4" t="s">
        <v>73</v>
      </c>
      <c r="D98" s="6" t="s">
        <v>45</v>
      </c>
      <c r="E98" s="5">
        <v>1.8</v>
      </c>
      <c r="F98" s="4">
        <v>150</v>
      </c>
      <c r="G98" s="4">
        <v>0</v>
      </c>
      <c r="H98" s="4">
        <v>750</v>
      </c>
      <c r="I98" s="4">
        <v>0</v>
      </c>
      <c r="J98" s="4">
        <v>0</v>
      </c>
      <c r="K98" s="4">
        <f t="shared" si="6"/>
        <v>750</v>
      </c>
      <c r="L98" s="5">
        <f t="shared" si="7"/>
        <v>0</v>
      </c>
      <c r="M98" s="5">
        <f t="shared" si="8"/>
        <v>1350</v>
      </c>
    </row>
    <row r="99" spans="1:13" x14ac:dyDescent="0.3">
      <c r="A99" s="2" t="s">
        <v>2852</v>
      </c>
      <c r="B99" s="2" t="s">
        <v>2853</v>
      </c>
      <c r="C99" s="4" t="s">
        <v>73</v>
      </c>
      <c r="D99" s="6" t="s">
        <v>45</v>
      </c>
      <c r="E99" s="5">
        <v>12</v>
      </c>
      <c r="F99" s="4">
        <v>150</v>
      </c>
      <c r="G99" s="4">
        <v>0</v>
      </c>
      <c r="H99" s="4">
        <v>750</v>
      </c>
      <c r="I99" s="4">
        <v>0</v>
      </c>
      <c r="J99" s="4">
        <v>0</v>
      </c>
      <c r="K99" s="4">
        <f t="shared" si="6"/>
        <v>750</v>
      </c>
      <c r="L99" s="5">
        <f t="shared" si="7"/>
        <v>0</v>
      </c>
      <c r="M99" s="5">
        <f t="shared" si="8"/>
        <v>9000</v>
      </c>
    </row>
    <row r="100" spans="1:13" x14ac:dyDescent="0.3">
      <c r="A100" s="2" t="s">
        <v>2867</v>
      </c>
      <c r="B100" s="2" t="s">
        <v>2868</v>
      </c>
      <c r="C100" s="4" t="s">
        <v>73</v>
      </c>
      <c r="D100" s="6" t="s">
        <v>45</v>
      </c>
      <c r="E100" s="5">
        <v>1</v>
      </c>
      <c r="F100" s="4">
        <v>150</v>
      </c>
      <c r="G100" s="4">
        <v>0</v>
      </c>
      <c r="H100" s="4">
        <v>750</v>
      </c>
      <c r="I100" s="4">
        <v>0</v>
      </c>
      <c r="J100" s="4">
        <v>0</v>
      </c>
      <c r="K100" s="4">
        <f t="shared" si="6"/>
        <v>750</v>
      </c>
      <c r="L100" s="5">
        <f t="shared" si="7"/>
        <v>0</v>
      </c>
      <c r="M100" s="5">
        <f t="shared" si="8"/>
        <v>750</v>
      </c>
    </row>
    <row r="101" spans="1:13" x14ac:dyDescent="0.3">
      <c r="A101" s="2" t="s">
        <v>2876</v>
      </c>
      <c r="B101" s="2" t="s">
        <v>2877</v>
      </c>
      <c r="C101" s="4" t="s">
        <v>73</v>
      </c>
      <c r="D101" s="6" t="s">
        <v>45</v>
      </c>
      <c r="E101" s="5">
        <v>1.2</v>
      </c>
      <c r="F101" s="4">
        <v>150</v>
      </c>
      <c r="G101" s="4">
        <v>0</v>
      </c>
      <c r="H101" s="4">
        <v>750</v>
      </c>
      <c r="I101" s="4">
        <v>0</v>
      </c>
      <c r="J101" s="4">
        <v>0</v>
      </c>
      <c r="K101" s="4">
        <f t="shared" si="6"/>
        <v>750</v>
      </c>
      <c r="L101" s="5">
        <f t="shared" si="7"/>
        <v>0</v>
      </c>
      <c r="M101" s="5">
        <f t="shared" si="8"/>
        <v>900</v>
      </c>
    </row>
    <row r="102" spans="1:13" x14ac:dyDescent="0.3">
      <c r="A102" s="2" t="s">
        <v>1988</v>
      </c>
      <c r="B102" s="2" t="s">
        <v>1989</v>
      </c>
      <c r="C102" s="4" t="s">
        <v>73</v>
      </c>
      <c r="D102" s="6" t="s">
        <v>45</v>
      </c>
      <c r="E102" s="5">
        <v>1.3</v>
      </c>
      <c r="F102" s="4">
        <v>140</v>
      </c>
      <c r="G102" s="4">
        <v>0</v>
      </c>
      <c r="H102" s="4">
        <v>700</v>
      </c>
      <c r="I102" s="4">
        <v>0</v>
      </c>
      <c r="J102" s="4">
        <v>0</v>
      </c>
      <c r="K102" s="4">
        <f t="shared" si="6"/>
        <v>700</v>
      </c>
      <c r="L102" s="5">
        <f t="shared" si="7"/>
        <v>0</v>
      </c>
      <c r="M102" s="5">
        <f t="shared" si="8"/>
        <v>910</v>
      </c>
    </row>
    <row r="103" spans="1:13" x14ac:dyDescent="0.3">
      <c r="A103" s="2" t="s">
        <v>2492</v>
      </c>
      <c r="B103" s="2" t="s">
        <v>2493</v>
      </c>
      <c r="C103" s="4" t="s">
        <v>73</v>
      </c>
      <c r="D103" s="6" t="s">
        <v>45</v>
      </c>
      <c r="E103" s="5">
        <v>0</v>
      </c>
      <c r="F103" s="4">
        <v>136</v>
      </c>
      <c r="G103" s="4">
        <v>0</v>
      </c>
      <c r="H103" s="4">
        <v>679</v>
      </c>
      <c r="I103" s="4">
        <v>0</v>
      </c>
      <c r="J103" s="4">
        <v>0</v>
      </c>
      <c r="K103" s="4">
        <f t="shared" si="6"/>
        <v>679</v>
      </c>
      <c r="L103" s="5">
        <f t="shared" si="7"/>
        <v>0</v>
      </c>
      <c r="M103" s="5">
        <f t="shared" si="8"/>
        <v>0</v>
      </c>
    </row>
    <row r="104" spans="1:13" ht="43.2" x14ac:dyDescent="0.3">
      <c r="A104" s="2" t="s">
        <v>2826</v>
      </c>
      <c r="B104" s="2" t="s">
        <v>2826</v>
      </c>
      <c r="C104" s="4" t="s">
        <v>73</v>
      </c>
      <c r="D104" s="6" t="s">
        <v>45</v>
      </c>
      <c r="E104" s="5">
        <v>0.85</v>
      </c>
      <c r="F104" s="4">
        <v>124</v>
      </c>
      <c r="G104" s="4">
        <v>0</v>
      </c>
      <c r="H104" s="4">
        <v>620</v>
      </c>
      <c r="I104" s="4">
        <v>0</v>
      </c>
      <c r="J104" s="4">
        <v>0</v>
      </c>
      <c r="K104" s="4">
        <f t="shared" si="6"/>
        <v>620</v>
      </c>
      <c r="L104" s="5">
        <f t="shared" si="7"/>
        <v>0</v>
      </c>
      <c r="M104" s="5">
        <f t="shared" si="8"/>
        <v>527</v>
      </c>
    </row>
    <row r="105" spans="1:13" x14ac:dyDescent="0.3">
      <c r="A105" s="2" t="s">
        <v>2010</v>
      </c>
      <c r="B105" s="2" t="s">
        <v>2011</v>
      </c>
      <c r="C105" s="4" t="s">
        <v>73</v>
      </c>
      <c r="D105" s="6" t="s">
        <v>45</v>
      </c>
      <c r="E105" s="5">
        <v>3.5</v>
      </c>
      <c r="F105" s="4">
        <v>120</v>
      </c>
      <c r="G105" s="4">
        <v>0</v>
      </c>
      <c r="H105" s="4">
        <v>600</v>
      </c>
      <c r="I105" s="4">
        <v>0</v>
      </c>
      <c r="J105" s="4">
        <v>0</v>
      </c>
      <c r="K105" s="4">
        <f t="shared" si="6"/>
        <v>600</v>
      </c>
      <c r="L105" s="5">
        <f t="shared" si="7"/>
        <v>0</v>
      </c>
      <c r="M105" s="5">
        <f t="shared" si="8"/>
        <v>2100</v>
      </c>
    </row>
    <row r="106" spans="1:13" x14ac:dyDescent="0.3">
      <c r="A106" s="2" t="s">
        <v>2863</v>
      </c>
      <c r="B106" s="2" t="s">
        <v>2802</v>
      </c>
      <c r="C106" s="4" t="s">
        <v>73</v>
      </c>
      <c r="D106" s="6" t="s">
        <v>45</v>
      </c>
      <c r="E106" s="5">
        <v>0.9</v>
      </c>
      <c r="F106" s="4">
        <v>120</v>
      </c>
      <c r="G106" s="4">
        <v>0</v>
      </c>
      <c r="H106" s="4">
        <v>600</v>
      </c>
      <c r="I106" s="4">
        <v>0</v>
      </c>
      <c r="J106" s="4">
        <v>0</v>
      </c>
      <c r="K106" s="4">
        <f t="shared" si="6"/>
        <v>600</v>
      </c>
      <c r="L106" s="5">
        <f t="shared" si="7"/>
        <v>0</v>
      </c>
      <c r="M106" s="5">
        <f t="shared" si="8"/>
        <v>540</v>
      </c>
    </row>
    <row r="107" spans="1:13" x14ac:dyDescent="0.3">
      <c r="A107" s="2" t="s">
        <v>2879</v>
      </c>
      <c r="B107" s="2" t="s">
        <v>2802</v>
      </c>
      <c r="C107" s="4" t="s">
        <v>73</v>
      </c>
      <c r="D107" s="6" t="s">
        <v>45</v>
      </c>
      <c r="E107" s="5">
        <v>1.5</v>
      </c>
      <c r="F107" s="4">
        <v>120</v>
      </c>
      <c r="G107" s="4">
        <v>0</v>
      </c>
      <c r="H107" s="4">
        <v>600</v>
      </c>
      <c r="I107" s="4">
        <v>0</v>
      </c>
      <c r="J107" s="4">
        <v>0</v>
      </c>
      <c r="K107" s="4">
        <f t="shared" si="6"/>
        <v>600</v>
      </c>
      <c r="L107" s="5">
        <f t="shared" si="7"/>
        <v>0</v>
      </c>
      <c r="M107" s="5">
        <f t="shared" si="8"/>
        <v>900</v>
      </c>
    </row>
    <row r="108" spans="1:13" ht="28.8" x14ac:dyDescent="0.3">
      <c r="A108" s="2" t="s">
        <v>2835</v>
      </c>
      <c r="B108" s="2" t="s">
        <v>2835</v>
      </c>
      <c r="C108" s="4" t="s">
        <v>73</v>
      </c>
      <c r="D108" s="6" t="s">
        <v>45</v>
      </c>
      <c r="E108" s="5">
        <v>2.0099999999999998</v>
      </c>
      <c r="F108" s="4">
        <v>117</v>
      </c>
      <c r="G108" s="4">
        <v>0</v>
      </c>
      <c r="H108" s="4">
        <v>586</v>
      </c>
      <c r="I108" s="4">
        <v>0</v>
      </c>
      <c r="J108" s="4">
        <v>0</v>
      </c>
      <c r="K108" s="4">
        <f t="shared" si="6"/>
        <v>586</v>
      </c>
      <c r="L108" s="5">
        <f t="shared" si="7"/>
        <v>0</v>
      </c>
      <c r="M108" s="5">
        <f t="shared" si="8"/>
        <v>1177.8599999999999</v>
      </c>
    </row>
    <row r="109" spans="1:13" ht="43.2" x14ac:dyDescent="0.3">
      <c r="A109" s="2" t="s">
        <v>2803</v>
      </c>
      <c r="B109" s="2" t="s">
        <v>2803</v>
      </c>
      <c r="C109" s="4" t="s">
        <v>73</v>
      </c>
      <c r="D109" s="6" t="s">
        <v>45</v>
      </c>
      <c r="E109" s="5">
        <v>0.5</v>
      </c>
      <c r="F109" s="4">
        <v>109</v>
      </c>
      <c r="G109" s="4">
        <v>0</v>
      </c>
      <c r="H109" s="4">
        <v>544</v>
      </c>
      <c r="I109" s="4">
        <v>0</v>
      </c>
      <c r="J109" s="4">
        <v>0</v>
      </c>
      <c r="K109" s="4">
        <f t="shared" si="6"/>
        <v>544</v>
      </c>
      <c r="L109" s="5">
        <f t="shared" si="7"/>
        <v>0</v>
      </c>
      <c r="M109" s="5">
        <f t="shared" si="8"/>
        <v>272</v>
      </c>
    </row>
    <row r="110" spans="1:13" ht="28.8" x14ac:dyDescent="0.3">
      <c r="A110" s="2" t="s">
        <v>2793</v>
      </c>
      <c r="B110" s="2" t="s">
        <v>2794</v>
      </c>
      <c r="C110" s="4" t="s">
        <v>73</v>
      </c>
      <c r="D110" s="6" t="s">
        <v>45</v>
      </c>
      <c r="E110" s="5">
        <v>0.4</v>
      </c>
      <c r="F110" s="4">
        <v>144</v>
      </c>
      <c r="G110" s="4">
        <v>0</v>
      </c>
      <c r="H110" s="4">
        <v>504</v>
      </c>
      <c r="I110" s="4">
        <v>0</v>
      </c>
      <c r="J110" s="4">
        <v>0</v>
      </c>
      <c r="K110" s="4">
        <f t="shared" si="6"/>
        <v>504</v>
      </c>
      <c r="L110" s="5">
        <f t="shared" si="7"/>
        <v>0</v>
      </c>
      <c r="M110" s="5">
        <f t="shared" si="8"/>
        <v>201.60000000000002</v>
      </c>
    </row>
    <row r="111" spans="1:13" ht="43.2" x14ac:dyDescent="0.3">
      <c r="A111" s="2" t="s">
        <v>2832</v>
      </c>
      <c r="B111" s="2" t="s">
        <v>2833</v>
      </c>
      <c r="C111" s="4" t="s">
        <v>73</v>
      </c>
      <c r="D111" s="6" t="s">
        <v>45</v>
      </c>
      <c r="E111" s="5">
        <v>1.3</v>
      </c>
      <c r="F111" s="4">
        <v>144</v>
      </c>
      <c r="G111" s="4">
        <v>0</v>
      </c>
      <c r="H111" s="4">
        <v>504</v>
      </c>
      <c r="I111" s="4">
        <v>0</v>
      </c>
      <c r="J111" s="4">
        <v>0</v>
      </c>
      <c r="K111" s="4">
        <f t="shared" si="6"/>
        <v>504</v>
      </c>
      <c r="L111" s="5">
        <f t="shared" si="7"/>
        <v>0</v>
      </c>
      <c r="M111" s="5">
        <f t="shared" si="8"/>
        <v>655.20000000000005</v>
      </c>
    </row>
    <row r="112" spans="1:13" x14ac:dyDescent="0.3">
      <c r="A112" s="2" t="s">
        <v>1978</v>
      </c>
      <c r="B112" s="2" t="s">
        <v>1979</v>
      </c>
      <c r="C112" s="4" t="s">
        <v>73</v>
      </c>
      <c r="D112" s="6" t="s">
        <v>45</v>
      </c>
      <c r="E112" s="5">
        <v>0.4</v>
      </c>
      <c r="F112" s="4">
        <v>100</v>
      </c>
      <c r="G112" s="4">
        <v>0</v>
      </c>
      <c r="H112" s="4">
        <v>500</v>
      </c>
      <c r="I112" s="4">
        <v>0</v>
      </c>
      <c r="J112" s="4">
        <v>0</v>
      </c>
      <c r="K112" s="4">
        <f t="shared" si="6"/>
        <v>500</v>
      </c>
      <c r="L112" s="5">
        <f t="shared" si="7"/>
        <v>0</v>
      </c>
      <c r="M112" s="5">
        <f t="shared" si="8"/>
        <v>200</v>
      </c>
    </row>
    <row r="113" spans="1:13" x14ac:dyDescent="0.3">
      <c r="A113" s="2" t="s">
        <v>2033</v>
      </c>
      <c r="B113" s="2" t="s">
        <v>2034</v>
      </c>
      <c r="C113" s="4" t="s">
        <v>73</v>
      </c>
      <c r="D113" s="6" t="s">
        <v>45</v>
      </c>
      <c r="E113" s="5">
        <v>0.15</v>
      </c>
      <c r="F113" s="4">
        <v>100</v>
      </c>
      <c r="G113" s="4">
        <v>0</v>
      </c>
      <c r="H113" s="4">
        <v>500</v>
      </c>
      <c r="I113" s="4">
        <v>0</v>
      </c>
      <c r="J113" s="4">
        <v>0</v>
      </c>
      <c r="K113" s="4">
        <f t="shared" si="6"/>
        <v>500</v>
      </c>
      <c r="L113" s="5">
        <f t="shared" si="7"/>
        <v>0</v>
      </c>
      <c r="M113" s="5">
        <f t="shared" si="8"/>
        <v>75</v>
      </c>
    </row>
    <row r="114" spans="1:13" x14ac:dyDescent="0.3">
      <c r="A114" s="2" t="s">
        <v>2812</v>
      </c>
      <c r="B114" s="2" t="s">
        <v>2813</v>
      </c>
      <c r="C114" s="4" t="s">
        <v>73</v>
      </c>
      <c r="D114" s="6" t="s">
        <v>45</v>
      </c>
      <c r="E114" s="5">
        <v>1.1200000000000001</v>
      </c>
      <c r="F114" s="4">
        <v>100</v>
      </c>
      <c r="G114" s="4">
        <v>0</v>
      </c>
      <c r="H114" s="4">
        <v>500</v>
      </c>
      <c r="I114" s="4">
        <v>0</v>
      </c>
      <c r="J114" s="4">
        <v>0</v>
      </c>
      <c r="K114" s="4">
        <f t="shared" si="6"/>
        <v>500</v>
      </c>
      <c r="L114" s="5">
        <f t="shared" si="7"/>
        <v>0</v>
      </c>
      <c r="M114" s="5">
        <f t="shared" si="8"/>
        <v>560</v>
      </c>
    </row>
    <row r="115" spans="1:13" ht="28.8" x14ac:dyDescent="0.3">
      <c r="A115" s="2" t="s">
        <v>1981</v>
      </c>
      <c r="B115" s="2" t="s">
        <v>1981</v>
      </c>
      <c r="C115" s="4" t="s">
        <v>73</v>
      </c>
      <c r="D115" s="6" t="s">
        <v>45</v>
      </c>
      <c r="E115" s="5">
        <v>0.65</v>
      </c>
      <c r="F115" s="4">
        <v>90</v>
      </c>
      <c r="G115" s="4">
        <v>0</v>
      </c>
      <c r="H115" s="4">
        <v>452</v>
      </c>
      <c r="I115" s="4">
        <v>0</v>
      </c>
      <c r="J115" s="4">
        <v>0</v>
      </c>
      <c r="K115" s="4">
        <f t="shared" si="6"/>
        <v>452</v>
      </c>
      <c r="L115" s="5">
        <f t="shared" si="7"/>
        <v>0</v>
      </c>
      <c r="M115" s="5">
        <f t="shared" si="8"/>
        <v>293.8</v>
      </c>
    </row>
    <row r="116" spans="1:13" x14ac:dyDescent="0.3">
      <c r="A116" s="2" t="s">
        <v>2861</v>
      </c>
      <c r="B116" s="2" t="s">
        <v>2862</v>
      </c>
      <c r="C116" s="4" t="s">
        <v>73</v>
      </c>
      <c r="D116" s="6" t="s">
        <v>45</v>
      </c>
      <c r="E116" s="5">
        <v>0.15</v>
      </c>
      <c r="F116" s="4">
        <v>90</v>
      </c>
      <c r="G116" s="4">
        <v>0</v>
      </c>
      <c r="H116" s="4">
        <v>450</v>
      </c>
      <c r="I116" s="4">
        <v>0</v>
      </c>
      <c r="J116" s="4">
        <v>0</v>
      </c>
      <c r="K116" s="4">
        <f t="shared" si="6"/>
        <v>450</v>
      </c>
      <c r="L116" s="5">
        <f t="shared" si="7"/>
        <v>0</v>
      </c>
      <c r="M116" s="5">
        <f t="shared" si="8"/>
        <v>67.5</v>
      </c>
    </row>
    <row r="117" spans="1:13" x14ac:dyDescent="0.3">
      <c r="A117" s="2" t="s">
        <v>2934</v>
      </c>
      <c r="B117" s="2" t="s">
        <v>2935</v>
      </c>
      <c r="C117" s="4" t="s">
        <v>73</v>
      </c>
      <c r="D117" s="6" t="s">
        <v>45</v>
      </c>
      <c r="E117" s="5">
        <v>0</v>
      </c>
      <c r="F117" s="4">
        <v>89</v>
      </c>
      <c r="G117" s="4">
        <v>0</v>
      </c>
      <c r="H117" s="4">
        <v>446</v>
      </c>
      <c r="I117" s="4">
        <v>0</v>
      </c>
      <c r="J117" s="4">
        <v>0</v>
      </c>
      <c r="K117" s="4">
        <f t="shared" si="6"/>
        <v>446</v>
      </c>
      <c r="L117" s="5">
        <f t="shared" si="7"/>
        <v>0</v>
      </c>
      <c r="M117" s="5">
        <f t="shared" si="8"/>
        <v>0</v>
      </c>
    </row>
    <row r="118" spans="1:13" x14ac:dyDescent="0.3">
      <c r="A118" s="2" t="s">
        <v>2816</v>
      </c>
      <c r="B118" s="2" t="s">
        <v>2817</v>
      </c>
      <c r="C118" s="4" t="s">
        <v>73</v>
      </c>
      <c r="D118" s="6" t="s">
        <v>45</v>
      </c>
      <c r="E118" s="5">
        <v>4.92</v>
      </c>
      <c r="F118" s="4">
        <v>87</v>
      </c>
      <c r="G118" s="4">
        <v>0</v>
      </c>
      <c r="H118" s="4">
        <v>434</v>
      </c>
      <c r="I118" s="4">
        <v>0</v>
      </c>
      <c r="J118" s="4">
        <v>0</v>
      </c>
      <c r="K118" s="4">
        <f t="shared" si="6"/>
        <v>434</v>
      </c>
      <c r="L118" s="5">
        <f t="shared" si="7"/>
        <v>0</v>
      </c>
      <c r="M118" s="5">
        <f t="shared" si="8"/>
        <v>2135.2799999999997</v>
      </c>
    </row>
    <row r="119" spans="1:13" x14ac:dyDescent="0.3">
      <c r="A119" s="2" t="s">
        <v>1934</v>
      </c>
      <c r="B119" s="2" t="s">
        <v>1935</v>
      </c>
      <c r="C119" s="4" t="s">
        <v>73</v>
      </c>
      <c r="D119" s="6" t="s">
        <v>45</v>
      </c>
      <c r="E119" s="5">
        <v>0.12</v>
      </c>
      <c r="F119" s="4">
        <v>80</v>
      </c>
      <c r="G119" s="4">
        <v>0</v>
      </c>
      <c r="H119" s="4">
        <v>400</v>
      </c>
      <c r="I119" s="4">
        <v>0</v>
      </c>
      <c r="J119" s="4">
        <v>0</v>
      </c>
      <c r="K119" s="4">
        <f t="shared" si="6"/>
        <v>400</v>
      </c>
      <c r="L119" s="5">
        <f t="shared" si="7"/>
        <v>0</v>
      </c>
      <c r="M119" s="5">
        <f t="shared" si="8"/>
        <v>48</v>
      </c>
    </row>
    <row r="120" spans="1:13" x14ac:dyDescent="0.3">
      <c r="A120" s="2" t="s">
        <v>1964</v>
      </c>
      <c r="B120" s="2" t="s">
        <v>1965</v>
      </c>
      <c r="C120" s="4" t="s">
        <v>73</v>
      </c>
      <c r="D120" s="6" t="s">
        <v>45</v>
      </c>
      <c r="E120" s="5">
        <v>3</v>
      </c>
      <c r="F120" s="4">
        <v>80</v>
      </c>
      <c r="G120" s="4">
        <v>0</v>
      </c>
      <c r="H120" s="4">
        <v>400</v>
      </c>
      <c r="I120" s="4">
        <v>0</v>
      </c>
      <c r="J120" s="4">
        <v>0</v>
      </c>
      <c r="K120" s="4">
        <f t="shared" si="6"/>
        <v>400</v>
      </c>
      <c r="L120" s="5">
        <f t="shared" si="7"/>
        <v>0</v>
      </c>
      <c r="M120" s="5">
        <f t="shared" si="8"/>
        <v>1200</v>
      </c>
    </row>
    <row r="121" spans="1:13" x14ac:dyDescent="0.3">
      <c r="A121" s="2" t="s">
        <v>1982</v>
      </c>
      <c r="B121" s="2" t="s">
        <v>1983</v>
      </c>
      <c r="C121" s="4" t="s">
        <v>73</v>
      </c>
      <c r="D121" s="6" t="s">
        <v>45</v>
      </c>
      <c r="E121" s="5">
        <v>0.9</v>
      </c>
      <c r="F121" s="4">
        <v>80</v>
      </c>
      <c r="G121" s="4">
        <v>0</v>
      </c>
      <c r="H121" s="4">
        <v>400</v>
      </c>
      <c r="I121" s="4">
        <v>0</v>
      </c>
      <c r="J121" s="4">
        <v>0</v>
      </c>
      <c r="K121" s="4">
        <f t="shared" si="6"/>
        <v>400</v>
      </c>
      <c r="L121" s="5">
        <f t="shared" si="7"/>
        <v>0</v>
      </c>
      <c r="M121" s="5">
        <f t="shared" si="8"/>
        <v>360</v>
      </c>
    </row>
    <row r="122" spans="1:13" customFormat="1" hidden="1" x14ac:dyDescent="0.3">
      <c r="A122" t="s">
        <v>2016</v>
      </c>
      <c r="B122" t="s">
        <v>2017</v>
      </c>
      <c r="C122" t="s">
        <v>211</v>
      </c>
      <c r="D122" t="s">
        <v>45</v>
      </c>
      <c r="E122" s="1">
        <v>653</v>
      </c>
      <c r="F122">
        <v>2</v>
      </c>
      <c r="G122">
        <v>0</v>
      </c>
      <c r="H122">
        <v>8</v>
      </c>
      <c r="I122">
        <v>0</v>
      </c>
      <c r="J122">
        <v>0</v>
      </c>
      <c r="K122">
        <f t="shared" si="6"/>
        <v>8</v>
      </c>
      <c r="L122" s="1">
        <f t="shared" si="7"/>
        <v>0</v>
      </c>
      <c r="M122" s="1">
        <f t="shared" si="8"/>
        <v>5224</v>
      </c>
    </row>
    <row r="123" spans="1:13" customFormat="1" hidden="1" x14ac:dyDescent="0.3">
      <c r="A123" t="s">
        <v>2018</v>
      </c>
      <c r="B123" t="s">
        <v>2019</v>
      </c>
      <c r="C123" t="s">
        <v>1784</v>
      </c>
      <c r="D123" t="s">
        <v>45</v>
      </c>
      <c r="E123" s="1">
        <v>54.56</v>
      </c>
      <c r="F123">
        <v>1</v>
      </c>
      <c r="G123">
        <v>0</v>
      </c>
      <c r="H123">
        <v>5</v>
      </c>
      <c r="I123">
        <v>0</v>
      </c>
      <c r="J123">
        <v>0</v>
      </c>
      <c r="K123">
        <f t="shared" si="6"/>
        <v>5</v>
      </c>
      <c r="L123" s="1">
        <f t="shared" si="7"/>
        <v>0</v>
      </c>
      <c r="M123" s="1">
        <f t="shared" si="8"/>
        <v>272.8</v>
      </c>
    </row>
    <row r="124" spans="1:13" customFormat="1" hidden="1" x14ac:dyDescent="0.3">
      <c r="A124" t="s">
        <v>2020</v>
      </c>
      <c r="B124" t="s">
        <v>1942</v>
      </c>
      <c r="D124" t="s">
        <v>45</v>
      </c>
      <c r="E124" s="1">
        <v>0</v>
      </c>
      <c r="F124">
        <v>1</v>
      </c>
      <c r="G124">
        <v>0</v>
      </c>
      <c r="H124">
        <v>2</v>
      </c>
      <c r="I124">
        <v>0</v>
      </c>
      <c r="J124">
        <v>0</v>
      </c>
      <c r="K124">
        <f t="shared" si="6"/>
        <v>2</v>
      </c>
      <c r="L124" s="1">
        <f t="shared" si="7"/>
        <v>0</v>
      </c>
      <c r="M124" s="1">
        <f t="shared" si="8"/>
        <v>0</v>
      </c>
    </row>
    <row r="125" spans="1:13" customFormat="1" hidden="1" x14ac:dyDescent="0.3">
      <c r="A125" t="s">
        <v>2021</v>
      </c>
      <c r="B125" t="s">
        <v>2022</v>
      </c>
      <c r="C125" t="s">
        <v>273</v>
      </c>
      <c r="D125" t="s">
        <v>45</v>
      </c>
      <c r="E125" s="1">
        <v>818</v>
      </c>
      <c r="F125">
        <v>2</v>
      </c>
      <c r="G125">
        <v>0</v>
      </c>
      <c r="H125">
        <v>8</v>
      </c>
      <c r="I125">
        <v>0</v>
      </c>
      <c r="J125">
        <v>0</v>
      </c>
      <c r="K125">
        <f t="shared" si="6"/>
        <v>8</v>
      </c>
      <c r="L125" s="1">
        <f t="shared" si="7"/>
        <v>0</v>
      </c>
      <c r="M125" s="1">
        <f t="shared" si="8"/>
        <v>6544</v>
      </c>
    </row>
    <row r="126" spans="1:13" customFormat="1" hidden="1" x14ac:dyDescent="0.3">
      <c r="A126" t="s">
        <v>2023</v>
      </c>
      <c r="B126" t="s">
        <v>2024</v>
      </c>
      <c r="C126" t="s">
        <v>1801</v>
      </c>
      <c r="D126" t="s">
        <v>45</v>
      </c>
      <c r="E126" s="1">
        <v>159.27000000000001</v>
      </c>
      <c r="F126">
        <v>10</v>
      </c>
      <c r="G126">
        <v>0</v>
      </c>
      <c r="H126">
        <v>20</v>
      </c>
      <c r="I126">
        <v>0</v>
      </c>
      <c r="J126">
        <v>0</v>
      </c>
      <c r="K126">
        <f t="shared" si="6"/>
        <v>20</v>
      </c>
      <c r="L126" s="1">
        <f t="shared" si="7"/>
        <v>0</v>
      </c>
      <c r="M126" s="1">
        <f t="shared" si="8"/>
        <v>3185.4</v>
      </c>
    </row>
    <row r="127" spans="1:13" customFormat="1" hidden="1" x14ac:dyDescent="0.3">
      <c r="A127" t="s">
        <v>2025</v>
      </c>
      <c r="B127" t="s">
        <v>2026</v>
      </c>
      <c r="C127" t="s">
        <v>1801</v>
      </c>
      <c r="D127" t="s">
        <v>45</v>
      </c>
      <c r="E127" s="1">
        <v>154.81</v>
      </c>
      <c r="F127">
        <v>1</v>
      </c>
      <c r="G127">
        <v>0</v>
      </c>
      <c r="H127">
        <v>2</v>
      </c>
      <c r="I127">
        <v>0</v>
      </c>
      <c r="J127">
        <v>0</v>
      </c>
      <c r="K127">
        <f t="shared" si="6"/>
        <v>2</v>
      </c>
      <c r="L127" s="1">
        <f t="shared" si="7"/>
        <v>0</v>
      </c>
      <c r="M127" s="1">
        <f t="shared" si="8"/>
        <v>309.62</v>
      </c>
    </row>
    <row r="128" spans="1:13" customFormat="1" hidden="1" x14ac:dyDescent="0.3">
      <c r="A128" t="s">
        <v>2027</v>
      </c>
      <c r="B128" t="s">
        <v>2028</v>
      </c>
      <c r="C128" t="s">
        <v>1801</v>
      </c>
      <c r="D128" t="s">
        <v>45</v>
      </c>
      <c r="E128" s="1">
        <v>170.11</v>
      </c>
      <c r="F128">
        <v>1</v>
      </c>
      <c r="G128">
        <v>0</v>
      </c>
      <c r="H128">
        <v>5</v>
      </c>
      <c r="I128">
        <v>0</v>
      </c>
      <c r="J128">
        <v>0</v>
      </c>
      <c r="K128">
        <f t="shared" si="6"/>
        <v>5</v>
      </c>
      <c r="L128" s="1">
        <f t="shared" si="7"/>
        <v>0</v>
      </c>
      <c r="M128" s="1">
        <f t="shared" si="8"/>
        <v>850.55000000000007</v>
      </c>
    </row>
    <row r="129" spans="1:13" x14ac:dyDescent="0.3">
      <c r="A129" s="2" t="s">
        <v>2801</v>
      </c>
      <c r="B129" s="2" t="s">
        <v>2802</v>
      </c>
      <c r="C129" s="4" t="s">
        <v>73</v>
      </c>
      <c r="D129" s="6" t="s">
        <v>45</v>
      </c>
      <c r="E129" s="5">
        <v>2.25</v>
      </c>
      <c r="F129" s="4">
        <v>80</v>
      </c>
      <c r="G129" s="4">
        <v>0</v>
      </c>
      <c r="H129" s="4">
        <v>400</v>
      </c>
      <c r="I129" s="4">
        <v>0</v>
      </c>
      <c r="J129" s="4">
        <v>0</v>
      </c>
      <c r="K129" s="4">
        <f t="shared" si="6"/>
        <v>400</v>
      </c>
      <c r="L129" s="5">
        <f t="shared" si="7"/>
        <v>0</v>
      </c>
      <c r="M129" s="5">
        <f t="shared" si="8"/>
        <v>900</v>
      </c>
    </row>
    <row r="130" spans="1:13" x14ac:dyDescent="0.3">
      <c r="A130" s="2" t="s">
        <v>2038</v>
      </c>
      <c r="B130" s="2" t="s">
        <v>2038</v>
      </c>
      <c r="C130" s="4" t="s">
        <v>73</v>
      </c>
      <c r="D130" s="6" t="s">
        <v>45</v>
      </c>
      <c r="E130" s="5">
        <v>0.2</v>
      </c>
      <c r="F130" s="4">
        <v>80</v>
      </c>
      <c r="G130" s="4">
        <v>0</v>
      </c>
      <c r="H130" s="4">
        <v>400</v>
      </c>
      <c r="I130" s="4">
        <v>0</v>
      </c>
      <c r="J130" s="4">
        <v>0</v>
      </c>
      <c r="K130" s="4">
        <f t="shared" si="6"/>
        <v>400</v>
      </c>
      <c r="L130" s="5">
        <f t="shared" si="7"/>
        <v>0</v>
      </c>
      <c r="M130" s="5">
        <f t="shared" si="8"/>
        <v>80</v>
      </c>
    </row>
    <row r="131" spans="1:13" x14ac:dyDescent="0.3">
      <c r="A131" s="2" t="s">
        <v>2795</v>
      </c>
      <c r="B131" s="2" t="s">
        <v>2796</v>
      </c>
      <c r="C131" s="4" t="s">
        <v>73</v>
      </c>
      <c r="D131" s="6" t="s">
        <v>45</v>
      </c>
      <c r="E131" s="5">
        <v>1.1000000000000001</v>
      </c>
      <c r="F131" s="4">
        <v>87</v>
      </c>
      <c r="G131" s="4">
        <v>0</v>
      </c>
      <c r="H131" s="4">
        <v>377</v>
      </c>
      <c r="I131" s="4">
        <v>0</v>
      </c>
      <c r="J131" s="4">
        <v>0</v>
      </c>
      <c r="K131" s="4">
        <f t="shared" si="6"/>
        <v>377</v>
      </c>
      <c r="L131" s="5">
        <f t="shared" si="7"/>
        <v>0</v>
      </c>
      <c r="M131" s="5">
        <f t="shared" si="8"/>
        <v>414.70000000000005</v>
      </c>
    </row>
    <row r="132" spans="1:13" x14ac:dyDescent="0.3">
      <c r="A132" s="2" t="s">
        <v>2008</v>
      </c>
      <c r="B132" s="2" t="s">
        <v>2009</v>
      </c>
      <c r="C132" s="4" t="s">
        <v>73</v>
      </c>
      <c r="D132" s="6" t="s">
        <v>45</v>
      </c>
      <c r="E132" s="5">
        <v>1.8</v>
      </c>
      <c r="F132" s="4">
        <v>72</v>
      </c>
      <c r="G132" s="4">
        <v>0</v>
      </c>
      <c r="H132" s="4">
        <v>360</v>
      </c>
      <c r="I132" s="4">
        <v>0</v>
      </c>
      <c r="J132" s="4">
        <v>0</v>
      </c>
      <c r="K132" s="4">
        <f t="shared" si="6"/>
        <v>360</v>
      </c>
      <c r="L132" s="5">
        <f t="shared" si="7"/>
        <v>0</v>
      </c>
      <c r="M132" s="5">
        <f t="shared" si="8"/>
        <v>648</v>
      </c>
    </row>
    <row r="133" spans="1:13" x14ac:dyDescent="0.3">
      <c r="A133" s="2" t="s">
        <v>2822</v>
      </c>
      <c r="B133" s="2" t="s">
        <v>2823</v>
      </c>
      <c r="C133" s="4" t="s">
        <v>73</v>
      </c>
      <c r="D133" s="6" t="s">
        <v>45</v>
      </c>
      <c r="E133" s="5">
        <v>6.16</v>
      </c>
      <c r="F133" s="4">
        <v>72</v>
      </c>
      <c r="G133" s="4">
        <v>0</v>
      </c>
      <c r="H133" s="4">
        <v>358</v>
      </c>
      <c r="I133" s="4">
        <v>0</v>
      </c>
      <c r="J133" s="4">
        <v>0</v>
      </c>
      <c r="K133" s="4">
        <f t="shared" si="6"/>
        <v>358</v>
      </c>
      <c r="L133" s="5">
        <f t="shared" si="7"/>
        <v>0</v>
      </c>
      <c r="M133" s="5">
        <f t="shared" si="8"/>
        <v>2205.2800000000002</v>
      </c>
    </row>
    <row r="134" spans="1:13" customFormat="1" hidden="1" x14ac:dyDescent="0.3">
      <c r="A134" t="s">
        <v>2039</v>
      </c>
      <c r="B134" t="s">
        <v>2040</v>
      </c>
      <c r="C134" t="s">
        <v>1894</v>
      </c>
      <c r="D134" t="s">
        <v>45</v>
      </c>
      <c r="E134" s="1">
        <v>83.34</v>
      </c>
      <c r="F134">
        <v>2</v>
      </c>
      <c r="G134">
        <v>0</v>
      </c>
      <c r="H134">
        <v>10</v>
      </c>
      <c r="I134">
        <v>0</v>
      </c>
      <c r="J134">
        <v>0</v>
      </c>
      <c r="K134">
        <f t="shared" si="6"/>
        <v>10</v>
      </c>
      <c r="L134" s="1">
        <f t="shared" si="7"/>
        <v>0</v>
      </c>
      <c r="M134" s="1">
        <f t="shared" si="8"/>
        <v>833.40000000000009</v>
      </c>
    </row>
    <row r="135" spans="1:13" customFormat="1" hidden="1" x14ac:dyDescent="0.3">
      <c r="A135" t="s">
        <v>2041</v>
      </c>
      <c r="B135" t="s">
        <v>2042</v>
      </c>
      <c r="C135" t="s">
        <v>1894</v>
      </c>
      <c r="D135" t="s">
        <v>45</v>
      </c>
      <c r="E135" s="1">
        <v>86.31</v>
      </c>
      <c r="F135">
        <v>2</v>
      </c>
      <c r="G135">
        <v>0</v>
      </c>
      <c r="H135">
        <v>10</v>
      </c>
      <c r="I135">
        <v>0</v>
      </c>
      <c r="J135">
        <v>0</v>
      </c>
      <c r="K135">
        <f t="shared" si="6"/>
        <v>10</v>
      </c>
      <c r="L135" s="1">
        <f t="shared" si="7"/>
        <v>0</v>
      </c>
      <c r="M135" s="1">
        <f t="shared" si="8"/>
        <v>863.1</v>
      </c>
    </row>
    <row r="136" spans="1:13" x14ac:dyDescent="0.3">
      <c r="A136" s="2" t="s">
        <v>2846</v>
      </c>
      <c r="B136" s="2" t="s">
        <v>2847</v>
      </c>
      <c r="C136" s="4" t="s">
        <v>73</v>
      </c>
      <c r="D136" s="6" t="s">
        <v>45</v>
      </c>
      <c r="E136" s="5">
        <v>7.14</v>
      </c>
      <c r="F136" s="4">
        <v>70</v>
      </c>
      <c r="G136" s="4">
        <v>0</v>
      </c>
      <c r="H136" s="4">
        <v>350</v>
      </c>
      <c r="I136" s="4">
        <v>0</v>
      </c>
      <c r="J136" s="4">
        <v>0</v>
      </c>
      <c r="K136" s="4">
        <f t="shared" si="6"/>
        <v>350</v>
      </c>
      <c r="L136" s="5">
        <f t="shared" si="7"/>
        <v>0</v>
      </c>
      <c r="M136" s="5">
        <f t="shared" si="8"/>
        <v>2499</v>
      </c>
    </row>
    <row r="137" spans="1:13" customFormat="1" hidden="1" x14ac:dyDescent="0.3">
      <c r="A137" t="s">
        <v>2045</v>
      </c>
      <c r="B137" t="s">
        <v>2046</v>
      </c>
      <c r="C137" t="s">
        <v>1755</v>
      </c>
      <c r="D137" t="s">
        <v>45</v>
      </c>
      <c r="E137" s="1">
        <v>5</v>
      </c>
      <c r="F137">
        <v>112</v>
      </c>
      <c r="G137">
        <v>0</v>
      </c>
      <c r="H137">
        <v>432</v>
      </c>
      <c r="I137">
        <v>0</v>
      </c>
      <c r="J137">
        <v>0</v>
      </c>
      <c r="K137">
        <f t="shared" si="6"/>
        <v>432</v>
      </c>
      <c r="L137" s="1">
        <f t="shared" si="7"/>
        <v>0</v>
      </c>
      <c r="M137" s="1">
        <f t="shared" si="8"/>
        <v>2160</v>
      </c>
    </row>
    <row r="138" spans="1:13" customFormat="1" hidden="1" x14ac:dyDescent="0.3">
      <c r="A138" t="s">
        <v>2047</v>
      </c>
      <c r="B138" t="s">
        <v>2048</v>
      </c>
      <c r="C138" t="s">
        <v>91</v>
      </c>
      <c r="D138" t="s">
        <v>45</v>
      </c>
      <c r="E138" s="1">
        <v>1536.76</v>
      </c>
      <c r="F138">
        <v>2</v>
      </c>
      <c r="G138">
        <v>0</v>
      </c>
      <c r="H138">
        <v>8</v>
      </c>
      <c r="I138">
        <v>0</v>
      </c>
      <c r="J138">
        <v>0</v>
      </c>
      <c r="K138">
        <f t="shared" si="6"/>
        <v>8</v>
      </c>
      <c r="L138" s="1">
        <f t="shared" si="7"/>
        <v>0</v>
      </c>
      <c r="M138" s="1">
        <f t="shared" si="8"/>
        <v>12294.08</v>
      </c>
    </row>
    <row r="139" spans="1:13" customFormat="1" hidden="1" x14ac:dyDescent="0.3">
      <c r="A139" t="s">
        <v>2049</v>
      </c>
      <c r="B139" t="s">
        <v>2050</v>
      </c>
      <c r="D139" t="s">
        <v>45</v>
      </c>
      <c r="E139" s="1">
        <v>0</v>
      </c>
      <c r="F139">
        <v>1</v>
      </c>
      <c r="G139">
        <v>0</v>
      </c>
      <c r="H139">
        <v>2</v>
      </c>
      <c r="I139">
        <v>0</v>
      </c>
      <c r="J139">
        <v>0</v>
      </c>
      <c r="K139">
        <f t="shared" si="6"/>
        <v>2</v>
      </c>
      <c r="L139" s="1">
        <f t="shared" si="7"/>
        <v>0</v>
      </c>
      <c r="M139" s="1">
        <f t="shared" si="8"/>
        <v>0</v>
      </c>
    </row>
    <row r="140" spans="1:13" customFormat="1" hidden="1" x14ac:dyDescent="0.3">
      <c r="A140" t="s">
        <v>2051</v>
      </c>
      <c r="B140" t="s">
        <v>1942</v>
      </c>
      <c r="D140" t="s">
        <v>45</v>
      </c>
      <c r="E140" s="1">
        <v>0</v>
      </c>
      <c r="F140">
        <v>1</v>
      </c>
      <c r="G140">
        <v>0</v>
      </c>
      <c r="H140">
        <v>2</v>
      </c>
      <c r="I140">
        <v>0</v>
      </c>
      <c r="J140">
        <v>0</v>
      </c>
      <c r="K140">
        <f t="shared" si="6"/>
        <v>2</v>
      </c>
      <c r="L140" s="1">
        <f t="shared" si="7"/>
        <v>0</v>
      </c>
      <c r="M140" s="1">
        <f t="shared" si="8"/>
        <v>0</v>
      </c>
    </row>
    <row r="141" spans="1:13" customFormat="1" hidden="1" x14ac:dyDescent="0.3">
      <c r="A141" t="s">
        <v>2052</v>
      </c>
      <c r="B141" t="s">
        <v>2053</v>
      </c>
      <c r="C141" t="s">
        <v>2054</v>
      </c>
      <c r="D141" t="s">
        <v>45</v>
      </c>
      <c r="E141" s="1">
        <v>28.55</v>
      </c>
      <c r="F141">
        <v>10</v>
      </c>
      <c r="G141">
        <v>0</v>
      </c>
      <c r="H141">
        <v>48</v>
      </c>
      <c r="I141">
        <v>0</v>
      </c>
      <c r="J141">
        <v>0</v>
      </c>
      <c r="K141">
        <f t="shared" si="6"/>
        <v>48</v>
      </c>
      <c r="L141" s="1">
        <f t="shared" si="7"/>
        <v>0</v>
      </c>
      <c r="M141" s="1">
        <f t="shared" si="8"/>
        <v>1370.4</v>
      </c>
    </row>
    <row r="142" spans="1:13" customFormat="1" hidden="1" x14ac:dyDescent="0.3">
      <c r="A142" t="s">
        <v>2055</v>
      </c>
      <c r="B142" t="s">
        <v>2056</v>
      </c>
      <c r="C142" t="s">
        <v>300</v>
      </c>
      <c r="D142" t="s">
        <v>45</v>
      </c>
      <c r="E142" s="1">
        <v>3406</v>
      </c>
      <c r="F142">
        <v>6</v>
      </c>
      <c r="G142">
        <v>0</v>
      </c>
      <c r="H142">
        <v>18</v>
      </c>
      <c r="I142">
        <v>0</v>
      </c>
      <c r="J142">
        <v>0</v>
      </c>
      <c r="K142">
        <f t="shared" ref="K142:K205" si="9">IF(H142-I142-J142&gt;0,H142-I142-J142,0)</f>
        <v>18</v>
      </c>
      <c r="L142" s="1">
        <f t="shared" ref="L142:L205" si="10">IFERROR(I142*E142,0)</f>
        <v>0</v>
      </c>
      <c r="M142" s="1">
        <f t="shared" ref="M142:M205" si="11">IFERROR(K142*E142,0)</f>
        <v>61308</v>
      </c>
    </row>
    <row r="143" spans="1:13" customFormat="1" hidden="1" x14ac:dyDescent="0.3">
      <c r="A143" t="s">
        <v>2057</v>
      </c>
      <c r="B143" t="s">
        <v>1942</v>
      </c>
      <c r="D143" t="s">
        <v>45</v>
      </c>
      <c r="E143" s="1">
        <v>0</v>
      </c>
      <c r="F143">
        <v>1</v>
      </c>
      <c r="G143">
        <v>0</v>
      </c>
      <c r="H143">
        <v>4</v>
      </c>
      <c r="I143">
        <v>0</v>
      </c>
      <c r="J143">
        <v>0</v>
      </c>
      <c r="K143">
        <f t="shared" si="9"/>
        <v>4</v>
      </c>
      <c r="L143" s="1">
        <f t="shared" si="10"/>
        <v>0</v>
      </c>
      <c r="M143" s="1">
        <f t="shared" si="11"/>
        <v>0</v>
      </c>
    </row>
    <row r="144" spans="1:13" customFormat="1" hidden="1" x14ac:dyDescent="0.3">
      <c r="A144" t="s">
        <v>2058</v>
      </c>
      <c r="B144" t="s">
        <v>2059</v>
      </c>
      <c r="D144" t="s">
        <v>45</v>
      </c>
      <c r="E144" s="1">
        <v>0</v>
      </c>
      <c r="F144">
        <v>1</v>
      </c>
      <c r="G144">
        <v>0</v>
      </c>
      <c r="H144">
        <v>2</v>
      </c>
      <c r="I144">
        <v>0</v>
      </c>
      <c r="J144">
        <v>0</v>
      </c>
      <c r="K144">
        <f t="shared" si="9"/>
        <v>2</v>
      </c>
      <c r="L144" s="1">
        <f t="shared" si="10"/>
        <v>0</v>
      </c>
      <c r="M144" s="1">
        <f t="shared" si="11"/>
        <v>0</v>
      </c>
    </row>
    <row r="145" spans="1:13" customFormat="1" hidden="1" x14ac:dyDescent="0.3">
      <c r="A145" t="s">
        <v>2060</v>
      </c>
      <c r="B145" t="s">
        <v>2061</v>
      </c>
      <c r="C145" t="s">
        <v>1755</v>
      </c>
      <c r="D145" t="s">
        <v>45</v>
      </c>
      <c r="E145" s="1">
        <v>0</v>
      </c>
      <c r="F145">
        <v>2</v>
      </c>
      <c r="G145">
        <v>0</v>
      </c>
      <c r="H145">
        <v>10</v>
      </c>
      <c r="I145">
        <v>0</v>
      </c>
      <c r="J145">
        <v>0</v>
      </c>
      <c r="K145">
        <f t="shared" si="9"/>
        <v>10</v>
      </c>
      <c r="L145" s="1">
        <f t="shared" si="10"/>
        <v>0</v>
      </c>
      <c r="M145" s="1">
        <f t="shared" si="11"/>
        <v>0</v>
      </c>
    </row>
    <row r="146" spans="1:13" customFormat="1" hidden="1" x14ac:dyDescent="0.3">
      <c r="A146" t="s">
        <v>2062</v>
      </c>
      <c r="B146" t="s">
        <v>2063</v>
      </c>
      <c r="C146" t="s">
        <v>1755</v>
      </c>
      <c r="D146" t="s">
        <v>45</v>
      </c>
      <c r="E146" s="1">
        <v>0</v>
      </c>
      <c r="F146">
        <v>1</v>
      </c>
      <c r="G146">
        <v>0</v>
      </c>
      <c r="H146">
        <v>5</v>
      </c>
      <c r="I146">
        <v>0</v>
      </c>
      <c r="J146">
        <v>0</v>
      </c>
      <c r="K146">
        <f t="shared" si="9"/>
        <v>5</v>
      </c>
      <c r="L146" s="1">
        <f t="shared" si="10"/>
        <v>0</v>
      </c>
      <c r="M146" s="1">
        <f t="shared" si="11"/>
        <v>0</v>
      </c>
    </row>
    <row r="147" spans="1:13" customFormat="1" hidden="1" x14ac:dyDescent="0.3">
      <c r="A147" t="s">
        <v>2064</v>
      </c>
      <c r="B147" t="s">
        <v>2065</v>
      </c>
      <c r="C147" t="s">
        <v>1755</v>
      </c>
      <c r="D147" t="s">
        <v>45</v>
      </c>
      <c r="E147" s="1">
        <v>0</v>
      </c>
      <c r="F147">
        <v>2</v>
      </c>
      <c r="G147">
        <v>0</v>
      </c>
      <c r="H147">
        <v>10</v>
      </c>
      <c r="I147">
        <v>0</v>
      </c>
      <c r="J147">
        <v>0</v>
      </c>
      <c r="K147">
        <f t="shared" si="9"/>
        <v>10</v>
      </c>
      <c r="L147" s="1">
        <f t="shared" si="10"/>
        <v>0</v>
      </c>
      <c r="M147" s="1">
        <f t="shared" si="11"/>
        <v>0</v>
      </c>
    </row>
    <row r="148" spans="1:13" customFormat="1" hidden="1" x14ac:dyDescent="0.3">
      <c r="A148" t="s">
        <v>2066</v>
      </c>
      <c r="B148" t="s">
        <v>2067</v>
      </c>
      <c r="C148" t="s">
        <v>1742</v>
      </c>
      <c r="D148" t="s">
        <v>45</v>
      </c>
      <c r="E148" s="1">
        <v>4071</v>
      </c>
      <c r="F148">
        <v>2</v>
      </c>
      <c r="G148">
        <v>0</v>
      </c>
      <c r="H148">
        <v>4</v>
      </c>
      <c r="I148">
        <v>0</v>
      </c>
      <c r="J148">
        <v>0</v>
      </c>
      <c r="K148">
        <f t="shared" si="9"/>
        <v>4</v>
      </c>
      <c r="L148" s="1">
        <f t="shared" si="10"/>
        <v>0</v>
      </c>
      <c r="M148" s="1">
        <f t="shared" si="11"/>
        <v>16284</v>
      </c>
    </row>
    <row r="149" spans="1:13" customFormat="1" hidden="1" x14ac:dyDescent="0.3">
      <c r="A149" t="s">
        <v>2068</v>
      </c>
      <c r="B149" t="s">
        <v>2069</v>
      </c>
      <c r="C149" t="s">
        <v>118</v>
      </c>
      <c r="D149" t="s">
        <v>45</v>
      </c>
      <c r="E149" s="1">
        <v>15</v>
      </c>
      <c r="F149">
        <v>10</v>
      </c>
      <c r="G149">
        <v>0</v>
      </c>
      <c r="H149">
        <v>50</v>
      </c>
      <c r="I149">
        <v>0</v>
      </c>
      <c r="J149">
        <v>0</v>
      </c>
      <c r="K149">
        <f t="shared" si="9"/>
        <v>50</v>
      </c>
      <c r="L149" s="1">
        <f t="shared" si="10"/>
        <v>0</v>
      </c>
      <c r="M149" s="1">
        <f t="shared" si="11"/>
        <v>750</v>
      </c>
    </row>
    <row r="150" spans="1:13" customFormat="1" hidden="1" x14ac:dyDescent="0.3">
      <c r="A150" t="s">
        <v>2070</v>
      </c>
      <c r="B150" t="s">
        <v>2071</v>
      </c>
      <c r="C150" t="s">
        <v>118</v>
      </c>
      <c r="D150" t="s">
        <v>45</v>
      </c>
      <c r="E150" s="1">
        <v>29.65</v>
      </c>
      <c r="F150">
        <v>10</v>
      </c>
      <c r="G150">
        <v>0</v>
      </c>
      <c r="H150">
        <v>50</v>
      </c>
      <c r="I150">
        <v>0</v>
      </c>
      <c r="J150">
        <v>0</v>
      </c>
      <c r="K150">
        <f t="shared" si="9"/>
        <v>50</v>
      </c>
      <c r="L150" s="1">
        <f t="shared" si="10"/>
        <v>0</v>
      </c>
      <c r="M150" s="1">
        <f t="shared" si="11"/>
        <v>1482.5</v>
      </c>
    </row>
    <row r="151" spans="1:13" customFormat="1" hidden="1" x14ac:dyDescent="0.3">
      <c r="A151" t="s">
        <v>2072</v>
      </c>
      <c r="B151" t="s">
        <v>2073</v>
      </c>
      <c r="C151" t="s">
        <v>118</v>
      </c>
      <c r="D151" t="s">
        <v>45</v>
      </c>
      <c r="E151" s="1">
        <v>95</v>
      </c>
      <c r="F151">
        <v>2</v>
      </c>
      <c r="G151">
        <v>0</v>
      </c>
      <c r="H151">
        <v>10</v>
      </c>
      <c r="I151">
        <v>0</v>
      </c>
      <c r="J151">
        <v>0</v>
      </c>
      <c r="K151">
        <f t="shared" si="9"/>
        <v>10</v>
      </c>
      <c r="L151" s="1">
        <f t="shared" si="10"/>
        <v>0</v>
      </c>
      <c r="M151" s="1">
        <f t="shared" si="11"/>
        <v>950</v>
      </c>
    </row>
    <row r="152" spans="1:13" customFormat="1" hidden="1" x14ac:dyDescent="0.3">
      <c r="A152" t="s">
        <v>2074</v>
      </c>
      <c r="B152" t="s">
        <v>2075</v>
      </c>
      <c r="C152" t="s">
        <v>118</v>
      </c>
      <c r="D152" t="s">
        <v>45</v>
      </c>
      <c r="E152" s="1">
        <v>13.67</v>
      </c>
      <c r="F152">
        <v>10</v>
      </c>
      <c r="G152">
        <v>0</v>
      </c>
      <c r="H152">
        <v>50</v>
      </c>
      <c r="I152">
        <v>0</v>
      </c>
      <c r="J152">
        <v>0</v>
      </c>
      <c r="K152">
        <f t="shared" si="9"/>
        <v>50</v>
      </c>
      <c r="L152" s="1">
        <f t="shared" si="10"/>
        <v>0</v>
      </c>
      <c r="M152" s="1">
        <f t="shared" si="11"/>
        <v>683.5</v>
      </c>
    </row>
    <row r="153" spans="1:13" customFormat="1" hidden="1" x14ac:dyDescent="0.3">
      <c r="A153" t="s">
        <v>2076</v>
      </c>
      <c r="B153" t="s">
        <v>2077</v>
      </c>
      <c r="C153" t="s">
        <v>1755</v>
      </c>
      <c r="D153" t="s">
        <v>45</v>
      </c>
      <c r="E153" s="1">
        <v>26.34</v>
      </c>
      <c r="F153">
        <v>8</v>
      </c>
      <c r="G153">
        <v>0</v>
      </c>
      <c r="H153">
        <v>40</v>
      </c>
      <c r="I153">
        <v>0</v>
      </c>
      <c r="J153">
        <v>0</v>
      </c>
      <c r="K153">
        <f t="shared" si="9"/>
        <v>40</v>
      </c>
      <c r="L153" s="1">
        <f t="shared" si="10"/>
        <v>0</v>
      </c>
      <c r="M153" s="1">
        <f t="shared" si="11"/>
        <v>1053.5999999999999</v>
      </c>
    </row>
    <row r="154" spans="1:13" customFormat="1" hidden="1" x14ac:dyDescent="0.3">
      <c r="A154" t="s">
        <v>2078</v>
      </c>
      <c r="B154" t="s">
        <v>2079</v>
      </c>
      <c r="C154" t="s">
        <v>70</v>
      </c>
      <c r="D154" t="s">
        <v>45</v>
      </c>
      <c r="E154" s="1">
        <v>291.5</v>
      </c>
      <c r="F154">
        <v>1</v>
      </c>
      <c r="G154">
        <v>0</v>
      </c>
      <c r="H154">
        <v>2</v>
      </c>
      <c r="I154">
        <v>0</v>
      </c>
      <c r="J154">
        <v>0</v>
      </c>
      <c r="K154">
        <f t="shared" si="9"/>
        <v>2</v>
      </c>
      <c r="L154" s="1">
        <f t="shared" si="10"/>
        <v>0</v>
      </c>
      <c r="M154" s="1">
        <f t="shared" si="11"/>
        <v>583</v>
      </c>
    </row>
    <row r="155" spans="1:13" customFormat="1" hidden="1" x14ac:dyDescent="0.3">
      <c r="A155" t="s">
        <v>2080</v>
      </c>
      <c r="B155" t="s">
        <v>2050</v>
      </c>
      <c r="D155" t="s">
        <v>45</v>
      </c>
      <c r="E155" s="1">
        <v>0</v>
      </c>
      <c r="F155">
        <v>1</v>
      </c>
      <c r="G155">
        <v>0</v>
      </c>
      <c r="H155">
        <v>5</v>
      </c>
      <c r="I155">
        <v>0</v>
      </c>
      <c r="J155">
        <v>0</v>
      </c>
      <c r="K155">
        <f t="shared" si="9"/>
        <v>5</v>
      </c>
      <c r="L155" s="1">
        <f t="shared" si="10"/>
        <v>0</v>
      </c>
      <c r="M155" s="1">
        <f t="shared" si="11"/>
        <v>0</v>
      </c>
    </row>
    <row r="156" spans="1:13" customFormat="1" hidden="1" x14ac:dyDescent="0.3">
      <c r="A156" t="s">
        <v>2081</v>
      </c>
      <c r="B156" t="s">
        <v>1690</v>
      </c>
      <c r="C156" t="s">
        <v>1546</v>
      </c>
      <c r="D156" t="s">
        <v>45</v>
      </c>
      <c r="E156" s="1">
        <v>7245.65</v>
      </c>
      <c r="F156">
        <v>1</v>
      </c>
      <c r="G156">
        <v>0</v>
      </c>
      <c r="H156">
        <v>3</v>
      </c>
      <c r="I156">
        <v>0</v>
      </c>
      <c r="J156">
        <v>0</v>
      </c>
      <c r="K156">
        <f t="shared" si="9"/>
        <v>3</v>
      </c>
      <c r="L156" s="1">
        <f t="shared" si="10"/>
        <v>0</v>
      </c>
      <c r="M156" s="1">
        <f t="shared" si="11"/>
        <v>21736.949999999997</v>
      </c>
    </row>
    <row r="157" spans="1:13" customFormat="1" hidden="1" x14ac:dyDescent="0.3">
      <c r="A157" t="s">
        <v>2082</v>
      </c>
      <c r="B157" t="s">
        <v>1694</v>
      </c>
      <c r="C157" t="s">
        <v>1546</v>
      </c>
      <c r="D157" t="s">
        <v>45</v>
      </c>
      <c r="E157" s="1">
        <v>7797.41</v>
      </c>
      <c r="F157">
        <v>1</v>
      </c>
      <c r="G157">
        <v>0</v>
      </c>
      <c r="H157">
        <v>3</v>
      </c>
      <c r="I157">
        <v>0</v>
      </c>
      <c r="J157">
        <v>0</v>
      </c>
      <c r="K157">
        <f t="shared" si="9"/>
        <v>3</v>
      </c>
      <c r="L157" s="1">
        <f t="shared" si="10"/>
        <v>0</v>
      </c>
      <c r="M157" s="1">
        <f t="shared" si="11"/>
        <v>23392.23</v>
      </c>
    </row>
    <row r="158" spans="1:13" customFormat="1" hidden="1" x14ac:dyDescent="0.3">
      <c r="A158" t="s">
        <v>2083</v>
      </c>
      <c r="B158" t="s">
        <v>1704</v>
      </c>
      <c r="C158" t="s">
        <v>1546</v>
      </c>
      <c r="D158" t="s">
        <v>45</v>
      </c>
      <c r="E158" s="1">
        <v>7098.6</v>
      </c>
      <c r="F158">
        <v>3</v>
      </c>
      <c r="G158">
        <v>0</v>
      </c>
      <c r="H158">
        <v>7</v>
      </c>
      <c r="I158">
        <v>0</v>
      </c>
      <c r="J158">
        <v>0</v>
      </c>
      <c r="K158">
        <f t="shared" si="9"/>
        <v>7</v>
      </c>
      <c r="L158" s="1">
        <f t="shared" si="10"/>
        <v>0</v>
      </c>
      <c r="M158" s="1">
        <f t="shared" si="11"/>
        <v>49690.200000000004</v>
      </c>
    </row>
    <row r="159" spans="1:13" customFormat="1" hidden="1" x14ac:dyDescent="0.3">
      <c r="A159" t="s">
        <v>2084</v>
      </c>
      <c r="B159" t="s">
        <v>2085</v>
      </c>
      <c r="C159" t="s">
        <v>1546</v>
      </c>
      <c r="D159" t="s">
        <v>45</v>
      </c>
      <c r="E159" s="1">
        <v>4363.4799999999996</v>
      </c>
      <c r="F159">
        <v>1</v>
      </c>
      <c r="G159">
        <v>0</v>
      </c>
      <c r="H159">
        <v>3</v>
      </c>
      <c r="I159">
        <v>0</v>
      </c>
      <c r="J159">
        <v>0</v>
      </c>
      <c r="K159">
        <f t="shared" si="9"/>
        <v>3</v>
      </c>
      <c r="L159" s="1">
        <f t="shared" si="10"/>
        <v>0</v>
      </c>
      <c r="M159" s="1">
        <f t="shared" si="11"/>
        <v>13090.439999999999</v>
      </c>
    </row>
    <row r="160" spans="1:13" customFormat="1" hidden="1" x14ac:dyDescent="0.3">
      <c r="A160" t="s">
        <v>2086</v>
      </c>
      <c r="B160" t="s">
        <v>2087</v>
      </c>
      <c r="C160" t="s">
        <v>300</v>
      </c>
      <c r="D160" t="s">
        <v>45</v>
      </c>
      <c r="E160" s="1">
        <v>39</v>
      </c>
      <c r="F160">
        <v>40</v>
      </c>
      <c r="G160">
        <v>0</v>
      </c>
      <c r="H160">
        <v>140</v>
      </c>
      <c r="I160">
        <v>0</v>
      </c>
      <c r="J160">
        <v>0</v>
      </c>
      <c r="K160">
        <f t="shared" si="9"/>
        <v>140</v>
      </c>
      <c r="L160" s="1">
        <f t="shared" si="10"/>
        <v>0</v>
      </c>
      <c r="M160" s="1">
        <f t="shared" si="11"/>
        <v>5460</v>
      </c>
    </row>
    <row r="161" spans="1:13" customFormat="1" hidden="1" x14ac:dyDescent="0.3">
      <c r="A161" t="s">
        <v>2088</v>
      </c>
      <c r="B161" t="s">
        <v>2089</v>
      </c>
      <c r="C161" t="s">
        <v>2090</v>
      </c>
      <c r="D161" t="s">
        <v>45</v>
      </c>
      <c r="E161" s="1">
        <v>3845.58</v>
      </c>
      <c r="F161">
        <v>1</v>
      </c>
      <c r="G161">
        <v>0</v>
      </c>
      <c r="H161">
        <v>2</v>
      </c>
      <c r="I161">
        <v>0</v>
      </c>
      <c r="J161">
        <v>0</v>
      </c>
      <c r="K161">
        <f t="shared" si="9"/>
        <v>2</v>
      </c>
      <c r="L161" s="1">
        <f t="shared" si="10"/>
        <v>0</v>
      </c>
      <c r="M161" s="1">
        <f t="shared" si="11"/>
        <v>7691.16</v>
      </c>
    </row>
    <row r="162" spans="1:13" customFormat="1" hidden="1" x14ac:dyDescent="0.3">
      <c r="A162" t="s">
        <v>2091</v>
      </c>
      <c r="B162" t="s">
        <v>2092</v>
      </c>
      <c r="C162" t="s">
        <v>1784</v>
      </c>
      <c r="D162" t="s">
        <v>45</v>
      </c>
      <c r="E162" s="1">
        <v>196.3</v>
      </c>
      <c r="F162">
        <v>1</v>
      </c>
      <c r="G162">
        <v>0</v>
      </c>
      <c r="H162">
        <v>2</v>
      </c>
      <c r="I162">
        <v>0</v>
      </c>
      <c r="J162">
        <v>0</v>
      </c>
      <c r="K162">
        <f t="shared" si="9"/>
        <v>2</v>
      </c>
      <c r="L162" s="1">
        <f t="shared" si="10"/>
        <v>0</v>
      </c>
      <c r="M162" s="1">
        <f t="shared" si="11"/>
        <v>392.6</v>
      </c>
    </row>
    <row r="163" spans="1:13" customFormat="1" hidden="1" x14ac:dyDescent="0.3">
      <c r="A163" t="s">
        <v>2093</v>
      </c>
      <c r="B163" t="s">
        <v>2094</v>
      </c>
      <c r="C163" t="s">
        <v>1344</v>
      </c>
      <c r="D163" t="s">
        <v>45</v>
      </c>
      <c r="E163" s="1">
        <v>453.03</v>
      </c>
      <c r="F163">
        <v>2</v>
      </c>
      <c r="G163">
        <v>0</v>
      </c>
      <c r="H163">
        <v>4</v>
      </c>
      <c r="I163">
        <v>0</v>
      </c>
      <c r="J163">
        <v>0</v>
      </c>
      <c r="K163">
        <f t="shared" si="9"/>
        <v>4</v>
      </c>
      <c r="L163" s="1">
        <f t="shared" si="10"/>
        <v>0</v>
      </c>
      <c r="M163" s="1">
        <f t="shared" si="11"/>
        <v>1812.12</v>
      </c>
    </row>
    <row r="164" spans="1:13" ht="57.6" x14ac:dyDescent="0.3">
      <c r="A164" s="2" t="s">
        <v>2872</v>
      </c>
      <c r="B164" s="2" t="s">
        <v>2872</v>
      </c>
      <c r="C164" s="4" t="s">
        <v>73</v>
      </c>
      <c r="D164" s="6" t="s">
        <v>45</v>
      </c>
      <c r="E164" s="5">
        <v>0.12</v>
      </c>
      <c r="F164" s="4">
        <v>68</v>
      </c>
      <c r="G164" s="4">
        <v>0</v>
      </c>
      <c r="H164" s="4">
        <v>339</v>
      </c>
      <c r="I164" s="4">
        <v>0</v>
      </c>
      <c r="J164" s="4">
        <v>0</v>
      </c>
      <c r="K164" s="4">
        <f t="shared" si="9"/>
        <v>339</v>
      </c>
      <c r="L164" s="5">
        <f t="shared" si="10"/>
        <v>0</v>
      </c>
      <c r="M164" s="5">
        <f t="shared" si="11"/>
        <v>40.68</v>
      </c>
    </row>
    <row r="165" spans="1:13" customFormat="1" hidden="1" x14ac:dyDescent="0.3">
      <c r="A165" t="s">
        <v>2096</v>
      </c>
      <c r="B165" t="s">
        <v>2097</v>
      </c>
      <c r="C165" t="s">
        <v>1755</v>
      </c>
      <c r="D165" t="s">
        <v>45</v>
      </c>
      <c r="E165" s="1">
        <v>2796.67</v>
      </c>
      <c r="F165">
        <v>1</v>
      </c>
      <c r="G165">
        <v>0</v>
      </c>
      <c r="H165">
        <v>2</v>
      </c>
      <c r="I165">
        <v>0</v>
      </c>
      <c r="J165">
        <v>0</v>
      </c>
      <c r="K165">
        <f t="shared" si="9"/>
        <v>2</v>
      </c>
      <c r="L165" s="1">
        <f t="shared" si="10"/>
        <v>0</v>
      </c>
      <c r="M165" s="1">
        <f t="shared" si="11"/>
        <v>5593.34</v>
      </c>
    </row>
    <row r="166" spans="1:13" customFormat="1" hidden="1" x14ac:dyDescent="0.3">
      <c r="A166" t="s">
        <v>2098</v>
      </c>
      <c r="B166" t="s">
        <v>2099</v>
      </c>
      <c r="C166" t="s">
        <v>1742</v>
      </c>
      <c r="D166" t="s">
        <v>45</v>
      </c>
      <c r="E166" s="1">
        <v>4393.13</v>
      </c>
      <c r="F166">
        <v>2</v>
      </c>
      <c r="G166">
        <v>0</v>
      </c>
      <c r="H166">
        <v>8</v>
      </c>
      <c r="I166">
        <v>0</v>
      </c>
      <c r="J166">
        <v>0</v>
      </c>
      <c r="K166">
        <f t="shared" si="9"/>
        <v>8</v>
      </c>
      <c r="L166" s="1">
        <f t="shared" si="10"/>
        <v>0</v>
      </c>
      <c r="M166" s="1">
        <f t="shared" si="11"/>
        <v>35145.040000000001</v>
      </c>
    </row>
    <row r="167" spans="1:13" customFormat="1" hidden="1" x14ac:dyDescent="0.3">
      <c r="A167" t="s">
        <v>2100</v>
      </c>
      <c r="B167" t="s">
        <v>2101</v>
      </c>
      <c r="C167" t="s">
        <v>1807</v>
      </c>
      <c r="D167" t="s">
        <v>45</v>
      </c>
      <c r="E167" s="1">
        <v>281</v>
      </c>
      <c r="F167">
        <v>4</v>
      </c>
      <c r="G167">
        <v>0</v>
      </c>
      <c r="H167">
        <v>20</v>
      </c>
      <c r="I167">
        <v>0</v>
      </c>
      <c r="J167">
        <v>0</v>
      </c>
      <c r="K167">
        <f t="shared" si="9"/>
        <v>20</v>
      </c>
      <c r="L167" s="1">
        <f t="shared" si="10"/>
        <v>0</v>
      </c>
      <c r="M167" s="1">
        <f t="shared" si="11"/>
        <v>5620</v>
      </c>
    </row>
    <row r="168" spans="1:13" customFormat="1" hidden="1" x14ac:dyDescent="0.3">
      <c r="A168" t="s">
        <v>2102</v>
      </c>
      <c r="B168" t="s">
        <v>2103</v>
      </c>
      <c r="C168" t="s">
        <v>472</v>
      </c>
      <c r="D168" t="s">
        <v>45</v>
      </c>
      <c r="E168" s="1">
        <v>1630</v>
      </c>
      <c r="F168">
        <v>5</v>
      </c>
      <c r="G168">
        <v>0</v>
      </c>
      <c r="H168">
        <v>11</v>
      </c>
      <c r="I168">
        <v>0</v>
      </c>
      <c r="J168">
        <v>0</v>
      </c>
      <c r="K168">
        <f t="shared" si="9"/>
        <v>11</v>
      </c>
      <c r="L168" s="1">
        <f t="shared" si="10"/>
        <v>0</v>
      </c>
      <c r="M168" s="1">
        <f t="shared" si="11"/>
        <v>17930</v>
      </c>
    </row>
    <row r="169" spans="1:13" customFormat="1" hidden="1" x14ac:dyDescent="0.3">
      <c r="A169" t="s">
        <v>2104</v>
      </c>
      <c r="B169" t="s">
        <v>2105</v>
      </c>
      <c r="C169" t="s">
        <v>1755</v>
      </c>
      <c r="D169" t="s">
        <v>45</v>
      </c>
      <c r="E169" s="1">
        <v>24.7</v>
      </c>
      <c r="F169">
        <v>6</v>
      </c>
      <c r="G169">
        <v>0</v>
      </c>
      <c r="H169">
        <v>31</v>
      </c>
      <c r="I169">
        <v>0</v>
      </c>
      <c r="J169">
        <v>0</v>
      </c>
      <c r="K169">
        <f t="shared" si="9"/>
        <v>31</v>
      </c>
      <c r="L169" s="1">
        <f t="shared" si="10"/>
        <v>0</v>
      </c>
      <c r="M169" s="1">
        <f t="shared" si="11"/>
        <v>765.69999999999993</v>
      </c>
    </row>
    <row r="170" spans="1:13" customFormat="1" hidden="1" x14ac:dyDescent="0.3">
      <c r="A170" t="s">
        <v>2106</v>
      </c>
      <c r="B170" t="s">
        <v>2107</v>
      </c>
      <c r="C170" t="s">
        <v>1807</v>
      </c>
      <c r="D170" t="s">
        <v>45</v>
      </c>
      <c r="E170" s="1">
        <v>309</v>
      </c>
      <c r="F170">
        <v>2</v>
      </c>
      <c r="G170">
        <v>0</v>
      </c>
      <c r="H170">
        <v>8</v>
      </c>
      <c r="I170">
        <v>0</v>
      </c>
      <c r="J170">
        <v>0</v>
      </c>
      <c r="K170">
        <f t="shared" si="9"/>
        <v>8</v>
      </c>
      <c r="L170" s="1">
        <f t="shared" si="10"/>
        <v>0</v>
      </c>
      <c r="M170" s="1">
        <f t="shared" si="11"/>
        <v>2472</v>
      </c>
    </row>
    <row r="171" spans="1:13" customFormat="1" hidden="1" x14ac:dyDescent="0.3">
      <c r="A171" t="s">
        <v>2108</v>
      </c>
      <c r="B171" t="s">
        <v>2109</v>
      </c>
      <c r="C171" t="s">
        <v>2110</v>
      </c>
      <c r="D171" t="s">
        <v>45</v>
      </c>
      <c r="E171" s="1">
        <v>0</v>
      </c>
      <c r="F171">
        <v>24</v>
      </c>
      <c r="G171">
        <v>0</v>
      </c>
      <c r="H171">
        <v>120</v>
      </c>
      <c r="I171">
        <v>0</v>
      </c>
      <c r="J171">
        <v>0</v>
      </c>
      <c r="K171">
        <f t="shared" si="9"/>
        <v>120</v>
      </c>
      <c r="L171" s="1">
        <f t="shared" si="10"/>
        <v>0</v>
      </c>
      <c r="M171" s="1">
        <f t="shared" si="11"/>
        <v>0</v>
      </c>
    </row>
    <row r="172" spans="1:13" customFormat="1" hidden="1" x14ac:dyDescent="0.3">
      <c r="A172" t="s">
        <v>2111</v>
      </c>
      <c r="B172" t="s">
        <v>2112</v>
      </c>
      <c r="C172" t="s">
        <v>1784</v>
      </c>
      <c r="D172" t="s">
        <v>45</v>
      </c>
      <c r="E172" s="1">
        <v>124.88</v>
      </c>
      <c r="F172">
        <v>2</v>
      </c>
      <c r="G172">
        <v>0</v>
      </c>
      <c r="H172">
        <v>10</v>
      </c>
      <c r="I172">
        <v>0</v>
      </c>
      <c r="J172">
        <v>0</v>
      </c>
      <c r="K172">
        <f t="shared" si="9"/>
        <v>10</v>
      </c>
      <c r="L172" s="1">
        <f t="shared" si="10"/>
        <v>0</v>
      </c>
      <c r="M172" s="1">
        <f t="shared" si="11"/>
        <v>1248.8</v>
      </c>
    </row>
    <row r="173" spans="1:13" customFormat="1" hidden="1" x14ac:dyDescent="0.3">
      <c r="A173" t="s">
        <v>2113</v>
      </c>
      <c r="B173" t="s">
        <v>2114</v>
      </c>
      <c r="C173" t="s">
        <v>113</v>
      </c>
      <c r="D173" t="s">
        <v>45</v>
      </c>
      <c r="E173" s="1">
        <v>0</v>
      </c>
      <c r="F173">
        <v>6</v>
      </c>
      <c r="G173">
        <v>0</v>
      </c>
      <c r="H173">
        <v>30</v>
      </c>
      <c r="I173">
        <v>0</v>
      </c>
      <c r="J173">
        <v>0</v>
      </c>
      <c r="K173">
        <f t="shared" si="9"/>
        <v>30</v>
      </c>
      <c r="L173" s="1">
        <f t="shared" si="10"/>
        <v>0</v>
      </c>
      <c r="M173" s="1">
        <f t="shared" si="11"/>
        <v>0</v>
      </c>
    </row>
    <row r="174" spans="1:13" customFormat="1" hidden="1" x14ac:dyDescent="0.3">
      <c r="A174" t="s">
        <v>2115</v>
      </c>
      <c r="B174" t="s">
        <v>2103</v>
      </c>
      <c r="C174" t="s">
        <v>70</v>
      </c>
      <c r="D174" t="s">
        <v>45</v>
      </c>
      <c r="E174" s="1">
        <v>1751.25</v>
      </c>
      <c r="F174">
        <v>1</v>
      </c>
      <c r="G174">
        <v>0</v>
      </c>
      <c r="H174">
        <v>2</v>
      </c>
      <c r="I174">
        <v>0</v>
      </c>
      <c r="J174">
        <v>0</v>
      </c>
      <c r="K174">
        <f t="shared" si="9"/>
        <v>2</v>
      </c>
      <c r="L174" s="1">
        <f t="shared" si="10"/>
        <v>0</v>
      </c>
      <c r="M174" s="1">
        <f t="shared" si="11"/>
        <v>3502.5</v>
      </c>
    </row>
    <row r="175" spans="1:13" customFormat="1" hidden="1" x14ac:dyDescent="0.3">
      <c r="A175" t="s">
        <v>2116</v>
      </c>
      <c r="B175" t="s">
        <v>2117</v>
      </c>
      <c r="D175" t="s">
        <v>45</v>
      </c>
      <c r="E175" s="1">
        <v>0</v>
      </c>
      <c r="F175">
        <v>2</v>
      </c>
      <c r="G175">
        <v>0</v>
      </c>
      <c r="H175">
        <v>8</v>
      </c>
      <c r="I175">
        <v>0</v>
      </c>
      <c r="J175">
        <v>0</v>
      </c>
      <c r="K175">
        <f t="shared" si="9"/>
        <v>8</v>
      </c>
      <c r="L175" s="1">
        <f t="shared" si="10"/>
        <v>0</v>
      </c>
      <c r="M175" s="1">
        <f t="shared" si="11"/>
        <v>0</v>
      </c>
    </row>
    <row r="176" spans="1:13" customFormat="1" hidden="1" x14ac:dyDescent="0.3">
      <c r="A176" t="s">
        <v>2118</v>
      </c>
      <c r="B176" t="s">
        <v>2119</v>
      </c>
      <c r="C176" t="s">
        <v>70</v>
      </c>
      <c r="D176" t="s">
        <v>45</v>
      </c>
      <c r="E176" s="1">
        <v>1766.25</v>
      </c>
      <c r="F176">
        <v>1</v>
      </c>
      <c r="G176">
        <v>0</v>
      </c>
      <c r="H176">
        <v>3</v>
      </c>
      <c r="I176">
        <v>0</v>
      </c>
      <c r="J176">
        <v>0</v>
      </c>
      <c r="K176">
        <f t="shared" si="9"/>
        <v>3</v>
      </c>
      <c r="L176" s="1">
        <f t="shared" si="10"/>
        <v>0</v>
      </c>
      <c r="M176" s="1">
        <f t="shared" si="11"/>
        <v>5298.75</v>
      </c>
    </row>
    <row r="177" spans="1:13" customFormat="1" hidden="1" x14ac:dyDescent="0.3">
      <c r="A177" t="s">
        <v>2120</v>
      </c>
      <c r="B177" t="s">
        <v>2121</v>
      </c>
      <c r="C177" t="s">
        <v>70</v>
      </c>
      <c r="D177" t="s">
        <v>45</v>
      </c>
      <c r="E177" s="1">
        <v>2428</v>
      </c>
      <c r="F177">
        <v>1</v>
      </c>
      <c r="G177">
        <v>0</v>
      </c>
      <c r="H177">
        <v>2</v>
      </c>
      <c r="I177">
        <v>0</v>
      </c>
      <c r="J177">
        <v>0</v>
      </c>
      <c r="K177">
        <f t="shared" si="9"/>
        <v>2</v>
      </c>
      <c r="L177" s="1">
        <f t="shared" si="10"/>
        <v>0</v>
      </c>
      <c r="M177" s="1">
        <f t="shared" si="11"/>
        <v>4856</v>
      </c>
    </row>
    <row r="178" spans="1:13" customFormat="1" hidden="1" x14ac:dyDescent="0.3">
      <c r="A178" t="s">
        <v>2122</v>
      </c>
      <c r="B178" t="s">
        <v>2123</v>
      </c>
      <c r="C178" t="s">
        <v>1755</v>
      </c>
      <c r="D178" t="s">
        <v>45</v>
      </c>
      <c r="E178" s="1">
        <v>26.38</v>
      </c>
      <c r="F178">
        <v>6</v>
      </c>
      <c r="G178">
        <v>0</v>
      </c>
      <c r="H178">
        <v>32</v>
      </c>
      <c r="I178">
        <v>0</v>
      </c>
      <c r="J178">
        <v>0</v>
      </c>
      <c r="K178">
        <f t="shared" si="9"/>
        <v>32</v>
      </c>
      <c r="L178" s="1">
        <f t="shared" si="10"/>
        <v>0</v>
      </c>
      <c r="M178" s="1">
        <f t="shared" si="11"/>
        <v>844.16</v>
      </c>
    </row>
    <row r="179" spans="1:13" customFormat="1" hidden="1" x14ac:dyDescent="0.3">
      <c r="A179" t="s">
        <v>2124</v>
      </c>
      <c r="B179" t="s">
        <v>2107</v>
      </c>
      <c r="C179" t="s">
        <v>1807</v>
      </c>
      <c r="D179" t="s">
        <v>45</v>
      </c>
      <c r="E179" s="1">
        <v>386</v>
      </c>
      <c r="F179">
        <v>1</v>
      </c>
      <c r="G179">
        <v>0</v>
      </c>
      <c r="H179">
        <v>2</v>
      </c>
      <c r="I179">
        <v>0</v>
      </c>
      <c r="J179">
        <v>0</v>
      </c>
      <c r="K179">
        <f t="shared" si="9"/>
        <v>2</v>
      </c>
      <c r="L179" s="1">
        <f t="shared" si="10"/>
        <v>0</v>
      </c>
      <c r="M179" s="1">
        <f t="shared" si="11"/>
        <v>772</v>
      </c>
    </row>
    <row r="180" spans="1:13" customFormat="1" hidden="1" x14ac:dyDescent="0.3">
      <c r="A180" t="s">
        <v>2125</v>
      </c>
      <c r="B180" t="s">
        <v>1813</v>
      </c>
      <c r="D180" t="s">
        <v>45</v>
      </c>
      <c r="E180" s="1">
        <v>0</v>
      </c>
      <c r="F180">
        <v>1</v>
      </c>
      <c r="G180">
        <v>0</v>
      </c>
      <c r="H180">
        <v>2</v>
      </c>
      <c r="I180">
        <v>0</v>
      </c>
      <c r="J180">
        <v>0</v>
      </c>
      <c r="K180">
        <f t="shared" si="9"/>
        <v>2</v>
      </c>
      <c r="L180" s="1">
        <f t="shared" si="10"/>
        <v>0</v>
      </c>
      <c r="M180" s="1">
        <f t="shared" si="11"/>
        <v>0</v>
      </c>
    </row>
    <row r="181" spans="1:13" customFormat="1" hidden="1" x14ac:dyDescent="0.3">
      <c r="A181" t="s">
        <v>2126</v>
      </c>
      <c r="B181" t="s">
        <v>2127</v>
      </c>
      <c r="C181" t="s">
        <v>1841</v>
      </c>
      <c r="D181" t="s">
        <v>45</v>
      </c>
      <c r="E181" s="1">
        <v>407.5</v>
      </c>
      <c r="F181">
        <v>3</v>
      </c>
      <c r="G181">
        <v>0</v>
      </c>
      <c r="H181">
        <v>15</v>
      </c>
      <c r="I181">
        <v>0</v>
      </c>
      <c r="J181">
        <v>0</v>
      </c>
      <c r="K181">
        <f t="shared" si="9"/>
        <v>15</v>
      </c>
      <c r="L181" s="1">
        <f t="shared" si="10"/>
        <v>0</v>
      </c>
      <c r="M181" s="1">
        <f t="shared" si="11"/>
        <v>6112.5</v>
      </c>
    </row>
    <row r="182" spans="1:13" customFormat="1" hidden="1" x14ac:dyDescent="0.3">
      <c r="A182" t="s">
        <v>2128</v>
      </c>
      <c r="B182" t="s">
        <v>2129</v>
      </c>
      <c r="D182" t="s">
        <v>45</v>
      </c>
      <c r="E182" s="1">
        <v>0</v>
      </c>
      <c r="F182">
        <v>1</v>
      </c>
      <c r="G182">
        <v>0</v>
      </c>
      <c r="H182">
        <v>2</v>
      </c>
      <c r="I182">
        <v>0</v>
      </c>
      <c r="J182">
        <v>0</v>
      </c>
      <c r="K182">
        <f t="shared" si="9"/>
        <v>2</v>
      </c>
      <c r="L182" s="1">
        <f t="shared" si="10"/>
        <v>0</v>
      </c>
      <c r="M182" s="1">
        <f t="shared" si="11"/>
        <v>0</v>
      </c>
    </row>
    <row r="183" spans="1:13" customFormat="1" hidden="1" x14ac:dyDescent="0.3">
      <c r="A183" t="s">
        <v>2130</v>
      </c>
      <c r="B183" t="s">
        <v>2050</v>
      </c>
      <c r="D183" t="s">
        <v>45</v>
      </c>
      <c r="E183" s="1">
        <v>0</v>
      </c>
      <c r="F183">
        <v>2</v>
      </c>
      <c r="G183">
        <v>0</v>
      </c>
      <c r="H183">
        <v>8</v>
      </c>
      <c r="I183">
        <v>0</v>
      </c>
      <c r="J183">
        <v>0</v>
      </c>
      <c r="K183">
        <f t="shared" si="9"/>
        <v>8</v>
      </c>
      <c r="L183" s="1">
        <f t="shared" si="10"/>
        <v>0</v>
      </c>
      <c r="M183" s="1">
        <f t="shared" si="11"/>
        <v>0</v>
      </c>
    </row>
    <row r="184" spans="1:13" customFormat="1" hidden="1" x14ac:dyDescent="0.3">
      <c r="A184" t="s">
        <v>2131</v>
      </c>
      <c r="B184" t="s">
        <v>2103</v>
      </c>
      <c r="C184" t="s">
        <v>472</v>
      </c>
      <c r="D184" t="s">
        <v>45</v>
      </c>
      <c r="E184" s="1">
        <v>2200</v>
      </c>
      <c r="F184">
        <v>1</v>
      </c>
      <c r="G184">
        <v>0</v>
      </c>
      <c r="H184">
        <v>2</v>
      </c>
      <c r="I184">
        <v>0</v>
      </c>
      <c r="J184">
        <v>0</v>
      </c>
      <c r="K184">
        <f t="shared" si="9"/>
        <v>2</v>
      </c>
      <c r="L184" s="1">
        <f t="shared" si="10"/>
        <v>0</v>
      </c>
      <c r="M184" s="1">
        <f t="shared" si="11"/>
        <v>4400</v>
      </c>
    </row>
    <row r="185" spans="1:13" customFormat="1" hidden="1" x14ac:dyDescent="0.3">
      <c r="A185" t="s">
        <v>2132</v>
      </c>
      <c r="B185" t="s">
        <v>2133</v>
      </c>
      <c r="C185" t="s">
        <v>70</v>
      </c>
      <c r="D185" t="s">
        <v>45</v>
      </c>
      <c r="E185" s="1">
        <v>1766.25</v>
      </c>
      <c r="F185">
        <v>1</v>
      </c>
      <c r="G185">
        <v>0</v>
      </c>
      <c r="H185">
        <v>3</v>
      </c>
      <c r="I185">
        <v>0</v>
      </c>
      <c r="J185">
        <v>0</v>
      </c>
      <c r="K185">
        <f t="shared" si="9"/>
        <v>3</v>
      </c>
      <c r="L185" s="1">
        <f t="shared" si="10"/>
        <v>0</v>
      </c>
      <c r="M185" s="1">
        <f t="shared" si="11"/>
        <v>5298.75</v>
      </c>
    </row>
    <row r="186" spans="1:13" customFormat="1" hidden="1" x14ac:dyDescent="0.3">
      <c r="A186" t="s">
        <v>2134</v>
      </c>
      <c r="B186" t="s">
        <v>2103</v>
      </c>
      <c r="C186" t="s">
        <v>70</v>
      </c>
      <c r="D186" t="s">
        <v>45</v>
      </c>
      <c r="E186" s="1">
        <v>1382.5</v>
      </c>
      <c r="F186">
        <v>1</v>
      </c>
      <c r="G186">
        <v>0</v>
      </c>
      <c r="H186">
        <v>3</v>
      </c>
      <c r="I186">
        <v>0</v>
      </c>
      <c r="J186">
        <v>0</v>
      </c>
      <c r="K186">
        <f t="shared" si="9"/>
        <v>3</v>
      </c>
      <c r="L186" s="1">
        <f t="shared" si="10"/>
        <v>0</v>
      </c>
      <c r="M186" s="1">
        <f t="shared" si="11"/>
        <v>4147.5</v>
      </c>
    </row>
    <row r="187" spans="1:13" customFormat="1" hidden="1" x14ac:dyDescent="0.3">
      <c r="A187" t="s">
        <v>2135</v>
      </c>
      <c r="B187" t="s">
        <v>2103</v>
      </c>
      <c r="C187" t="s">
        <v>70</v>
      </c>
      <c r="D187" t="s">
        <v>45</v>
      </c>
      <c r="E187" s="1">
        <v>1837.5</v>
      </c>
      <c r="F187">
        <v>1</v>
      </c>
      <c r="G187">
        <v>0</v>
      </c>
      <c r="H187">
        <v>2</v>
      </c>
      <c r="I187">
        <v>0</v>
      </c>
      <c r="J187">
        <v>0</v>
      </c>
      <c r="K187">
        <f t="shared" si="9"/>
        <v>2</v>
      </c>
      <c r="L187" s="1">
        <f t="shared" si="10"/>
        <v>0</v>
      </c>
      <c r="M187" s="1">
        <f t="shared" si="11"/>
        <v>3675</v>
      </c>
    </row>
    <row r="188" spans="1:13" customFormat="1" hidden="1" x14ac:dyDescent="0.3">
      <c r="A188" t="s">
        <v>2136</v>
      </c>
      <c r="B188" t="s">
        <v>2137</v>
      </c>
      <c r="C188" t="s">
        <v>81</v>
      </c>
      <c r="D188" t="s">
        <v>45</v>
      </c>
      <c r="E188" s="1">
        <v>10527.25</v>
      </c>
      <c r="F188">
        <v>6</v>
      </c>
      <c r="G188">
        <v>0</v>
      </c>
      <c r="H188">
        <v>14</v>
      </c>
      <c r="I188">
        <v>0</v>
      </c>
      <c r="J188">
        <v>0</v>
      </c>
      <c r="K188">
        <f t="shared" si="9"/>
        <v>14</v>
      </c>
      <c r="L188" s="1">
        <f t="shared" si="10"/>
        <v>0</v>
      </c>
      <c r="M188" s="1">
        <f t="shared" si="11"/>
        <v>147381.5</v>
      </c>
    </row>
    <row r="189" spans="1:13" customFormat="1" hidden="1" x14ac:dyDescent="0.3">
      <c r="A189" t="s">
        <v>2138</v>
      </c>
      <c r="B189" t="s">
        <v>2139</v>
      </c>
      <c r="C189" t="s">
        <v>211</v>
      </c>
      <c r="D189" t="s">
        <v>45</v>
      </c>
      <c r="E189" s="1">
        <v>1203</v>
      </c>
      <c r="F189">
        <v>1</v>
      </c>
      <c r="G189">
        <v>0</v>
      </c>
      <c r="H189">
        <v>2</v>
      </c>
      <c r="I189">
        <v>0</v>
      </c>
      <c r="J189">
        <v>0</v>
      </c>
      <c r="K189">
        <f t="shared" si="9"/>
        <v>2</v>
      </c>
      <c r="L189" s="1">
        <f t="shared" si="10"/>
        <v>0</v>
      </c>
      <c r="M189" s="1">
        <f t="shared" si="11"/>
        <v>2406</v>
      </c>
    </row>
    <row r="190" spans="1:13" customFormat="1" hidden="1" x14ac:dyDescent="0.3">
      <c r="A190" t="s">
        <v>2140</v>
      </c>
      <c r="B190" t="s">
        <v>2141</v>
      </c>
      <c r="C190" t="s">
        <v>1755</v>
      </c>
      <c r="D190" t="s">
        <v>45</v>
      </c>
      <c r="E190" s="1">
        <v>39.82</v>
      </c>
      <c r="F190">
        <v>6</v>
      </c>
      <c r="G190">
        <v>0</v>
      </c>
      <c r="H190">
        <v>29</v>
      </c>
      <c r="I190">
        <v>0</v>
      </c>
      <c r="J190">
        <v>0</v>
      </c>
      <c r="K190">
        <f t="shared" si="9"/>
        <v>29</v>
      </c>
      <c r="L190" s="1">
        <f t="shared" si="10"/>
        <v>0</v>
      </c>
      <c r="M190" s="1">
        <f t="shared" si="11"/>
        <v>1154.78</v>
      </c>
    </row>
    <row r="191" spans="1:13" customFormat="1" hidden="1" x14ac:dyDescent="0.3">
      <c r="A191" t="s">
        <v>2142</v>
      </c>
      <c r="B191" t="s">
        <v>2107</v>
      </c>
      <c r="C191" t="s">
        <v>1807</v>
      </c>
      <c r="D191" t="s">
        <v>45</v>
      </c>
      <c r="E191" s="1">
        <v>455</v>
      </c>
      <c r="F191">
        <v>1</v>
      </c>
      <c r="G191">
        <v>0</v>
      </c>
      <c r="H191">
        <v>2</v>
      </c>
      <c r="I191">
        <v>0</v>
      </c>
      <c r="J191">
        <v>0</v>
      </c>
      <c r="K191">
        <f t="shared" si="9"/>
        <v>2</v>
      </c>
      <c r="L191" s="1">
        <f t="shared" si="10"/>
        <v>0</v>
      </c>
      <c r="M191" s="1">
        <f t="shared" si="11"/>
        <v>910</v>
      </c>
    </row>
    <row r="192" spans="1:13" customFormat="1" hidden="1" x14ac:dyDescent="0.3">
      <c r="A192" t="s">
        <v>2143</v>
      </c>
      <c r="B192" t="s">
        <v>2129</v>
      </c>
      <c r="C192" t="s">
        <v>211</v>
      </c>
      <c r="D192" t="s">
        <v>45</v>
      </c>
      <c r="E192" s="1">
        <v>1110</v>
      </c>
      <c r="F192">
        <v>2</v>
      </c>
      <c r="G192">
        <v>0</v>
      </c>
      <c r="H192">
        <v>4</v>
      </c>
      <c r="I192">
        <v>0</v>
      </c>
      <c r="J192">
        <v>0</v>
      </c>
      <c r="K192">
        <f t="shared" si="9"/>
        <v>4</v>
      </c>
      <c r="L192" s="1">
        <f t="shared" si="10"/>
        <v>0</v>
      </c>
      <c r="M192" s="1">
        <f t="shared" si="11"/>
        <v>4440</v>
      </c>
    </row>
    <row r="193" spans="1:13" customFormat="1" hidden="1" x14ac:dyDescent="0.3">
      <c r="A193" t="s">
        <v>2144</v>
      </c>
      <c r="B193" t="s">
        <v>2145</v>
      </c>
      <c r="C193" t="s">
        <v>1259</v>
      </c>
      <c r="D193" t="s">
        <v>45</v>
      </c>
      <c r="E193" s="1">
        <v>5313.2</v>
      </c>
      <c r="F193">
        <v>3</v>
      </c>
      <c r="G193">
        <v>0</v>
      </c>
      <c r="H193">
        <v>9</v>
      </c>
      <c r="I193">
        <v>0</v>
      </c>
      <c r="J193">
        <v>0</v>
      </c>
      <c r="K193">
        <f t="shared" si="9"/>
        <v>9</v>
      </c>
      <c r="L193" s="1">
        <f t="shared" si="10"/>
        <v>0</v>
      </c>
      <c r="M193" s="1">
        <f t="shared" si="11"/>
        <v>47818.799999999996</v>
      </c>
    </row>
    <row r="194" spans="1:13" customFormat="1" hidden="1" x14ac:dyDescent="0.3">
      <c r="A194" t="s">
        <v>2146</v>
      </c>
      <c r="B194" t="s">
        <v>2147</v>
      </c>
      <c r="D194" t="s">
        <v>45</v>
      </c>
      <c r="E194" s="1">
        <v>0</v>
      </c>
      <c r="F194">
        <v>2</v>
      </c>
      <c r="G194">
        <v>0</v>
      </c>
      <c r="H194">
        <v>10</v>
      </c>
      <c r="I194">
        <v>0</v>
      </c>
      <c r="J194">
        <v>0</v>
      </c>
      <c r="K194">
        <f t="shared" si="9"/>
        <v>10</v>
      </c>
      <c r="L194" s="1">
        <f t="shared" si="10"/>
        <v>0</v>
      </c>
      <c r="M194" s="1">
        <f t="shared" si="11"/>
        <v>0</v>
      </c>
    </row>
    <row r="195" spans="1:13" customFormat="1" hidden="1" x14ac:dyDescent="0.3">
      <c r="A195" t="s">
        <v>2148</v>
      </c>
      <c r="B195" t="s">
        <v>2149</v>
      </c>
      <c r="C195" t="s">
        <v>1259</v>
      </c>
      <c r="D195" t="s">
        <v>45</v>
      </c>
      <c r="E195" s="1">
        <v>3763.11</v>
      </c>
      <c r="F195">
        <v>9</v>
      </c>
      <c r="G195">
        <v>0</v>
      </c>
      <c r="H195">
        <v>29</v>
      </c>
      <c r="I195">
        <v>0</v>
      </c>
      <c r="J195">
        <v>0</v>
      </c>
      <c r="K195">
        <f t="shared" si="9"/>
        <v>29</v>
      </c>
      <c r="L195" s="1">
        <f t="shared" si="10"/>
        <v>0</v>
      </c>
      <c r="M195" s="1">
        <f t="shared" si="11"/>
        <v>109130.19</v>
      </c>
    </row>
    <row r="196" spans="1:13" customFormat="1" hidden="1" x14ac:dyDescent="0.3">
      <c r="A196" t="s">
        <v>2150</v>
      </c>
      <c r="B196" t="s">
        <v>2150</v>
      </c>
      <c r="C196" t="s">
        <v>2151</v>
      </c>
      <c r="D196" t="s">
        <v>45</v>
      </c>
      <c r="E196" s="1">
        <v>92.5</v>
      </c>
      <c r="F196">
        <v>5</v>
      </c>
      <c r="G196">
        <v>0</v>
      </c>
      <c r="H196">
        <v>25</v>
      </c>
      <c r="I196">
        <v>0</v>
      </c>
      <c r="J196">
        <v>0</v>
      </c>
      <c r="K196">
        <f t="shared" si="9"/>
        <v>25</v>
      </c>
      <c r="L196" s="1">
        <f t="shared" si="10"/>
        <v>0</v>
      </c>
      <c r="M196" s="1">
        <f t="shared" si="11"/>
        <v>2312.5</v>
      </c>
    </row>
    <row r="197" spans="1:13" customFormat="1" hidden="1" x14ac:dyDescent="0.3">
      <c r="A197" t="s">
        <v>2152</v>
      </c>
      <c r="B197" t="s">
        <v>2153</v>
      </c>
      <c r="C197" t="s">
        <v>2054</v>
      </c>
      <c r="D197" t="s">
        <v>45</v>
      </c>
      <c r="E197" s="1">
        <v>14</v>
      </c>
      <c r="F197">
        <v>8</v>
      </c>
      <c r="G197">
        <v>0</v>
      </c>
      <c r="H197">
        <v>40</v>
      </c>
      <c r="I197">
        <v>0</v>
      </c>
      <c r="J197">
        <v>0</v>
      </c>
      <c r="K197">
        <f t="shared" si="9"/>
        <v>40</v>
      </c>
      <c r="L197" s="1">
        <f t="shared" si="10"/>
        <v>0</v>
      </c>
      <c r="M197" s="1">
        <f t="shared" si="11"/>
        <v>560</v>
      </c>
    </row>
    <row r="198" spans="1:13" customFormat="1" hidden="1" x14ac:dyDescent="0.3">
      <c r="A198" t="s">
        <v>2154</v>
      </c>
      <c r="B198" t="s">
        <v>2155</v>
      </c>
      <c r="C198" t="s">
        <v>300</v>
      </c>
      <c r="D198" t="s">
        <v>45</v>
      </c>
      <c r="E198" s="1">
        <v>5648</v>
      </c>
      <c r="F198">
        <v>2</v>
      </c>
      <c r="G198">
        <v>0</v>
      </c>
      <c r="H198">
        <v>4</v>
      </c>
      <c r="I198">
        <v>0</v>
      </c>
      <c r="J198">
        <v>0</v>
      </c>
      <c r="K198">
        <f t="shared" si="9"/>
        <v>4</v>
      </c>
      <c r="L198" s="1">
        <f t="shared" si="10"/>
        <v>0</v>
      </c>
      <c r="M198" s="1">
        <f t="shared" si="11"/>
        <v>22592</v>
      </c>
    </row>
    <row r="199" spans="1:13" customFormat="1" hidden="1" x14ac:dyDescent="0.3">
      <c r="A199" t="s">
        <v>2156</v>
      </c>
      <c r="B199" t="s">
        <v>2157</v>
      </c>
      <c r="C199" t="s">
        <v>300</v>
      </c>
      <c r="D199" t="s">
        <v>45</v>
      </c>
      <c r="E199" s="1">
        <v>5973</v>
      </c>
      <c r="F199">
        <v>1</v>
      </c>
      <c r="G199">
        <v>0</v>
      </c>
      <c r="H199">
        <v>3</v>
      </c>
      <c r="I199">
        <v>0</v>
      </c>
      <c r="J199">
        <v>0</v>
      </c>
      <c r="K199">
        <f t="shared" si="9"/>
        <v>3</v>
      </c>
      <c r="L199" s="1">
        <f t="shared" si="10"/>
        <v>0</v>
      </c>
      <c r="M199" s="1">
        <f t="shared" si="11"/>
        <v>17919</v>
      </c>
    </row>
    <row r="200" spans="1:13" customFormat="1" hidden="1" x14ac:dyDescent="0.3">
      <c r="A200" t="s">
        <v>2158</v>
      </c>
      <c r="B200" t="s">
        <v>2159</v>
      </c>
      <c r="C200" t="s">
        <v>300</v>
      </c>
      <c r="D200" t="s">
        <v>45</v>
      </c>
      <c r="E200" s="1">
        <v>6176</v>
      </c>
      <c r="F200">
        <v>1</v>
      </c>
      <c r="G200">
        <v>0</v>
      </c>
      <c r="H200">
        <v>3</v>
      </c>
      <c r="I200">
        <v>0</v>
      </c>
      <c r="J200">
        <v>0</v>
      </c>
      <c r="K200">
        <f t="shared" si="9"/>
        <v>3</v>
      </c>
      <c r="L200" s="1">
        <f t="shared" si="10"/>
        <v>0</v>
      </c>
      <c r="M200" s="1">
        <f t="shared" si="11"/>
        <v>18528</v>
      </c>
    </row>
    <row r="201" spans="1:13" customFormat="1" hidden="1" x14ac:dyDescent="0.3">
      <c r="A201" t="s">
        <v>2160</v>
      </c>
      <c r="B201" t="s">
        <v>2161</v>
      </c>
      <c r="C201" t="s">
        <v>1804</v>
      </c>
      <c r="D201" t="s">
        <v>45</v>
      </c>
      <c r="E201" s="1">
        <v>30</v>
      </c>
      <c r="F201">
        <v>8</v>
      </c>
      <c r="G201">
        <v>0</v>
      </c>
      <c r="H201">
        <v>42</v>
      </c>
      <c r="I201">
        <v>0</v>
      </c>
      <c r="J201">
        <v>0</v>
      </c>
      <c r="K201">
        <f t="shared" si="9"/>
        <v>42</v>
      </c>
      <c r="L201" s="1">
        <f t="shared" si="10"/>
        <v>0</v>
      </c>
      <c r="M201" s="1">
        <f t="shared" si="11"/>
        <v>1260</v>
      </c>
    </row>
    <row r="202" spans="1:13" customFormat="1" hidden="1" x14ac:dyDescent="0.3">
      <c r="A202" t="s">
        <v>2162</v>
      </c>
      <c r="B202" t="s">
        <v>2163</v>
      </c>
      <c r="C202" t="s">
        <v>472</v>
      </c>
      <c r="D202" t="s">
        <v>45</v>
      </c>
      <c r="E202" s="1">
        <v>310</v>
      </c>
      <c r="F202">
        <v>40</v>
      </c>
      <c r="G202">
        <v>0</v>
      </c>
      <c r="H202">
        <v>200</v>
      </c>
      <c r="I202">
        <v>0</v>
      </c>
      <c r="J202">
        <v>0</v>
      </c>
      <c r="K202">
        <f t="shared" si="9"/>
        <v>200</v>
      </c>
      <c r="L202" s="1">
        <f t="shared" si="10"/>
        <v>0</v>
      </c>
      <c r="M202" s="1">
        <f t="shared" si="11"/>
        <v>62000</v>
      </c>
    </row>
    <row r="203" spans="1:13" customFormat="1" hidden="1" x14ac:dyDescent="0.3">
      <c r="A203" t="s">
        <v>2164</v>
      </c>
      <c r="B203" t="s">
        <v>2103</v>
      </c>
      <c r="C203" t="s">
        <v>70</v>
      </c>
      <c r="D203" t="s">
        <v>45</v>
      </c>
      <c r="E203" s="1">
        <v>2681.25</v>
      </c>
      <c r="F203">
        <v>1</v>
      </c>
      <c r="G203">
        <v>0</v>
      </c>
      <c r="H203">
        <v>5</v>
      </c>
      <c r="I203">
        <v>0</v>
      </c>
      <c r="J203">
        <v>0</v>
      </c>
      <c r="K203">
        <f t="shared" si="9"/>
        <v>5</v>
      </c>
      <c r="L203" s="1">
        <f t="shared" si="10"/>
        <v>0</v>
      </c>
      <c r="M203" s="1">
        <f t="shared" si="11"/>
        <v>13406.25</v>
      </c>
    </row>
    <row r="204" spans="1:13" customFormat="1" hidden="1" x14ac:dyDescent="0.3">
      <c r="A204" t="s">
        <v>2165</v>
      </c>
      <c r="B204" t="s">
        <v>2166</v>
      </c>
      <c r="C204" t="s">
        <v>70</v>
      </c>
      <c r="D204" t="s">
        <v>45</v>
      </c>
      <c r="E204" s="1">
        <v>1522.65</v>
      </c>
      <c r="F204">
        <v>4</v>
      </c>
      <c r="G204">
        <v>0</v>
      </c>
      <c r="H204">
        <v>14</v>
      </c>
      <c r="I204">
        <v>0</v>
      </c>
      <c r="J204">
        <v>0</v>
      </c>
      <c r="K204">
        <f t="shared" si="9"/>
        <v>14</v>
      </c>
      <c r="L204" s="1">
        <f t="shared" si="10"/>
        <v>0</v>
      </c>
      <c r="M204" s="1">
        <f t="shared" si="11"/>
        <v>21317.100000000002</v>
      </c>
    </row>
    <row r="205" spans="1:13" customFormat="1" hidden="1" x14ac:dyDescent="0.3">
      <c r="A205" t="s">
        <v>2167</v>
      </c>
      <c r="B205" t="s">
        <v>2168</v>
      </c>
      <c r="C205" t="s">
        <v>2169</v>
      </c>
      <c r="D205" t="s">
        <v>45</v>
      </c>
      <c r="E205" s="1">
        <v>47.37</v>
      </c>
      <c r="F205">
        <v>3</v>
      </c>
      <c r="G205">
        <v>0</v>
      </c>
      <c r="H205">
        <v>16</v>
      </c>
      <c r="I205">
        <v>0</v>
      </c>
      <c r="J205">
        <v>0</v>
      </c>
      <c r="K205">
        <f t="shared" si="9"/>
        <v>16</v>
      </c>
      <c r="L205" s="1">
        <f t="shared" si="10"/>
        <v>0</v>
      </c>
      <c r="M205" s="1">
        <f t="shared" si="11"/>
        <v>757.92</v>
      </c>
    </row>
    <row r="206" spans="1:13" customFormat="1" hidden="1" x14ac:dyDescent="0.3">
      <c r="A206" t="s">
        <v>2170</v>
      </c>
      <c r="B206" t="s">
        <v>2171</v>
      </c>
      <c r="C206" t="s">
        <v>1807</v>
      </c>
      <c r="D206" t="s">
        <v>45</v>
      </c>
      <c r="E206" s="1">
        <v>546.5</v>
      </c>
      <c r="F206">
        <v>1</v>
      </c>
      <c r="G206">
        <v>0</v>
      </c>
      <c r="H206">
        <v>4</v>
      </c>
      <c r="I206">
        <v>0</v>
      </c>
      <c r="J206">
        <v>0</v>
      </c>
      <c r="K206">
        <f t="shared" ref="K206:K269" si="12">IF(H206-I206-J206&gt;0,H206-I206-J206,0)</f>
        <v>4</v>
      </c>
      <c r="L206" s="1">
        <f t="shared" ref="L206:L269" si="13">IFERROR(I206*E206,0)</f>
        <v>0</v>
      </c>
      <c r="M206" s="1">
        <f t="shared" ref="M206:M269" si="14">IFERROR(K206*E206,0)</f>
        <v>2186</v>
      </c>
    </row>
    <row r="207" spans="1:13" customFormat="1" hidden="1" x14ac:dyDescent="0.3">
      <c r="A207" t="s">
        <v>2172</v>
      </c>
      <c r="B207" t="s">
        <v>2129</v>
      </c>
      <c r="C207" t="s">
        <v>211</v>
      </c>
      <c r="D207" t="s">
        <v>45</v>
      </c>
      <c r="E207" s="1">
        <v>1110</v>
      </c>
      <c r="F207">
        <v>11</v>
      </c>
      <c r="G207">
        <v>0</v>
      </c>
      <c r="H207">
        <v>23</v>
      </c>
      <c r="I207">
        <v>0</v>
      </c>
      <c r="J207">
        <v>0</v>
      </c>
      <c r="K207">
        <f t="shared" si="12"/>
        <v>23</v>
      </c>
      <c r="L207" s="1">
        <f t="shared" si="13"/>
        <v>0</v>
      </c>
      <c r="M207" s="1">
        <f t="shared" si="14"/>
        <v>25530</v>
      </c>
    </row>
    <row r="208" spans="1:13" customFormat="1" hidden="1" x14ac:dyDescent="0.3">
      <c r="A208" t="s">
        <v>2173</v>
      </c>
      <c r="B208" t="s">
        <v>2174</v>
      </c>
      <c r="C208" t="s">
        <v>1784</v>
      </c>
      <c r="D208" t="s">
        <v>45</v>
      </c>
      <c r="E208" s="1">
        <v>112.71</v>
      </c>
      <c r="F208">
        <v>2</v>
      </c>
      <c r="G208">
        <v>0</v>
      </c>
      <c r="H208">
        <v>10</v>
      </c>
      <c r="I208">
        <v>0</v>
      </c>
      <c r="J208">
        <v>0</v>
      </c>
      <c r="K208">
        <f t="shared" si="12"/>
        <v>10</v>
      </c>
      <c r="L208" s="1">
        <f t="shared" si="13"/>
        <v>0</v>
      </c>
      <c r="M208" s="1">
        <f t="shared" si="14"/>
        <v>1127.0999999999999</v>
      </c>
    </row>
    <row r="209" spans="1:13" customFormat="1" hidden="1" x14ac:dyDescent="0.3">
      <c r="A209" t="s">
        <v>2175</v>
      </c>
      <c r="B209" t="s">
        <v>2176</v>
      </c>
      <c r="C209" t="s">
        <v>1894</v>
      </c>
      <c r="D209" t="s">
        <v>45</v>
      </c>
      <c r="E209" s="1">
        <v>238.5</v>
      </c>
      <c r="F209">
        <v>1</v>
      </c>
      <c r="G209">
        <v>0</v>
      </c>
      <c r="H209">
        <v>2</v>
      </c>
      <c r="I209">
        <v>0</v>
      </c>
      <c r="J209">
        <v>0</v>
      </c>
      <c r="K209">
        <f t="shared" si="12"/>
        <v>2</v>
      </c>
      <c r="L209" s="1">
        <f t="shared" si="13"/>
        <v>0</v>
      </c>
      <c r="M209" s="1">
        <f t="shared" si="14"/>
        <v>477</v>
      </c>
    </row>
    <row r="210" spans="1:13" customFormat="1" hidden="1" x14ac:dyDescent="0.3">
      <c r="A210" t="s">
        <v>2177</v>
      </c>
      <c r="B210" t="s">
        <v>2178</v>
      </c>
      <c r="C210" t="s">
        <v>1894</v>
      </c>
      <c r="D210" t="s">
        <v>45</v>
      </c>
      <c r="E210" s="1">
        <v>973.32</v>
      </c>
      <c r="F210">
        <v>1</v>
      </c>
      <c r="G210">
        <v>0</v>
      </c>
      <c r="H210">
        <v>2</v>
      </c>
      <c r="I210">
        <v>0</v>
      </c>
      <c r="J210">
        <v>0</v>
      </c>
      <c r="K210">
        <f t="shared" si="12"/>
        <v>2</v>
      </c>
      <c r="L210" s="1">
        <f t="shared" si="13"/>
        <v>0</v>
      </c>
      <c r="M210" s="1">
        <f t="shared" si="14"/>
        <v>1946.64</v>
      </c>
    </row>
    <row r="211" spans="1:13" customFormat="1" hidden="1" x14ac:dyDescent="0.3">
      <c r="A211" t="s">
        <v>2179</v>
      </c>
      <c r="B211" t="s">
        <v>2180</v>
      </c>
      <c r="C211" t="s">
        <v>1807</v>
      </c>
      <c r="D211" t="s">
        <v>45</v>
      </c>
      <c r="E211" s="1">
        <v>541</v>
      </c>
      <c r="F211">
        <v>1</v>
      </c>
      <c r="G211">
        <v>0</v>
      </c>
      <c r="H211">
        <v>2</v>
      </c>
      <c r="I211">
        <v>0</v>
      </c>
      <c r="J211">
        <v>0</v>
      </c>
      <c r="K211">
        <f t="shared" si="12"/>
        <v>2</v>
      </c>
      <c r="L211" s="1">
        <f t="shared" si="13"/>
        <v>0</v>
      </c>
      <c r="M211" s="1">
        <f t="shared" si="14"/>
        <v>1082</v>
      </c>
    </row>
    <row r="212" spans="1:13" customFormat="1" hidden="1" x14ac:dyDescent="0.3">
      <c r="A212" t="s">
        <v>2181</v>
      </c>
      <c r="B212" t="s">
        <v>2182</v>
      </c>
      <c r="D212" t="s">
        <v>45</v>
      </c>
      <c r="E212" s="1">
        <v>0</v>
      </c>
      <c r="F212">
        <v>1</v>
      </c>
      <c r="G212">
        <v>0</v>
      </c>
      <c r="H212">
        <v>5</v>
      </c>
      <c r="I212">
        <v>0</v>
      </c>
      <c r="J212">
        <v>0</v>
      </c>
      <c r="K212">
        <f t="shared" si="12"/>
        <v>5</v>
      </c>
      <c r="L212" s="1">
        <f t="shared" si="13"/>
        <v>0</v>
      </c>
      <c r="M212" s="1">
        <f t="shared" si="14"/>
        <v>0</v>
      </c>
    </row>
    <row r="213" spans="1:13" customFormat="1" hidden="1" x14ac:dyDescent="0.3">
      <c r="A213" t="s">
        <v>2183</v>
      </c>
      <c r="B213" t="s">
        <v>2184</v>
      </c>
      <c r="D213" t="s">
        <v>45</v>
      </c>
      <c r="E213" s="1">
        <v>0</v>
      </c>
      <c r="F213">
        <v>1</v>
      </c>
      <c r="G213">
        <v>0</v>
      </c>
      <c r="H213">
        <v>5</v>
      </c>
      <c r="I213">
        <v>0</v>
      </c>
      <c r="J213">
        <v>0</v>
      </c>
      <c r="K213">
        <f t="shared" si="12"/>
        <v>5</v>
      </c>
      <c r="L213" s="1">
        <f t="shared" si="13"/>
        <v>0</v>
      </c>
      <c r="M213" s="1">
        <f t="shared" si="14"/>
        <v>0</v>
      </c>
    </row>
    <row r="214" spans="1:13" customFormat="1" hidden="1" x14ac:dyDescent="0.3">
      <c r="A214" t="s">
        <v>2185</v>
      </c>
      <c r="B214" t="s">
        <v>2186</v>
      </c>
      <c r="D214" t="s">
        <v>45</v>
      </c>
      <c r="E214" s="1">
        <v>0</v>
      </c>
      <c r="F214">
        <v>2</v>
      </c>
      <c r="G214">
        <v>0</v>
      </c>
      <c r="H214">
        <v>10</v>
      </c>
      <c r="I214">
        <v>0</v>
      </c>
      <c r="J214">
        <v>0</v>
      </c>
      <c r="K214">
        <f t="shared" si="12"/>
        <v>10</v>
      </c>
      <c r="L214" s="1">
        <f t="shared" si="13"/>
        <v>0</v>
      </c>
      <c r="M214" s="1">
        <f t="shared" si="14"/>
        <v>0</v>
      </c>
    </row>
    <row r="215" spans="1:13" customFormat="1" hidden="1" x14ac:dyDescent="0.3">
      <c r="A215" t="s">
        <v>2187</v>
      </c>
      <c r="B215" t="s">
        <v>2188</v>
      </c>
      <c r="D215" t="s">
        <v>45</v>
      </c>
      <c r="E215" s="1">
        <v>0</v>
      </c>
      <c r="F215">
        <v>1</v>
      </c>
      <c r="G215">
        <v>0</v>
      </c>
      <c r="H215">
        <v>5</v>
      </c>
      <c r="I215">
        <v>0</v>
      </c>
      <c r="J215">
        <v>0</v>
      </c>
      <c r="K215">
        <f t="shared" si="12"/>
        <v>5</v>
      </c>
      <c r="L215" s="1">
        <f t="shared" si="13"/>
        <v>0</v>
      </c>
      <c r="M215" s="1">
        <f t="shared" si="14"/>
        <v>0</v>
      </c>
    </row>
    <row r="216" spans="1:13" customFormat="1" hidden="1" x14ac:dyDescent="0.3">
      <c r="A216" t="s">
        <v>2189</v>
      </c>
      <c r="B216" t="s">
        <v>2190</v>
      </c>
      <c r="D216" t="s">
        <v>45</v>
      </c>
      <c r="E216" s="1">
        <v>0</v>
      </c>
      <c r="F216">
        <v>1</v>
      </c>
      <c r="G216">
        <v>0</v>
      </c>
      <c r="H216">
        <v>5</v>
      </c>
      <c r="I216">
        <v>0</v>
      </c>
      <c r="J216">
        <v>0</v>
      </c>
      <c r="K216">
        <f t="shared" si="12"/>
        <v>5</v>
      </c>
      <c r="L216" s="1">
        <f t="shared" si="13"/>
        <v>0</v>
      </c>
      <c r="M216" s="1">
        <f t="shared" si="14"/>
        <v>0</v>
      </c>
    </row>
    <row r="217" spans="1:13" customFormat="1" hidden="1" x14ac:dyDescent="0.3">
      <c r="A217" t="s">
        <v>2191</v>
      </c>
      <c r="B217" t="s">
        <v>2192</v>
      </c>
      <c r="D217" t="s">
        <v>45</v>
      </c>
      <c r="E217" s="1">
        <v>0</v>
      </c>
      <c r="F217">
        <v>1</v>
      </c>
      <c r="G217">
        <v>0</v>
      </c>
      <c r="H217">
        <v>5</v>
      </c>
      <c r="I217">
        <v>0</v>
      </c>
      <c r="J217">
        <v>0</v>
      </c>
      <c r="K217">
        <f t="shared" si="12"/>
        <v>5</v>
      </c>
      <c r="L217" s="1">
        <f t="shared" si="13"/>
        <v>0</v>
      </c>
      <c r="M217" s="1">
        <f t="shared" si="14"/>
        <v>0</v>
      </c>
    </row>
    <row r="218" spans="1:13" customFormat="1" hidden="1" x14ac:dyDescent="0.3">
      <c r="A218" t="s">
        <v>2193</v>
      </c>
      <c r="B218" t="s">
        <v>2194</v>
      </c>
      <c r="C218" t="s">
        <v>2054</v>
      </c>
      <c r="D218" t="s">
        <v>45</v>
      </c>
      <c r="E218" s="1">
        <v>14</v>
      </c>
      <c r="F218">
        <v>7</v>
      </c>
      <c r="G218">
        <v>0</v>
      </c>
      <c r="H218">
        <v>35</v>
      </c>
      <c r="I218">
        <v>0</v>
      </c>
      <c r="J218">
        <v>0</v>
      </c>
      <c r="K218">
        <f t="shared" si="12"/>
        <v>35</v>
      </c>
      <c r="L218" s="1">
        <f t="shared" si="13"/>
        <v>0</v>
      </c>
      <c r="M218" s="1">
        <f t="shared" si="14"/>
        <v>490</v>
      </c>
    </row>
    <row r="219" spans="1:13" customFormat="1" hidden="1" x14ac:dyDescent="0.3">
      <c r="A219" t="s">
        <v>2195</v>
      </c>
      <c r="B219" t="s">
        <v>2196</v>
      </c>
      <c r="C219" t="s">
        <v>1884</v>
      </c>
      <c r="D219" t="s">
        <v>45</v>
      </c>
      <c r="E219" s="1">
        <v>80</v>
      </c>
      <c r="F219">
        <v>5</v>
      </c>
      <c r="G219">
        <v>0</v>
      </c>
      <c r="H219">
        <v>25</v>
      </c>
      <c r="I219">
        <v>0</v>
      </c>
      <c r="J219">
        <v>0</v>
      </c>
      <c r="K219">
        <f t="shared" si="12"/>
        <v>25</v>
      </c>
      <c r="L219" s="1">
        <f t="shared" si="13"/>
        <v>0</v>
      </c>
      <c r="M219" s="1">
        <f t="shared" si="14"/>
        <v>2000</v>
      </c>
    </row>
    <row r="220" spans="1:13" customFormat="1" hidden="1" x14ac:dyDescent="0.3">
      <c r="A220" t="s">
        <v>2197</v>
      </c>
      <c r="B220" t="s">
        <v>2198</v>
      </c>
      <c r="C220" t="s">
        <v>1804</v>
      </c>
      <c r="D220" t="s">
        <v>45</v>
      </c>
      <c r="E220" s="1">
        <v>30</v>
      </c>
      <c r="F220">
        <v>7</v>
      </c>
      <c r="G220">
        <v>0</v>
      </c>
      <c r="H220">
        <v>35</v>
      </c>
      <c r="I220">
        <v>0</v>
      </c>
      <c r="J220">
        <v>0</v>
      </c>
      <c r="K220">
        <f t="shared" si="12"/>
        <v>35</v>
      </c>
      <c r="L220" s="1">
        <f t="shared" si="13"/>
        <v>0</v>
      </c>
      <c r="M220" s="1">
        <f t="shared" si="14"/>
        <v>1050</v>
      </c>
    </row>
    <row r="221" spans="1:13" customFormat="1" hidden="1" x14ac:dyDescent="0.3">
      <c r="A221" t="s">
        <v>2199</v>
      </c>
      <c r="B221" t="s">
        <v>2200</v>
      </c>
      <c r="C221" t="s">
        <v>70</v>
      </c>
      <c r="D221" t="s">
        <v>45</v>
      </c>
      <c r="E221" s="1">
        <v>1901.25</v>
      </c>
      <c r="F221">
        <v>1</v>
      </c>
      <c r="G221">
        <v>0</v>
      </c>
      <c r="H221">
        <v>3</v>
      </c>
      <c r="I221">
        <v>0</v>
      </c>
      <c r="J221">
        <v>0</v>
      </c>
      <c r="K221">
        <f t="shared" si="12"/>
        <v>3</v>
      </c>
      <c r="L221" s="1">
        <f t="shared" si="13"/>
        <v>0</v>
      </c>
      <c r="M221" s="1">
        <f t="shared" si="14"/>
        <v>5703.75</v>
      </c>
    </row>
    <row r="222" spans="1:13" customFormat="1" hidden="1" x14ac:dyDescent="0.3">
      <c r="A222" t="s">
        <v>2201</v>
      </c>
      <c r="B222" t="s">
        <v>2202</v>
      </c>
      <c r="C222" t="s">
        <v>70</v>
      </c>
      <c r="D222" t="s">
        <v>45</v>
      </c>
      <c r="E222" s="1">
        <v>607.14</v>
      </c>
      <c r="F222">
        <v>2</v>
      </c>
      <c r="G222">
        <v>0</v>
      </c>
      <c r="H222">
        <v>6</v>
      </c>
      <c r="I222">
        <v>0</v>
      </c>
      <c r="J222">
        <v>0</v>
      </c>
      <c r="K222">
        <f t="shared" si="12"/>
        <v>6</v>
      </c>
      <c r="L222" s="1">
        <f t="shared" si="13"/>
        <v>0</v>
      </c>
      <c r="M222" s="1">
        <f t="shared" si="14"/>
        <v>3642.84</v>
      </c>
    </row>
    <row r="223" spans="1:13" customFormat="1" hidden="1" x14ac:dyDescent="0.3">
      <c r="A223" t="s">
        <v>2203</v>
      </c>
      <c r="B223" t="s">
        <v>2204</v>
      </c>
      <c r="C223" t="s">
        <v>211</v>
      </c>
      <c r="D223" t="s">
        <v>45</v>
      </c>
      <c r="E223" s="1">
        <v>1014</v>
      </c>
      <c r="F223">
        <v>2</v>
      </c>
      <c r="G223">
        <v>0</v>
      </c>
      <c r="H223">
        <v>10</v>
      </c>
      <c r="I223">
        <v>0</v>
      </c>
      <c r="J223">
        <v>0</v>
      </c>
      <c r="K223">
        <f t="shared" si="12"/>
        <v>10</v>
      </c>
      <c r="L223" s="1">
        <f t="shared" si="13"/>
        <v>0</v>
      </c>
      <c r="M223" s="1">
        <f t="shared" si="14"/>
        <v>10140</v>
      </c>
    </row>
    <row r="224" spans="1:13" customFormat="1" hidden="1" x14ac:dyDescent="0.3">
      <c r="A224" t="s">
        <v>2205</v>
      </c>
      <c r="B224" t="s">
        <v>2103</v>
      </c>
      <c r="C224" t="s">
        <v>2206</v>
      </c>
      <c r="D224" t="s">
        <v>45</v>
      </c>
      <c r="E224" s="1">
        <v>0</v>
      </c>
      <c r="F224">
        <v>1</v>
      </c>
      <c r="G224">
        <v>0</v>
      </c>
      <c r="H224">
        <v>3</v>
      </c>
      <c r="I224">
        <v>0</v>
      </c>
      <c r="J224">
        <v>0</v>
      </c>
      <c r="K224">
        <f t="shared" si="12"/>
        <v>3</v>
      </c>
      <c r="L224" s="1">
        <f t="shared" si="13"/>
        <v>0</v>
      </c>
      <c r="M224" s="1">
        <f t="shared" si="14"/>
        <v>0</v>
      </c>
    </row>
    <row r="225" spans="1:13" customFormat="1" hidden="1" x14ac:dyDescent="0.3">
      <c r="A225" t="s">
        <v>2207</v>
      </c>
      <c r="B225" t="s">
        <v>2208</v>
      </c>
      <c r="C225" t="s">
        <v>1755</v>
      </c>
      <c r="D225" t="s">
        <v>45</v>
      </c>
      <c r="E225" s="1">
        <v>28.72</v>
      </c>
      <c r="F225">
        <v>3</v>
      </c>
      <c r="G225">
        <v>0</v>
      </c>
      <c r="H225">
        <v>15</v>
      </c>
      <c r="I225">
        <v>0</v>
      </c>
      <c r="J225">
        <v>0</v>
      </c>
      <c r="K225">
        <f t="shared" si="12"/>
        <v>15</v>
      </c>
      <c r="L225" s="1">
        <f t="shared" si="13"/>
        <v>0</v>
      </c>
      <c r="M225" s="1">
        <f t="shared" si="14"/>
        <v>430.79999999999995</v>
      </c>
    </row>
    <row r="226" spans="1:13" customFormat="1" hidden="1" x14ac:dyDescent="0.3">
      <c r="A226" t="s">
        <v>2209</v>
      </c>
      <c r="B226" t="s">
        <v>2210</v>
      </c>
      <c r="C226" t="s">
        <v>1807</v>
      </c>
      <c r="D226" t="s">
        <v>45</v>
      </c>
      <c r="E226" s="1">
        <v>686.4</v>
      </c>
      <c r="F226">
        <v>2</v>
      </c>
      <c r="G226">
        <v>0</v>
      </c>
      <c r="H226">
        <v>8</v>
      </c>
      <c r="I226">
        <v>0</v>
      </c>
      <c r="J226">
        <v>0</v>
      </c>
      <c r="K226">
        <f t="shared" si="12"/>
        <v>8</v>
      </c>
      <c r="L226" s="1">
        <f t="shared" si="13"/>
        <v>0</v>
      </c>
      <c r="M226" s="1">
        <f t="shared" si="14"/>
        <v>5491.2</v>
      </c>
    </row>
    <row r="227" spans="1:13" customFormat="1" hidden="1" x14ac:dyDescent="0.3">
      <c r="A227" t="s">
        <v>2211</v>
      </c>
      <c r="B227" t="s">
        <v>2107</v>
      </c>
      <c r="C227" t="s">
        <v>2212</v>
      </c>
      <c r="D227" t="s">
        <v>45</v>
      </c>
      <c r="E227" s="1">
        <v>1092.5</v>
      </c>
      <c r="F227">
        <v>3</v>
      </c>
      <c r="G227">
        <v>0</v>
      </c>
      <c r="H227">
        <v>15</v>
      </c>
      <c r="I227">
        <v>0</v>
      </c>
      <c r="J227">
        <v>0</v>
      </c>
      <c r="K227">
        <f t="shared" si="12"/>
        <v>15</v>
      </c>
      <c r="L227" s="1">
        <f t="shared" si="13"/>
        <v>0</v>
      </c>
      <c r="M227" s="1">
        <f t="shared" si="14"/>
        <v>16387.5</v>
      </c>
    </row>
    <row r="228" spans="1:13" customFormat="1" hidden="1" x14ac:dyDescent="0.3">
      <c r="A228" t="s">
        <v>2213</v>
      </c>
      <c r="B228" t="s">
        <v>2214</v>
      </c>
      <c r="C228" t="s">
        <v>211</v>
      </c>
      <c r="D228" t="s">
        <v>45</v>
      </c>
      <c r="E228" s="1">
        <v>1598</v>
      </c>
      <c r="F228">
        <v>1</v>
      </c>
      <c r="G228">
        <v>0</v>
      </c>
      <c r="H228">
        <v>5</v>
      </c>
      <c r="I228">
        <v>0</v>
      </c>
      <c r="J228">
        <v>0</v>
      </c>
      <c r="K228">
        <f t="shared" si="12"/>
        <v>5</v>
      </c>
      <c r="L228" s="1">
        <f t="shared" si="13"/>
        <v>0</v>
      </c>
      <c r="M228" s="1">
        <f t="shared" si="14"/>
        <v>7990</v>
      </c>
    </row>
    <row r="229" spans="1:13" customFormat="1" hidden="1" x14ac:dyDescent="0.3">
      <c r="A229" t="s">
        <v>2215</v>
      </c>
      <c r="B229" t="s">
        <v>2216</v>
      </c>
      <c r="C229" t="s">
        <v>2217</v>
      </c>
      <c r="D229" t="s">
        <v>45</v>
      </c>
      <c r="E229" s="1">
        <v>50.22</v>
      </c>
      <c r="F229">
        <v>6</v>
      </c>
      <c r="G229">
        <v>0</v>
      </c>
      <c r="H229">
        <v>30</v>
      </c>
      <c r="I229">
        <v>0</v>
      </c>
      <c r="J229">
        <v>0</v>
      </c>
      <c r="K229">
        <f t="shared" si="12"/>
        <v>30</v>
      </c>
      <c r="L229" s="1">
        <f t="shared" si="13"/>
        <v>0</v>
      </c>
      <c r="M229" s="1">
        <f t="shared" si="14"/>
        <v>1506.6</v>
      </c>
    </row>
    <row r="230" spans="1:13" customFormat="1" hidden="1" x14ac:dyDescent="0.3">
      <c r="A230" t="s">
        <v>2218</v>
      </c>
      <c r="B230" t="s">
        <v>2219</v>
      </c>
      <c r="C230" t="s">
        <v>1801</v>
      </c>
      <c r="D230" t="s">
        <v>45</v>
      </c>
      <c r="E230" s="1">
        <v>174.26</v>
      </c>
      <c r="F230">
        <v>1</v>
      </c>
      <c r="G230">
        <v>0</v>
      </c>
      <c r="H230">
        <v>5</v>
      </c>
      <c r="I230">
        <v>0</v>
      </c>
      <c r="J230">
        <v>0</v>
      </c>
      <c r="K230">
        <f t="shared" si="12"/>
        <v>5</v>
      </c>
      <c r="L230" s="1">
        <f t="shared" si="13"/>
        <v>0</v>
      </c>
      <c r="M230" s="1">
        <f t="shared" si="14"/>
        <v>871.3</v>
      </c>
    </row>
    <row r="231" spans="1:13" customFormat="1" hidden="1" x14ac:dyDescent="0.3">
      <c r="A231" t="s">
        <v>2220</v>
      </c>
      <c r="B231" t="s">
        <v>2221</v>
      </c>
      <c r="C231" t="s">
        <v>300</v>
      </c>
      <c r="D231" t="s">
        <v>45</v>
      </c>
      <c r="E231" s="1">
        <v>7076</v>
      </c>
      <c r="F231">
        <v>2</v>
      </c>
      <c r="G231">
        <v>0</v>
      </c>
      <c r="H231">
        <v>4</v>
      </c>
      <c r="I231">
        <v>0</v>
      </c>
      <c r="J231">
        <v>0</v>
      </c>
      <c r="K231">
        <f t="shared" si="12"/>
        <v>4</v>
      </c>
      <c r="L231" s="1">
        <f t="shared" si="13"/>
        <v>0</v>
      </c>
      <c r="M231" s="1">
        <f t="shared" si="14"/>
        <v>28304</v>
      </c>
    </row>
    <row r="232" spans="1:13" customFormat="1" hidden="1" x14ac:dyDescent="0.3">
      <c r="A232" t="s">
        <v>2222</v>
      </c>
      <c r="B232" t="s">
        <v>2223</v>
      </c>
      <c r="C232" t="s">
        <v>1804</v>
      </c>
      <c r="D232" t="s">
        <v>45</v>
      </c>
      <c r="E232" s="1">
        <v>30</v>
      </c>
      <c r="F232">
        <v>12</v>
      </c>
      <c r="G232">
        <v>0</v>
      </c>
      <c r="H232">
        <v>62</v>
      </c>
      <c r="I232">
        <v>0</v>
      </c>
      <c r="J232">
        <v>0</v>
      </c>
      <c r="K232">
        <f t="shared" si="12"/>
        <v>62</v>
      </c>
      <c r="L232" s="1">
        <f t="shared" si="13"/>
        <v>0</v>
      </c>
      <c r="M232" s="1">
        <f t="shared" si="14"/>
        <v>1860</v>
      </c>
    </row>
    <row r="233" spans="1:13" customFormat="1" hidden="1" x14ac:dyDescent="0.3">
      <c r="A233" t="s">
        <v>2224</v>
      </c>
      <c r="B233" t="s">
        <v>2225</v>
      </c>
      <c r="C233" t="s">
        <v>1344</v>
      </c>
      <c r="D233" t="s">
        <v>45</v>
      </c>
      <c r="E233" s="1">
        <v>1482.96</v>
      </c>
      <c r="F233">
        <v>2</v>
      </c>
      <c r="G233">
        <v>0</v>
      </c>
      <c r="H233">
        <v>4</v>
      </c>
      <c r="I233">
        <v>0</v>
      </c>
      <c r="J233">
        <v>0</v>
      </c>
      <c r="K233">
        <f t="shared" si="12"/>
        <v>4</v>
      </c>
      <c r="L233" s="1">
        <f t="shared" si="13"/>
        <v>0</v>
      </c>
      <c r="M233" s="1">
        <f t="shared" si="14"/>
        <v>5931.84</v>
      </c>
    </row>
    <row r="234" spans="1:13" customFormat="1" hidden="1" x14ac:dyDescent="0.3">
      <c r="A234" t="s">
        <v>2226</v>
      </c>
      <c r="B234" t="s">
        <v>2227</v>
      </c>
      <c r="C234" t="s">
        <v>81</v>
      </c>
      <c r="D234" t="s">
        <v>45</v>
      </c>
      <c r="E234" s="1">
        <v>2911.14</v>
      </c>
      <c r="F234">
        <v>1</v>
      </c>
      <c r="G234">
        <v>0</v>
      </c>
      <c r="H234">
        <v>2</v>
      </c>
      <c r="I234">
        <v>0</v>
      </c>
      <c r="J234">
        <v>0</v>
      </c>
      <c r="K234">
        <f t="shared" si="12"/>
        <v>2</v>
      </c>
      <c r="L234" s="1">
        <f t="shared" si="13"/>
        <v>0</v>
      </c>
      <c r="M234" s="1">
        <f t="shared" si="14"/>
        <v>5822.28</v>
      </c>
    </row>
    <row r="235" spans="1:13" customFormat="1" hidden="1" x14ac:dyDescent="0.3">
      <c r="A235" t="s">
        <v>2228</v>
      </c>
      <c r="B235" t="s">
        <v>2229</v>
      </c>
      <c r="C235" t="s">
        <v>1755</v>
      </c>
      <c r="D235" t="s">
        <v>45</v>
      </c>
      <c r="E235" s="1">
        <v>43.84</v>
      </c>
      <c r="F235">
        <v>1</v>
      </c>
      <c r="G235">
        <v>0</v>
      </c>
      <c r="H235">
        <v>5</v>
      </c>
      <c r="I235">
        <v>0</v>
      </c>
      <c r="J235">
        <v>0</v>
      </c>
      <c r="K235">
        <f t="shared" si="12"/>
        <v>5</v>
      </c>
      <c r="L235" s="1">
        <f t="shared" si="13"/>
        <v>0</v>
      </c>
      <c r="M235" s="1">
        <f t="shared" si="14"/>
        <v>219.20000000000002</v>
      </c>
    </row>
    <row r="236" spans="1:13" customFormat="1" hidden="1" x14ac:dyDescent="0.3">
      <c r="A236" t="s">
        <v>2230</v>
      </c>
      <c r="B236" t="s">
        <v>2107</v>
      </c>
      <c r="C236" t="s">
        <v>472</v>
      </c>
      <c r="D236" t="s">
        <v>45</v>
      </c>
      <c r="E236" s="1">
        <v>1002.78</v>
      </c>
      <c r="F236">
        <v>1</v>
      </c>
      <c r="G236">
        <v>0</v>
      </c>
      <c r="H236">
        <v>3</v>
      </c>
      <c r="I236">
        <v>0</v>
      </c>
      <c r="J236">
        <v>0</v>
      </c>
      <c r="K236">
        <f t="shared" si="12"/>
        <v>3</v>
      </c>
      <c r="L236" s="1">
        <f t="shared" si="13"/>
        <v>0</v>
      </c>
      <c r="M236" s="1">
        <f t="shared" si="14"/>
        <v>3008.34</v>
      </c>
    </row>
    <row r="237" spans="1:13" customFormat="1" hidden="1" x14ac:dyDescent="0.3">
      <c r="A237" t="s">
        <v>2231</v>
      </c>
      <c r="B237" t="s">
        <v>2232</v>
      </c>
      <c r="C237" t="s">
        <v>1801</v>
      </c>
      <c r="D237" t="s">
        <v>45</v>
      </c>
      <c r="E237" s="1">
        <v>134.30000000000001</v>
      </c>
      <c r="F237">
        <v>2</v>
      </c>
      <c r="G237">
        <v>0</v>
      </c>
      <c r="H237">
        <v>10</v>
      </c>
      <c r="I237">
        <v>0</v>
      </c>
      <c r="J237">
        <v>0</v>
      </c>
      <c r="K237">
        <f t="shared" si="12"/>
        <v>10</v>
      </c>
      <c r="L237" s="1">
        <f t="shared" si="13"/>
        <v>0</v>
      </c>
      <c r="M237" s="1">
        <f t="shared" si="14"/>
        <v>1343</v>
      </c>
    </row>
    <row r="238" spans="1:13" customFormat="1" hidden="1" x14ac:dyDescent="0.3">
      <c r="A238" t="s">
        <v>2233</v>
      </c>
      <c r="B238" t="s">
        <v>2234</v>
      </c>
      <c r="C238" t="s">
        <v>1801</v>
      </c>
      <c r="D238" t="s">
        <v>45</v>
      </c>
      <c r="E238" s="1">
        <v>186.29</v>
      </c>
      <c r="F238">
        <v>1</v>
      </c>
      <c r="G238">
        <v>0</v>
      </c>
      <c r="H238">
        <v>5</v>
      </c>
      <c r="I238">
        <v>0</v>
      </c>
      <c r="J238">
        <v>0</v>
      </c>
      <c r="K238">
        <f t="shared" si="12"/>
        <v>5</v>
      </c>
      <c r="L238" s="1">
        <f t="shared" si="13"/>
        <v>0</v>
      </c>
      <c r="M238" s="1">
        <f t="shared" si="14"/>
        <v>931.44999999999993</v>
      </c>
    </row>
    <row r="239" spans="1:13" customFormat="1" hidden="1" x14ac:dyDescent="0.3">
      <c r="A239" t="s">
        <v>2235</v>
      </c>
      <c r="B239" t="s">
        <v>2236</v>
      </c>
      <c r="D239" t="s">
        <v>45</v>
      </c>
      <c r="E239" s="1">
        <v>0</v>
      </c>
      <c r="F239">
        <v>1</v>
      </c>
      <c r="G239">
        <v>0</v>
      </c>
      <c r="H239">
        <v>2</v>
      </c>
      <c r="I239">
        <v>0</v>
      </c>
      <c r="J239">
        <v>0</v>
      </c>
      <c r="K239">
        <f t="shared" si="12"/>
        <v>2</v>
      </c>
      <c r="L239" s="1">
        <f t="shared" si="13"/>
        <v>0</v>
      </c>
      <c r="M239" s="1">
        <f t="shared" si="14"/>
        <v>0</v>
      </c>
    </row>
    <row r="240" spans="1:13" customFormat="1" hidden="1" x14ac:dyDescent="0.3">
      <c r="A240" t="s">
        <v>2237</v>
      </c>
      <c r="B240" t="s">
        <v>2238</v>
      </c>
      <c r="C240" t="s">
        <v>1801</v>
      </c>
      <c r="D240" t="s">
        <v>45</v>
      </c>
      <c r="E240" s="1">
        <v>223.66</v>
      </c>
      <c r="F240">
        <v>1</v>
      </c>
      <c r="G240">
        <v>0</v>
      </c>
      <c r="H240">
        <v>2</v>
      </c>
      <c r="I240">
        <v>0</v>
      </c>
      <c r="J240">
        <v>0</v>
      </c>
      <c r="K240">
        <f t="shared" si="12"/>
        <v>2</v>
      </c>
      <c r="L240" s="1">
        <f t="shared" si="13"/>
        <v>0</v>
      </c>
      <c r="M240" s="1">
        <f t="shared" si="14"/>
        <v>447.32</v>
      </c>
    </row>
    <row r="241" spans="1:13" customFormat="1" hidden="1" x14ac:dyDescent="0.3">
      <c r="A241" t="s">
        <v>2239</v>
      </c>
      <c r="B241" t="s">
        <v>2240</v>
      </c>
      <c r="C241" t="s">
        <v>1894</v>
      </c>
      <c r="D241" t="s">
        <v>45</v>
      </c>
      <c r="E241" s="1">
        <v>5.42</v>
      </c>
      <c r="F241">
        <v>38</v>
      </c>
      <c r="G241">
        <v>0</v>
      </c>
      <c r="H241">
        <v>188</v>
      </c>
      <c r="I241">
        <v>0</v>
      </c>
      <c r="J241">
        <v>0</v>
      </c>
      <c r="K241">
        <f t="shared" si="12"/>
        <v>188</v>
      </c>
      <c r="L241" s="1">
        <f t="shared" si="13"/>
        <v>0</v>
      </c>
      <c r="M241" s="1">
        <f t="shared" si="14"/>
        <v>1018.96</v>
      </c>
    </row>
    <row r="242" spans="1:13" customFormat="1" hidden="1" x14ac:dyDescent="0.3">
      <c r="A242" t="s">
        <v>2241</v>
      </c>
      <c r="B242" t="s">
        <v>2242</v>
      </c>
      <c r="C242" t="s">
        <v>1531</v>
      </c>
      <c r="D242" t="s">
        <v>45</v>
      </c>
      <c r="E242" s="1">
        <v>34.78</v>
      </c>
      <c r="F242">
        <v>7</v>
      </c>
      <c r="G242">
        <v>0</v>
      </c>
      <c r="H242">
        <v>35</v>
      </c>
      <c r="I242">
        <v>0</v>
      </c>
      <c r="J242">
        <v>0</v>
      </c>
      <c r="K242">
        <f t="shared" si="12"/>
        <v>35</v>
      </c>
      <c r="L242" s="1">
        <f t="shared" si="13"/>
        <v>0</v>
      </c>
      <c r="M242" s="1">
        <f t="shared" si="14"/>
        <v>1217.3</v>
      </c>
    </row>
    <row r="243" spans="1:13" customFormat="1" hidden="1" x14ac:dyDescent="0.3">
      <c r="A243" t="s">
        <v>2243</v>
      </c>
      <c r="B243" t="s">
        <v>2244</v>
      </c>
      <c r="C243" t="s">
        <v>252</v>
      </c>
      <c r="D243" t="s">
        <v>45</v>
      </c>
      <c r="E243" s="1">
        <v>1308</v>
      </c>
      <c r="F243">
        <v>2</v>
      </c>
      <c r="G243">
        <v>0</v>
      </c>
      <c r="H243">
        <v>8</v>
      </c>
      <c r="I243">
        <v>0</v>
      </c>
      <c r="J243">
        <v>0</v>
      </c>
      <c r="K243">
        <f t="shared" si="12"/>
        <v>8</v>
      </c>
      <c r="L243" s="1">
        <f t="shared" si="13"/>
        <v>0</v>
      </c>
      <c r="M243" s="1">
        <f t="shared" si="14"/>
        <v>10464</v>
      </c>
    </row>
    <row r="244" spans="1:13" customFormat="1" hidden="1" x14ac:dyDescent="0.3">
      <c r="A244" t="s">
        <v>2245</v>
      </c>
      <c r="B244" t="s">
        <v>2246</v>
      </c>
      <c r="D244" t="s">
        <v>45</v>
      </c>
      <c r="E244" s="1">
        <v>0</v>
      </c>
      <c r="F244">
        <v>12</v>
      </c>
      <c r="G244">
        <v>0</v>
      </c>
      <c r="H244">
        <v>60</v>
      </c>
      <c r="I244">
        <v>0</v>
      </c>
      <c r="J244">
        <v>0</v>
      </c>
      <c r="K244">
        <f t="shared" si="12"/>
        <v>60</v>
      </c>
      <c r="L244" s="1">
        <f t="shared" si="13"/>
        <v>0</v>
      </c>
      <c r="M244" s="1">
        <f t="shared" si="14"/>
        <v>0</v>
      </c>
    </row>
    <row r="245" spans="1:13" customFormat="1" hidden="1" x14ac:dyDescent="0.3">
      <c r="A245" t="s">
        <v>2247</v>
      </c>
      <c r="B245" t="s">
        <v>2248</v>
      </c>
      <c r="D245" t="s">
        <v>45</v>
      </c>
      <c r="E245" s="1">
        <v>0</v>
      </c>
      <c r="F245">
        <v>12</v>
      </c>
      <c r="G245">
        <v>0</v>
      </c>
      <c r="H245">
        <v>58</v>
      </c>
      <c r="I245">
        <v>0</v>
      </c>
      <c r="J245">
        <v>0</v>
      </c>
      <c r="K245">
        <f t="shared" si="12"/>
        <v>58</v>
      </c>
      <c r="L245" s="1">
        <f t="shared" si="13"/>
        <v>0</v>
      </c>
      <c r="M245" s="1">
        <f t="shared" si="14"/>
        <v>0</v>
      </c>
    </row>
    <row r="246" spans="1:13" customFormat="1" hidden="1" x14ac:dyDescent="0.3">
      <c r="A246" t="s">
        <v>2249</v>
      </c>
      <c r="B246" t="s">
        <v>2250</v>
      </c>
      <c r="C246" t="s">
        <v>1764</v>
      </c>
      <c r="D246" t="s">
        <v>45</v>
      </c>
      <c r="E246" s="1">
        <v>2560</v>
      </c>
      <c r="F246">
        <v>1</v>
      </c>
      <c r="G246">
        <v>0</v>
      </c>
      <c r="H246">
        <v>2</v>
      </c>
      <c r="I246">
        <v>0</v>
      </c>
      <c r="J246">
        <v>0</v>
      </c>
      <c r="K246">
        <f t="shared" si="12"/>
        <v>2</v>
      </c>
      <c r="L246" s="1">
        <f t="shared" si="13"/>
        <v>0</v>
      </c>
      <c r="M246" s="1">
        <f t="shared" si="14"/>
        <v>5120</v>
      </c>
    </row>
    <row r="247" spans="1:13" customFormat="1" hidden="1" x14ac:dyDescent="0.3">
      <c r="A247" t="s">
        <v>2251</v>
      </c>
      <c r="B247" t="s">
        <v>2252</v>
      </c>
      <c r="C247" t="s">
        <v>1764</v>
      </c>
      <c r="D247" t="s">
        <v>45</v>
      </c>
      <c r="E247" s="1">
        <v>960</v>
      </c>
      <c r="F247">
        <v>1</v>
      </c>
      <c r="G247">
        <v>0</v>
      </c>
      <c r="H247">
        <v>5</v>
      </c>
      <c r="I247">
        <v>0</v>
      </c>
      <c r="J247">
        <v>0</v>
      </c>
      <c r="K247">
        <f t="shared" si="12"/>
        <v>5</v>
      </c>
      <c r="L247" s="1">
        <f t="shared" si="13"/>
        <v>0</v>
      </c>
      <c r="M247" s="1">
        <f t="shared" si="14"/>
        <v>4800</v>
      </c>
    </row>
    <row r="248" spans="1:13" customFormat="1" hidden="1" x14ac:dyDescent="0.3">
      <c r="A248" t="s">
        <v>2253</v>
      </c>
      <c r="B248" t="s">
        <v>2254</v>
      </c>
      <c r="C248" t="s">
        <v>1752</v>
      </c>
      <c r="D248" t="s">
        <v>45</v>
      </c>
      <c r="E248" s="1">
        <v>183.23</v>
      </c>
      <c r="F248">
        <v>100</v>
      </c>
      <c r="G248">
        <v>0</v>
      </c>
      <c r="H248">
        <v>500</v>
      </c>
      <c r="I248">
        <v>0</v>
      </c>
      <c r="J248">
        <v>0</v>
      </c>
      <c r="K248">
        <f t="shared" si="12"/>
        <v>500</v>
      </c>
      <c r="L248" s="1">
        <f t="shared" si="13"/>
        <v>0</v>
      </c>
      <c r="M248" s="1">
        <f t="shared" si="14"/>
        <v>91615</v>
      </c>
    </row>
    <row r="249" spans="1:13" customFormat="1" hidden="1" x14ac:dyDescent="0.3">
      <c r="A249" t="s">
        <v>2255</v>
      </c>
      <c r="B249" t="s">
        <v>2256</v>
      </c>
      <c r="C249" t="s">
        <v>1752</v>
      </c>
      <c r="D249" t="s">
        <v>45</v>
      </c>
      <c r="E249" s="1">
        <v>776.58</v>
      </c>
      <c r="F249">
        <v>2</v>
      </c>
      <c r="G249">
        <v>0</v>
      </c>
      <c r="H249">
        <v>12</v>
      </c>
      <c r="I249">
        <v>0</v>
      </c>
      <c r="J249">
        <v>0</v>
      </c>
      <c r="K249">
        <f t="shared" si="12"/>
        <v>12</v>
      </c>
      <c r="L249" s="1">
        <f t="shared" si="13"/>
        <v>0</v>
      </c>
      <c r="M249" s="1">
        <f t="shared" si="14"/>
        <v>9318.9600000000009</v>
      </c>
    </row>
    <row r="250" spans="1:13" customFormat="1" hidden="1" x14ac:dyDescent="0.3">
      <c r="A250" t="s">
        <v>2257</v>
      </c>
      <c r="B250" t="s">
        <v>2258</v>
      </c>
      <c r="C250" t="s">
        <v>1752</v>
      </c>
      <c r="D250" t="s">
        <v>45</v>
      </c>
      <c r="E250" s="1">
        <v>785.66</v>
      </c>
      <c r="F250">
        <v>4</v>
      </c>
      <c r="G250">
        <v>0</v>
      </c>
      <c r="H250">
        <v>18</v>
      </c>
      <c r="I250">
        <v>0</v>
      </c>
      <c r="J250">
        <v>0</v>
      </c>
      <c r="K250">
        <f t="shared" si="12"/>
        <v>18</v>
      </c>
      <c r="L250" s="1">
        <f t="shared" si="13"/>
        <v>0</v>
      </c>
      <c r="M250" s="1">
        <f t="shared" si="14"/>
        <v>14141.88</v>
      </c>
    </row>
    <row r="251" spans="1:13" customFormat="1" hidden="1" x14ac:dyDescent="0.3">
      <c r="A251" t="s">
        <v>2259</v>
      </c>
      <c r="B251" t="s">
        <v>2260</v>
      </c>
      <c r="C251" t="s">
        <v>2261</v>
      </c>
      <c r="D251" t="s">
        <v>45</v>
      </c>
      <c r="E251" s="1">
        <v>47.06</v>
      </c>
      <c r="F251">
        <v>50</v>
      </c>
      <c r="G251">
        <v>0</v>
      </c>
      <c r="H251">
        <v>250</v>
      </c>
      <c r="I251">
        <v>0</v>
      </c>
      <c r="J251">
        <v>0</v>
      </c>
      <c r="K251">
        <f t="shared" si="12"/>
        <v>250</v>
      </c>
      <c r="L251" s="1">
        <f t="shared" si="13"/>
        <v>0</v>
      </c>
      <c r="M251" s="1">
        <f t="shared" si="14"/>
        <v>11765</v>
      </c>
    </row>
    <row r="252" spans="1:13" customFormat="1" hidden="1" x14ac:dyDescent="0.3">
      <c r="A252" t="s">
        <v>2262</v>
      </c>
      <c r="B252" t="s">
        <v>2263</v>
      </c>
      <c r="C252" t="s">
        <v>1752</v>
      </c>
      <c r="D252" t="s">
        <v>45</v>
      </c>
      <c r="E252" s="1">
        <v>80.5</v>
      </c>
      <c r="F252">
        <v>2</v>
      </c>
      <c r="G252">
        <v>0</v>
      </c>
      <c r="H252">
        <v>8</v>
      </c>
      <c r="I252">
        <v>0</v>
      </c>
      <c r="J252">
        <v>0</v>
      </c>
      <c r="K252">
        <f t="shared" si="12"/>
        <v>8</v>
      </c>
      <c r="L252" s="1">
        <f t="shared" si="13"/>
        <v>0</v>
      </c>
      <c r="M252" s="1">
        <f t="shared" si="14"/>
        <v>644</v>
      </c>
    </row>
    <row r="253" spans="1:13" customFormat="1" hidden="1" x14ac:dyDescent="0.3">
      <c r="A253" t="s">
        <v>2264</v>
      </c>
      <c r="B253" t="s">
        <v>2265</v>
      </c>
      <c r="D253" t="s">
        <v>45</v>
      </c>
      <c r="E253" s="1">
        <v>813.27</v>
      </c>
      <c r="F253">
        <v>1</v>
      </c>
      <c r="G253">
        <v>0</v>
      </c>
      <c r="H253">
        <v>5</v>
      </c>
      <c r="I253">
        <v>0</v>
      </c>
      <c r="J253">
        <v>0</v>
      </c>
      <c r="K253">
        <f t="shared" si="12"/>
        <v>5</v>
      </c>
      <c r="L253" s="1">
        <f t="shared" si="13"/>
        <v>0</v>
      </c>
      <c r="M253" s="1">
        <f t="shared" si="14"/>
        <v>4066.35</v>
      </c>
    </row>
    <row r="254" spans="1:13" customFormat="1" hidden="1" x14ac:dyDescent="0.3">
      <c r="A254" t="s">
        <v>2266</v>
      </c>
      <c r="B254" t="s">
        <v>2267</v>
      </c>
      <c r="C254" t="s">
        <v>305</v>
      </c>
      <c r="D254" t="s">
        <v>45</v>
      </c>
      <c r="E254" s="1">
        <v>53.46</v>
      </c>
      <c r="F254">
        <v>14</v>
      </c>
      <c r="G254">
        <v>0</v>
      </c>
      <c r="H254">
        <v>72</v>
      </c>
      <c r="I254">
        <v>0</v>
      </c>
      <c r="J254">
        <v>0</v>
      </c>
      <c r="K254">
        <f t="shared" si="12"/>
        <v>72</v>
      </c>
      <c r="L254" s="1">
        <f t="shared" si="13"/>
        <v>0</v>
      </c>
      <c r="M254" s="1">
        <f t="shared" si="14"/>
        <v>3849.12</v>
      </c>
    </row>
    <row r="255" spans="1:13" customFormat="1" hidden="1" x14ac:dyDescent="0.3">
      <c r="A255" t="s">
        <v>2268</v>
      </c>
      <c r="B255" t="s">
        <v>2125</v>
      </c>
      <c r="C255" t="s">
        <v>65</v>
      </c>
      <c r="D255" t="s">
        <v>45</v>
      </c>
      <c r="E255" s="1">
        <v>2479</v>
      </c>
      <c r="F255">
        <v>1</v>
      </c>
      <c r="G255">
        <v>0</v>
      </c>
      <c r="H255">
        <v>3</v>
      </c>
      <c r="I255">
        <v>0</v>
      </c>
      <c r="J255">
        <v>0</v>
      </c>
      <c r="K255">
        <f t="shared" si="12"/>
        <v>3</v>
      </c>
      <c r="L255" s="1">
        <f t="shared" si="13"/>
        <v>0</v>
      </c>
      <c r="M255" s="1">
        <f t="shared" si="14"/>
        <v>7437</v>
      </c>
    </row>
    <row r="256" spans="1:13" customFormat="1" hidden="1" x14ac:dyDescent="0.3">
      <c r="A256" t="s">
        <v>2269</v>
      </c>
      <c r="B256" t="s">
        <v>2270</v>
      </c>
      <c r="C256" t="s">
        <v>2271</v>
      </c>
      <c r="D256" t="s">
        <v>45</v>
      </c>
      <c r="E256" s="1">
        <v>7252.17</v>
      </c>
      <c r="F256">
        <v>1</v>
      </c>
      <c r="G256">
        <v>0</v>
      </c>
      <c r="H256">
        <v>2</v>
      </c>
      <c r="I256">
        <v>0</v>
      </c>
      <c r="J256">
        <v>0</v>
      </c>
      <c r="K256">
        <f t="shared" si="12"/>
        <v>2</v>
      </c>
      <c r="L256" s="1">
        <f t="shared" si="13"/>
        <v>0</v>
      </c>
      <c r="M256" s="1">
        <f t="shared" si="14"/>
        <v>14504.34</v>
      </c>
    </row>
    <row r="257" spans="1:13" customFormat="1" hidden="1" x14ac:dyDescent="0.3">
      <c r="A257" t="s">
        <v>2272</v>
      </c>
      <c r="B257" t="s">
        <v>2273</v>
      </c>
      <c r="D257" t="s">
        <v>45</v>
      </c>
      <c r="E257" s="1">
        <v>0</v>
      </c>
      <c r="F257">
        <v>3</v>
      </c>
      <c r="G257">
        <v>0</v>
      </c>
      <c r="H257">
        <v>15</v>
      </c>
      <c r="I257">
        <v>0</v>
      </c>
      <c r="J257">
        <v>0</v>
      </c>
      <c r="K257">
        <f t="shared" si="12"/>
        <v>15</v>
      </c>
      <c r="L257" s="1">
        <f t="shared" si="13"/>
        <v>0</v>
      </c>
      <c r="M257" s="1">
        <f t="shared" si="14"/>
        <v>0</v>
      </c>
    </row>
    <row r="258" spans="1:13" customFormat="1" hidden="1" x14ac:dyDescent="0.3">
      <c r="A258" t="s">
        <v>2274</v>
      </c>
      <c r="B258" t="s">
        <v>2275</v>
      </c>
      <c r="C258" t="s">
        <v>1081</v>
      </c>
      <c r="D258" t="s">
        <v>45</v>
      </c>
      <c r="E258" s="1">
        <v>0</v>
      </c>
      <c r="F258">
        <v>1</v>
      </c>
      <c r="G258">
        <v>0</v>
      </c>
      <c r="H258">
        <v>3</v>
      </c>
      <c r="I258">
        <v>0</v>
      </c>
      <c r="J258">
        <v>0</v>
      </c>
      <c r="K258">
        <f t="shared" si="12"/>
        <v>3</v>
      </c>
      <c r="L258" s="1">
        <f t="shared" si="13"/>
        <v>0</v>
      </c>
      <c r="M258" s="1">
        <f t="shared" si="14"/>
        <v>0</v>
      </c>
    </row>
    <row r="259" spans="1:13" customFormat="1" hidden="1" x14ac:dyDescent="0.3">
      <c r="A259" t="s">
        <v>2276</v>
      </c>
      <c r="B259" t="s">
        <v>2277</v>
      </c>
      <c r="C259" t="s">
        <v>2054</v>
      </c>
      <c r="D259" t="s">
        <v>45</v>
      </c>
      <c r="E259" s="1">
        <v>112</v>
      </c>
      <c r="F259">
        <v>60</v>
      </c>
      <c r="G259">
        <v>0</v>
      </c>
      <c r="H259">
        <v>260</v>
      </c>
      <c r="I259">
        <v>0</v>
      </c>
      <c r="J259">
        <v>0</v>
      </c>
      <c r="K259">
        <f t="shared" si="12"/>
        <v>260</v>
      </c>
      <c r="L259" s="1">
        <f t="shared" si="13"/>
        <v>0</v>
      </c>
      <c r="M259" s="1">
        <f t="shared" si="14"/>
        <v>29120</v>
      </c>
    </row>
    <row r="260" spans="1:13" customFormat="1" hidden="1" x14ac:dyDescent="0.3">
      <c r="A260" t="s">
        <v>2278</v>
      </c>
      <c r="B260" t="s">
        <v>2279</v>
      </c>
      <c r="D260" t="s">
        <v>45</v>
      </c>
      <c r="E260" s="1">
        <v>0</v>
      </c>
      <c r="F260">
        <v>1</v>
      </c>
      <c r="G260">
        <v>0</v>
      </c>
      <c r="H260">
        <v>4</v>
      </c>
      <c r="I260">
        <v>0</v>
      </c>
      <c r="J260">
        <v>0</v>
      </c>
      <c r="K260">
        <f t="shared" si="12"/>
        <v>4</v>
      </c>
      <c r="L260" s="1">
        <f t="shared" si="13"/>
        <v>0</v>
      </c>
      <c r="M260" s="1">
        <f t="shared" si="14"/>
        <v>0</v>
      </c>
    </row>
    <row r="261" spans="1:13" customFormat="1" hidden="1" x14ac:dyDescent="0.3">
      <c r="A261" t="s">
        <v>2280</v>
      </c>
      <c r="B261" t="s">
        <v>2281</v>
      </c>
      <c r="D261" t="s">
        <v>45</v>
      </c>
      <c r="E261" s="1">
        <v>0</v>
      </c>
      <c r="F261">
        <v>1</v>
      </c>
      <c r="G261">
        <v>0</v>
      </c>
      <c r="H261">
        <v>2</v>
      </c>
      <c r="I261">
        <v>0</v>
      </c>
      <c r="J261">
        <v>0</v>
      </c>
      <c r="K261">
        <f t="shared" si="12"/>
        <v>2</v>
      </c>
      <c r="L261" s="1">
        <f t="shared" si="13"/>
        <v>0</v>
      </c>
      <c r="M261" s="1">
        <f t="shared" si="14"/>
        <v>0</v>
      </c>
    </row>
    <row r="262" spans="1:13" customFormat="1" hidden="1" x14ac:dyDescent="0.3">
      <c r="A262" t="s">
        <v>2282</v>
      </c>
      <c r="B262" t="s">
        <v>2283</v>
      </c>
      <c r="C262" t="s">
        <v>252</v>
      </c>
      <c r="D262" t="s">
        <v>45</v>
      </c>
      <c r="E262" s="1">
        <v>29.97</v>
      </c>
      <c r="F262">
        <v>7</v>
      </c>
      <c r="G262">
        <v>0</v>
      </c>
      <c r="H262">
        <v>29</v>
      </c>
      <c r="I262">
        <v>0</v>
      </c>
      <c r="J262">
        <v>0</v>
      </c>
      <c r="K262">
        <f t="shared" si="12"/>
        <v>29</v>
      </c>
      <c r="L262" s="1">
        <f t="shared" si="13"/>
        <v>0</v>
      </c>
      <c r="M262" s="1">
        <f t="shared" si="14"/>
        <v>869.13</v>
      </c>
    </row>
    <row r="263" spans="1:13" customFormat="1" hidden="1" x14ac:dyDescent="0.3">
      <c r="A263" t="s">
        <v>2284</v>
      </c>
      <c r="B263" t="s">
        <v>2285</v>
      </c>
      <c r="D263" t="s">
        <v>45</v>
      </c>
      <c r="E263" s="1">
        <v>0</v>
      </c>
      <c r="F263">
        <v>2</v>
      </c>
      <c r="G263">
        <v>0</v>
      </c>
      <c r="H263">
        <v>10</v>
      </c>
      <c r="I263">
        <v>0</v>
      </c>
      <c r="J263">
        <v>0</v>
      </c>
      <c r="K263">
        <f t="shared" si="12"/>
        <v>10</v>
      </c>
      <c r="L263" s="1">
        <f t="shared" si="13"/>
        <v>0</v>
      </c>
      <c r="M263" s="1">
        <f t="shared" si="14"/>
        <v>0</v>
      </c>
    </row>
    <row r="264" spans="1:13" customFormat="1" hidden="1" x14ac:dyDescent="0.3">
      <c r="A264" t="s">
        <v>2286</v>
      </c>
      <c r="B264" t="s">
        <v>2287</v>
      </c>
      <c r="D264" t="s">
        <v>45</v>
      </c>
      <c r="E264" s="1">
        <v>0</v>
      </c>
      <c r="F264">
        <v>2</v>
      </c>
      <c r="G264">
        <v>0</v>
      </c>
      <c r="H264">
        <v>10</v>
      </c>
      <c r="I264">
        <v>0</v>
      </c>
      <c r="J264">
        <v>0</v>
      </c>
      <c r="K264">
        <f t="shared" si="12"/>
        <v>10</v>
      </c>
      <c r="L264" s="1">
        <f t="shared" si="13"/>
        <v>0</v>
      </c>
      <c r="M264" s="1">
        <f t="shared" si="14"/>
        <v>0</v>
      </c>
    </row>
    <row r="265" spans="1:13" customFormat="1" hidden="1" x14ac:dyDescent="0.3">
      <c r="A265" t="s">
        <v>2288</v>
      </c>
      <c r="B265" t="s">
        <v>2289</v>
      </c>
      <c r="D265" t="s">
        <v>45</v>
      </c>
      <c r="E265" s="1">
        <v>0</v>
      </c>
      <c r="F265">
        <v>1</v>
      </c>
      <c r="G265">
        <v>0</v>
      </c>
      <c r="H265">
        <v>2</v>
      </c>
      <c r="I265">
        <v>0</v>
      </c>
      <c r="J265">
        <v>0</v>
      </c>
      <c r="K265">
        <f t="shared" si="12"/>
        <v>2</v>
      </c>
      <c r="L265" s="1">
        <f t="shared" si="13"/>
        <v>0</v>
      </c>
      <c r="M265" s="1">
        <f t="shared" si="14"/>
        <v>0</v>
      </c>
    </row>
    <row r="266" spans="1:13" customFormat="1" hidden="1" x14ac:dyDescent="0.3">
      <c r="A266" t="s">
        <v>2290</v>
      </c>
      <c r="B266" t="s">
        <v>2291</v>
      </c>
      <c r="D266" t="s">
        <v>45</v>
      </c>
      <c r="E266" s="1">
        <v>0</v>
      </c>
      <c r="F266">
        <v>1</v>
      </c>
      <c r="G266">
        <v>0</v>
      </c>
      <c r="H266">
        <v>5</v>
      </c>
      <c r="I266">
        <v>0</v>
      </c>
      <c r="J266">
        <v>0</v>
      </c>
      <c r="K266">
        <f t="shared" si="12"/>
        <v>5</v>
      </c>
      <c r="L266" s="1">
        <f t="shared" si="13"/>
        <v>0</v>
      </c>
      <c r="M266" s="1">
        <f t="shared" si="14"/>
        <v>0</v>
      </c>
    </row>
    <row r="267" spans="1:13" customFormat="1" hidden="1" x14ac:dyDescent="0.3">
      <c r="A267" t="s">
        <v>2292</v>
      </c>
      <c r="B267" t="s">
        <v>2293</v>
      </c>
      <c r="D267" t="s">
        <v>45</v>
      </c>
      <c r="E267" s="1">
        <v>0</v>
      </c>
      <c r="F267">
        <v>1</v>
      </c>
      <c r="G267">
        <v>0</v>
      </c>
      <c r="H267">
        <v>2</v>
      </c>
      <c r="I267">
        <v>0</v>
      </c>
      <c r="J267">
        <v>0</v>
      </c>
      <c r="K267">
        <f t="shared" si="12"/>
        <v>2</v>
      </c>
      <c r="L267" s="1">
        <f t="shared" si="13"/>
        <v>0</v>
      </c>
      <c r="M267" s="1">
        <f t="shared" si="14"/>
        <v>0</v>
      </c>
    </row>
    <row r="268" spans="1:13" customFormat="1" hidden="1" x14ac:dyDescent="0.3">
      <c r="A268" t="s">
        <v>2294</v>
      </c>
      <c r="B268" t="s">
        <v>2289</v>
      </c>
      <c r="D268" t="s">
        <v>45</v>
      </c>
      <c r="E268" s="1">
        <v>0</v>
      </c>
      <c r="F268">
        <v>1</v>
      </c>
      <c r="G268">
        <v>0</v>
      </c>
      <c r="H268">
        <v>5</v>
      </c>
      <c r="I268">
        <v>0</v>
      </c>
      <c r="J268">
        <v>0</v>
      </c>
      <c r="K268">
        <f t="shared" si="12"/>
        <v>5</v>
      </c>
      <c r="L268" s="1">
        <f t="shared" si="13"/>
        <v>0</v>
      </c>
      <c r="M268" s="1">
        <f t="shared" si="14"/>
        <v>0</v>
      </c>
    </row>
    <row r="269" spans="1:13" customFormat="1" hidden="1" x14ac:dyDescent="0.3">
      <c r="A269" t="s">
        <v>2295</v>
      </c>
      <c r="B269" t="s">
        <v>2296</v>
      </c>
      <c r="D269" t="s">
        <v>45</v>
      </c>
      <c r="E269" s="1">
        <v>0</v>
      </c>
      <c r="F269">
        <v>1</v>
      </c>
      <c r="G269">
        <v>0</v>
      </c>
      <c r="H269">
        <v>2</v>
      </c>
      <c r="I269">
        <v>0</v>
      </c>
      <c r="J269">
        <v>0</v>
      </c>
      <c r="K269">
        <f t="shared" si="12"/>
        <v>2</v>
      </c>
      <c r="L269" s="1">
        <f t="shared" si="13"/>
        <v>0</v>
      </c>
      <c r="M269" s="1">
        <f t="shared" si="14"/>
        <v>0</v>
      </c>
    </row>
    <row r="270" spans="1:13" customFormat="1" hidden="1" x14ac:dyDescent="0.3">
      <c r="A270" t="s">
        <v>2297</v>
      </c>
      <c r="B270" t="s">
        <v>2298</v>
      </c>
      <c r="D270" t="s">
        <v>45</v>
      </c>
      <c r="E270" s="1">
        <v>0</v>
      </c>
      <c r="F270">
        <v>1</v>
      </c>
      <c r="G270">
        <v>0</v>
      </c>
      <c r="H270">
        <v>2</v>
      </c>
      <c r="I270">
        <v>0</v>
      </c>
      <c r="J270">
        <v>0</v>
      </c>
      <c r="K270">
        <f t="shared" ref="K270:K333" si="15">IF(H270-I270-J270&gt;0,H270-I270-J270,0)</f>
        <v>2</v>
      </c>
      <c r="L270" s="1">
        <f t="shared" ref="L270:L333" si="16">IFERROR(I270*E270,0)</f>
        <v>0</v>
      </c>
      <c r="M270" s="1">
        <f t="shared" ref="M270:M333" si="17">IFERROR(K270*E270,0)</f>
        <v>0</v>
      </c>
    </row>
    <row r="271" spans="1:13" customFormat="1" hidden="1" x14ac:dyDescent="0.3">
      <c r="A271" t="s">
        <v>2299</v>
      </c>
      <c r="B271" t="s">
        <v>2300</v>
      </c>
      <c r="D271" t="s">
        <v>45</v>
      </c>
      <c r="E271" s="1">
        <v>0</v>
      </c>
      <c r="F271">
        <v>1</v>
      </c>
      <c r="G271">
        <v>0</v>
      </c>
      <c r="H271">
        <v>2</v>
      </c>
      <c r="I271">
        <v>0</v>
      </c>
      <c r="J271">
        <v>0</v>
      </c>
      <c r="K271">
        <f t="shared" si="15"/>
        <v>2</v>
      </c>
      <c r="L271" s="1">
        <f t="shared" si="16"/>
        <v>0</v>
      </c>
      <c r="M271" s="1">
        <f t="shared" si="17"/>
        <v>0</v>
      </c>
    </row>
    <row r="272" spans="1:13" customFormat="1" hidden="1" x14ac:dyDescent="0.3">
      <c r="A272" t="s">
        <v>2301</v>
      </c>
      <c r="B272" t="s">
        <v>2302</v>
      </c>
      <c r="D272" t="s">
        <v>45</v>
      </c>
      <c r="E272" s="1">
        <v>0</v>
      </c>
      <c r="F272">
        <v>1</v>
      </c>
      <c r="G272">
        <v>0</v>
      </c>
      <c r="H272">
        <v>2</v>
      </c>
      <c r="I272">
        <v>0</v>
      </c>
      <c r="J272">
        <v>0</v>
      </c>
      <c r="K272">
        <f t="shared" si="15"/>
        <v>2</v>
      </c>
      <c r="L272" s="1">
        <f t="shared" si="16"/>
        <v>0</v>
      </c>
      <c r="M272" s="1">
        <f t="shared" si="17"/>
        <v>0</v>
      </c>
    </row>
    <row r="273" spans="1:13" customFormat="1" hidden="1" x14ac:dyDescent="0.3">
      <c r="A273" t="s">
        <v>2303</v>
      </c>
      <c r="B273" t="s">
        <v>2304</v>
      </c>
      <c r="D273" t="s">
        <v>45</v>
      </c>
      <c r="E273" s="1">
        <v>0</v>
      </c>
      <c r="F273">
        <v>1</v>
      </c>
      <c r="G273">
        <v>0</v>
      </c>
      <c r="H273">
        <v>5</v>
      </c>
      <c r="I273">
        <v>0</v>
      </c>
      <c r="J273">
        <v>0</v>
      </c>
      <c r="K273">
        <f t="shared" si="15"/>
        <v>5</v>
      </c>
      <c r="L273" s="1">
        <f t="shared" si="16"/>
        <v>0</v>
      </c>
      <c r="M273" s="1">
        <f t="shared" si="17"/>
        <v>0</v>
      </c>
    </row>
    <row r="274" spans="1:13" customFormat="1" hidden="1" x14ac:dyDescent="0.3">
      <c r="A274" t="s">
        <v>2305</v>
      </c>
      <c r="B274" t="s">
        <v>2306</v>
      </c>
      <c r="D274" t="s">
        <v>45</v>
      </c>
      <c r="E274" s="1">
        <v>0</v>
      </c>
      <c r="F274">
        <v>1</v>
      </c>
      <c r="G274">
        <v>0</v>
      </c>
      <c r="H274">
        <v>5</v>
      </c>
      <c r="I274">
        <v>0</v>
      </c>
      <c r="J274">
        <v>0</v>
      </c>
      <c r="K274">
        <f t="shared" si="15"/>
        <v>5</v>
      </c>
      <c r="L274" s="1">
        <f t="shared" si="16"/>
        <v>0</v>
      </c>
      <c r="M274" s="1">
        <f t="shared" si="17"/>
        <v>0</v>
      </c>
    </row>
    <row r="275" spans="1:13" customFormat="1" hidden="1" x14ac:dyDescent="0.3">
      <c r="A275" t="s">
        <v>2307</v>
      </c>
      <c r="B275" t="s">
        <v>2308</v>
      </c>
      <c r="D275" t="s">
        <v>45</v>
      </c>
      <c r="E275" s="1">
        <v>0</v>
      </c>
      <c r="F275">
        <v>1</v>
      </c>
      <c r="G275">
        <v>0</v>
      </c>
      <c r="H275">
        <v>2</v>
      </c>
      <c r="I275">
        <v>0</v>
      </c>
      <c r="J275">
        <v>0</v>
      </c>
      <c r="K275">
        <f t="shared" si="15"/>
        <v>2</v>
      </c>
      <c r="L275" s="1">
        <f t="shared" si="16"/>
        <v>0</v>
      </c>
      <c r="M275" s="1">
        <f t="shared" si="17"/>
        <v>0</v>
      </c>
    </row>
    <row r="276" spans="1:13" customFormat="1" hidden="1" x14ac:dyDescent="0.3">
      <c r="A276" t="s">
        <v>2309</v>
      </c>
      <c r="B276" t="s">
        <v>2310</v>
      </c>
      <c r="D276" t="s">
        <v>45</v>
      </c>
      <c r="E276" s="1">
        <v>0</v>
      </c>
      <c r="F276">
        <v>1</v>
      </c>
      <c r="G276">
        <v>0</v>
      </c>
      <c r="H276">
        <v>2</v>
      </c>
      <c r="I276">
        <v>0</v>
      </c>
      <c r="J276">
        <v>0</v>
      </c>
      <c r="K276">
        <f t="shared" si="15"/>
        <v>2</v>
      </c>
      <c r="L276" s="1">
        <f t="shared" si="16"/>
        <v>0</v>
      </c>
      <c r="M276" s="1">
        <f t="shared" si="17"/>
        <v>0</v>
      </c>
    </row>
    <row r="277" spans="1:13" customFormat="1" hidden="1" x14ac:dyDescent="0.3">
      <c r="A277" t="s">
        <v>2311</v>
      </c>
      <c r="B277" t="s">
        <v>2312</v>
      </c>
      <c r="D277" t="s">
        <v>45</v>
      </c>
      <c r="E277" s="1">
        <v>0</v>
      </c>
      <c r="F277">
        <v>1</v>
      </c>
      <c r="G277">
        <v>0</v>
      </c>
      <c r="H277">
        <v>2</v>
      </c>
      <c r="I277">
        <v>0</v>
      </c>
      <c r="J277">
        <v>0</v>
      </c>
      <c r="K277">
        <f t="shared" si="15"/>
        <v>2</v>
      </c>
      <c r="L277" s="1">
        <f t="shared" si="16"/>
        <v>0</v>
      </c>
      <c r="M277" s="1">
        <f t="shared" si="17"/>
        <v>0</v>
      </c>
    </row>
    <row r="278" spans="1:13" customFormat="1" hidden="1" x14ac:dyDescent="0.3">
      <c r="A278" t="s">
        <v>2313</v>
      </c>
      <c r="B278" t="s">
        <v>2314</v>
      </c>
      <c r="C278" t="s">
        <v>1171</v>
      </c>
      <c r="D278" t="s">
        <v>45</v>
      </c>
      <c r="E278" s="1">
        <v>490</v>
      </c>
      <c r="F278">
        <v>1</v>
      </c>
      <c r="G278">
        <v>0</v>
      </c>
      <c r="H278">
        <v>2</v>
      </c>
      <c r="I278">
        <v>0</v>
      </c>
      <c r="J278">
        <v>0</v>
      </c>
      <c r="K278">
        <f t="shared" si="15"/>
        <v>2</v>
      </c>
      <c r="L278" s="1">
        <f t="shared" si="16"/>
        <v>0</v>
      </c>
      <c r="M278" s="1">
        <f t="shared" si="17"/>
        <v>980</v>
      </c>
    </row>
    <row r="279" spans="1:13" customFormat="1" hidden="1" x14ac:dyDescent="0.3">
      <c r="A279" t="s">
        <v>2315</v>
      </c>
      <c r="B279" t="s">
        <v>2316</v>
      </c>
      <c r="D279" t="s">
        <v>45</v>
      </c>
      <c r="E279" s="1">
        <v>0</v>
      </c>
      <c r="F279">
        <v>4</v>
      </c>
      <c r="G279">
        <v>0</v>
      </c>
      <c r="H279">
        <v>22</v>
      </c>
      <c r="I279">
        <v>0</v>
      </c>
      <c r="J279">
        <v>0</v>
      </c>
      <c r="K279">
        <f t="shared" si="15"/>
        <v>22</v>
      </c>
      <c r="L279" s="1">
        <f t="shared" si="16"/>
        <v>0</v>
      </c>
      <c r="M279" s="1">
        <f t="shared" si="17"/>
        <v>0</v>
      </c>
    </row>
    <row r="280" spans="1:13" customFormat="1" hidden="1" x14ac:dyDescent="0.3">
      <c r="A280" t="s">
        <v>2317</v>
      </c>
      <c r="B280" t="s">
        <v>2318</v>
      </c>
      <c r="D280" t="s">
        <v>45</v>
      </c>
      <c r="E280" s="1">
        <v>0</v>
      </c>
      <c r="F280">
        <v>3</v>
      </c>
      <c r="G280">
        <v>0</v>
      </c>
      <c r="H280">
        <v>15</v>
      </c>
      <c r="I280">
        <v>0</v>
      </c>
      <c r="J280">
        <v>0</v>
      </c>
      <c r="K280">
        <f t="shared" si="15"/>
        <v>15</v>
      </c>
      <c r="L280" s="1">
        <f t="shared" si="16"/>
        <v>0</v>
      </c>
      <c r="M280" s="1">
        <f t="shared" si="17"/>
        <v>0</v>
      </c>
    </row>
    <row r="281" spans="1:13" customFormat="1" hidden="1" x14ac:dyDescent="0.3">
      <c r="A281" t="s">
        <v>2319</v>
      </c>
      <c r="B281" t="s">
        <v>2320</v>
      </c>
      <c r="C281" t="s">
        <v>2321</v>
      </c>
      <c r="D281" t="s">
        <v>45</v>
      </c>
      <c r="E281" s="1">
        <v>3473.5</v>
      </c>
      <c r="F281">
        <v>1</v>
      </c>
      <c r="G281">
        <v>0</v>
      </c>
      <c r="H281">
        <v>2</v>
      </c>
      <c r="I281">
        <v>0</v>
      </c>
      <c r="J281">
        <v>0</v>
      </c>
      <c r="K281">
        <f t="shared" si="15"/>
        <v>2</v>
      </c>
      <c r="L281" s="1">
        <f t="shared" si="16"/>
        <v>0</v>
      </c>
      <c r="M281" s="1">
        <f t="shared" si="17"/>
        <v>6947</v>
      </c>
    </row>
    <row r="282" spans="1:13" customFormat="1" hidden="1" x14ac:dyDescent="0.3">
      <c r="A282" t="s">
        <v>2322</v>
      </c>
      <c r="B282" t="s">
        <v>2323</v>
      </c>
      <c r="C282" t="s">
        <v>1848</v>
      </c>
      <c r="D282" t="s">
        <v>45</v>
      </c>
      <c r="E282" s="1">
        <v>210</v>
      </c>
      <c r="F282">
        <v>1</v>
      </c>
      <c r="G282">
        <v>0</v>
      </c>
      <c r="H282">
        <v>2</v>
      </c>
      <c r="I282">
        <v>0</v>
      </c>
      <c r="J282">
        <v>0</v>
      </c>
      <c r="K282">
        <f t="shared" si="15"/>
        <v>2</v>
      </c>
      <c r="L282" s="1">
        <f t="shared" si="16"/>
        <v>0</v>
      </c>
      <c r="M282" s="1">
        <f t="shared" si="17"/>
        <v>420</v>
      </c>
    </row>
    <row r="283" spans="1:13" customFormat="1" hidden="1" x14ac:dyDescent="0.3">
      <c r="A283" t="s">
        <v>2324</v>
      </c>
      <c r="B283" t="s">
        <v>2325</v>
      </c>
      <c r="C283" t="s">
        <v>1848</v>
      </c>
      <c r="D283" t="s">
        <v>45</v>
      </c>
      <c r="E283" s="1">
        <v>210</v>
      </c>
      <c r="F283">
        <v>3</v>
      </c>
      <c r="G283">
        <v>0</v>
      </c>
      <c r="H283">
        <v>10</v>
      </c>
      <c r="I283">
        <v>0</v>
      </c>
      <c r="J283">
        <v>0</v>
      </c>
      <c r="K283">
        <f t="shared" si="15"/>
        <v>10</v>
      </c>
      <c r="L283" s="1">
        <f t="shared" si="16"/>
        <v>0</v>
      </c>
      <c r="M283" s="1">
        <f t="shared" si="17"/>
        <v>2100</v>
      </c>
    </row>
    <row r="284" spans="1:13" customFormat="1" hidden="1" x14ac:dyDescent="0.3">
      <c r="A284" t="s">
        <v>2326</v>
      </c>
      <c r="B284" t="s">
        <v>2323</v>
      </c>
      <c r="C284" t="s">
        <v>1848</v>
      </c>
      <c r="D284" t="s">
        <v>45</v>
      </c>
      <c r="E284" s="1">
        <v>210</v>
      </c>
      <c r="F284">
        <v>2</v>
      </c>
      <c r="G284">
        <v>0</v>
      </c>
      <c r="H284">
        <v>12</v>
      </c>
      <c r="I284">
        <v>0</v>
      </c>
      <c r="J284">
        <v>0</v>
      </c>
      <c r="K284">
        <f t="shared" si="15"/>
        <v>12</v>
      </c>
      <c r="L284" s="1">
        <f t="shared" si="16"/>
        <v>0</v>
      </c>
      <c r="M284" s="1">
        <f t="shared" si="17"/>
        <v>2520</v>
      </c>
    </row>
    <row r="285" spans="1:13" customFormat="1" hidden="1" x14ac:dyDescent="0.3">
      <c r="A285" t="s">
        <v>2327</v>
      </c>
      <c r="B285" t="s">
        <v>2328</v>
      </c>
      <c r="C285" t="s">
        <v>1848</v>
      </c>
      <c r="D285" t="s">
        <v>45</v>
      </c>
      <c r="E285" s="1">
        <v>219.14</v>
      </c>
      <c r="F285">
        <v>2</v>
      </c>
      <c r="G285">
        <v>0</v>
      </c>
      <c r="H285">
        <v>7</v>
      </c>
      <c r="I285">
        <v>0</v>
      </c>
      <c r="J285">
        <v>0</v>
      </c>
      <c r="K285">
        <f t="shared" si="15"/>
        <v>7</v>
      </c>
      <c r="L285" s="1">
        <f t="shared" si="16"/>
        <v>0</v>
      </c>
      <c r="M285" s="1">
        <f t="shared" si="17"/>
        <v>1533.98</v>
      </c>
    </row>
    <row r="286" spans="1:13" customFormat="1" hidden="1" x14ac:dyDescent="0.3">
      <c r="A286" t="s">
        <v>2329</v>
      </c>
      <c r="B286" t="s">
        <v>2330</v>
      </c>
      <c r="D286" t="s">
        <v>45</v>
      </c>
      <c r="E286" s="1">
        <v>0</v>
      </c>
      <c r="F286">
        <v>1</v>
      </c>
      <c r="G286">
        <v>0</v>
      </c>
      <c r="H286">
        <v>2</v>
      </c>
      <c r="I286">
        <v>0</v>
      </c>
      <c r="J286">
        <v>0</v>
      </c>
      <c r="K286">
        <f t="shared" si="15"/>
        <v>2</v>
      </c>
      <c r="L286" s="1">
        <f t="shared" si="16"/>
        <v>0</v>
      </c>
      <c r="M286" s="1">
        <f t="shared" si="17"/>
        <v>0</v>
      </c>
    </row>
    <row r="287" spans="1:13" customFormat="1" hidden="1" x14ac:dyDescent="0.3">
      <c r="A287" t="s">
        <v>2331</v>
      </c>
      <c r="B287" t="s">
        <v>2332</v>
      </c>
      <c r="C287" t="s">
        <v>252</v>
      </c>
      <c r="D287" t="s">
        <v>45</v>
      </c>
      <c r="E287" s="1">
        <v>43708</v>
      </c>
      <c r="F287">
        <v>1</v>
      </c>
      <c r="G287">
        <v>0</v>
      </c>
      <c r="H287">
        <v>3</v>
      </c>
      <c r="I287">
        <v>0</v>
      </c>
      <c r="J287">
        <v>0</v>
      </c>
      <c r="K287">
        <f t="shared" si="15"/>
        <v>3</v>
      </c>
      <c r="L287" s="1">
        <f t="shared" si="16"/>
        <v>0</v>
      </c>
      <c r="M287" s="1">
        <f t="shared" si="17"/>
        <v>131124</v>
      </c>
    </row>
    <row r="288" spans="1:13" customFormat="1" hidden="1" x14ac:dyDescent="0.3">
      <c r="A288" t="s">
        <v>2333</v>
      </c>
      <c r="B288" t="s">
        <v>2334</v>
      </c>
      <c r="C288" t="s">
        <v>252</v>
      </c>
      <c r="D288" t="s">
        <v>45</v>
      </c>
      <c r="E288" s="1">
        <v>212333</v>
      </c>
      <c r="F288">
        <v>1</v>
      </c>
      <c r="G288">
        <v>0</v>
      </c>
      <c r="H288">
        <v>3</v>
      </c>
      <c r="I288">
        <v>0</v>
      </c>
      <c r="J288">
        <v>0</v>
      </c>
      <c r="K288">
        <f t="shared" si="15"/>
        <v>3</v>
      </c>
      <c r="L288" s="1">
        <f t="shared" si="16"/>
        <v>0</v>
      </c>
      <c r="M288" s="1">
        <f t="shared" si="17"/>
        <v>636999</v>
      </c>
    </row>
    <row r="289" spans="1:13" customFormat="1" hidden="1" x14ac:dyDescent="0.3">
      <c r="A289" t="s">
        <v>2335</v>
      </c>
      <c r="B289" t="s">
        <v>2336</v>
      </c>
      <c r="C289" t="s">
        <v>472</v>
      </c>
      <c r="D289" t="s">
        <v>45</v>
      </c>
      <c r="E289" s="1">
        <v>31900</v>
      </c>
      <c r="F289">
        <v>1</v>
      </c>
      <c r="G289">
        <v>0</v>
      </c>
      <c r="H289">
        <v>5</v>
      </c>
      <c r="I289">
        <v>0</v>
      </c>
      <c r="J289">
        <v>0</v>
      </c>
      <c r="K289">
        <f t="shared" si="15"/>
        <v>5</v>
      </c>
      <c r="L289" s="1">
        <f t="shared" si="16"/>
        <v>0</v>
      </c>
      <c r="M289" s="1">
        <f t="shared" si="17"/>
        <v>159500</v>
      </c>
    </row>
    <row r="290" spans="1:13" customFormat="1" hidden="1" x14ac:dyDescent="0.3">
      <c r="A290" t="s">
        <v>2337</v>
      </c>
      <c r="B290" t="s">
        <v>2338</v>
      </c>
      <c r="C290" t="s">
        <v>472</v>
      </c>
      <c r="D290" t="s">
        <v>45</v>
      </c>
      <c r="E290" s="1">
        <v>53900</v>
      </c>
      <c r="F290">
        <v>1</v>
      </c>
      <c r="G290">
        <v>0</v>
      </c>
      <c r="H290">
        <v>3</v>
      </c>
      <c r="I290">
        <v>0</v>
      </c>
      <c r="J290">
        <v>0</v>
      </c>
      <c r="K290">
        <f t="shared" si="15"/>
        <v>3</v>
      </c>
      <c r="L290" s="1">
        <f t="shared" si="16"/>
        <v>0</v>
      </c>
      <c r="M290" s="1">
        <f t="shared" si="17"/>
        <v>161700</v>
      </c>
    </row>
    <row r="291" spans="1:13" customFormat="1" hidden="1" x14ac:dyDescent="0.3">
      <c r="A291" t="s">
        <v>2339</v>
      </c>
      <c r="B291" t="s">
        <v>2340</v>
      </c>
      <c r="C291" t="s">
        <v>1271</v>
      </c>
      <c r="D291" t="s">
        <v>45</v>
      </c>
      <c r="E291" s="1">
        <v>6267</v>
      </c>
      <c r="F291">
        <v>1</v>
      </c>
      <c r="G291">
        <v>0</v>
      </c>
      <c r="H291">
        <v>3</v>
      </c>
      <c r="I291">
        <v>0</v>
      </c>
      <c r="J291">
        <v>0</v>
      </c>
      <c r="K291">
        <f t="shared" si="15"/>
        <v>3</v>
      </c>
      <c r="L291" s="1">
        <f t="shared" si="16"/>
        <v>0</v>
      </c>
      <c r="M291" s="1">
        <f t="shared" si="17"/>
        <v>18801</v>
      </c>
    </row>
    <row r="292" spans="1:13" customFormat="1" hidden="1" x14ac:dyDescent="0.3">
      <c r="A292" t="s">
        <v>2341</v>
      </c>
      <c r="B292" t="s">
        <v>2342</v>
      </c>
      <c r="C292" t="s">
        <v>70</v>
      </c>
      <c r="D292" t="s">
        <v>45</v>
      </c>
      <c r="E292" s="1">
        <v>3636.07</v>
      </c>
      <c r="F292">
        <v>4</v>
      </c>
      <c r="G292">
        <v>0</v>
      </c>
      <c r="H292">
        <v>18</v>
      </c>
      <c r="I292">
        <v>0</v>
      </c>
      <c r="J292">
        <v>0</v>
      </c>
      <c r="K292">
        <f t="shared" si="15"/>
        <v>18</v>
      </c>
      <c r="L292" s="1">
        <f t="shared" si="16"/>
        <v>0</v>
      </c>
      <c r="M292" s="1">
        <f t="shared" si="17"/>
        <v>65449.26</v>
      </c>
    </row>
    <row r="293" spans="1:13" customFormat="1" hidden="1" x14ac:dyDescent="0.3">
      <c r="A293" t="s">
        <v>2343</v>
      </c>
      <c r="B293" t="s">
        <v>2344</v>
      </c>
      <c r="C293" t="s">
        <v>1752</v>
      </c>
      <c r="D293" t="s">
        <v>45</v>
      </c>
      <c r="E293" s="1">
        <v>230.1</v>
      </c>
      <c r="F293">
        <v>1</v>
      </c>
      <c r="G293">
        <v>0</v>
      </c>
      <c r="H293">
        <v>2</v>
      </c>
      <c r="I293">
        <v>0</v>
      </c>
      <c r="J293">
        <v>0</v>
      </c>
      <c r="K293">
        <f t="shared" si="15"/>
        <v>2</v>
      </c>
      <c r="L293" s="1">
        <f t="shared" si="16"/>
        <v>0</v>
      </c>
      <c r="M293" s="1">
        <f t="shared" si="17"/>
        <v>460.2</v>
      </c>
    </row>
    <row r="294" spans="1:13" customFormat="1" hidden="1" x14ac:dyDescent="0.3">
      <c r="A294" t="s">
        <v>2345</v>
      </c>
      <c r="B294" t="s">
        <v>2346</v>
      </c>
      <c r="C294" t="s">
        <v>2347</v>
      </c>
      <c r="D294" t="s">
        <v>45</v>
      </c>
      <c r="E294" s="1">
        <v>643.45000000000005</v>
      </c>
      <c r="F294">
        <v>2</v>
      </c>
      <c r="G294">
        <v>0</v>
      </c>
      <c r="H294">
        <v>9</v>
      </c>
      <c r="I294">
        <v>0</v>
      </c>
      <c r="J294">
        <v>0</v>
      </c>
      <c r="K294">
        <f t="shared" si="15"/>
        <v>9</v>
      </c>
      <c r="L294" s="1">
        <f t="shared" si="16"/>
        <v>0</v>
      </c>
      <c r="M294" s="1">
        <f t="shared" si="17"/>
        <v>5791.05</v>
      </c>
    </row>
    <row r="295" spans="1:13" customFormat="1" hidden="1" x14ac:dyDescent="0.3">
      <c r="A295" t="s">
        <v>2348</v>
      </c>
      <c r="B295" t="s">
        <v>2349</v>
      </c>
      <c r="C295" t="s">
        <v>472</v>
      </c>
      <c r="D295" t="s">
        <v>45</v>
      </c>
      <c r="E295" s="1">
        <v>7868</v>
      </c>
      <c r="F295">
        <v>1</v>
      </c>
      <c r="G295">
        <v>0</v>
      </c>
      <c r="H295">
        <v>3</v>
      </c>
      <c r="I295">
        <v>0</v>
      </c>
      <c r="J295">
        <v>0</v>
      </c>
      <c r="K295">
        <f t="shared" si="15"/>
        <v>3</v>
      </c>
      <c r="L295" s="1">
        <f t="shared" si="16"/>
        <v>0</v>
      </c>
      <c r="M295" s="1">
        <f t="shared" si="17"/>
        <v>23604</v>
      </c>
    </row>
    <row r="296" spans="1:13" customFormat="1" hidden="1" x14ac:dyDescent="0.3">
      <c r="A296" t="s">
        <v>2350</v>
      </c>
      <c r="B296" t="s">
        <v>2351</v>
      </c>
      <c r="C296" t="s">
        <v>472</v>
      </c>
      <c r="D296" t="s">
        <v>45</v>
      </c>
      <c r="E296" s="1">
        <v>16392</v>
      </c>
      <c r="F296">
        <v>1</v>
      </c>
      <c r="G296">
        <v>0</v>
      </c>
      <c r="H296">
        <v>3</v>
      </c>
      <c r="I296">
        <v>0</v>
      </c>
      <c r="J296">
        <v>0</v>
      </c>
      <c r="K296">
        <f t="shared" si="15"/>
        <v>3</v>
      </c>
      <c r="L296" s="1">
        <f t="shared" si="16"/>
        <v>0</v>
      </c>
      <c r="M296" s="1">
        <f t="shared" si="17"/>
        <v>49176</v>
      </c>
    </row>
    <row r="297" spans="1:13" customFormat="1" hidden="1" x14ac:dyDescent="0.3">
      <c r="A297" t="s">
        <v>2352</v>
      </c>
      <c r="B297" t="s">
        <v>2353</v>
      </c>
      <c r="C297" t="s">
        <v>81</v>
      </c>
      <c r="D297" t="s">
        <v>45</v>
      </c>
      <c r="E297" s="1">
        <v>8453.75</v>
      </c>
      <c r="F297">
        <v>1</v>
      </c>
      <c r="G297">
        <v>0</v>
      </c>
      <c r="H297">
        <v>2</v>
      </c>
      <c r="I297">
        <v>0</v>
      </c>
      <c r="J297">
        <v>0</v>
      </c>
      <c r="K297">
        <f t="shared" si="15"/>
        <v>2</v>
      </c>
      <c r="L297" s="1">
        <f t="shared" si="16"/>
        <v>0</v>
      </c>
      <c r="M297" s="1">
        <f t="shared" si="17"/>
        <v>16907.5</v>
      </c>
    </row>
    <row r="298" spans="1:13" customFormat="1" hidden="1" x14ac:dyDescent="0.3">
      <c r="A298" t="s">
        <v>2354</v>
      </c>
      <c r="B298" t="s">
        <v>2355</v>
      </c>
      <c r="C298" t="s">
        <v>918</v>
      </c>
      <c r="D298" t="s">
        <v>45</v>
      </c>
      <c r="E298" s="1">
        <v>9999</v>
      </c>
      <c r="F298">
        <v>1</v>
      </c>
      <c r="G298">
        <v>0</v>
      </c>
      <c r="H298">
        <v>2</v>
      </c>
      <c r="I298">
        <v>0</v>
      </c>
      <c r="J298">
        <v>0</v>
      </c>
      <c r="K298">
        <f t="shared" si="15"/>
        <v>2</v>
      </c>
      <c r="L298" s="1">
        <f t="shared" si="16"/>
        <v>0</v>
      </c>
      <c r="M298" s="1">
        <f t="shared" si="17"/>
        <v>19998</v>
      </c>
    </row>
    <row r="299" spans="1:13" customFormat="1" hidden="1" x14ac:dyDescent="0.3">
      <c r="A299" t="s">
        <v>2046</v>
      </c>
      <c r="B299" t="s">
        <v>2356</v>
      </c>
      <c r="C299" t="s">
        <v>1755</v>
      </c>
      <c r="D299" t="s">
        <v>45</v>
      </c>
      <c r="E299" s="1">
        <v>5.6</v>
      </c>
      <c r="F299">
        <v>72</v>
      </c>
      <c r="G299">
        <v>0</v>
      </c>
      <c r="H299">
        <v>360</v>
      </c>
      <c r="I299">
        <v>0</v>
      </c>
      <c r="J299">
        <v>0</v>
      </c>
      <c r="K299">
        <f t="shared" si="15"/>
        <v>360</v>
      </c>
      <c r="L299" s="1">
        <f t="shared" si="16"/>
        <v>0</v>
      </c>
      <c r="M299" s="1">
        <f t="shared" si="17"/>
        <v>2015.9999999999998</v>
      </c>
    </row>
    <row r="300" spans="1:13" customFormat="1" hidden="1" x14ac:dyDescent="0.3">
      <c r="A300" t="s">
        <v>2357</v>
      </c>
      <c r="B300" t="s">
        <v>2358</v>
      </c>
      <c r="C300" t="s">
        <v>2359</v>
      </c>
      <c r="D300" t="s">
        <v>45</v>
      </c>
      <c r="E300" s="1">
        <v>2195.15</v>
      </c>
      <c r="F300">
        <v>1</v>
      </c>
      <c r="G300">
        <v>0</v>
      </c>
      <c r="H300">
        <v>2</v>
      </c>
      <c r="I300">
        <v>0</v>
      </c>
      <c r="J300">
        <v>0</v>
      </c>
      <c r="K300">
        <f t="shared" si="15"/>
        <v>2</v>
      </c>
      <c r="L300" s="1">
        <f t="shared" si="16"/>
        <v>0</v>
      </c>
      <c r="M300" s="1">
        <f t="shared" si="17"/>
        <v>4390.3</v>
      </c>
    </row>
    <row r="301" spans="1:13" customFormat="1" hidden="1" x14ac:dyDescent="0.3">
      <c r="A301" t="s">
        <v>2360</v>
      </c>
      <c r="B301" t="s">
        <v>2361</v>
      </c>
      <c r="D301" t="s">
        <v>45</v>
      </c>
      <c r="E301" s="1">
        <v>0</v>
      </c>
      <c r="F301">
        <v>1</v>
      </c>
      <c r="G301">
        <v>0</v>
      </c>
      <c r="H301">
        <v>2</v>
      </c>
      <c r="I301">
        <v>0</v>
      </c>
      <c r="J301">
        <v>0</v>
      </c>
      <c r="K301">
        <f t="shared" si="15"/>
        <v>2</v>
      </c>
      <c r="L301" s="1">
        <f t="shared" si="16"/>
        <v>0</v>
      </c>
      <c r="M301" s="1">
        <f t="shared" si="17"/>
        <v>0</v>
      </c>
    </row>
    <row r="302" spans="1:13" customFormat="1" hidden="1" x14ac:dyDescent="0.3">
      <c r="A302" t="s">
        <v>2362</v>
      </c>
      <c r="B302" t="s">
        <v>2363</v>
      </c>
      <c r="C302" t="s">
        <v>1752</v>
      </c>
      <c r="D302" t="s">
        <v>45</v>
      </c>
      <c r="E302" s="1">
        <v>111.3</v>
      </c>
      <c r="F302">
        <v>100</v>
      </c>
      <c r="G302">
        <v>0</v>
      </c>
      <c r="H302">
        <v>500</v>
      </c>
      <c r="I302">
        <v>0</v>
      </c>
      <c r="J302">
        <v>0</v>
      </c>
      <c r="K302">
        <f t="shared" si="15"/>
        <v>500</v>
      </c>
      <c r="L302" s="1">
        <f t="shared" si="16"/>
        <v>0</v>
      </c>
      <c r="M302" s="1">
        <f t="shared" si="17"/>
        <v>55650</v>
      </c>
    </row>
    <row r="303" spans="1:13" customFormat="1" hidden="1" x14ac:dyDescent="0.3">
      <c r="A303" t="s">
        <v>2364</v>
      </c>
      <c r="B303" t="s">
        <v>2365</v>
      </c>
      <c r="C303" t="s">
        <v>2366</v>
      </c>
      <c r="D303" t="s">
        <v>45</v>
      </c>
      <c r="E303" s="1">
        <v>1750</v>
      </c>
      <c r="F303">
        <v>1</v>
      </c>
      <c r="G303">
        <v>0</v>
      </c>
      <c r="H303">
        <v>2</v>
      </c>
      <c r="I303">
        <v>0</v>
      </c>
      <c r="J303">
        <v>0</v>
      </c>
      <c r="K303">
        <f t="shared" si="15"/>
        <v>2</v>
      </c>
      <c r="L303" s="1">
        <f t="shared" si="16"/>
        <v>0</v>
      </c>
      <c r="M303" s="1">
        <f t="shared" si="17"/>
        <v>3500</v>
      </c>
    </row>
    <row r="304" spans="1:13" customFormat="1" hidden="1" x14ac:dyDescent="0.3">
      <c r="A304" t="s">
        <v>2367</v>
      </c>
      <c r="B304" t="s">
        <v>2367</v>
      </c>
      <c r="C304" t="s">
        <v>70</v>
      </c>
      <c r="D304" t="s">
        <v>45</v>
      </c>
      <c r="E304" s="1">
        <v>0</v>
      </c>
      <c r="F304">
        <v>2</v>
      </c>
      <c r="G304">
        <v>0</v>
      </c>
      <c r="H304">
        <v>11</v>
      </c>
      <c r="I304">
        <v>0</v>
      </c>
      <c r="J304">
        <v>0</v>
      </c>
      <c r="K304">
        <f t="shared" si="15"/>
        <v>11</v>
      </c>
      <c r="L304" s="1">
        <f t="shared" si="16"/>
        <v>0</v>
      </c>
      <c r="M304" s="1">
        <f t="shared" si="17"/>
        <v>0</v>
      </c>
    </row>
    <row r="305" spans="1:13" customFormat="1" hidden="1" x14ac:dyDescent="0.3">
      <c r="A305" t="s">
        <v>2368</v>
      </c>
      <c r="B305" t="s">
        <v>2368</v>
      </c>
      <c r="D305" t="s">
        <v>45</v>
      </c>
      <c r="E305" s="1">
        <v>0</v>
      </c>
      <c r="F305">
        <v>1</v>
      </c>
      <c r="G305">
        <v>0</v>
      </c>
      <c r="H305">
        <v>2</v>
      </c>
      <c r="I305">
        <v>0</v>
      </c>
      <c r="J305">
        <v>0</v>
      </c>
      <c r="K305">
        <f t="shared" si="15"/>
        <v>2</v>
      </c>
      <c r="L305" s="1">
        <f t="shared" si="16"/>
        <v>0</v>
      </c>
      <c r="M305" s="1">
        <f t="shared" si="17"/>
        <v>0</v>
      </c>
    </row>
    <row r="306" spans="1:13" customFormat="1" hidden="1" x14ac:dyDescent="0.3">
      <c r="A306" t="s">
        <v>2369</v>
      </c>
      <c r="B306" t="s">
        <v>2370</v>
      </c>
      <c r="D306" t="s">
        <v>45</v>
      </c>
      <c r="E306" s="1">
        <v>0</v>
      </c>
      <c r="F306">
        <v>2</v>
      </c>
      <c r="G306">
        <v>0</v>
      </c>
      <c r="H306">
        <v>10</v>
      </c>
      <c r="I306">
        <v>0</v>
      </c>
      <c r="J306">
        <v>0</v>
      </c>
      <c r="K306">
        <f t="shared" si="15"/>
        <v>10</v>
      </c>
      <c r="L306" s="1">
        <f t="shared" si="16"/>
        <v>0</v>
      </c>
      <c r="M306" s="1">
        <f t="shared" si="17"/>
        <v>0</v>
      </c>
    </row>
    <row r="307" spans="1:13" customFormat="1" hidden="1" x14ac:dyDescent="0.3">
      <c r="A307" t="s">
        <v>2371</v>
      </c>
      <c r="B307" t="s">
        <v>2372</v>
      </c>
      <c r="C307" t="s">
        <v>1531</v>
      </c>
      <c r="D307" t="s">
        <v>45</v>
      </c>
      <c r="E307" s="1">
        <v>406.11</v>
      </c>
      <c r="F307">
        <v>1</v>
      </c>
      <c r="G307">
        <v>0</v>
      </c>
      <c r="H307">
        <v>5</v>
      </c>
      <c r="I307">
        <v>0</v>
      </c>
      <c r="J307">
        <v>0</v>
      </c>
      <c r="K307">
        <f t="shared" si="15"/>
        <v>5</v>
      </c>
      <c r="L307" s="1">
        <f t="shared" si="16"/>
        <v>0</v>
      </c>
      <c r="M307" s="1">
        <f t="shared" si="17"/>
        <v>2030.5500000000002</v>
      </c>
    </row>
    <row r="308" spans="1:13" customFormat="1" hidden="1" x14ac:dyDescent="0.3">
      <c r="A308" t="s">
        <v>2373</v>
      </c>
      <c r="B308" t="s">
        <v>2374</v>
      </c>
      <c r="C308" t="s">
        <v>1531</v>
      </c>
      <c r="D308" t="s">
        <v>45</v>
      </c>
      <c r="E308" s="1">
        <v>406.11</v>
      </c>
      <c r="F308">
        <v>1</v>
      </c>
      <c r="G308">
        <v>0</v>
      </c>
      <c r="H308">
        <v>5</v>
      </c>
      <c r="I308">
        <v>0</v>
      </c>
      <c r="J308">
        <v>0</v>
      </c>
      <c r="K308">
        <f t="shared" si="15"/>
        <v>5</v>
      </c>
      <c r="L308" s="1">
        <f t="shared" si="16"/>
        <v>0</v>
      </c>
      <c r="M308" s="1">
        <f t="shared" si="17"/>
        <v>2030.5500000000002</v>
      </c>
    </row>
    <row r="309" spans="1:13" customFormat="1" hidden="1" x14ac:dyDescent="0.3">
      <c r="A309" t="s">
        <v>2375</v>
      </c>
      <c r="B309" t="s">
        <v>2376</v>
      </c>
      <c r="C309" t="s">
        <v>1531</v>
      </c>
      <c r="D309" t="s">
        <v>45</v>
      </c>
      <c r="E309" s="1">
        <v>303.48</v>
      </c>
      <c r="F309">
        <v>1</v>
      </c>
      <c r="G309">
        <v>0</v>
      </c>
      <c r="H309">
        <v>2</v>
      </c>
      <c r="I309">
        <v>0</v>
      </c>
      <c r="J309">
        <v>0</v>
      </c>
      <c r="K309">
        <f t="shared" si="15"/>
        <v>2</v>
      </c>
      <c r="L309" s="1">
        <f t="shared" si="16"/>
        <v>0</v>
      </c>
      <c r="M309" s="1">
        <f t="shared" si="17"/>
        <v>606.96</v>
      </c>
    </row>
    <row r="310" spans="1:13" customFormat="1" hidden="1" x14ac:dyDescent="0.3">
      <c r="A310" t="s">
        <v>2377</v>
      </c>
      <c r="B310" t="s">
        <v>2378</v>
      </c>
      <c r="C310" t="s">
        <v>1531</v>
      </c>
      <c r="D310" t="s">
        <v>45</v>
      </c>
      <c r="E310" s="1">
        <v>303.48</v>
      </c>
      <c r="F310">
        <v>1</v>
      </c>
      <c r="G310">
        <v>0</v>
      </c>
      <c r="H310">
        <v>2</v>
      </c>
      <c r="I310">
        <v>0</v>
      </c>
      <c r="J310">
        <v>0</v>
      </c>
      <c r="K310">
        <f t="shared" si="15"/>
        <v>2</v>
      </c>
      <c r="L310" s="1">
        <f t="shared" si="16"/>
        <v>0</v>
      </c>
      <c r="M310" s="1">
        <f t="shared" si="17"/>
        <v>606.96</v>
      </c>
    </row>
    <row r="311" spans="1:13" customFormat="1" hidden="1" x14ac:dyDescent="0.3">
      <c r="A311" t="s">
        <v>2379</v>
      </c>
      <c r="B311" t="s">
        <v>2380</v>
      </c>
      <c r="C311" t="s">
        <v>1531</v>
      </c>
      <c r="D311" t="s">
        <v>45</v>
      </c>
      <c r="E311" s="1">
        <v>303.48</v>
      </c>
      <c r="F311">
        <v>1</v>
      </c>
      <c r="G311">
        <v>0</v>
      </c>
      <c r="H311">
        <v>5</v>
      </c>
      <c r="I311">
        <v>0</v>
      </c>
      <c r="J311">
        <v>0</v>
      </c>
      <c r="K311">
        <f t="shared" si="15"/>
        <v>5</v>
      </c>
      <c r="L311" s="1">
        <f t="shared" si="16"/>
        <v>0</v>
      </c>
      <c r="M311" s="1">
        <f t="shared" si="17"/>
        <v>1517.4</v>
      </c>
    </row>
    <row r="312" spans="1:13" customFormat="1" hidden="1" x14ac:dyDescent="0.3">
      <c r="A312" t="s">
        <v>2381</v>
      </c>
      <c r="B312" t="s">
        <v>2382</v>
      </c>
      <c r="C312" t="s">
        <v>2383</v>
      </c>
      <c r="D312" t="s">
        <v>45</v>
      </c>
      <c r="E312" s="1">
        <v>37</v>
      </c>
      <c r="F312">
        <v>51</v>
      </c>
      <c r="G312">
        <v>0</v>
      </c>
      <c r="H312">
        <v>179</v>
      </c>
      <c r="I312">
        <v>0</v>
      </c>
      <c r="J312">
        <v>0</v>
      </c>
      <c r="K312">
        <f t="shared" si="15"/>
        <v>179</v>
      </c>
      <c r="L312" s="1">
        <f t="shared" si="16"/>
        <v>0</v>
      </c>
      <c r="M312" s="1">
        <f t="shared" si="17"/>
        <v>6623</v>
      </c>
    </row>
    <row r="313" spans="1:13" customFormat="1" hidden="1" x14ac:dyDescent="0.3">
      <c r="A313" t="s">
        <v>2384</v>
      </c>
      <c r="B313" t="s">
        <v>2385</v>
      </c>
      <c r="C313" t="s">
        <v>2386</v>
      </c>
      <c r="D313" t="s">
        <v>45</v>
      </c>
      <c r="E313" s="1">
        <v>61919.67</v>
      </c>
      <c r="F313">
        <v>1</v>
      </c>
      <c r="G313">
        <v>0</v>
      </c>
      <c r="H313">
        <v>3</v>
      </c>
      <c r="I313">
        <v>0</v>
      </c>
      <c r="J313">
        <v>0</v>
      </c>
      <c r="K313">
        <f t="shared" si="15"/>
        <v>3</v>
      </c>
      <c r="L313" s="1">
        <f t="shared" si="16"/>
        <v>0</v>
      </c>
      <c r="M313" s="1">
        <f t="shared" si="17"/>
        <v>185759.01</v>
      </c>
    </row>
    <row r="314" spans="1:13" customFormat="1" hidden="1" x14ac:dyDescent="0.3">
      <c r="A314" t="s">
        <v>2387</v>
      </c>
      <c r="B314" t="s">
        <v>2388</v>
      </c>
      <c r="C314" t="s">
        <v>1848</v>
      </c>
      <c r="D314" t="s">
        <v>45</v>
      </c>
      <c r="E314" s="1">
        <v>115</v>
      </c>
      <c r="F314">
        <v>2</v>
      </c>
      <c r="G314">
        <v>0</v>
      </c>
      <c r="H314">
        <v>6</v>
      </c>
      <c r="I314">
        <v>0</v>
      </c>
      <c r="J314">
        <v>0</v>
      </c>
      <c r="K314">
        <f t="shared" si="15"/>
        <v>6</v>
      </c>
      <c r="L314" s="1">
        <f t="shared" si="16"/>
        <v>0</v>
      </c>
      <c r="M314" s="1">
        <f t="shared" si="17"/>
        <v>690</v>
      </c>
    </row>
    <row r="315" spans="1:13" customFormat="1" hidden="1" x14ac:dyDescent="0.3">
      <c r="A315" t="s">
        <v>2389</v>
      </c>
      <c r="B315" t="s">
        <v>2390</v>
      </c>
      <c r="C315" t="s">
        <v>2391</v>
      </c>
      <c r="D315" t="s">
        <v>45</v>
      </c>
      <c r="E315" s="1">
        <v>1405.09</v>
      </c>
      <c r="F315">
        <v>1</v>
      </c>
      <c r="G315">
        <v>0</v>
      </c>
      <c r="H315">
        <v>2</v>
      </c>
      <c r="I315">
        <v>0</v>
      </c>
      <c r="J315">
        <v>0</v>
      </c>
      <c r="K315">
        <f t="shared" si="15"/>
        <v>2</v>
      </c>
      <c r="L315" s="1">
        <f t="shared" si="16"/>
        <v>0</v>
      </c>
      <c r="M315" s="1">
        <f t="shared" si="17"/>
        <v>2810.18</v>
      </c>
    </row>
    <row r="316" spans="1:13" customFormat="1" hidden="1" x14ac:dyDescent="0.3">
      <c r="A316" t="s">
        <v>2392</v>
      </c>
      <c r="B316" t="s">
        <v>2393</v>
      </c>
      <c r="C316" t="s">
        <v>1531</v>
      </c>
      <c r="D316" t="s">
        <v>45</v>
      </c>
      <c r="E316" s="1">
        <v>260</v>
      </c>
      <c r="F316">
        <v>1</v>
      </c>
      <c r="G316">
        <v>0</v>
      </c>
      <c r="H316">
        <v>2</v>
      </c>
      <c r="I316">
        <v>0</v>
      </c>
      <c r="J316">
        <v>0</v>
      </c>
      <c r="K316">
        <f t="shared" si="15"/>
        <v>2</v>
      </c>
      <c r="L316" s="1">
        <f t="shared" si="16"/>
        <v>0</v>
      </c>
      <c r="M316" s="1">
        <f t="shared" si="17"/>
        <v>520</v>
      </c>
    </row>
    <row r="317" spans="1:13" customFormat="1" hidden="1" x14ac:dyDescent="0.3">
      <c r="A317" t="s">
        <v>2394</v>
      </c>
      <c r="B317" t="s">
        <v>2395</v>
      </c>
      <c r="C317" t="s">
        <v>1531</v>
      </c>
      <c r="D317" t="s">
        <v>45</v>
      </c>
      <c r="E317" s="1">
        <v>260</v>
      </c>
      <c r="F317">
        <v>1</v>
      </c>
      <c r="G317">
        <v>0</v>
      </c>
      <c r="H317">
        <v>2</v>
      </c>
      <c r="I317">
        <v>0</v>
      </c>
      <c r="J317">
        <v>0</v>
      </c>
      <c r="K317">
        <f t="shared" si="15"/>
        <v>2</v>
      </c>
      <c r="L317" s="1">
        <f t="shared" si="16"/>
        <v>0</v>
      </c>
      <c r="M317" s="1">
        <f t="shared" si="17"/>
        <v>520</v>
      </c>
    </row>
    <row r="318" spans="1:13" customFormat="1" hidden="1" x14ac:dyDescent="0.3">
      <c r="A318" t="s">
        <v>2396</v>
      </c>
      <c r="B318" t="s">
        <v>2397</v>
      </c>
      <c r="C318" t="s">
        <v>1531</v>
      </c>
      <c r="D318" t="s">
        <v>45</v>
      </c>
      <c r="E318" s="1">
        <v>260</v>
      </c>
      <c r="F318">
        <v>1</v>
      </c>
      <c r="G318">
        <v>0</v>
      </c>
      <c r="H318">
        <v>5</v>
      </c>
      <c r="I318">
        <v>0</v>
      </c>
      <c r="J318">
        <v>0</v>
      </c>
      <c r="K318">
        <f t="shared" si="15"/>
        <v>5</v>
      </c>
      <c r="L318" s="1">
        <f t="shared" si="16"/>
        <v>0</v>
      </c>
      <c r="M318" s="1">
        <f t="shared" si="17"/>
        <v>1300</v>
      </c>
    </row>
    <row r="319" spans="1:13" customFormat="1" hidden="1" x14ac:dyDescent="0.3">
      <c r="A319" t="s">
        <v>2398</v>
      </c>
      <c r="B319" t="s">
        <v>2399</v>
      </c>
      <c r="C319" t="s">
        <v>1531</v>
      </c>
      <c r="D319" t="s">
        <v>45</v>
      </c>
      <c r="E319" s="1">
        <v>372.2</v>
      </c>
      <c r="F319">
        <v>1</v>
      </c>
      <c r="G319">
        <v>0</v>
      </c>
      <c r="H319">
        <v>5</v>
      </c>
      <c r="I319">
        <v>0</v>
      </c>
      <c r="J319">
        <v>0</v>
      </c>
      <c r="K319">
        <f t="shared" si="15"/>
        <v>5</v>
      </c>
      <c r="L319" s="1">
        <f t="shared" si="16"/>
        <v>0</v>
      </c>
      <c r="M319" s="1">
        <f t="shared" si="17"/>
        <v>1861</v>
      </c>
    </row>
    <row r="320" spans="1:13" customFormat="1" hidden="1" x14ac:dyDescent="0.3">
      <c r="A320" t="s">
        <v>2400</v>
      </c>
      <c r="B320" t="s">
        <v>2401</v>
      </c>
      <c r="C320" t="s">
        <v>2402</v>
      </c>
      <c r="D320" t="s">
        <v>45</v>
      </c>
      <c r="E320" s="1">
        <v>11250</v>
      </c>
      <c r="F320">
        <v>1</v>
      </c>
      <c r="G320">
        <v>0</v>
      </c>
      <c r="H320">
        <v>2</v>
      </c>
      <c r="I320">
        <v>0</v>
      </c>
      <c r="J320">
        <v>0</v>
      </c>
      <c r="K320">
        <f t="shared" si="15"/>
        <v>2</v>
      </c>
      <c r="L320" s="1">
        <f t="shared" si="16"/>
        <v>0</v>
      </c>
      <c r="M320" s="1">
        <f t="shared" si="17"/>
        <v>22500</v>
      </c>
    </row>
    <row r="321" spans="1:13" customFormat="1" hidden="1" x14ac:dyDescent="0.3">
      <c r="A321" t="s">
        <v>2403</v>
      </c>
      <c r="B321" t="s">
        <v>2404</v>
      </c>
      <c r="C321" t="s">
        <v>2261</v>
      </c>
      <c r="D321" t="s">
        <v>45</v>
      </c>
      <c r="E321" s="1">
        <v>17.45</v>
      </c>
      <c r="F321">
        <v>50</v>
      </c>
      <c r="G321">
        <v>0</v>
      </c>
      <c r="H321">
        <v>250</v>
      </c>
      <c r="I321">
        <v>0</v>
      </c>
      <c r="J321">
        <v>100</v>
      </c>
      <c r="K321">
        <f t="shared" si="15"/>
        <v>150</v>
      </c>
      <c r="L321" s="1">
        <f t="shared" si="16"/>
        <v>0</v>
      </c>
      <c r="M321" s="1">
        <f t="shared" si="17"/>
        <v>2617.5</v>
      </c>
    </row>
    <row r="322" spans="1:13" customFormat="1" hidden="1" x14ac:dyDescent="0.3">
      <c r="A322" t="s">
        <v>2405</v>
      </c>
      <c r="B322" t="s">
        <v>2406</v>
      </c>
      <c r="C322" t="s">
        <v>2261</v>
      </c>
      <c r="D322" t="s">
        <v>45</v>
      </c>
      <c r="E322" s="1">
        <v>27.96</v>
      </c>
      <c r="F322">
        <v>50</v>
      </c>
      <c r="G322">
        <v>0</v>
      </c>
      <c r="H322">
        <v>250</v>
      </c>
      <c r="I322">
        <v>0</v>
      </c>
      <c r="J322">
        <v>100</v>
      </c>
      <c r="K322">
        <f t="shared" si="15"/>
        <v>150</v>
      </c>
      <c r="L322" s="1">
        <f t="shared" si="16"/>
        <v>0</v>
      </c>
      <c r="M322" s="1">
        <f t="shared" si="17"/>
        <v>4194</v>
      </c>
    </row>
    <row r="323" spans="1:13" customFormat="1" hidden="1" x14ac:dyDescent="0.3">
      <c r="A323" t="s">
        <v>2407</v>
      </c>
      <c r="B323" t="s">
        <v>2408</v>
      </c>
      <c r="D323" t="s">
        <v>45</v>
      </c>
      <c r="E323" s="1">
        <v>0</v>
      </c>
      <c r="F323">
        <v>1</v>
      </c>
      <c r="G323">
        <v>0</v>
      </c>
      <c r="H323">
        <v>5</v>
      </c>
      <c r="I323">
        <v>0</v>
      </c>
      <c r="J323">
        <v>0</v>
      </c>
      <c r="K323">
        <f t="shared" si="15"/>
        <v>5</v>
      </c>
      <c r="L323" s="1">
        <f t="shared" si="16"/>
        <v>0</v>
      </c>
      <c r="M323" s="1">
        <f t="shared" si="17"/>
        <v>0</v>
      </c>
    </row>
    <row r="324" spans="1:13" customFormat="1" hidden="1" x14ac:dyDescent="0.3">
      <c r="A324" t="s">
        <v>2409</v>
      </c>
      <c r="B324" t="s">
        <v>2408</v>
      </c>
      <c r="D324" t="s">
        <v>45</v>
      </c>
      <c r="E324" s="1">
        <v>0</v>
      </c>
      <c r="F324">
        <v>1</v>
      </c>
      <c r="G324">
        <v>0</v>
      </c>
      <c r="H324">
        <v>2</v>
      </c>
      <c r="I324">
        <v>0</v>
      </c>
      <c r="J324">
        <v>0</v>
      </c>
      <c r="K324">
        <f t="shared" si="15"/>
        <v>2</v>
      </c>
      <c r="L324" s="1">
        <f t="shared" si="16"/>
        <v>0</v>
      </c>
      <c r="M324" s="1">
        <f t="shared" si="17"/>
        <v>0</v>
      </c>
    </row>
    <row r="325" spans="1:13" customFormat="1" hidden="1" x14ac:dyDescent="0.3">
      <c r="A325" t="s">
        <v>2410</v>
      </c>
      <c r="B325" t="s">
        <v>2411</v>
      </c>
      <c r="D325" t="s">
        <v>45</v>
      </c>
      <c r="E325" s="1">
        <v>0</v>
      </c>
      <c r="F325">
        <v>4</v>
      </c>
      <c r="G325">
        <v>0</v>
      </c>
      <c r="H325">
        <v>20</v>
      </c>
      <c r="I325">
        <v>0</v>
      </c>
      <c r="J325">
        <v>0</v>
      </c>
      <c r="K325">
        <f t="shared" si="15"/>
        <v>20</v>
      </c>
      <c r="L325" s="1">
        <f t="shared" si="16"/>
        <v>0</v>
      </c>
      <c r="M325" s="1">
        <f t="shared" si="17"/>
        <v>0</v>
      </c>
    </row>
    <row r="326" spans="1:13" customFormat="1" hidden="1" x14ac:dyDescent="0.3">
      <c r="A326" t="s">
        <v>2412</v>
      </c>
      <c r="B326" t="s">
        <v>2413</v>
      </c>
      <c r="D326" t="s">
        <v>45</v>
      </c>
      <c r="E326" s="1">
        <v>0</v>
      </c>
      <c r="F326">
        <v>1</v>
      </c>
      <c r="G326">
        <v>0</v>
      </c>
      <c r="H326">
        <v>2</v>
      </c>
      <c r="I326">
        <v>0</v>
      </c>
      <c r="J326">
        <v>0</v>
      </c>
      <c r="K326">
        <f t="shared" si="15"/>
        <v>2</v>
      </c>
      <c r="L326" s="1">
        <f t="shared" si="16"/>
        <v>0</v>
      </c>
      <c r="M326" s="1">
        <f t="shared" si="17"/>
        <v>0</v>
      </c>
    </row>
    <row r="327" spans="1:13" customFormat="1" hidden="1" x14ac:dyDescent="0.3">
      <c r="A327" t="s">
        <v>2414</v>
      </c>
      <c r="B327" t="s">
        <v>2415</v>
      </c>
      <c r="C327" t="s">
        <v>75</v>
      </c>
      <c r="D327" t="s">
        <v>45</v>
      </c>
      <c r="E327" s="1">
        <v>273229.14</v>
      </c>
      <c r="F327">
        <v>1</v>
      </c>
      <c r="G327">
        <v>0</v>
      </c>
      <c r="H327">
        <v>5</v>
      </c>
      <c r="I327">
        <v>0</v>
      </c>
      <c r="J327">
        <v>0</v>
      </c>
      <c r="K327">
        <f t="shared" si="15"/>
        <v>5</v>
      </c>
      <c r="L327" s="1">
        <f t="shared" si="16"/>
        <v>0</v>
      </c>
      <c r="M327" s="1">
        <f t="shared" si="17"/>
        <v>1366145.7000000002</v>
      </c>
    </row>
    <row r="328" spans="1:13" customFormat="1" hidden="1" x14ac:dyDescent="0.3">
      <c r="A328" t="s">
        <v>2416</v>
      </c>
      <c r="B328" t="s">
        <v>2417</v>
      </c>
      <c r="C328" t="s">
        <v>2418</v>
      </c>
      <c r="D328" t="s">
        <v>45</v>
      </c>
      <c r="E328" s="1">
        <v>940.5</v>
      </c>
      <c r="F328">
        <v>9</v>
      </c>
      <c r="G328">
        <v>0</v>
      </c>
      <c r="H328">
        <v>25</v>
      </c>
      <c r="I328">
        <v>0</v>
      </c>
      <c r="J328">
        <v>0</v>
      </c>
      <c r="K328">
        <f t="shared" si="15"/>
        <v>25</v>
      </c>
      <c r="L328" s="1">
        <f t="shared" si="16"/>
        <v>0</v>
      </c>
      <c r="M328" s="1">
        <f t="shared" si="17"/>
        <v>23512.5</v>
      </c>
    </row>
    <row r="329" spans="1:13" customFormat="1" hidden="1" x14ac:dyDescent="0.3">
      <c r="A329" t="s">
        <v>2419</v>
      </c>
      <c r="B329" t="s">
        <v>2420</v>
      </c>
      <c r="C329" t="s">
        <v>211</v>
      </c>
      <c r="D329" t="s">
        <v>45</v>
      </c>
      <c r="E329" s="1">
        <v>97</v>
      </c>
      <c r="F329">
        <v>2</v>
      </c>
      <c r="G329">
        <v>0</v>
      </c>
      <c r="H329">
        <v>5</v>
      </c>
      <c r="I329">
        <v>0</v>
      </c>
      <c r="J329">
        <v>0</v>
      </c>
      <c r="K329">
        <f t="shared" si="15"/>
        <v>5</v>
      </c>
      <c r="L329" s="1">
        <f t="shared" si="16"/>
        <v>0</v>
      </c>
      <c r="M329" s="1">
        <f t="shared" si="17"/>
        <v>485</v>
      </c>
    </row>
    <row r="330" spans="1:13" customFormat="1" hidden="1" x14ac:dyDescent="0.3">
      <c r="A330" t="s">
        <v>2421</v>
      </c>
      <c r="B330" t="s">
        <v>2422</v>
      </c>
      <c r="C330" t="s">
        <v>81</v>
      </c>
      <c r="D330" t="s">
        <v>45</v>
      </c>
      <c r="E330" s="1">
        <v>800</v>
      </c>
      <c r="F330">
        <v>7</v>
      </c>
      <c r="G330">
        <v>0</v>
      </c>
      <c r="H330">
        <v>19</v>
      </c>
      <c r="I330">
        <v>0</v>
      </c>
      <c r="J330">
        <v>0</v>
      </c>
      <c r="K330">
        <f t="shared" si="15"/>
        <v>19</v>
      </c>
      <c r="L330" s="1">
        <f t="shared" si="16"/>
        <v>0</v>
      </c>
      <c r="M330" s="1">
        <f t="shared" si="17"/>
        <v>15200</v>
      </c>
    </row>
    <row r="331" spans="1:13" customFormat="1" hidden="1" x14ac:dyDescent="0.3">
      <c r="A331" t="s">
        <v>2423</v>
      </c>
      <c r="B331" t="s">
        <v>2424</v>
      </c>
      <c r="C331" t="s">
        <v>252</v>
      </c>
      <c r="D331" t="s">
        <v>45</v>
      </c>
      <c r="E331" s="1">
        <v>95.46</v>
      </c>
      <c r="F331">
        <v>1</v>
      </c>
      <c r="G331">
        <v>0</v>
      </c>
      <c r="H331">
        <v>4</v>
      </c>
      <c r="I331">
        <v>0</v>
      </c>
      <c r="J331">
        <v>0</v>
      </c>
      <c r="K331">
        <f t="shared" si="15"/>
        <v>4</v>
      </c>
      <c r="L331" s="1">
        <f t="shared" si="16"/>
        <v>0</v>
      </c>
      <c r="M331" s="1">
        <f t="shared" si="17"/>
        <v>381.84</v>
      </c>
    </row>
    <row r="332" spans="1:13" customFormat="1" hidden="1" x14ac:dyDescent="0.3">
      <c r="A332" t="s">
        <v>2425</v>
      </c>
      <c r="B332" t="s">
        <v>2426</v>
      </c>
      <c r="C332" t="s">
        <v>472</v>
      </c>
      <c r="D332" t="s">
        <v>45</v>
      </c>
      <c r="E332" s="1">
        <v>3446.25</v>
      </c>
      <c r="F332">
        <v>8</v>
      </c>
      <c r="G332">
        <v>0</v>
      </c>
      <c r="H332">
        <v>40</v>
      </c>
      <c r="I332">
        <v>0</v>
      </c>
      <c r="J332">
        <v>0</v>
      </c>
      <c r="K332">
        <f t="shared" si="15"/>
        <v>40</v>
      </c>
      <c r="L332" s="1">
        <f t="shared" si="16"/>
        <v>0</v>
      </c>
      <c r="M332" s="1">
        <f t="shared" si="17"/>
        <v>137850</v>
      </c>
    </row>
    <row r="333" spans="1:13" customFormat="1" hidden="1" x14ac:dyDescent="0.3">
      <c r="A333" t="s">
        <v>2427</v>
      </c>
      <c r="B333" t="s">
        <v>2428</v>
      </c>
      <c r="D333" t="s">
        <v>45</v>
      </c>
      <c r="E333" s="1">
        <v>0</v>
      </c>
      <c r="F333">
        <v>1</v>
      </c>
      <c r="G333">
        <v>0</v>
      </c>
      <c r="H333">
        <v>4</v>
      </c>
      <c r="I333">
        <v>0</v>
      </c>
      <c r="J333">
        <v>0</v>
      </c>
      <c r="K333">
        <f t="shared" si="15"/>
        <v>4</v>
      </c>
      <c r="L333" s="1">
        <f t="shared" si="16"/>
        <v>0</v>
      </c>
      <c r="M333" s="1">
        <f t="shared" si="17"/>
        <v>0</v>
      </c>
    </row>
    <row r="334" spans="1:13" customFormat="1" hidden="1" x14ac:dyDescent="0.3">
      <c r="A334" t="s">
        <v>2429</v>
      </c>
      <c r="B334" t="s">
        <v>2430</v>
      </c>
      <c r="D334" t="s">
        <v>45</v>
      </c>
      <c r="E334" s="1">
        <v>0</v>
      </c>
      <c r="F334">
        <v>2</v>
      </c>
      <c r="G334">
        <v>0</v>
      </c>
      <c r="H334">
        <v>8</v>
      </c>
      <c r="I334">
        <v>0</v>
      </c>
      <c r="J334">
        <v>0</v>
      </c>
      <c r="K334">
        <f t="shared" ref="K334:K397" si="18">IF(H334-I334-J334&gt;0,H334-I334-J334,0)</f>
        <v>8</v>
      </c>
      <c r="L334" s="1">
        <f t="shared" ref="L334:L397" si="19">IFERROR(I334*E334,0)</f>
        <v>0</v>
      </c>
      <c r="M334" s="1">
        <f t="shared" ref="M334:M397" si="20">IFERROR(K334*E334,0)</f>
        <v>0</v>
      </c>
    </row>
    <row r="335" spans="1:13" customFormat="1" hidden="1" x14ac:dyDescent="0.3">
      <c r="A335" t="s">
        <v>2431</v>
      </c>
      <c r="B335" t="s">
        <v>2432</v>
      </c>
      <c r="C335" t="s">
        <v>2217</v>
      </c>
      <c r="D335" t="s">
        <v>45</v>
      </c>
      <c r="E335" s="1">
        <v>6032.72</v>
      </c>
      <c r="F335">
        <v>1</v>
      </c>
      <c r="G335">
        <v>0</v>
      </c>
      <c r="H335">
        <v>2</v>
      </c>
      <c r="I335">
        <v>0</v>
      </c>
      <c r="J335">
        <v>0</v>
      </c>
      <c r="K335">
        <f t="shared" si="18"/>
        <v>2</v>
      </c>
      <c r="L335" s="1">
        <f t="shared" si="19"/>
        <v>0</v>
      </c>
      <c r="M335" s="1">
        <f t="shared" si="20"/>
        <v>12065.44</v>
      </c>
    </row>
    <row r="336" spans="1:13" customFormat="1" hidden="1" x14ac:dyDescent="0.3">
      <c r="A336" t="s">
        <v>2433</v>
      </c>
      <c r="B336" t="s">
        <v>2434</v>
      </c>
      <c r="C336" t="s">
        <v>1752</v>
      </c>
      <c r="D336" t="s">
        <v>45</v>
      </c>
      <c r="E336" s="1">
        <v>0</v>
      </c>
      <c r="F336">
        <v>65</v>
      </c>
      <c r="G336">
        <v>0</v>
      </c>
      <c r="H336">
        <v>325</v>
      </c>
      <c r="I336">
        <v>0</v>
      </c>
      <c r="J336">
        <v>0</v>
      </c>
      <c r="K336">
        <f t="shared" si="18"/>
        <v>325</v>
      </c>
      <c r="L336" s="1">
        <f t="shared" si="19"/>
        <v>0</v>
      </c>
      <c r="M336" s="1">
        <f t="shared" si="20"/>
        <v>0</v>
      </c>
    </row>
    <row r="337" spans="1:13" customFormat="1" hidden="1" x14ac:dyDescent="0.3">
      <c r="A337" t="s">
        <v>2435</v>
      </c>
      <c r="B337" t="s">
        <v>2436</v>
      </c>
      <c r="C337" t="s">
        <v>1848</v>
      </c>
      <c r="D337" t="s">
        <v>45</v>
      </c>
      <c r="E337" s="1">
        <v>0</v>
      </c>
      <c r="F337">
        <v>22</v>
      </c>
      <c r="G337">
        <v>0</v>
      </c>
      <c r="H337">
        <v>108</v>
      </c>
      <c r="I337">
        <v>0</v>
      </c>
      <c r="J337">
        <v>0</v>
      </c>
      <c r="K337">
        <f t="shared" si="18"/>
        <v>108</v>
      </c>
      <c r="L337" s="1">
        <f t="shared" si="19"/>
        <v>0</v>
      </c>
      <c r="M337" s="1">
        <f t="shared" si="20"/>
        <v>0</v>
      </c>
    </row>
    <row r="338" spans="1:13" customFormat="1" hidden="1" x14ac:dyDescent="0.3">
      <c r="A338" t="s">
        <v>2437</v>
      </c>
      <c r="B338" t="s">
        <v>2438</v>
      </c>
      <c r="D338" t="s">
        <v>45</v>
      </c>
      <c r="E338" s="1">
        <v>0</v>
      </c>
      <c r="F338">
        <v>3</v>
      </c>
      <c r="G338">
        <v>0</v>
      </c>
      <c r="H338">
        <v>15</v>
      </c>
      <c r="I338">
        <v>0</v>
      </c>
      <c r="J338">
        <v>0</v>
      </c>
      <c r="K338">
        <f t="shared" si="18"/>
        <v>15</v>
      </c>
      <c r="L338" s="1">
        <f t="shared" si="19"/>
        <v>0</v>
      </c>
      <c r="M338" s="1">
        <f t="shared" si="20"/>
        <v>0</v>
      </c>
    </row>
    <row r="339" spans="1:13" customFormat="1" hidden="1" x14ac:dyDescent="0.3">
      <c r="A339" t="s">
        <v>2439</v>
      </c>
      <c r="B339" t="s">
        <v>2440</v>
      </c>
      <c r="C339" t="s">
        <v>2441</v>
      </c>
      <c r="D339" t="s">
        <v>45</v>
      </c>
      <c r="E339" s="1">
        <v>0</v>
      </c>
      <c r="F339">
        <v>1</v>
      </c>
      <c r="G339">
        <v>0</v>
      </c>
      <c r="H339">
        <v>4</v>
      </c>
      <c r="I339">
        <v>0</v>
      </c>
      <c r="J339">
        <v>0</v>
      </c>
      <c r="K339">
        <f t="shared" si="18"/>
        <v>4</v>
      </c>
      <c r="L339" s="1">
        <f t="shared" si="19"/>
        <v>0</v>
      </c>
      <c r="M339" s="1">
        <f t="shared" si="20"/>
        <v>0</v>
      </c>
    </row>
    <row r="340" spans="1:13" customFormat="1" hidden="1" x14ac:dyDescent="0.3">
      <c r="A340" t="s">
        <v>2442</v>
      </c>
      <c r="B340" t="s">
        <v>2443</v>
      </c>
      <c r="C340" t="s">
        <v>1764</v>
      </c>
      <c r="D340" t="s">
        <v>45</v>
      </c>
      <c r="E340" s="1">
        <v>169.4</v>
      </c>
      <c r="F340">
        <v>1</v>
      </c>
      <c r="G340">
        <v>0</v>
      </c>
      <c r="H340">
        <v>2</v>
      </c>
      <c r="I340">
        <v>0</v>
      </c>
      <c r="J340">
        <v>0</v>
      </c>
      <c r="K340">
        <f t="shared" si="18"/>
        <v>2</v>
      </c>
      <c r="L340" s="1">
        <f t="shared" si="19"/>
        <v>0</v>
      </c>
      <c r="M340" s="1">
        <f t="shared" si="20"/>
        <v>338.8</v>
      </c>
    </row>
    <row r="341" spans="1:13" customFormat="1" hidden="1" x14ac:dyDescent="0.3">
      <c r="A341" t="s">
        <v>2444</v>
      </c>
      <c r="B341" t="s">
        <v>2445</v>
      </c>
      <c r="C341" t="s">
        <v>252</v>
      </c>
      <c r="D341" t="s">
        <v>45</v>
      </c>
      <c r="E341" s="1">
        <v>172</v>
      </c>
      <c r="F341">
        <v>2</v>
      </c>
      <c r="G341">
        <v>0</v>
      </c>
      <c r="H341">
        <v>8</v>
      </c>
      <c r="I341">
        <v>0</v>
      </c>
      <c r="J341">
        <v>0</v>
      </c>
      <c r="K341">
        <f t="shared" si="18"/>
        <v>8</v>
      </c>
      <c r="L341" s="1">
        <f t="shared" si="19"/>
        <v>0</v>
      </c>
      <c r="M341" s="1">
        <f t="shared" si="20"/>
        <v>1376</v>
      </c>
    </row>
    <row r="342" spans="1:13" customFormat="1" hidden="1" x14ac:dyDescent="0.3">
      <c r="A342" t="s">
        <v>2446</v>
      </c>
      <c r="B342" t="s">
        <v>2447</v>
      </c>
      <c r="D342" t="s">
        <v>45</v>
      </c>
      <c r="E342" s="1">
        <v>0</v>
      </c>
      <c r="F342">
        <v>1</v>
      </c>
      <c r="G342">
        <v>0</v>
      </c>
      <c r="H342">
        <v>5</v>
      </c>
      <c r="I342">
        <v>0</v>
      </c>
      <c r="J342">
        <v>0</v>
      </c>
      <c r="K342">
        <f t="shared" si="18"/>
        <v>5</v>
      </c>
      <c r="L342" s="1">
        <f t="shared" si="19"/>
        <v>0</v>
      </c>
      <c r="M342" s="1">
        <f t="shared" si="20"/>
        <v>0</v>
      </c>
    </row>
    <row r="343" spans="1:13" customFormat="1" hidden="1" x14ac:dyDescent="0.3">
      <c r="A343" t="s">
        <v>2448</v>
      </c>
      <c r="B343" t="s">
        <v>2449</v>
      </c>
      <c r="D343" t="s">
        <v>45</v>
      </c>
      <c r="E343" s="1">
        <v>0</v>
      </c>
      <c r="F343">
        <v>1</v>
      </c>
      <c r="G343">
        <v>0</v>
      </c>
      <c r="H343">
        <v>5</v>
      </c>
      <c r="I343">
        <v>0</v>
      </c>
      <c r="J343">
        <v>0</v>
      </c>
      <c r="K343">
        <f t="shared" si="18"/>
        <v>5</v>
      </c>
      <c r="L343" s="1">
        <f t="shared" si="19"/>
        <v>0</v>
      </c>
      <c r="M343" s="1">
        <f t="shared" si="20"/>
        <v>0</v>
      </c>
    </row>
    <row r="344" spans="1:13" customFormat="1" hidden="1" x14ac:dyDescent="0.3">
      <c r="A344" t="s">
        <v>2450</v>
      </c>
      <c r="B344" t="s">
        <v>2300</v>
      </c>
      <c r="D344" t="s">
        <v>45</v>
      </c>
      <c r="E344" s="1">
        <v>0</v>
      </c>
      <c r="F344">
        <v>1</v>
      </c>
      <c r="G344">
        <v>0</v>
      </c>
      <c r="H344">
        <v>2</v>
      </c>
      <c r="I344">
        <v>0</v>
      </c>
      <c r="J344">
        <v>0</v>
      </c>
      <c r="K344">
        <f t="shared" si="18"/>
        <v>2</v>
      </c>
      <c r="L344" s="1">
        <f t="shared" si="19"/>
        <v>0</v>
      </c>
      <c r="M344" s="1">
        <f t="shared" si="20"/>
        <v>0</v>
      </c>
    </row>
    <row r="345" spans="1:13" customFormat="1" hidden="1" x14ac:dyDescent="0.3">
      <c r="A345" t="s">
        <v>2451</v>
      </c>
      <c r="B345" t="s">
        <v>2452</v>
      </c>
      <c r="D345" t="s">
        <v>45</v>
      </c>
      <c r="E345" s="1">
        <v>0</v>
      </c>
      <c r="F345">
        <v>1</v>
      </c>
      <c r="G345">
        <v>0</v>
      </c>
      <c r="H345">
        <v>5</v>
      </c>
      <c r="I345">
        <v>0</v>
      </c>
      <c r="J345">
        <v>0</v>
      </c>
      <c r="K345">
        <f t="shared" si="18"/>
        <v>5</v>
      </c>
      <c r="L345" s="1">
        <f t="shared" si="19"/>
        <v>0</v>
      </c>
      <c r="M345" s="1">
        <f t="shared" si="20"/>
        <v>0</v>
      </c>
    </row>
    <row r="346" spans="1:13" customFormat="1" hidden="1" x14ac:dyDescent="0.3">
      <c r="A346" t="s">
        <v>2453</v>
      </c>
      <c r="B346" t="s">
        <v>2454</v>
      </c>
      <c r="D346" t="s">
        <v>45</v>
      </c>
      <c r="E346" s="1">
        <v>0</v>
      </c>
      <c r="F346">
        <v>1</v>
      </c>
      <c r="G346">
        <v>0</v>
      </c>
      <c r="H346">
        <v>2</v>
      </c>
      <c r="I346">
        <v>0</v>
      </c>
      <c r="J346">
        <v>0</v>
      </c>
      <c r="K346">
        <f t="shared" si="18"/>
        <v>2</v>
      </c>
      <c r="L346" s="1">
        <f t="shared" si="19"/>
        <v>0</v>
      </c>
      <c r="M346" s="1">
        <f t="shared" si="20"/>
        <v>0</v>
      </c>
    </row>
    <row r="347" spans="1:13" customFormat="1" hidden="1" x14ac:dyDescent="0.3">
      <c r="A347" t="s">
        <v>2455</v>
      </c>
      <c r="B347" t="s">
        <v>2456</v>
      </c>
      <c r="D347" t="s">
        <v>45</v>
      </c>
      <c r="E347" s="1">
        <v>0</v>
      </c>
      <c r="F347">
        <v>1</v>
      </c>
      <c r="G347">
        <v>0</v>
      </c>
      <c r="H347">
        <v>2</v>
      </c>
      <c r="I347">
        <v>0</v>
      </c>
      <c r="J347">
        <v>0</v>
      </c>
      <c r="K347">
        <f t="shared" si="18"/>
        <v>2</v>
      </c>
      <c r="L347" s="1">
        <f t="shared" si="19"/>
        <v>0</v>
      </c>
      <c r="M347" s="1">
        <f t="shared" si="20"/>
        <v>0</v>
      </c>
    </row>
    <row r="348" spans="1:13" customFormat="1" hidden="1" x14ac:dyDescent="0.3">
      <c r="A348" t="s">
        <v>2457</v>
      </c>
      <c r="B348" t="s">
        <v>2458</v>
      </c>
      <c r="C348" t="s">
        <v>1344</v>
      </c>
      <c r="D348" t="s">
        <v>45</v>
      </c>
      <c r="E348" s="1">
        <v>793.07</v>
      </c>
      <c r="F348">
        <v>4</v>
      </c>
      <c r="G348">
        <v>0</v>
      </c>
      <c r="H348">
        <v>8</v>
      </c>
      <c r="I348">
        <v>0</v>
      </c>
      <c r="J348">
        <v>0</v>
      </c>
      <c r="K348">
        <f t="shared" si="18"/>
        <v>8</v>
      </c>
      <c r="L348" s="1">
        <f t="shared" si="19"/>
        <v>0</v>
      </c>
      <c r="M348" s="1">
        <f t="shared" si="20"/>
        <v>6344.56</v>
      </c>
    </row>
    <row r="349" spans="1:13" customFormat="1" hidden="1" x14ac:dyDescent="0.3">
      <c r="A349" t="s">
        <v>2459</v>
      </c>
      <c r="B349" t="s">
        <v>2460</v>
      </c>
      <c r="C349" t="s">
        <v>1344</v>
      </c>
      <c r="D349" t="s">
        <v>45</v>
      </c>
      <c r="E349" s="1">
        <v>14037.31</v>
      </c>
      <c r="F349">
        <v>4</v>
      </c>
      <c r="G349">
        <v>0</v>
      </c>
      <c r="H349">
        <v>8</v>
      </c>
      <c r="I349">
        <v>0</v>
      </c>
      <c r="J349">
        <v>0</v>
      </c>
      <c r="K349">
        <f t="shared" si="18"/>
        <v>8</v>
      </c>
      <c r="L349" s="1">
        <f t="shared" si="19"/>
        <v>0</v>
      </c>
      <c r="M349" s="1">
        <f t="shared" si="20"/>
        <v>112298.48</v>
      </c>
    </row>
    <row r="350" spans="1:13" customFormat="1" hidden="1" x14ac:dyDescent="0.3">
      <c r="A350" t="s">
        <v>2461</v>
      </c>
      <c r="B350" t="s">
        <v>2462</v>
      </c>
      <c r="C350" t="s">
        <v>1344</v>
      </c>
      <c r="D350" t="s">
        <v>45</v>
      </c>
      <c r="E350" s="1">
        <v>20527.39</v>
      </c>
      <c r="F350">
        <v>1</v>
      </c>
      <c r="G350">
        <v>0</v>
      </c>
      <c r="H350">
        <v>3</v>
      </c>
      <c r="I350">
        <v>0</v>
      </c>
      <c r="J350">
        <v>0</v>
      </c>
      <c r="K350">
        <f t="shared" si="18"/>
        <v>3</v>
      </c>
      <c r="L350" s="1">
        <f t="shared" si="19"/>
        <v>0</v>
      </c>
      <c r="M350" s="1">
        <f t="shared" si="20"/>
        <v>61582.17</v>
      </c>
    </row>
    <row r="351" spans="1:13" customFormat="1" hidden="1" x14ac:dyDescent="0.3">
      <c r="A351" t="s">
        <v>2463</v>
      </c>
      <c r="B351" t="s">
        <v>2464</v>
      </c>
      <c r="D351" t="s">
        <v>45</v>
      </c>
      <c r="E351" s="1">
        <v>0</v>
      </c>
      <c r="F351">
        <v>1</v>
      </c>
      <c r="G351">
        <v>0</v>
      </c>
      <c r="H351">
        <v>2</v>
      </c>
      <c r="I351">
        <v>0</v>
      </c>
      <c r="J351">
        <v>0</v>
      </c>
      <c r="K351">
        <f t="shared" si="18"/>
        <v>2</v>
      </c>
      <c r="L351" s="1">
        <f t="shared" si="19"/>
        <v>0</v>
      </c>
      <c r="M351" s="1">
        <f t="shared" si="20"/>
        <v>0</v>
      </c>
    </row>
    <row r="352" spans="1:13" customFormat="1" hidden="1" x14ac:dyDescent="0.3">
      <c r="A352" t="s">
        <v>2465</v>
      </c>
      <c r="B352" t="s">
        <v>2466</v>
      </c>
      <c r="C352" t="s">
        <v>2467</v>
      </c>
      <c r="D352" t="s">
        <v>45</v>
      </c>
      <c r="E352" s="1">
        <v>291.06</v>
      </c>
      <c r="F352">
        <v>2</v>
      </c>
      <c r="G352">
        <v>0</v>
      </c>
      <c r="H352">
        <v>10</v>
      </c>
      <c r="I352">
        <v>0</v>
      </c>
      <c r="J352">
        <v>0</v>
      </c>
      <c r="K352">
        <f t="shared" si="18"/>
        <v>10</v>
      </c>
      <c r="L352" s="1">
        <f t="shared" si="19"/>
        <v>0</v>
      </c>
      <c r="M352" s="1">
        <f t="shared" si="20"/>
        <v>2910.6</v>
      </c>
    </row>
    <row r="353" spans="1:13" customFormat="1" hidden="1" x14ac:dyDescent="0.3">
      <c r="A353" t="s">
        <v>2468</v>
      </c>
      <c r="B353" t="s">
        <v>66</v>
      </c>
      <c r="D353" t="s">
        <v>45</v>
      </c>
      <c r="E353" s="1">
        <v>0</v>
      </c>
      <c r="F353">
        <v>20</v>
      </c>
      <c r="G353">
        <v>0</v>
      </c>
      <c r="H353">
        <v>100</v>
      </c>
      <c r="I353">
        <v>0</v>
      </c>
      <c r="J353">
        <v>0</v>
      </c>
      <c r="K353">
        <f t="shared" si="18"/>
        <v>100</v>
      </c>
      <c r="L353" s="1">
        <f t="shared" si="19"/>
        <v>0</v>
      </c>
      <c r="M353" s="1">
        <f t="shared" si="20"/>
        <v>0</v>
      </c>
    </row>
    <row r="354" spans="1:13" customFormat="1" hidden="1" x14ac:dyDescent="0.3">
      <c r="A354" t="s">
        <v>2469</v>
      </c>
      <c r="B354" t="s">
        <v>2470</v>
      </c>
      <c r="D354" t="s">
        <v>45</v>
      </c>
      <c r="E354" s="1">
        <v>0</v>
      </c>
      <c r="F354">
        <v>1</v>
      </c>
      <c r="G354">
        <v>0</v>
      </c>
      <c r="H354">
        <v>2</v>
      </c>
      <c r="I354">
        <v>0</v>
      </c>
      <c r="J354">
        <v>0</v>
      </c>
      <c r="K354">
        <f t="shared" si="18"/>
        <v>2</v>
      </c>
      <c r="L354" s="1">
        <f t="shared" si="19"/>
        <v>0</v>
      </c>
      <c r="M354" s="1">
        <f t="shared" si="20"/>
        <v>0</v>
      </c>
    </row>
    <row r="355" spans="1:13" customFormat="1" hidden="1" x14ac:dyDescent="0.3">
      <c r="A355" t="s">
        <v>2471</v>
      </c>
      <c r="B355" t="s">
        <v>2472</v>
      </c>
      <c r="C355" t="s">
        <v>1742</v>
      </c>
      <c r="D355" t="s">
        <v>45</v>
      </c>
      <c r="E355" s="1">
        <v>4555.6499999999996</v>
      </c>
      <c r="F355">
        <v>1</v>
      </c>
      <c r="G355">
        <v>0</v>
      </c>
      <c r="H355">
        <v>3</v>
      </c>
      <c r="I355">
        <v>0</v>
      </c>
      <c r="J355">
        <v>0</v>
      </c>
      <c r="K355">
        <f t="shared" si="18"/>
        <v>3</v>
      </c>
      <c r="L355" s="1">
        <f t="shared" si="19"/>
        <v>0</v>
      </c>
      <c r="M355" s="1">
        <f t="shared" si="20"/>
        <v>13666.949999999999</v>
      </c>
    </row>
    <row r="356" spans="1:13" customFormat="1" hidden="1" x14ac:dyDescent="0.3">
      <c r="A356" t="s">
        <v>2473</v>
      </c>
      <c r="B356" t="s">
        <v>2474</v>
      </c>
      <c r="C356" t="s">
        <v>2475</v>
      </c>
      <c r="D356" t="s">
        <v>45</v>
      </c>
      <c r="E356" s="1">
        <v>305</v>
      </c>
      <c r="F356">
        <v>12</v>
      </c>
      <c r="G356">
        <v>0</v>
      </c>
      <c r="H356">
        <v>60</v>
      </c>
      <c r="I356">
        <v>0</v>
      </c>
      <c r="J356">
        <v>0</v>
      </c>
      <c r="K356">
        <f t="shared" si="18"/>
        <v>60</v>
      </c>
      <c r="L356" s="1">
        <f t="shared" si="19"/>
        <v>0</v>
      </c>
      <c r="M356" s="1">
        <f t="shared" si="20"/>
        <v>18300</v>
      </c>
    </row>
    <row r="357" spans="1:13" customFormat="1" hidden="1" x14ac:dyDescent="0.3">
      <c r="A357" t="s">
        <v>2476</v>
      </c>
      <c r="B357" t="s">
        <v>2477</v>
      </c>
      <c r="C357" t="s">
        <v>1764</v>
      </c>
      <c r="D357" t="s">
        <v>45</v>
      </c>
      <c r="E357" s="1">
        <v>9480</v>
      </c>
      <c r="F357">
        <v>2</v>
      </c>
      <c r="G357">
        <v>0</v>
      </c>
      <c r="H357">
        <v>10</v>
      </c>
      <c r="I357">
        <v>0</v>
      </c>
      <c r="J357">
        <v>0</v>
      </c>
      <c r="K357">
        <f t="shared" si="18"/>
        <v>10</v>
      </c>
      <c r="L357" s="1">
        <f t="shared" si="19"/>
        <v>0</v>
      </c>
      <c r="M357" s="1">
        <f t="shared" si="20"/>
        <v>94800</v>
      </c>
    </row>
    <row r="358" spans="1:13" customFormat="1" hidden="1" x14ac:dyDescent="0.3">
      <c r="A358" t="s">
        <v>2478</v>
      </c>
      <c r="B358" t="s">
        <v>2479</v>
      </c>
      <c r="C358" t="s">
        <v>1752</v>
      </c>
      <c r="D358" t="s">
        <v>45</v>
      </c>
      <c r="E358" s="1">
        <v>75.599999999999994</v>
      </c>
      <c r="F358">
        <v>29</v>
      </c>
      <c r="G358">
        <v>0</v>
      </c>
      <c r="H358">
        <v>65</v>
      </c>
      <c r="I358">
        <v>0</v>
      </c>
      <c r="J358">
        <v>0</v>
      </c>
      <c r="K358">
        <f t="shared" si="18"/>
        <v>65</v>
      </c>
      <c r="L358" s="1">
        <f t="shared" si="19"/>
        <v>0</v>
      </c>
      <c r="M358" s="1">
        <f t="shared" si="20"/>
        <v>4914</v>
      </c>
    </row>
    <row r="359" spans="1:13" customFormat="1" hidden="1" x14ac:dyDescent="0.3">
      <c r="A359" t="s">
        <v>2480</v>
      </c>
      <c r="B359" t="s">
        <v>2481</v>
      </c>
      <c r="D359" t="s">
        <v>45</v>
      </c>
      <c r="E359" s="1">
        <v>0</v>
      </c>
      <c r="F359">
        <v>2</v>
      </c>
      <c r="G359">
        <v>0</v>
      </c>
      <c r="H359">
        <v>10</v>
      </c>
      <c r="I359">
        <v>0</v>
      </c>
      <c r="J359">
        <v>0</v>
      </c>
      <c r="K359">
        <f t="shared" si="18"/>
        <v>10</v>
      </c>
      <c r="L359" s="1">
        <f t="shared" si="19"/>
        <v>0</v>
      </c>
      <c r="M359" s="1">
        <f t="shared" si="20"/>
        <v>0</v>
      </c>
    </row>
    <row r="360" spans="1:13" customFormat="1" hidden="1" x14ac:dyDescent="0.3">
      <c r="A360" t="s">
        <v>2482</v>
      </c>
      <c r="B360" t="s">
        <v>2483</v>
      </c>
      <c r="C360" t="s">
        <v>252</v>
      </c>
      <c r="D360" t="s">
        <v>45</v>
      </c>
      <c r="E360" s="1">
        <v>172</v>
      </c>
      <c r="F360">
        <v>1</v>
      </c>
      <c r="G360">
        <v>0</v>
      </c>
      <c r="H360">
        <v>3</v>
      </c>
      <c r="I360">
        <v>0</v>
      </c>
      <c r="J360">
        <v>0</v>
      </c>
      <c r="K360">
        <f t="shared" si="18"/>
        <v>3</v>
      </c>
      <c r="L360" s="1">
        <f t="shared" si="19"/>
        <v>0</v>
      </c>
      <c r="M360" s="1">
        <f t="shared" si="20"/>
        <v>516</v>
      </c>
    </row>
    <row r="361" spans="1:13" customFormat="1" hidden="1" x14ac:dyDescent="0.3">
      <c r="A361" t="s">
        <v>2484</v>
      </c>
      <c r="B361" t="s">
        <v>2485</v>
      </c>
      <c r="D361" t="s">
        <v>45</v>
      </c>
      <c r="E361" s="1">
        <v>0</v>
      </c>
      <c r="F361">
        <v>1</v>
      </c>
      <c r="G361">
        <v>0</v>
      </c>
      <c r="H361">
        <v>2</v>
      </c>
      <c r="I361">
        <v>0</v>
      </c>
      <c r="J361">
        <v>0</v>
      </c>
      <c r="K361">
        <f t="shared" si="18"/>
        <v>2</v>
      </c>
      <c r="L361" s="1">
        <f t="shared" si="19"/>
        <v>0</v>
      </c>
      <c r="M361" s="1">
        <f t="shared" si="20"/>
        <v>0</v>
      </c>
    </row>
    <row r="362" spans="1:13" customFormat="1" hidden="1" x14ac:dyDescent="0.3">
      <c r="A362" t="s">
        <v>2486</v>
      </c>
      <c r="B362" t="s">
        <v>2487</v>
      </c>
      <c r="C362" t="s">
        <v>2169</v>
      </c>
      <c r="D362" t="s">
        <v>45</v>
      </c>
      <c r="E362" s="1">
        <v>785</v>
      </c>
      <c r="F362">
        <v>3</v>
      </c>
      <c r="G362">
        <v>0</v>
      </c>
      <c r="H362">
        <v>9</v>
      </c>
      <c r="I362">
        <v>0</v>
      </c>
      <c r="J362">
        <v>0</v>
      </c>
      <c r="K362">
        <f t="shared" si="18"/>
        <v>9</v>
      </c>
      <c r="L362" s="1">
        <f t="shared" si="19"/>
        <v>0</v>
      </c>
      <c r="M362" s="1">
        <f t="shared" si="20"/>
        <v>7065</v>
      </c>
    </row>
    <row r="363" spans="1:13" customFormat="1" hidden="1" x14ac:dyDescent="0.3">
      <c r="A363" t="s">
        <v>2488</v>
      </c>
      <c r="B363" t="s">
        <v>2489</v>
      </c>
      <c r="C363" t="s">
        <v>91</v>
      </c>
      <c r="D363" t="s">
        <v>45</v>
      </c>
      <c r="E363" s="1">
        <v>276.43</v>
      </c>
      <c r="F363">
        <v>1</v>
      </c>
      <c r="G363">
        <v>0</v>
      </c>
      <c r="H363">
        <v>5</v>
      </c>
      <c r="I363">
        <v>0</v>
      </c>
      <c r="J363">
        <v>0</v>
      </c>
      <c r="K363">
        <f t="shared" si="18"/>
        <v>5</v>
      </c>
      <c r="L363" s="1">
        <f t="shared" si="19"/>
        <v>0</v>
      </c>
      <c r="M363" s="1">
        <f t="shared" si="20"/>
        <v>1382.15</v>
      </c>
    </row>
    <row r="364" spans="1:13" customFormat="1" hidden="1" x14ac:dyDescent="0.3">
      <c r="A364" t="s">
        <v>2490</v>
      </c>
      <c r="B364" t="s">
        <v>2491</v>
      </c>
      <c r="D364" t="s">
        <v>45</v>
      </c>
      <c r="E364" s="1">
        <v>0</v>
      </c>
      <c r="F364">
        <v>1</v>
      </c>
      <c r="G364">
        <v>0</v>
      </c>
      <c r="H364">
        <v>2</v>
      </c>
      <c r="I364">
        <v>0</v>
      </c>
      <c r="J364">
        <v>0</v>
      </c>
      <c r="K364">
        <f t="shared" si="18"/>
        <v>2</v>
      </c>
      <c r="L364" s="1">
        <f t="shared" si="19"/>
        <v>0</v>
      </c>
      <c r="M364" s="1">
        <f t="shared" si="20"/>
        <v>0</v>
      </c>
    </row>
    <row r="365" spans="1:13" x14ac:dyDescent="0.3">
      <c r="A365" s="2" t="s">
        <v>2880</v>
      </c>
      <c r="B365" s="2" t="s">
        <v>2881</v>
      </c>
      <c r="C365" s="4" t="s">
        <v>73</v>
      </c>
      <c r="D365" s="6" t="s">
        <v>45</v>
      </c>
      <c r="E365" s="5">
        <v>2</v>
      </c>
      <c r="F365" s="4">
        <v>65</v>
      </c>
      <c r="G365" s="4">
        <v>0</v>
      </c>
      <c r="H365" s="4">
        <v>325</v>
      </c>
      <c r="I365" s="4">
        <v>0</v>
      </c>
      <c r="J365" s="4">
        <v>0</v>
      </c>
      <c r="K365" s="4">
        <f t="shared" si="18"/>
        <v>325</v>
      </c>
      <c r="L365" s="5">
        <f t="shared" si="19"/>
        <v>0</v>
      </c>
      <c r="M365" s="5">
        <f t="shared" si="20"/>
        <v>650</v>
      </c>
    </row>
    <row r="366" spans="1:13" customFormat="1" hidden="1" x14ac:dyDescent="0.3">
      <c r="A366" t="s">
        <v>2494</v>
      </c>
      <c r="B366" t="s">
        <v>2495</v>
      </c>
      <c r="C366" t="s">
        <v>1714</v>
      </c>
      <c r="D366" t="s">
        <v>45</v>
      </c>
      <c r="E366" s="1">
        <v>0</v>
      </c>
      <c r="F366">
        <v>5</v>
      </c>
      <c r="G366">
        <v>0</v>
      </c>
      <c r="H366">
        <v>15</v>
      </c>
      <c r="I366">
        <v>0</v>
      </c>
      <c r="J366">
        <v>0</v>
      </c>
      <c r="K366">
        <f t="shared" si="18"/>
        <v>15</v>
      </c>
      <c r="L366" s="1">
        <f t="shared" si="19"/>
        <v>0</v>
      </c>
      <c r="M366" s="1">
        <f t="shared" si="20"/>
        <v>0</v>
      </c>
    </row>
    <row r="367" spans="1:13" customFormat="1" hidden="1" x14ac:dyDescent="0.3">
      <c r="A367" t="s">
        <v>2496</v>
      </c>
      <c r="B367" t="s">
        <v>2497</v>
      </c>
      <c r="C367" t="s">
        <v>1171</v>
      </c>
      <c r="D367" t="s">
        <v>45</v>
      </c>
      <c r="E367" s="1">
        <v>5122.46</v>
      </c>
      <c r="F367">
        <v>3</v>
      </c>
      <c r="G367">
        <v>0</v>
      </c>
      <c r="H367">
        <v>7</v>
      </c>
      <c r="I367">
        <v>0</v>
      </c>
      <c r="J367">
        <v>0</v>
      </c>
      <c r="K367">
        <f t="shared" si="18"/>
        <v>7</v>
      </c>
      <c r="L367" s="1">
        <f t="shared" si="19"/>
        <v>0</v>
      </c>
      <c r="M367" s="1">
        <f t="shared" si="20"/>
        <v>35857.22</v>
      </c>
    </row>
    <row r="368" spans="1:13" customFormat="1" hidden="1" x14ac:dyDescent="0.3">
      <c r="A368" t="s">
        <v>2498</v>
      </c>
      <c r="B368" t="s">
        <v>2499</v>
      </c>
      <c r="C368" t="s">
        <v>1777</v>
      </c>
      <c r="D368" t="s">
        <v>45</v>
      </c>
      <c r="E368" s="1">
        <v>4900</v>
      </c>
      <c r="F368">
        <v>1</v>
      </c>
      <c r="G368">
        <v>0</v>
      </c>
      <c r="H368">
        <v>2</v>
      </c>
      <c r="I368">
        <v>0</v>
      </c>
      <c r="J368">
        <v>0</v>
      </c>
      <c r="K368">
        <f t="shared" si="18"/>
        <v>2</v>
      </c>
      <c r="L368" s="1">
        <f t="shared" si="19"/>
        <v>0</v>
      </c>
      <c r="M368" s="1">
        <f t="shared" si="20"/>
        <v>9800</v>
      </c>
    </row>
    <row r="369" spans="1:13" customFormat="1" hidden="1" x14ac:dyDescent="0.3">
      <c r="A369" t="s">
        <v>2500</v>
      </c>
      <c r="B369" t="s">
        <v>2501</v>
      </c>
      <c r="C369" t="s">
        <v>1752</v>
      </c>
      <c r="D369" t="s">
        <v>45</v>
      </c>
      <c r="E369" s="1">
        <v>645</v>
      </c>
      <c r="F369">
        <v>2</v>
      </c>
      <c r="G369">
        <v>0</v>
      </c>
      <c r="H369">
        <v>8</v>
      </c>
      <c r="I369">
        <v>0</v>
      </c>
      <c r="J369">
        <v>0</v>
      </c>
      <c r="K369">
        <f t="shared" si="18"/>
        <v>8</v>
      </c>
      <c r="L369" s="1">
        <f t="shared" si="19"/>
        <v>0</v>
      </c>
      <c r="M369" s="1">
        <f t="shared" si="20"/>
        <v>5160</v>
      </c>
    </row>
    <row r="370" spans="1:13" customFormat="1" hidden="1" x14ac:dyDescent="0.3">
      <c r="A370" t="s">
        <v>2502</v>
      </c>
      <c r="B370" t="s">
        <v>2503</v>
      </c>
      <c r="D370" t="s">
        <v>45</v>
      </c>
      <c r="E370" s="1">
        <v>0</v>
      </c>
      <c r="F370">
        <v>2</v>
      </c>
      <c r="G370">
        <v>0</v>
      </c>
      <c r="H370">
        <v>11</v>
      </c>
      <c r="I370">
        <v>0</v>
      </c>
      <c r="J370">
        <v>0</v>
      </c>
      <c r="K370">
        <f t="shared" si="18"/>
        <v>11</v>
      </c>
      <c r="L370" s="1">
        <f t="shared" si="19"/>
        <v>0</v>
      </c>
      <c r="M370" s="1">
        <f t="shared" si="20"/>
        <v>0</v>
      </c>
    </row>
    <row r="371" spans="1:13" customFormat="1" hidden="1" x14ac:dyDescent="0.3">
      <c r="A371" t="s">
        <v>2504</v>
      </c>
      <c r="B371" t="s">
        <v>2505</v>
      </c>
      <c r="C371" t="s">
        <v>472</v>
      </c>
      <c r="D371" t="s">
        <v>45</v>
      </c>
      <c r="E371" s="1">
        <v>22673.9</v>
      </c>
      <c r="F371">
        <v>1</v>
      </c>
      <c r="G371">
        <v>0</v>
      </c>
      <c r="H371">
        <v>3</v>
      </c>
      <c r="I371">
        <v>0</v>
      </c>
      <c r="J371">
        <v>0</v>
      </c>
      <c r="K371">
        <f t="shared" si="18"/>
        <v>3</v>
      </c>
      <c r="L371" s="1">
        <f t="shared" si="19"/>
        <v>0</v>
      </c>
      <c r="M371" s="1">
        <f t="shared" si="20"/>
        <v>68021.700000000012</v>
      </c>
    </row>
    <row r="372" spans="1:13" customFormat="1" hidden="1" x14ac:dyDescent="0.3">
      <c r="A372" t="s">
        <v>2506</v>
      </c>
      <c r="B372" t="s">
        <v>2507</v>
      </c>
      <c r="C372" t="s">
        <v>2508</v>
      </c>
      <c r="D372" t="s">
        <v>45</v>
      </c>
      <c r="E372" s="1">
        <v>8.0399999999999991</v>
      </c>
      <c r="F372">
        <v>25</v>
      </c>
      <c r="G372">
        <v>0</v>
      </c>
      <c r="H372">
        <v>125</v>
      </c>
      <c r="I372">
        <v>0</v>
      </c>
      <c r="J372">
        <v>0</v>
      </c>
      <c r="K372">
        <f t="shared" si="18"/>
        <v>125</v>
      </c>
      <c r="L372" s="1">
        <f t="shared" si="19"/>
        <v>0</v>
      </c>
      <c r="M372" s="1">
        <f t="shared" si="20"/>
        <v>1004.9999999999999</v>
      </c>
    </row>
    <row r="373" spans="1:13" customFormat="1" hidden="1" x14ac:dyDescent="0.3">
      <c r="A373" t="s">
        <v>2509</v>
      </c>
      <c r="B373" t="s">
        <v>2510</v>
      </c>
      <c r="C373" t="s">
        <v>2508</v>
      </c>
      <c r="D373" t="s">
        <v>45</v>
      </c>
      <c r="E373" s="1">
        <v>4.7699999999999996</v>
      </c>
      <c r="F373">
        <v>25</v>
      </c>
      <c r="G373">
        <v>0</v>
      </c>
      <c r="H373">
        <v>125</v>
      </c>
      <c r="I373">
        <v>0</v>
      </c>
      <c r="J373">
        <v>0</v>
      </c>
      <c r="K373">
        <f t="shared" si="18"/>
        <v>125</v>
      </c>
      <c r="L373" s="1">
        <f t="shared" si="19"/>
        <v>0</v>
      </c>
      <c r="M373" s="1">
        <f t="shared" si="20"/>
        <v>596.25</v>
      </c>
    </row>
    <row r="374" spans="1:13" customFormat="1" hidden="1" x14ac:dyDescent="0.3">
      <c r="A374" t="s">
        <v>2511</v>
      </c>
      <c r="B374" t="s">
        <v>2512</v>
      </c>
      <c r="D374" t="s">
        <v>45</v>
      </c>
      <c r="E374" s="1">
        <v>0</v>
      </c>
      <c r="F374">
        <v>1</v>
      </c>
      <c r="G374">
        <v>0</v>
      </c>
      <c r="H374">
        <v>2</v>
      </c>
      <c r="I374">
        <v>0</v>
      </c>
      <c r="J374">
        <v>0</v>
      </c>
      <c r="K374">
        <f t="shared" si="18"/>
        <v>2</v>
      </c>
      <c r="L374" s="1">
        <f t="shared" si="19"/>
        <v>0</v>
      </c>
      <c r="M374" s="1">
        <f t="shared" si="20"/>
        <v>0</v>
      </c>
    </row>
    <row r="375" spans="1:13" customFormat="1" hidden="1" x14ac:dyDescent="0.3">
      <c r="A375" t="s">
        <v>2513</v>
      </c>
      <c r="B375" t="s">
        <v>2514</v>
      </c>
      <c r="C375" t="s">
        <v>2418</v>
      </c>
      <c r="D375" t="s">
        <v>45</v>
      </c>
      <c r="E375" s="1">
        <v>940.5</v>
      </c>
      <c r="F375">
        <v>9</v>
      </c>
      <c r="G375">
        <v>0</v>
      </c>
      <c r="H375">
        <v>25</v>
      </c>
      <c r="I375">
        <v>0</v>
      </c>
      <c r="J375">
        <v>0</v>
      </c>
      <c r="K375">
        <f t="shared" si="18"/>
        <v>25</v>
      </c>
      <c r="L375" s="1">
        <f t="shared" si="19"/>
        <v>0</v>
      </c>
      <c r="M375" s="1">
        <f t="shared" si="20"/>
        <v>23512.5</v>
      </c>
    </row>
    <row r="376" spans="1:13" customFormat="1" hidden="1" x14ac:dyDescent="0.3">
      <c r="A376" t="s">
        <v>2515</v>
      </c>
      <c r="B376" t="s">
        <v>2516</v>
      </c>
      <c r="D376" t="s">
        <v>45</v>
      </c>
      <c r="E376" s="1">
        <v>0</v>
      </c>
      <c r="F376">
        <v>5</v>
      </c>
      <c r="G376">
        <v>0</v>
      </c>
      <c r="H376">
        <v>25</v>
      </c>
      <c r="I376">
        <v>0</v>
      </c>
      <c r="J376">
        <v>0</v>
      </c>
      <c r="K376">
        <f t="shared" si="18"/>
        <v>25</v>
      </c>
      <c r="L376" s="1">
        <f t="shared" si="19"/>
        <v>0</v>
      </c>
      <c r="M376" s="1">
        <f t="shared" si="20"/>
        <v>0</v>
      </c>
    </row>
    <row r="377" spans="1:13" customFormat="1" hidden="1" x14ac:dyDescent="0.3">
      <c r="A377" t="s">
        <v>2517</v>
      </c>
      <c r="B377" t="s">
        <v>2518</v>
      </c>
      <c r="C377" t="s">
        <v>81</v>
      </c>
      <c r="D377" t="s">
        <v>45</v>
      </c>
      <c r="E377" s="1">
        <v>48642</v>
      </c>
      <c r="F377">
        <v>2</v>
      </c>
      <c r="G377">
        <v>0</v>
      </c>
      <c r="H377">
        <v>4</v>
      </c>
      <c r="I377">
        <v>0</v>
      </c>
      <c r="J377">
        <v>0</v>
      </c>
      <c r="K377">
        <f t="shared" si="18"/>
        <v>4</v>
      </c>
      <c r="L377" s="1">
        <f t="shared" si="19"/>
        <v>0</v>
      </c>
      <c r="M377" s="1">
        <f t="shared" si="20"/>
        <v>194568</v>
      </c>
    </row>
    <row r="378" spans="1:13" customFormat="1" hidden="1" x14ac:dyDescent="0.3">
      <c r="A378" t="s">
        <v>2519</v>
      </c>
      <c r="B378" t="s">
        <v>2520</v>
      </c>
      <c r="C378" t="s">
        <v>472</v>
      </c>
      <c r="D378" t="s">
        <v>45</v>
      </c>
      <c r="E378" s="1">
        <v>26270</v>
      </c>
      <c r="F378">
        <v>10</v>
      </c>
      <c r="G378">
        <v>0</v>
      </c>
      <c r="H378">
        <v>26</v>
      </c>
      <c r="I378">
        <v>0</v>
      </c>
      <c r="J378">
        <v>3</v>
      </c>
      <c r="K378">
        <f t="shared" si="18"/>
        <v>23</v>
      </c>
      <c r="L378" s="1">
        <f t="shared" si="19"/>
        <v>0</v>
      </c>
      <c r="M378" s="1">
        <f t="shared" si="20"/>
        <v>604210</v>
      </c>
    </row>
    <row r="379" spans="1:13" customFormat="1" hidden="1" x14ac:dyDescent="0.3">
      <c r="A379" t="s">
        <v>2521</v>
      </c>
      <c r="B379" t="s">
        <v>2522</v>
      </c>
      <c r="C379" t="s">
        <v>472</v>
      </c>
      <c r="D379" t="s">
        <v>45</v>
      </c>
      <c r="E379" s="1">
        <v>14394</v>
      </c>
      <c r="F379">
        <v>1</v>
      </c>
      <c r="G379">
        <v>0</v>
      </c>
      <c r="H379">
        <v>3</v>
      </c>
      <c r="I379">
        <v>0</v>
      </c>
      <c r="J379">
        <v>0</v>
      </c>
      <c r="K379">
        <f t="shared" si="18"/>
        <v>3</v>
      </c>
      <c r="L379" s="1">
        <f t="shared" si="19"/>
        <v>0</v>
      </c>
      <c r="M379" s="1">
        <f t="shared" si="20"/>
        <v>43182</v>
      </c>
    </row>
    <row r="380" spans="1:13" customFormat="1" hidden="1" x14ac:dyDescent="0.3">
      <c r="A380" t="s">
        <v>2523</v>
      </c>
      <c r="B380" t="s">
        <v>2523</v>
      </c>
      <c r="C380" t="s">
        <v>472</v>
      </c>
      <c r="D380" t="s">
        <v>45</v>
      </c>
      <c r="E380" s="1">
        <v>9248</v>
      </c>
      <c r="F380">
        <v>1</v>
      </c>
      <c r="G380">
        <v>0</v>
      </c>
      <c r="H380">
        <v>4</v>
      </c>
      <c r="I380">
        <v>0</v>
      </c>
      <c r="J380">
        <v>0</v>
      </c>
      <c r="K380">
        <f t="shared" si="18"/>
        <v>4</v>
      </c>
      <c r="L380" s="1">
        <f t="shared" si="19"/>
        <v>0</v>
      </c>
      <c r="M380" s="1">
        <f t="shared" si="20"/>
        <v>36992</v>
      </c>
    </row>
    <row r="381" spans="1:13" customFormat="1" hidden="1" x14ac:dyDescent="0.3">
      <c r="A381" t="s">
        <v>2524</v>
      </c>
      <c r="B381" t="s">
        <v>2525</v>
      </c>
      <c r="C381" t="s">
        <v>472</v>
      </c>
      <c r="D381" t="s">
        <v>45</v>
      </c>
      <c r="E381" s="1">
        <v>12391</v>
      </c>
      <c r="F381">
        <v>2</v>
      </c>
      <c r="G381">
        <v>0</v>
      </c>
      <c r="H381">
        <v>4</v>
      </c>
      <c r="I381">
        <v>0</v>
      </c>
      <c r="J381">
        <v>0</v>
      </c>
      <c r="K381">
        <f t="shared" si="18"/>
        <v>4</v>
      </c>
      <c r="L381" s="1">
        <f t="shared" si="19"/>
        <v>0</v>
      </c>
      <c r="M381" s="1">
        <f t="shared" si="20"/>
        <v>49564</v>
      </c>
    </row>
    <row r="382" spans="1:13" customFormat="1" hidden="1" x14ac:dyDescent="0.3">
      <c r="A382" t="s">
        <v>2526</v>
      </c>
      <c r="B382" t="s">
        <v>2527</v>
      </c>
      <c r="C382" t="s">
        <v>472</v>
      </c>
      <c r="D382" t="s">
        <v>45</v>
      </c>
      <c r="E382" s="1">
        <v>21973</v>
      </c>
      <c r="F382">
        <v>1</v>
      </c>
      <c r="G382">
        <v>0</v>
      </c>
      <c r="H382">
        <v>3</v>
      </c>
      <c r="I382">
        <v>0</v>
      </c>
      <c r="J382">
        <v>0</v>
      </c>
      <c r="K382">
        <f t="shared" si="18"/>
        <v>3</v>
      </c>
      <c r="L382" s="1">
        <f t="shared" si="19"/>
        <v>0</v>
      </c>
      <c r="M382" s="1">
        <f t="shared" si="20"/>
        <v>65919</v>
      </c>
    </row>
    <row r="383" spans="1:13" customFormat="1" hidden="1" x14ac:dyDescent="0.3">
      <c r="A383" t="s">
        <v>2528</v>
      </c>
      <c r="B383" t="s">
        <v>2529</v>
      </c>
      <c r="C383" t="s">
        <v>472</v>
      </c>
      <c r="D383" t="s">
        <v>45</v>
      </c>
      <c r="E383" s="1">
        <v>17220</v>
      </c>
      <c r="F383">
        <v>7</v>
      </c>
      <c r="G383">
        <v>0</v>
      </c>
      <c r="H383">
        <v>15</v>
      </c>
      <c r="I383">
        <v>0</v>
      </c>
      <c r="J383">
        <v>0</v>
      </c>
      <c r="K383">
        <f t="shared" si="18"/>
        <v>15</v>
      </c>
      <c r="L383" s="1">
        <f t="shared" si="19"/>
        <v>0</v>
      </c>
      <c r="M383" s="1">
        <f t="shared" si="20"/>
        <v>258300</v>
      </c>
    </row>
    <row r="384" spans="1:13" customFormat="1" hidden="1" x14ac:dyDescent="0.3">
      <c r="A384" t="s">
        <v>2530</v>
      </c>
      <c r="B384" t="s">
        <v>2531</v>
      </c>
      <c r="C384" t="s">
        <v>472</v>
      </c>
      <c r="D384" t="s">
        <v>45</v>
      </c>
      <c r="E384" s="1">
        <v>21973</v>
      </c>
      <c r="F384">
        <v>8</v>
      </c>
      <c r="G384">
        <v>0</v>
      </c>
      <c r="H384">
        <v>22</v>
      </c>
      <c r="I384">
        <v>0</v>
      </c>
      <c r="J384">
        <v>0</v>
      </c>
      <c r="K384">
        <f t="shared" si="18"/>
        <v>22</v>
      </c>
      <c r="L384" s="1">
        <f t="shared" si="19"/>
        <v>0</v>
      </c>
      <c r="M384" s="1">
        <f t="shared" si="20"/>
        <v>483406</v>
      </c>
    </row>
    <row r="385" spans="1:13" customFormat="1" hidden="1" x14ac:dyDescent="0.3">
      <c r="A385" t="s">
        <v>2532</v>
      </c>
      <c r="B385" t="s">
        <v>2533</v>
      </c>
      <c r="C385" t="s">
        <v>472</v>
      </c>
      <c r="D385" t="s">
        <v>45</v>
      </c>
      <c r="E385" s="1">
        <v>21973</v>
      </c>
      <c r="F385">
        <v>6</v>
      </c>
      <c r="G385">
        <v>0</v>
      </c>
      <c r="H385">
        <v>16</v>
      </c>
      <c r="I385">
        <v>0</v>
      </c>
      <c r="J385">
        <v>0</v>
      </c>
      <c r="K385">
        <f t="shared" si="18"/>
        <v>16</v>
      </c>
      <c r="L385" s="1">
        <f t="shared" si="19"/>
        <v>0</v>
      </c>
      <c r="M385" s="1">
        <f t="shared" si="20"/>
        <v>351568</v>
      </c>
    </row>
    <row r="386" spans="1:13" customFormat="1" hidden="1" x14ac:dyDescent="0.3">
      <c r="A386" t="s">
        <v>2534</v>
      </c>
      <c r="B386" t="s">
        <v>2535</v>
      </c>
      <c r="C386" t="s">
        <v>472</v>
      </c>
      <c r="D386" t="s">
        <v>45</v>
      </c>
      <c r="E386" s="1">
        <v>9462.9599999999991</v>
      </c>
      <c r="F386">
        <v>8</v>
      </c>
      <c r="G386">
        <v>0</v>
      </c>
      <c r="H386">
        <v>18</v>
      </c>
      <c r="I386">
        <v>0</v>
      </c>
      <c r="J386">
        <v>0</v>
      </c>
      <c r="K386">
        <f t="shared" si="18"/>
        <v>18</v>
      </c>
      <c r="L386" s="1">
        <f t="shared" si="19"/>
        <v>0</v>
      </c>
      <c r="M386" s="1">
        <f t="shared" si="20"/>
        <v>170333.27999999997</v>
      </c>
    </row>
    <row r="387" spans="1:13" customFormat="1" hidden="1" x14ac:dyDescent="0.3">
      <c r="A387" t="s">
        <v>2536</v>
      </c>
      <c r="B387" t="s">
        <v>2537</v>
      </c>
      <c r="C387" t="s">
        <v>118</v>
      </c>
      <c r="D387" t="s">
        <v>45</v>
      </c>
      <c r="E387" s="1">
        <v>48</v>
      </c>
      <c r="F387">
        <v>2</v>
      </c>
      <c r="G387">
        <v>0</v>
      </c>
      <c r="H387">
        <v>10</v>
      </c>
      <c r="I387">
        <v>0</v>
      </c>
      <c r="J387">
        <v>0</v>
      </c>
      <c r="K387">
        <f t="shared" si="18"/>
        <v>10</v>
      </c>
      <c r="L387" s="1">
        <f t="shared" si="19"/>
        <v>0</v>
      </c>
      <c r="M387" s="1">
        <f t="shared" si="20"/>
        <v>480</v>
      </c>
    </row>
    <row r="388" spans="1:13" customFormat="1" hidden="1" x14ac:dyDescent="0.3">
      <c r="A388" t="s">
        <v>2538</v>
      </c>
      <c r="B388" t="s">
        <v>2539</v>
      </c>
      <c r="C388" t="s">
        <v>2217</v>
      </c>
      <c r="D388" t="s">
        <v>45</v>
      </c>
      <c r="E388" s="1">
        <v>5110.49</v>
      </c>
      <c r="F388">
        <v>6</v>
      </c>
      <c r="G388">
        <v>0</v>
      </c>
      <c r="H388">
        <v>30</v>
      </c>
      <c r="I388">
        <v>0</v>
      </c>
      <c r="J388">
        <v>0</v>
      </c>
      <c r="K388">
        <f t="shared" si="18"/>
        <v>30</v>
      </c>
      <c r="L388" s="1">
        <f t="shared" si="19"/>
        <v>0</v>
      </c>
      <c r="M388" s="1">
        <f t="shared" si="20"/>
        <v>153314.69999999998</v>
      </c>
    </row>
    <row r="389" spans="1:13" customFormat="1" hidden="1" x14ac:dyDescent="0.3">
      <c r="A389" t="s">
        <v>2540</v>
      </c>
      <c r="B389" t="s">
        <v>2541</v>
      </c>
      <c r="C389" t="s">
        <v>88</v>
      </c>
      <c r="D389" t="s">
        <v>45</v>
      </c>
      <c r="E389" s="1">
        <v>0</v>
      </c>
      <c r="F389">
        <v>16</v>
      </c>
      <c r="G389">
        <v>0</v>
      </c>
      <c r="H389">
        <v>80</v>
      </c>
      <c r="I389">
        <v>0</v>
      </c>
      <c r="J389">
        <v>0</v>
      </c>
      <c r="K389">
        <f t="shared" si="18"/>
        <v>80</v>
      </c>
      <c r="L389" s="1">
        <f t="shared" si="19"/>
        <v>0</v>
      </c>
      <c r="M389" s="1">
        <f t="shared" si="20"/>
        <v>0</v>
      </c>
    </row>
    <row r="390" spans="1:13" customFormat="1" hidden="1" x14ac:dyDescent="0.3">
      <c r="A390" t="s">
        <v>2542</v>
      </c>
      <c r="B390" t="s">
        <v>2543</v>
      </c>
      <c r="C390" t="s">
        <v>88</v>
      </c>
      <c r="D390" t="s">
        <v>45</v>
      </c>
      <c r="E390" s="1">
        <v>13.02</v>
      </c>
      <c r="F390">
        <v>298</v>
      </c>
      <c r="G390">
        <v>0</v>
      </c>
      <c r="H390">
        <v>1491</v>
      </c>
      <c r="I390">
        <v>0</v>
      </c>
      <c r="J390">
        <v>286</v>
      </c>
      <c r="K390">
        <f t="shared" si="18"/>
        <v>1205</v>
      </c>
      <c r="L390" s="1">
        <f t="shared" si="19"/>
        <v>0</v>
      </c>
      <c r="M390" s="1">
        <f t="shared" si="20"/>
        <v>15689.1</v>
      </c>
    </row>
    <row r="391" spans="1:13" customFormat="1" hidden="1" x14ac:dyDescent="0.3">
      <c r="A391" t="s">
        <v>2544</v>
      </c>
      <c r="B391" t="s">
        <v>2545</v>
      </c>
      <c r="C391" t="s">
        <v>2383</v>
      </c>
      <c r="D391" t="s">
        <v>45</v>
      </c>
      <c r="E391" s="1">
        <v>73</v>
      </c>
      <c r="F391">
        <v>3</v>
      </c>
      <c r="G391">
        <v>0</v>
      </c>
      <c r="H391">
        <v>11</v>
      </c>
      <c r="I391">
        <v>0</v>
      </c>
      <c r="J391">
        <v>0</v>
      </c>
      <c r="K391">
        <f t="shared" si="18"/>
        <v>11</v>
      </c>
      <c r="L391" s="1">
        <f t="shared" si="19"/>
        <v>0</v>
      </c>
      <c r="M391" s="1">
        <f t="shared" si="20"/>
        <v>803</v>
      </c>
    </row>
    <row r="392" spans="1:13" customFormat="1" hidden="1" x14ac:dyDescent="0.3">
      <c r="A392" t="s">
        <v>2546</v>
      </c>
      <c r="B392" t="s">
        <v>2547</v>
      </c>
      <c r="C392" t="s">
        <v>1891</v>
      </c>
      <c r="D392" t="s">
        <v>45</v>
      </c>
      <c r="E392" s="1">
        <v>735</v>
      </c>
      <c r="F392">
        <v>3</v>
      </c>
      <c r="G392">
        <v>0</v>
      </c>
      <c r="H392">
        <v>7</v>
      </c>
      <c r="I392">
        <v>0</v>
      </c>
      <c r="J392">
        <v>0</v>
      </c>
      <c r="K392">
        <f t="shared" si="18"/>
        <v>7</v>
      </c>
      <c r="L392" s="1">
        <f t="shared" si="19"/>
        <v>0</v>
      </c>
      <c r="M392" s="1">
        <f t="shared" si="20"/>
        <v>5145</v>
      </c>
    </row>
    <row r="393" spans="1:13" customFormat="1" hidden="1" x14ac:dyDescent="0.3">
      <c r="A393" t="s">
        <v>2548</v>
      </c>
      <c r="B393" t="s">
        <v>2549</v>
      </c>
      <c r="C393" t="s">
        <v>1764</v>
      </c>
      <c r="D393" t="s">
        <v>45</v>
      </c>
      <c r="E393" s="1">
        <v>3280</v>
      </c>
      <c r="F393">
        <v>1</v>
      </c>
      <c r="G393">
        <v>0</v>
      </c>
      <c r="H393">
        <v>6</v>
      </c>
      <c r="I393">
        <v>0</v>
      </c>
      <c r="J393">
        <v>0</v>
      </c>
      <c r="K393">
        <f t="shared" si="18"/>
        <v>6</v>
      </c>
      <c r="L393" s="1">
        <f t="shared" si="19"/>
        <v>0</v>
      </c>
      <c r="M393" s="1">
        <f t="shared" si="20"/>
        <v>19680</v>
      </c>
    </row>
    <row r="394" spans="1:13" customFormat="1" hidden="1" x14ac:dyDescent="0.3">
      <c r="A394" t="s">
        <v>2550</v>
      </c>
      <c r="B394" t="s">
        <v>2551</v>
      </c>
      <c r="C394" t="s">
        <v>1891</v>
      </c>
      <c r="D394" t="s">
        <v>45</v>
      </c>
      <c r="E394" s="1">
        <v>1064.25</v>
      </c>
      <c r="F394">
        <v>2</v>
      </c>
      <c r="G394">
        <v>0</v>
      </c>
      <c r="H394">
        <v>6</v>
      </c>
      <c r="I394">
        <v>0</v>
      </c>
      <c r="J394">
        <v>0</v>
      </c>
      <c r="K394">
        <f t="shared" si="18"/>
        <v>6</v>
      </c>
      <c r="L394" s="1">
        <f t="shared" si="19"/>
        <v>0</v>
      </c>
      <c r="M394" s="1">
        <f t="shared" si="20"/>
        <v>6385.5</v>
      </c>
    </row>
    <row r="395" spans="1:13" customFormat="1" hidden="1" x14ac:dyDescent="0.3">
      <c r="A395" t="s">
        <v>2552</v>
      </c>
      <c r="B395" t="s">
        <v>2553</v>
      </c>
      <c r="C395" t="s">
        <v>70</v>
      </c>
      <c r="D395" t="s">
        <v>45</v>
      </c>
      <c r="E395" s="1">
        <v>450.75</v>
      </c>
      <c r="F395">
        <v>1</v>
      </c>
      <c r="G395">
        <v>0</v>
      </c>
      <c r="H395">
        <v>5</v>
      </c>
      <c r="I395">
        <v>0</v>
      </c>
      <c r="J395">
        <v>0</v>
      </c>
      <c r="K395">
        <f t="shared" si="18"/>
        <v>5</v>
      </c>
      <c r="L395" s="1">
        <f t="shared" si="19"/>
        <v>0</v>
      </c>
      <c r="M395" s="1">
        <f t="shared" si="20"/>
        <v>2253.75</v>
      </c>
    </row>
    <row r="396" spans="1:13" customFormat="1" hidden="1" x14ac:dyDescent="0.3">
      <c r="A396" t="s">
        <v>2554</v>
      </c>
      <c r="B396" t="s">
        <v>69</v>
      </c>
      <c r="C396" t="s">
        <v>70</v>
      </c>
      <c r="D396" t="s">
        <v>45</v>
      </c>
      <c r="E396" s="1">
        <v>536.79999999999995</v>
      </c>
      <c r="F396">
        <v>1</v>
      </c>
      <c r="G396">
        <v>0</v>
      </c>
      <c r="H396">
        <v>2</v>
      </c>
      <c r="I396">
        <v>0</v>
      </c>
      <c r="J396">
        <v>2</v>
      </c>
      <c r="K396">
        <f t="shared" si="18"/>
        <v>0</v>
      </c>
      <c r="L396" s="1">
        <f t="shared" si="19"/>
        <v>0</v>
      </c>
      <c r="M396" s="1">
        <f t="shared" si="20"/>
        <v>0</v>
      </c>
    </row>
    <row r="397" spans="1:13" customFormat="1" hidden="1" x14ac:dyDescent="0.3">
      <c r="A397" t="s">
        <v>2555</v>
      </c>
      <c r="B397" t="s">
        <v>2556</v>
      </c>
      <c r="C397" t="s">
        <v>70</v>
      </c>
      <c r="D397" t="s">
        <v>45</v>
      </c>
      <c r="E397" s="1">
        <v>708</v>
      </c>
      <c r="F397">
        <v>1</v>
      </c>
      <c r="G397">
        <v>0</v>
      </c>
      <c r="H397">
        <v>2</v>
      </c>
      <c r="I397">
        <v>0</v>
      </c>
      <c r="J397">
        <v>0</v>
      </c>
      <c r="K397">
        <f t="shared" si="18"/>
        <v>2</v>
      </c>
      <c r="L397" s="1">
        <f t="shared" si="19"/>
        <v>0</v>
      </c>
      <c r="M397" s="1">
        <f t="shared" si="20"/>
        <v>1416</v>
      </c>
    </row>
    <row r="398" spans="1:13" customFormat="1" hidden="1" x14ac:dyDescent="0.3">
      <c r="A398" t="s">
        <v>2557</v>
      </c>
      <c r="B398" t="s">
        <v>2558</v>
      </c>
      <c r="C398" t="s">
        <v>2559</v>
      </c>
      <c r="D398" t="s">
        <v>45</v>
      </c>
      <c r="E398" s="1">
        <v>29.87</v>
      </c>
      <c r="F398">
        <v>4</v>
      </c>
      <c r="G398">
        <v>0</v>
      </c>
      <c r="H398">
        <v>20</v>
      </c>
      <c r="I398">
        <v>0</v>
      </c>
      <c r="J398">
        <v>0</v>
      </c>
      <c r="K398">
        <f t="shared" ref="K398:K461" si="21">IF(H398-I398-J398&gt;0,H398-I398-J398,0)</f>
        <v>20</v>
      </c>
      <c r="L398" s="1">
        <f t="shared" ref="L398:L461" si="22">IFERROR(I398*E398,0)</f>
        <v>0</v>
      </c>
      <c r="M398" s="1">
        <f t="shared" ref="M398:M461" si="23">IFERROR(K398*E398,0)</f>
        <v>597.4</v>
      </c>
    </row>
    <row r="399" spans="1:13" customFormat="1" hidden="1" x14ac:dyDescent="0.3">
      <c r="A399" t="s">
        <v>2560</v>
      </c>
      <c r="B399" t="s">
        <v>2561</v>
      </c>
      <c r="D399" t="s">
        <v>45</v>
      </c>
      <c r="E399" s="1">
        <v>2672.7</v>
      </c>
      <c r="F399">
        <v>3</v>
      </c>
      <c r="G399">
        <v>0</v>
      </c>
      <c r="H399">
        <v>14</v>
      </c>
      <c r="I399">
        <v>0</v>
      </c>
      <c r="J399">
        <v>0</v>
      </c>
      <c r="K399">
        <f t="shared" si="21"/>
        <v>14</v>
      </c>
      <c r="L399" s="1">
        <f t="shared" si="22"/>
        <v>0</v>
      </c>
      <c r="M399" s="1">
        <f t="shared" si="23"/>
        <v>37417.799999999996</v>
      </c>
    </row>
    <row r="400" spans="1:13" customFormat="1" hidden="1" x14ac:dyDescent="0.3">
      <c r="A400" t="s">
        <v>2562</v>
      </c>
      <c r="B400" t="s">
        <v>2563</v>
      </c>
      <c r="D400" t="s">
        <v>45</v>
      </c>
      <c r="E400" s="1">
        <v>0</v>
      </c>
      <c r="F400">
        <v>1</v>
      </c>
      <c r="G400">
        <v>0</v>
      </c>
      <c r="H400">
        <v>2</v>
      </c>
      <c r="I400">
        <v>0</v>
      </c>
      <c r="J400">
        <v>0</v>
      </c>
      <c r="K400">
        <f t="shared" si="21"/>
        <v>2</v>
      </c>
      <c r="L400" s="1">
        <f t="shared" si="22"/>
        <v>0</v>
      </c>
      <c r="M400" s="1">
        <f t="shared" si="23"/>
        <v>0</v>
      </c>
    </row>
    <row r="401" spans="1:13" customFormat="1" hidden="1" x14ac:dyDescent="0.3">
      <c r="A401" t="s">
        <v>2564</v>
      </c>
      <c r="B401" t="s">
        <v>2565</v>
      </c>
      <c r="C401" t="s">
        <v>252</v>
      </c>
      <c r="D401" t="s">
        <v>45</v>
      </c>
      <c r="E401" s="1">
        <v>7022</v>
      </c>
      <c r="F401">
        <v>1</v>
      </c>
      <c r="G401">
        <v>0</v>
      </c>
      <c r="H401">
        <v>5</v>
      </c>
      <c r="I401">
        <v>0</v>
      </c>
      <c r="J401">
        <v>0</v>
      </c>
      <c r="K401">
        <f t="shared" si="21"/>
        <v>5</v>
      </c>
      <c r="L401" s="1">
        <f t="shared" si="22"/>
        <v>0</v>
      </c>
      <c r="M401" s="1">
        <f t="shared" si="23"/>
        <v>35110</v>
      </c>
    </row>
    <row r="402" spans="1:13" customFormat="1" hidden="1" x14ac:dyDescent="0.3">
      <c r="A402" t="s">
        <v>2566</v>
      </c>
      <c r="B402" t="s">
        <v>2567</v>
      </c>
      <c r="C402" t="s">
        <v>252</v>
      </c>
      <c r="D402" t="s">
        <v>45</v>
      </c>
      <c r="E402" s="1">
        <v>7532.2</v>
      </c>
      <c r="F402">
        <v>1</v>
      </c>
      <c r="G402">
        <v>0</v>
      </c>
      <c r="H402">
        <v>2</v>
      </c>
      <c r="I402">
        <v>0</v>
      </c>
      <c r="J402">
        <v>0</v>
      </c>
      <c r="K402">
        <f t="shared" si="21"/>
        <v>2</v>
      </c>
      <c r="L402" s="1">
        <f t="shared" si="22"/>
        <v>0</v>
      </c>
      <c r="M402" s="1">
        <f t="shared" si="23"/>
        <v>15064.4</v>
      </c>
    </row>
    <row r="403" spans="1:13" customFormat="1" hidden="1" x14ac:dyDescent="0.3">
      <c r="A403" t="s">
        <v>2568</v>
      </c>
      <c r="B403" t="s">
        <v>2569</v>
      </c>
      <c r="C403" t="s">
        <v>1344</v>
      </c>
      <c r="D403" t="s">
        <v>45</v>
      </c>
      <c r="E403" s="1">
        <v>3171.49</v>
      </c>
      <c r="F403">
        <v>5</v>
      </c>
      <c r="G403">
        <v>0</v>
      </c>
      <c r="H403">
        <v>9</v>
      </c>
      <c r="I403">
        <v>0</v>
      </c>
      <c r="J403">
        <v>0</v>
      </c>
      <c r="K403">
        <f t="shared" si="21"/>
        <v>9</v>
      </c>
      <c r="L403" s="1">
        <f t="shared" si="22"/>
        <v>0</v>
      </c>
      <c r="M403" s="1">
        <f t="shared" si="23"/>
        <v>28543.409999999996</v>
      </c>
    </row>
    <row r="404" spans="1:13" customFormat="1" hidden="1" x14ac:dyDescent="0.3">
      <c r="A404" t="s">
        <v>2570</v>
      </c>
      <c r="B404" t="s">
        <v>2571</v>
      </c>
      <c r="C404" t="s">
        <v>2383</v>
      </c>
      <c r="D404" t="s">
        <v>45</v>
      </c>
      <c r="E404" s="1">
        <v>198</v>
      </c>
      <c r="F404">
        <v>13</v>
      </c>
      <c r="G404">
        <v>0</v>
      </c>
      <c r="H404">
        <v>45</v>
      </c>
      <c r="I404">
        <v>0</v>
      </c>
      <c r="J404">
        <v>0</v>
      </c>
      <c r="K404">
        <f t="shared" si="21"/>
        <v>45</v>
      </c>
      <c r="L404" s="1">
        <f t="shared" si="22"/>
        <v>0</v>
      </c>
      <c r="M404" s="1">
        <f t="shared" si="23"/>
        <v>8910</v>
      </c>
    </row>
    <row r="405" spans="1:13" customFormat="1" hidden="1" x14ac:dyDescent="0.3">
      <c r="A405" t="s">
        <v>2572</v>
      </c>
      <c r="B405" t="s">
        <v>2573</v>
      </c>
      <c r="C405" t="s">
        <v>121</v>
      </c>
      <c r="D405" t="s">
        <v>45</v>
      </c>
      <c r="E405" s="1">
        <v>347.83</v>
      </c>
      <c r="F405">
        <v>1</v>
      </c>
      <c r="G405">
        <v>0</v>
      </c>
      <c r="H405">
        <v>2</v>
      </c>
      <c r="I405">
        <v>0</v>
      </c>
      <c r="J405">
        <v>0</v>
      </c>
      <c r="K405">
        <f t="shared" si="21"/>
        <v>2</v>
      </c>
      <c r="L405" s="1">
        <f t="shared" si="22"/>
        <v>0</v>
      </c>
      <c r="M405" s="1">
        <f t="shared" si="23"/>
        <v>695.66</v>
      </c>
    </row>
    <row r="406" spans="1:13" customFormat="1" hidden="1" x14ac:dyDescent="0.3">
      <c r="A406" t="s">
        <v>2574</v>
      </c>
      <c r="B406" t="s">
        <v>2575</v>
      </c>
      <c r="D406" t="s">
        <v>45</v>
      </c>
      <c r="E406" s="1">
        <v>0</v>
      </c>
      <c r="F406">
        <v>1</v>
      </c>
      <c r="G406">
        <v>0</v>
      </c>
      <c r="H406">
        <v>2</v>
      </c>
      <c r="I406">
        <v>0</v>
      </c>
      <c r="J406">
        <v>0</v>
      </c>
      <c r="K406">
        <f t="shared" si="21"/>
        <v>2</v>
      </c>
      <c r="L406" s="1">
        <f t="shared" si="22"/>
        <v>0</v>
      </c>
      <c r="M406" s="1">
        <f t="shared" si="23"/>
        <v>0</v>
      </c>
    </row>
    <row r="407" spans="1:13" customFormat="1" hidden="1" x14ac:dyDescent="0.3">
      <c r="A407" t="s">
        <v>2576</v>
      </c>
      <c r="B407" t="s">
        <v>2577</v>
      </c>
      <c r="C407" t="s">
        <v>1546</v>
      </c>
      <c r="D407" t="s">
        <v>45</v>
      </c>
      <c r="E407" s="1">
        <v>6153.01</v>
      </c>
      <c r="F407">
        <v>1</v>
      </c>
      <c r="G407">
        <v>0</v>
      </c>
      <c r="H407">
        <v>2</v>
      </c>
      <c r="I407">
        <v>0</v>
      </c>
      <c r="J407">
        <v>0</v>
      </c>
      <c r="K407">
        <f t="shared" si="21"/>
        <v>2</v>
      </c>
      <c r="L407" s="1">
        <f t="shared" si="22"/>
        <v>0</v>
      </c>
      <c r="M407" s="1">
        <f t="shared" si="23"/>
        <v>12306.02</v>
      </c>
    </row>
    <row r="408" spans="1:13" customFormat="1" hidden="1" x14ac:dyDescent="0.3">
      <c r="A408" t="s">
        <v>2578</v>
      </c>
      <c r="B408" t="s">
        <v>2579</v>
      </c>
      <c r="C408" t="s">
        <v>472</v>
      </c>
      <c r="D408" t="s">
        <v>45</v>
      </c>
      <c r="E408" s="1">
        <v>28000</v>
      </c>
      <c r="F408">
        <v>6</v>
      </c>
      <c r="G408">
        <v>0</v>
      </c>
      <c r="H408">
        <v>12</v>
      </c>
      <c r="I408">
        <v>0</v>
      </c>
      <c r="J408">
        <v>0</v>
      </c>
      <c r="K408">
        <f t="shared" si="21"/>
        <v>12</v>
      </c>
      <c r="L408" s="1">
        <f t="shared" si="22"/>
        <v>0</v>
      </c>
      <c r="M408" s="1">
        <f t="shared" si="23"/>
        <v>336000</v>
      </c>
    </row>
    <row r="409" spans="1:13" customFormat="1" hidden="1" x14ac:dyDescent="0.3">
      <c r="A409" t="s">
        <v>2580</v>
      </c>
      <c r="B409" t="s">
        <v>2581</v>
      </c>
      <c r="C409" t="s">
        <v>1764</v>
      </c>
      <c r="D409" t="s">
        <v>45</v>
      </c>
      <c r="E409" s="1">
        <v>6515.6</v>
      </c>
      <c r="F409">
        <v>1</v>
      </c>
      <c r="G409">
        <v>0</v>
      </c>
      <c r="H409">
        <v>4</v>
      </c>
      <c r="I409">
        <v>0</v>
      </c>
      <c r="J409">
        <v>0</v>
      </c>
      <c r="K409">
        <f t="shared" si="21"/>
        <v>4</v>
      </c>
      <c r="L409" s="1">
        <f t="shared" si="22"/>
        <v>0</v>
      </c>
      <c r="M409" s="1">
        <f t="shared" si="23"/>
        <v>26062.400000000001</v>
      </c>
    </row>
    <row r="410" spans="1:13" customFormat="1" hidden="1" x14ac:dyDescent="0.3">
      <c r="A410" t="s">
        <v>2582</v>
      </c>
      <c r="B410" t="s">
        <v>2583</v>
      </c>
      <c r="C410" t="s">
        <v>1764</v>
      </c>
      <c r="D410" t="s">
        <v>45</v>
      </c>
      <c r="E410" s="1">
        <v>3799.6</v>
      </c>
      <c r="F410">
        <v>1</v>
      </c>
      <c r="G410">
        <v>0</v>
      </c>
      <c r="H410">
        <v>2</v>
      </c>
      <c r="I410">
        <v>0</v>
      </c>
      <c r="J410">
        <v>0</v>
      </c>
      <c r="K410">
        <f t="shared" si="21"/>
        <v>2</v>
      </c>
      <c r="L410" s="1">
        <f t="shared" si="22"/>
        <v>0</v>
      </c>
      <c r="M410" s="1">
        <f t="shared" si="23"/>
        <v>7599.2</v>
      </c>
    </row>
    <row r="411" spans="1:13" customFormat="1" hidden="1" x14ac:dyDescent="0.3">
      <c r="A411" t="s">
        <v>2584</v>
      </c>
      <c r="B411" t="s">
        <v>2585</v>
      </c>
      <c r="C411" t="s">
        <v>1891</v>
      </c>
      <c r="D411" t="s">
        <v>45</v>
      </c>
      <c r="E411" s="1">
        <v>5395.5</v>
      </c>
      <c r="F411">
        <v>1</v>
      </c>
      <c r="G411">
        <v>0</v>
      </c>
      <c r="H411">
        <v>2</v>
      </c>
      <c r="I411">
        <v>0</v>
      </c>
      <c r="J411">
        <v>0</v>
      </c>
      <c r="K411">
        <f t="shared" si="21"/>
        <v>2</v>
      </c>
      <c r="L411" s="1">
        <f t="shared" si="22"/>
        <v>0</v>
      </c>
      <c r="M411" s="1">
        <f t="shared" si="23"/>
        <v>10791</v>
      </c>
    </row>
    <row r="412" spans="1:13" customFormat="1" hidden="1" x14ac:dyDescent="0.3">
      <c r="A412" t="s">
        <v>2586</v>
      </c>
      <c r="B412" t="s">
        <v>2587</v>
      </c>
      <c r="C412" t="s">
        <v>1764</v>
      </c>
      <c r="D412" t="s">
        <v>45</v>
      </c>
      <c r="E412" s="1">
        <v>3799.6</v>
      </c>
      <c r="F412">
        <v>1</v>
      </c>
      <c r="G412">
        <v>0</v>
      </c>
      <c r="H412">
        <v>2</v>
      </c>
      <c r="I412">
        <v>0</v>
      </c>
      <c r="J412">
        <v>0</v>
      </c>
      <c r="K412">
        <f t="shared" si="21"/>
        <v>2</v>
      </c>
      <c r="L412" s="1">
        <f t="shared" si="22"/>
        <v>0</v>
      </c>
      <c r="M412" s="1">
        <f t="shared" si="23"/>
        <v>7599.2</v>
      </c>
    </row>
    <row r="413" spans="1:13" customFormat="1" hidden="1" x14ac:dyDescent="0.3">
      <c r="A413" t="s">
        <v>2588</v>
      </c>
      <c r="B413" t="s">
        <v>2589</v>
      </c>
      <c r="C413" t="s">
        <v>70</v>
      </c>
      <c r="D413" t="s">
        <v>45</v>
      </c>
      <c r="E413" s="1">
        <v>6021</v>
      </c>
      <c r="F413">
        <v>1</v>
      </c>
      <c r="G413">
        <v>0</v>
      </c>
      <c r="H413">
        <v>3</v>
      </c>
      <c r="I413">
        <v>0</v>
      </c>
      <c r="J413">
        <v>0</v>
      </c>
      <c r="K413">
        <f t="shared" si="21"/>
        <v>3</v>
      </c>
      <c r="L413" s="1">
        <f t="shared" si="22"/>
        <v>0</v>
      </c>
      <c r="M413" s="1">
        <f t="shared" si="23"/>
        <v>18063</v>
      </c>
    </row>
    <row r="414" spans="1:13" customFormat="1" hidden="1" x14ac:dyDescent="0.3">
      <c r="A414" t="s">
        <v>2590</v>
      </c>
      <c r="B414" t="s">
        <v>2591</v>
      </c>
      <c r="C414" t="s">
        <v>1764</v>
      </c>
      <c r="D414" t="s">
        <v>45</v>
      </c>
      <c r="E414" s="1">
        <v>0</v>
      </c>
      <c r="F414">
        <v>1</v>
      </c>
      <c r="G414">
        <v>0</v>
      </c>
      <c r="H414">
        <v>2</v>
      </c>
      <c r="I414">
        <v>0</v>
      </c>
      <c r="J414">
        <v>0</v>
      </c>
      <c r="K414">
        <f t="shared" si="21"/>
        <v>2</v>
      </c>
      <c r="L414" s="1">
        <f t="shared" si="22"/>
        <v>0</v>
      </c>
      <c r="M414" s="1">
        <f t="shared" si="23"/>
        <v>0</v>
      </c>
    </row>
    <row r="415" spans="1:13" customFormat="1" hidden="1" x14ac:dyDescent="0.3">
      <c r="A415" t="s">
        <v>2592</v>
      </c>
      <c r="B415" t="s">
        <v>2592</v>
      </c>
      <c r="D415" t="s">
        <v>45</v>
      </c>
      <c r="E415" s="1">
        <v>0</v>
      </c>
      <c r="F415">
        <v>3</v>
      </c>
      <c r="G415">
        <v>0</v>
      </c>
      <c r="H415">
        <v>15</v>
      </c>
      <c r="I415">
        <v>0</v>
      </c>
      <c r="J415">
        <v>0</v>
      </c>
      <c r="K415">
        <f t="shared" si="21"/>
        <v>15</v>
      </c>
      <c r="L415" s="1">
        <f t="shared" si="22"/>
        <v>0</v>
      </c>
      <c r="M415" s="1">
        <f t="shared" si="23"/>
        <v>0</v>
      </c>
    </row>
    <row r="416" spans="1:13" customFormat="1" hidden="1" x14ac:dyDescent="0.3">
      <c r="A416" t="s">
        <v>2593</v>
      </c>
      <c r="B416" t="s">
        <v>2594</v>
      </c>
      <c r="C416" t="s">
        <v>70</v>
      </c>
      <c r="D416" t="s">
        <v>45</v>
      </c>
      <c r="E416" s="1">
        <v>1447.5</v>
      </c>
      <c r="F416">
        <v>4</v>
      </c>
      <c r="G416">
        <v>0</v>
      </c>
      <c r="H416">
        <v>14</v>
      </c>
      <c r="I416">
        <v>0</v>
      </c>
      <c r="J416">
        <v>0</v>
      </c>
      <c r="K416">
        <f t="shared" si="21"/>
        <v>14</v>
      </c>
      <c r="L416" s="1">
        <f t="shared" si="22"/>
        <v>0</v>
      </c>
      <c r="M416" s="1">
        <f t="shared" si="23"/>
        <v>20265</v>
      </c>
    </row>
    <row r="417" spans="1:13" customFormat="1" hidden="1" x14ac:dyDescent="0.3">
      <c r="A417" t="s">
        <v>2595</v>
      </c>
      <c r="B417" t="s">
        <v>2596</v>
      </c>
      <c r="C417" t="s">
        <v>1807</v>
      </c>
      <c r="D417" t="s">
        <v>45</v>
      </c>
      <c r="E417" s="1">
        <v>433.36</v>
      </c>
      <c r="F417">
        <v>1</v>
      </c>
      <c r="G417">
        <v>0</v>
      </c>
      <c r="H417">
        <v>2</v>
      </c>
      <c r="I417">
        <v>0</v>
      </c>
      <c r="J417">
        <v>0</v>
      </c>
      <c r="K417">
        <f t="shared" si="21"/>
        <v>2</v>
      </c>
      <c r="L417" s="1">
        <f t="shared" si="22"/>
        <v>0</v>
      </c>
      <c r="M417" s="1">
        <f t="shared" si="23"/>
        <v>866.72</v>
      </c>
    </row>
    <row r="418" spans="1:13" customFormat="1" hidden="1" x14ac:dyDescent="0.3">
      <c r="A418" t="s">
        <v>2597</v>
      </c>
      <c r="B418" t="s">
        <v>2598</v>
      </c>
      <c r="C418" t="s">
        <v>1807</v>
      </c>
      <c r="D418" t="s">
        <v>45</v>
      </c>
      <c r="E418" s="1">
        <v>498</v>
      </c>
      <c r="F418">
        <v>1</v>
      </c>
      <c r="G418">
        <v>0</v>
      </c>
      <c r="H418">
        <v>5</v>
      </c>
      <c r="I418">
        <v>0</v>
      </c>
      <c r="J418">
        <v>1</v>
      </c>
      <c r="K418">
        <f t="shared" si="21"/>
        <v>4</v>
      </c>
      <c r="L418" s="1">
        <f t="shared" si="22"/>
        <v>0</v>
      </c>
      <c r="M418" s="1">
        <f t="shared" si="23"/>
        <v>1992</v>
      </c>
    </row>
    <row r="419" spans="1:13" customFormat="1" hidden="1" x14ac:dyDescent="0.3">
      <c r="A419" t="s">
        <v>2599</v>
      </c>
      <c r="B419" t="s">
        <v>2600</v>
      </c>
      <c r="C419" t="s">
        <v>472</v>
      </c>
      <c r="D419" t="s">
        <v>45</v>
      </c>
      <c r="E419" s="1">
        <v>850</v>
      </c>
      <c r="F419">
        <v>1</v>
      </c>
      <c r="G419">
        <v>0</v>
      </c>
      <c r="H419">
        <v>2</v>
      </c>
      <c r="I419">
        <v>0</v>
      </c>
      <c r="J419">
        <v>0</v>
      </c>
      <c r="K419">
        <f t="shared" si="21"/>
        <v>2</v>
      </c>
      <c r="L419" s="1">
        <f t="shared" si="22"/>
        <v>0</v>
      </c>
      <c r="M419" s="1">
        <f t="shared" si="23"/>
        <v>1700</v>
      </c>
    </row>
    <row r="420" spans="1:13" customFormat="1" hidden="1" x14ac:dyDescent="0.3">
      <c r="A420" t="s">
        <v>2601</v>
      </c>
      <c r="B420" t="s">
        <v>2602</v>
      </c>
      <c r="D420" t="s">
        <v>45</v>
      </c>
      <c r="E420" s="1">
        <v>0</v>
      </c>
      <c r="F420">
        <v>1</v>
      </c>
      <c r="G420">
        <v>0</v>
      </c>
      <c r="H420">
        <v>2</v>
      </c>
      <c r="I420">
        <v>0</v>
      </c>
      <c r="J420">
        <v>0</v>
      </c>
      <c r="K420">
        <f t="shared" si="21"/>
        <v>2</v>
      </c>
      <c r="L420" s="1">
        <f t="shared" si="22"/>
        <v>0</v>
      </c>
      <c r="M420" s="1">
        <f t="shared" si="23"/>
        <v>0</v>
      </c>
    </row>
    <row r="421" spans="1:13" customFormat="1" hidden="1" x14ac:dyDescent="0.3">
      <c r="A421" t="s">
        <v>2603</v>
      </c>
      <c r="B421" t="s">
        <v>2604</v>
      </c>
      <c r="C421" t="s">
        <v>70</v>
      </c>
      <c r="D421" t="s">
        <v>45</v>
      </c>
      <c r="E421" s="1">
        <v>782.25</v>
      </c>
      <c r="F421">
        <v>1</v>
      </c>
      <c r="G421">
        <v>0</v>
      </c>
      <c r="H421">
        <v>2</v>
      </c>
      <c r="I421">
        <v>0</v>
      </c>
      <c r="J421">
        <v>0</v>
      </c>
      <c r="K421">
        <f t="shared" si="21"/>
        <v>2</v>
      </c>
      <c r="L421" s="1">
        <f t="shared" si="22"/>
        <v>0</v>
      </c>
      <c r="M421" s="1">
        <f t="shared" si="23"/>
        <v>1564.5</v>
      </c>
    </row>
    <row r="422" spans="1:13" customFormat="1" hidden="1" x14ac:dyDescent="0.3">
      <c r="A422" t="s">
        <v>2605</v>
      </c>
      <c r="B422" t="s">
        <v>2606</v>
      </c>
      <c r="C422" t="s">
        <v>70</v>
      </c>
      <c r="D422" t="s">
        <v>45</v>
      </c>
      <c r="E422" s="1">
        <v>1571.25</v>
      </c>
      <c r="F422">
        <v>1</v>
      </c>
      <c r="G422">
        <v>0</v>
      </c>
      <c r="H422">
        <v>5</v>
      </c>
      <c r="I422">
        <v>0</v>
      </c>
      <c r="J422">
        <v>0</v>
      </c>
      <c r="K422">
        <f t="shared" si="21"/>
        <v>5</v>
      </c>
      <c r="L422" s="1">
        <f t="shared" si="22"/>
        <v>0</v>
      </c>
      <c r="M422" s="1">
        <f t="shared" si="23"/>
        <v>7856.25</v>
      </c>
    </row>
    <row r="423" spans="1:13" customFormat="1" hidden="1" x14ac:dyDescent="0.3">
      <c r="A423" t="s">
        <v>2607</v>
      </c>
      <c r="B423" t="s">
        <v>2608</v>
      </c>
      <c r="C423" t="s">
        <v>70</v>
      </c>
      <c r="D423" t="s">
        <v>45</v>
      </c>
      <c r="E423" s="1">
        <v>1164.75</v>
      </c>
      <c r="F423">
        <v>1</v>
      </c>
      <c r="G423">
        <v>0</v>
      </c>
      <c r="H423">
        <v>3</v>
      </c>
      <c r="I423">
        <v>0</v>
      </c>
      <c r="J423">
        <v>0</v>
      </c>
      <c r="K423">
        <f t="shared" si="21"/>
        <v>3</v>
      </c>
      <c r="L423" s="1">
        <f t="shared" si="22"/>
        <v>0</v>
      </c>
      <c r="M423" s="1">
        <f t="shared" si="23"/>
        <v>3494.25</v>
      </c>
    </row>
    <row r="424" spans="1:13" customFormat="1" hidden="1" x14ac:dyDescent="0.3">
      <c r="A424" t="s">
        <v>2609</v>
      </c>
      <c r="B424" t="s">
        <v>2610</v>
      </c>
      <c r="C424" t="s">
        <v>70</v>
      </c>
      <c r="D424" t="s">
        <v>45</v>
      </c>
      <c r="E424" s="1">
        <v>782.25</v>
      </c>
      <c r="F424">
        <v>1</v>
      </c>
      <c r="G424">
        <v>0</v>
      </c>
      <c r="H424">
        <v>2</v>
      </c>
      <c r="I424">
        <v>0</v>
      </c>
      <c r="J424">
        <v>0</v>
      </c>
      <c r="K424">
        <f t="shared" si="21"/>
        <v>2</v>
      </c>
      <c r="L424" s="1">
        <f t="shared" si="22"/>
        <v>0</v>
      </c>
      <c r="M424" s="1">
        <f t="shared" si="23"/>
        <v>1564.5</v>
      </c>
    </row>
    <row r="425" spans="1:13" customFormat="1" hidden="1" x14ac:dyDescent="0.3">
      <c r="A425" t="s">
        <v>2611</v>
      </c>
      <c r="B425" t="s">
        <v>2612</v>
      </c>
      <c r="C425" t="s">
        <v>70</v>
      </c>
      <c r="D425" t="s">
        <v>45</v>
      </c>
      <c r="E425" s="1">
        <v>858.75</v>
      </c>
      <c r="F425">
        <v>2</v>
      </c>
      <c r="G425">
        <v>0</v>
      </c>
      <c r="H425">
        <v>12</v>
      </c>
      <c r="I425">
        <v>0</v>
      </c>
      <c r="J425">
        <v>0</v>
      </c>
      <c r="K425">
        <f t="shared" si="21"/>
        <v>12</v>
      </c>
      <c r="L425" s="1">
        <f t="shared" si="22"/>
        <v>0</v>
      </c>
      <c r="M425" s="1">
        <f t="shared" si="23"/>
        <v>10305</v>
      </c>
    </row>
    <row r="426" spans="1:13" customFormat="1" hidden="1" x14ac:dyDescent="0.3">
      <c r="A426" t="s">
        <v>2613</v>
      </c>
      <c r="B426" t="s">
        <v>2614</v>
      </c>
      <c r="C426" t="s">
        <v>70</v>
      </c>
      <c r="D426" t="s">
        <v>45</v>
      </c>
      <c r="E426" s="1">
        <v>782.25</v>
      </c>
      <c r="F426">
        <v>1</v>
      </c>
      <c r="G426">
        <v>0</v>
      </c>
      <c r="H426">
        <v>2</v>
      </c>
      <c r="I426">
        <v>0</v>
      </c>
      <c r="J426">
        <v>0</v>
      </c>
      <c r="K426">
        <f t="shared" si="21"/>
        <v>2</v>
      </c>
      <c r="L426" s="1">
        <f t="shared" si="22"/>
        <v>0</v>
      </c>
      <c r="M426" s="1">
        <f t="shared" si="23"/>
        <v>1564.5</v>
      </c>
    </row>
    <row r="427" spans="1:13" customFormat="1" hidden="1" x14ac:dyDescent="0.3">
      <c r="A427" t="s">
        <v>2615</v>
      </c>
      <c r="B427" t="s">
        <v>2616</v>
      </c>
      <c r="C427" t="s">
        <v>70</v>
      </c>
      <c r="D427" t="s">
        <v>45</v>
      </c>
      <c r="E427" s="1">
        <v>1164.75</v>
      </c>
      <c r="F427">
        <v>1</v>
      </c>
      <c r="G427">
        <v>0</v>
      </c>
      <c r="H427">
        <v>3</v>
      </c>
      <c r="I427">
        <v>0</v>
      </c>
      <c r="J427">
        <v>0</v>
      </c>
      <c r="K427">
        <f t="shared" si="21"/>
        <v>3</v>
      </c>
      <c r="L427" s="1">
        <f t="shared" si="22"/>
        <v>0</v>
      </c>
      <c r="M427" s="1">
        <f t="shared" si="23"/>
        <v>3494.25</v>
      </c>
    </row>
    <row r="428" spans="1:13" customFormat="1" hidden="1" x14ac:dyDescent="0.3">
      <c r="A428" t="s">
        <v>2617</v>
      </c>
      <c r="B428" t="s">
        <v>2618</v>
      </c>
      <c r="C428" t="s">
        <v>70</v>
      </c>
      <c r="D428" t="s">
        <v>45</v>
      </c>
      <c r="E428" s="1">
        <v>985.5</v>
      </c>
      <c r="F428">
        <v>1</v>
      </c>
      <c r="G428">
        <v>0</v>
      </c>
      <c r="H428">
        <v>2</v>
      </c>
      <c r="I428">
        <v>0</v>
      </c>
      <c r="J428">
        <v>0</v>
      </c>
      <c r="K428">
        <f t="shared" si="21"/>
        <v>2</v>
      </c>
      <c r="L428" s="1">
        <f t="shared" si="22"/>
        <v>0</v>
      </c>
      <c r="M428" s="1">
        <f t="shared" si="23"/>
        <v>1971</v>
      </c>
    </row>
    <row r="429" spans="1:13" customFormat="1" hidden="1" x14ac:dyDescent="0.3">
      <c r="A429" t="s">
        <v>2619</v>
      </c>
      <c r="B429" t="s">
        <v>2620</v>
      </c>
      <c r="C429" t="s">
        <v>70</v>
      </c>
      <c r="D429" t="s">
        <v>45</v>
      </c>
      <c r="E429" s="1">
        <v>985.5</v>
      </c>
      <c r="F429">
        <v>1</v>
      </c>
      <c r="G429">
        <v>0</v>
      </c>
      <c r="H429">
        <v>2</v>
      </c>
      <c r="I429">
        <v>0</v>
      </c>
      <c r="J429">
        <v>0</v>
      </c>
      <c r="K429">
        <f t="shared" si="21"/>
        <v>2</v>
      </c>
      <c r="L429" s="1">
        <f t="shared" si="22"/>
        <v>0</v>
      </c>
      <c r="M429" s="1">
        <f t="shared" si="23"/>
        <v>1971</v>
      </c>
    </row>
    <row r="430" spans="1:13" customFormat="1" hidden="1" x14ac:dyDescent="0.3">
      <c r="A430" t="s">
        <v>2621</v>
      </c>
      <c r="B430" t="s">
        <v>2622</v>
      </c>
      <c r="C430" t="s">
        <v>70</v>
      </c>
      <c r="D430" t="s">
        <v>45</v>
      </c>
      <c r="E430" s="1">
        <v>782.25</v>
      </c>
      <c r="F430">
        <v>1</v>
      </c>
      <c r="G430">
        <v>0</v>
      </c>
      <c r="H430">
        <v>2</v>
      </c>
      <c r="I430">
        <v>0</v>
      </c>
      <c r="J430">
        <v>0</v>
      </c>
      <c r="K430">
        <f t="shared" si="21"/>
        <v>2</v>
      </c>
      <c r="L430" s="1">
        <f t="shared" si="22"/>
        <v>0</v>
      </c>
      <c r="M430" s="1">
        <f t="shared" si="23"/>
        <v>1564.5</v>
      </c>
    </row>
    <row r="431" spans="1:13" customFormat="1" hidden="1" x14ac:dyDescent="0.3">
      <c r="A431" t="s">
        <v>2623</v>
      </c>
      <c r="B431" t="s">
        <v>2624</v>
      </c>
      <c r="C431" t="s">
        <v>70</v>
      </c>
      <c r="D431" t="s">
        <v>45</v>
      </c>
      <c r="E431" s="1">
        <v>1571.25</v>
      </c>
      <c r="F431">
        <v>1</v>
      </c>
      <c r="G431">
        <v>0</v>
      </c>
      <c r="H431">
        <v>2</v>
      </c>
      <c r="I431">
        <v>0</v>
      </c>
      <c r="J431">
        <v>0</v>
      </c>
      <c r="K431">
        <f t="shared" si="21"/>
        <v>2</v>
      </c>
      <c r="L431" s="1">
        <f t="shared" si="22"/>
        <v>0</v>
      </c>
      <c r="M431" s="1">
        <f t="shared" si="23"/>
        <v>3142.5</v>
      </c>
    </row>
    <row r="432" spans="1:13" customFormat="1" hidden="1" x14ac:dyDescent="0.3">
      <c r="A432" t="s">
        <v>2625</v>
      </c>
      <c r="B432" t="s">
        <v>2626</v>
      </c>
      <c r="C432" t="s">
        <v>70</v>
      </c>
      <c r="D432" t="s">
        <v>45</v>
      </c>
      <c r="E432" s="1">
        <v>1361.75</v>
      </c>
      <c r="F432">
        <v>1</v>
      </c>
      <c r="G432">
        <v>0</v>
      </c>
      <c r="H432">
        <v>2</v>
      </c>
      <c r="I432">
        <v>0</v>
      </c>
      <c r="J432">
        <v>0</v>
      </c>
      <c r="K432">
        <f t="shared" si="21"/>
        <v>2</v>
      </c>
      <c r="L432" s="1">
        <f t="shared" si="22"/>
        <v>0</v>
      </c>
      <c r="M432" s="1">
        <f t="shared" si="23"/>
        <v>2723.5</v>
      </c>
    </row>
    <row r="433" spans="1:13" customFormat="1" hidden="1" x14ac:dyDescent="0.3">
      <c r="A433" t="s">
        <v>2627</v>
      </c>
      <c r="B433" t="s">
        <v>2628</v>
      </c>
      <c r="C433" t="s">
        <v>70</v>
      </c>
      <c r="D433" t="s">
        <v>45</v>
      </c>
      <c r="E433" s="1">
        <v>1571.25</v>
      </c>
      <c r="F433">
        <v>1</v>
      </c>
      <c r="G433">
        <v>0</v>
      </c>
      <c r="H433">
        <v>3</v>
      </c>
      <c r="I433">
        <v>0</v>
      </c>
      <c r="J433">
        <v>0</v>
      </c>
      <c r="K433">
        <f t="shared" si="21"/>
        <v>3</v>
      </c>
      <c r="L433" s="1">
        <f t="shared" si="22"/>
        <v>0</v>
      </c>
      <c r="M433" s="1">
        <f t="shared" si="23"/>
        <v>4713.75</v>
      </c>
    </row>
    <row r="434" spans="1:13" customFormat="1" hidden="1" x14ac:dyDescent="0.3">
      <c r="A434" t="s">
        <v>2629</v>
      </c>
      <c r="B434" t="s">
        <v>2630</v>
      </c>
      <c r="C434" t="s">
        <v>70</v>
      </c>
      <c r="D434" t="s">
        <v>45</v>
      </c>
      <c r="E434" s="1">
        <v>1571.25</v>
      </c>
      <c r="F434">
        <v>1</v>
      </c>
      <c r="G434">
        <v>0</v>
      </c>
      <c r="H434">
        <v>2</v>
      </c>
      <c r="I434">
        <v>0</v>
      </c>
      <c r="J434">
        <v>0</v>
      </c>
      <c r="K434">
        <f t="shared" si="21"/>
        <v>2</v>
      </c>
      <c r="L434" s="1">
        <f t="shared" si="22"/>
        <v>0</v>
      </c>
      <c r="M434" s="1">
        <f t="shared" si="23"/>
        <v>3142.5</v>
      </c>
    </row>
    <row r="435" spans="1:13" customFormat="1" hidden="1" x14ac:dyDescent="0.3">
      <c r="A435" t="s">
        <v>2631</v>
      </c>
      <c r="B435" t="s">
        <v>2632</v>
      </c>
      <c r="C435" t="s">
        <v>70</v>
      </c>
      <c r="D435" t="s">
        <v>45</v>
      </c>
      <c r="E435" s="1">
        <v>1403.65</v>
      </c>
      <c r="F435">
        <v>1</v>
      </c>
      <c r="G435">
        <v>0</v>
      </c>
      <c r="H435">
        <v>2</v>
      </c>
      <c r="I435">
        <v>0</v>
      </c>
      <c r="J435">
        <v>0</v>
      </c>
      <c r="K435">
        <f t="shared" si="21"/>
        <v>2</v>
      </c>
      <c r="L435" s="1">
        <f t="shared" si="22"/>
        <v>0</v>
      </c>
      <c r="M435" s="1">
        <f t="shared" si="23"/>
        <v>2807.3</v>
      </c>
    </row>
    <row r="436" spans="1:13" customFormat="1" hidden="1" x14ac:dyDescent="0.3">
      <c r="A436" t="s">
        <v>2633</v>
      </c>
      <c r="B436" t="s">
        <v>2634</v>
      </c>
      <c r="C436" t="s">
        <v>70</v>
      </c>
      <c r="D436" t="s">
        <v>45</v>
      </c>
      <c r="E436" s="1">
        <v>1087.0999999999999</v>
      </c>
      <c r="F436">
        <v>1</v>
      </c>
      <c r="G436">
        <v>0</v>
      </c>
      <c r="H436">
        <v>2</v>
      </c>
      <c r="I436">
        <v>0</v>
      </c>
      <c r="J436">
        <v>0</v>
      </c>
      <c r="K436">
        <f t="shared" si="21"/>
        <v>2</v>
      </c>
      <c r="L436" s="1">
        <f t="shared" si="22"/>
        <v>0</v>
      </c>
      <c r="M436" s="1">
        <f t="shared" si="23"/>
        <v>2174.1999999999998</v>
      </c>
    </row>
    <row r="437" spans="1:13" customFormat="1" hidden="1" x14ac:dyDescent="0.3">
      <c r="A437" t="s">
        <v>2635</v>
      </c>
      <c r="B437" t="s">
        <v>2636</v>
      </c>
      <c r="C437" t="s">
        <v>70</v>
      </c>
      <c r="D437" t="s">
        <v>45</v>
      </c>
      <c r="E437" s="1">
        <v>1164.75</v>
      </c>
      <c r="F437">
        <v>1</v>
      </c>
      <c r="G437">
        <v>0</v>
      </c>
      <c r="H437">
        <v>5</v>
      </c>
      <c r="I437">
        <v>0</v>
      </c>
      <c r="J437">
        <v>0</v>
      </c>
      <c r="K437">
        <f t="shared" si="21"/>
        <v>5</v>
      </c>
      <c r="L437" s="1">
        <f t="shared" si="22"/>
        <v>0</v>
      </c>
      <c r="M437" s="1">
        <f t="shared" si="23"/>
        <v>5823.75</v>
      </c>
    </row>
    <row r="438" spans="1:13" customFormat="1" hidden="1" x14ac:dyDescent="0.3">
      <c r="A438" t="s">
        <v>2637</v>
      </c>
      <c r="B438" t="s">
        <v>2638</v>
      </c>
      <c r="C438" t="s">
        <v>70</v>
      </c>
      <c r="D438" t="s">
        <v>45</v>
      </c>
      <c r="E438" s="1">
        <v>1076.25</v>
      </c>
      <c r="F438">
        <v>1</v>
      </c>
      <c r="G438">
        <v>0</v>
      </c>
      <c r="H438">
        <v>2</v>
      </c>
      <c r="I438">
        <v>0</v>
      </c>
      <c r="J438">
        <v>0</v>
      </c>
      <c r="K438">
        <f t="shared" si="21"/>
        <v>2</v>
      </c>
      <c r="L438" s="1">
        <f t="shared" si="22"/>
        <v>0</v>
      </c>
      <c r="M438" s="1">
        <f t="shared" si="23"/>
        <v>2152.5</v>
      </c>
    </row>
    <row r="439" spans="1:13" customFormat="1" hidden="1" x14ac:dyDescent="0.3">
      <c r="A439" t="s">
        <v>2639</v>
      </c>
      <c r="B439" t="s">
        <v>2640</v>
      </c>
      <c r="C439" t="s">
        <v>70</v>
      </c>
      <c r="D439" t="s">
        <v>45</v>
      </c>
      <c r="E439" s="1">
        <v>1076.25</v>
      </c>
      <c r="F439">
        <v>1</v>
      </c>
      <c r="G439">
        <v>0</v>
      </c>
      <c r="H439">
        <v>5</v>
      </c>
      <c r="I439">
        <v>0</v>
      </c>
      <c r="J439">
        <v>0</v>
      </c>
      <c r="K439">
        <f t="shared" si="21"/>
        <v>5</v>
      </c>
      <c r="L439" s="1">
        <f t="shared" si="22"/>
        <v>0</v>
      </c>
      <c r="M439" s="1">
        <f t="shared" si="23"/>
        <v>5381.25</v>
      </c>
    </row>
    <row r="440" spans="1:13" customFormat="1" hidden="1" x14ac:dyDescent="0.3">
      <c r="A440" t="s">
        <v>2641</v>
      </c>
      <c r="B440" t="s">
        <v>2642</v>
      </c>
      <c r="C440" t="s">
        <v>70</v>
      </c>
      <c r="D440" t="s">
        <v>45</v>
      </c>
      <c r="E440" s="1">
        <v>782.25</v>
      </c>
      <c r="F440">
        <v>1</v>
      </c>
      <c r="G440">
        <v>0</v>
      </c>
      <c r="H440">
        <v>3</v>
      </c>
      <c r="I440">
        <v>0</v>
      </c>
      <c r="J440">
        <v>0</v>
      </c>
      <c r="K440">
        <f t="shared" si="21"/>
        <v>3</v>
      </c>
      <c r="L440" s="1">
        <f t="shared" si="22"/>
        <v>0</v>
      </c>
      <c r="M440" s="1">
        <f t="shared" si="23"/>
        <v>2346.75</v>
      </c>
    </row>
    <row r="441" spans="1:13" customFormat="1" hidden="1" x14ac:dyDescent="0.3">
      <c r="A441" t="s">
        <v>2643</v>
      </c>
      <c r="B441" t="s">
        <v>2644</v>
      </c>
      <c r="C441" t="s">
        <v>70</v>
      </c>
      <c r="D441" t="s">
        <v>45</v>
      </c>
      <c r="E441" s="1">
        <v>1517.75</v>
      </c>
      <c r="F441">
        <v>1</v>
      </c>
      <c r="G441">
        <v>0</v>
      </c>
      <c r="H441">
        <v>2</v>
      </c>
      <c r="I441">
        <v>0</v>
      </c>
      <c r="J441">
        <v>0</v>
      </c>
      <c r="K441">
        <f t="shared" si="21"/>
        <v>2</v>
      </c>
      <c r="L441" s="1">
        <f t="shared" si="22"/>
        <v>0</v>
      </c>
      <c r="M441" s="1">
        <f t="shared" si="23"/>
        <v>3035.5</v>
      </c>
    </row>
    <row r="442" spans="1:13" customFormat="1" hidden="1" x14ac:dyDescent="0.3">
      <c r="A442" t="s">
        <v>2645</v>
      </c>
      <c r="B442" t="s">
        <v>2646</v>
      </c>
      <c r="C442" t="s">
        <v>70</v>
      </c>
      <c r="D442" t="s">
        <v>45</v>
      </c>
      <c r="E442" s="1">
        <v>1634.5</v>
      </c>
      <c r="F442">
        <v>2</v>
      </c>
      <c r="G442">
        <v>0</v>
      </c>
      <c r="H442">
        <v>11</v>
      </c>
      <c r="I442">
        <v>0</v>
      </c>
      <c r="J442">
        <v>0</v>
      </c>
      <c r="K442">
        <f t="shared" si="21"/>
        <v>11</v>
      </c>
      <c r="L442" s="1">
        <f t="shared" si="22"/>
        <v>0</v>
      </c>
      <c r="M442" s="1">
        <f t="shared" si="23"/>
        <v>17979.5</v>
      </c>
    </row>
    <row r="443" spans="1:13" customFormat="1" hidden="1" x14ac:dyDescent="0.3">
      <c r="A443" t="s">
        <v>2647</v>
      </c>
      <c r="B443" t="s">
        <v>2648</v>
      </c>
      <c r="C443" t="s">
        <v>70</v>
      </c>
      <c r="D443" t="s">
        <v>45</v>
      </c>
      <c r="E443" s="1">
        <v>1634.5</v>
      </c>
      <c r="F443">
        <v>1</v>
      </c>
      <c r="G443">
        <v>0</v>
      </c>
      <c r="H443">
        <v>2</v>
      </c>
      <c r="I443">
        <v>0</v>
      </c>
      <c r="J443">
        <v>0</v>
      </c>
      <c r="K443">
        <f t="shared" si="21"/>
        <v>2</v>
      </c>
      <c r="L443" s="1">
        <f t="shared" si="22"/>
        <v>0</v>
      </c>
      <c r="M443" s="1">
        <f t="shared" si="23"/>
        <v>3269</v>
      </c>
    </row>
    <row r="444" spans="1:13" customFormat="1" hidden="1" x14ac:dyDescent="0.3">
      <c r="A444" t="s">
        <v>2649</v>
      </c>
      <c r="B444" t="s">
        <v>2650</v>
      </c>
      <c r="C444" t="s">
        <v>70</v>
      </c>
      <c r="D444" t="s">
        <v>45</v>
      </c>
      <c r="E444" s="1">
        <v>1751.25</v>
      </c>
      <c r="F444">
        <v>1</v>
      </c>
      <c r="G444">
        <v>0</v>
      </c>
      <c r="H444">
        <v>5</v>
      </c>
      <c r="I444">
        <v>0</v>
      </c>
      <c r="J444">
        <v>0</v>
      </c>
      <c r="K444">
        <f t="shared" si="21"/>
        <v>5</v>
      </c>
      <c r="L444" s="1">
        <f t="shared" si="22"/>
        <v>0</v>
      </c>
      <c r="M444" s="1">
        <f t="shared" si="23"/>
        <v>8756.25</v>
      </c>
    </row>
    <row r="445" spans="1:13" customFormat="1" hidden="1" x14ac:dyDescent="0.3">
      <c r="A445" t="s">
        <v>2651</v>
      </c>
      <c r="B445" t="s">
        <v>2652</v>
      </c>
      <c r="C445" t="s">
        <v>70</v>
      </c>
      <c r="D445" t="s">
        <v>45</v>
      </c>
      <c r="E445" s="1">
        <v>1517.75</v>
      </c>
      <c r="F445">
        <v>1</v>
      </c>
      <c r="G445">
        <v>0</v>
      </c>
      <c r="H445">
        <v>2</v>
      </c>
      <c r="I445">
        <v>0</v>
      </c>
      <c r="J445">
        <v>0</v>
      </c>
      <c r="K445">
        <f t="shared" si="21"/>
        <v>2</v>
      </c>
      <c r="L445" s="1">
        <f t="shared" si="22"/>
        <v>0</v>
      </c>
      <c r="M445" s="1">
        <f t="shared" si="23"/>
        <v>3035.5</v>
      </c>
    </row>
    <row r="446" spans="1:13" customFormat="1" hidden="1" x14ac:dyDescent="0.3">
      <c r="A446" t="s">
        <v>2653</v>
      </c>
      <c r="B446" t="s">
        <v>2654</v>
      </c>
      <c r="C446" t="s">
        <v>70</v>
      </c>
      <c r="D446" t="s">
        <v>45</v>
      </c>
      <c r="E446" s="1">
        <v>1751.25</v>
      </c>
      <c r="F446">
        <v>1</v>
      </c>
      <c r="G446">
        <v>0</v>
      </c>
      <c r="H446">
        <v>2</v>
      </c>
      <c r="I446">
        <v>0</v>
      </c>
      <c r="J446">
        <v>0</v>
      </c>
      <c r="K446">
        <f t="shared" si="21"/>
        <v>2</v>
      </c>
      <c r="L446" s="1">
        <f t="shared" si="22"/>
        <v>0</v>
      </c>
      <c r="M446" s="1">
        <f t="shared" si="23"/>
        <v>3502.5</v>
      </c>
    </row>
    <row r="447" spans="1:13" customFormat="1" hidden="1" x14ac:dyDescent="0.3">
      <c r="A447" t="s">
        <v>2655</v>
      </c>
      <c r="B447" t="s">
        <v>2656</v>
      </c>
      <c r="C447" t="s">
        <v>70</v>
      </c>
      <c r="D447" t="s">
        <v>45</v>
      </c>
      <c r="E447" s="1">
        <v>1751.25</v>
      </c>
      <c r="F447">
        <v>1</v>
      </c>
      <c r="G447">
        <v>0</v>
      </c>
      <c r="H447">
        <v>5</v>
      </c>
      <c r="I447">
        <v>0</v>
      </c>
      <c r="J447">
        <v>0</v>
      </c>
      <c r="K447">
        <f t="shared" si="21"/>
        <v>5</v>
      </c>
      <c r="L447" s="1">
        <f t="shared" si="22"/>
        <v>0</v>
      </c>
      <c r="M447" s="1">
        <f t="shared" si="23"/>
        <v>8756.25</v>
      </c>
    </row>
    <row r="448" spans="1:13" customFormat="1" hidden="1" x14ac:dyDescent="0.3">
      <c r="A448" t="s">
        <v>2657</v>
      </c>
      <c r="B448" t="s">
        <v>2658</v>
      </c>
      <c r="C448" t="s">
        <v>70</v>
      </c>
      <c r="D448" t="s">
        <v>45</v>
      </c>
      <c r="E448" s="1">
        <v>1009.45</v>
      </c>
      <c r="F448">
        <v>1</v>
      </c>
      <c r="G448">
        <v>0</v>
      </c>
      <c r="H448">
        <v>2</v>
      </c>
      <c r="I448">
        <v>0</v>
      </c>
      <c r="J448">
        <v>0</v>
      </c>
      <c r="K448">
        <f t="shared" si="21"/>
        <v>2</v>
      </c>
      <c r="L448" s="1">
        <f t="shared" si="22"/>
        <v>0</v>
      </c>
      <c r="M448" s="1">
        <f t="shared" si="23"/>
        <v>2018.9</v>
      </c>
    </row>
    <row r="449" spans="1:13" customFormat="1" hidden="1" x14ac:dyDescent="0.3">
      <c r="A449" t="s">
        <v>2659</v>
      </c>
      <c r="B449" t="s">
        <v>2660</v>
      </c>
      <c r="C449" t="s">
        <v>70</v>
      </c>
      <c r="D449" t="s">
        <v>45</v>
      </c>
      <c r="E449" s="1">
        <v>1164.75</v>
      </c>
      <c r="F449">
        <v>1</v>
      </c>
      <c r="G449">
        <v>0</v>
      </c>
      <c r="H449">
        <v>2</v>
      </c>
      <c r="I449">
        <v>0</v>
      </c>
      <c r="J449">
        <v>0</v>
      </c>
      <c r="K449">
        <f t="shared" si="21"/>
        <v>2</v>
      </c>
      <c r="L449" s="1">
        <f t="shared" si="22"/>
        <v>0</v>
      </c>
      <c r="M449" s="1">
        <f t="shared" si="23"/>
        <v>2329.5</v>
      </c>
    </row>
    <row r="450" spans="1:13" customFormat="1" hidden="1" x14ac:dyDescent="0.3">
      <c r="A450" t="s">
        <v>2661</v>
      </c>
      <c r="B450" t="s">
        <v>2662</v>
      </c>
      <c r="C450" t="s">
        <v>70</v>
      </c>
      <c r="D450" t="s">
        <v>45</v>
      </c>
      <c r="E450" s="1">
        <v>2104.6999999999998</v>
      </c>
      <c r="F450">
        <v>1</v>
      </c>
      <c r="G450">
        <v>0</v>
      </c>
      <c r="H450">
        <v>2</v>
      </c>
      <c r="I450">
        <v>0</v>
      </c>
      <c r="J450">
        <v>0</v>
      </c>
      <c r="K450">
        <f t="shared" si="21"/>
        <v>2</v>
      </c>
      <c r="L450" s="1">
        <f t="shared" si="22"/>
        <v>0</v>
      </c>
      <c r="M450" s="1">
        <f t="shared" si="23"/>
        <v>4209.3999999999996</v>
      </c>
    </row>
    <row r="451" spans="1:13" customFormat="1" hidden="1" x14ac:dyDescent="0.3">
      <c r="A451" t="s">
        <v>2663</v>
      </c>
      <c r="B451" t="s">
        <v>2664</v>
      </c>
      <c r="C451" t="s">
        <v>70</v>
      </c>
      <c r="D451" t="s">
        <v>45</v>
      </c>
      <c r="E451" s="1">
        <v>1860</v>
      </c>
      <c r="F451">
        <v>1</v>
      </c>
      <c r="G451">
        <v>0</v>
      </c>
      <c r="H451">
        <v>5</v>
      </c>
      <c r="I451">
        <v>0</v>
      </c>
      <c r="J451">
        <v>0</v>
      </c>
      <c r="K451">
        <f t="shared" si="21"/>
        <v>5</v>
      </c>
      <c r="L451" s="1">
        <f t="shared" si="22"/>
        <v>0</v>
      </c>
      <c r="M451" s="1">
        <f t="shared" si="23"/>
        <v>9300</v>
      </c>
    </row>
    <row r="452" spans="1:13" customFormat="1" hidden="1" x14ac:dyDescent="0.3">
      <c r="A452" t="s">
        <v>2665</v>
      </c>
      <c r="B452" t="s">
        <v>2666</v>
      </c>
      <c r="C452" t="s">
        <v>70</v>
      </c>
      <c r="D452" t="s">
        <v>45</v>
      </c>
      <c r="E452" s="1">
        <v>1611.15</v>
      </c>
      <c r="F452">
        <v>1</v>
      </c>
      <c r="G452">
        <v>0</v>
      </c>
      <c r="H452">
        <v>2</v>
      </c>
      <c r="I452">
        <v>0</v>
      </c>
      <c r="J452">
        <v>0</v>
      </c>
      <c r="K452">
        <f t="shared" si="21"/>
        <v>2</v>
      </c>
      <c r="L452" s="1">
        <f t="shared" si="22"/>
        <v>0</v>
      </c>
      <c r="M452" s="1">
        <f t="shared" si="23"/>
        <v>3222.3</v>
      </c>
    </row>
    <row r="453" spans="1:13" customFormat="1" hidden="1" x14ac:dyDescent="0.3">
      <c r="A453" t="s">
        <v>2667</v>
      </c>
      <c r="B453" t="s">
        <v>2668</v>
      </c>
      <c r="C453" t="s">
        <v>70</v>
      </c>
      <c r="D453" t="s">
        <v>45</v>
      </c>
      <c r="E453" s="1">
        <v>2086.5</v>
      </c>
      <c r="F453">
        <v>2</v>
      </c>
      <c r="G453">
        <v>0</v>
      </c>
      <c r="H453">
        <v>8</v>
      </c>
      <c r="I453">
        <v>0</v>
      </c>
      <c r="J453">
        <v>0</v>
      </c>
      <c r="K453">
        <f t="shared" si="21"/>
        <v>8</v>
      </c>
      <c r="L453" s="1">
        <f t="shared" si="22"/>
        <v>0</v>
      </c>
      <c r="M453" s="1">
        <f t="shared" si="23"/>
        <v>16692</v>
      </c>
    </row>
    <row r="454" spans="1:13" customFormat="1" hidden="1" x14ac:dyDescent="0.3">
      <c r="A454" t="s">
        <v>2669</v>
      </c>
      <c r="B454" t="s">
        <v>2670</v>
      </c>
      <c r="C454" t="s">
        <v>70</v>
      </c>
      <c r="D454" t="s">
        <v>45</v>
      </c>
      <c r="E454" s="1">
        <v>2442.91</v>
      </c>
      <c r="F454">
        <v>1</v>
      </c>
      <c r="G454">
        <v>0</v>
      </c>
      <c r="H454">
        <v>4</v>
      </c>
      <c r="I454">
        <v>0</v>
      </c>
      <c r="J454">
        <v>0</v>
      </c>
      <c r="K454">
        <f t="shared" si="21"/>
        <v>4</v>
      </c>
      <c r="L454" s="1">
        <f t="shared" si="22"/>
        <v>0</v>
      </c>
      <c r="M454" s="1">
        <f t="shared" si="23"/>
        <v>9771.64</v>
      </c>
    </row>
    <row r="455" spans="1:13" customFormat="1" hidden="1" x14ac:dyDescent="0.3">
      <c r="A455" t="s">
        <v>2671</v>
      </c>
      <c r="B455" t="s">
        <v>2672</v>
      </c>
      <c r="C455" t="s">
        <v>70</v>
      </c>
      <c r="D455" t="s">
        <v>45</v>
      </c>
      <c r="E455" s="1">
        <v>1860</v>
      </c>
      <c r="F455">
        <v>1</v>
      </c>
      <c r="G455">
        <v>0</v>
      </c>
      <c r="H455">
        <v>2</v>
      </c>
      <c r="I455">
        <v>0</v>
      </c>
      <c r="J455">
        <v>0</v>
      </c>
      <c r="K455">
        <f t="shared" si="21"/>
        <v>2</v>
      </c>
      <c r="L455" s="1">
        <f t="shared" si="22"/>
        <v>0</v>
      </c>
      <c r="M455" s="1">
        <f t="shared" si="23"/>
        <v>3720</v>
      </c>
    </row>
    <row r="456" spans="1:13" customFormat="1" hidden="1" x14ac:dyDescent="0.3">
      <c r="A456" t="s">
        <v>2673</v>
      </c>
      <c r="B456" t="s">
        <v>2674</v>
      </c>
      <c r="C456" t="s">
        <v>70</v>
      </c>
      <c r="D456" t="s">
        <v>45</v>
      </c>
      <c r="E456" s="1">
        <v>1576.12</v>
      </c>
      <c r="F456">
        <v>1</v>
      </c>
      <c r="G456">
        <v>0</v>
      </c>
      <c r="H456">
        <v>2</v>
      </c>
      <c r="I456">
        <v>0</v>
      </c>
      <c r="J456">
        <v>0</v>
      </c>
      <c r="K456">
        <f t="shared" si="21"/>
        <v>2</v>
      </c>
      <c r="L456" s="1">
        <f t="shared" si="22"/>
        <v>0</v>
      </c>
      <c r="M456" s="1">
        <f t="shared" si="23"/>
        <v>3152.24</v>
      </c>
    </row>
    <row r="457" spans="1:13" customFormat="1" hidden="1" x14ac:dyDescent="0.3">
      <c r="A457" t="s">
        <v>2675</v>
      </c>
      <c r="B457" t="s">
        <v>2676</v>
      </c>
      <c r="C457" t="s">
        <v>70</v>
      </c>
      <c r="D457" t="s">
        <v>45</v>
      </c>
      <c r="E457" s="1">
        <v>1076.25</v>
      </c>
      <c r="F457">
        <v>2</v>
      </c>
      <c r="G457">
        <v>0</v>
      </c>
      <c r="H457">
        <v>8</v>
      </c>
      <c r="I457">
        <v>0</v>
      </c>
      <c r="J457">
        <v>0</v>
      </c>
      <c r="K457">
        <f t="shared" si="21"/>
        <v>8</v>
      </c>
      <c r="L457" s="1">
        <f t="shared" si="22"/>
        <v>0</v>
      </c>
      <c r="M457" s="1">
        <f t="shared" si="23"/>
        <v>8610</v>
      </c>
    </row>
    <row r="458" spans="1:13" customFormat="1" hidden="1" x14ac:dyDescent="0.3">
      <c r="A458" t="s">
        <v>2677</v>
      </c>
      <c r="B458" t="s">
        <v>2678</v>
      </c>
      <c r="C458" t="s">
        <v>70</v>
      </c>
      <c r="D458" t="s">
        <v>45</v>
      </c>
      <c r="E458" s="1">
        <v>782.25</v>
      </c>
      <c r="F458">
        <v>2</v>
      </c>
      <c r="G458">
        <v>0</v>
      </c>
      <c r="H458">
        <v>8</v>
      </c>
      <c r="I458">
        <v>0</v>
      </c>
      <c r="J458">
        <v>0</v>
      </c>
      <c r="K458">
        <f t="shared" si="21"/>
        <v>8</v>
      </c>
      <c r="L458" s="1">
        <f t="shared" si="22"/>
        <v>0</v>
      </c>
      <c r="M458" s="1">
        <f t="shared" si="23"/>
        <v>6258</v>
      </c>
    </row>
    <row r="459" spans="1:13" customFormat="1" hidden="1" x14ac:dyDescent="0.3">
      <c r="A459" t="s">
        <v>2679</v>
      </c>
      <c r="B459" t="s">
        <v>2680</v>
      </c>
      <c r="C459" t="s">
        <v>70</v>
      </c>
      <c r="D459" t="s">
        <v>45</v>
      </c>
      <c r="E459" s="1">
        <v>1751.25</v>
      </c>
      <c r="F459">
        <v>1</v>
      </c>
      <c r="G459">
        <v>0</v>
      </c>
      <c r="H459">
        <v>5</v>
      </c>
      <c r="I459">
        <v>0</v>
      </c>
      <c r="J459">
        <v>0</v>
      </c>
      <c r="K459">
        <f t="shared" si="21"/>
        <v>5</v>
      </c>
      <c r="L459" s="1">
        <f t="shared" si="22"/>
        <v>0</v>
      </c>
      <c r="M459" s="1">
        <f t="shared" si="23"/>
        <v>8756.25</v>
      </c>
    </row>
    <row r="460" spans="1:13" customFormat="1" hidden="1" x14ac:dyDescent="0.3">
      <c r="A460" t="s">
        <v>2681</v>
      </c>
      <c r="B460" t="s">
        <v>2682</v>
      </c>
      <c r="C460" t="s">
        <v>70</v>
      </c>
      <c r="D460" t="s">
        <v>45</v>
      </c>
      <c r="E460" s="1">
        <v>1751.25</v>
      </c>
      <c r="F460">
        <v>1</v>
      </c>
      <c r="G460">
        <v>0</v>
      </c>
      <c r="H460">
        <v>5</v>
      </c>
      <c r="I460">
        <v>0</v>
      </c>
      <c r="J460">
        <v>0</v>
      </c>
      <c r="K460">
        <f t="shared" si="21"/>
        <v>5</v>
      </c>
      <c r="L460" s="1">
        <f t="shared" si="22"/>
        <v>0</v>
      </c>
      <c r="M460" s="1">
        <f t="shared" si="23"/>
        <v>8756.25</v>
      </c>
    </row>
    <row r="461" spans="1:13" customFormat="1" hidden="1" x14ac:dyDescent="0.3">
      <c r="A461" t="s">
        <v>2683</v>
      </c>
      <c r="B461" t="s">
        <v>2684</v>
      </c>
      <c r="C461" t="s">
        <v>70</v>
      </c>
      <c r="D461" t="s">
        <v>45</v>
      </c>
      <c r="E461" s="1">
        <v>1324.5</v>
      </c>
      <c r="F461">
        <v>1</v>
      </c>
      <c r="G461">
        <v>0</v>
      </c>
      <c r="H461">
        <v>2</v>
      </c>
      <c r="I461">
        <v>0</v>
      </c>
      <c r="J461">
        <v>0</v>
      </c>
      <c r="K461">
        <f t="shared" si="21"/>
        <v>2</v>
      </c>
      <c r="L461" s="1">
        <f t="shared" si="22"/>
        <v>0</v>
      </c>
      <c r="M461" s="1">
        <f t="shared" si="23"/>
        <v>2649</v>
      </c>
    </row>
    <row r="462" spans="1:13" customFormat="1" hidden="1" x14ac:dyDescent="0.3">
      <c r="A462" t="s">
        <v>2685</v>
      </c>
      <c r="B462" t="s">
        <v>2686</v>
      </c>
      <c r="C462" t="s">
        <v>70</v>
      </c>
      <c r="D462" t="s">
        <v>45</v>
      </c>
      <c r="E462" s="1">
        <v>2145.8200000000002</v>
      </c>
      <c r="F462">
        <v>1</v>
      </c>
      <c r="G462">
        <v>0</v>
      </c>
      <c r="H462">
        <v>4</v>
      </c>
      <c r="I462">
        <v>0</v>
      </c>
      <c r="J462">
        <v>0</v>
      </c>
      <c r="K462">
        <f t="shared" ref="K462:K525" si="24">IF(H462-I462-J462&gt;0,H462-I462-J462,0)</f>
        <v>4</v>
      </c>
      <c r="L462" s="1">
        <f t="shared" ref="L462:L525" si="25">IFERROR(I462*E462,0)</f>
        <v>0</v>
      </c>
      <c r="M462" s="1">
        <f t="shared" ref="M462:M525" si="26">IFERROR(K462*E462,0)</f>
        <v>8583.2800000000007</v>
      </c>
    </row>
    <row r="463" spans="1:13" customFormat="1" hidden="1" x14ac:dyDescent="0.3">
      <c r="A463" t="s">
        <v>2687</v>
      </c>
      <c r="B463" t="s">
        <v>2688</v>
      </c>
      <c r="C463" t="s">
        <v>70</v>
      </c>
      <c r="D463" t="s">
        <v>45</v>
      </c>
      <c r="E463" s="1">
        <v>1736</v>
      </c>
      <c r="F463">
        <v>1</v>
      </c>
      <c r="G463">
        <v>0</v>
      </c>
      <c r="H463">
        <v>5</v>
      </c>
      <c r="I463">
        <v>0</v>
      </c>
      <c r="J463">
        <v>0</v>
      </c>
      <c r="K463">
        <f t="shared" si="24"/>
        <v>5</v>
      </c>
      <c r="L463" s="1">
        <f t="shared" si="25"/>
        <v>0</v>
      </c>
      <c r="M463" s="1">
        <f t="shared" si="26"/>
        <v>8680</v>
      </c>
    </row>
    <row r="464" spans="1:13" customFormat="1" hidden="1" x14ac:dyDescent="0.3">
      <c r="A464" t="s">
        <v>2689</v>
      </c>
      <c r="B464" t="s">
        <v>2690</v>
      </c>
      <c r="C464" t="s">
        <v>70</v>
      </c>
      <c r="D464" t="s">
        <v>45</v>
      </c>
      <c r="E464" s="1">
        <v>1665.86</v>
      </c>
      <c r="F464">
        <v>1</v>
      </c>
      <c r="G464">
        <v>0</v>
      </c>
      <c r="H464">
        <v>4</v>
      </c>
      <c r="I464">
        <v>0</v>
      </c>
      <c r="J464">
        <v>0</v>
      </c>
      <c r="K464">
        <f t="shared" si="24"/>
        <v>4</v>
      </c>
      <c r="L464" s="1">
        <f t="shared" si="25"/>
        <v>0</v>
      </c>
      <c r="M464" s="1">
        <f t="shared" si="26"/>
        <v>6663.44</v>
      </c>
    </row>
    <row r="465" spans="1:13" customFormat="1" hidden="1" x14ac:dyDescent="0.3">
      <c r="A465" t="s">
        <v>2691</v>
      </c>
      <c r="B465" t="s">
        <v>2692</v>
      </c>
      <c r="C465" t="s">
        <v>70</v>
      </c>
      <c r="D465" t="s">
        <v>45</v>
      </c>
      <c r="E465" s="1">
        <v>1732.25</v>
      </c>
      <c r="F465">
        <v>1</v>
      </c>
      <c r="G465">
        <v>0</v>
      </c>
      <c r="H465">
        <v>2</v>
      </c>
      <c r="I465">
        <v>0</v>
      </c>
      <c r="J465">
        <v>0</v>
      </c>
      <c r="K465">
        <f t="shared" si="24"/>
        <v>2</v>
      </c>
      <c r="L465" s="1">
        <f t="shared" si="25"/>
        <v>0</v>
      </c>
      <c r="M465" s="1">
        <f t="shared" si="26"/>
        <v>3464.5</v>
      </c>
    </row>
    <row r="466" spans="1:13" customFormat="1" hidden="1" x14ac:dyDescent="0.3">
      <c r="A466" t="s">
        <v>2693</v>
      </c>
      <c r="B466" t="s">
        <v>2694</v>
      </c>
      <c r="C466" t="s">
        <v>70</v>
      </c>
      <c r="D466" t="s">
        <v>45</v>
      </c>
      <c r="E466" s="1">
        <v>1753.95</v>
      </c>
      <c r="F466">
        <v>2</v>
      </c>
      <c r="G466">
        <v>0</v>
      </c>
      <c r="H466">
        <v>12</v>
      </c>
      <c r="I466">
        <v>0</v>
      </c>
      <c r="J466">
        <v>0</v>
      </c>
      <c r="K466">
        <f t="shared" si="24"/>
        <v>12</v>
      </c>
      <c r="L466" s="1">
        <f t="shared" si="25"/>
        <v>0</v>
      </c>
      <c r="M466" s="1">
        <f t="shared" si="26"/>
        <v>21047.4</v>
      </c>
    </row>
    <row r="467" spans="1:13" customFormat="1" hidden="1" x14ac:dyDescent="0.3">
      <c r="A467" t="s">
        <v>2695</v>
      </c>
      <c r="B467" t="s">
        <v>2696</v>
      </c>
      <c r="C467" t="s">
        <v>70</v>
      </c>
      <c r="D467" t="s">
        <v>45</v>
      </c>
      <c r="E467" s="1">
        <v>1612</v>
      </c>
      <c r="F467">
        <v>1</v>
      </c>
      <c r="G467">
        <v>0</v>
      </c>
      <c r="H467">
        <v>2</v>
      </c>
      <c r="I467">
        <v>0</v>
      </c>
      <c r="J467">
        <v>0</v>
      </c>
      <c r="K467">
        <f t="shared" si="24"/>
        <v>2</v>
      </c>
      <c r="L467" s="1">
        <f t="shared" si="25"/>
        <v>0</v>
      </c>
      <c r="M467" s="1">
        <f t="shared" si="26"/>
        <v>3224</v>
      </c>
    </row>
    <row r="468" spans="1:13" customFormat="1" hidden="1" x14ac:dyDescent="0.3">
      <c r="A468" t="s">
        <v>2697</v>
      </c>
      <c r="B468" t="s">
        <v>2698</v>
      </c>
      <c r="C468" t="s">
        <v>70</v>
      </c>
      <c r="D468" t="s">
        <v>45</v>
      </c>
      <c r="E468" s="1">
        <v>2562</v>
      </c>
      <c r="F468">
        <v>4</v>
      </c>
      <c r="G468">
        <v>0</v>
      </c>
      <c r="H468">
        <v>22</v>
      </c>
      <c r="I468">
        <v>0</v>
      </c>
      <c r="J468">
        <v>0</v>
      </c>
      <c r="K468">
        <f t="shared" si="24"/>
        <v>22</v>
      </c>
      <c r="L468" s="1">
        <f t="shared" si="25"/>
        <v>0</v>
      </c>
      <c r="M468" s="1">
        <f t="shared" si="26"/>
        <v>56364</v>
      </c>
    </row>
    <row r="469" spans="1:13" customFormat="1" hidden="1" x14ac:dyDescent="0.3">
      <c r="A469" t="s">
        <v>2699</v>
      </c>
      <c r="B469" t="s">
        <v>2700</v>
      </c>
      <c r="C469" t="s">
        <v>70</v>
      </c>
      <c r="D469" t="s">
        <v>45</v>
      </c>
      <c r="E469" s="1">
        <v>2505.75</v>
      </c>
      <c r="F469">
        <v>1</v>
      </c>
      <c r="G469">
        <v>0</v>
      </c>
      <c r="H469">
        <v>2</v>
      </c>
      <c r="I469">
        <v>0</v>
      </c>
      <c r="J469">
        <v>0</v>
      </c>
      <c r="K469">
        <f t="shared" si="24"/>
        <v>2</v>
      </c>
      <c r="L469" s="1">
        <f t="shared" si="25"/>
        <v>0</v>
      </c>
      <c r="M469" s="1">
        <f t="shared" si="26"/>
        <v>5011.5</v>
      </c>
    </row>
    <row r="470" spans="1:13" customFormat="1" hidden="1" x14ac:dyDescent="0.3">
      <c r="A470" t="s">
        <v>2701</v>
      </c>
      <c r="B470" t="s">
        <v>2702</v>
      </c>
      <c r="C470" t="s">
        <v>70</v>
      </c>
      <c r="D470" t="s">
        <v>45</v>
      </c>
      <c r="E470" s="1">
        <v>2594.15</v>
      </c>
      <c r="F470">
        <v>1</v>
      </c>
      <c r="G470">
        <v>0</v>
      </c>
      <c r="H470">
        <v>2</v>
      </c>
      <c r="I470">
        <v>0</v>
      </c>
      <c r="J470">
        <v>0</v>
      </c>
      <c r="K470">
        <f t="shared" si="24"/>
        <v>2</v>
      </c>
      <c r="L470" s="1">
        <f t="shared" si="25"/>
        <v>0</v>
      </c>
      <c r="M470" s="1">
        <f t="shared" si="26"/>
        <v>5188.3</v>
      </c>
    </row>
    <row r="471" spans="1:13" customFormat="1" hidden="1" x14ac:dyDescent="0.3">
      <c r="A471" t="s">
        <v>2703</v>
      </c>
      <c r="B471" t="s">
        <v>2704</v>
      </c>
      <c r="C471" t="s">
        <v>70</v>
      </c>
      <c r="D471" t="s">
        <v>45</v>
      </c>
      <c r="E471" s="1">
        <v>2993.25</v>
      </c>
      <c r="F471">
        <v>1</v>
      </c>
      <c r="G471">
        <v>0</v>
      </c>
      <c r="H471">
        <v>2</v>
      </c>
      <c r="I471">
        <v>0</v>
      </c>
      <c r="J471">
        <v>0</v>
      </c>
      <c r="K471">
        <f t="shared" si="24"/>
        <v>2</v>
      </c>
      <c r="L471" s="1">
        <f t="shared" si="25"/>
        <v>0</v>
      </c>
      <c r="M471" s="1">
        <f t="shared" si="26"/>
        <v>5986.5</v>
      </c>
    </row>
    <row r="472" spans="1:13" customFormat="1" hidden="1" x14ac:dyDescent="0.3">
      <c r="A472" t="s">
        <v>2705</v>
      </c>
      <c r="B472" t="s">
        <v>2706</v>
      </c>
      <c r="C472" t="s">
        <v>252</v>
      </c>
      <c r="D472" t="s">
        <v>45</v>
      </c>
      <c r="E472" s="1">
        <v>1249</v>
      </c>
      <c r="F472">
        <v>1</v>
      </c>
      <c r="G472">
        <v>0</v>
      </c>
      <c r="H472">
        <v>3</v>
      </c>
      <c r="I472">
        <v>0</v>
      </c>
      <c r="J472">
        <v>0</v>
      </c>
      <c r="K472">
        <f t="shared" si="24"/>
        <v>3</v>
      </c>
      <c r="L472" s="1">
        <f t="shared" si="25"/>
        <v>0</v>
      </c>
      <c r="M472" s="1">
        <f t="shared" si="26"/>
        <v>3747</v>
      </c>
    </row>
    <row r="473" spans="1:13" customFormat="1" hidden="1" x14ac:dyDescent="0.3">
      <c r="A473" t="s">
        <v>2707</v>
      </c>
      <c r="B473" t="s">
        <v>2708</v>
      </c>
      <c r="C473" t="s">
        <v>252</v>
      </c>
      <c r="D473" t="s">
        <v>45</v>
      </c>
      <c r="E473" s="1">
        <v>1249</v>
      </c>
      <c r="F473">
        <v>1</v>
      </c>
      <c r="G473">
        <v>0</v>
      </c>
      <c r="H473">
        <v>3</v>
      </c>
      <c r="I473">
        <v>0</v>
      </c>
      <c r="J473">
        <v>0</v>
      </c>
      <c r="K473">
        <f t="shared" si="24"/>
        <v>3</v>
      </c>
      <c r="L473" s="1">
        <f t="shared" si="25"/>
        <v>0</v>
      </c>
      <c r="M473" s="1">
        <f t="shared" si="26"/>
        <v>3747</v>
      </c>
    </row>
    <row r="474" spans="1:13" customFormat="1" hidden="1" x14ac:dyDescent="0.3">
      <c r="A474" t="s">
        <v>2709</v>
      </c>
      <c r="B474" t="s">
        <v>2710</v>
      </c>
      <c r="C474" t="s">
        <v>252</v>
      </c>
      <c r="D474" t="s">
        <v>45</v>
      </c>
      <c r="E474" s="1">
        <v>3706.67</v>
      </c>
      <c r="F474">
        <v>1</v>
      </c>
      <c r="G474">
        <v>0</v>
      </c>
      <c r="H474">
        <v>3</v>
      </c>
      <c r="I474">
        <v>0</v>
      </c>
      <c r="J474">
        <v>0</v>
      </c>
      <c r="K474">
        <f t="shared" si="24"/>
        <v>3</v>
      </c>
      <c r="L474" s="1">
        <f t="shared" si="25"/>
        <v>0</v>
      </c>
      <c r="M474" s="1">
        <f t="shared" si="26"/>
        <v>11120.01</v>
      </c>
    </row>
    <row r="475" spans="1:13" customFormat="1" hidden="1" x14ac:dyDescent="0.3">
      <c r="A475" t="s">
        <v>2711</v>
      </c>
      <c r="B475" t="s">
        <v>2712</v>
      </c>
      <c r="C475" t="s">
        <v>252</v>
      </c>
      <c r="D475" t="s">
        <v>45</v>
      </c>
      <c r="E475" s="1">
        <v>2287.33</v>
      </c>
      <c r="F475">
        <v>1</v>
      </c>
      <c r="G475">
        <v>0</v>
      </c>
      <c r="H475">
        <v>3</v>
      </c>
      <c r="I475">
        <v>0</v>
      </c>
      <c r="J475">
        <v>0</v>
      </c>
      <c r="K475">
        <f t="shared" si="24"/>
        <v>3</v>
      </c>
      <c r="L475" s="1">
        <f t="shared" si="25"/>
        <v>0</v>
      </c>
      <c r="M475" s="1">
        <f t="shared" si="26"/>
        <v>6861.99</v>
      </c>
    </row>
    <row r="476" spans="1:13" customFormat="1" hidden="1" x14ac:dyDescent="0.3">
      <c r="A476" t="s">
        <v>2713</v>
      </c>
      <c r="B476" t="s">
        <v>2714</v>
      </c>
      <c r="C476" t="s">
        <v>252</v>
      </c>
      <c r="D476" t="s">
        <v>45</v>
      </c>
      <c r="E476" s="1">
        <v>1249</v>
      </c>
      <c r="F476">
        <v>1</v>
      </c>
      <c r="G476">
        <v>0</v>
      </c>
      <c r="H476">
        <v>3</v>
      </c>
      <c r="I476">
        <v>0</v>
      </c>
      <c r="J476">
        <v>0</v>
      </c>
      <c r="K476">
        <f t="shared" si="24"/>
        <v>3</v>
      </c>
      <c r="L476" s="1">
        <f t="shared" si="25"/>
        <v>0</v>
      </c>
      <c r="M476" s="1">
        <f t="shared" si="26"/>
        <v>3747</v>
      </c>
    </row>
    <row r="477" spans="1:13" customFormat="1" hidden="1" x14ac:dyDescent="0.3">
      <c r="A477" t="s">
        <v>2715</v>
      </c>
      <c r="B477" t="s">
        <v>1923</v>
      </c>
      <c r="C477" t="s">
        <v>252</v>
      </c>
      <c r="D477" t="s">
        <v>45</v>
      </c>
      <c r="E477" s="1">
        <v>1600</v>
      </c>
      <c r="F477">
        <v>1</v>
      </c>
      <c r="G477">
        <v>0</v>
      </c>
      <c r="H477">
        <v>6</v>
      </c>
      <c r="I477">
        <v>0</v>
      </c>
      <c r="J477">
        <v>0</v>
      </c>
      <c r="K477">
        <f t="shared" si="24"/>
        <v>6</v>
      </c>
      <c r="L477" s="1">
        <f t="shared" si="25"/>
        <v>0</v>
      </c>
      <c r="M477" s="1">
        <f t="shared" si="26"/>
        <v>9600</v>
      </c>
    </row>
    <row r="478" spans="1:13" customFormat="1" hidden="1" x14ac:dyDescent="0.3">
      <c r="A478" t="s">
        <v>2716</v>
      </c>
      <c r="B478" t="s">
        <v>2717</v>
      </c>
      <c r="C478" t="s">
        <v>70</v>
      </c>
      <c r="D478" t="s">
        <v>45</v>
      </c>
      <c r="E478" s="1">
        <v>2104.6999999999998</v>
      </c>
      <c r="F478">
        <v>2</v>
      </c>
      <c r="G478">
        <v>0</v>
      </c>
      <c r="H478">
        <v>8</v>
      </c>
      <c r="I478">
        <v>0</v>
      </c>
      <c r="J478">
        <v>0</v>
      </c>
      <c r="K478">
        <f t="shared" si="24"/>
        <v>8</v>
      </c>
      <c r="L478" s="1">
        <f t="shared" si="25"/>
        <v>0</v>
      </c>
      <c r="M478" s="1">
        <f t="shared" si="26"/>
        <v>16837.599999999999</v>
      </c>
    </row>
    <row r="479" spans="1:13" customFormat="1" hidden="1" x14ac:dyDescent="0.3">
      <c r="A479" t="s">
        <v>2718</v>
      </c>
      <c r="B479" t="s">
        <v>2719</v>
      </c>
      <c r="C479" t="s">
        <v>472</v>
      </c>
      <c r="D479" t="s">
        <v>45</v>
      </c>
      <c r="E479" s="1">
        <v>7509.5</v>
      </c>
      <c r="F479">
        <v>1</v>
      </c>
      <c r="G479">
        <v>0</v>
      </c>
      <c r="H479">
        <v>2</v>
      </c>
      <c r="I479">
        <v>0</v>
      </c>
      <c r="J479">
        <v>0</v>
      </c>
      <c r="K479">
        <f t="shared" si="24"/>
        <v>2</v>
      </c>
      <c r="L479" s="1">
        <f t="shared" si="25"/>
        <v>0</v>
      </c>
      <c r="M479" s="1">
        <f t="shared" si="26"/>
        <v>15019</v>
      </c>
    </row>
    <row r="480" spans="1:13" customFormat="1" hidden="1" x14ac:dyDescent="0.3">
      <c r="A480" t="s">
        <v>2720</v>
      </c>
      <c r="B480" t="s">
        <v>2721</v>
      </c>
      <c r="C480" t="s">
        <v>70</v>
      </c>
      <c r="D480" t="s">
        <v>45</v>
      </c>
      <c r="E480" s="1">
        <v>1517.75</v>
      </c>
      <c r="F480">
        <v>1</v>
      </c>
      <c r="G480">
        <v>0</v>
      </c>
      <c r="H480">
        <v>2</v>
      </c>
      <c r="I480">
        <v>0</v>
      </c>
      <c r="J480">
        <v>0</v>
      </c>
      <c r="K480">
        <f t="shared" si="24"/>
        <v>2</v>
      </c>
      <c r="L480" s="1">
        <f t="shared" si="25"/>
        <v>0</v>
      </c>
      <c r="M480" s="1">
        <f t="shared" si="26"/>
        <v>3035.5</v>
      </c>
    </row>
    <row r="481" spans="1:13" customFormat="1" hidden="1" x14ac:dyDescent="0.3">
      <c r="A481" t="s">
        <v>2722</v>
      </c>
      <c r="B481" t="s">
        <v>2723</v>
      </c>
      <c r="C481" t="s">
        <v>70</v>
      </c>
      <c r="D481" t="s">
        <v>45</v>
      </c>
      <c r="E481" s="1">
        <v>2323.75</v>
      </c>
      <c r="F481">
        <v>2</v>
      </c>
      <c r="G481">
        <v>0</v>
      </c>
      <c r="H481">
        <v>8</v>
      </c>
      <c r="I481">
        <v>0</v>
      </c>
      <c r="J481">
        <v>0</v>
      </c>
      <c r="K481">
        <f t="shared" si="24"/>
        <v>8</v>
      </c>
      <c r="L481" s="1">
        <f t="shared" si="25"/>
        <v>0</v>
      </c>
      <c r="M481" s="1">
        <f t="shared" si="26"/>
        <v>18590</v>
      </c>
    </row>
    <row r="482" spans="1:13" customFormat="1" hidden="1" x14ac:dyDescent="0.3">
      <c r="A482" t="s">
        <v>2724</v>
      </c>
      <c r="B482" t="s">
        <v>2725</v>
      </c>
      <c r="C482" t="s">
        <v>70</v>
      </c>
      <c r="D482" t="s">
        <v>45</v>
      </c>
      <c r="E482" s="1">
        <v>1517.75</v>
      </c>
      <c r="F482">
        <v>2</v>
      </c>
      <c r="G482">
        <v>0</v>
      </c>
      <c r="H482">
        <v>8</v>
      </c>
      <c r="I482">
        <v>0</v>
      </c>
      <c r="J482">
        <v>0</v>
      </c>
      <c r="K482">
        <f t="shared" si="24"/>
        <v>8</v>
      </c>
      <c r="L482" s="1">
        <f t="shared" si="25"/>
        <v>0</v>
      </c>
      <c r="M482" s="1">
        <f t="shared" si="26"/>
        <v>12142</v>
      </c>
    </row>
    <row r="483" spans="1:13" customFormat="1" hidden="1" x14ac:dyDescent="0.3">
      <c r="A483" t="s">
        <v>2726</v>
      </c>
      <c r="B483" t="s">
        <v>2727</v>
      </c>
      <c r="C483" t="s">
        <v>70</v>
      </c>
      <c r="D483" t="s">
        <v>45</v>
      </c>
      <c r="E483" s="1">
        <v>1517.75</v>
      </c>
      <c r="F483">
        <v>1</v>
      </c>
      <c r="G483">
        <v>0</v>
      </c>
      <c r="H483">
        <v>5</v>
      </c>
      <c r="I483">
        <v>0</v>
      </c>
      <c r="J483">
        <v>0</v>
      </c>
      <c r="K483">
        <f t="shared" si="24"/>
        <v>5</v>
      </c>
      <c r="L483" s="1">
        <f t="shared" si="25"/>
        <v>0</v>
      </c>
      <c r="M483" s="1">
        <f t="shared" si="26"/>
        <v>7588.75</v>
      </c>
    </row>
    <row r="484" spans="1:13" customFormat="1" hidden="1" x14ac:dyDescent="0.3">
      <c r="A484" t="s">
        <v>2728</v>
      </c>
      <c r="B484" t="s">
        <v>2729</v>
      </c>
      <c r="C484" t="s">
        <v>70</v>
      </c>
      <c r="D484" t="s">
        <v>45</v>
      </c>
      <c r="E484" s="1">
        <v>2323.75</v>
      </c>
      <c r="F484">
        <v>1</v>
      </c>
      <c r="G484">
        <v>0</v>
      </c>
      <c r="H484">
        <v>2</v>
      </c>
      <c r="I484">
        <v>0</v>
      </c>
      <c r="J484">
        <v>0</v>
      </c>
      <c r="K484">
        <f t="shared" si="24"/>
        <v>2</v>
      </c>
      <c r="L484" s="1">
        <f t="shared" si="25"/>
        <v>0</v>
      </c>
      <c r="M484" s="1">
        <f t="shared" si="26"/>
        <v>4647.5</v>
      </c>
    </row>
    <row r="485" spans="1:13" customFormat="1" hidden="1" x14ac:dyDescent="0.3">
      <c r="A485" t="s">
        <v>2730</v>
      </c>
      <c r="B485" t="s">
        <v>2731</v>
      </c>
      <c r="C485" t="s">
        <v>70</v>
      </c>
      <c r="D485" t="s">
        <v>45</v>
      </c>
      <c r="E485" s="1">
        <v>2323.75</v>
      </c>
      <c r="F485">
        <v>1</v>
      </c>
      <c r="G485">
        <v>0</v>
      </c>
      <c r="H485">
        <v>2</v>
      </c>
      <c r="I485">
        <v>0</v>
      </c>
      <c r="J485">
        <v>0</v>
      </c>
      <c r="K485">
        <f t="shared" si="24"/>
        <v>2</v>
      </c>
      <c r="L485" s="1">
        <f t="shared" si="25"/>
        <v>0</v>
      </c>
      <c r="M485" s="1">
        <f t="shared" si="26"/>
        <v>4647.5</v>
      </c>
    </row>
    <row r="486" spans="1:13" customFormat="1" hidden="1" x14ac:dyDescent="0.3">
      <c r="A486" t="s">
        <v>2732</v>
      </c>
      <c r="B486" t="s">
        <v>2103</v>
      </c>
      <c r="D486" t="s">
        <v>45</v>
      </c>
      <c r="E486" s="1">
        <v>0</v>
      </c>
      <c r="F486">
        <v>1</v>
      </c>
      <c r="G486">
        <v>0</v>
      </c>
      <c r="H486">
        <v>2</v>
      </c>
      <c r="I486">
        <v>0</v>
      </c>
      <c r="J486">
        <v>0</v>
      </c>
      <c r="K486">
        <f t="shared" si="24"/>
        <v>2</v>
      </c>
      <c r="L486" s="1">
        <f t="shared" si="25"/>
        <v>0</v>
      </c>
      <c r="M486" s="1">
        <f t="shared" si="26"/>
        <v>0</v>
      </c>
    </row>
    <row r="487" spans="1:13" customFormat="1" hidden="1" x14ac:dyDescent="0.3">
      <c r="A487" t="s">
        <v>2733</v>
      </c>
      <c r="B487" t="s">
        <v>2734</v>
      </c>
      <c r="C487" t="s">
        <v>1804</v>
      </c>
      <c r="D487" t="s">
        <v>45</v>
      </c>
      <c r="E487" s="1">
        <v>600</v>
      </c>
      <c r="F487">
        <v>1</v>
      </c>
      <c r="G487">
        <v>0</v>
      </c>
      <c r="H487">
        <v>5</v>
      </c>
      <c r="I487">
        <v>0</v>
      </c>
      <c r="J487">
        <v>0</v>
      </c>
      <c r="K487">
        <f t="shared" si="24"/>
        <v>5</v>
      </c>
      <c r="L487" s="1">
        <f t="shared" si="25"/>
        <v>0</v>
      </c>
      <c r="M487" s="1">
        <f t="shared" si="26"/>
        <v>3000</v>
      </c>
    </row>
    <row r="488" spans="1:13" customFormat="1" hidden="1" x14ac:dyDescent="0.3">
      <c r="A488" t="s">
        <v>2735</v>
      </c>
      <c r="B488" t="s">
        <v>2736</v>
      </c>
      <c r="C488" t="s">
        <v>1344</v>
      </c>
      <c r="D488" t="s">
        <v>45</v>
      </c>
      <c r="E488" s="1">
        <v>2955.79</v>
      </c>
      <c r="F488">
        <v>3</v>
      </c>
      <c r="G488">
        <v>0</v>
      </c>
      <c r="H488">
        <v>5</v>
      </c>
      <c r="I488">
        <v>0</v>
      </c>
      <c r="J488">
        <v>0</v>
      </c>
      <c r="K488">
        <f t="shared" si="24"/>
        <v>5</v>
      </c>
      <c r="L488" s="1">
        <f t="shared" si="25"/>
        <v>0</v>
      </c>
      <c r="M488" s="1">
        <f t="shared" si="26"/>
        <v>14778.95</v>
      </c>
    </row>
    <row r="489" spans="1:13" customFormat="1" hidden="1" x14ac:dyDescent="0.3">
      <c r="A489" t="s">
        <v>2737</v>
      </c>
      <c r="B489" t="s">
        <v>2738</v>
      </c>
      <c r="C489" t="s">
        <v>2739</v>
      </c>
      <c r="D489" t="s">
        <v>45</v>
      </c>
      <c r="E489" s="1">
        <v>9478.26</v>
      </c>
      <c r="F489">
        <v>1</v>
      </c>
      <c r="G489">
        <v>0</v>
      </c>
      <c r="H489">
        <v>2</v>
      </c>
      <c r="I489">
        <v>0</v>
      </c>
      <c r="J489">
        <v>0</v>
      </c>
      <c r="K489">
        <f t="shared" si="24"/>
        <v>2</v>
      </c>
      <c r="L489" s="1">
        <f t="shared" si="25"/>
        <v>0</v>
      </c>
      <c r="M489" s="1">
        <f t="shared" si="26"/>
        <v>18956.52</v>
      </c>
    </row>
    <row r="490" spans="1:13" customFormat="1" hidden="1" x14ac:dyDescent="0.3">
      <c r="A490" t="s">
        <v>2740</v>
      </c>
      <c r="B490" t="s">
        <v>2741</v>
      </c>
      <c r="C490" t="s">
        <v>472</v>
      </c>
      <c r="D490" t="s">
        <v>45</v>
      </c>
      <c r="E490" s="1">
        <v>74600</v>
      </c>
      <c r="F490">
        <v>1</v>
      </c>
      <c r="G490">
        <v>0</v>
      </c>
      <c r="H490">
        <v>3</v>
      </c>
      <c r="I490">
        <v>0</v>
      </c>
      <c r="J490">
        <v>0</v>
      </c>
      <c r="K490">
        <f t="shared" si="24"/>
        <v>3</v>
      </c>
      <c r="L490" s="1">
        <f t="shared" si="25"/>
        <v>0</v>
      </c>
      <c r="M490" s="1">
        <f t="shared" si="26"/>
        <v>223800</v>
      </c>
    </row>
    <row r="491" spans="1:13" customFormat="1" hidden="1" x14ac:dyDescent="0.3">
      <c r="A491" t="s">
        <v>2742</v>
      </c>
      <c r="B491" t="s">
        <v>2743</v>
      </c>
      <c r="C491" t="s">
        <v>472</v>
      </c>
      <c r="D491" t="s">
        <v>45</v>
      </c>
      <c r="E491" s="1">
        <v>23613.33</v>
      </c>
      <c r="F491">
        <v>1</v>
      </c>
      <c r="G491">
        <v>0</v>
      </c>
      <c r="H491">
        <v>3</v>
      </c>
      <c r="I491">
        <v>0</v>
      </c>
      <c r="J491">
        <v>0</v>
      </c>
      <c r="K491">
        <f t="shared" si="24"/>
        <v>3</v>
      </c>
      <c r="L491" s="1">
        <f t="shared" si="25"/>
        <v>0</v>
      </c>
      <c r="M491" s="1">
        <f t="shared" si="26"/>
        <v>70839.990000000005</v>
      </c>
    </row>
    <row r="492" spans="1:13" customFormat="1" hidden="1" x14ac:dyDescent="0.3">
      <c r="A492" t="s">
        <v>2744</v>
      </c>
      <c r="B492" t="s">
        <v>2745</v>
      </c>
      <c r="C492" t="s">
        <v>472</v>
      </c>
      <c r="D492" t="s">
        <v>45</v>
      </c>
      <c r="E492" s="1">
        <v>4750</v>
      </c>
      <c r="F492">
        <v>1</v>
      </c>
      <c r="G492">
        <v>0</v>
      </c>
      <c r="H492">
        <v>3</v>
      </c>
      <c r="I492">
        <v>0</v>
      </c>
      <c r="J492">
        <v>0</v>
      </c>
      <c r="K492">
        <f t="shared" si="24"/>
        <v>3</v>
      </c>
      <c r="L492" s="1">
        <f t="shared" si="25"/>
        <v>0</v>
      </c>
      <c r="M492" s="1">
        <f t="shared" si="26"/>
        <v>14250</v>
      </c>
    </row>
    <row r="493" spans="1:13" customFormat="1" hidden="1" x14ac:dyDescent="0.3">
      <c r="A493" t="s">
        <v>2746</v>
      </c>
      <c r="B493" t="s">
        <v>2747</v>
      </c>
      <c r="D493" t="s">
        <v>45</v>
      </c>
      <c r="E493" s="1">
        <v>0</v>
      </c>
      <c r="F493">
        <v>1</v>
      </c>
      <c r="G493">
        <v>0</v>
      </c>
      <c r="H493">
        <v>2</v>
      </c>
      <c r="I493">
        <v>0</v>
      </c>
      <c r="J493">
        <v>0</v>
      </c>
      <c r="K493">
        <f t="shared" si="24"/>
        <v>2</v>
      </c>
      <c r="L493" s="1">
        <f t="shared" si="25"/>
        <v>0</v>
      </c>
      <c r="M493" s="1">
        <f t="shared" si="26"/>
        <v>0</v>
      </c>
    </row>
    <row r="494" spans="1:13" customFormat="1" hidden="1" x14ac:dyDescent="0.3">
      <c r="A494" t="s">
        <v>2748</v>
      </c>
      <c r="B494" t="s">
        <v>2749</v>
      </c>
      <c r="C494" t="s">
        <v>1531</v>
      </c>
      <c r="D494" t="s">
        <v>45</v>
      </c>
      <c r="E494" s="1">
        <v>931.76</v>
      </c>
      <c r="F494">
        <v>1</v>
      </c>
      <c r="G494">
        <v>0</v>
      </c>
      <c r="H494">
        <v>2</v>
      </c>
      <c r="I494">
        <v>0</v>
      </c>
      <c r="J494">
        <v>0</v>
      </c>
      <c r="K494">
        <f t="shared" si="24"/>
        <v>2</v>
      </c>
      <c r="L494" s="1">
        <f t="shared" si="25"/>
        <v>0</v>
      </c>
      <c r="M494" s="1">
        <f t="shared" si="26"/>
        <v>1863.52</v>
      </c>
    </row>
    <row r="495" spans="1:13" customFormat="1" hidden="1" x14ac:dyDescent="0.3">
      <c r="A495" t="s">
        <v>2750</v>
      </c>
      <c r="B495" t="s">
        <v>2751</v>
      </c>
      <c r="C495" t="s">
        <v>1531</v>
      </c>
      <c r="D495" t="s">
        <v>45</v>
      </c>
      <c r="E495" s="1">
        <v>931.76</v>
      </c>
      <c r="F495">
        <v>1</v>
      </c>
      <c r="G495">
        <v>0</v>
      </c>
      <c r="H495">
        <v>2</v>
      </c>
      <c r="I495">
        <v>0</v>
      </c>
      <c r="J495">
        <v>0</v>
      </c>
      <c r="K495">
        <f t="shared" si="24"/>
        <v>2</v>
      </c>
      <c r="L495" s="1">
        <f t="shared" si="25"/>
        <v>0</v>
      </c>
      <c r="M495" s="1">
        <f t="shared" si="26"/>
        <v>1863.52</v>
      </c>
    </row>
    <row r="496" spans="1:13" customFormat="1" hidden="1" x14ac:dyDescent="0.3">
      <c r="A496" t="s">
        <v>2752</v>
      </c>
      <c r="B496" t="s">
        <v>2753</v>
      </c>
      <c r="C496" t="s">
        <v>1531</v>
      </c>
      <c r="D496" t="s">
        <v>45</v>
      </c>
      <c r="E496" s="1">
        <v>194.15</v>
      </c>
      <c r="F496">
        <v>1</v>
      </c>
      <c r="G496">
        <v>0</v>
      </c>
      <c r="H496">
        <v>5</v>
      </c>
      <c r="I496">
        <v>0</v>
      </c>
      <c r="J496">
        <v>0</v>
      </c>
      <c r="K496">
        <f t="shared" si="24"/>
        <v>5</v>
      </c>
      <c r="L496" s="1">
        <f t="shared" si="25"/>
        <v>0</v>
      </c>
      <c r="M496" s="1">
        <f t="shared" si="26"/>
        <v>970.75</v>
      </c>
    </row>
    <row r="497" spans="1:13" customFormat="1" hidden="1" x14ac:dyDescent="0.3">
      <c r="A497" t="s">
        <v>2754</v>
      </c>
      <c r="B497" t="s">
        <v>2755</v>
      </c>
      <c r="C497" t="s">
        <v>1271</v>
      </c>
      <c r="D497" t="s">
        <v>45</v>
      </c>
      <c r="E497" s="1">
        <v>10899</v>
      </c>
      <c r="F497">
        <v>1</v>
      </c>
      <c r="G497">
        <v>0</v>
      </c>
      <c r="H497">
        <v>2</v>
      </c>
      <c r="I497">
        <v>0</v>
      </c>
      <c r="J497">
        <v>0</v>
      </c>
      <c r="K497">
        <f t="shared" si="24"/>
        <v>2</v>
      </c>
      <c r="L497" s="1">
        <f t="shared" si="25"/>
        <v>0</v>
      </c>
      <c r="M497" s="1">
        <f t="shared" si="26"/>
        <v>21798</v>
      </c>
    </row>
    <row r="498" spans="1:13" customFormat="1" hidden="1" x14ac:dyDescent="0.3">
      <c r="A498" t="s">
        <v>2756</v>
      </c>
      <c r="B498" t="s">
        <v>2757</v>
      </c>
      <c r="C498" t="s">
        <v>1271</v>
      </c>
      <c r="D498" t="s">
        <v>45</v>
      </c>
      <c r="E498" s="1">
        <v>6088</v>
      </c>
      <c r="F498">
        <v>5</v>
      </c>
      <c r="G498">
        <v>0</v>
      </c>
      <c r="H498">
        <v>25</v>
      </c>
      <c r="I498">
        <v>0</v>
      </c>
      <c r="J498">
        <v>0</v>
      </c>
      <c r="K498">
        <f t="shared" si="24"/>
        <v>25</v>
      </c>
      <c r="L498" s="1">
        <f t="shared" si="25"/>
        <v>0</v>
      </c>
      <c r="M498" s="1">
        <f t="shared" si="26"/>
        <v>152200</v>
      </c>
    </row>
    <row r="499" spans="1:13" customFormat="1" hidden="1" x14ac:dyDescent="0.3">
      <c r="A499" t="s">
        <v>2758</v>
      </c>
      <c r="B499" t="s">
        <v>2759</v>
      </c>
      <c r="D499" t="s">
        <v>45</v>
      </c>
      <c r="E499" s="1">
        <v>0</v>
      </c>
      <c r="F499">
        <v>2</v>
      </c>
      <c r="G499">
        <v>0</v>
      </c>
      <c r="H499">
        <v>10</v>
      </c>
      <c r="I499">
        <v>0</v>
      </c>
      <c r="J499">
        <v>0</v>
      </c>
      <c r="K499">
        <f t="shared" si="24"/>
        <v>10</v>
      </c>
      <c r="L499" s="1">
        <f t="shared" si="25"/>
        <v>0</v>
      </c>
      <c r="M499" s="1">
        <f t="shared" si="26"/>
        <v>0</v>
      </c>
    </row>
    <row r="500" spans="1:13" customFormat="1" hidden="1" x14ac:dyDescent="0.3">
      <c r="A500" t="s">
        <v>2760</v>
      </c>
      <c r="B500" t="s">
        <v>2761</v>
      </c>
      <c r="D500" t="s">
        <v>45</v>
      </c>
      <c r="E500" s="1">
        <v>0</v>
      </c>
      <c r="F500">
        <v>3</v>
      </c>
      <c r="G500">
        <v>0</v>
      </c>
      <c r="H500">
        <v>15</v>
      </c>
      <c r="I500">
        <v>0</v>
      </c>
      <c r="J500">
        <v>0</v>
      </c>
      <c r="K500">
        <f t="shared" si="24"/>
        <v>15</v>
      </c>
      <c r="L500" s="1">
        <f t="shared" si="25"/>
        <v>0</v>
      </c>
      <c r="M500" s="1">
        <f t="shared" si="26"/>
        <v>0</v>
      </c>
    </row>
    <row r="501" spans="1:13" customFormat="1" hidden="1" x14ac:dyDescent="0.3">
      <c r="A501" t="s">
        <v>2762</v>
      </c>
      <c r="B501" t="s">
        <v>2763</v>
      </c>
      <c r="C501" t="s">
        <v>65</v>
      </c>
      <c r="D501" t="s">
        <v>45</v>
      </c>
      <c r="E501" s="1">
        <v>900</v>
      </c>
      <c r="F501">
        <v>15</v>
      </c>
      <c r="G501">
        <v>0</v>
      </c>
      <c r="H501">
        <v>75</v>
      </c>
      <c r="I501">
        <v>0</v>
      </c>
      <c r="J501">
        <v>0</v>
      </c>
      <c r="K501">
        <f t="shared" si="24"/>
        <v>75</v>
      </c>
      <c r="L501" s="1">
        <f t="shared" si="25"/>
        <v>0</v>
      </c>
      <c r="M501" s="1">
        <f t="shared" si="26"/>
        <v>67500</v>
      </c>
    </row>
    <row r="502" spans="1:13" customFormat="1" hidden="1" x14ac:dyDescent="0.3">
      <c r="A502" t="s">
        <v>2764</v>
      </c>
      <c r="B502" t="s">
        <v>2765</v>
      </c>
      <c r="C502" t="s">
        <v>211</v>
      </c>
      <c r="D502" t="s">
        <v>45</v>
      </c>
      <c r="E502" s="1">
        <v>4.7300000000000004</v>
      </c>
      <c r="F502">
        <v>126</v>
      </c>
      <c r="G502">
        <v>0</v>
      </c>
      <c r="H502">
        <v>630</v>
      </c>
      <c r="I502">
        <v>0</v>
      </c>
      <c r="J502">
        <v>0</v>
      </c>
      <c r="K502">
        <f t="shared" si="24"/>
        <v>630</v>
      </c>
      <c r="L502" s="1">
        <f t="shared" si="25"/>
        <v>0</v>
      </c>
      <c r="M502" s="1">
        <f t="shared" si="26"/>
        <v>2979.9</v>
      </c>
    </row>
    <row r="503" spans="1:13" customFormat="1" hidden="1" x14ac:dyDescent="0.3">
      <c r="A503" t="s">
        <v>2766</v>
      </c>
      <c r="B503" t="s">
        <v>2767</v>
      </c>
      <c r="D503" t="s">
        <v>45</v>
      </c>
      <c r="E503" s="1">
        <v>0</v>
      </c>
      <c r="F503">
        <v>1</v>
      </c>
      <c r="G503">
        <v>0</v>
      </c>
      <c r="H503">
        <v>2</v>
      </c>
      <c r="I503">
        <v>0</v>
      </c>
      <c r="J503">
        <v>0</v>
      </c>
      <c r="K503">
        <f t="shared" si="24"/>
        <v>2</v>
      </c>
      <c r="L503" s="1">
        <f t="shared" si="25"/>
        <v>0</v>
      </c>
      <c r="M503" s="1">
        <f t="shared" si="26"/>
        <v>0</v>
      </c>
    </row>
    <row r="504" spans="1:13" customFormat="1" hidden="1" x14ac:dyDescent="0.3">
      <c r="A504" t="s">
        <v>2768</v>
      </c>
      <c r="B504" t="s">
        <v>2769</v>
      </c>
      <c r="C504" t="s">
        <v>113</v>
      </c>
      <c r="D504" t="s">
        <v>45</v>
      </c>
      <c r="E504" s="1">
        <v>81.99</v>
      </c>
      <c r="F504">
        <v>1</v>
      </c>
      <c r="G504">
        <v>0</v>
      </c>
      <c r="H504">
        <v>5</v>
      </c>
      <c r="I504">
        <v>0</v>
      </c>
      <c r="J504">
        <v>0</v>
      </c>
      <c r="K504">
        <f t="shared" si="24"/>
        <v>5</v>
      </c>
      <c r="L504" s="1">
        <f t="shared" si="25"/>
        <v>0</v>
      </c>
      <c r="M504" s="1">
        <f t="shared" si="26"/>
        <v>409.95</v>
      </c>
    </row>
    <row r="505" spans="1:13" customFormat="1" hidden="1" x14ac:dyDescent="0.3">
      <c r="A505" t="s">
        <v>2770</v>
      </c>
      <c r="B505" t="s">
        <v>2771</v>
      </c>
      <c r="C505" t="s">
        <v>70</v>
      </c>
      <c r="D505" t="s">
        <v>45</v>
      </c>
      <c r="E505" s="1">
        <v>344</v>
      </c>
      <c r="F505">
        <v>3</v>
      </c>
      <c r="G505">
        <v>0</v>
      </c>
      <c r="H505">
        <v>11</v>
      </c>
      <c r="I505">
        <v>0</v>
      </c>
      <c r="J505">
        <v>0</v>
      </c>
      <c r="K505">
        <f t="shared" si="24"/>
        <v>11</v>
      </c>
      <c r="L505" s="1">
        <f t="shared" si="25"/>
        <v>0</v>
      </c>
      <c r="M505" s="1">
        <f t="shared" si="26"/>
        <v>3784</v>
      </c>
    </row>
    <row r="506" spans="1:13" customFormat="1" hidden="1" x14ac:dyDescent="0.3">
      <c r="A506" t="s">
        <v>2772</v>
      </c>
      <c r="B506" t="s">
        <v>2773</v>
      </c>
      <c r="C506" t="s">
        <v>252</v>
      </c>
      <c r="D506" t="s">
        <v>45</v>
      </c>
      <c r="E506" s="1">
        <v>1729</v>
      </c>
      <c r="F506">
        <v>2</v>
      </c>
      <c r="G506">
        <v>0</v>
      </c>
      <c r="H506">
        <v>8</v>
      </c>
      <c r="I506">
        <v>0</v>
      </c>
      <c r="J506">
        <v>0</v>
      </c>
      <c r="K506">
        <f t="shared" si="24"/>
        <v>8</v>
      </c>
      <c r="L506" s="1">
        <f t="shared" si="25"/>
        <v>0</v>
      </c>
      <c r="M506" s="1">
        <f t="shared" si="26"/>
        <v>13832</v>
      </c>
    </row>
    <row r="507" spans="1:13" customFormat="1" hidden="1" x14ac:dyDescent="0.3">
      <c r="A507" t="s">
        <v>2774</v>
      </c>
      <c r="B507" t="s">
        <v>2775</v>
      </c>
      <c r="C507" t="s">
        <v>1531</v>
      </c>
      <c r="D507" t="s">
        <v>45</v>
      </c>
      <c r="E507" s="1">
        <v>520.87</v>
      </c>
      <c r="F507">
        <v>1</v>
      </c>
      <c r="G507">
        <v>0</v>
      </c>
      <c r="H507">
        <v>2</v>
      </c>
      <c r="I507">
        <v>0</v>
      </c>
      <c r="J507">
        <v>0</v>
      </c>
      <c r="K507">
        <f t="shared" si="24"/>
        <v>2</v>
      </c>
      <c r="L507" s="1">
        <f t="shared" si="25"/>
        <v>0</v>
      </c>
      <c r="M507" s="1">
        <f t="shared" si="26"/>
        <v>1041.74</v>
      </c>
    </row>
    <row r="508" spans="1:13" customFormat="1" hidden="1" x14ac:dyDescent="0.3">
      <c r="A508" t="s">
        <v>2776</v>
      </c>
      <c r="B508" t="s">
        <v>2777</v>
      </c>
      <c r="C508" t="s">
        <v>1531</v>
      </c>
      <c r="D508" t="s">
        <v>45</v>
      </c>
      <c r="E508" s="1">
        <v>520.87</v>
      </c>
      <c r="F508">
        <v>2</v>
      </c>
      <c r="G508">
        <v>0</v>
      </c>
      <c r="H508">
        <v>8</v>
      </c>
      <c r="I508">
        <v>0</v>
      </c>
      <c r="J508">
        <v>0</v>
      </c>
      <c r="K508">
        <f t="shared" si="24"/>
        <v>8</v>
      </c>
      <c r="L508" s="1">
        <f t="shared" si="25"/>
        <v>0</v>
      </c>
      <c r="M508" s="1">
        <f t="shared" si="26"/>
        <v>4166.96</v>
      </c>
    </row>
    <row r="509" spans="1:13" customFormat="1" hidden="1" x14ac:dyDescent="0.3">
      <c r="A509" t="s">
        <v>2778</v>
      </c>
      <c r="B509" t="s">
        <v>2779</v>
      </c>
      <c r="C509" t="s">
        <v>1531</v>
      </c>
      <c r="D509" t="s">
        <v>45</v>
      </c>
      <c r="E509" s="1">
        <v>520.87</v>
      </c>
      <c r="F509">
        <v>1</v>
      </c>
      <c r="G509">
        <v>0</v>
      </c>
      <c r="H509">
        <v>2</v>
      </c>
      <c r="I509">
        <v>0</v>
      </c>
      <c r="J509">
        <v>0</v>
      </c>
      <c r="K509">
        <f t="shared" si="24"/>
        <v>2</v>
      </c>
      <c r="L509" s="1">
        <f t="shared" si="25"/>
        <v>0</v>
      </c>
      <c r="M509" s="1">
        <f t="shared" si="26"/>
        <v>1041.74</v>
      </c>
    </row>
    <row r="510" spans="1:13" customFormat="1" hidden="1" x14ac:dyDescent="0.3">
      <c r="A510" t="s">
        <v>2780</v>
      </c>
      <c r="B510" t="s">
        <v>2781</v>
      </c>
      <c r="C510" t="s">
        <v>1531</v>
      </c>
      <c r="D510" t="s">
        <v>45</v>
      </c>
      <c r="E510" s="1">
        <v>520.87</v>
      </c>
      <c r="F510">
        <v>2</v>
      </c>
      <c r="G510">
        <v>0</v>
      </c>
      <c r="H510">
        <v>10</v>
      </c>
      <c r="I510">
        <v>0</v>
      </c>
      <c r="J510">
        <v>0</v>
      </c>
      <c r="K510">
        <f t="shared" si="24"/>
        <v>10</v>
      </c>
      <c r="L510" s="1">
        <f t="shared" si="25"/>
        <v>0</v>
      </c>
      <c r="M510" s="1">
        <f t="shared" si="26"/>
        <v>5208.7</v>
      </c>
    </row>
    <row r="511" spans="1:13" customFormat="1" hidden="1" x14ac:dyDescent="0.3">
      <c r="A511" t="s">
        <v>2782</v>
      </c>
      <c r="B511" t="s">
        <v>2783</v>
      </c>
      <c r="C511" t="s">
        <v>1531</v>
      </c>
      <c r="D511" t="s">
        <v>45</v>
      </c>
      <c r="E511" s="1">
        <v>520.87</v>
      </c>
      <c r="F511">
        <v>1</v>
      </c>
      <c r="G511">
        <v>0</v>
      </c>
      <c r="H511">
        <v>2</v>
      </c>
      <c r="I511">
        <v>0</v>
      </c>
      <c r="J511">
        <v>0</v>
      </c>
      <c r="K511">
        <f t="shared" si="24"/>
        <v>2</v>
      </c>
      <c r="L511" s="1">
        <f t="shared" si="25"/>
        <v>0</v>
      </c>
      <c r="M511" s="1">
        <f t="shared" si="26"/>
        <v>1041.74</v>
      </c>
    </row>
    <row r="512" spans="1:13" customFormat="1" hidden="1" x14ac:dyDescent="0.3">
      <c r="A512" t="s">
        <v>2784</v>
      </c>
      <c r="B512" t="s">
        <v>2785</v>
      </c>
      <c r="D512" t="s">
        <v>45</v>
      </c>
      <c r="E512" s="1">
        <v>0</v>
      </c>
      <c r="F512">
        <v>1</v>
      </c>
      <c r="G512">
        <v>0</v>
      </c>
      <c r="H512">
        <v>2</v>
      </c>
      <c r="I512">
        <v>0</v>
      </c>
      <c r="J512">
        <v>0</v>
      </c>
      <c r="K512">
        <f t="shared" si="24"/>
        <v>2</v>
      </c>
      <c r="L512" s="1">
        <f t="shared" si="25"/>
        <v>0</v>
      </c>
      <c r="M512" s="1">
        <f t="shared" si="26"/>
        <v>0</v>
      </c>
    </row>
    <row r="513" spans="1:13" customFormat="1" hidden="1" x14ac:dyDescent="0.3">
      <c r="A513" t="s">
        <v>2786</v>
      </c>
      <c r="B513" t="s">
        <v>2787</v>
      </c>
      <c r="C513" t="s">
        <v>1848</v>
      </c>
      <c r="D513" t="s">
        <v>45</v>
      </c>
      <c r="E513" s="1">
        <v>2025</v>
      </c>
      <c r="F513">
        <v>1</v>
      </c>
      <c r="G513">
        <v>0</v>
      </c>
      <c r="H513">
        <v>2</v>
      </c>
      <c r="I513">
        <v>0</v>
      </c>
      <c r="J513">
        <v>0</v>
      </c>
      <c r="K513">
        <f t="shared" si="24"/>
        <v>2</v>
      </c>
      <c r="L513" s="1">
        <f t="shared" si="25"/>
        <v>0</v>
      </c>
      <c r="M513" s="1">
        <f t="shared" si="26"/>
        <v>4050</v>
      </c>
    </row>
    <row r="514" spans="1:13" customFormat="1" hidden="1" x14ac:dyDescent="0.3">
      <c r="A514" t="s">
        <v>2788</v>
      </c>
      <c r="B514" t="s">
        <v>2789</v>
      </c>
      <c r="C514" t="s">
        <v>2366</v>
      </c>
      <c r="D514" t="s">
        <v>45</v>
      </c>
      <c r="E514" s="1">
        <v>11999</v>
      </c>
      <c r="F514">
        <v>1</v>
      </c>
      <c r="G514">
        <v>0</v>
      </c>
      <c r="H514">
        <v>2</v>
      </c>
      <c r="I514">
        <v>0</v>
      </c>
      <c r="J514">
        <v>0</v>
      </c>
      <c r="K514">
        <f t="shared" si="24"/>
        <v>2</v>
      </c>
      <c r="L514" s="1">
        <f t="shared" si="25"/>
        <v>0</v>
      </c>
      <c r="M514" s="1">
        <f t="shared" si="26"/>
        <v>23998</v>
      </c>
    </row>
    <row r="515" spans="1:13" customFormat="1" hidden="1" x14ac:dyDescent="0.3">
      <c r="A515" t="s">
        <v>2790</v>
      </c>
      <c r="B515" t="s">
        <v>2791</v>
      </c>
      <c r="C515" t="s">
        <v>113</v>
      </c>
      <c r="D515" t="s">
        <v>45</v>
      </c>
      <c r="E515" s="1">
        <v>3230</v>
      </c>
      <c r="F515">
        <v>2</v>
      </c>
      <c r="G515">
        <v>0</v>
      </c>
      <c r="H515">
        <v>8</v>
      </c>
      <c r="I515">
        <v>0</v>
      </c>
      <c r="J515">
        <v>0</v>
      </c>
      <c r="K515">
        <f t="shared" si="24"/>
        <v>8</v>
      </c>
      <c r="L515" s="1">
        <f t="shared" si="25"/>
        <v>0</v>
      </c>
      <c r="M515" s="1">
        <f t="shared" si="26"/>
        <v>25840</v>
      </c>
    </row>
    <row r="516" spans="1:13" x14ac:dyDescent="0.3">
      <c r="A516" s="2" t="s">
        <v>2818</v>
      </c>
      <c r="B516" s="2" t="s">
        <v>2819</v>
      </c>
      <c r="C516" s="4" t="s">
        <v>73</v>
      </c>
      <c r="D516" s="6" t="s">
        <v>45</v>
      </c>
      <c r="E516" s="5">
        <v>4.97</v>
      </c>
      <c r="F516" s="4">
        <v>64</v>
      </c>
      <c r="G516" s="4">
        <v>0</v>
      </c>
      <c r="H516" s="4">
        <v>318</v>
      </c>
      <c r="I516" s="4">
        <v>0</v>
      </c>
      <c r="J516" s="4">
        <v>0</v>
      </c>
      <c r="K516" s="4">
        <f t="shared" si="24"/>
        <v>318</v>
      </c>
      <c r="L516" s="5">
        <f t="shared" si="25"/>
        <v>0</v>
      </c>
      <c r="M516" s="5">
        <f t="shared" si="26"/>
        <v>1580.4599999999998</v>
      </c>
    </row>
    <row r="517" spans="1:13" ht="43.2" x14ac:dyDescent="0.3">
      <c r="A517" s="2" t="s">
        <v>2857</v>
      </c>
      <c r="B517" s="2" t="s">
        <v>2857</v>
      </c>
      <c r="C517" s="4" t="s">
        <v>73</v>
      </c>
      <c r="D517" s="6" t="s">
        <v>45</v>
      </c>
      <c r="E517" s="5">
        <v>0.35</v>
      </c>
      <c r="F517" s="4">
        <v>61</v>
      </c>
      <c r="G517" s="4">
        <v>0</v>
      </c>
      <c r="H517" s="4">
        <v>306</v>
      </c>
      <c r="I517" s="4">
        <v>0</v>
      </c>
      <c r="J517" s="4">
        <v>0</v>
      </c>
      <c r="K517" s="4">
        <f t="shared" si="24"/>
        <v>306</v>
      </c>
      <c r="L517" s="5">
        <f t="shared" si="25"/>
        <v>0</v>
      </c>
      <c r="M517" s="5">
        <f t="shared" si="26"/>
        <v>107.1</v>
      </c>
    </row>
    <row r="518" spans="1:13" x14ac:dyDescent="0.3">
      <c r="A518" s="2" t="s">
        <v>1984</v>
      </c>
      <c r="B518" s="2" t="s">
        <v>1985</v>
      </c>
      <c r="C518" s="4" t="s">
        <v>73</v>
      </c>
      <c r="D518" s="6" t="s">
        <v>45</v>
      </c>
      <c r="E518" s="5">
        <v>0.4</v>
      </c>
      <c r="F518" s="4">
        <v>60</v>
      </c>
      <c r="G518" s="4">
        <v>0</v>
      </c>
      <c r="H518" s="4">
        <v>300</v>
      </c>
      <c r="I518" s="4">
        <v>0</v>
      </c>
      <c r="J518" s="4">
        <v>0</v>
      </c>
      <c r="K518" s="4">
        <f t="shared" si="24"/>
        <v>300</v>
      </c>
      <c r="L518" s="5">
        <f t="shared" si="25"/>
        <v>0</v>
      </c>
      <c r="M518" s="5">
        <f t="shared" si="26"/>
        <v>120</v>
      </c>
    </row>
    <row r="519" spans="1:13" x14ac:dyDescent="0.3">
      <c r="A519" s="2" t="s">
        <v>1990</v>
      </c>
      <c r="B519" s="2" t="s">
        <v>1991</v>
      </c>
      <c r="C519" s="4" t="s">
        <v>73</v>
      </c>
      <c r="D519" s="6" t="s">
        <v>45</v>
      </c>
      <c r="E519" s="5">
        <v>0.06</v>
      </c>
      <c r="F519" s="4">
        <v>60</v>
      </c>
      <c r="G519" s="4">
        <v>0</v>
      </c>
      <c r="H519" s="4">
        <v>300</v>
      </c>
      <c r="I519" s="4">
        <v>0</v>
      </c>
      <c r="J519" s="4">
        <v>0</v>
      </c>
      <c r="K519" s="4">
        <f t="shared" si="24"/>
        <v>300</v>
      </c>
      <c r="L519" s="5">
        <f t="shared" si="25"/>
        <v>0</v>
      </c>
      <c r="M519" s="5">
        <f t="shared" si="26"/>
        <v>18</v>
      </c>
    </row>
    <row r="520" spans="1:13" x14ac:dyDescent="0.3">
      <c r="A520" s="2" t="s">
        <v>1992</v>
      </c>
      <c r="B520" s="2" t="s">
        <v>1993</v>
      </c>
      <c r="C520" s="4" t="s">
        <v>73</v>
      </c>
      <c r="D520" s="6" t="s">
        <v>45</v>
      </c>
      <c r="E520" s="5">
        <v>0.15</v>
      </c>
      <c r="F520" s="4">
        <v>60</v>
      </c>
      <c r="G520" s="4">
        <v>0</v>
      </c>
      <c r="H520" s="4">
        <v>300</v>
      </c>
      <c r="I520" s="4">
        <v>0</v>
      </c>
      <c r="J520" s="4">
        <v>0</v>
      </c>
      <c r="K520" s="4">
        <f t="shared" si="24"/>
        <v>300</v>
      </c>
      <c r="L520" s="5">
        <f t="shared" si="25"/>
        <v>0</v>
      </c>
      <c r="M520" s="5">
        <f t="shared" si="26"/>
        <v>45</v>
      </c>
    </row>
    <row r="521" spans="1:13" x14ac:dyDescent="0.3">
      <c r="A521" s="2" t="s">
        <v>1994</v>
      </c>
      <c r="B521" s="2" t="s">
        <v>1995</v>
      </c>
      <c r="C521" s="4" t="s">
        <v>73</v>
      </c>
      <c r="D521" s="6" t="s">
        <v>45</v>
      </c>
      <c r="E521" s="5">
        <v>3</v>
      </c>
      <c r="F521" s="4">
        <v>60</v>
      </c>
      <c r="G521" s="4">
        <v>0</v>
      </c>
      <c r="H521" s="4">
        <v>300</v>
      </c>
      <c r="I521" s="4">
        <v>0</v>
      </c>
      <c r="J521" s="4">
        <v>0</v>
      </c>
      <c r="K521" s="4">
        <f t="shared" si="24"/>
        <v>300</v>
      </c>
      <c r="L521" s="5">
        <f t="shared" si="25"/>
        <v>0</v>
      </c>
      <c r="M521" s="5">
        <f t="shared" si="26"/>
        <v>900</v>
      </c>
    </row>
    <row r="522" spans="1:13" x14ac:dyDescent="0.3">
      <c r="A522" s="2" t="s">
        <v>1996</v>
      </c>
      <c r="B522" s="2" t="s">
        <v>1997</v>
      </c>
      <c r="C522" s="4" t="s">
        <v>73</v>
      </c>
      <c r="D522" s="6" t="s">
        <v>45</v>
      </c>
      <c r="E522" s="5">
        <v>4.5</v>
      </c>
      <c r="F522" s="4">
        <v>60</v>
      </c>
      <c r="G522" s="4">
        <v>0</v>
      </c>
      <c r="H522" s="4">
        <v>300</v>
      </c>
      <c r="I522" s="4">
        <v>0</v>
      </c>
      <c r="J522" s="4">
        <v>0</v>
      </c>
      <c r="K522" s="4">
        <f t="shared" si="24"/>
        <v>300</v>
      </c>
      <c r="L522" s="5">
        <f t="shared" si="25"/>
        <v>0</v>
      </c>
      <c r="M522" s="5">
        <f t="shared" si="26"/>
        <v>1350</v>
      </c>
    </row>
    <row r="523" spans="1:13" x14ac:dyDescent="0.3">
      <c r="A523" s="2" t="s">
        <v>2029</v>
      </c>
      <c r="B523" s="2" t="s">
        <v>2030</v>
      </c>
      <c r="C523" s="4" t="s">
        <v>73</v>
      </c>
      <c r="D523" s="6" t="s">
        <v>45</v>
      </c>
      <c r="E523" s="5">
        <v>1.5</v>
      </c>
      <c r="F523" s="4">
        <v>60</v>
      </c>
      <c r="G523" s="4">
        <v>0</v>
      </c>
      <c r="H523" s="4">
        <v>300</v>
      </c>
      <c r="I523" s="4">
        <v>0</v>
      </c>
      <c r="J523" s="4">
        <v>0</v>
      </c>
      <c r="K523" s="4">
        <f t="shared" si="24"/>
        <v>300</v>
      </c>
      <c r="L523" s="5">
        <f t="shared" si="25"/>
        <v>0</v>
      </c>
      <c r="M523" s="5">
        <f t="shared" si="26"/>
        <v>450</v>
      </c>
    </row>
    <row r="524" spans="1:13" x14ac:dyDescent="0.3">
      <c r="A524" s="2" t="s">
        <v>2824</v>
      </c>
      <c r="B524" s="2" t="s">
        <v>2825</v>
      </c>
      <c r="C524" s="4" t="s">
        <v>73</v>
      </c>
      <c r="D524" s="6" t="s">
        <v>45</v>
      </c>
      <c r="E524" s="5">
        <v>3</v>
      </c>
      <c r="F524" s="4">
        <v>56</v>
      </c>
      <c r="G524" s="4">
        <v>0</v>
      </c>
      <c r="H524" s="4">
        <v>282</v>
      </c>
      <c r="I524" s="4">
        <v>0</v>
      </c>
      <c r="J524" s="4">
        <v>0</v>
      </c>
      <c r="K524" s="4">
        <f t="shared" si="24"/>
        <v>282</v>
      </c>
      <c r="L524" s="5">
        <f t="shared" si="25"/>
        <v>0</v>
      </c>
      <c r="M524" s="5">
        <f t="shared" si="26"/>
        <v>846</v>
      </c>
    </row>
    <row r="525" spans="1:13" ht="28.8" x14ac:dyDescent="0.3">
      <c r="A525" s="2" t="s">
        <v>2873</v>
      </c>
      <c r="B525" s="2" t="s">
        <v>2873</v>
      </c>
      <c r="C525" s="4" t="s">
        <v>73</v>
      </c>
      <c r="D525" s="6" t="s">
        <v>45</v>
      </c>
      <c r="E525" s="5">
        <v>0.3</v>
      </c>
      <c r="F525" s="4">
        <v>54</v>
      </c>
      <c r="G525" s="4">
        <v>0</v>
      </c>
      <c r="H525" s="4">
        <v>270</v>
      </c>
      <c r="I525" s="4">
        <v>0</v>
      </c>
      <c r="J525" s="4">
        <v>0</v>
      </c>
      <c r="K525" s="4">
        <f t="shared" si="24"/>
        <v>270</v>
      </c>
      <c r="L525" s="5">
        <f t="shared" si="25"/>
        <v>0</v>
      </c>
      <c r="M525" s="5">
        <f t="shared" si="26"/>
        <v>81</v>
      </c>
    </row>
    <row r="526" spans="1:13" x14ac:dyDescent="0.3">
      <c r="A526" s="2" t="s">
        <v>2798</v>
      </c>
      <c r="B526" s="2" t="s">
        <v>2799</v>
      </c>
      <c r="C526" s="4" t="s">
        <v>73</v>
      </c>
      <c r="D526" s="6" t="s">
        <v>45</v>
      </c>
      <c r="E526" s="5">
        <v>1.88</v>
      </c>
      <c r="F526" s="4">
        <v>52</v>
      </c>
      <c r="G526" s="4">
        <v>0</v>
      </c>
      <c r="H526" s="4">
        <v>259</v>
      </c>
      <c r="I526" s="4">
        <v>0</v>
      </c>
      <c r="J526" s="4">
        <v>0</v>
      </c>
      <c r="K526" s="4">
        <f t="shared" ref="K526:K589" si="27">IF(H526-I526-J526&gt;0,H526-I526-J526,0)</f>
        <v>259</v>
      </c>
      <c r="L526" s="5">
        <f t="shared" ref="L526:L589" si="28">IFERROR(I526*E526,0)</f>
        <v>0</v>
      </c>
      <c r="M526" s="5">
        <f t="shared" ref="M526:M589" si="29">IFERROR(K526*E526,0)</f>
        <v>486.91999999999996</v>
      </c>
    </row>
    <row r="527" spans="1:13" x14ac:dyDescent="0.3">
      <c r="A527" s="2" t="s">
        <v>1949</v>
      </c>
      <c r="B527" s="2" t="s">
        <v>1950</v>
      </c>
      <c r="C527" s="4" t="s">
        <v>73</v>
      </c>
      <c r="D527" s="6" t="s">
        <v>45</v>
      </c>
      <c r="E527" s="5">
        <v>0.5</v>
      </c>
      <c r="F527" s="4">
        <v>50</v>
      </c>
      <c r="G527" s="4">
        <v>0</v>
      </c>
      <c r="H527" s="4">
        <v>250</v>
      </c>
      <c r="I527" s="4">
        <v>0</v>
      </c>
      <c r="J527" s="4">
        <v>0</v>
      </c>
      <c r="K527" s="4">
        <f t="shared" si="27"/>
        <v>250</v>
      </c>
      <c r="L527" s="5">
        <f t="shared" si="28"/>
        <v>0</v>
      </c>
      <c r="M527" s="5">
        <f t="shared" si="29"/>
        <v>125</v>
      </c>
    </row>
    <row r="528" spans="1:13" x14ac:dyDescent="0.3">
      <c r="A528" s="2" t="s">
        <v>1951</v>
      </c>
      <c r="B528" s="2" t="s">
        <v>1952</v>
      </c>
      <c r="C528" s="4" t="s">
        <v>73</v>
      </c>
      <c r="D528" s="6" t="s">
        <v>45</v>
      </c>
      <c r="E528" s="5">
        <v>0.8</v>
      </c>
      <c r="F528" s="4">
        <v>50</v>
      </c>
      <c r="G528" s="4">
        <v>0</v>
      </c>
      <c r="H528" s="4">
        <v>250</v>
      </c>
      <c r="I528" s="4">
        <v>0</v>
      </c>
      <c r="J528" s="4">
        <v>0</v>
      </c>
      <c r="K528" s="4">
        <f t="shared" si="27"/>
        <v>250</v>
      </c>
      <c r="L528" s="5">
        <f t="shared" si="28"/>
        <v>0</v>
      </c>
      <c r="M528" s="5">
        <f t="shared" si="29"/>
        <v>200</v>
      </c>
    </row>
    <row r="529" spans="1:13" x14ac:dyDescent="0.3">
      <c r="A529" s="2" t="s">
        <v>1953</v>
      </c>
      <c r="B529" s="2" t="s">
        <v>1954</v>
      </c>
      <c r="C529" s="4" t="s">
        <v>73</v>
      </c>
      <c r="D529" s="6" t="s">
        <v>45</v>
      </c>
      <c r="E529" s="5">
        <v>1.8</v>
      </c>
      <c r="F529" s="4">
        <v>50</v>
      </c>
      <c r="G529" s="4">
        <v>0</v>
      </c>
      <c r="H529" s="4">
        <v>250</v>
      </c>
      <c r="I529" s="4">
        <v>0</v>
      </c>
      <c r="J529" s="4">
        <v>0</v>
      </c>
      <c r="K529" s="4">
        <f t="shared" si="27"/>
        <v>250</v>
      </c>
      <c r="L529" s="5">
        <f t="shared" si="28"/>
        <v>0</v>
      </c>
      <c r="M529" s="5">
        <f t="shared" si="29"/>
        <v>450</v>
      </c>
    </row>
    <row r="530" spans="1:13" ht="28.8" x14ac:dyDescent="0.3">
      <c r="A530" s="2" t="s">
        <v>2856</v>
      </c>
      <c r="B530" s="2" t="s">
        <v>2856</v>
      </c>
      <c r="C530" s="4" t="s">
        <v>73</v>
      </c>
      <c r="D530" s="6" t="s">
        <v>45</v>
      </c>
      <c r="E530" s="5">
        <v>0.15</v>
      </c>
      <c r="F530" s="4">
        <v>46</v>
      </c>
      <c r="G530" s="4">
        <v>0</v>
      </c>
      <c r="H530" s="4">
        <v>228</v>
      </c>
      <c r="I530" s="4">
        <v>0</v>
      </c>
      <c r="J530" s="4">
        <v>0</v>
      </c>
      <c r="K530" s="4">
        <f t="shared" si="27"/>
        <v>228</v>
      </c>
      <c r="L530" s="5">
        <f t="shared" si="28"/>
        <v>0</v>
      </c>
      <c r="M530" s="5">
        <f t="shared" si="29"/>
        <v>34.199999999999996</v>
      </c>
    </row>
    <row r="531" spans="1:13" x14ac:dyDescent="0.3">
      <c r="A531" s="2" t="s">
        <v>1926</v>
      </c>
      <c r="B531" s="2" t="s">
        <v>1927</v>
      </c>
      <c r="C531" s="4" t="s">
        <v>73</v>
      </c>
      <c r="D531" s="6" t="s">
        <v>45</v>
      </c>
      <c r="E531" s="5">
        <v>0.2</v>
      </c>
      <c r="F531" s="4">
        <v>44</v>
      </c>
      <c r="G531" s="4">
        <v>0</v>
      </c>
      <c r="H531" s="4">
        <v>218</v>
      </c>
      <c r="I531" s="4">
        <v>0</v>
      </c>
      <c r="J531" s="4">
        <v>0</v>
      </c>
      <c r="K531" s="4">
        <f t="shared" si="27"/>
        <v>218</v>
      </c>
      <c r="L531" s="5">
        <f t="shared" si="28"/>
        <v>0</v>
      </c>
      <c r="M531" s="5">
        <f t="shared" si="29"/>
        <v>43.6</v>
      </c>
    </row>
    <row r="532" spans="1:13" ht="43.2" x14ac:dyDescent="0.3">
      <c r="A532" s="2" t="s">
        <v>2792</v>
      </c>
      <c r="B532" s="2" t="s">
        <v>2792</v>
      </c>
      <c r="C532" s="4" t="s">
        <v>73</v>
      </c>
      <c r="D532" s="6" t="s">
        <v>45</v>
      </c>
      <c r="E532" s="5">
        <v>0.65</v>
      </c>
      <c r="F532" s="4">
        <v>43</v>
      </c>
      <c r="G532" s="4">
        <v>0</v>
      </c>
      <c r="H532" s="4">
        <v>214</v>
      </c>
      <c r="I532" s="4">
        <v>0</v>
      </c>
      <c r="J532" s="4">
        <v>0</v>
      </c>
      <c r="K532" s="4">
        <f t="shared" si="27"/>
        <v>214</v>
      </c>
      <c r="L532" s="5">
        <f t="shared" si="28"/>
        <v>0</v>
      </c>
      <c r="M532" s="5">
        <f t="shared" si="29"/>
        <v>139.1</v>
      </c>
    </row>
    <row r="533" spans="1:13" x14ac:dyDescent="0.3">
      <c r="A533" s="2" t="s">
        <v>2820</v>
      </c>
      <c r="B533" s="2" t="s">
        <v>2821</v>
      </c>
      <c r="C533" s="4" t="s">
        <v>73</v>
      </c>
      <c r="D533" s="6" t="s">
        <v>45</v>
      </c>
      <c r="E533" s="5">
        <v>6.42</v>
      </c>
      <c r="F533" s="4">
        <v>43</v>
      </c>
      <c r="G533" s="4">
        <v>0</v>
      </c>
      <c r="H533" s="4">
        <v>214</v>
      </c>
      <c r="I533" s="4">
        <v>0</v>
      </c>
      <c r="J533" s="4">
        <v>0</v>
      </c>
      <c r="K533" s="4">
        <f t="shared" si="27"/>
        <v>214</v>
      </c>
      <c r="L533" s="5">
        <f t="shared" si="28"/>
        <v>0</v>
      </c>
      <c r="M533" s="5">
        <f t="shared" si="29"/>
        <v>1373.8799999999999</v>
      </c>
    </row>
    <row r="534" spans="1:13" ht="28.8" x14ac:dyDescent="0.3">
      <c r="A534" s="2" t="s">
        <v>1983</v>
      </c>
      <c r="B534" s="2" t="s">
        <v>1983</v>
      </c>
      <c r="C534" s="4" t="s">
        <v>73</v>
      </c>
      <c r="D534" s="6" t="s">
        <v>45</v>
      </c>
      <c r="E534" s="5">
        <v>0.93</v>
      </c>
      <c r="F534" s="4">
        <v>43</v>
      </c>
      <c r="G534" s="4">
        <v>0</v>
      </c>
      <c r="H534" s="4">
        <v>214</v>
      </c>
      <c r="I534" s="4">
        <v>0</v>
      </c>
      <c r="J534" s="4">
        <v>0</v>
      </c>
      <c r="K534" s="4">
        <f t="shared" si="27"/>
        <v>214</v>
      </c>
      <c r="L534" s="5">
        <f t="shared" si="28"/>
        <v>0</v>
      </c>
      <c r="M534" s="5">
        <f t="shared" si="29"/>
        <v>199.02</v>
      </c>
    </row>
    <row r="535" spans="1:13" ht="43.2" x14ac:dyDescent="0.3">
      <c r="A535" s="2" t="s">
        <v>1965</v>
      </c>
      <c r="B535" s="2" t="s">
        <v>1965</v>
      </c>
      <c r="C535" s="4" t="s">
        <v>73</v>
      </c>
      <c r="D535" s="6" t="s">
        <v>45</v>
      </c>
      <c r="E535" s="5">
        <v>3</v>
      </c>
      <c r="F535" s="4">
        <v>48</v>
      </c>
      <c r="G535" s="4">
        <v>0</v>
      </c>
      <c r="H535" s="4">
        <v>208</v>
      </c>
      <c r="I535" s="4">
        <v>0</v>
      </c>
      <c r="J535" s="4">
        <v>0</v>
      </c>
      <c r="K535" s="4">
        <f t="shared" si="27"/>
        <v>208</v>
      </c>
      <c r="L535" s="5">
        <f t="shared" si="28"/>
        <v>0</v>
      </c>
      <c r="M535" s="5">
        <f t="shared" si="29"/>
        <v>624</v>
      </c>
    </row>
    <row r="536" spans="1:13" x14ac:dyDescent="0.3">
      <c r="A536" s="2" t="s">
        <v>1998</v>
      </c>
      <c r="B536" s="2" t="s">
        <v>1999</v>
      </c>
      <c r="C536" s="4" t="s">
        <v>73</v>
      </c>
      <c r="D536" s="6" t="s">
        <v>45</v>
      </c>
      <c r="E536" s="5">
        <v>45</v>
      </c>
      <c r="F536" s="4">
        <v>40</v>
      </c>
      <c r="G536" s="4">
        <v>0</v>
      </c>
      <c r="H536" s="4">
        <v>200</v>
      </c>
      <c r="I536" s="4">
        <v>0</v>
      </c>
      <c r="J536" s="4">
        <v>0</v>
      </c>
      <c r="K536" s="4">
        <f t="shared" si="27"/>
        <v>200</v>
      </c>
      <c r="L536" s="5">
        <f t="shared" si="28"/>
        <v>0</v>
      </c>
      <c r="M536" s="5">
        <f t="shared" si="29"/>
        <v>9000</v>
      </c>
    </row>
    <row r="537" spans="1:13" ht="43.2" x14ac:dyDescent="0.3">
      <c r="A537" s="2" t="s">
        <v>2800</v>
      </c>
      <c r="B537" s="2" t="s">
        <v>2800</v>
      </c>
      <c r="C537" s="4" t="s">
        <v>73</v>
      </c>
      <c r="D537" s="6" t="s">
        <v>45</v>
      </c>
      <c r="E537" s="5">
        <v>1.8</v>
      </c>
      <c r="F537" s="4">
        <v>36</v>
      </c>
      <c r="G537" s="4">
        <v>0</v>
      </c>
      <c r="H537" s="4">
        <v>181</v>
      </c>
      <c r="I537" s="4">
        <v>0</v>
      </c>
      <c r="J537" s="4">
        <v>0</v>
      </c>
      <c r="K537" s="4">
        <f t="shared" si="27"/>
        <v>181</v>
      </c>
      <c r="L537" s="5">
        <f t="shared" si="28"/>
        <v>0</v>
      </c>
      <c r="M537" s="5">
        <f t="shared" si="29"/>
        <v>325.8</v>
      </c>
    </row>
    <row r="538" spans="1:13" ht="28.8" x14ac:dyDescent="0.3">
      <c r="A538" s="2" t="s">
        <v>2844</v>
      </c>
      <c r="B538" s="2" t="s">
        <v>2845</v>
      </c>
      <c r="C538" s="4" t="s">
        <v>73</v>
      </c>
      <c r="D538" s="6" t="s">
        <v>45</v>
      </c>
      <c r="E538" s="5">
        <v>18.05</v>
      </c>
      <c r="F538" s="4">
        <v>36</v>
      </c>
      <c r="G538" s="4">
        <v>0</v>
      </c>
      <c r="H538" s="4">
        <v>181</v>
      </c>
      <c r="I538" s="4">
        <v>0</v>
      </c>
      <c r="J538" s="4">
        <v>0</v>
      </c>
      <c r="K538" s="4">
        <f t="shared" si="27"/>
        <v>181</v>
      </c>
      <c r="L538" s="5">
        <f t="shared" si="28"/>
        <v>0</v>
      </c>
      <c r="M538" s="5">
        <f t="shared" si="29"/>
        <v>3267.05</v>
      </c>
    </row>
    <row r="539" spans="1:13" x14ac:dyDescent="0.3">
      <c r="A539" s="2" t="s">
        <v>2031</v>
      </c>
      <c r="B539" s="2" t="s">
        <v>2032</v>
      </c>
      <c r="C539" s="4" t="s">
        <v>73</v>
      </c>
      <c r="D539" s="6" t="s">
        <v>45</v>
      </c>
      <c r="E539" s="5">
        <v>1.88</v>
      </c>
      <c r="F539" s="4">
        <v>34</v>
      </c>
      <c r="G539" s="4">
        <v>0</v>
      </c>
      <c r="H539" s="4">
        <v>170</v>
      </c>
      <c r="I539" s="4">
        <v>0</v>
      </c>
      <c r="J539" s="4">
        <v>0</v>
      </c>
      <c r="K539" s="4">
        <f t="shared" si="27"/>
        <v>170</v>
      </c>
      <c r="L539" s="5">
        <f t="shared" si="28"/>
        <v>0</v>
      </c>
      <c r="M539" s="5">
        <f t="shared" si="29"/>
        <v>319.59999999999997</v>
      </c>
    </row>
    <row r="540" spans="1:13" ht="43.2" x14ac:dyDescent="0.3">
      <c r="A540" s="2" t="s">
        <v>2848</v>
      </c>
      <c r="B540" s="2" t="s">
        <v>2848</v>
      </c>
      <c r="C540" s="4" t="s">
        <v>73</v>
      </c>
      <c r="D540" s="6" t="s">
        <v>45</v>
      </c>
      <c r="E540" s="5">
        <v>6</v>
      </c>
      <c r="F540" s="4">
        <v>32</v>
      </c>
      <c r="G540" s="4">
        <v>0</v>
      </c>
      <c r="H540" s="4">
        <v>160</v>
      </c>
      <c r="I540" s="4">
        <v>0</v>
      </c>
      <c r="J540" s="4">
        <v>0</v>
      </c>
      <c r="K540" s="4">
        <f t="shared" si="27"/>
        <v>160</v>
      </c>
      <c r="L540" s="5">
        <f t="shared" si="28"/>
        <v>0</v>
      </c>
      <c r="M540" s="5">
        <f t="shared" si="29"/>
        <v>960</v>
      </c>
    </row>
    <row r="541" spans="1:13" x14ac:dyDescent="0.3">
      <c r="A541" s="2" t="s">
        <v>1974</v>
      </c>
      <c r="B541" s="2" t="s">
        <v>1975</v>
      </c>
      <c r="C541" s="4" t="s">
        <v>73</v>
      </c>
      <c r="D541" s="6" t="s">
        <v>45</v>
      </c>
      <c r="E541" s="5">
        <v>20</v>
      </c>
      <c r="F541" s="4">
        <v>30</v>
      </c>
      <c r="G541" s="4">
        <v>0</v>
      </c>
      <c r="H541" s="4">
        <v>150</v>
      </c>
      <c r="I541" s="4">
        <v>0</v>
      </c>
      <c r="J541" s="4">
        <v>0</v>
      </c>
      <c r="K541" s="4">
        <f t="shared" si="27"/>
        <v>150</v>
      </c>
      <c r="L541" s="5">
        <f t="shared" si="28"/>
        <v>0</v>
      </c>
      <c r="M541" s="5">
        <f t="shared" si="29"/>
        <v>3000</v>
      </c>
    </row>
    <row r="542" spans="1:13" x14ac:dyDescent="0.3">
      <c r="A542" s="2" t="s">
        <v>2874</v>
      </c>
      <c r="B542" s="2" t="s">
        <v>2875</v>
      </c>
      <c r="C542" s="4" t="s">
        <v>73</v>
      </c>
      <c r="D542" s="6" t="s">
        <v>45</v>
      </c>
      <c r="E542" s="5">
        <v>0.4</v>
      </c>
      <c r="F542" s="4">
        <v>29</v>
      </c>
      <c r="G542" s="4">
        <v>0</v>
      </c>
      <c r="H542" s="4">
        <v>146</v>
      </c>
      <c r="I542" s="4">
        <v>0</v>
      </c>
      <c r="J542" s="4">
        <v>0</v>
      </c>
      <c r="K542" s="4">
        <f t="shared" si="27"/>
        <v>146</v>
      </c>
      <c r="L542" s="5">
        <f t="shared" si="28"/>
        <v>0</v>
      </c>
      <c r="M542" s="5">
        <f t="shared" si="29"/>
        <v>58.400000000000006</v>
      </c>
    </row>
    <row r="543" spans="1:13" ht="43.2" x14ac:dyDescent="0.3">
      <c r="A543" s="2" t="s">
        <v>2866</v>
      </c>
      <c r="B543" s="2" t="s">
        <v>2866</v>
      </c>
      <c r="C543" s="4" t="s">
        <v>73</v>
      </c>
      <c r="D543" s="6" t="s">
        <v>45</v>
      </c>
      <c r="E543" s="5">
        <v>0.59</v>
      </c>
      <c r="F543" s="4">
        <v>28</v>
      </c>
      <c r="G543" s="4">
        <v>0</v>
      </c>
      <c r="H543" s="4">
        <v>140</v>
      </c>
      <c r="I543" s="4">
        <v>0</v>
      </c>
      <c r="J543" s="4">
        <v>0</v>
      </c>
      <c r="K543" s="4">
        <f t="shared" si="27"/>
        <v>140</v>
      </c>
      <c r="L543" s="5">
        <f t="shared" si="28"/>
        <v>0</v>
      </c>
      <c r="M543" s="5">
        <f t="shared" si="29"/>
        <v>82.6</v>
      </c>
    </row>
    <row r="544" spans="1:13" x14ac:dyDescent="0.3">
      <c r="A544" s="2" t="s">
        <v>2808</v>
      </c>
      <c r="B544" s="2" t="s">
        <v>2809</v>
      </c>
      <c r="C544" s="4" t="s">
        <v>73</v>
      </c>
      <c r="D544" s="6" t="s">
        <v>45</v>
      </c>
      <c r="E544" s="5">
        <v>4.33</v>
      </c>
      <c r="F544" s="4">
        <v>25</v>
      </c>
      <c r="G544" s="4">
        <v>0</v>
      </c>
      <c r="H544" s="4">
        <v>125</v>
      </c>
      <c r="I544" s="4">
        <v>0</v>
      </c>
      <c r="J544" s="4">
        <v>0</v>
      </c>
      <c r="K544" s="4">
        <f t="shared" si="27"/>
        <v>125</v>
      </c>
      <c r="L544" s="5">
        <f t="shared" si="28"/>
        <v>0</v>
      </c>
      <c r="M544" s="5">
        <f t="shared" si="29"/>
        <v>541.25</v>
      </c>
    </row>
    <row r="545" spans="1:13" x14ac:dyDescent="0.3">
      <c r="A545" s="2" t="s">
        <v>2827</v>
      </c>
      <c r="B545" s="2" t="s">
        <v>2828</v>
      </c>
      <c r="C545" s="4" t="s">
        <v>73</v>
      </c>
      <c r="D545" s="6" t="s">
        <v>45</v>
      </c>
      <c r="E545" s="5">
        <v>3</v>
      </c>
      <c r="F545" s="4">
        <v>24</v>
      </c>
      <c r="G545" s="4">
        <v>0</v>
      </c>
      <c r="H545" s="4">
        <v>122</v>
      </c>
      <c r="I545" s="4">
        <v>0</v>
      </c>
      <c r="J545" s="4">
        <v>0</v>
      </c>
      <c r="K545" s="4">
        <f t="shared" si="27"/>
        <v>122</v>
      </c>
      <c r="L545" s="5">
        <f t="shared" si="28"/>
        <v>0</v>
      </c>
      <c r="M545" s="5">
        <f t="shared" si="29"/>
        <v>366</v>
      </c>
    </row>
    <row r="546" spans="1:13" ht="43.2" x14ac:dyDescent="0.3">
      <c r="A546" s="2" t="s">
        <v>2878</v>
      </c>
      <c r="B546" s="2" t="s">
        <v>2878</v>
      </c>
      <c r="C546" s="4" t="s">
        <v>73</v>
      </c>
      <c r="D546" s="6" t="s">
        <v>45</v>
      </c>
      <c r="E546" s="5">
        <v>1</v>
      </c>
      <c r="F546" s="4">
        <v>24</v>
      </c>
      <c r="G546" s="4">
        <v>0</v>
      </c>
      <c r="H546" s="4">
        <v>119</v>
      </c>
      <c r="I546" s="4">
        <v>0</v>
      </c>
      <c r="J546" s="4">
        <v>0</v>
      </c>
      <c r="K546" s="4">
        <f t="shared" si="27"/>
        <v>119</v>
      </c>
      <c r="L546" s="5">
        <f t="shared" si="28"/>
        <v>0</v>
      </c>
      <c r="M546" s="5">
        <f t="shared" si="29"/>
        <v>119</v>
      </c>
    </row>
    <row r="547" spans="1:13" x14ac:dyDescent="0.3">
      <c r="A547" s="2" t="s">
        <v>2043</v>
      </c>
      <c r="B547" s="2" t="s">
        <v>2044</v>
      </c>
      <c r="C547" s="4" t="s">
        <v>73</v>
      </c>
      <c r="D547" s="6" t="s">
        <v>45</v>
      </c>
      <c r="E547" s="5">
        <v>1</v>
      </c>
      <c r="F547" s="4">
        <v>23</v>
      </c>
      <c r="G547" s="4">
        <v>0</v>
      </c>
      <c r="H547" s="4">
        <v>114</v>
      </c>
      <c r="I547" s="4">
        <v>0</v>
      </c>
      <c r="J547" s="4">
        <v>0</v>
      </c>
      <c r="K547" s="4">
        <f t="shared" si="27"/>
        <v>114</v>
      </c>
      <c r="L547" s="5">
        <f t="shared" si="28"/>
        <v>0</v>
      </c>
      <c r="M547" s="5">
        <f t="shared" si="29"/>
        <v>114</v>
      </c>
    </row>
    <row r="548" spans="1:13" x14ac:dyDescent="0.3">
      <c r="A548" s="2" t="s">
        <v>2804</v>
      </c>
      <c r="B548" s="2" t="s">
        <v>2805</v>
      </c>
      <c r="C548" s="4" t="s">
        <v>73</v>
      </c>
      <c r="D548" s="6" t="s">
        <v>45</v>
      </c>
      <c r="E548" s="5">
        <v>1.8</v>
      </c>
      <c r="F548" s="4">
        <v>22</v>
      </c>
      <c r="G548" s="4">
        <v>0</v>
      </c>
      <c r="H548" s="4">
        <v>112</v>
      </c>
      <c r="I548" s="4">
        <v>0</v>
      </c>
      <c r="J548" s="4">
        <v>0</v>
      </c>
      <c r="K548" s="4">
        <f t="shared" si="27"/>
        <v>112</v>
      </c>
      <c r="L548" s="5">
        <f t="shared" si="28"/>
        <v>0</v>
      </c>
      <c r="M548" s="5">
        <f t="shared" si="29"/>
        <v>201.6</v>
      </c>
    </row>
    <row r="549" spans="1:13" ht="43.2" x14ac:dyDescent="0.3">
      <c r="A549" s="2" t="s">
        <v>2870</v>
      </c>
      <c r="B549" s="2" t="s">
        <v>2870</v>
      </c>
      <c r="C549" s="4" t="s">
        <v>73</v>
      </c>
      <c r="D549" s="6" t="s">
        <v>45</v>
      </c>
      <c r="E549" s="5">
        <v>1.8</v>
      </c>
      <c r="F549" s="4">
        <v>22</v>
      </c>
      <c r="G549" s="4">
        <v>0</v>
      </c>
      <c r="H549" s="4">
        <v>112</v>
      </c>
      <c r="I549" s="4">
        <v>0</v>
      </c>
      <c r="J549" s="4">
        <v>0</v>
      </c>
      <c r="K549" s="4">
        <f t="shared" si="27"/>
        <v>112</v>
      </c>
      <c r="L549" s="5">
        <f t="shared" si="28"/>
        <v>0</v>
      </c>
      <c r="M549" s="5">
        <f t="shared" si="29"/>
        <v>201.6</v>
      </c>
    </row>
    <row r="550" spans="1:13" ht="28.8" x14ac:dyDescent="0.3">
      <c r="A550" s="2" t="s">
        <v>2864</v>
      </c>
      <c r="B550" s="2" t="s">
        <v>2864</v>
      </c>
      <c r="C550" s="4" t="s">
        <v>73</v>
      </c>
      <c r="D550" s="6" t="s">
        <v>45</v>
      </c>
      <c r="E550" s="5">
        <v>0.12</v>
      </c>
      <c r="F550" s="4">
        <v>22</v>
      </c>
      <c r="G550" s="4">
        <v>0</v>
      </c>
      <c r="H550" s="4">
        <v>111</v>
      </c>
      <c r="I550" s="4">
        <v>0</v>
      </c>
      <c r="J550" s="4">
        <v>0</v>
      </c>
      <c r="K550" s="4">
        <f t="shared" si="27"/>
        <v>111</v>
      </c>
      <c r="L550" s="5">
        <f t="shared" si="28"/>
        <v>0</v>
      </c>
      <c r="M550" s="5">
        <f t="shared" si="29"/>
        <v>13.32</v>
      </c>
    </row>
    <row r="551" spans="1:13" ht="28.8" x14ac:dyDescent="0.3">
      <c r="A551" s="2" t="s">
        <v>2869</v>
      </c>
      <c r="B551" s="2" t="s">
        <v>2869</v>
      </c>
      <c r="C551" s="4" t="s">
        <v>73</v>
      </c>
      <c r="D551" s="6" t="s">
        <v>45</v>
      </c>
      <c r="E551" s="5">
        <v>0.91</v>
      </c>
      <c r="F551" s="4">
        <v>22</v>
      </c>
      <c r="G551" s="4">
        <v>0</v>
      </c>
      <c r="H551" s="4">
        <v>111</v>
      </c>
      <c r="I551" s="4">
        <v>0</v>
      </c>
      <c r="J551" s="4">
        <v>0</v>
      </c>
      <c r="K551" s="4">
        <f t="shared" si="27"/>
        <v>111</v>
      </c>
      <c r="L551" s="5">
        <f t="shared" si="28"/>
        <v>0</v>
      </c>
      <c r="M551" s="5">
        <f t="shared" si="29"/>
        <v>101.01</v>
      </c>
    </row>
    <row r="552" spans="1:13" x14ac:dyDescent="0.3">
      <c r="A552" s="2" t="s">
        <v>2035</v>
      </c>
      <c r="B552" s="2" t="s">
        <v>2036</v>
      </c>
      <c r="C552" s="4" t="s">
        <v>73</v>
      </c>
      <c r="D552" s="6" t="s">
        <v>45</v>
      </c>
      <c r="E552" s="5">
        <v>0.9</v>
      </c>
      <c r="F552" s="4">
        <v>20</v>
      </c>
      <c r="G552" s="4">
        <v>0</v>
      </c>
      <c r="H552" s="4">
        <v>100</v>
      </c>
      <c r="I552" s="4">
        <v>0</v>
      </c>
      <c r="J552" s="4">
        <v>0</v>
      </c>
      <c r="K552" s="4">
        <f t="shared" si="27"/>
        <v>100</v>
      </c>
      <c r="L552" s="5">
        <f t="shared" si="28"/>
        <v>0</v>
      </c>
      <c r="M552" s="5">
        <f t="shared" si="29"/>
        <v>90</v>
      </c>
    </row>
    <row r="553" spans="1:13" x14ac:dyDescent="0.3">
      <c r="A553" s="2" t="s">
        <v>1972</v>
      </c>
      <c r="B553" s="2" t="s">
        <v>1973</v>
      </c>
      <c r="C553" s="4" t="s">
        <v>73</v>
      </c>
      <c r="D553" s="6" t="s">
        <v>45</v>
      </c>
      <c r="E553" s="5">
        <v>18</v>
      </c>
      <c r="F553" s="4">
        <v>17</v>
      </c>
      <c r="G553" s="4">
        <v>0</v>
      </c>
      <c r="H553" s="4">
        <v>84</v>
      </c>
      <c r="I553" s="4">
        <v>0</v>
      </c>
      <c r="J553" s="4">
        <v>0</v>
      </c>
      <c r="K553" s="4">
        <f t="shared" si="27"/>
        <v>84</v>
      </c>
      <c r="L553" s="5">
        <f t="shared" si="28"/>
        <v>0</v>
      </c>
      <c r="M553" s="5">
        <f t="shared" si="29"/>
        <v>1512</v>
      </c>
    </row>
    <row r="554" spans="1:13" ht="57.6" x14ac:dyDescent="0.3">
      <c r="A554" s="2" t="s">
        <v>2829</v>
      </c>
      <c r="B554" s="2" t="s">
        <v>2829</v>
      </c>
      <c r="C554" s="4" t="s">
        <v>73</v>
      </c>
      <c r="D554" s="6" t="s">
        <v>45</v>
      </c>
      <c r="E554" s="5">
        <v>0.6</v>
      </c>
      <c r="F554" s="4">
        <v>15</v>
      </c>
      <c r="G554" s="4">
        <v>0</v>
      </c>
      <c r="H554" s="4">
        <v>75</v>
      </c>
      <c r="I554" s="4">
        <v>0</v>
      </c>
      <c r="J554" s="4">
        <v>0</v>
      </c>
      <c r="K554" s="4">
        <f t="shared" si="27"/>
        <v>75</v>
      </c>
      <c r="L554" s="5">
        <f t="shared" si="28"/>
        <v>0</v>
      </c>
      <c r="M554" s="5">
        <f t="shared" si="29"/>
        <v>45</v>
      </c>
    </row>
    <row r="555" spans="1:13" ht="43.2" x14ac:dyDescent="0.3">
      <c r="A555" s="2" t="s">
        <v>2831</v>
      </c>
      <c r="B555" s="2" t="s">
        <v>2831</v>
      </c>
      <c r="C555" s="4" t="s">
        <v>73</v>
      </c>
      <c r="D555" s="6" t="s">
        <v>45</v>
      </c>
      <c r="E555" s="5">
        <v>8</v>
      </c>
      <c r="F555" s="4">
        <v>15</v>
      </c>
      <c r="G555" s="4">
        <v>0</v>
      </c>
      <c r="H555" s="4">
        <v>75</v>
      </c>
      <c r="I555" s="4">
        <v>0</v>
      </c>
      <c r="J555" s="4">
        <v>0</v>
      </c>
      <c r="K555" s="4">
        <f t="shared" si="27"/>
        <v>75</v>
      </c>
      <c r="L555" s="5">
        <f t="shared" si="28"/>
        <v>0</v>
      </c>
      <c r="M555" s="5">
        <f t="shared" si="29"/>
        <v>600</v>
      </c>
    </row>
    <row r="556" spans="1:13" ht="57.6" x14ac:dyDescent="0.3">
      <c r="A556" s="2" t="s">
        <v>2865</v>
      </c>
      <c r="B556" s="2" t="s">
        <v>2865</v>
      </c>
      <c r="C556" s="4" t="s">
        <v>73</v>
      </c>
      <c r="D556" s="6" t="s">
        <v>45</v>
      </c>
      <c r="E556" s="5">
        <v>6</v>
      </c>
      <c r="F556" s="4">
        <v>15</v>
      </c>
      <c r="G556" s="4">
        <v>0</v>
      </c>
      <c r="H556" s="4">
        <v>75</v>
      </c>
      <c r="I556" s="4">
        <v>0</v>
      </c>
      <c r="J556" s="4">
        <v>0</v>
      </c>
      <c r="K556" s="4">
        <f t="shared" si="27"/>
        <v>75</v>
      </c>
      <c r="L556" s="5">
        <f t="shared" si="28"/>
        <v>0</v>
      </c>
      <c r="M556" s="5">
        <f t="shared" si="29"/>
        <v>450</v>
      </c>
    </row>
    <row r="557" spans="1:13" x14ac:dyDescent="0.3">
      <c r="A557" s="2" t="s">
        <v>2037</v>
      </c>
      <c r="B557" s="2" t="s">
        <v>2038</v>
      </c>
      <c r="C557" s="4" t="s">
        <v>73</v>
      </c>
      <c r="D557" s="6" t="s">
        <v>45</v>
      </c>
      <c r="E557" s="5">
        <v>0.2</v>
      </c>
      <c r="F557" s="4">
        <v>15</v>
      </c>
      <c r="G557" s="4">
        <v>0</v>
      </c>
      <c r="H557" s="4">
        <v>74</v>
      </c>
      <c r="I557" s="4">
        <v>0</v>
      </c>
      <c r="J557" s="4">
        <v>0</v>
      </c>
      <c r="K557" s="4">
        <f t="shared" si="27"/>
        <v>74</v>
      </c>
      <c r="L557" s="5">
        <f t="shared" si="28"/>
        <v>0</v>
      </c>
      <c r="M557" s="5">
        <f t="shared" si="29"/>
        <v>14.8</v>
      </c>
    </row>
    <row r="558" spans="1:13" ht="28.8" x14ac:dyDescent="0.3">
      <c r="A558" s="2" t="s">
        <v>2858</v>
      </c>
      <c r="B558" s="2" t="s">
        <v>2858</v>
      </c>
      <c r="C558" s="4" t="s">
        <v>73</v>
      </c>
      <c r="D558" s="6" t="s">
        <v>45</v>
      </c>
      <c r="E558" s="5">
        <v>0.95</v>
      </c>
      <c r="F558" s="4">
        <v>14</v>
      </c>
      <c r="G558" s="4">
        <v>0</v>
      </c>
      <c r="H558" s="4">
        <v>69</v>
      </c>
      <c r="I558" s="4">
        <v>0</v>
      </c>
      <c r="J558" s="4">
        <v>0</v>
      </c>
      <c r="K558" s="4">
        <f t="shared" si="27"/>
        <v>69</v>
      </c>
      <c r="L558" s="5">
        <f t="shared" si="28"/>
        <v>0</v>
      </c>
      <c r="M558" s="5">
        <f t="shared" si="29"/>
        <v>65.55</v>
      </c>
    </row>
    <row r="559" spans="1:13" customFormat="1" hidden="1" x14ac:dyDescent="0.3">
      <c r="A559" t="s">
        <v>2859</v>
      </c>
      <c r="B559" t="s">
        <v>2860</v>
      </c>
      <c r="C559" t="s">
        <v>81</v>
      </c>
      <c r="D559" t="s">
        <v>45</v>
      </c>
      <c r="E559" s="1">
        <v>18017.61</v>
      </c>
      <c r="F559">
        <v>1</v>
      </c>
      <c r="G559">
        <v>0</v>
      </c>
      <c r="H559">
        <v>3</v>
      </c>
      <c r="I559">
        <v>0</v>
      </c>
      <c r="J559">
        <v>0</v>
      </c>
      <c r="K559">
        <f t="shared" si="27"/>
        <v>3</v>
      </c>
      <c r="L559" s="1">
        <f t="shared" si="28"/>
        <v>0</v>
      </c>
      <c r="M559" s="1">
        <f t="shared" si="29"/>
        <v>54052.83</v>
      </c>
    </row>
    <row r="560" spans="1:13" x14ac:dyDescent="0.3">
      <c r="A560" s="2" t="s">
        <v>2871</v>
      </c>
      <c r="B560" s="2" t="s">
        <v>2871</v>
      </c>
      <c r="C560" s="4" t="s">
        <v>73</v>
      </c>
      <c r="D560" s="6" t="s">
        <v>45</v>
      </c>
      <c r="E560" s="5">
        <v>5</v>
      </c>
      <c r="F560" s="4">
        <v>28</v>
      </c>
      <c r="G560" s="4">
        <v>0</v>
      </c>
      <c r="H560" s="4">
        <v>68</v>
      </c>
      <c r="I560" s="4">
        <v>0</v>
      </c>
      <c r="J560" s="4">
        <v>0</v>
      </c>
      <c r="K560" s="4">
        <f t="shared" si="27"/>
        <v>68</v>
      </c>
      <c r="L560" s="5">
        <f t="shared" si="28"/>
        <v>0</v>
      </c>
      <c r="M560" s="5">
        <f t="shared" si="29"/>
        <v>340</v>
      </c>
    </row>
    <row r="561" spans="1:13" x14ac:dyDescent="0.3">
      <c r="A561" s="2" t="s">
        <v>1976</v>
      </c>
      <c r="B561" s="2" t="s">
        <v>1977</v>
      </c>
      <c r="C561" s="4" t="s">
        <v>73</v>
      </c>
      <c r="D561" s="6" t="s">
        <v>45</v>
      </c>
      <c r="E561" s="5">
        <v>11</v>
      </c>
      <c r="F561" s="4">
        <v>14</v>
      </c>
      <c r="G561" s="4">
        <v>0</v>
      </c>
      <c r="H561" s="4">
        <v>54</v>
      </c>
      <c r="I561" s="4">
        <v>0</v>
      </c>
      <c r="J561" s="4">
        <v>0</v>
      </c>
      <c r="K561" s="4">
        <f t="shared" si="27"/>
        <v>54</v>
      </c>
      <c r="L561" s="5">
        <f t="shared" si="28"/>
        <v>0</v>
      </c>
      <c r="M561" s="5">
        <f t="shared" si="29"/>
        <v>594</v>
      </c>
    </row>
    <row r="562" spans="1:13" x14ac:dyDescent="0.3">
      <c r="A562" s="2" t="s">
        <v>1962</v>
      </c>
      <c r="B562" s="2" t="s">
        <v>1963</v>
      </c>
      <c r="C562" s="4" t="s">
        <v>73</v>
      </c>
      <c r="D562" s="6" t="s">
        <v>45</v>
      </c>
      <c r="E562" s="5">
        <v>1.8</v>
      </c>
      <c r="F562" s="4">
        <v>9</v>
      </c>
      <c r="G562" s="4">
        <v>0</v>
      </c>
      <c r="H562" s="4">
        <v>45</v>
      </c>
      <c r="I562" s="4">
        <v>0</v>
      </c>
      <c r="J562" s="4">
        <v>0</v>
      </c>
      <c r="K562" s="4">
        <f t="shared" si="27"/>
        <v>45</v>
      </c>
      <c r="L562" s="5">
        <f t="shared" si="28"/>
        <v>0</v>
      </c>
      <c r="M562" s="5">
        <f t="shared" si="29"/>
        <v>81</v>
      </c>
    </row>
    <row r="563" spans="1:13" ht="28.8" x14ac:dyDescent="0.3">
      <c r="A563" s="2" t="s">
        <v>2830</v>
      </c>
      <c r="B563" s="2" t="s">
        <v>2830</v>
      </c>
      <c r="C563" s="4" t="s">
        <v>73</v>
      </c>
      <c r="D563" s="6" t="s">
        <v>45</v>
      </c>
      <c r="E563" s="5">
        <v>1.3</v>
      </c>
      <c r="F563" s="4">
        <v>8</v>
      </c>
      <c r="G563" s="4">
        <v>0</v>
      </c>
      <c r="H563" s="4">
        <v>38</v>
      </c>
      <c r="I563" s="4">
        <v>0</v>
      </c>
      <c r="J563" s="4">
        <v>0</v>
      </c>
      <c r="K563" s="4">
        <f t="shared" si="27"/>
        <v>38</v>
      </c>
      <c r="L563" s="5">
        <f t="shared" si="28"/>
        <v>0</v>
      </c>
      <c r="M563" s="5">
        <f t="shared" si="29"/>
        <v>49.4</v>
      </c>
    </row>
    <row r="564" spans="1:13" x14ac:dyDescent="0.3">
      <c r="A564" s="2" t="s">
        <v>1966</v>
      </c>
      <c r="B564" s="2" t="s">
        <v>1967</v>
      </c>
      <c r="C564" s="4" t="s">
        <v>73</v>
      </c>
      <c r="D564" s="6" t="s">
        <v>45</v>
      </c>
      <c r="E564" s="5">
        <v>4.4000000000000004</v>
      </c>
      <c r="F564" s="4">
        <v>7</v>
      </c>
      <c r="G564" s="4">
        <v>0</v>
      </c>
      <c r="H564" s="4">
        <v>36</v>
      </c>
      <c r="I564" s="4">
        <v>0</v>
      </c>
      <c r="J564" s="4">
        <v>0</v>
      </c>
      <c r="K564" s="4">
        <f t="shared" si="27"/>
        <v>36</v>
      </c>
      <c r="L564" s="5">
        <f t="shared" si="28"/>
        <v>0</v>
      </c>
      <c r="M564" s="5">
        <f t="shared" si="29"/>
        <v>158.4</v>
      </c>
    </row>
    <row r="565" spans="1:13" x14ac:dyDescent="0.3">
      <c r="A565" s="2" t="s">
        <v>2810</v>
      </c>
      <c r="B565" s="2" t="s">
        <v>2811</v>
      </c>
      <c r="C565" s="4" t="s">
        <v>73</v>
      </c>
      <c r="D565" s="6" t="s">
        <v>45</v>
      </c>
      <c r="E565" s="5">
        <v>4</v>
      </c>
      <c r="F565" s="4">
        <v>8</v>
      </c>
      <c r="G565" s="4">
        <v>0</v>
      </c>
      <c r="H565" s="4">
        <v>36</v>
      </c>
      <c r="I565" s="4">
        <v>0</v>
      </c>
      <c r="J565" s="4">
        <v>0</v>
      </c>
      <c r="K565" s="4">
        <f t="shared" si="27"/>
        <v>36</v>
      </c>
      <c r="L565" s="5">
        <f t="shared" si="28"/>
        <v>0</v>
      </c>
      <c r="M565" s="5">
        <f t="shared" si="29"/>
        <v>144</v>
      </c>
    </row>
    <row r="566" spans="1:13" ht="28.8" x14ac:dyDescent="0.3">
      <c r="A566" s="2" t="s">
        <v>2849</v>
      </c>
      <c r="B566" s="2" t="s">
        <v>2849</v>
      </c>
      <c r="C566" s="4" t="s">
        <v>73</v>
      </c>
      <c r="D566" s="6" t="s">
        <v>45</v>
      </c>
      <c r="E566" s="5">
        <v>20</v>
      </c>
      <c r="F566" s="4">
        <v>16</v>
      </c>
      <c r="G566" s="4">
        <v>0</v>
      </c>
      <c r="H566" s="4">
        <v>36</v>
      </c>
      <c r="I566" s="4">
        <v>0</v>
      </c>
      <c r="J566" s="4">
        <v>0</v>
      </c>
      <c r="K566" s="4">
        <f t="shared" si="27"/>
        <v>36</v>
      </c>
      <c r="L566" s="5">
        <f t="shared" si="28"/>
        <v>0</v>
      </c>
      <c r="M566" s="5">
        <f t="shared" si="29"/>
        <v>720</v>
      </c>
    </row>
    <row r="567" spans="1:13" x14ac:dyDescent="0.3">
      <c r="A567" s="2" t="s">
        <v>1968</v>
      </c>
      <c r="B567" s="2" t="s">
        <v>1969</v>
      </c>
      <c r="C567" s="4" t="s">
        <v>73</v>
      </c>
      <c r="D567" s="6" t="s">
        <v>45</v>
      </c>
      <c r="E567" s="5">
        <v>5.9</v>
      </c>
      <c r="F567" s="4">
        <v>7</v>
      </c>
      <c r="G567" s="4">
        <v>0</v>
      </c>
      <c r="H567" s="4">
        <v>35</v>
      </c>
      <c r="I567" s="4">
        <v>0</v>
      </c>
      <c r="J567" s="4">
        <v>0</v>
      </c>
      <c r="K567" s="4">
        <f t="shared" si="27"/>
        <v>35</v>
      </c>
      <c r="L567" s="5">
        <f t="shared" si="28"/>
        <v>0</v>
      </c>
      <c r="M567" s="5">
        <f t="shared" si="29"/>
        <v>206.5</v>
      </c>
    </row>
    <row r="568" spans="1:13" x14ac:dyDescent="0.3">
      <c r="A568" s="2" t="s">
        <v>1970</v>
      </c>
      <c r="B568" s="2" t="s">
        <v>1971</v>
      </c>
      <c r="C568" s="4" t="s">
        <v>73</v>
      </c>
      <c r="D568" s="6" t="s">
        <v>45</v>
      </c>
      <c r="E568" s="5">
        <v>12.5</v>
      </c>
      <c r="F568" s="4">
        <v>5</v>
      </c>
      <c r="G568" s="4">
        <v>0</v>
      </c>
      <c r="H568" s="4">
        <v>25</v>
      </c>
      <c r="I568" s="4">
        <v>0</v>
      </c>
      <c r="J568" s="4">
        <v>0</v>
      </c>
      <c r="K568" s="4">
        <f t="shared" si="27"/>
        <v>25</v>
      </c>
      <c r="L568" s="5">
        <f t="shared" si="28"/>
        <v>0</v>
      </c>
      <c r="M568" s="5">
        <f t="shared" si="29"/>
        <v>312.5</v>
      </c>
    </row>
    <row r="569" spans="1:13" x14ac:dyDescent="0.3">
      <c r="A569" s="2" t="s">
        <v>2095</v>
      </c>
      <c r="B569" s="2" t="s">
        <v>2095</v>
      </c>
      <c r="C569" s="4" t="s">
        <v>73</v>
      </c>
      <c r="D569" s="6" t="s">
        <v>45</v>
      </c>
      <c r="E569" s="5">
        <v>0.6</v>
      </c>
      <c r="F569" s="4">
        <v>5</v>
      </c>
      <c r="G569" s="4">
        <v>0</v>
      </c>
      <c r="H569" s="4">
        <v>25</v>
      </c>
      <c r="I569" s="4">
        <v>0</v>
      </c>
      <c r="J569" s="4">
        <v>0</v>
      </c>
      <c r="K569" s="4">
        <f t="shared" si="27"/>
        <v>25</v>
      </c>
      <c r="L569" s="5">
        <f t="shared" si="28"/>
        <v>0</v>
      </c>
      <c r="M569" s="5">
        <f t="shared" si="29"/>
        <v>15</v>
      </c>
    </row>
    <row r="570" spans="1:13" ht="43.2" x14ac:dyDescent="0.3">
      <c r="A570" s="2" t="s">
        <v>2797</v>
      </c>
      <c r="B570" s="2" t="s">
        <v>2797</v>
      </c>
      <c r="C570" s="4" t="s">
        <v>73</v>
      </c>
      <c r="D570" s="6" t="s">
        <v>45</v>
      </c>
      <c r="E570" s="5">
        <v>20</v>
      </c>
      <c r="F570" s="4">
        <v>6</v>
      </c>
      <c r="G570" s="4">
        <v>0</v>
      </c>
      <c r="H570" s="4">
        <v>22</v>
      </c>
      <c r="I570" s="4">
        <v>0</v>
      </c>
      <c r="J570" s="4">
        <v>0</v>
      </c>
      <c r="K570" s="4">
        <f t="shared" si="27"/>
        <v>22</v>
      </c>
      <c r="L570" s="5">
        <f t="shared" si="28"/>
        <v>0</v>
      </c>
      <c r="M570" s="5">
        <f t="shared" si="29"/>
        <v>440</v>
      </c>
    </row>
    <row r="571" spans="1:13" x14ac:dyDescent="0.3">
      <c r="A571" s="2" t="s">
        <v>2000</v>
      </c>
      <c r="B571" s="2" t="s">
        <v>2001</v>
      </c>
      <c r="C571" s="4" t="s">
        <v>73</v>
      </c>
      <c r="D571" s="6" t="s">
        <v>45</v>
      </c>
      <c r="E571" s="5">
        <v>15</v>
      </c>
      <c r="F571" s="4">
        <v>4</v>
      </c>
      <c r="G571" s="4">
        <v>0</v>
      </c>
      <c r="H571" s="4">
        <v>20</v>
      </c>
      <c r="I571" s="4">
        <v>0</v>
      </c>
      <c r="J571" s="4">
        <v>0</v>
      </c>
      <c r="K571" s="4">
        <f t="shared" si="27"/>
        <v>20</v>
      </c>
      <c r="L571" s="5">
        <f t="shared" si="28"/>
        <v>0</v>
      </c>
      <c r="M571" s="5">
        <f t="shared" si="29"/>
        <v>300</v>
      </c>
    </row>
    <row r="572" spans="1:13" x14ac:dyDescent="0.3">
      <c r="A572" s="2" t="s">
        <v>2002</v>
      </c>
      <c r="B572" s="2" t="s">
        <v>2003</v>
      </c>
      <c r="C572" s="4" t="s">
        <v>73</v>
      </c>
      <c r="D572" s="6" t="s">
        <v>45</v>
      </c>
      <c r="E572" s="5">
        <v>20</v>
      </c>
      <c r="F572" s="4">
        <v>4</v>
      </c>
      <c r="G572" s="4">
        <v>0</v>
      </c>
      <c r="H572" s="4">
        <v>20</v>
      </c>
      <c r="I572" s="4">
        <v>0</v>
      </c>
      <c r="J572" s="4">
        <v>0</v>
      </c>
      <c r="K572" s="4">
        <f t="shared" si="27"/>
        <v>20</v>
      </c>
      <c r="L572" s="5">
        <f t="shared" si="28"/>
        <v>0</v>
      </c>
      <c r="M572" s="5">
        <f t="shared" si="29"/>
        <v>400</v>
      </c>
    </row>
    <row r="573" spans="1:13" ht="43.2" x14ac:dyDescent="0.3">
      <c r="A573" s="2" t="s">
        <v>2854</v>
      </c>
      <c r="B573" s="2" t="s">
        <v>2854</v>
      </c>
      <c r="C573" s="4" t="s">
        <v>73</v>
      </c>
      <c r="D573" s="6" t="s">
        <v>45</v>
      </c>
      <c r="E573" s="5">
        <v>43.15</v>
      </c>
      <c r="F573" s="4">
        <v>4</v>
      </c>
      <c r="G573" s="4">
        <v>0</v>
      </c>
      <c r="H573" s="4">
        <v>20</v>
      </c>
      <c r="I573" s="4">
        <v>0</v>
      </c>
      <c r="J573" s="4">
        <v>0</v>
      </c>
      <c r="K573" s="4">
        <f t="shared" si="27"/>
        <v>20</v>
      </c>
      <c r="L573" s="5">
        <f t="shared" si="28"/>
        <v>0</v>
      </c>
      <c r="M573" s="5">
        <f t="shared" si="29"/>
        <v>863</v>
      </c>
    </row>
    <row r="574" spans="1:13" x14ac:dyDescent="0.3">
      <c r="A574" s="2" t="s">
        <v>2840</v>
      </c>
      <c r="B574" s="2" t="s">
        <v>2841</v>
      </c>
      <c r="C574" s="4" t="s">
        <v>73</v>
      </c>
      <c r="D574" s="6" t="s">
        <v>45</v>
      </c>
      <c r="E574" s="5">
        <v>75</v>
      </c>
      <c r="F574" s="4">
        <v>2</v>
      </c>
      <c r="G574" s="4">
        <v>0</v>
      </c>
      <c r="H574" s="4">
        <v>12</v>
      </c>
      <c r="I574" s="4">
        <v>0</v>
      </c>
      <c r="J574" s="4">
        <v>0</v>
      </c>
      <c r="K574" s="4">
        <f t="shared" si="27"/>
        <v>12</v>
      </c>
      <c r="L574" s="5">
        <f t="shared" si="28"/>
        <v>0</v>
      </c>
      <c r="M574" s="5">
        <f t="shared" si="29"/>
        <v>900</v>
      </c>
    </row>
    <row r="575" spans="1:13" x14ac:dyDescent="0.3">
      <c r="A575" s="2" t="s">
        <v>1960</v>
      </c>
      <c r="B575" s="2" t="s">
        <v>1961</v>
      </c>
      <c r="C575" s="4" t="s">
        <v>73</v>
      </c>
      <c r="D575" s="6" t="s">
        <v>45</v>
      </c>
      <c r="E575" s="5">
        <v>16</v>
      </c>
      <c r="F575" s="4">
        <v>2</v>
      </c>
      <c r="G575" s="4">
        <v>0</v>
      </c>
      <c r="H575" s="4">
        <v>10</v>
      </c>
      <c r="I575" s="4">
        <v>0</v>
      </c>
      <c r="J575" s="4">
        <v>0</v>
      </c>
      <c r="K575" s="4">
        <f t="shared" si="27"/>
        <v>10</v>
      </c>
      <c r="L575" s="5">
        <f t="shared" si="28"/>
        <v>0</v>
      </c>
      <c r="M575" s="5">
        <f t="shared" si="29"/>
        <v>160</v>
      </c>
    </row>
    <row r="576" spans="1:13" x14ac:dyDescent="0.3">
      <c r="A576" s="2" t="s">
        <v>2836</v>
      </c>
      <c r="B576" s="2" t="s">
        <v>2837</v>
      </c>
      <c r="C576" s="4" t="s">
        <v>73</v>
      </c>
      <c r="D576" s="6" t="s">
        <v>45</v>
      </c>
      <c r="E576" s="5">
        <v>2</v>
      </c>
      <c r="F576" s="4">
        <v>2</v>
      </c>
      <c r="G576" s="4">
        <v>0</v>
      </c>
      <c r="H576" s="4">
        <v>10</v>
      </c>
      <c r="I576" s="4">
        <v>0</v>
      </c>
      <c r="J576" s="4">
        <v>0</v>
      </c>
      <c r="K576" s="4">
        <f t="shared" si="27"/>
        <v>10</v>
      </c>
      <c r="L576" s="5">
        <f t="shared" si="28"/>
        <v>0</v>
      </c>
      <c r="M576" s="5">
        <f t="shared" si="29"/>
        <v>20</v>
      </c>
    </row>
    <row r="577" spans="1:13" x14ac:dyDescent="0.3">
      <c r="A577" s="2" t="s">
        <v>2842</v>
      </c>
      <c r="B577" s="2" t="s">
        <v>2843</v>
      </c>
      <c r="C577" s="4" t="s">
        <v>73</v>
      </c>
      <c r="D577" s="6" t="s">
        <v>45</v>
      </c>
      <c r="E577" s="5">
        <v>20</v>
      </c>
      <c r="F577" s="4">
        <v>2</v>
      </c>
      <c r="G577" s="4">
        <v>0</v>
      </c>
      <c r="H577" s="4">
        <v>10</v>
      </c>
      <c r="I577" s="4">
        <v>0</v>
      </c>
      <c r="J577" s="4">
        <v>0</v>
      </c>
      <c r="K577" s="4">
        <f t="shared" si="27"/>
        <v>10</v>
      </c>
      <c r="L577" s="5">
        <f t="shared" si="28"/>
        <v>0</v>
      </c>
      <c r="M577" s="5">
        <f t="shared" si="29"/>
        <v>200</v>
      </c>
    </row>
    <row r="578" spans="1:13" x14ac:dyDescent="0.3">
      <c r="A578" s="2" t="s">
        <v>2850</v>
      </c>
      <c r="B578" s="2" t="s">
        <v>2851</v>
      </c>
      <c r="C578" s="4" t="s">
        <v>73</v>
      </c>
      <c r="D578" s="6" t="s">
        <v>45</v>
      </c>
      <c r="E578" s="5">
        <v>65</v>
      </c>
      <c r="F578" s="4">
        <v>1</v>
      </c>
      <c r="G578" s="4">
        <v>0</v>
      </c>
      <c r="H578" s="4">
        <v>5</v>
      </c>
      <c r="I578" s="4">
        <v>0</v>
      </c>
      <c r="J578" s="4">
        <v>0</v>
      </c>
      <c r="K578" s="4">
        <f t="shared" si="27"/>
        <v>5</v>
      </c>
      <c r="L578" s="5">
        <f t="shared" si="28"/>
        <v>0</v>
      </c>
      <c r="M578" s="5">
        <f t="shared" si="29"/>
        <v>325</v>
      </c>
    </row>
    <row r="579" spans="1:13" customFormat="1" hidden="1" x14ac:dyDescent="0.3">
      <c r="A579" t="s">
        <v>2882</v>
      </c>
      <c r="B579" t="s">
        <v>2883</v>
      </c>
      <c r="C579" t="s">
        <v>94</v>
      </c>
      <c r="D579" t="s">
        <v>45</v>
      </c>
      <c r="E579" s="1">
        <v>1609.25</v>
      </c>
      <c r="F579">
        <v>24</v>
      </c>
      <c r="G579">
        <v>0</v>
      </c>
      <c r="H579">
        <v>118</v>
      </c>
      <c r="I579">
        <v>0</v>
      </c>
      <c r="J579">
        <v>0</v>
      </c>
      <c r="K579">
        <f t="shared" si="27"/>
        <v>118</v>
      </c>
      <c r="L579" s="1">
        <f t="shared" si="28"/>
        <v>0</v>
      </c>
      <c r="M579" s="1">
        <f t="shared" si="29"/>
        <v>189891.5</v>
      </c>
    </row>
    <row r="580" spans="1:13" customFormat="1" hidden="1" x14ac:dyDescent="0.3">
      <c r="A580" t="s">
        <v>2884</v>
      </c>
      <c r="B580" t="s">
        <v>2885</v>
      </c>
      <c r="C580" t="s">
        <v>252</v>
      </c>
      <c r="D580" t="s">
        <v>45</v>
      </c>
      <c r="E580" s="1">
        <v>172</v>
      </c>
      <c r="F580">
        <v>2</v>
      </c>
      <c r="G580">
        <v>0</v>
      </c>
      <c r="H580">
        <v>6</v>
      </c>
      <c r="I580">
        <v>0</v>
      </c>
      <c r="J580">
        <v>0</v>
      </c>
      <c r="K580">
        <f t="shared" si="27"/>
        <v>6</v>
      </c>
      <c r="L580" s="1">
        <f t="shared" si="28"/>
        <v>0</v>
      </c>
      <c r="M580" s="1">
        <f t="shared" si="29"/>
        <v>1032</v>
      </c>
    </row>
    <row r="581" spans="1:13" customFormat="1" hidden="1" x14ac:dyDescent="0.3">
      <c r="A581" t="s">
        <v>2886</v>
      </c>
      <c r="B581" t="s">
        <v>2887</v>
      </c>
      <c r="C581" t="s">
        <v>252</v>
      </c>
      <c r="D581" t="s">
        <v>45</v>
      </c>
      <c r="E581" s="1">
        <v>187</v>
      </c>
      <c r="F581">
        <v>2</v>
      </c>
      <c r="G581">
        <v>0</v>
      </c>
      <c r="H581">
        <v>6</v>
      </c>
      <c r="I581">
        <v>0</v>
      </c>
      <c r="J581">
        <v>0</v>
      </c>
      <c r="K581">
        <f t="shared" si="27"/>
        <v>6</v>
      </c>
      <c r="L581" s="1">
        <f t="shared" si="28"/>
        <v>0</v>
      </c>
      <c r="M581" s="1">
        <f t="shared" si="29"/>
        <v>1122</v>
      </c>
    </row>
    <row r="582" spans="1:13" customFormat="1" hidden="1" x14ac:dyDescent="0.3">
      <c r="A582" t="s">
        <v>2888</v>
      </c>
      <c r="B582" t="s">
        <v>2889</v>
      </c>
      <c r="C582" t="s">
        <v>252</v>
      </c>
      <c r="D582" t="s">
        <v>45</v>
      </c>
      <c r="E582" s="1">
        <v>208</v>
      </c>
      <c r="F582">
        <v>1</v>
      </c>
      <c r="G582">
        <v>0</v>
      </c>
      <c r="H582">
        <v>3</v>
      </c>
      <c r="I582">
        <v>0</v>
      </c>
      <c r="J582">
        <v>0</v>
      </c>
      <c r="K582">
        <f t="shared" si="27"/>
        <v>3</v>
      </c>
      <c r="L582" s="1">
        <f t="shared" si="28"/>
        <v>0</v>
      </c>
      <c r="M582" s="1">
        <f t="shared" si="29"/>
        <v>624</v>
      </c>
    </row>
    <row r="583" spans="1:13" customFormat="1" hidden="1" x14ac:dyDescent="0.3">
      <c r="A583" t="s">
        <v>2890</v>
      </c>
      <c r="B583" t="s">
        <v>2891</v>
      </c>
      <c r="C583" t="s">
        <v>252</v>
      </c>
      <c r="D583" t="s">
        <v>45</v>
      </c>
      <c r="E583" s="1">
        <v>223</v>
      </c>
      <c r="F583">
        <v>1</v>
      </c>
      <c r="G583">
        <v>0</v>
      </c>
      <c r="H583">
        <v>3</v>
      </c>
      <c r="I583">
        <v>0</v>
      </c>
      <c r="J583">
        <v>0</v>
      </c>
      <c r="K583">
        <f t="shared" si="27"/>
        <v>3</v>
      </c>
      <c r="L583" s="1">
        <f t="shared" si="28"/>
        <v>0</v>
      </c>
      <c r="M583" s="1">
        <f t="shared" si="29"/>
        <v>669</v>
      </c>
    </row>
    <row r="584" spans="1:13" customFormat="1" hidden="1" x14ac:dyDescent="0.3">
      <c r="A584" t="s">
        <v>2892</v>
      </c>
      <c r="B584" t="s">
        <v>2893</v>
      </c>
      <c r="C584" t="s">
        <v>252</v>
      </c>
      <c r="D584" t="s">
        <v>45</v>
      </c>
      <c r="E584" s="1">
        <v>48.78</v>
      </c>
      <c r="F584">
        <v>1</v>
      </c>
      <c r="G584">
        <v>0</v>
      </c>
      <c r="H584">
        <v>3</v>
      </c>
      <c r="I584">
        <v>0</v>
      </c>
      <c r="J584">
        <v>0</v>
      </c>
      <c r="K584">
        <f t="shared" si="27"/>
        <v>3</v>
      </c>
      <c r="L584" s="1">
        <f t="shared" si="28"/>
        <v>0</v>
      </c>
      <c r="M584" s="1">
        <f t="shared" si="29"/>
        <v>146.34</v>
      </c>
    </row>
    <row r="585" spans="1:13" customFormat="1" hidden="1" x14ac:dyDescent="0.3">
      <c r="A585" t="s">
        <v>2894</v>
      </c>
      <c r="B585" t="s">
        <v>2895</v>
      </c>
      <c r="D585" t="s">
        <v>45</v>
      </c>
      <c r="E585" s="1">
        <v>0</v>
      </c>
      <c r="F585">
        <v>1</v>
      </c>
      <c r="G585">
        <v>0</v>
      </c>
      <c r="H585">
        <v>5</v>
      </c>
      <c r="I585">
        <v>0</v>
      </c>
      <c r="J585">
        <v>0</v>
      </c>
      <c r="K585">
        <f t="shared" si="27"/>
        <v>5</v>
      </c>
      <c r="L585" s="1">
        <f t="shared" si="28"/>
        <v>0</v>
      </c>
      <c r="M585" s="1">
        <f t="shared" si="29"/>
        <v>0</v>
      </c>
    </row>
    <row r="586" spans="1:13" customFormat="1" hidden="1" x14ac:dyDescent="0.3">
      <c r="A586" t="s">
        <v>2896</v>
      </c>
      <c r="B586" t="s">
        <v>2897</v>
      </c>
      <c r="D586" t="s">
        <v>45</v>
      </c>
      <c r="E586" s="1">
        <v>0</v>
      </c>
      <c r="F586">
        <v>1</v>
      </c>
      <c r="G586">
        <v>0</v>
      </c>
      <c r="H586">
        <v>2</v>
      </c>
      <c r="I586">
        <v>0</v>
      </c>
      <c r="J586">
        <v>0</v>
      </c>
      <c r="K586">
        <f t="shared" si="27"/>
        <v>2</v>
      </c>
      <c r="L586" s="1">
        <f t="shared" si="28"/>
        <v>0</v>
      </c>
      <c r="M586" s="1">
        <f t="shared" si="29"/>
        <v>0</v>
      </c>
    </row>
    <row r="587" spans="1:13" customFormat="1" hidden="1" x14ac:dyDescent="0.3">
      <c r="A587" t="s">
        <v>2898</v>
      </c>
      <c r="B587" t="s">
        <v>2899</v>
      </c>
      <c r="C587" t="s">
        <v>118</v>
      </c>
      <c r="D587" t="s">
        <v>45</v>
      </c>
      <c r="E587" s="1">
        <v>15100</v>
      </c>
      <c r="F587">
        <v>1</v>
      </c>
      <c r="G587">
        <v>0</v>
      </c>
      <c r="H587">
        <v>2</v>
      </c>
      <c r="I587">
        <v>0</v>
      </c>
      <c r="J587">
        <v>0</v>
      </c>
      <c r="K587">
        <f t="shared" si="27"/>
        <v>2</v>
      </c>
      <c r="L587" s="1">
        <f t="shared" si="28"/>
        <v>0</v>
      </c>
      <c r="M587" s="1">
        <f t="shared" si="29"/>
        <v>30200</v>
      </c>
    </row>
    <row r="588" spans="1:13" customFormat="1" hidden="1" x14ac:dyDescent="0.3">
      <c r="A588" t="s">
        <v>2900</v>
      </c>
      <c r="B588" t="s">
        <v>2901</v>
      </c>
      <c r="D588" t="s">
        <v>45</v>
      </c>
      <c r="E588" s="1">
        <v>0</v>
      </c>
      <c r="F588">
        <v>1</v>
      </c>
      <c r="G588">
        <v>0</v>
      </c>
      <c r="H588">
        <v>5</v>
      </c>
      <c r="I588">
        <v>0</v>
      </c>
      <c r="J588">
        <v>0</v>
      </c>
      <c r="K588">
        <f t="shared" si="27"/>
        <v>5</v>
      </c>
      <c r="L588" s="1">
        <f t="shared" si="28"/>
        <v>0</v>
      </c>
      <c r="M588" s="1">
        <f t="shared" si="29"/>
        <v>0</v>
      </c>
    </row>
    <row r="589" spans="1:13" customFormat="1" hidden="1" x14ac:dyDescent="0.3">
      <c r="A589" t="s">
        <v>2902</v>
      </c>
      <c r="B589" t="s">
        <v>2903</v>
      </c>
      <c r="D589" t="s">
        <v>45</v>
      </c>
      <c r="E589" s="1">
        <v>0</v>
      </c>
      <c r="F589">
        <v>1</v>
      </c>
      <c r="G589">
        <v>0</v>
      </c>
      <c r="H589">
        <v>2</v>
      </c>
      <c r="I589">
        <v>0</v>
      </c>
      <c r="J589">
        <v>0</v>
      </c>
      <c r="K589">
        <f t="shared" si="27"/>
        <v>2</v>
      </c>
      <c r="L589" s="1">
        <f t="shared" si="28"/>
        <v>0</v>
      </c>
      <c r="M589" s="1">
        <f t="shared" si="29"/>
        <v>0</v>
      </c>
    </row>
    <row r="590" spans="1:13" customFormat="1" hidden="1" x14ac:dyDescent="0.3">
      <c r="A590" t="s">
        <v>2904</v>
      </c>
      <c r="B590" t="s">
        <v>2905</v>
      </c>
      <c r="C590" t="s">
        <v>2054</v>
      </c>
      <c r="D590" t="s">
        <v>45</v>
      </c>
      <c r="E590" s="1">
        <v>29.5</v>
      </c>
      <c r="F590">
        <v>4</v>
      </c>
      <c r="G590">
        <v>0</v>
      </c>
      <c r="H590">
        <v>20</v>
      </c>
      <c r="I590">
        <v>0</v>
      </c>
      <c r="J590">
        <v>0</v>
      </c>
      <c r="K590">
        <f t="shared" ref="K590:K603" si="30">IF(H590-I590-J590&gt;0,H590-I590-J590,0)</f>
        <v>20</v>
      </c>
      <c r="L590" s="1">
        <f t="shared" ref="L590:L603" si="31">IFERROR(I590*E590,0)</f>
        <v>0</v>
      </c>
      <c r="M590" s="1">
        <f t="shared" ref="M590:M603" si="32">IFERROR(K590*E590,0)</f>
        <v>590</v>
      </c>
    </row>
    <row r="591" spans="1:13" customFormat="1" hidden="1" x14ac:dyDescent="0.3">
      <c r="A591" t="s">
        <v>2906</v>
      </c>
      <c r="B591" t="s">
        <v>2907</v>
      </c>
      <c r="C591" t="s">
        <v>2054</v>
      </c>
      <c r="D591" t="s">
        <v>45</v>
      </c>
      <c r="E591" s="1">
        <v>61.45</v>
      </c>
      <c r="F591">
        <v>1</v>
      </c>
      <c r="G591">
        <v>0</v>
      </c>
      <c r="H591">
        <v>2</v>
      </c>
      <c r="I591">
        <v>0</v>
      </c>
      <c r="J591">
        <v>0</v>
      </c>
      <c r="K591">
        <f t="shared" si="30"/>
        <v>2</v>
      </c>
      <c r="L591" s="1">
        <f t="shared" si="31"/>
        <v>0</v>
      </c>
      <c r="M591" s="1">
        <f t="shared" si="32"/>
        <v>122.9</v>
      </c>
    </row>
    <row r="592" spans="1:13" customFormat="1" hidden="1" x14ac:dyDescent="0.3">
      <c r="A592" t="s">
        <v>2908</v>
      </c>
      <c r="B592" t="s">
        <v>2909</v>
      </c>
      <c r="C592" t="s">
        <v>2054</v>
      </c>
      <c r="D592" t="s">
        <v>45</v>
      </c>
      <c r="E592" s="1">
        <v>224</v>
      </c>
      <c r="F592">
        <v>1</v>
      </c>
      <c r="G592">
        <v>0</v>
      </c>
      <c r="H592">
        <v>2</v>
      </c>
      <c r="I592">
        <v>0</v>
      </c>
      <c r="J592">
        <v>0</v>
      </c>
      <c r="K592">
        <f t="shared" si="30"/>
        <v>2</v>
      </c>
      <c r="L592" s="1">
        <f t="shared" si="31"/>
        <v>0</v>
      </c>
      <c r="M592" s="1">
        <f t="shared" si="32"/>
        <v>448</v>
      </c>
    </row>
    <row r="593" spans="1:13" customFormat="1" hidden="1" x14ac:dyDescent="0.3">
      <c r="A593" t="s">
        <v>2910</v>
      </c>
      <c r="B593" t="s">
        <v>2911</v>
      </c>
      <c r="C593" t="s">
        <v>2912</v>
      </c>
      <c r="D593" t="s">
        <v>45</v>
      </c>
      <c r="E593" s="1">
        <v>31.55</v>
      </c>
      <c r="F593">
        <v>20</v>
      </c>
      <c r="G593">
        <v>0</v>
      </c>
      <c r="H593">
        <v>98</v>
      </c>
      <c r="I593">
        <v>0</v>
      </c>
      <c r="J593">
        <v>0</v>
      </c>
      <c r="K593">
        <f t="shared" si="30"/>
        <v>98</v>
      </c>
      <c r="L593" s="1">
        <f t="shared" si="31"/>
        <v>0</v>
      </c>
      <c r="M593" s="1">
        <f t="shared" si="32"/>
        <v>3091.9</v>
      </c>
    </row>
    <row r="594" spans="1:13" customFormat="1" hidden="1" x14ac:dyDescent="0.3">
      <c r="A594" t="s">
        <v>2913</v>
      </c>
      <c r="B594" t="s">
        <v>2914</v>
      </c>
      <c r="C594" t="s">
        <v>2915</v>
      </c>
      <c r="D594" t="s">
        <v>45</v>
      </c>
      <c r="E594" s="1">
        <v>3812.63</v>
      </c>
      <c r="F594">
        <v>1</v>
      </c>
      <c r="G594">
        <v>0</v>
      </c>
      <c r="H594">
        <v>2</v>
      </c>
      <c r="I594">
        <v>0</v>
      </c>
      <c r="J594">
        <v>0</v>
      </c>
      <c r="K594">
        <f t="shared" si="30"/>
        <v>2</v>
      </c>
      <c r="L594" s="1">
        <f t="shared" si="31"/>
        <v>0</v>
      </c>
      <c r="M594" s="1">
        <f t="shared" si="32"/>
        <v>7625.26</v>
      </c>
    </row>
    <row r="595" spans="1:13" customFormat="1" hidden="1" x14ac:dyDescent="0.3">
      <c r="A595" t="s">
        <v>2916</v>
      </c>
      <c r="B595" t="s">
        <v>2917</v>
      </c>
      <c r="C595" t="s">
        <v>81</v>
      </c>
      <c r="D595" t="s">
        <v>45</v>
      </c>
      <c r="E595" s="1">
        <v>709.45</v>
      </c>
      <c r="F595">
        <v>1</v>
      </c>
      <c r="G595">
        <v>0</v>
      </c>
      <c r="H595">
        <v>2</v>
      </c>
      <c r="I595">
        <v>0</v>
      </c>
      <c r="J595">
        <v>0</v>
      </c>
      <c r="K595">
        <f t="shared" si="30"/>
        <v>2</v>
      </c>
      <c r="L595" s="1">
        <f t="shared" si="31"/>
        <v>0</v>
      </c>
      <c r="M595" s="1">
        <f t="shared" si="32"/>
        <v>1418.9</v>
      </c>
    </row>
    <row r="596" spans="1:13" customFormat="1" hidden="1" x14ac:dyDescent="0.3">
      <c r="A596" t="s">
        <v>2918</v>
      </c>
      <c r="B596" t="s">
        <v>2919</v>
      </c>
      <c r="C596" t="s">
        <v>2920</v>
      </c>
      <c r="D596" t="s">
        <v>45</v>
      </c>
      <c r="E596" s="1">
        <v>4928</v>
      </c>
      <c r="F596">
        <v>2</v>
      </c>
      <c r="G596">
        <v>0</v>
      </c>
      <c r="H596">
        <v>12</v>
      </c>
      <c r="I596">
        <v>0</v>
      </c>
      <c r="J596">
        <v>0</v>
      </c>
      <c r="K596">
        <f t="shared" si="30"/>
        <v>12</v>
      </c>
      <c r="L596" s="1">
        <f t="shared" si="31"/>
        <v>0</v>
      </c>
      <c r="M596" s="1">
        <f t="shared" si="32"/>
        <v>59136</v>
      </c>
    </row>
    <row r="597" spans="1:13" customFormat="1" hidden="1" x14ac:dyDescent="0.3">
      <c r="A597" t="s">
        <v>2921</v>
      </c>
      <c r="B597" t="s">
        <v>2922</v>
      </c>
      <c r="D597" t="s">
        <v>45</v>
      </c>
      <c r="E597" s="1">
        <v>0</v>
      </c>
      <c r="F597">
        <v>1</v>
      </c>
      <c r="G597">
        <v>0</v>
      </c>
      <c r="H597">
        <v>2</v>
      </c>
      <c r="I597">
        <v>0</v>
      </c>
      <c r="J597">
        <v>0</v>
      </c>
      <c r="K597">
        <f t="shared" si="30"/>
        <v>2</v>
      </c>
      <c r="L597" s="1">
        <f t="shared" si="31"/>
        <v>0</v>
      </c>
      <c r="M597" s="1">
        <f t="shared" si="32"/>
        <v>0</v>
      </c>
    </row>
    <row r="598" spans="1:13" customFormat="1" hidden="1" x14ac:dyDescent="0.3">
      <c r="A598" t="s">
        <v>2923</v>
      </c>
      <c r="B598" t="s">
        <v>2924</v>
      </c>
      <c r="C598" t="s">
        <v>305</v>
      </c>
      <c r="D598" t="s">
        <v>45</v>
      </c>
      <c r="E598" s="1">
        <v>58.37</v>
      </c>
      <c r="F598">
        <v>6</v>
      </c>
      <c r="G598">
        <v>0</v>
      </c>
      <c r="H598">
        <v>22</v>
      </c>
      <c r="I598">
        <v>0</v>
      </c>
      <c r="J598">
        <v>0</v>
      </c>
      <c r="K598">
        <f t="shared" si="30"/>
        <v>22</v>
      </c>
      <c r="L598" s="1">
        <f t="shared" si="31"/>
        <v>0</v>
      </c>
      <c r="M598" s="1">
        <f t="shared" si="32"/>
        <v>1284.1399999999999</v>
      </c>
    </row>
    <row r="599" spans="1:13" customFormat="1" hidden="1" x14ac:dyDescent="0.3">
      <c r="A599" t="s">
        <v>2925</v>
      </c>
      <c r="B599" t="s">
        <v>2926</v>
      </c>
      <c r="C599" t="s">
        <v>2927</v>
      </c>
      <c r="D599" t="s">
        <v>45</v>
      </c>
      <c r="E599" s="1">
        <v>6.96</v>
      </c>
      <c r="F599">
        <v>38</v>
      </c>
      <c r="G599">
        <v>0</v>
      </c>
      <c r="H599">
        <v>188</v>
      </c>
      <c r="I599">
        <v>0</v>
      </c>
      <c r="J599">
        <v>0</v>
      </c>
      <c r="K599">
        <f t="shared" si="30"/>
        <v>188</v>
      </c>
      <c r="L599" s="1">
        <f t="shared" si="31"/>
        <v>0</v>
      </c>
      <c r="M599" s="1">
        <f t="shared" si="32"/>
        <v>1308.48</v>
      </c>
    </row>
    <row r="600" spans="1:13" customFormat="1" hidden="1" x14ac:dyDescent="0.3">
      <c r="A600" t="s">
        <v>2928</v>
      </c>
      <c r="B600" t="s">
        <v>2929</v>
      </c>
      <c r="C600" t="s">
        <v>165</v>
      </c>
      <c r="D600" t="s">
        <v>45</v>
      </c>
      <c r="E600" s="1">
        <v>28.75</v>
      </c>
      <c r="F600">
        <v>24</v>
      </c>
      <c r="G600">
        <v>0</v>
      </c>
      <c r="H600">
        <v>121</v>
      </c>
      <c r="I600">
        <v>0</v>
      </c>
      <c r="J600">
        <v>0</v>
      </c>
      <c r="K600">
        <f t="shared" si="30"/>
        <v>121</v>
      </c>
      <c r="L600" s="1">
        <f t="shared" si="31"/>
        <v>0</v>
      </c>
      <c r="M600" s="1">
        <f t="shared" si="32"/>
        <v>3478.75</v>
      </c>
    </row>
    <row r="601" spans="1:13" customFormat="1" hidden="1" x14ac:dyDescent="0.3">
      <c r="A601" t="s">
        <v>2930</v>
      </c>
      <c r="B601" t="s">
        <v>2931</v>
      </c>
      <c r="C601" t="s">
        <v>2927</v>
      </c>
      <c r="D601" t="s">
        <v>45</v>
      </c>
      <c r="E601" s="1">
        <v>5.22</v>
      </c>
      <c r="F601">
        <v>400</v>
      </c>
      <c r="G601">
        <v>0</v>
      </c>
      <c r="H601">
        <v>2000</v>
      </c>
      <c r="I601">
        <v>0</v>
      </c>
      <c r="J601">
        <v>0</v>
      </c>
      <c r="K601">
        <f t="shared" si="30"/>
        <v>2000</v>
      </c>
      <c r="L601" s="1">
        <f t="shared" si="31"/>
        <v>0</v>
      </c>
      <c r="M601" s="1">
        <f t="shared" si="32"/>
        <v>10440</v>
      </c>
    </row>
    <row r="602" spans="1:13" customFormat="1" hidden="1" x14ac:dyDescent="0.3">
      <c r="A602" t="s">
        <v>2932</v>
      </c>
      <c r="B602" t="s">
        <v>2933</v>
      </c>
      <c r="C602" t="s">
        <v>2927</v>
      </c>
      <c r="D602" t="s">
        <v>45</v>
      </c>
      <c r="E602" s="1">
        <v>7.11</v>
      </c>
      <c r="F602">
        <v>200</v>
      </c>
      <c r="G602">
        <v>0</v>
      </c>
      <c r="H602">
        <v>1000</v>
      </c>
      <c r="I602">
        <v>0</v>
      </c>
      <c r="J602">
        <v>0</v>
      </c>
      <c r="K602">
        <f t="shared" si="30"/>
        <v>1000</v>
      </c>
      <c r="L602" s="1">
        <f t="shared" si="31"/>
        <v>0</v>
      </c>
      <c r="M602" s="1">
        <f t="shared" si="32"/>
        <v>7110</v>
      </c>
    </row>
    <row r="603" spans="1:13" ht="43.2" x14ac:dyDescent="0.3">
      <c r="A603" s="2" t="s">
        <v>2855</v>
      </c>
      <c r="B603" s="2" t="s">
        <v>2855</v>
      </c>
      <c r="C603" s="4" t="s">
        <v>73</v>
      </c>
      <c r="D603" s="6" t="s">
        <v>45</v>
      </c>
      <c r="E603" s="5">
        <v>8</v>
      </c>
      <c r="F603" s="4">
        <v>1</v>
      </c>
      <c r="G603" s="4">
        <v>0</v>
      </c>
      <c r="H603" s="4">
        <v>2</v>
      </c>
      <c r="I603" s="4">
        <v>0</v>
      </c>
      <c r="J603" s="4">
        <v>0</v>
      </c>
      <c r="K603" s="4">
        <f t="shared" si="30"/>
        <v>2</v>
      </c>
      <c r="L603" s="5">
        <f t="shared" si="31"/>
        <v>0</v>
      </c>
      <c r="M603" s="5">
        <f t="shared" si="32"/>
        <v>16</v>
      </c>
    </row>
    <row r="604" spans="1:13" customFormat="1" hidden="1" x14ac:dyDescent="0.3">
      <c r="A604" t="s">
        <v>2936</v>
      </c>
      <c r="B604" t="s">
        <v>2937</v>
      </c>
      <c r="C604" t="s">
        <v>2938</v>
      </c>
      <c r="D604" t="s">
        <v>45</v>
      </c>
      <c r="E604" s="1">
        <v>77000</v>
      </c>
      <c r="F604">
        <v>1</v>
      </c>
      <c r="G604">
        <v>0</v>
      </c>
      <c r="H604">
        <v>3</v>
      </c>
      <c r="I604">
        <v>0</v>
      </c>
      <c r="J604">
        <v>0</v>
      </c>
      <c r="K604">
        <f t="shared" ref="K604:K641" si="33">IF(H604-I604-J604&gt;0,H604-I604-J604,0)</f>
        <v>3</v>
      </c>
      <c r="L604" s="1">
        <f t="shared" ref="L604:L641" si="34">IFERROR(I604*E604,0)</f>
        <v>0</v>
      </c>
      <c r="M604" s="1">
        <f t="shared" ref="M604:M641" si="35">IFERROR(K604*E604,0)</f>
        <v>231000</v>
      </c>
    </row>
    <row r="605" spans="1:13" customFormat="1" hidden="1" x14ac:dyDescent="0.3">
      <c r="A605" t="s">
        <v>2939</v>
      </c>
      <c r="B605" t="s">
        <v>2939</v>
      </c>
      <c r="C605" t="s">
        <v>1784</v>
      </c>
      <c r="D605" t="s">
        <v>45</v>
      </c>
      <c r="E605" s="1">
        <v>232.8</v>
      </c>
      <c r="F605">
        <v>2</v>
      </c>
      <c r="G605">
        <v>0</v>
      </c>
      <c r="H605">
        <v>10</v>
      </c>
      <c r="I605">
        <v>0</v>
      </c>
      <c r="J605">
        <v>0</v>
      </c>
      <c r="K605">
        <f t="shared" si="33"/>
        <v>10</v>
      </c>
      <c r="L605" s="1">
        <f t="shared" si="34"/>
        <v>0</v>
      </c>
      <c r="M605" s="1">
        <f t="shared" si="35"/>
        <v>2328</v>
      </c>
    </row>
    <row r="606" spans="1:13" customFormat="1" hidden="1" x14ac:dyDescent="0.3">
      <c r="A606" t="s">
        <v>2940</v>
      </c>
      <c r="B606" t="s">
        <v>2941</v>
      </c>
      <c r="C606" t="s">
        <v>1784</v>
      </c>
      <c r="D606" t="s">
        <v>45</v>
      </c>
      <c r="E606" s="1">
        <v>0</v>
      </c>
      <c r="F606">
        <v>1</v>
      </c>
      <c r="G606">
        <v>0</v>
      </c>
      <c r="H606">
        <v>5</v>
      </c>
      <c r="I606">
        <v>0</v>
      </c>
      <c r="J606">
        <v>0</v>
      </c>
      <c r="K606">
        <f t="shared" si="33"/>
        <v>5</v>
      </c>
      <c r="L606" s="1">
        <f t="shared" si="34"/>
        <v>0</v>
      </c>
      <c r="M606" s="1">
        <f t="shared" si="35"/>
        <v>0</v>
      </c>
    </row>
    <row r="607" spans="1:13" customFormat="1" hidden="1" x14ac:dyDescent="0.3">
      <c r="A607" t="s">
        <v>2942</v>
      </c>
      <c r="B607" t="s">
        <v>2943</v>
      </c>
      <c r="C607" t="s">
        <v>1784</v>
      </c>
      <c r="D607" t="s">
        <v>45</v>
      </c>
      <c r="E607" s="1">
        <v>0</v>
      </c>
      <c r="F607">
        <v>1</v>
      </c>
      <c r="G607">
        <v>0</v>
      </c>
      <c r="H607">
        <v>5</v>
      </c>
      <c r="I607">
        <v>0</v>
      </c>
      <c r="J607">
        <v>0</v>
      </c>
      <c r="K607">
        <f t="shared" si="33"/>
        <v>5</v>
      </c>
      <c r="L607" s="1">
        <f t="shared" si="34"/>
        <v>0</v>
      </c>
      <c r="M607" s="1">
        <f t="shared" si="35"/>
        <v>0</v>
      </c>
    </row>
    <row r="608" spans="1:13" customFormat="1" hidden="1" x14ac:dyDescent="0.3">
      <c r="A608" t="s">
        <v>2944</v>
      </c>
      <c r="B608" t="s">
        <v>2944</v>
      </c>
      <c r="C608" t="s">
        <v>1784</v>
      </c>
      <c r="D608" t="s">
        <v>45</v>
      </c>
      <c r="E608" s="1">
        <v>81.489999999999995</v>
      </c>
      <c r="F608">
        <v>1</v>
      </c>
      <c r="G608">
        <v>0</v>
      </c>
      <c r="H608">
        <v>5</v>
      </c>
      <c r="I608">
        <v>0</v>
      </c>
      <c r="J608">
        <v>0</v>
      </c>
      <c r="K608">
        <f t="shared" si="33"/>
        <v>5</v>
      </c>
      <c r="L608" s="1">
        <f t="shared" si="34"/>
        <v>0</v>
      </c>
      <c r="M608" s="1">
        <f t="shared" si="35"/>
        <v>407.45</v>
      </c>
    </row>
    <row r="609" spans="1:13" customFormat="1" hidden="1" x14ac:dyDescent="0.3">
      <c r="A609" t="s">
        <v>2945</v>
      </c>
      <c r="B609" t="s">
        <v>2946</v>
      </c>
      <c r="C609" t="s">
        <v>967</v>
      </c>
      <c r="D609" t="s">
        <v>45</v>
      </c>
      <c r="E609" s="1">
        <v>0</v>
      </c>
      <c r="F609">
        <v>1</v>
      </c>
      <c r="G609">
        <v>0</v>
      </c>
      <c r="H609">
        <v>2</v>
      </c>
      <c r="I609">
        <v>0</v>
      </c>
      <c r="J609">
        <v>0</v>
      </c>
      <c r="K609">
        <f t="shared" si="33"/>
        <v>2</v>
      </c>
      <c r="L609" s="1">
        <f t="shared" si="34"/>
        <v>0</v>
      </c>
      <c r="M609" s="1">
        <f t="shared" si="35"/>
        <v>0</v>
      </c>
    </row>
    <row r="610" spans="1:13" customFormat="1" hidden="1" x14ac:dyDescent="0.3">
      <c r="A610" t="s">
        <v>2947</v>
      </c>
      <c r="B610" t="s">
        <v>2948</v>
      </c>
      <c r="C610" t="s">
        <v>252</v>
      </c>
      <c r="D610" t="s">
        <v>45</v>
      </c>
      <c r="E610" s="1">
        <v>1447.5</v>
      </c>
      <c r="F610">
        <v>1</v>
      </c>
      <c r="G610">
        <v>0</v>
      </c>
      <c r="H610">
        <v>3</v>
      </c>
      <c r="I610">
        <v>0</v>
      </c>
      <c r="J610">
        <v>0</v>
      </c>
      <c r="K610">
        <f t="shared" si="33"/>
        <v>3</v>
      </c>
      <c r="L610" s="1">
        <f t="shared" si="34"/>
        <v>0</v>
      </c>
      <c r="M610" s="1">
        <f t="shared" si="35"/>
        <v>4342.5</v>
      </c>
    </row>
    <row r="611" spans="1:13" customFormat="1" hidden="1" x14ac:dyDescent="0.3">
      <c r="A611" t="s">
        <v>2949</v>
      </c>
      <c r="B611" t="s">
        <v>2950</v>
      </c>
      <c r="C611" t="s">
        <v>70</v>
      </c>
      <c r="D611" t="s">
        <v>45</v>
      </c>
      <c r="E611" s="1">
        <v>537.5</v>
      </c>
      <c r="F611">
        <v>1</v>
      </c>
      <c r="G611">
        <v>0</v>
      </c>
      <c r="H611">
        <v>2</v>
      </c>
      <c r="I611">
        <v>0</v>
      </c>
      <c r="J611">
        <v>0</v>
      </c>
      <c r="K611">
        <f t="shared" si="33"/>
        <v>2</v>
      </c>
      <c r="L611" s="1">
        <f t="shared" si="34"/>
        <v>0</v>
      </c>
      <c r="M611" s="1">
        <f t="shared" si="35"/>
        <v>1075</v>
      </c>
    </row>
    <row r="612" spans="1:13" customFormat="1" hidden="1" x14ac:dyDescent="0.3">
      <c r="A612" t="s">
        <v>2951</v>
      </c>
      <c r="B612" t="s">
        <v>2952</v>
      </c>
      <c r="C612" t="s">
        <v>1891</v>
      </c>
      <c r="D612" t="s">
        <v>45</v>
      </c>
      <c r="E612" s="1">
        <v>2965.69</v>
      </c>
      <c r="F612">
        <v>1</v>
      </c>
      <c r="G612">
        <v>0</v>
      </c>
      <c r="H612">
        <v>3</v>
      </c>
      <c r="I612">
        <v>0</v>
      </c>
      <c r="J612">
        <v>0</v>
      </c>
      <c r="K612">
        <f t="shared" si="33"/>
        <v>3</v>
      </c>
      <c r="L612" s="1">
        <f t="shared" si="34"/>
        <v>0</v>
      </c>
      <c r="M612" s="1">
        <f t="shared" si="35"/>
        <v>8897.07</v>
      </c>
    </row>
    <row r="613" spans="1:13" customFormat="1" hidden="1" x14ac:dyDescent="0.3">
      <c r="A613" t="s">
        <v>2953</v>
      </c>
      <c r="B613" t="s">
        <v>2954</v>
      </c>
      <c r="C613" t="s">
        <v>1801</v>
      </c>
      <c r="D613" t="s">
        <v>45</v>
      </c>
      <c r="E613" s="1">
        <v>3808.9</v>
      </c>
      <c r="F613">
        <v>1</v>
      </c>
      <c r="G613">
        <v>0</v>
      </c>
      <c r="H613">
        <v>5</v>
      </c>
      <c r="I613">
        <v>0</v>
      </c>
      <c r="J613">
        <v>0</v>
      </c>
      <c r="K613">
        <f t="shared" si="33"/>
        <v>5</v>
      </c>
      <c r="L613" s="1">
        <f t="shared" si="34"/>
        <v>0</v>
      </c>
      <c r="M613" s="1">
        <f t="shared" si="35"/>
        <v>19044.5</v>
      </c>
    </row>
    <row r="614" spans="1:13" customFormat="1" hidden="1" x14ac:dyDescent="0.3">
      <c r="A614" t="s">
        <v>2955</v>
      </c>
      <c r="B614" t="s">
        <v>2956</v>
      </c>
      <c r="D614" t="s">
        <v>45</v>
      </c>
      <c r="E614" s="1">
        <v>0</v>
      </c>
      <c r="F614">
        <v>1</v>
      </c>
      <c r="G614">
        <v>0</v>
      </c>
      <c r="H614">
        <v>2</v>
      </c>
      <c r="I614">
        <v>0</v>
      </c>
      <c r="J614">
        <v>0</v>
      </c>
      <c r="K614">
        <f t="shared" si="33"/>
        <v>2</v>
      </c>
      <c r="L614" s="1">
        <f t="shared" si="34"/>
        <v>0</v>
      </c>
      <c r="M614" s="1">
        <f t="shared" si="35"/>
        <v>0</v>
      </c>
    </row>
    <row r="615" spans="1:13" customFormat="1" hidden="1" x14ac:dyDescent="0.3">
      <c r="A615" t="s">
        <v>2957</v>
      </c>
      <c r="B615" t="s">
        <v>2958</v>
      </c>
      <c r="C615" t="s">
        <v>2169</v>
      </c>
      <c r="D615" t="s">
        <v>45</v>
      </c>
      <c r="E615" s="1">
        <v>5600</v>
      </c>
      <c r="F615">
        <v>1</v>
      </c>
      <c r="G615">
        <v>0</v>
      </c>
      <c r="H615">
        <v>2</v>
      </c>
      <c r="I615">
        <v>0</v>
      </c>
      <c r="J615">
        <v>0</v>
      </c>
      <c r="K615">
        <f t="shared" si="33"/>
        <v>2</v>
      </c>
      <c r="L615" s="1">
        <f t="shared" si="34"/>
        <v>0</v>
      </c>
      <c r="M615" s="1">
        <f t="shared" si="35"/>
        <v>11200</v>
      </c>
    </row>
    <row r="616" spans="1:13" customFormat="1" hidden="1" x14ac:dyDescent="0.3">
      <c r="A616" t="s">
        <v>2959</v>
      </c>
      <c r="B616" t="s">
        <v>2485</v>
      </c>
      <c r="D616" t="s">
        <v>45</v>
      </c>
      <c r="E616" s="1">
        <v>0</v>
      </c>
      <c r="F616">
        <v>1</v>
      </c>
      <c r="G616">
        <v>0</v>
      </c>
      <c r="H616">
        <v>2</v>
      </c>
      <c r="I616">
        <v>0</v>
      </c>
      <c r="J616">
        <v>0</v>
      </c>
      <c r="K616">
        <f t="shared" si="33"/>
        <v>2</v>
      </c>
      <c r="L616" s="1">
        <f t="shared" si="34"/>
        <v>0</v>
      </c>
      <c r="M616" s="1">
        <f t="shared" si="35"/>
        <v>0</v>
      </c>
    </row>
    <row r="617" spans="1:13" customFormat="1" hidden="1" x14ac:dyDescent="0.3">
      <c r="A617" t="s">
        <v>2960</v>
      </c>
      <c r="B617" t="s">
        <v>2961</v>
      </c>
      <c r="C617" t="s">
        <v>121</v>
      </c>
      <c r="D617" t="s">
        <v>45</v>
      </c>
      <c r="E617" s="1">
        <v>243.48</v>
      </c>
      <c r="F617">
        <v>1</v>
      </c>
      <c r="G617">
        <v>0</v>
      </c>
      <c r="H617">
        <v>2</v>
      </c>
      <c r="I617">
        <v>0</v>
      </c>
      <c r="J617">
        <v>0</v>
      </c>
      <c r="K617">
        <f t="shared" si="33"/>
        <v>2</v>
      </c>
      <c r="L617" s="1">
        <f t="shared" si="34"/>
        <v>0</v>
      </c>
      <c r="M617" s="1">
        <f t="shared" si="35"/>
        <v>486.96</v>
      </c>
    </row>
    <row r="618" spans="1:13" customFormat="1" hidden="1" x14ac:dyDescent="0.3">
      <c r="A618" t="s">
        <v>2962</v>
      </c>
      <c r="B618" t="s">
        <v>2963</v>
      </c>
      <c r="C618" t="s">
        <v>273</v>
      </c>
      <c r="D618" t="s">
        <v>45</v>
      </c>
      <c r="E618" s="1">
        <v>7907</v>
      </c>
      <c r="F618">
        <v>7</v>
      </c>
      <c r="G618">
        <v>0</v>
      </c>
      <c r="H618">
        <v>19</v>
      </c>
      <c r="I618">
        <v>0</v>
      </c>
      <c r="J618">
        <v>0</v>
      </c>
      <c r="K618">
        <f t="shared" si="33"/>
        <v>19</v>
      </c>
      <c r="L618" s="1">
        <f t="shared" si="34"/>
        <v>0</v>
      </c>
      <c r="M618" s="1">
        <f t="shared" si="35"/>
        <v>150233</v>
      </c>
    </row>
    <row r="619" spans="1:13" customFormat="1" hidden="1" x14ac:dyDescent="0.3">
      <c r="A619" t="s">
        <v>2964</v>
      </c>
      <c r="B619" t="s">
        <v>2965</v>
      </c>
      <c r="C619" t="s">
        <v>273</v>
      </c>
      <c r="D619" t="s">
        <v>45</v>
      </c>
      <c r="E619" s="1">
        <v>2985</v>
      </c>
      <c r="F619">
        <v>9</v>
      </c>
      <c r="G619">
        <v>0</v>
      </c>
      <c r="H619">
        <v>45</v>
      </c>
      <c r="I619">
        <v>0</v>
      </c>
      <c r="J619">
        <v>0</v>
      </c>
      <c r="K619">
        <f t="shared" si="33"/>
        <v>45</v>
      </c>
      <c r="L619" s="1">
        <f t="shared" si="34"/>
        <v>0</v>
      </c>
      <c r="M619" s="1">
        <f t="shared" si="35"/>
        <v>134325</v>
      </c>
    </row>
    <row r="620" spans="1:13" customFormat="1" hidden="1" x14ac:dyDescent="0.3">
      <c r="A620" t="s">
        <v>2966</v>
      </c>
      <c r="B620" t="s">
        <v>2967</v>
      </c>
      <c r="D620" t="s">
        <v>45</v>
      </c>
      <c r="E620" s="1">
        <v>0</v>
      </c>
      <c r="F620">
        <v>1</v>
      </c>
      <c r="G620">
        <v>0</v>
      </c>
      <c r="H620">
        <v>2</v>
      </c>
      <c r="I620">
        <v>0</v>
      </c>
      <c r="J620">
        <v>0</v>
      </c>
      <c r="K620">
        <f t="shared" si="33"/>
        <v>2</v>
      </c>
      <c r="L620" s="1">
        <f t="shared" si="34"/>
        <v>0</v>
      </c>
      <c r="M620" s="1">
        <f t="shared" si="35"/>
        <v>0</v>
      </c>
    </row>
    <row r="621" spans="1:13" customFormat="1" hidden="1" x14ac:dyDescent="0.3">
      <c r="A621" t="s">
        <v>2968</v>
      </c>
      <c r="B621" t="s">
        <v>2968</v>
      </c>
      <c r="C621" t="s">
        <v>2391</v>
      </c>
      <c r="D621" t="s">
        <v>45</v>
      </c>
      <c r="E621" s="1">
        <v>41745.449999999997</v>
      </c>
      <c r="F621">
        <v>1</v>
      </c>
      <c r="G621">
        <v>0</v>
      </c>
      <c r="H621">
        <v>2</v>
      </c>
      <c r="I621">
        <v>0</v>
      </c>
      <c r="J621">
        <v>0</v>
      </c>
      <c r="K621">
        <f t="shared" si="33"/>
        <v>2</v>
      </c>
      <c r="L621" s="1">
        <f t="shared" si="34"/>
        <v>0</v>
      </c>
      <c r="M621" s="1">
        <f t="shared" si="35"/>
        <v>83490.899999999994</v>
      </c>
    </row>
    <row r="622" spans="1:13" customFormat="1" hidden="1" x14ac:dyDescent="0.3">
      <c r="A622" t="s">
        <v>2969</v>
      </c>
      <c r="B622" t="s">
        <v>2970</v>
      </c>
      <c r="C622" t="s">
        <v>2383</v>
      </c>
      <c r="D622" t="s">
        <v>45</v>
      </c>
      <c r="E622" s="1">
        <v>1050</v>
      </c>
      <c r="F622">
        <v>13</v>
      </c>
      <c r="G622">
        <v>0</v>
      </c>
      <c r="H622">
        <v>45</v>
      </c>
      <c r="I622">
        <v>0</v>
      </c>
      <c r="J622">
        <v>0</v>
      </c>
      <c r="K622">
        <f t="shared" si="33"/>
        <v>45</v>
      </c>
      <c r="L622" s="1">
        <f t="shared" si="34"/>
        <v>0</v>
      </c>
      <c r="M622" s="1">
        <f t="shared" si="35"/>
        <v>47250</v>
      </c>
    </row>
    <row r="623" spans="1:13" customFormat="1" hidden="1" x14ac:dyDescent="0.3">
      <c r="A623" t="s">
        <v>2971</v>
      </c>
      <c r="B623" t="s">
        <v>2972</v>
      </c>
      <c r="C623" t="s">
        <v>70</v>
      </c>
      <c r="D623" t="s">
        <v>45</v>
      </c>
      <c r="E623" s="1">
        <v>0</v>
      </c>
      <c r="F623">
        <v>4</v>
      </c>
      <c r="G623">
        <v>0</v>
      </c>
      <c r="H623">
        <v>22</v>
      </c>
      <c r="I623">
        <v>0</v>
      </c>
      <c r="J623">
        <v>0</v>
      </c>
      <c r="K623">
        <f t="shared" si="33"/>
        <v>22</v>
      </c>
      <c r="L623" s="1">
        <f t="shared" si="34"/>
        <v>0</v>
      </c>
      <c r="M623" s="1">
        <f t="shared" si="35"/>
        <v>0</v>
      </c>
    </row>
    <row r="624" spans="1:13" customFormat="1" hidden="1" x14ac:dyDescent="0.3">
      <c r="A624" t="s">
        <v>2973</v>
      </c>
      <c r="B624" t="s">
        <v>2974</v>
      </c>
      <c r="C624" t="s">
        <v>2975</v>
      </c>
      <c r="D624" t="s">
        <v>45</v>
      </c>
      <c r="E624" s="1">
        <v>0.63</v>
      </c>
      <c r="F624">
        <v>200</v>
      </c>
      <c r="G624">
        <v>0</v>
      </c>
      <c r="H624">
        <v>1000</v>
      </c>
      <c r="I624">
        <v>0</v>
      </c>
      <c r="J624">
        <v>0</v>
      </c>
      <c r="K624">
        <f t="shared" si="33"/>
        <v>1000</v>
      </c>
      <c r="L624" s="1">
        <f t="shared" si="34"/>
        <v>0</v>
      </c>
      <c r="M624" s="1">
        <f t="shared" si="35"/>
        <v>630</v>
      </c>
    </row>
    <row r="625" spans="1:13" customFormat="1" hidden="1" x14ac:dyDescent="0.3">
      <c r="A625" t="s">
        <v>2976</v>
      </c>
      <c r="B625" t="s">
        <v>2977</v>
      </c>
      <c r="C625" t="s">
        <v>2975</v>
      </c>
      <c r="D625" t="s">
        <v>45</v>
      </c>
      <c r="E625" s="1">
        <v>0.7</v>
      </c>
      <c r="F625">
        <v>200</v>
      </c>
      <c r="G625">
        <v>0</v>
      </c>
      <c r="H625">
        <v>1000</v>
      </c>
      <c r="I625">
        <v>0</v>
      </c>
      <c r="J625">
        <v>0</v>
      </c>
      <c r="K625">
        <f t="shared" si="33"/>
        <v>1000</v>
      </c>
      <c r="L625" s="1">
        <f t="shared" si="34"/>
        <v>0</v>
      </c>
      <c r="M625" s="1">
        <f t="shared" si="35"/>
        <v>700</v>
      </c>
    </row>
    <row r="626" spans="1:13" customFormat="1" hidden="1" x14ac:dyDescent="0.3">
      <c r="A626" t="s">
        <v>2978</v>
      </c>
      <c r="B626" t="s">
        <v>2979</v>
      </c>
      <c r="C626" t="s">
        <v>2975</v>
      </c>
      <c r="D626" t="s">
        <v>45</v>
      </c>
      <c r="E626" s="1">
        <v>0.91</v>
      </c>
      <c r="F626">
        <v>200</v>
      </c>
      <c r="G626">
        <v>0</v>
      </c>
      <c r="H626">
        <v>1000</v>
      </c>
      <c r="I626">
        <v>0</v>
      </c>
      <c r="J626">
        <v>0</v>
      </c>
      <c r="K626">
        <f t="shared" si="33"/>
        <v>1000</v>
      </c>
      <c r="L626" s="1">
        <f t="shared" si="34"/>
        <v>0</v>
      </c>
      <c r="M626" s="1">
        <f t="shared" si="35"/>
        <v>910</v>
      </c>
    </row>
    <row r="627" spans="1:13" customFormat="1" hidden="1" x14ac:dyDescent="0.3">
      <c r="A627" t="s">
        <v>2980</v>
      </c>
      <c r="B627" t="s">
        <v>2981</v>
      </c>
      <c r="C627" t="s">
        <v>91</v>
      </c>
      <c r="D627" t="s">
        <v>45</v>
      </c>
      <c r="E627" s="1">
        <v>99.25</v>
      </c>
      <c r="F627">
        <v>1</v>
      </c>
      <c r="G627">
        <v>0</v>
      </c>
      <c r="H627">
        <v>2</v>
      </c>
      <c r="I627">
        <v>0</v>
      </c>
      <c r="J627">
        <v>0</v>
      </c>
      <c r="K627">
        <f t="shared" si="33"/>
        <v>2</v>
      </c>
      <c r="L627" s="1">
        <f t="shared" si="34"/>
        <v>0</v>
      </c>
      <c r="M627" s="1">
        <f t="shared" si="35"/>
        <v>198.5</v>
      </c>
    </row>
    <row r="628" spans="1:13" customFormat="1" hidden="1" x14ac:dyDescent="0.3">
      <c r="A628" t="s">
        <v>2982</v>
      </c>
      <c r="B628" t="s">
        <v>2983</v>
      </c>
      <c r="C628" t="s">
        <v>91</v>
      </c>
      <c r="D628" t="s">
        <v>45</v>
      </c>
      <c r="E628" s="1">
        <v>129.4</v>
      </c>
      <c r="F628">
        <v>2</v>
      </c>
      <c r="G628">
        <v>0</v>
      </c>
      <c r="H628">
        <v>8</v>
      </c>
      <c r="I628">
        <v>0</v>
      </c>
      <c r="J628">
        <v>0</v>
      </c>
      <c r="K628">
        <f t="shared" si="33"/>
        <v>8</v>
      </c>
      <c r="L628" s="1">
        <f t="shared" si="34"/>
        <v>0</v>
      </c>
      <c r="M628" s="1">
        <f t="shared" si="35"/>
        <v>1035.2</v>
      </c>
    </row>
    <row r="629" spans="1:13" customFormat="1" hidden="1" x14ac:dyDescent="0.3">
      <c r="A629" t="s">
        <v>2984</v>
      </c>
      <c r="B629" t="s">
        <v>2985</v>
      </c>
      <c r="C629" t="s">
        <v>91</v>
      </c>
      <c r="D629" t="s">
        <v>45</v>
      </c>
      <c r="E629" s="1">
        <v>151.63</v>
      </c>
      <c r="F629">
        <v>1</v>
      </c>
      <c r="G629">
        <v>0</v>
      </c>
      <c r="H629">
        <v>2</v>
      </c>
      <c r="I629">
        <v>0</v>
      </c>
      <c r="J629">
        <v>0</v>
      </c>
      <c r="K629">
        <f t="shared" si="33"/>
        <v>2</v>
      </c>
      <c r="L629" s="1">
        <f t="shared" si="34"/>
        <v>0</v>
      </c>
      <c r="M629" s="1">
        <f t="shared" si="35"/>
        <v>303.26</v>
      </c>
    </row>
    <row r="630" spans="1:13" customFormat="1" hidden="1" x14ac:dyDescent="0.3">
      <c r="A630" t="s">
        <v>2986</v>
      </c>
      <c r="B630" t="s">
        <v>2987</v>
      </c>
      <c r="C630" t="s">
        <v>2054</v>
      </c>
      <c r="D630" t="s">
        <v>45</v>
      </c>
      <c r="E630" s="1">
        <v>550</v>
      </c>
      <c r="F630">
        <v>1</v>
      </c>
      <c r="G630">
        <v>0</v>
      </c>
      <c r="H630">
        <v>2</v>
      </c>
      <c r="I630">
        <v>0</v>
      </c>
      <c r="J630">
        <v>0</v>
      </c>
      <c r="K630">
        <f t="shared" si="33"/>
        <v>2</v>
      </c>
      <c r="L630" s="1">
        <f t="shared" si="34"/>
        <v>0</v>
      </c>
      <c r="M630" s="1">
        <f t="shared" si="35"/>
        <v>1100</v>
      </c>
    </row>
    <row r="631" spans="1:13" customFormat="1" hidden="1" x14ac:dyDescent="0.3">
      <c r="A631" t="s">
        <v>2988</v>
      </c>
      <c r="B631" t="s">
        <v>2989</v>
      </c>
      <c r="C631" t="s">
        <v>1171</v>
      </c>
      <c r="D631" t="s">
        <v>45</v>
      </c>
      <c r="E631" s="1">
        <v>2431.5</v>
      </c>
      <c r="F631">
        <v>1</v>
      </c>
      <c r="G631">
        <v>0</v>
      </c>
      <c r="H631">
        <v>2</v>
      </c>
      <c r="I631">
        <v>0</v>
      </c>
      <c r="J631">
        <v>0</v>
      </c>
      <c r="K631">
        <f t="shared" si="33"/>
        <v>2</v>
      </c>
      <c r="L631" s="1">
        <f t="shared" si="34"/>
        <v>0</v>
      </c>
      <c r="M631" s="1">
        <f t="shared" si="35"/>
        <v>4863</v>
      </c>
    </row>
    <row r="632" spans="1:13" customFormat="1" hidden="1" x14ac:dyDescent="0.3">
      <c r="A632" t="s">
        <v>2990</v>
      </c>
      <c r="B632" t="s">
        <v>2991</v>
      </c>
      <c r="C632" t="s">
        <v>1171</v>
      </c>
      <c r="D632" t="s">
        <v>45</v>
      </c>
      <c r="E632" s="1">
        <v>2193</v>
      </c>
      <c r="F632">
        <v>1</v>
      </c>
      <c r="G632">
        <v>0</v>
      </c>
      <c r="H632">
        <v>3</v>
      </c>
      <c r="I632">
        <v>0</v>
      </c>
      <c r="J632">
        <v>0</v>
      </c>
      <c r="K632">
        <f t="shared" si="33"/>
        <v>3</v>
      </c>
      <c r="L632" s="1">
        <f t="shared" si="34"/>
        <v>0</v>
      </c>
      <c r="M632" s="1">
        <f t="shared" si="35"/>
        <v>6579</v>
      </c>
    </row>
    <row r="633" spans="1:13" customFormat="1" hidden="1" x14ac:dyDescent="0.3">
      <c r="A633" t="s">
        <v>2992</v>
      </c>
      <c r="B633" t="s">
        <v>2993</v>
      </c>
      <c r="C633" t="s">
        <v>118</v>
      </c>
      <c r="D633" t="s">
        <v>45</v>
      </c>
      <c r="E633" s="1">
        <v>15100</v>
      </c>
      <c r="F633">
        <v>1</v>
      </c>
      <c r="G633">
        <v>0</v>
      </c>
      <c r="H633">
        <v>2</v>
      </c>
      <c r="I633">
        <v>0</v>
      </c>
      <c r="J633">
        <v>0</v>
      </c>
      <c r="K633">
        <f t="shared" si="33"/>
        <v>2</v>
      </c>
      <c r="L633" s="1">
        <f t="shared" si="34"/>
        <v>0</v>
      </c>
      <c r="M633" s="1">
        <f t="shared" si="35"/>
        <v>30200</v>
      </c>
    </row>
    <row r="634" spans="1:13" customFormat="1" hidden="1" x14ac:dyDescent="0.3">
      <c r="A634" t="s">
        <v>2994</v>
      </c>
      <c r="B634" t="s">
        <v>2995</v>
      </c>
      <c r="C634" t="s">
        <v>2110</v>
      </c>
      <c r="D634" t="s">
        <v>45</v>
      </c>
      <c r="E634" s="1">
        <v>202.45</v>
      </c>
      <c r="F634">
        <v>6</v>
      </c>
      <c r="G634">
        <v>0</v>
      </c>
      <c r="H634">
        <v>30</v>
      </c>
      <c r="I634">
        <v>0</v>
      </c>
      <c r="J634">
        <v>0</v>
      </c>
      <c r="K634">
        <f t="shared" si="33"/>
        <v>30</v>
      </c>
      <c r="L634" s="1">
        <f t="shared" si="34"/>
        <v>0</v>
      </c>
      <c r="M634" s="1">
        <f t="shared" si="35"/>
        <v>6073.5</v>
      </c>
    </row>
    <row r="635" spans="1:13" customFormat="1" hidden="1" x14ac:dyDescent="0.3">
      <c r="A635" t="s">
        <v>2996</v>
      </c>
      <c r="B635" t="s">
        <v>2997</v>
      </c>
      <c r="D635" t="s">
        <v>45</v>
      </c>
      <c r="E635" s="1">
        <v>0</v>
      </c>
      <c r="F635">
        <v>1</v>
      </c>
      <c r="G635">
        <v>0</v>
      </c>
      <c r="H635">
        <v>5</v>
      </c>
      <c r="I635">
        <v>0</v>
      </c>
      <c r="J635">
        <v>0</v>
      </c>
      <c r="K635">
        <f t="shared" si="33"/>
        <v>5</v>
      </c>
      <c r="L635" s="1">
        <f t="shared" si="34"/>
        <v>0</v>
      </c>
      <c r="M635" s="1">
        <f t="shared" si="35"/>
        <v>0</v>
      </c>
    </row>
    <row r="636" spans="1:13" customFormat="1" hidden="1" x14ac:dyDescent="0.3">
      <c r="A636" t="s">
        <v>2998</v>
      </c>
      <c r="B636" t="s">
        <v>2999</v>
      </c>
      <c r="C636" t="s">
        <v>2508</v>
      </c>
      <c r="D636" t="s">
        <v>45</v>
      </c>
      <c r="E636" s="1">
        <v>1.69</v>
      </c>
      <c r="F636">
        <v>38</v>
      </c>
      <c r="G636">
        <v>0</v>
      </c>
      <c r="H636">
        <v>188</v>
      </c>
      <c r="I636">
        <v>0</v>
      </c>
      <c r="J636">
        <v>0</v>
      </c>
      <c r="K636">
        <f t="shared" si="33"/>
        <v>188</v>
      </c>
      <c r="L636" s="1">
        <f t="shared" si="34"/>
        <v>0</v>
      </c>
      <c r="M636" s="1">
        <f t="shared" si="35"/>
        <v>317.71999999999997</v>
      </c>
    </row>
    <row r="637" spans="1:13" customFormat="1" hidden="1" x14ac:dyDescent="0.3">
      <c r="A637" t="s">
        <v>3000</v>
      </c>
      <c r="B637" t="s">
        <v>3001</v>
      </c>
      <c r="C637" t="s">
        <v>974</v>
      </c>
      <c r="D637" t="s">
        <v>45</v>
      </c>
      <c r="E637" s="1">
        <v>22683.25</v>
      </c>
      <c r="F637">
        <v>2</v>
      </c>
      <c r="G637">
        <v>0</v>
      </c>
      <c r="H637">
        <v>4</v>
      </c>
      <c r="I637">
        <v>0</v>
      </c>
      <c r="J637">
        <v>0</v>
      </c>
      <c r="K637">
        <f t="shared" si="33"/>
        <v>4</v>
      </c>
      <c r="L637" s="1">
        <f t="shared" si="34"/>
        <v>0</v>
      </c>
      <c r="M637" s="1">
        <f t="shared" si="35"/>
        <v>90733</v>
      </c>
    </row>
    <row r="638" spans="1:13" customFormat="1" hidden="1" x14ac:dyDescent="0.3">
      <c r="A638" t="s">
        <v>3002</v>
      </c>
      <c r="B638" t="s">
        <v>3003</v>
      </c>
      <c r="C638" t="s">
        <v>974</v>
      </c>
      <c r="D638" t="s">
        <v>45</v>
      </c>
      <c r="E638" s="1">
        <v>25116.89</v>
      </c>
      <c r="F638">
        <v>2</v>
      </c>
      <c r="G638">
        <v>0</v>
      </c>
      <c r="H638">
        <v>4</v>
      </c>
      <c r="I638">
        <v>0</v>
      </c>
      <c r="J638">
        <v>0</v>
      </c>
      <c r="K638">
        <f t="shared" si="33"/>
        <v>4</v>
      </c>
      <c r="L638" s="1">
        <f t="shared" si="34"/>
        <v>0</v>
      </c>
      <c r="M638" s="1">
        <f t="shared" si="35"/>
        <v>100467.56</v>
      </c>
    </row>
    <row r="639" spans="1:13" customFormat="1" hidden="1" x14ac:dyDescent="0.3">
      <c r="A639" t="s">
        <v>3004</v>
      </c>
      <c r="B639" t="s">
        <v>3005</v>
      </c>
      <c r="C639" t="s">
        <v>974</v>
      </c>
      <c r="D639" t="s">
        <v>45</v>
      </c>
      <c r="E639" s="1">
        <v>30493.09</v>
      </c>
      <c r="F639">
        <v>4</v>
      </c>
      <c r="G639">
        <v>0</v>
      </c>
      <c r="H639">
        <v>8</v>
      </c>
      <c r="I639">
        <v>0</v>
      </c>
      <c r="J639">
        <v>1</v>
      </c>
      <c r="K639">
        <f t="shared" si="33"/>
        <v>7</v>
      </c>
      <c r="L639" s="1">
        <f t="shared" si="34"/>
        <v>0</v>
      </c>
      <c r="M639" s="1">
        <f t="shared" si="35"/>
        <v>213451.63</v>
      </c>
    </row>
    <row r="640" spans="1:13" customFormat="1" hidden="1" x14ac:dyDescent="0.3">
      <c r="A640" t="s">
        <v>3006</v>
      </c>
      <c r="B640" t="s">
        <v>3007</v>
      </c>
      <c r="C640" t="s">
        <v>974</v>
      </c>
      <c r="D640" t="s">
        <v>45</v>
      </c>
      <c r="E640" s="1">
        <v>34813.1</v>
      </c>
      <c r="F640">
        <v>2</v>
      </c>
      <c r="G640">
        <v>0</v>
      </c>
      <c r="H640">
        <v>4</v>
      </c>
      <c r="I640">
        <v>0</v>
      </c>
      <c r="J640">
        <v>0</v>
      </c>
      <c r="K640">
        <f t="shared" si="33"/>
        <v>4</v>
      </c>
      <c r="L640" s="1">
        <f t="shared" si="34"/>
        <v>0</v>
      </c>
      <c r="M640" s="1">
        <f t="shared" si="35"/>
        <v>139252.4</v>
      </c>
    </row>
    <row r="641" spans="1:13" customFormat="1" hidden="1" x14ac:dyDescent="0.3">
      <c r="A641" t="s">
        <v>3008</v>
      </c>
      <c r="B641" t="s">
        <v>3009</v>
      </c>
      <c r="C641" t="s">
        <v>974</v>
      </c>
      <c r="D641" t="s">
        <v>45</v>
      </c>
      <c r="E641" s="1">
        <v>45412</v>
      </c>
      <c r="F641">
        <v>2</v>
      </c>
      <c r="G641">
        <v>0</v>
      </c>
      <c r="H641">
        <v>4</v>
      </c>
      <c r="I641">
        <v>0</v>
      </c>
      <c r="J641">
        <v>1</v>
      </c>
      <c r="K641">
        <f t="shared" si="33"/>
        <v>3</v>
      </c>
      <c r="L641" s="1">
        <f t="shared" si="34"/>
        <v>0</v>
      </c>
      <c r="M641" s="1">
        <f t="shared" si="35"/>
        <v>136236</v>
      </c>
    </row>
    <row r="642" spans="1:13" customFormat="1" hidden="1" x14ac:dyDescent="0.3">
      <c r="A642" t="s">
        <v>3010</v>
      </c>
      <c r="B642" t="s">
        <v>3011</v>
      </c>
      <c r="C642" t="s">
        <v>974</v>
      </c>
      <c r="D642" t="s">
        <v>45</v>
      </c>
      <c r="E642" s="1">
        <v>45524.959999999999</v>
      </c>
      <c r="F642">
        <v>2</v>
      </c>
      <c r="G642">
        <v>0</v>
      </c>
      <c r="H642">
        <v>4</v>
      </c>
      <c r="I642">
        <v>0</v>
      </c>
      <c r="J642">
        <v>3</v>
      </c>
      <c r="K642">
        <f t="shared" ref="K642:K705" si="36">IF(H642-I642-J642&gt;0,H642-I642-J642,0)</f>
        <v>1</v>
      </c>
      <c r="L642" s="1">
        <f t="shared" ref="L642:L705" si="37">IFERROR(I642*E642,0)</f>
        <v>0</v>
      </c>
      <c r="M642" s="1">
        <f t="shared" ref="M642:M705" si="38">IFERROR(K642*E642,0)</f>
        <v>45524.959999999999</v>
      </c>
    </row>
    <row r="643" spans="1:13" customFormat="1" hidden="1" x14ac:dyDescent="0.3">
      <c r="A643" t="s">
        <v>3012</v>
      </c>
      <c r="B643" t="s">
        <v>3013</v>
      </c>
      <c r="C643" t="s">
        <v>974</v>
      </c>
      <c r="D643" t="s">
        <v>45</v>
      </c>
      <c r="E643" s="1">
        <v>88303.76</v>
      </c>
      <c r="F643">
        <v>2</v>
      </c>
      <c r="G643">
        <v>0</v>
      </c>
      <c r="H643">
        <v>4</v>
      </c>
      <c r="I643">
        <v>0</v>
      </c>
      <c r="J643">
        <v>0</v>
      </c>
      <c r="K643">
        <f t="shared" si="36"/>
        <v>4</v>
      </c>
      <c r="L643" s="1">
        <f t="shared" si="37"/>
        <v>0</v>
      </c>
      <c r="M643" s="1">
        <f t="shared" si="38"/>
        <v>353215.04</v>
      </c>
    </row>
    <row r="644" spans="1:13" customFormat="1" hidden="1" x14ac:dyDescent="0.3">
      <c r="A644" t="s">
        <v>3014</v>
      </c>
      <c r="B644" t="s">
        <v>3015</v>
      </c>
      <c r="C644" t="s">
        <v>91</v>
      </c>
      <c r="D644" t="s">
        <v>45</v>
      </c>
      <c r="E644" s="1">
        <v>175.34</v>
      </c>
      <c r="F644">
        <v>2</v>
      </c>
      <c r="G644">
        <v>0</v>
      </c>
      <c r="H644">
        <v>8</v>
      </c>
      <c r="I644">
        <v>0</v>
      </c>
      <c r="J644">
        <v>0</v>
      </c>
      <c r="K644">
        <f t="shared" si="36"/>
        <v>8</v>
      </c>
      <c r="L644" s="1">
        <f t="shared" si="37"/>
        <v>0</v>
      </c>
      <c r="M644" s="1">
        <f t="shared" si="38"/>
        <v>1402.72</v>
      </c>
    </row>
    <row r="645" spans="1:13" customFormat="1" hidden="1" x14ac:dyDescent="0.3">
      <c r="A645" t="s">
        <v>3016</v>
      </c>
      <c r="B645" t="s">
        <v>3017</v>
      </c>
      <c r="C645" t="s">
        <v>1848</v>
      </c>
      <c r="D645" t="s">
        <v>45</v>
      </c>
      <c r="E645" s="1">
        <v>75</v>
      </c>
      <c r="F645">
        <v>1</v>
      </c>
      <c r="G645">
        <v>0</v>
      </c>
      <c r="H645">
        <v>5</v>
      </c>
      <c r="I645">
        <v>0</v>
      </c>
      <c r="J645">
        <v>0</v>
      </c>
      <c r="K645">
        <f t="shared" si="36"/>
        <v>5</v>
      </c>
      <c r="L645" s="1">
        <f t="shared" si="37"/>
        <v>0</v>
      </c>
      <c r="M645" s="1">
        <f t="shared" si="38"/>
        <v>375</v>
      </c>
    </row>
    <row r="646" spans="1:13" customFormat="1" hidden="1" x14ac:dyDescent="0.3">
      <c r="A646" t="s">
        <v>3018</v>
      </c>
      <c r="B646" t="s">
        <v>90</v>
      </c>
      <c r="C646" t="s">
        <v>91</v>
      </c>
      <c r="D646" t="s">
        <v>45</v>
      </c>
      <c r="E646" s="1">
        <v>1067.28</v>
      </c>
      <c r="F646">
        <v>1</v>
      </c>
      <c r="G646">
        <v>0</v>
      </c>
      <c r="H646">
        <v>2</v>
      </c>
      <c r="I646">
        <v>0</v>
      </c>
      <c r="J646">
        <v>0</v>
      </c>
      <c r="K646">
        <f t="shared" si="36"/>
        <v>2</v>
      </c>
      <c r="L646" s="1">
        <f t="shared" si="37"/>
        <v>0</v>
      </c>
      <c r="M646" s="1">
        <f t="shared" si="38"/>
        <v>2134.56</v>
      </c>
    </row>
    <row r="647" spans="1:13" customFormat="1" hidden="1" x14ac:dyDescent="0.3">
      <c r="A647" t="s">
        <v>3019</v>
      </c>
      <c r="B647" t="s">
        <v>3020</v>
      </c>
      <c r="D647" t="s">
        <v>45</v>
      </c>
      <c r="E647" s="1">
        <v>0</v>
      </c>
      <c r="F647">
        <v>4</v>
      </c>
      <c r="G647">
        <v>0</v>
      </c>
      <c r="H647">
        <v>20</v>
      </c>
      <c r="I647">
        <v>0</v>
      </c>
      <c r="J647">
        <v>0</v>
      </c>
      <c r="K647">
        <f t="shared" si="36"/>
        <v>20</v>
      </c>
      <c r="L647" s="1">
        <f t="shared" si="37"/>
        <v>0</v>
      </c>
      <c r="M647" s="1">
        <f t="shared" si="38"/>
        <v>0</v>
      </c>
    </row>
    <row r="648" spans="1:13" customFormat="1" hidden="1" x14ac:dyDescent="0.3">
      <c r="A648" t="s">
        <v>3021</v>
      </c>
      <c r="B648" t="s">
        <v>3022</v>
      </c>
      <c r="C648" t="s">
        <v>974</v>
      </c>
      <c r="D648" t="s">
        <v>45</v>
      </c>
      <c r="E648" s="1">
        <v>5675.27</v>
      </c>
      <c r="F648">
        <v>1</v>
      </c>
      <c r="G648">
        <v>0</v>
      </c>
      <c r="H648">
        <v>5</v>
      </c>
      <c r="I648">
        <v>0</v>
      </c>
      <c r="J648">
        <v>0</v>
      </c>
      <c r="K648">
        <f t="shared" si="36"/>
        <v>5</v>
      </c>
      <c r="L648" s="1">
        <f t="shared" si="37"/>
        <v>0</v>
      </c>
      <c r="M648" s="1">
        <f t="shared" si="38"/>
        <v>28376.350000000002</v>
      </c>
    </row>
    <row r="649" spans="1:13" customFormat="1" hidden="1" x14ac:dyDescent="0.3">
      <c r="A649" t="s">
        <v>3023</v>
      </c>
      <c r="B649" t="s">
        <v>3024</v>
      </c>
      <c r="C649" t="s">
        <v>2366</v>
      </c>
      <c r="D649" t="s">
        <v>45</v>
      </c>
      <c r="E649" s="1">
        <v>4088.89</v>
      </c>
      <c r="F649">
        <v>1</v>
      </c>
      <c r="G649">
        <v>0</v>
      </c>
      <c r="H649">
        <v>2</v>
      </c>
      <c r="I649">
        <v>0</v>
      </c>
      <c r="J649">
        <v>0</v>
      </c>
      <c r="K649">
        <f t="shared" si="36"/>
        <v>2</v>
      </c>
      <c r="L649" s="1">
        <f t="shared" si="37"/>
        <v>0</v>
      </c>
      <c r="M649" s="1">
        <f t="shared" si="38"/>
        <v>8177.78</v>
      </c>
    </row>
    <row r="650" spans="1:13" customFormat="1" hidden="1" x14ac:dyDescent="0.3">
      <c r="A650" t="s">
        <v>3025</v>
      </c>
      <c r="B650" t="s">
        <v>3026</v>
      </c>
      <c r="C650" t="s">
        <v>1742</v>
      </c>
      <c r="D650" t="s">
        <v>45</v>
      </c>
      <c r="E650" s="1">
        <v>672</v>
      </c>
      <c r="F650">
        <v>1</v>
      </c>
      <c r="G650">
        <v>0</v>
      </c>
      <c r="H650">
        <v>2</v>
      </c>
      <c r="I650">
        <v>0</v>
      </c>
      <c r="J650">
        <v>0</v>
      </c>
      <c r="K650">
        <f t="shared" si="36"/>
        <v>2</v>
      </c>
      <c r="L650" s="1">
        <f t="shared" si="37"/>
        <v>0</v>
      </c>
      <c r="M650" s="1">
        <f t="shared" si="38"/>
        <v>1344</v>
      </c>
    </row>
    <row r="651" spans="1:13" customFormat="1" hidden="1" x14ac:dyDescent="0.3">
      <c r="A651" t="s">
        <v>3027</v>
      </c>
      <c r="B651" t="s">
        <v>3028</v>
      </c>
      <c r="C651" t="s">
        <v>305</v>
      </c>
      <c r="D651" t="s">
        <v>45</v>
      </c>
      <c r="E651" s="1">
        <v>302.33</v>
      </c>
      <c r="F651">
        <v>2</v>
      </c>
      <c r="G651">
        <v>0</v>
      </c>
      <c r="H651">
        <v>10</v>
      </c>
      <c r="I651">
        <v>0</v>
      </c>
      <c r="J651">
        <v>0</v>
      </c>
      <c r="K651">
        <f t="shared" si="36"/>
        <v>10</v>
      </c>
      <c r="L651" s="1">
        <f t="shared" si="37"/>
        <v>0</v>
      </c>
      <c r="M651" s="1">
        <f t="shared" si="38"/>
        <v>3023.2999999999997</v>
      </c>
    </row>
    <row r="652" spans="1:13" customFormat="1" hidden="1" x14ac:dyDescent="0.3">
      <c r="A652" t="s">
        <v>3029</v>
      </c>
      <c r="B652" t="s">
        <v>3030</v>
      </c>
      <c r="C652" t="s">
        <v>305</v>
      </c>
      <c r="D652" t="s">
        <v>45</v>
      </c>
      <c r="E652" s="1">
        <v>186.94</v>
      </c>
      <c r="F652">
        <v>8</v>
      </c>
      <c r="G652">
        <v>0</v>
      </c>
      <c r="H652">
        <v>40</v>
      </c>
      <c r="I652">
        <v>0</v>
      </c>
      <c r="J652">
        <v>0</v>
      </c>
      <c r="K652">
        <f t="shared" si="36"/>
        <v>40</v>
      </c>
      <c r="L652" s="1">
        <f t="shared" si="37"/>
        <v>0</v>
      </c>
      <c r="M652" s="1">
        <f t="shared" si="38"/>
        <v>7477.6</v>
      </c>
    </row>
    <row r="653" spans="1:13" customFormat="1" hidden="1" x14ac:dyDescent="0.3">
      <c r="A653" t="s">
        <v>3031</v>
      </c>
      <c r="B653" t="s">
        <v>3032</v>
      </c>
      <c r="C653" t="s">
        <v>305</v>
      </c>
      <c r="D653" t="s">
        <v>45</v>
      </c>
      <c r="E653" s="1">
        <v>209.64</v>
      </c>
      <c r="F653">
        <v>18</v>
      </c>
      <c r="G653">
        <v>0</v>
      </c>
      <c r="H653">
        <v>90</v>
      </c>
      <c r="I653">
        <v>0</v>
      </c>
      <c r="J653">
        <v>0</v>
      </c>
      <c r="K653">
        <f t="shared" si="36"/>
        <v>90</v>
      </c>
      <c r="L653" s="1">
        <f t="shared" si="37"/>
        <v>0</v>
      </c>
      <c r="M653" s="1">
        <f t="shared" si="38"/>
        <v>18867.599999999999</v>
      </c>
    </row>
    <row r="654" spans="1:13" customFormat="1" hidden="1" x14ac:dyDescent="0.3">
      <c r="A654" t="s">
        <v>3033</v>
      </c>
      <c r="B654" t="s">
        <v>3034</v>
      </c>
      <c r="C654" t="s">
        <v>305</v>
      </c>
      <c r="D654" t="s">
        <v>45</v>
      </c>
      <c r="E654" s="1">
        <v>209.64</v>
      </c>
      <c r="F654">
        <v>4</v>
      </c>
      <c r="G654">
        <v>0</v>
      </c>
      <c r="H654">
        <v>20</v>
      </c>
      <c r="I654">
        <v>0</v>
      </c>
      <c r="J654">
        <v>0</v>
      </c>
      <c r="K654">
        <f t="shared" si="36"/>
        <v>20</v>
      </c>
      <c r="L654" s="1">
        <f t="shared" si="37"/>
        <v>0</v>
      </c>
      <c r="M654" s="1">
        <f t="shared" si="38"/>
        <v>4192.7999999999993</v>
      </c>
    </row>
    <row r="655" spans="1:13" customFormat="1" hidden="1" x14ac:dyDescent="0.3">
      <c r="A655" t="s">
        <v>3035</v>
      </c>
      <c r="B655" t="s">
        <v>3036</v>
      </c>
      <c r="C655" t="s">
        <v>1742</v>
      </c>
      <c r="D655" t="s">
        <v>45</v>
      </c>
      <c r="E655" s="1">
        <v>11569</v>
      </c>
      <c r="F655">
        <v>5</v>
      </c>
      <c r="G655">
        <v>0</v>
      </c>
      <c r="H655">
        <v>11</v>
      </c>
      <c r="I655">
        <v>0</v>
      </c>
      <c r="J655">
        <v>0</v>
      </c>
      <c r="K655">
        <f t="shared" si="36"/>
        <v>11</v>
      </c>
      <c r="L655" s="1">
        <f t="shared" si="37"/>
        <v>0</v>
      </c>
      <c r="M655" s="1">
        <f t="shared" si="38"/>
        <v>127259</v>
      </c>
    </row>
    <row r="656" spans="1:13" customFormat="1" hidden="1" x14ac:dyDescent="0.3">
      <c r="A656" t="s">
        <v>3037</v>
      </c>
      <c r="B656" t="s">
        <v>3038</v>
      </c>
      <c r="C656" t="s">
        <v>1171</v>
      </c>
      <c r="D656" t="s">
        <v>45</v>
      </c>
      <c r="E656" s="1">
        <v>6116</v>
      </c>
      <c r="F656">
        <v>1</v>
      </c>
      <c r="G656">
        <v>0</v>
      </c>
      <c r="H656">
        <v>3</v>
      </c>
      <c r="I656">
        <v>0</v>
      </c>
      <c r="J656">
        <v>0</v>
      </c>
      <c r="K656">
        <f t="shared" si="36"/>
        <v>3</v>
      </c>
      <c r="L656" s="1">
        <f t="shared" si="37"/>
        <v>0</v>
      </c>
      <c r="M656" s="1">
        <f t="shared" si="38"/>
        <v>18348</v>
      </c>
    </row>
    <row r="657" spans="1:13" customFormat="1" hidden="1" x14ac:dyDescent="0.3">
      <c r="A657" t="s">
        <v>3039</v>
      </c>
      <c r="B657" t="s">
        <v>3040</v>
      </c>
      <c r="C657" t="s">
        <v>1764</v>
      </c>
      <c r="D657" t="s">
        <v>45</v>
      </c>
      <c r="E657" s="1">
        <v>7173.6</v>
      </c>
      <c r="F657">
        <v>1</v>
      </c>
      <c r="G657">
        <v>0</v>
      </c>
      <c r="H657">
        <v>3</v>
      </c>
      <c r="I657">
        <v>0</v>
      </c>
      <c r="J657">
        <v>0</v>
      </c>
      <c r="K657">
        <f t="shared" si="36"/>
        <v>3</v>
      </c>
      <c r="L657" s="1">
        <f t="shared" si="37"/>
        <v>0</v>
      </c>
      <c r="M657" s="1">
        <f t="shared" si="38"/>
        <v>21520.800000000003</v>
      </c>
    </row>
    <row r="658" spans="1:13" customFormat="1" hidden="1" x14ac:dyDescent="0.3">
      <c r="A658" t="s">
        <v>3041</v>
      </c>
      <c r="B658" t="s">
        <v>3042</v>
      </c>
      <c r="C658" t="s">
        <v>1764</v>
      </c>
      <c r="D658" t="s">
        <v>45</v>
      </c>
      <c r="E658" s="1">
        <v>0</v>
      </c>
      <c r="F658">
        <v>1</v>
      </c>
      <c r="G658">
        <v>0</v>
      </c>
      <c r="H658">
        <v>3</v>
      </c>
      <c r="I658">
        <v>0</v>
      </c>
      <c r="J658">
        <v>0</v>
      </c>
      <c r="K658">
        <f t="shared" si="36"/>
        <v>3</v>
      </c>
      <c r="L658" s="1">
        <f t="shared" si="37"/>
        <v>0</v>
      </c>
      <c r="M658" s="1">
        <f t="shared" si="38"/>
        <v>0</v>
      </c>
    </row>
    <row r="659" spans="1:13" customFormat="1" hidden="1" x14ac:dyDescent="0.3">
      <c r="A659" t="s">
        <v>3043</v>
      </c>
      <c r="B659" t="s">
        <v>3044</v>
      </c>
      <c r="C659" t="s">
        <v>1764</v>
      </c>
      <c r="D659" t="s">
        <v>45</v>
      </c>
      <c r="E659" s="1">
        <v>5516</v>
      </c>
      <c r="F659">
        <v>1</v>
      </c>
      <c r="G659">
        <v>0</v>
      </c>
      <c r="H659">
        <v>2</v>
      </c>
      <c r="I659">
        <v>0</v>
      </c>
      <c r="J659">
        <v>0</v>
      </c>
      <c r="K659">
        <f t="shared" si="36"/>
        <v>2</v>
      </c>
      <c r="L659" s="1">
        <f t="shared" si="37"/>
        <v>0</v>
      </c>
      <c r="M659" s="1">
        <f t="shared" si="38"/>
        <v>11032</v>
      </c>
    </row>
    <row r="660" spans="1:13" customFormat="1" hidden="1" x14ac:dyDescent="0.3">
      <c r="A660" t="s">
        <v>3045</v>
      </c>
      <c r="B660" t="s">
        <v>3046</v>
      </c>
      <c r="C660" t="s">
        <v>1764</v>
      </c>
      <c r="D660" t="s">
        <v>45</v>
      </c>
      <c r="E660" s="1">
        <v>147</v>
      </c>
      <c r="F660">
        <v>1</v>
      </c>
      <c r="G660">
        <v>0</v>
      </c>
      <c r="H660">
        <v>4</v>
      </c>
      <c r="I660">
        <v>0</v>
      </c>
      <c r="J660">
        <v>0</v>
      </c>
      <c r="K660">
        <f t="shared" si="36"/>
        <v>4</v>
      </c>
      <c r="L660" s="1">
        <f t="shared" si="37"/>
        <v>0</v>
      </c>
      <c r="M660" s="1">
        <f t="shared" si="38"/>
        <v>588</v>
      </c>
    </row>
    <row r="661" spans="1:13" customFormat="1" hidden="1" x14ac:dyDescent="0.3">
      <c r="A661" t="s">
        <v>3047</v>
      </c>
      <c r="B661" t="s">
        <v>3048</v>
      </c>
      <c r="C661" t="s">
        <v>1764</v>
      </c>
      <c r="D661" t="s">
        <v>45</v>
      </c>
      <c r="E661" s="1">
        <v>157.5</v>
      </c>
      <c r="F661">
        <v>1</v>
      </c>
      <c r="G661">
        <v>0</v>
      </c>
      <c r="H661">
        <v>4</v>
      </c>
      <c r="I661">
        <v>0</v>
      </c>
      <c r="J661">
        <v>0</v>
      </c>
      <c r="K661">
        <f t="shared" si="36"/>
        <v>4</v>
      </c>
      <c r="L661" s="1">
        <f t="shared" si="37"/>
        <v>0</v>
      </c>
      <c r="M661" s="1">
        <f t="shared" si="38"/>
        <v>630</v>
      </c>
    </row>
    <row r="662" spans="1:13" customFormat="1" hidden="1" x14ac:dyDescent="0.3">
      <c r="A662" t="s">
        <v>3049</v>
      </c>
      <c r="B662" t="s">
        <v>3050</v>
      </c>
      <c r="C662" t="s">
        <v>974</v>
      </c>
      <c r="D662" t="s">
        <v>45</v>
      </c>
      <c r="E662" s="1">
        <v>20582.189999999999</v>
      </c>
      <c r="F662">
        <v>2</v>
      </c>
      <c r="G662">
        <v>0</v>
      </c>
      <c r="H662">
        <v>4</v>
      </c>
      <c r="I662">
        <v>0</v>
      </c>
      <c r="J662">
        <v>0</v>
      </c>
      <c r="K662">
        <f t="shared" si="36"/>
        <v>4</v>
      </c>
      <c r="L662" s="1">
        <f t="shared" si="37"/>
        <v>0</v>
      </c>
      <c r="M662" s="1">
        <f t="shared" si="38"/>
        <v>82328.759999999995</v>
      </c>
    </row>
    <row r="663" spans="1:13" customFormat="1" hidden="1" x14ac:dyDescent="0.3">
      <c r="A663" t="s">
        <v>3051</v>
      </c>
      <c r="B663" t="s">
        <v>3052</v>
      </c>
      <c r="C663" t="s">
        <v>2366</v>
      </c>
      <c r="D663" t="s">
        <v>45</v>
      </c>
      <c r="E663" s="1">
        <v>850</v>
      </c>
      <c r="F663">
        <v>1</v>
      </c>
      <c r="G663">
        <v>0</v>
      </c>
      <c r="H663">
        <v>2</v>
      </c>
      <c r="I663">
        <v>0</v>
      </c>
      <c r="J663">
        <v>0</v>
      </c>
      <c r="K663">
        <f t="shared" si="36"/>
        <v>2</v>
      </c>
      <c r="L663" s="1">
        <f t="shared" si="37"/>
        <v>0</v>
      </c>
      <c r="M663" s="1">
        <f t="shared" si="38"/>
        <v>1700</v>
      </c>
    </row>
    <row r="664" spans="1:13" customFormat="1" hidden="1" x14ac:dyDescent="0.3">
      <c r="A664" t="s">
        <v>3053</v>
      </c>
      <c r="B664" t="s">
        <v>3054</v>
      </c>
      <c r="C664" t="s">
        <v>1171</v>
      </c>
      <c r="D664" t="s">
        <v>45</v>
      </c>
      <c r="E664" s="1">
        <v>2100</v>
      </c>
      <c r="F664">
        <v>1</v>
      </c>
      <c r="G664">
        <v>0</v>
      </c>
      <c r="H664">
        <v>2</v>
      </c>
      <c r="I664">
        <v>0</v>
      </c>
      <c r="J664">
        <v>0</v>
      </c>
      <c r="K664">
        <f t="shared" si="36"/>
        <v>2</v>
      </c>
      <c r="L664" s="1">
        <f t="shared" si="37"/>
        <v>0</v>
      </c>
      <c r="M664" s="1">
        <f t="shared" si="38"/>
        <v>4200</v>
      </c>
    </row>
    <row r="665" spans="1:13" customFormat="1" hidden="1" x14ac:dyDescent="0.3">
      <c r="A665" t="s">
        <v>3055</v>
      </c>
      <c r="B665" t="s">
        <v>3056</v>
      </c>
      <c r="C665" t="s">
        <v>2206</v>
      </c>
      <c r="D665" t="s">
        <v>45</v>
      </c>
      <c r="E665" s="1">
        <v>511.44</v>
      </c>
      <c r="F665">
        <v>1</v>
      </c>
      <c r="G665">
        <v>0</v>
      </c>
      <c r="H665">
        <v>4</v>
      </c>
      <c r="I665">
        <v>0</v>
      </c>
      <c r="J665">
        <v>0</v>
      </c>
      <c r="K665">
        <f t="shared" si="36"/>
        <v>4</v>
      </c>
      <c r="L665" s="1">
        <f t="shared" si="37"/>
        <v>0</v>
      </c>
      <c r="M665" s="1">
        <f t="shared" si="38"/>
        <v>2045.76</v>
      </c>
    </row>
    <row r="666" spans="1:13" customFormat="1" hidden="1" x14ac:dyDescent="0.3">
      <c r="A666" t="s">
        <v>3057</v>
      </c>
      <c r="B666" t="s">
        <v>3057</v>
      </c>
      <c r="C666" t="s">
        <v>88</v>
      </c>
      <c r="D666" t="s">
        <v>45</v>
      </c>
      <c r="E666" s="1">
        <v>13.8</v>
      </c>
      <c r="F666">
        <v>99</v>
      </c>
      <c r="G666">
        <v>0</v>
      </c>
      <c r="H666">
        <v>495</v>
      </c>
      <c r="I666">
        <v>0</v>
      </c>
      <c r="J666">
        <v>0</v>
      </c>
      <c r="K666">
        <f t="shared" si="36"/>
        <v>495</v>
      </c>
      <c r="L666" s="1">
        <f t="shared" si="37"/>
        <v>0</v>
      </c>
      <c r="M666" s="1">
        <f t="shared" si="38"/>
        <v>6831</v>
      </c>
    </row>
    <row r="667" spans="1:13" customFormat="1" hidden="1" x14ac:dyDescent="0.3">
      <c r="A667" t="s">
        <v>3058</v>
      </c>
      <c r="B667" t="s">
        <v>3059</v>
      </c>
      <c r="C667" t="s">
        <v>3060</v>
      </c>
      <c r="D667" t="s">
        <v>45</v>
      </c>
      <c r="E667" s="1">
        <v>2500</v>
      </c>
      <c r="F667">
        <v>1</v>
      </c>
      <c r="G667">
        <v>0</v>
      </c>
      <c r="H667">
        <v>2</v>
      </c>
      <c r="I667">
        <v>0</v>
      </c>
      <c r="J667">
        <v>0</v>
      </c>
      <c r="K667">
        <f t="shared" si="36"/>
        <v>2</v>
      </c>
      <c r="L667" s="1">
        <f t="shared" si="37"/>
        <v>0</v>
      </c>
      <c r="M667" s="1">
        <f t="shared" si="38"/>
        <v>5000</v>
      </c>
    </row>
    <row r="668" spans="1:13" customFormat="1" hidden="1" x14ac:dyDescent="0.3">
      <c r="A668" t="s">
        <v>3061</v>
      </c>
      <c r="B668" t="s">
        <v>3062</v>
      </c>
      <c r="C668" t="s">
        <v>2261</v>
      </c>
      <c r="D668" t="s">
        <v>45</v>
      </c>
      <c r="E668" s="1">
        <v>43.33</v>
      </c>
      <c r="F668">
        <v>6</v>
      </c>
      <c r="G668">
        <v>0</v>
      </c>
      <c r="H668">
        <v>30</v>
      </c>
      <c r="I668">
        <v>0</v>
      </c>
      <c r="J668">
        <v>0</v>
      </c>
      <c r="K668">
        <f t="shared" si="36"/>
        <v>30</v>
      </c>
      <c r="L668" s="1">
        <f t="shared" si="37"/>
        <v>0</v>
      </c>
      <c r="M668" s="1">
        <f t="shared" si="38"/>
        <v>1299.8999999999999</v>
      </c>
    </row>
    <row r="669" spans="1:13" customFormat="1" hidden="1" x14ac:dyDescent="0.3">
      <c r="A669" t="s">
        <v>3063</v>
      </c>
      <c r="B669" t="s">
        <v>3064</v>
      </c>
      <c r="C669" t="s">
        <v>3065</v>
      </c>
      <c r="D669" t="s">
        <v>45</v>
      </c>
      <c r="E669" s="1">
        <v>8000</v>
      </c>
      <c r="F669">
        <v>1</v>
      </c>
      <c r="G669">
        <v>0</v>
      </c>
      <c r="H669">
        <v>4</v>
      </c>
      <c r="I669">
        <v>0</v>
      </c>
      <c r="J669">
        <v>0</v>
      </c>
      <c r="K669">
        <f t="shared" si="36"/>
        <v>4</v>
      </c>
      <c r="L669" s="1">
        <f t="shared" si="37"/>
        <v>0</v>
      </c>
      <c r="M669" s="1">
        <f t="shared" si="38"/>
        <v>32000</v>
      </c>
    </row>
    <row r="670" spans="1:13" customFormat="1" hidden="1" x14ac:dyDescent="0.3">
      <c r="A670" t="s">
        <v>3066</v>
      </c>
      <c r="B670" t="s">
        <v>3067</v>
      </c>
      <c r="C670" t="s">
        <v>3068</v>
      </c>
      <c r="D670" t="s">
        <v>45</v>
      </c>
      <c r="E670" s="1">
        <v>0</v>
      </c>
      <c r="F670">
        <v>1</v>
      </c>
      <c r="G670">
        <v>0</v>
      </c>
      <c r="H670">
        <v>2</v>
      </c>
      <c r="I670">
        <v>0</v>
      </c>
      <c r="J670">
        <v>0</v>
      </c>
      <c r="K670">
        <f t="shared" si="36"/>
        <v>2</v>
      </c>
      <c r="L670" s="1">
        <f t="shared" si="37"/>
        <v>0</v>
      </c>
      <c r="M670" s="1">
        <f t="shared" si="38"/>
        <v>0</v>
      </c>
    </row>
    <row r="671" spans="1:13" customFormat="1" hidden="1" x14ac:dyDescent="0.3">
      <c r="A671" t="s">
        <v>3069</v>
      </c>
      <c r="B671" t="s">
        <v>3070</v>
      </c>
      <c r="D671" t="s">
        <v>45</v>
      </c>
      <c r="E671" s="1">
        <v>0</v>
      </c>
      <c r="F671">
        <v>5</v>
      </c>
      <c r="G671">
        <v>0</v>
      </c>
      <c r="H671">
        <v>25</v>
      </c>
      <c r="I671">
        <v>0</v>
      </c>
      <c r="J671">
        <v>0</v>
      </c>
      <c r="K671">
        <f t="shared" si="36"/>
        <v>25</v>
      </c>
      <c r="L671" s="1">
        <f t="shared" si="37"/>
        <v>0</v>
      </c>
      <c r="M671" s="1">
        <f t="shared" si="38"/>
        <v>0</v>
      </c>
    </row>
    <row r="672" spans="1:13" customFormat="1" hidden="1" x14ac:dyDescent="0.3">
      <c r="A672" t="s">
        <v>3071</v>
      </c>
      <c r="B672" t="s">
        <v>3072</v>
      </c>
      <c r="C672" t="s">
        <v>3073</v>
      </c>
      <c r="D672" t="s">
        <v>45</v>
      </c>
      <c r="E672" s="1">
        <v>1176.43</v>
      </c>
      <c r="F672">
        <v>1</v>
      </c>
      <c r="G672">
        <v>0</v>
      </c>
      <c r="H672">
        <v>2</v>
      </c>
      <c r="I672">
        <v>0</v>
      </c>
      <c r="J672">
        <v>0</v>
      </c>
      <c r="K672">
        <f t="shared" si="36"/>
        <v>2</v>
      </c>
      <c r="L672" s="1">
        <f t="shared" si="37"/>
        <v>0</v>
      </c>
      <c r="M672" s="1">
        <f t="shared" si="38"/>
        <v>2352.86</v>
      </c>
    </row>
    <row r="673" spans="1:13" customFormat="1" hidden="1" x14ac:dyDescent="0.3">
      <c r="A673" t="s">
        <v>3074</v>
      </c>
      <c r="B673" t="s">
        <v>3075</v>
      </c>
      <c r="C673" t="s">
        <v>1742</v>
      </c>
      <c r="D673" t="s">
        <v>45</v>
      </c>
      <c r="E673" s="1">
        <v>2958.8</v>
      </c>
      <c r="F673">
        <v>2</v>
      </c>
      <c r="G673">
        <v>0</v>
      </c>
      <c r="H673">
        <v>4</v>
      </c>
      <c r="I673">
        <v>0</v>
      </c>
      <c r="J673">
        <v>0</v>
      </c>
      <c r="K673">
        <f t="shared" si="36"/>
        <v>4</v>
      </c>
      <c r="L673" s="1">
        <f t="shared" si="37"/>
        <v>0</v>
      </c>
      <c r="M673" s="1">
        <f t="shared" si="38"/>
        <v>11835.2</v>
      </c>
    </row>
    <row r="674" spans="1:13" customFormat="1" hidden="1" x14ac:dyDescent="0.3">
      <c r="A674" t="s">
        <v>3076</v>
      </c>
      <c r="B674" t="s">
        <v>3077</v>
      </c>
      <c r="C674" t="s">
        <v>1742</v>
      </c>
      <c r="D674" t="s">
        <v>45</v>
      </c>
      <c r="E674" s="1">
        <v>2625</v>
      </c>
      <c r="F674">
        <v>2</v>
      </c>
      <c r="G674">
        <v>0</v>
      </c>
      <c r="H674">
        <v>4</v>
      </c>
      <c r="I674">
        <v>0</v>
      </c>
      <c r="J674">
        <v>0</v>
      </c>
      <c r="K674">
        <f t="shared" si="36"/>
        <v>4</v>
      </c>
      <c r="L674" s="1">
        <f t="shared" si="37"/>
        <v>0</v>
      </c>
      <c r="M674" s="1">
        <f t="shared" si="38"/>
        <v>10500</v>
      </c>
    </row>
    <row r="675" spans="1:13" customFormat="1" hidden="1" x14ac:dyDescent="0.3">
      <c r="A675" t="s">
        <v>3078</v>
      </c>
      <c r="B675" t="s">
        <v>3079</v>
      </c>
      <c r="C675" t="s">
        <v>1742</v>
      </c>
      <c r="D675" t="s">
        <v>45</v>
      </c>
      <c r="E675" s="1">
        <v>2385.5</v>
      </c>
      <c r="F675">
        <v>2</v>
      </c>
      <c r="G675">
        <v>0</v>
      </c>
      <c r="H675">
        <v>4</v>
      </c>
      <c r="I675">
        <v>0</v>
      </c>
      <c r="J675">
        <v>0</v>
      </c>
      <c r="K675">
        <f t="shared" si="36"/>
        <v>4</v>
      </c>
      <c r="L675" s="1">
        <f t="shared" si="37"/>
        <v>0</v>
      </c>
      <c r="M675" s="1">
        <f t="shared" si="38"/>
        <v>9542</v>
      </c>
    </row>
    <row r="676" spans="1:13" customFormat="1" hidden="1" x14ac:dyDescent="0.3">
      <c r="A676" t="s">
        <v>3080</v>
      </c>
      <c r="B676" t="s">
        <v>3081</v>
      </c>
      <c r="C676" t="s">
        <v>2261</v>
      </c>
      <c r="D676" t="s">
        <v>45</v>
      </c>
      <c r="E676" s="1">
        <v>138.58000000000001</v>
      </c>
      <c r="F676">
        <v>17</v>
      </c>
      <c r="G676">
        <v>0</v>
      </c>
      <c r="H676">
        <v>85</v>
      </c>
      <c r="I676">
        <v>0</v>
      </c>
      <c r="J676">
        <v>0</v>
      </c>
      <c r="K676">
        <f t="shared" si="36"/>
        <v>85</v>
      </c>
      <c r="L676" s="1">
        <f t="shared" si="37"/>
        <v>0</v>
      </c>
      <c r="M676" s="1">
        <f t="shared" si="38"/>
        <v>11779.300000000001</v>
      </c>
    </row>
    <row r="677" spans="1:13" customFormat="1" hidden="1" x14ac:dyDescent="0.3">
      <c r="A677" t="s">
        <v>3082</v>
      </c>
      <c r="B677" t="s">
        <v>3083</v>
      </c>
      <c r="C677" t="s">
        <v>1742</v>
      </c>
      <c r="D677" t="s">
        <v>45</v>
      </c>
      <c r="E677" s="1">
        <v>11305.25</v>
      </c>
      <c r="F677">
        <v>1</v>
      </c>
      <c r="G677">
        <v>0</v>
      </c>
      <c r="H677">
        <v>2</v>
      </c>
      <c r="I677">
        <v>0</v>
      </c>
      <c r="J677">
        <v>0</v>
      </c>
      <c r="K677">
        <f t="shared" si="36"/>
        <v>2</v>
      </c>
      <c r="L677" s="1">
        <f t="shared" si="37"/>
        <v>0</v>
      </c>
      <c r="M677" s="1">
        <f t="shared" si="38"/>
        <v>22610.5</v>
      </c>
    </row>
    <row r="678" spans="1:13" customFormat="1" hidden="1" x14ac:dyDescent="0.3">
      <c r="A678" t="s">
        <v>3084</v>
      </c>
      <c r="B678" t="s">
        <v>3085</v>
      </c>
      <c r="C678" t="s">
        <v>3086</v>
      </c>
      <c r="D678" t="s">
        <v>45</v>
      </c>
      <c r="E678" s="1">
        <v>22037.4</v>
      </c>
      <c r="F678">
        <v>1</v>
      </c>
      <c r="G678">
        <v>0</v>
      </c>
      <c r="H678">
        <v>2</v>
      </c>
      <c r="I678">
        <v>0</v>
      </c>
      <c r="J678">
        <v>0</v>
      </c>
      <c r="K678">
        <f t="shared" si="36"/>
        <v>2</v>
      </c>
      <c r="L678" s="1">
        <f t="shared" si="37"/>
        <v>0</v>
      </c>
      <c r="M678" s="1">
        <f t="shared" si="38"/>
        <v>44074.8</v>
      </c>
    </row>
    <row r="679" spans="1:13" customFormat="1" hidden="1" x14ac:dyDescent="0.3">
      <c r="A679" t="s">
        <v>3087</v>
      </c>
      <c r="B679" t="s">
        <v>3088</v>
      </c>
      <c r="C679" t="s">
        <v>3089</v>
      </c>
      <c r="D679" t="s">
        <v>45</v>
      </c>
      <c r="E679" s="1">
        <v>0</v>
      </c>
      <c r="F679">
        <v>2</v>
      </c>
      <c r="G679">
        <v>0</v>
      </c>
      <c r="H679">
        <v>9</v>
      </c>
      <c r="I679">
        <v>0</v>
      </c>
      <c r="J679">
        <v>0</v>
      </c>
      <c r="K679">
        <f t="shared" si="36"/>
        <v>9</v>
      </c>
      <c r="L679" s="1">
        <f t="shared" si="37"/>
        <v>0</v>
      </c>
      <c r="M679" s="1">
        <f t="shared" si="38"/>
        <v>0</v>
      </c>
    </row>
    <row r="680" spans="1:13" customFormat="1" hidden="1" x14ac:dyDescent="0.3">
      <c r="A680" t="s">
        <v>3090</v>
      </c>
      <c r="B680" t="s">
        <v>3091</v>
      </c>
      <c r="D680" t="s">
        <v>45</v>
      </c>
      <c r="E680" s="1">
        <v>0</v>
      </c>
      <c r="F680">
        <v>38</v>
      </c>
      <c r="G680">
        <v>0</v>
      </c>
      <c r="H680">
        <v>190</v>
      </c>
      <c r="I680">
        <v>0</v>
      </c>
      <c r="J680">
        <v>0</v>
      </c>
      <c r="K680">
        <f t="shared" si="36"/>
        <v>190</v>
      </c>
      <c r="L680" s="1">
        <f t="shared" si="37"/>
        <v>0</v>
      </c>
      <c r="M680" s="1">
        <f t="shared" si="38"/>
        <v>0</v>
      </c>
    </row>
    <row r="681" spans="1:13" customFormat="1" hidden="1" x14ac:dyDescent="0.3">
      <c r="A681" t="s">
        <v>3092</v>
      </c>
      <c r="B681" t="s">
        <v>3093</v>
      </c>
      <c r="D681" t="s">
        <v>45</v>
      </c>
      <c r="E681" s="1">
        <v>0</v>
      </c>
      <c r="F681">
        <v>65</v>
      </c>
      <c r="G681">
        <v>0</v>
      </c>
      <c r="H681">
        <v>325</v>
      </c>
      <c r="I681">
        <v>0</v>
      </c>
      <c r="J681">
        <v>0</v>
      </c>
      <c r="K681">
        <f t="shared" si="36"/>
        <v>325</v>
      </c>
      <c r="L681" s="1">
        <f t="shared" si="37"/>
        <v>0</v>
      </c>
      <c r="M681" s="1">
        <f t="shared" si="38"/>
        <v>0</v>
      </c>
    </row>
    <row r="682" spans="1:13" customFormat="1" hidden="1" x14ac:dyDescent="0.3">
      <c r="A682" t="s">
        <v>3094</v>
      </c>
      <c r="B682" t="s">
        <v>3095</v>
      </c>
      <c r="C682" t="s">
        <v>3096</v>
      </c>
      <c r="D682" t="s">
        <v>45</v>
      </c>
      <c r="E682" s="1">
        <v>81.93</v>
      </c>
      <c r="F682">
        <v>17</v>
      </c>
      <c r="G682">
        <v>0</v>
      </c>
      <c r="H682">
        <v>86</v>
      </c>
      <c r="I682">
        <v>0</v>
      </c>
      <c r="J682">
        <v>0</v>
      </c>
      <c r="K682">
        <f t="shared" si="36"/>
        <v>86</v>
      </c>
      <c r="L682" s="1">
        <f t="shared" si="37"/>
        <v>0</v>
      </c>
      <c r="M682" s="1">
        <f t="shared" si="38"/>
        <v>7045.9800000000005</v>
      </c>
    </row>
    <row r="683" spans="1:13" customFormat="1" hidden="1" x14ac:dyDescent="0.3">
      <c r="A683" t="s">
        <v>3097</v>
      </c>
      <c r="B683" t="s">
        <v>3098</v>
      </c>
      <c r="C683" t="s">
        <v>3096</v>
      </c>
      <c r="D683" t="s">
        <v>45</v>
      </c>
      <c r="E683" s="1">
        <v>169.6</v>
      </c>
      <c r="F683">
        <v>2</v>
      </c>
      <c r="G683">
        <v>0</v>
      </c>
      <c r="H683">
        <v>9</v>
      </c>
      <c r="I683">
        <v>0</v>
      </c>
      <c r="J683">
        <v>0</v>
      </c>
      <c r="K683">
        <f t="shared" si="36"/>
        <v>9</v>
      </c>
      <c r="L683" s="1">
        <f t="shared" si="37"/>
        <v>0</v>
      </c>
      <c r="M683" s="1">
        <f t="shared" si="38"/>
        <v>1526.3999999999999</v>
      </c>
    </row>
    <row r="684" spans="1:13" customFormat="1" hidden="1" x14ac:dyDescent="0.3">
      <c r="A684" t="s">
        <v>3099</v>
      </c>
      <c r="B684" t="s">
        <v>2439</v>
      </c>
      <c r="C684" t="s">
        <v>81</v>
      </c>
      <c r="D684" t="s">
        <v>45</v>
      </c>
      <c r="E684" s="1">
        <v>250</v>
      </c>
      <c r="F684">
        <v>1</v>
      </c>
      <c r="G684">
        <v>0</v>
      </c>
      <c r="H684">
        <v>3</v>
      </c>
      <c r="I684">
        <v>0</v>
      </c>
      <c r="J684">
        <v>0</v>
      </c>
      <c r="K684">
        <f t="shared" si="36"/>
        <v>3</v>
      </c>
      <c r="L684" s="1">
        <f t="shared" si="37"/>
        <v>0</v>
      </c>
      <c r="M684" s="1">
        <f t="shared" si="38"/>
        <v>750</v>
      </c>
    </row>
    <row r="685" spans="1:13" customFormat="1" hidden="1" x14ac:dyDescent="0.3">
      <c r="A685" t="s">
        <v>3100</v>
      </c>
      <c r="B685" t="s">
        <v>3101</v>
      </c>
      <c r="C685" t="s">
        <v>2366</v>
      </c>
      <c r="D685" t="s">
        <v>45</v>
      </c>
      <c r="E685" s="1">
        <v>550</v>
      </c>
      <c r="F685">
        <v>1</v>
      </c>
      <c r="G685">
        <v>0</v>
      </c>
      <c r="H685">
        <v>2</v>
      </c>
      <c r="I685">
        <v>0</v>
      </c>
      <c r="J685">
        <v>0</v>
      </c>
      <c r="K685">
        <f t="shared" si="36"/>
        <v>2</v>
      </c>
      <c r="L685" s="1">
        <f t="shared" si="37"/>
        <v>0</v>
      </c>
      <c r="M685" s="1">
        <f t="shared" si="38"/>
        <v>1100</v>
      </c>
    </row>
    <row r="686" spans="1:13" customFormat="1" hidden="1" x14ac:dyDescent="0.3">
      <c r="A686" t="s">
        <v>3102</v>
      </c>
      <c r="B686" t="s">
        <v>3103</v>
      </c>
      <c r="D686" t="s">
        <v>45</v>
      </c>
      <c r="E686" s="1">
        <v>0</v>
      </c>
      <c r="F686">
        <v>1</v>
      </c>
      <c r="G686">
        <v>0</v>
      </c>
      <c r="H686">
        <v>2</v>
      </c>
      <c r="I686">
        <v>0</v>
      </c>
      <c r="J686">
        <v>0</v>
      </c>
      <c r="K686">
        <f t="shared" si="36"/>
        <v>2</v>
      </c>
      <c r="L686" s="1">
        <f t="shared" si="37"/>
        <v>0</v>
      </c>
      <c r="M686" s="1">
        <f t="shared" si="38"/>
        <v>0</v>
      </c>
    </row>
    <row r="687" spans="1:13" customFormat="1" hidden="1" x14ac:dyDescent="0.3">
      <c r="A687" t="s">
        <v>3104</v>
      </c>
      <c r="B687" t="s">
        <v>3105</v>
      </c>
      <c r="C687" t="s">
        <v>472</v>
      </c>
      <c r="D687" t="s">
        <v>45</v>
      </c>
      <c r="E687" s="1">
        <v>10550</v>
      </c>
      <c r="F687">
        <v>3</v>
      </c>
      <c r="G687">
        <v>0</v>
      </c>
      <c r="H687">
        <v>7</v>
      </c>
      <c r="I687">
        <v>0</v>
      </c>
      <c r="J687">
        <v>0</v>
      </c>
      <c r="K687">
        <f t="shared" si="36"/>
        <v>7</v>
      </c>
      <c r="L687" s="1">
        <f t="shared" si="37"/>
        <v>0</v>
      </c>
      <c r="M687" s="1">
        <f t="shared" si="38"/>
        <v>73850</v>
      </c>
    </row>
    <row r="688" spans="1:13" customFormat="1" hidden="1" x14ac:dyDescent="0.3">
      <c r="A688" t="s">
        <v>3106</v>
      </c>
      <c r="B688" t="s">
        <v>3107</v>
      </c>
      <c r="C688" t="s">
        <v>472</v>
      </c>
      <c r="D688" t="s">
        <v>45</v>
      </c>
      <c r="E688" s="1">
        <v>9892</v>
      </c>
      <c r="F688">
        <v>1</v>
      </c>
      <c r="G688">
        <v>0</v>
      </c>
      <c r="H688">
        <v>3</v>
      </c>
      <c r="I688">
        <v>0</v>
      </c>
      <c r="J688">
        <v>0</v>
      </c>
      <c r="K688">
        <f t="shared" si="36"/>
        <v>3</v>
      </c>
      <c r="L688" s="1">
        <f t="shared" si="37"/>
        <v>0</v>
      </c>
      <c r="M688" s="1">
        <f t="shared" si="38"/>
        <v>29676</v>
      </c>
    </row>
    <row r="689" spans="1:13" customFormat="1" hidden="1" x14ac:dyDescent="0.3">
      <c r="A689" t="s">
        <v>3108</v>
      </c>
      <c r="B689" t="s">
        <v>3109</v>
      </c>
      <c r="C689" t="s">
        <v>472</v>
      </c>
      <c r="D689" t="s">
        <v>45</v>
      </c>
      <c r="E689" s="1">
        <v>900</v>
      </c>
      <c r="F689">
        <v>2</v>
      </c>
      <c r="G689">
        <v>0</v>
      </c>
      <c r="H689">
        <v>4</v>
      </c>
      <c r="I689">
        <v>0</v>
      </c>
      <c r="J689">
        <v>0</v>
      </c>
      <c r="K689">
        <f t="shared" si="36"/>
        <v>4</v>
      </c>
      <c r="L689" s="1">
        <f t="shared" si="37"/>
        <v>0</v>
      </c>
      <c r="M689" s="1">
        <f t="shared" si="38"/>
        <v>3600</v>
      </c>
    </row>
    <row r="690" spans="1:13" customFormat="1" hidden="1" x14ac:dyDescent="0.3">
      <c r="A690" t="s">
        <v>3110</v>
      </c>
      <c r="B690" t="s">
        <v>3111</v>
      </c>
      <c r="C690" t="s">
        <v>472</v>
      </c>
      <c r="D690" t="s">
        <v>45</v>
      </c>
      <c r="E690" s="1">
        <v>10527.25</v>
      </c>
      <c r="F690">
        <v>4</v>
      </c>
      <c r="G690">
        <v>0</v>
      </c>
      <c r="H690">
        <v>10</v>
      </c>
      <c r="I690">
        <v>0</v>
      </c>
      <c r="J690">
        <v>0</v>
      </c>
      <c r="K690">
        <f t="shared" si="36"/>
        <v>10</v>
      </c>
      <c r="L690" s="1">
        <f t="shared" si="37"/>
        <v>0</v>
      </c>
      <c r="M690" s="1">
        <f t="shared" si="38"/>
        <v>105272.5</v>
      </c>
    </row>
    <row r="691" spans="1:13" customFormat="1" hidden="1" x14ac:dyDescent="0.3">
      <c r="A691" t="s">
        <v>3112</v>
      </c>
      <c r="B691" t="s">
        <v>3113</v>
      </c>
      <c r="C691" t="s">
        <v>1801</v>
      </c>
      <c r="D691" t="s">
        <v>45</v>
      </c>
      <c r="E691" s="1">
        <v>52.19</v>
      </c>
      <c r="F691">
        <v>2</v>
      </c>
      <c r="G691">
        <v>0</v>
      </c>
      <c r="H691">
        <v>10</v>
      </c>
      <c r="I691">
        <v>0</v>
      </c>
      <c r="J691">
        <v>0</v>
      </c>
      <c r="K691">
        <f t="shared" si="36"/>
        <v>10</v>
      </c>
      <c r="L691" s="1">
        <f t="shared" si="37"/>
        <v>0</v>
      </c>
      <c r="M691" s="1">
        <f t="shared" si="38"/>
        <v>521.9</v>
      </c>
    </row>
    <row r="692" spans="1:13" customFormat="1" hidden="1" x14ac:dyDescent="0.3">
      <c r="A692" t="s">
        <v>3114</v>
      </c>
      <c r="B692" t="s">
        <v>3115</v>
      </c>
      <c r="C692" t="s">
        <v>1801</v>
      </c>
      <c r="D692" t="s">
        <v>45</v>
      </c>
      <c r="E692" s="1">
        <v>48.65</v>
      </c>
      <c r="F692">
        <v>3</v>
      </c>
      <c r="G692">
        <v>0</v>
      </c>
      <c r="H692">
        <v>15</v>
      </c>
      <c r="I692">
        <v>0</v>
      </c>
      <c r="J692">
        <v>0</v>
      </c>
      <c r="K692">
        <f t="shared" si="36"/>
        <v>15</v>
      </c>
      <c r="L692" s="1">
        <f t="shared" si="37"/>
        <v>0</v>
      </c>
      <c r="M692" s="1">
        <f t="shared" si="38"/>
        <v>729.75</v>
      </c>
    </row>
    <row r="693" spans="1:13" customFormat="1" hidden="1" x14ac:dyDescent="0.3">
      <c r="A693" t="s">
        <v>3116</v>
      </c>
      <c r="B693" t="s">
        <v>3117</v>
      </c>
      <c r="C693" t="s">
        <v>1801</v>
      </c>
      <c r="D693" t="s">
        <v>45</v>
      </c>
      <c r="E693" s="1">
        <v>55.88</v>
      </c>
      <c r="F693">
        <v>2</v>
      </c>
      <c r="G693">
        <v>0</v>
      </c>
      <c r="H693">
        <v>8</v>
      </c>
      <c r="I693">
        <v>0</v>
      </c>
      <c r="J693">
        <v>0</v>
      </c>
      <c r="K693">
        <f t="shared" si="36"/>
        <v>8</v>
      </c>
      <c r="L693" s="1">
        <f t="shared" si="37"/>
        <v>0</v>
      </c>
      <c r="M693" s="1">
        <f t="shared" si="38"/>
        <v>447.04</v>
      </c>
    </row>
    <row r="694" spans="1:13" customFormat="1" hidden="1" x14ac:dyDescent="0.3">
      <c r="A694" t="s">
        <v>3118</v>
      </c>
      <c r="B694" t="s">
        <v>3119</v>
      </c>
      <c r="C694" t="s">
        <v>1801</v>
      </c>
      <c r="D694" t="s">
        <v>45</v>
      </c>
      <c r="E694" s="1">
        <v>58.79</v>
      </c>
      <c r="F694">
        <v>28</v>
      </c>
      <c r="G694">
        <v>0</v>
      </c>
      <c r="H694">
        <v>58</v>
      </c>
      <c r="I694">
        <v>0</v>
      </c>
      <c r="J694">
        <v>0</v>
      </c>
      <c r="K694">
        <f t="shared" si="36"/>
        <v>58</v>
      </c>
      <c r="L694" s="1">
        <f t="shared" si="37"/>
        <v>0</v>
      </c>
      <c r="M694" s="1">
        <f t="shared" si="38"/>
        <v>3409.82</v>
      </c>
    </row>
    <row r="695" spans="1:13" customFormat="1" hidden="1" x14ac:dyDescent="0.3">
      <c r="A695" t="s">
        <v>3120</v>
      </c>
      <c r="B695" t="s">
        <v>3121</v>
      </c>
      <c r="C695" t="s">
        <v>1801</v>
      </c>
      <c r="D695" t="s">
        <v>45</v>
      </c>
      <c r="E695" s="1">
        <v>63.34</v>
      </c>
      <c r="F695">
        <v>3</v>
      </c>
      <c r="G695">
        <v>0</v>
      </c>
      <c r="H695">
        <v>15</v>
      </c>
      <c r="I695">
        <v>0</v>
      </c>
      <c r="J695">
        <v>0</v>
      </c>
      <c r="K695">
        <f t="shared" si="36"/>
        <v>15</v>
      </c>
      <c r="L695" s="1">
        <f t="shared" si="37"/>
        <v>0</v>
      </c>
      <c r="M695" s="1">
        <f t="shared" si="38"/>
        <v>950.1</v>
      </c>
    </row>
    <row r="696" spans="1:13" customFormat="1" hidden="1" x14ac:dyDescent="0.3">
      <c r="A696" t="s">
        <v>3122</v>
      </c>
      <c r="B696" t="s">
        <v>3123</v>
      </c>
      <c r="C696" t="s">
        <v>1801</v>
      </c>
      <c r="D696" t="s">
        <v>45</v>
      </c>
      <c r="E696" s="1">
        <v>73.27</v>
      </c>
      <c r="F696">
        <v>2</v>
      </c>
      <c r="G696">
        <v>0</v>
      </c>
      <c r="H696">
        <v>8</v>
      </c>
      <c r="I696">
        <v>0</v>
      </c>
      <c r="J696">
        <v>0</v>
      </c>
      <c r="K696">
        <f t="shared" si="36"/>
        <v>8</v>
      </c>
      <c r="L696" s="1">
        <f t="shared" si="37"/>
        <v>0</v>
      </c>
      <c r="M696" s="1">
        <f t="shared" si="38"/>
        <v>586.16</v>
      </c>
    </row>
    <row r="697" spans="1:13" customFormat="1" hidden="1" x14ac:dyDescent="0.3">
      <c r="A697" t="s">
        <v>3124</v>
      </c>
      <c r="B697" t="s">
        <v>3125</v>
      </c>
      <c r="C697" t="s">
        <v>1801</v>
      </c>
      <c r="D697" t="s">
        <v>45</v>
      </c>
      <c r="E697" s="1">
        <v>65.98</v>
      </c>
      <c r="F697">
        <v>2</v>
      </c>
      <c r="G697">
        <v>0</v>
      </c>
      <c r="H697">
        <v>8</v>
      </c>
      <c r="I697">
        <v>0</v>
      </c>
      <c r="J697">
        <v>0</v>
      </c>
      <c r="K697">
        <f t="shared" si="36"/>
        <v>8</v>
      </c>
      <c r="L697" s="1">
        <f t="shared" si="37"/>
        <v>0</v>
      </c>
      <c r="M697" s="1">
        <f t="shared" si="38"/>
        <v>527.84</v>
      </c>
    </row>
    <row r="698" spans="1:13" customFormat="1" hidden="1" x14ac:dyDescent="0.3">
      <c r="A698" t="s">
        <v>3126</v>
      </c>
      <c r="B698" t="s">
        <v>3127</v>
      </c>
      <c r="C698" t="s">
        <v>1801</v>
      </c>
      <c r="D698" t="s">
        <v>45</v>
      </c>
      <c r="E698" s="1">
        <v>69.58</v>
      </c>
      <c r="F698">
        <v>1</v>
      </c>
      <c r="G698">
        <v>0</v>
      </c>
      <c r="H698">
        <v>5</v>
      </c>
      <c r="I698">
        <v>0</v>
      </c>
      <c r="J698">
        <v>0</v>
      </c>
      <c r="K698">
        <f t="shared" si="36"/>
        <v>5</v>
      </c>
      <c r="L698" s="1">
        <f t="shared" si="37"/>
        <v>0</v>
      </c>
      <c r="M698" s="1">
        <f t="shared" si="38"/>
        <v>347.9</v>
      </c>
    </row>
    <row r="699" spans="1:13" customFormat="1" hidden="1" x14ac:dyDescent="0.3">
      <c r="A699" t="s">
        <v>3128</v>
      </c>
      <c r="B699" t="s">
        <v>3129</v>
      </c>
      <c r="C699" t="s">
        <v>3130</v>
      </c>
      <c r="D699" t="s">
        <v>45</v>
      </c>
      <c r="E699" s="1">
        <v>8161.02</v>
      </c>
      <c r="F699">
        <v>1</v>
      </c>
      <c r="G699">
        <v>0</v>
      </c>
      <c r="H699">
        <v>5</v>
      </c>
      <c r="I699">
        <v>0</v>
      </c>
      <c r="J699">
        <v>0</v>
      </c>
      <c r="K699">
        <f t="shared" si="36"/>
        <v>5</v>
      </c>
      <c r="L699" s="1">
        <f t="shared" si="37"/>
        <v>0</v>
      </c>
      <c r="M699" s="1">
        <f t="shared" si="38"/>
        <v>40805.100000000006</v>
      </c>
    </row>
    <row r="700" spans="1:13" customFormat="1" hidden="1" x14ac:dyDescent="0.3">
      <c r="A700" t="s">
        <v>3131</v>
      </c>
      <c r="B700" t="s">
        <v>3132</v>
      </c>
      <c r="D700" t="s">
        <v>45</v>
      </c>
      <c r="E700" s="1">
        <v>0</v>
      </c>
      <c r="F700">
        <v>1</v>
      </c>
      <c r="G700">
        <v>0</v>
      </c>
      <c r="H700">
        <v>5</v>
      </c>
      <c r="I700">
        <v>0</v>
      </c>
      <c r="J700">
        <v>0</v>
      </c>
      <c r="K700">
        <f t="shared" si="36"/>
        <v>5</v>
      </c>
      <c r="L700" s="1">
        <f t="shared" si="37"/>
        <v>0</v>
      </c>
      <c r="M700" s="1">
        <f t="shared" si="38"/>
        <v>0</v>
      </c>
    </row>
    <row r="701" spans="1:13" customFormat="1" hidden="1" x14ac:dyDescent="0.3">
      <c r="A701" t="s">
        <v>46</v>
      </c>
      <c r="B701" t="s">
        <v>3133</v>
      </c>
      <c r="D701" t="s">
        <v>45</v>
      </c>
      <c r="E701" s="1">
        <v>0</v>
      </c>
      <c r="F701">
        <v>1</v>
      </c>
      <c r="G701">
        <v>0</v>
      </c>
      <c r="H701">
        <v>2</v>
      </c>
      <c r="I701">
        <v>0</v>
      </c>
      <c r="J701">
        <v>0</v>
      </c>
      <c r="K701">
        <f t="shared" si="36"/>
        <v>2</v>
      </c>
      <c r="L701" s="1">
        <f t="shared" si="37"/>
        <v>0</v>
      </c>
      <c r="M701" s="1">
        <f t="shared" si="38"/>
        <v>0</v>
      </c>
    </row>
    <row r="702" spans="1:13" customFormat="1" hidden="1" x14ac:dyDescent="0.3">
      <c r="A702" t="s">
        <v>3134</v>
      </c>
      <c r="B702" t="s">
        <v>3135</v>
      </c>
      <c r="C702" t="s">
        <v>2217</v>
      </c>
      <c r="D702" t="s">
        <v>45</v>
      </c>
      <c r="E702" s="1">
        <v>0</v>
      </c>
      <c r="F702">
        <v>2</v>
      </c>
      <c r="G702">
        <v>0</v>
      </c>
      <c r="H702">
        <v>10</v>
      </c>
      <c r="I702">
        <v>0</v>
      </c>
      <c r="J702">
        <v>0</v>
      </c>
      <c r="K702">
        <f t="shared" si="36"/>
        <v>10</v>
      </c>
      <c r="L702" s="1">
        <f t="shared" si="37"/>
        <v>0</v>
      </c>
      <c r="M702" s="1">
        <f t="shared" si="38"/>
        <v>0</v>
      </c>
    </row>
    <row r="703" spans="1:13" customFormat="1" hidden="1" x14ac:dyDescent="0.3">
      <c r="A703" t="s">
        <v>3136</v>
      </c>
      <c r="B703" t="s">
        <v>3137</v>
      </c>
      <c r="D703" t="s">
        <v>45</v>
      </c>
      <c r="E703" s="1">
        <v>0</v>
      </c>
      <c r="F703">
        <v>2</v>
      </c>
      <c r="G703">
        <v>0</v>
      </c>
      <c r="H703">
        <v>8</v>
      </c>
      <c r="I703">
        <v>0</v>
      </c>
      <c r="J703">
        <v>0</v>
      </c>
      <c r="K703">
        <f t="shared" si="36"/>
        <v>8</v>
      </c>
      <c r="L703" s="1">
        <f t="shared" si="37"/>
        <v>0</v>
      </c>
      <c r="M703" s="1">
        <f t="shared" si="38"/>
        <v>0</v>
      </c>
    </row>
    <row r="704" spans="1:13" customFormat="1" hidden="1" x14ac:dyDescent="0.3">
      <c r="A704" t="s">
        <v>3138</v>
      </c>
      <c r="B704" t="s">
        <v>3139</v>
      </c>
      <c r="D704" t="s">
        <v>45</v>
      </c>
      <c r="E704" s="1">
        <v>0</v>
      </c>
      <c r="F704">
        <v>10</v>
      </c>
      <c r="G704">
        <v>0</v>
      </c>
      <c r="H704">
        <v>50</v>
      </c>
      <c r="I704">
        <v>0</v>
      </c>
      <c r="J704">
        <v>0</v>
      </c>
      <c r="K704">
        <f t="shared" si="36"/>
        <v>50</v>
      </c>
      <c r="L704" s="1">
        <f t="shared" si="37"/>
        <v>0</v>
      </c>
      <c r="M704" s="1">
        <f t="shared" si="38"/>
        <v>0</v>
      </c>
    </row>
    <row r="705" spans="1:13" customFormat="1" hidden="1" x14ac:dyDescent="0.3">
      <c r="A705" t="s">
        <v>3140</v>
      </c>
      <c r="B705" t="s">
        <v>3141</v>
      </c>
      <c r="C705" t="s">
        <v>2383</v>
      </c>
      <c r="D705" t="s">
        <v>45</v>
      </c>
      <c r="E705" s="1">
        <v>169</v>
      </c>
      <c r="F705">
        <v>13</v>
      </c>
      <c r="G705">
        <v>0</v>
      </c>
      <c r="H705">
        <v>45</v>
      </c>
      <c r="I705">
        <v>0</v>
      </c>
      <c r="J705">
        <v>0</v>
      </c>
      <c r="K705">
        <f t="shared" si="36"/>
        <v>45</v>
      </c>
      <c r="L705" s="1">
        <f t="shared" si="37"/>
        <v>0</v>
      </c>
      <c r="M705" s="1">
        <f t="shared" si="38"/>
        <v>7605</v>
      </c>
    </row>
    <row r="706" spans="1:13" customFormat="1" hidden="1" x14ac:dyDescent="0.3">
      <c r="A706" t="s">
        <v>3142</v>
      </c>
      <c r="B706" t="s">
        <v>3143</v>
      </c>
      <c r="C706" t="s">
        <v>1742</v>
      </c>
      <c r="D706" t="s">
        <v>45</v>
      </c>
      <c r="E706" s="1">
        <v>15923.7</v>
      </c>
      <c r="F706">
        <v>3</v>
      </c>
      <c r="G706">
        <v>0</v>
      </c>
      <c r="H706">
        <v>7</v>
      </c>
      <c r="I706">
        <v>0</v>
      </c>
      <c r="J706">
        <v>0</v>
      </c>
      <c r="K706">
        <f t="shared" ref="K706:K717" si="39">IF(H706-I706-J706&gt;0,H706-I706-J706,0)</f>
        <v>7</v>
      </c>
      <c r="L706" s="1">
        <f t="shared" ref="L706:L717" si="40">IFERROR(I706*E706,0)</f>
        <v>0</v>
      </c>
      <c r="M706" s="1">
        <f t="shared" ref="M706:M717" si="41">IFERROR(K706*E706,0)</f>
        <v>111465.90000000001</v>
      </c>
    </row>
    <row r="707" spans="1:13" customFormat="1" hidden="1" x14ac:dyDescent="0.3">
      <c r="A707" t="s">
        <v>3144</v>
      </c>
      <c r="B707" t="s">
        <v>3145</v>
      </c>
      <c r="D707" t="s">
        <v>45</v>
      </c>
      <c r="E707" s="1">
        <v>0</v>
      </c>
      <c r="F707">
        <v>1</v>
      </c>
      <c r="G707">
        <v>0</v>
      </c>
      <c r="H707">
        <v>5</v>
      </c>
      <c r="I707">
        <v>0</v>
      </c>
      <c r="J707">
        <v>0</v>
      </c>
      <c r="K707">
        <f t="shared" si="39"/>
        <v>5</v>
      </c>
      <c r="L707" s="1">
        <f t="shared" si="40"/>
        <v>0</v>
      </c>
      <c r="M707" s="1">
        <f t="shared" si="41"/>
        <v>0</v>
      </c>
    </row>
    <row r="708" spans="1:13" customFormat="1" hidden="1" x14ac:dyDescent="0.3">
      <c r="A708" t="s">
        <v>3146</v>
      </c>
      <c r="B708" t="s">
        <v>3147</v>
      </c>
      <c r="C708" t="s">
        <v>1752</v>
      </c>
      <c r="D708" t="s">
        <v>45</v>
      </c>
      <c r="E708" s="1">
        <v>430.34</v>
      </c>
      <c r="F708">
        <v>14</v>
      </c>
      <c r="G708">
        <v>0</v>
      </c>
      <c r="H708">
        <v>32</v>
      </c>
      <c r="I708">
        <v>0</v>
      </c>
      <c r="J708">
        <v>0</v>
      </c>
      <c r="K708">
        <f t="shared" si="39"/>
        <v>32</v>
      </c>
      <c r="L708" s="1">
        <f t="shared" si="40"/>
        <v>0</v>
      </c>
      <c r="M708" s="1">
        <f t="shared" si="41"/>
        <v>13770.88</v>
      </c>
    </row>
    <row r="709" spans="1:13" customFormat="1" hidden="1" x14ac:dyDescent="0.3">
      <c r="A709" t="s">
        <v>3148</v>
      </c>
      <c r="B709" t="s">
        <v>3149</v>
      </c>
      <c r="C709" t="s">
        <v>1752</v>
      </c>
      <c r="D709" t="s">
        <v>45</v>
      </c>
      <c r="E709" s="1">
        <v>1115.22</v>
      </c>
      <c r="F709">
        <v>11</v>
      </c>
      <c r="G709">
        <v>0</v>
      </c>
      <c r="H709">
        <v>23</v>
      </c>
      <c r="I709">
        <v>0</v>
      </c>
      <c r="J709">
        <v>0</v>
      </c>
      <c r="K709">
        <f t="shared" si="39"/>
        <v>23</v>
      </c>
      <c r="L709" s="1">
        <f t="shared" si="40"/>
        <v>0</v>
      </c>
      <c r="M709" s="1">
        <f t="shared" si="41"/>
        <v>25650.06</v>
      </c>
    </row>
    <row r="710" spans="1:13" customFormat="1" hidden="1" x14ac:dyDescent="0.3">
      <c r="A710" t="s">
        <v>3150</v>
      </c>
      <c r="B710" t="s">
        <v>3151</v>
      </c>
      <c r="C710" t="s">
        <v>121</v>
      </c>
      <c r="D710" t="s">
        <v>45</v>
      </c>
      <c r="E710" s="1">
        <v>5.22</v>
      </c>
      <c r="F710">
        <v>2</v>
      </c>
      <c r="G710">
        <v>0</v>
      </c>
      <c r="H710">
        <v>10</v>
      </c>
      <c r="I710">
        <v>0</v>
      </c>
      <c r="J710">
        <v>0</v>
      </c>
      <c r="K710">
        <f t="shared" si="39"/>
        <v>10</v>
      </c>
      <c r="L710" s="1">
        <f t="shared" si="40"/>
        <v>0</v>
      </c>
      <c r="M710" s="1">
        <f t="shared" si="41"/>
        <v>52.199999999999996</v>
      </c>
    </row>
    <row r="711" spans="1:13" customFormat="1" hidden="1" x14ac:dyDescent="0.3">
      <c r="A711" t="s">
        <v>3152</v>
      </c>
      <c r="B711" t="s">
        <v>3153</v>
      </c>
      <c r="C711" t="s">
        <v>2920</v>
      </c>
      <c r="D711" t="s">
        <v>45</v>
      </c>
      <c r="E711" s="1">
        <v>175.85</v>
      </c>
      <c r="F711">
        <v>34</v>
      </c>
      <c r="G711">
        <v>0</v>
      </c>
      <c r="H711">
        <v>109</v>
      </c>
      <c r="I711">
        <v>0</v>
      </c>
      <c r="J711">
        <v>0</v>
      </c>
      <c r="K711">
        <f t="shared" si="39"/>
        <v>109</v>
      </c>
      <c r="L711" s="1">
        <f t="shared" si="40"/>
        <v>0</v>
      </c>
      <c r="M711" s="1">
        <f t="shared" si="41"/>
        <v>19167.649999999998</v>
      </c>
    </row>
    <row r="712" spans="1:13" customFormat="1" hidden="1" x14ac:dyDescent="0.3">
      <c r="A712" t="s">
        <v>3154</v>
      </c>
      <c r="B712" t="s">
        <v>3152</v>
      </c>
      <c r="C712" t="s">
        <v>2920</v>
      </c>
      <c r="D712" t="s">
        <v>45</v>
      </c>
      <c r="E712" s="1">
        <v>175.85</v>
      </c>
      <c r="F712">
        <v>2</v>
      </c>
      <c r="G712">
        <v>0</v>
      </c>
      <c r="H712">
        <v>12</v>
      </c>
      <c r="I712">
        <v>0</v>
      </c>
      <c r="J712">
        <v>0</v>
      </c>
      <c r="K712">
        <f t="shared" si="39"/>
        <v>12</v>
      </c>
      <c r="L712" s="1">
        <f t="shared" si="40"/>
        <v>0</v>
      </c>
      <c r="M712" s="1">
        <f t="shared" si="41"/>
        <v>2110.1999999999998</v>
      </c>
    </row>
    <row r="713" spans="1:13" customFormat="1" hidden="1" x14ac:dyDescent="0.3">
      <c r="A713" t="s">
        <v>3155</v>
      </c>
      <c r="B713" t="s">
        <v>3156</v>
      </c>
      <c r="C713" t="s">
        <v>2169</v>
      </c>
      <c r="D713" t="s">
        <v>45</v>
      </c>
      <c r="E713" s="1">
        <v>701.67</v>
      </c>
      <c r="F713">
        <v>3</v>
      </c>
      <c r="G713">
        <v>0</v>
      </c>
      <c r="H713">
        <v>9</v>
      </c>
      <c r="I713">
        <v>0</v>
      </c>
      <c r="J713">
        <v>0</v>
      </c>
      <c r="K713">
        <f t="shared" si="39"/>
        <v>9</v>
      </c>
      <c r="L713" s="1">
        <f t="shared" si="40"/>
        <v>0</v>
      </c>
      <c r="M713" s="1">
        <f t="shared" si="41"/>
        <v>6315.03</v>
      </c>
    </row>
    <row r="714" spans="1:13" customFormat="1" hidden="1" x14ac:dyDescent="0.3">
      <c r="A714" t="s">
        <v>3157</v>
      </c>
      <c r="B714" t="s">
        <v>3158</v>
      </c>
      <c r="C714" t="s">
        <v>3159</v>
      </c>
      <c r="D714" t="s">
        <v>45</v>
      </c>
      <c r="E714" s="1">
        <v>11638.05</v>
      </c>
      <c r="F714">
        <v>1</v>
      </c>
      <c r="G714">
        <v>0</v>
      </c>
      <c r="H714">
        <v>3</v>
      </c>
      <c r="I714">
        <v>0</v>
      </c>
      <c r="J714">
        <v>0</v>
      </c>
      <c r="K714">
        <f t="shared" si="39"/>
        <v>3</v>
      </c>
      <c r="L714" s="1">
        <f t="shared" si="40"/>
        <v>0</v>
      </c>
      <c r="M714" s="1">
        <f t="shared" si="41"/>
        <v>34914.149999999994</v>
      </c>
    </row>
    <row r="715" spans="1:13" customFormat="1" hidden="1" x14ac:dyDescent="0.3">
      <c r="A715" t="s">
        <v>3160</v>
      </c>
      <c r="B715" t="s">
        <v>3160</v>
      </c>
      <c r="C715" t="s">
        <v>1259</v>
      </c>
      <c r="D715" t="s">
        <v>45</v>
      </c>
      <c r="E715" s="1">
        <v>1085.46</v>
      </c>
      <c r="F715">
        <v>1</v>
      </c>
      <c r="G715">
        <v>0</v>
      </c>
      <c r="H715">
        <v>3</v>
      </c>
      <c r="I715">
        <v>0</v>
      </c>
      <c r="J715">
        <v>0</v>
      </c>
      <c r="K715">
        <f t="shared" si="39"/>
        <v>3</v>
      </c>
      <c r="L715" s="1">
        <f t="shared" si="40"/>
        <v>0</v>
      </c>
      <c r="M715" s="1">
        <f t="shared" si="41"/>
        <v>3256.38</v>
      </c>
    </row>
    <row r="716" spans="1:13" customFormat="1" hidden="1" x14ac:dyDescent="0.3">
      <c r="A716" t="s">
        <v>3161</v>
      </c>
      <c r="B716" t="s">
        <v>3162</v>
      </c>
      <c r="D716" t="s">
        <v>45</v>
      </c>
      <c r="E716" s="1">
        <v>0</v>
      </c>
      <c r="F716">
        <v>1</v>
      </c>
      <c r="G716">
        <v>0</v>
      </c>
      <c r="H716">
        <v>2</v>
      </c>
      <c r="I716">
        <v>0</v>
      </c>
      <c r="J716">
        <v>0</v>
      </c>
      <c r="K716">
        <f t="shared" si="39"/>
        <v>2</v>
      </c>
      <c r="L716" s="1">
        <f t="shared" si="40"/>
        <v>0</v>
      </c>
      <c r="M716" s="1">
        <f t="shared" si="41"/>
        <v>0</v>
      </c>
    </row>
    <row r="717" spans="1:13" customFormat="1" hidden="1" x14ac:dyDescent="0.3">
      <c r="A717" t="s">
        <v>3163</v>
      </c>
      <c r="B717" t="s">
        <v>3164</v>
      </c>
      <c r="C717" t="s">
        <v>3165</v>
      </c>
      <c r="D717" t="s">
        <v>45</v>
      </c>
      <c r="E717" s="1">
        <v>7180</v>
      </c>
      <c r="F717">
        <v>1</v>
      </c>
      <c r="G717">
        <v>0</v>
      </c>
      <c r="H717">
        <v>2</v>
      </c>
      <c r="I717">
        <v>0</v>
      </c>
      <c r="J717">
        <v>0</v>
      </c>
      <c r="K717">
        <f t="shared" si="39"/>
        <v>2</v>
      </c>
      <c r="L717" s="1">
        <f t="shared" si="40"/>
        <v>0</v>
      </c>
      <c r="M717" s="1">
        <f t="shared" si="41"/>
        <v>14360</v>
      </c>
    </row>
    <row r="718" spans="1:13" x14ac:dyDescent="0.3">
      <c r="A718" s="2" t="s">
        <v>48</v>
      </c>
    </row>
  </sheetData>
  <pageMargins left="0.75" right="0.75" top="1" bottom="1" header="0.5" footer="0.5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3166</v>
      </c>
      <c r="B2" t="s">
        <v>3167</v>
      </c>
      <c r="C2" t="s">
        <v>1938</v>
      </c>
      <c r="D2" t="s">
        <v>46</v>
      </c>
      <c r="E2" s="1">
        <v>5996.25</v>
      </c>
      <c r="F2">
        <v>1</v>
      </c>
      <c r="G2">
        <v>0</v>
      </c>
      <c r="H2">
        <v>3</v>
      </c>
      <c r="I2">
        <v>0</v>
      </c>
      <c r="J2">
        <v>1</v>
      </c>
      <c r="K2">
        <f>IF(H2-I2-J2&gt;0,H2-I2-J2,0)</f>
        <v>2</v>
      </c>
      <c r="L2" s="1">
        <f>IFERROR(I2*E2,0)</f>
        <v>0</v>
      </c>
      <c r="M2" s="1">
        <f>IFERROR(K2*E2,0)</f>
        <v>11992.5</v>
      </c>
    </row>
    <row r="3" spans="1:13" x14ac:dyDescent="0.3">
      <c r="A3" t="s">
        <v>3168</v>
      </c>
      <c r="B3" t="s">
        <v>3169</v>
      </c>
      <c r="C3" t="s">
        <v>1938</v>
      </c>
      <c r="D3" t="s">
        <v>46</v>
      </c>
      <c r="E3" s="1">
        <v>6674.85</v>
      </c>
      <c r="F3">
        <v>4</v>
      </c>
      <c r="G3">
        <v>0</v>
      </c>
      <c r="H3">
        <v>14</v>
      </c>
      <c r="I3">
        <v>0</v>
      </c>
      <c r="J3">
        <v>3</v>
      </c>
      <c r="K3">
        <f>IF(H3-I3-J3&gt;0,H3-I3-J3,0)</f>
        <v>11</v>
      </c>
      <c r="L3" s="1">
        <f>IFERROR(I3*E3,0)</f>
        <v>0</v>
      </c>
      <c r="M3" s="1">
        <f>IFERROR(K3*E3,0)</f>
        <v>73423.350000000006</v>
      </c>
    </row>
    <row r="4" spans="1:13" x14ac:dyDescent="0.3">
      <c r="A4" t="s">
        <v>3170</v>
      </c>
      <c r="B4" t="s">
        <v>3171</v>
      </c>
      <c r="C4" t="s">
        <v>1938</v>
      </c>
      <c r="D4" t="s">
        <v>46</v>
      </c>
      <c r="E4" s="1">
        <v>7011.65</v>
      </c>
      <c r="F4">
        <v>1</v>
      </c>
      <c r="G4">
        <v>0</v>
      </c>
      <c r="H4">
        <v>3</v>
      </c>
      <c r="I4">
        <v>0</v>
      </c>
      <c r="J4">
        <v>1</v>
      </c>
      <c r="K4">
        <f>IF(H4-I4-J4&gt;0,H4-I4-J4,0)</f>
        <v>2</v>
      </c>
      <c r="L4" s="1">
        <f>IFERROR(I4*E4,0)</f>
        <v>0</v>
      </c>
      <c r="M4" s="1">
        <f>IFERROR(K4*E4,0)</f>
        <v>14023.3</v>
      </c>
    </row>
    <row r="5" spans="1:13" x14ac:dyDescent="0.3">
      <c r="A5" t="s">
        <v>3172</v>
      </c>
      <c r="B5" t="s">
        <v>3173</v>
      </c>
      <c r="C5" t="s">
        <v>1938</v>
      </c>
      <c r="D5" t="s">
        <v>46</v>
      </c>
      <c r="E5" s="1">
        <v>7709.22</v>
      </c>
      <c r="F5">
        <v>2</v>
      </c>
      <c r="G5">
        <v>0</v>
      </c>
      <c r="H5">
        <v>6</v>
      </c>
      <c r="I5">
        <v>0</v>
      </c>
      <c r="J5">
        <v>1</v>
      </c>
      <c r="K5">
        <f>IF(H5-I5-J5&gt;0,H5-I5-J5,0)</f>
        <v>5</v>
      </c>
      <c r="L5" s="1">
        <f>IFERROR(I5*E5,0)</f>
        <v>0</v>
      </c>
      <c r="M5" s="1">
        <f>IFERROR(K5*E5,0)</f>
        <v>38546.1</v>
      </c>
    </row>
    <row r="6" spans="1:13" x14ac:dyDescent="0.3">
      <c r="A6" t="s">
        <v>48</v>
      </c>
    </row>
  </sheetData>
  <pageMargins left="0.75" right="0.75" top="1" bottom="1" header="0.5" footer="0.5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49</v>
      </c>
      <c r="B1" t="s">
        <v>50</v>
      </c>
      <c r="C1" t="s">
        <v>51</v>
      </c>
      <c r="D1" t="s">
        <v>0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3">
      <c r="A2" t="s">
        <v>3174</v>
      </c>
      <c r="B2" t="s">
        <v>3174</v>
      </c>
      <c r="D2" t="s">
        <v>47</v>
      </c>
      <c r="E2" s="1">
        <v>1922.9</v>
      </c>
      <c r="F2">
        <v>1</v>
      </c>
      <c r="G2">
        <v>0</v>
      </c>
      <c r="H2">
        <v>2</v>
      </c>
      <c r="I2">
        <v>0</v>
      </c>
      <c r="J2">
        <v>0</v>
      </c>
      <c r="K2">
        <f>IF(H2-I2-J2&gt;0,H2-I2-J2,0)</f>
        <v>2</v>
      </c>
      <c r="L2" s="1">
        <f>IFERROR(I2*E2,0)</f>
        <v>0</v>
      </c>
      <c r="M2" s="1">
        <f>IFERROR(K2*E2,0)</f>
        <v>3845.8</v>
      </c>
    </row>
    <row r="3" spans="1:13" x14ac:dyDescent="0.3">
      <c r="A3" t="s">
        <v>3175</v>
      </c>
      <c r="B3" t="s">
        <v>3175</v>
      </c>
      <c r="D3" t="s">
        <v>47</v>
      </c>
      <c r="E3" s="1">
        <v>1175.53</v>
      </c>
      <c r="F3">
        <v>1</v>
      </c>
      <c r="G3">
        <v>0</v>
      </c>
      <c r="H3">
        <v>2</v>
      </c>
      <c r="I3">
        <v>0</v>
      </c>
      <c r="J3">
        <v>0</v>
      </c>
      <c r="K3">
        <f>IF(H3-I3-J3&gt;0,H3-I3-J3,0)</f>
        <v>2</v>
      </c>
      <c r="L3" s="1">
        <f>IFERROR(I3*E3,0)</f>
        <v>0</v>
      </c>
      <c r="M3" s="1">
        <f>IFERROR(K3*E3,0)</f>
        <v>2351.06</v>
      </c>
    </row>
    <row r="4" spans="1:13" x14ac:dyDescent="0.3">
      <c r="A4" t="s">
        <v>3176</v>
      </c>
      <c r="B4" t="s">
        <v>3176</v>
      </c>
      <c r="D4" t="s">
        <v>47</v>
      </c>
      <c r="E4" s="1">
        <v>3172.84</v>
      </c>
      <c r="F4">
        <v>2</v>
      </c>
      <c r="G4">
        <v>0</v>
      </c>
      <c r="H4">
        <v>8</v>
      </c>
      <c r="I4">
        <v>0</v>
      </c>
      <c r="J4">
        <v>0</v>
      </c>
      <c r="K4">
        <f>IF(H4-I4-J4&gt;0,H4-I4-J4,0)</f>
        <v>8</v>
      </c>
      <c r="L4" s="1">
        <f>IFERROR(I4*E4,0)</f>
        <v>0</v>
      </c>
      <c r="M4" s="1">
        <f>IFERROR(K4*E4,0)</f>
        <v>25382.720000000001</v>
      </c>
    </row>
    <row r="5" spans="1:13" x14ac:dyDescent="0.3">
      <c r="A5" t="s">
        <v>3177</v>
      </c>
      <c r="B5" t="s">
        <v>3178</v>
      </c>
      <c r="D5" t="s">
        <v>47</v>
      </c>
      <c r="E5" s="1">
        <v>990.91</v>
      </c>
      <c r="F5">
        <v>1</v>
      </c>
      <c r="G5">
        <v>0</v>
      </c>
      <c r="H5">
        <v>2</v>
      </c>
      <c r="I5">
        <v>0</v>
      </c>
      <c r="J5">
        <v>0</v>
      </c>
      <c r="K5">
        <f>IF(H5-I5-J5&gt;0,H5-I5-J5,0)</f>
        <v>2</v>
      </c>
      <c r="L5" s="1">
        <f>IFERROR(I5*E5,0)</f>
        <v>0</v>
      </c>
      <c r="M5" s="1">
        <f>IFERROR(K5*E5,0)</f>
        <v>1981.82</v>
      </c>
    </row>
    <row r="6" spans="1:13" x14ac:dyDescent="0.3">
      <c r="A6" t="s">
        <v>3179</v>
      </c>
      <c r="B6" t="s">
        <v>3180</v>
      </c>
      <c r="D6" t="s">
        <v>47</v>
      </c>
      <c r="E6" s="1">
        <v>1188.07</v>
      </c>
      <c r="F6">
        <v>1</v>
      </c>
      <c r="G6">
        <v>0</v>
      </c>
      <c r="H6">
        <v>2</v>
      </c>
      <c r="I6">
        <v>0</v>
      </c>
      <c r="J6">
        <v>0</v>
      </c>
      <c r="K6">
        <f>IF(H6-I6-J6&gt;0,H6-I6-J6,0)</f>
        <v>2</v>
      </c>
      <c r="L6" s="1">
        <f>IFERROR(I6*E6,0)</f>
        <v>0</v>
      </c>
      <c r="M6" s="1">
        <f>IFERROR(K6*E6,0)</f>
        <v>2376.14</v>
      </c>
    </row>
    <row r="7" spans="1:13" x14ac:dyDescent="0.3">
      <c r="A7" t="s">
        <v>48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Category Summary</vt:lpstr>
      <vt:lpstr>Accessories</vt:lpstr>
      <vt:lpstr>BENDINGCUTTING</vt:lpstr>
      <vt:lpstr>CFLANGE</vt:lpstr>
      <vt:lpstr>CASING</vt:lpstr>
      <vt:lpstr>CONSUMABLES</vt:lpstr>
      <vt:lpstr>CRATING</vt:lpstr>
      <vt:lpstr>Car accessories</vt:lpstr>
      <vt:lpstr>DUCT</vt:lpstr>
      <vt:lpstr>FABRICATION</vt:lpstr>
      <vt:lpstr>FASTENERS</vt:lpstr>
      <vt:lpstr>FM - BLOWER</vt:lpstr>
      <vt:lpstr>FM - CFLANGE</vt:lpstr>
      <vt:lpstr>FM - CASING</vt:lpstr>
      <vt:lpstr>FM - CFW FANS</vt:lpstr>
      <vt:lpstr>FM - DONKIN</vt:lpstr>
      <vt:lpstr>FM - ELECTRICAL WIRING</vt:lpstr>
      <vt:lpstr>FM - FABRICATION</vt:lpstr>
      <vt:lpstr>FM - FAN BLADE MODELLING</vt:lpstr>
      <vt:lpstr>FM - FPZ</vt:lpstr>
      <vt:lpstr>FM - IMPELLER</vt:lpstr>
      <vt:lpstr>FM - KAYITES</vt:lpstr>
      <vt:lpstr>FM - LUCK &amp; KING</vt:lpstr>
      <vt:lpstr>FM - MFEET</vt:lpstr>
      <vt:lpstr>FM - MACHINERY</vt:lpstr>
      <vt:lpstr>FM - MOTOR</vt:lpstr>
      <vt:lpstr>FM - NICOTRA</vt:lpstr>
      <vt:lpstr>FM - OSTBERG</vt:lpstr>
      <vt:lpstr>FM - PAINTING</vt:lpstr>
      <vt:lpstr>FM - SHEET</vt:lpstr>
      <vt:lpstr>FM - SODECA</vt:lpstr>
      <vt:lpstr>FM - UNIFORM</vt:lpstr>
      <vt:lpstr>FM - VORTICE</vt:lpstr>
      <vt:lpstr>FREIGHT</vt:lpstr>
      <vt:lpstr>IMPELLER</vt:lpstr>
      <vt:lpstr>MFEET</vt:lpstr>
      <vt:lpstr>MOTOR FLANGE</vt:lpstr>
      <vt:lpstr>MOTORS</vt:lpstr>
      <vt:lpstr>PACKAGING</vt:lpstr>
      <vt:lpstr>PLATE</vt:lpstr>
      <vt:lpstr>Roof Fans</vt:lpstr>
      <vt:lpstr>Sodeca</vt:lpstr>
      <vt:lpstr>Uncategorized</vt:lpstr>
      <vt:lpstr>VSD</vt:lpstr>
      <vt:lpstr>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dcterms:created xsi:type="dcterms:W3CDTF">2026-04-20T07:28:54Z</dcterms:created>
  <dcterms:modified xsi:type="dcterms:W3CDTF">2026-04-21T09:59:46Z</dcterms:modified>
</cp:coreProperties>
</file>