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nmovement-my.sharepoint.com/personal/zinzi_xhallie_fanmovement_co_za/Documents/Sales/Sales Contracts &amp; Register/Sales 2026/Name Plate &amp; Testing/NAME PLATE &amp; TESTING SHEET/"/>
    </mc:Choice>
  </mc:AlternateContent>
  <xr:revisionPtr revIDLastSave="3085" documentId="11_F66D56249E4235137CFE714803E7353E5C56C862" xr6:coauthVersionLast="47" xr6:coauthVersionMax="47" xr10:uidLastSave="{6BB1AA99-7967-4F6B-B4DB-F3CC1788A62E}"/>
  <bookViews>
    <workbookView xWindow="-108" yWindow="-108" windowWidth="23256" windowHeight="12456" tabRatio="973" activeTab="3" xr2:uid="{00000000-000D-0000-FFFF-FFFF00000000}"/>
  </bookViews>
  <sheets>
    <sheet name="NamePlateProc" sheetId="13" r:id="rId1"/>
    <sheet name="Info+Data Entry Form" sheetId="1" r:id="rId2"/>
    <sheet name="Name Plate" sheetId="3" r:id="rId3"/>
    <sheet name="Test Sheet" sheetId="2" r:id="rId4"/>
    <sheet name="Info+Data Entry Form FUMAX" sheetId="12" r:id="rId5"/>
    <sheet name="Name Plate FUMAX" sheetId="10" r:id="rId6"/>
    <sheet name="Test Sheet FUMAX" sheetId="11" r:id="rId7"/>
    <sheet name="PB4 Performance Data" sheetId="5" r:id="rId8"/>
    <sheet name="WEG_W22_IE3_400V" sheetId="7" r:id="rId9"/>
    <sheet name="CasingInspectionSheet" sheetId="9" r:id="rId10"/>
  </sheets>
  <definedNames>
    <definedName name="_xlnm.Print_Area" localSheetId="1">'Info+Data Entry Form'!#REF!</definedName>
    <definedName name="_xlnm.Print_Area" localSheetId="4">'Info+Data Entry Form FUMAX'!#REF!</definedName>
    <definedName name="_xlnm.Print_Area" localSheetId="2">'Name Plate'!$A$1:$F$13</definedName>
    <definedName name="_xlnm.Print_Area" localSheetId="5">'Name Plate FUMAX'!$A$1:$W$14</definedName>
    <definedName name="_xlnm.Print_Area" localSheetId="3">'Test Sheet'!$A$1:$Y$38</definedName>
    <definedName name="_xlnm.Print_Area" localSheetId="6">'Test Sheet FUMAX'!$A$1:$X$38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D7" i="2" s="1"/>
  <c r="B10" i="3"/>
  <c r="D4" i="2"/>
  <c r="L7" i="1"/>
  <c r="I12" i="2" l="1"/>
  <c r="W14" i="11"/>
  <c r="U14" i="11"/>
  <c r="S14" i="11"/>
  <c r="Q14" i="11"/>
  <c r="I14" i="11"/>
  <c r="E14" i="11"/>
  <c r="W13" i="11"/>
  <c r="U13" i="11"/>
  <c r="S13" i="11"/>
  <c r="Q13" i="11"/>
  <c r="I13" i="11"/>
  <c r="E13" i="11"/>
  <c r="C4" i="1" l="1"/>
  <c r="E10" i="3" s="1"/>
  <c r="C5" i="9"/>
  <c r="E12" i="11"/>
  <c r="T5" i="11"/>
  <c r="D6" i="11"/>
  <c r="U12" i="11" s="1"/>
  <c r="D5" i="11"/>
  <c r="D4" i="11"/>
  <c r="V2" i="11"/>
  <c r="P2" i="11"/>
  <c r="J2" i="11"/>
  <c r="D2" i="11"/>
  <c r="Q7" i="10"/>
  <c r="Q6" i="10"/>
  <c r="T5" i="10"/>
  <c r="Q5" i="10"/>
  <c r="E6" i="10"/>
  <c r="K5" i="10"/>
  <c r="E5" i="10"/>
  <c r="E7" i="10"/>
  <c r="T6" i="11" s="1"/>
  <c r="I8" i="10"/>
  <c r="E8" i="10"/>
  <c r="E9" i="10"/>
  <c r="E11" i="10"/>
  <c r="I13" i="10"/>
  <c r="Q9" i="10"/>
  <c r="Q8" i="10"/>
  <c r="D7" i="11" s="1"/>
  <c r="A1" i="10"/>
  <c r="C20" i="12"/>
  <c r="C13" i="12"/>
  <c r="E10" i="10" s="1"/>
  <c r="U1" i="11"/>
  <c r="C19" i="1"/>
  <c r="E12" i="2"/>
  <c r="T5" i="2"/>
  <c r="D6" i="2"/>
  <c r="D5" i="2"/>
  <c r="V2" i="2"/>
  <c r="P2" i="2"/>
  <c r="J2" i="2"/>
  <c r="D2" i="2"/>
  <c r="B8" i="3"/>
  <c r="E6" i="3"/>
  <c r="E8" i="3"/>
  <c r="E7" i="3"/>
  <c r="B5" i="3"/>
  <c r="B9" i="3"/>
  <c r="B7" i="3"/>
  <c r="B6" i="3"/>
  <c r="T6" i="2" s="1"/>
  <c r="E4" i="3"/>
  <c r="B4" i="3"/>
  <c r="A1" i="3"/>
  <c r="I12" i="11" l="1"/>
  <c r="Q11" i="10"/>
  <c r="U1" i="2"/>
  <c r="S12" i="2"/>
  <c r="E9" i="3"/>
  <c r="W12" i="11"/>
  <c r="Q12" i="11"/>
  <c r="S12" i="11"/>
  <c r="Q12" i="2"/>
  <c r="U12" i="2"/>
  <c r="X12" i="2"/>
</calcChain>
</file>

<file path=xl/sharedStrings.xml><?xml version="1.0" encoding="utf-8"?>
<sst xmlns="http://schemas.openxmlformats.org/spreadsheetml/2006/main" count="613" uniqueCount="265">
  <si>
    <r>
      <rPr>
        <b/>
        <sz val="12"/>
        <color rgb="FFFF0000"/>
        <rFont val="Calibri"/>
        <family val="2"/>
      </rPr>
      <t>NAME PLATE PROCEDURE</t>
    </r>
  </si>
  <si>
    <r>
      <rPr>
        <b/>
        <sz val="11"/>
        <color rgb="FFFF0000"/>
        <rFont val="Calibri"/>
        <family val="2"/>
      </rPr>
      <t>STAR CONNECTION</t>
    </r>
  </si>
  <si>
    <r>
      <rPr>
        <b/>
        <sz val="11"/>
        <color rgb="FFFF0000"/>
        <rFont val="Calibri"/>
        <family val="2"/>
      </rPr>
      <t>380V</t>
    </r>
  </si>
  <si>
    <r>
      <rPr>
        <b/>
        <sz val="11"/>
        <color rgb="FFFF0000"/>
        <rFont val="Calibri"/>
        <family val="2"/>
      </rPr>
      <t>DELTA CONNECTION</t>
    </r>
  </si>
  <si>
    <r>
      <rPr>
        <b/>
        <sz val="11"/>
        <color rgb="FFFF0000"/>
        <rFont val="Calibri"/>
        <family val="2"/>
      </rPr>
      <t>525V</t>
    </r>
  </si>
  <si>
    <r>
      <rPr>
        <b/>
        <sz val="11"/>
        <color rgb="FFFF0000"/>
        <rFont val="Calibri"/>
        <family val="2"/>
      </rPr>
      <t>220V</t>
    </r>
  </si>
  <si>
    <t>Series</t>
  </si>
  <si>
    <t>As per Sales Order</t>
  </si>
  <si>
    <t>Size</t>
  </si>
  <si>
    <t>Class/Pitch</t>
  </si>
  <si>
    <t>Sales To Provide when sending Sales Order</t>
  </si>
  <si>
    <t>Op Speed</t>
  </si>
  <si>
    <t>2P - 2880rpm, 4P - 1440rpm, 6P - 960rpm, 8P - 720rpm</t>
  </si>
  <si>
    <t>Motor</t>
  </si>
  <si>
    <t>As per Sales Order or Supplier Order</t>
  </si>
  <si>
    <t>Max Speed</t>
  </si>
  <si>
    <t>Same as Op. Speed (Above)</t>
  </si>
  <si>
    <t>Voltage</t>
  </si>
  <si>
    <t>Phase</t>
  </si>
  <si>
    <t>As per Sales Order - 3Phase - 380V, 525V and 1Phase - 220V</t>
  </si>
  <si>
    <t>F.L.A</t>
  </si>
  <si>
    <t>Frequency</t>
  </si>
  <si>
    <t>50Hz Always  - unless specified</t>
  </si>
  <si>
    <t>Op Temp</t>
  </si>
  <si>
    <t>20 degrees - Unless Specified</t>
  </si>
  <si>
    <t>Conn</t>
  </si>
  <si>
    <t>SEE BELOW EXPLANATION</t>
  </si>
  <si>
    <t>Serial No</t>
  </si>
  <si>
    <t>Date of Manuf</t>
  </si>
  <si>
    <t>Month and Year that job sheet is issued</t>
  </si>
  <si>
    <t>Re-Lubrication Interval</t>
  </si>
  <si>
    <t>N/A - All the time, unless specified</t>
  </si>
  <si>
    <t>VOLTAGE</t>
  </si>
  <si>
    <t>SPEED</t>
  </si>
  <si>
    <t>MAXIMUM MOTOR SIZE</t>
  </si>
  <si>
    <t>2 POLE</t>
  </si>
  <si>
    <t>3kW</t>
  </si>
  <si>
    <t>4 POLE</t>
  </si>
  <si>
    <t>6 POLE</t>
  </si>
  <si>
    <t>1.5kW</t>
  </si>
  <si>
    <t>8 POLE</t>
  </si>
  <si>
    <t>1.1kW</t>
  </si>
  <si>
    <t>MINIMUM MOTOR SIZE</t>
  </si>
  <si>
    <t>4kW</t>
  </si>
  <si>
    <t>2.2kW</t>
  </si>
  <si>
    <t>NAME PLATE DETAILS</t>
  </si>
  <si>
    <t xml:space="preserve">N/A </t>
  </si>
  <si>
    <t>V</t>
  </si>
  <si>
    <t>Hz</t>
  </si>
  <si>
    <t>RPM</t>
  </si>
  <si>
    <t>°C</t>
  </si>
  <si>
    <t>°</t>
  </si>
  <si>
    <t>kW</t>
  </si>
  <si>
    <t>Contract No.</t>
  </si>
  <si>
    <t>Fan Size</t>
  </si>
  <si>
    <t>Imp. Form</t>
  </si>
  <si>
    <t>Fan Series</t>
  </si>
  <si>
    <t>Motor Current:</t>
  </si>
  <si>
    <t>Amp</t>
  </si>
  <si>
    <t>MAKE:</t>
  </si>
  <si>
    <t>Motor Voltage:</t>
  </si>
  <si>
    <t>380V</t>
  </si>
  <si>
    <t>Volt</t>
  </si>
  <si>
    <t>Description:</t>
  </si>
  <si>
    <t>Fan Speed:</t>
  </si>
  <si>
    <t>r/min</t>
  </si>
  <si>
    <t>ACTUAL VALUES</t>
  </si>
  <si>
    <t>Motor Serial Number:</t>
  </si>
  <si>
    <t>Blade Pitch Deg.</t>
  </si>
  <si>
    <t>Tacho &amp; Clamp Meter Serial No</t>
  </si>
  <si>
    <t>Speed</t>
  </si>
  <si>
    <t>Current</t>
  </si>
  <si>
    <t>Connection</t>
  </si>
  <si>
    <t>PH1</t>
  </si>
  <si>
    <t>PH2</t>
  </si>
  <si>
    <t>PH3</t>
  </si>
  <si>
    <t>N/A</t>
  </si>
  <si>
    <t>Testing Operator Signature:</t>
  </si>
  <si>
    <t>Quality Inspector Signature:</t>
  </si>
  <si>
    <t>Remarks:  Operator and Quality to sign on completion of work, with date competed.</t>
  </si>
  <si>
    <t>Customer Name:</t>
  </si>
  <si>
    <t>Name Plate Data</t>
  </si>
  <si>
    <t>Contract No:</t>
  </si>
  <si>
    <t>Fan Size:</t>
  </si>
  <si>
    <t>Imp. Form:</t>
  </si>
  <si>
    <t>Make:</t>
  </si>
  <si>
    <t>(Name plate only)</t>
  </si>
  <si>
    <t>Date:</t>
  </si>
  <si>
    <t>Power (kW):</t>
  </si>
  <si>
    <t>Blade type (A/P):</t>
  </si>
  <si>
    <t>A</t>
  </si>
  <si>
    <t>(Test sheet only)</t>
  </si>
  <si>
    <t>Voltage:</t>
  </si>
  <si>
    <t>(Both)</t>
  </si>
  <si>
    <r>
      <t xml:space="preserve">F.L.A/Motor Current: </t>
    </r>
    <r>
      <rPr>
        <b/>
        <sz val="11"/>
        <color rgb="FFFF0000"/>
        <rFont val="Calibri"/>
        <family val="2"/>
      </rPr>
      <t>(Calculated)</t>
    </r>
  </si>
  <si>
    <t>Op Temp:</t>
  </si>
  <si>
    <t>Class/Pitch:</t>
  </si>
  <si>
    <r>
      <t xml:space="preserve">Shared Data </t>
    </r>
    <r>
      <rPr>
        <sz val="11"/>
        <color rgb="FF000000"/>
        <rFont val="Calibri"/>
        <family val="2"/>
      </rPr>
      <t>(Used on both Nameplate &amp; Test Sheet)</t>
    </r>
  </si>
  <si>
    <t>Test Sheet Data</t>
  </si>
  <si>
    <t>Phase:</t>
  </si>
  <si>
    <t>Frequency:</t>
  </si>
  <si>
    <t>Re-Lubrication Int.</t>
  </si>
  <si>
    <r>
      <t xml:space="preserve">Connetion: </t>
    </r>
    <r>
      <rPr>
        <b/>
        <sz val="11"/>
        <color rgb="FFFF0000"/>
        <rFont val="Calibri"/>
        <family val="2"/>
      </rPr>
      <t>(Formula)</t>
    </r>
  </si>
  <si>
    <t>Fan Series (Select from DropDown):</t>
  </si>
  <si>
    <r>
      <t xml:space="preserve">Speed </t>
    </r>
    <r>
      <rPr>
        <b/>
        <sz val="11"/>
        <color rgb="FFFF0000"/>
        <rFont val="Calibri"/>
        <family val="2"/>
      </rPr>
      <t>(2P/4P/6P/8P)</t>
    </r>
    <r>
      <rPr>
        <sz val="11"/>
        <color rgb="FF000000"/>
        <rFont val="Calibri"/>
        <family val="2"/>
      </rPr>
      <t>:</t>
    </r>
  </si>
  <si>
    <t>Name Plate Data Entry Form</t>
  </si>
  <si>
    <t>FORM B</t>
  </si>
  <si>
    <t>134</t>
  </si>
  <si>
    <t>132M</t>
  </si>
  <si>
    <t>133</t>
  </si>
  <si>
    <t>130</t>
  </si>
  <si>
    <t>132S</t>
  </si>
  <si>
    <t>112</t>
  </si>
  <si>
    <t>112M</t>
  </si>
  <si>
    <t>102</t>
  </si>
  <si>
    <t>100L</t>
  </si>
  <si>
    <t>093</t>
  </si>
  <si>
    <t>90L</t>
  </si>
  <si>
    <t>090</t>
  </si>
  <si>
    <t>90S</t>
  </si>
  <si>
    <t>083</t>
  </si>
  <si>
    <t>80</t>
  </si>
  <si>
    <t>080</t>
  </si>
  <si>
    <t>Air Flow (m/s)</t>
  </si>
  <si>
    <t>Air Over Current (A)</t>
  </si>
  <si>
    <t>Air Over Output (kW)</t>
  </si>
  <si>
    <t>Motor Mass (kg)</t>
  </si>
  <si>
    <t>BDT</t>
  </si>
  <si>
    <t>DOL Current (A)</t>
  </si>
  <si>
    <t>DOL Starting Torque</t>
  </si>
  <si>
    <t>Power Factor 1/2</t>
  </si>
  <si>
    <t>Power Factor 3/4</t>
  </si>
  <si>
    <t>Power Factor 4/4</t>
  </si>
  <si>
    <t>Efficiency 1/2 (%)</t>
  </si>
  <si>
    <t>Efficiency 3/4 (%)</t>
  </si>
  <si>
    <t>Efficiency 4/4 (%)</t>
  </si>
  <si>
    <t>FLT (Nm)</t>
  </si>
  <si>
    <t>Current @400V (A)</t>
  </si>
  <si>
    <t>Poles</t>
  </si>
  <si>
    <t>Speed (rpm)</t>
  </si>
  <si>
    <t>Type</t>
  </si>
  <si>
    <t>Frame Size</t>
  </si>
  <si>
    <t>Output (kW)</t>
  </si>
  <si>
    <t>135</t>
  </si>
  <si>
    <t>101</t>
  </si>
  <si>
    <t>073</t>
  </si>
  <si>
    <t>71</t>
  </si>
  <si>
    <t>071</t>
  </si>
  <si>
    <t>131</t>
  </si>
  <si>
    <t>070</t>
  </si>
  <si>
    <t>225S/M</t>
  </si>
  <si>
    <t>200L</t>
  </si>
  <si>
    <t>180L</t>
  </si>
  <si>
    <t>180M</t>
  </si>
  <si>
    <t>160L</t>
  </si>
  <si>
    <t>160M</t>
  </si>
  <si>
    <t>132M/L</t>
  </si>
  <si>
    <t>L90L</t>
  </si>
  <si>
    <t>L90S</t>
  </si>
  <si>
    <t>L80</t>
  </si>
  <si>
    <t>63</t>
  </si>
  <si>
    <t>L100L</t>
  </si>
  <si>
    <t>Power Factor @100%</t>
  </si>
  <si>
    <t>Power Factor @75%</t>
  </si>
  <si>
    <t>Power Factor @50%</t>
  </si>
  <si>
    <t>Efficiency @100%</t>
  </si>
  <si>
    <t>Efficiency @75%</t>
  </si>
  <si>
    <t>Efficiency @50%</t>
  </si>
  <si>
    <t>Sound dB(A)</t>
  </si>
  <si>
    <t>Weight (kg)</t>
  </si>
  <si>
    <t>Allowable Locked Rotor Time Cold (s)</t>
  </si>
  <si>
    <t>Allowable Locked Rotor Time Hot (s)</t>
  </si>
  <si>
    <t>Inertia J (kgm²)</t>
  </si>
  <si>
    <t>Breakdown Torque (Tb/Tn)</t>
  </si>
  <si>
    <t>Locked Rotor Torque (Tl/Tn)</t>
  </si>
  <si>
    <t>Locked Rotor Current (Il/In)</t>
  </si>
  <si>
    <t>Full Load Torque (Nm)</t>
  </si>
  <si>
    <t>HP</t>
  </si>
  <si>
    <t>Rated Speed (rpm)</t>
  </si>
  <si>
    <t>Frame</t>
  </si>
  <si>
    <t>Full Load Current In (A) @400V</t>
  </si>
  <si>
    <t>Note: Source brochure tables list up to 22 kW; next size shown is 30 kW.</t>
  </si>
  <si>
    <t>WEG W22 IE3 Premium Efficiency – Performance Data (400V, 50Hz) – 2/4/6/8 Pole</t>
  </si>
  <si>
    <t>Test record sheet</t>
  </si>
  <si>
    <t>DATE:</t>
  </si>
  <si>
    <t>Element</t>
  </si>
  <si>
    <t>Req. Size</t>
  </si>
  <si>
    <t>Yes / No</t>
  </si>
  <si>
    <t>QC Signature:</t>
  </si>
  <si>
    <t>Date of Inspection:</t>
  </si>
  <si>
    <t xml:space="preserve">COMMENTS: </t>
  </si>
  <si>
    <t>Terminal box hole (Terminal Box)</t>
  </si>
  <si>
    <t>Terminal box hole height</t>
  </si>
  <si>
    <t>Casing Length</t>
  </si>
  <si>
    <t>Casing I/D (Side 1)</t>
  </si>
  <si>
    <t>Casing I/D (Side 2)</t>
  </si>
  <si>
    <t>Name Plate Data Entry Form FUMAX</t>
  </si>
  <si>
    <t>FUMAX</t>
  </si>
  <si>
    <t>NAME PLATE DETAILS (FUMAX)</t>
  </si>
  <si>
    <t>Pitch</t>
  </si>
  <si>
    <t>Min</t>
  </si>
  <si>
    <t>Motor Insulation</t>
  </si>
  <si>
    <t>Ph</t>
  </si>
  <si>
    <t>Volume</t>
  </si>
  <si>
    <t>m3/s</t>
  </si>
  <si>
    <t>Pressure</t>
  </si>
  <si>
    <t>kPa</t>
  </si>
  <si>
    <t>H</t>
  </si>
  <si>
    <t>Fire Class/ Time</t>
  </si>
  <si>
    <t>Serial Number</t>
  </si>
  <si>
    <t>/</t>
  </si>
  <si>
    <t>Man. Date.</t>
  </si>
  <si>
    <t>Size:</t>
  </si>
  <si>
    <t>Serial Number:</t>
  </si>
  <si>
    <t>Pitch:</t>
  </si>
  <si>
    <t>Fire Class:</t>
  </si>
  <si>
    <t>Time:</t>
  </si>
  <si>
    <t>Volume:</t>
  </si>
  <si>
    <t>Pressure:</t>
  </si>
  <si>
    <t>CASING INSPECTION SHEET</t>
  </si>
  <si>
    <t>BATCH #</t>
  </si>
  <si>
    <t>MONTH OF FABRICATION</t>
  </si>
  <si>
    <t>Casing#1</t>
  </si>
  <si>
    <t>Casing#2</t>
  </si>
  <si>
    <t>Casing#3</t>
  </si>
  <si>
    <t>Casing#4</t>
  </si>
  <si>
    <t>Casing#5</t>
  </si>
  <si>
    <t>Terminal box hole (Casing)</t>
  </si>
  <si>
    <t>Casing Size:</t>
  </si>
  <si>
    <t>Actual 1</t>
  </si>
  <si>
    <t>Actual 2</t>
  </si>
  <si>
    <t>Actual 3</t>
  </si>
  <si>
    <t>Actual 4</t>
  </si>
  <si>
    <t xml:space="preserve">Actual </t>
  </si>
  <si>
    <r>
      <t>1.</t>
    </r>
    <r>
      <rPr>
        <b/>
        <sz val="7"/>
        <color rgb="FF000000"/>
        <rFont val="Calibri"/>
        <family val="2"/>
        <scheme val="minor"/>
      </rPr>
      <t xml:space="preserve">      </t>
    </r>
    <r>
      <rPr>
        <b/>
        <sz val="10"/>
        <color rgb="FF000000"/>
        <rFont val="Calibri"/>
        <family val="2"/>
        <scheme val="minor"/>
      </rPr>
      <t>Fabricator to fill out check sheet before starting the job.</t>
    </r>
  </si>
  <si>
    <r>
      <t>2.</t>
    </r>
    <r>
      <rPr>
        <b/>
        <sz val="7"/>
        <color rgb="FF000000"/>
        <rFont val="Calibri"/>
        <family val="2"/>
        <scheme val="minor"/>
      </rPr>
      <t xml:space="preserve">      </t>
    </r>
    <r>
      <rPr>
        <b/>
        <sz val="10"/>
        <color rgb="FF000000"/>
        <rFont val="Calibri"/>
        <family val="2"/>
        <scheme val="minor"/>
      </rPr>
      <t xml:space="preserve">At Tac-Up Stage, call on Quality to perform a DIM Check. </t>
    </r>
  </si>
  <si>
    <r>
      <t>3.</t>
    </r>
    <r>
      <rPr>
        <b/>
        <sz val="7"/>
        <color rgb="FF000000"/>
        <rFont val="Calibri"/>
        <family val="2"/>
        <scheme val="minor"/>
      </rPr>
      <t xml:space="preserve">      </t>
    </r>
    <r>
      <rPr>
        <b/>
        <sz val="10"/>
        <color rgb="FF000000"/>
        <rFont val="Calibri"/>
        <family val="2"/>
        <scheme val="minor"/>
      </rPr>
      <t>All operators and Quality to sign with the date on completion.</t>
    </r>
  </si>
  <si>
    <t>REQUIREMENTS</t>
  </si>
  <si>
    <t>Casing I/D</t>
  </si>
  <si>
    <t>Terminal box hole height - 500mm Long</t>
  </si>
  <si>
    <t>Terminal box hole height - 400mm Long</t>
  </si>
  <si>
    <t xml:space="preserve">Has the Serial Number been stamped? </t>
  </si>
  <si>
    <r>
      <rPr>
        <b/>
        <sz val="10"/>
        <color rgb="FF000000"/>
        <rFont val="Calibri"/>
        <family val="2"/>
        <scheme val="minor"/>
      </rPr>
      <t>Note:</t>
    </r>
    <r>
      <rPr>
        <sz val="10"/>
        <color rgb="FF000000"/>
        <rFont val="Calibri"/>
        <family val="2"/>
        <scheme val="minor"/>
      </rPr>
      <t xml:space="preserve"> (Serial No. = Batch#-Month -Year-Casing#) e.g. 1-02-2026-1</t>
    </r>
  </si>
  <si>
    <t>MAJAX-2</t>
  </si>
  <si>
    <t>Qty:</t>
  </si>
  <si>
    <t>MAXFLO</t>
  </si>
  <si>
    <t>4P</t>
  </si>
  <si>
    <t>AT</t>
  </si>
  <si>
    <t>MAJAX-1</t>
  </si>
  <si>
    <t>MAJAX-3</t>
  </si>
  <si>
    <t>UV</t>
  </si>
  <si>
    <t>BCC</t>
  </si>
  <si>
    <t>PLATE AXIAL</t>
  </si>
  <si>
    <t>ST AIR SERVICES AND MAINTENANCE (PTY) LTD</t>
  </si>
  <si>
    <t>WEG</t>
  </si>
  <si>
    <t>MAXFLO -BIF</t>
  </si>
  <si>
    <t>FM3963</t>
  </si>
  <si>
    <t>CPV</t>
  </si>
  <si>
    <t>CHABO &amp; JOUBERT AIR CONDITIONING</t>
  </si>
  <si>
    <t>(PTY) LTD</t>
  </si>
  <si>
    <t>ACTOM</t>
  </si>
  <si>
    <t>BREEZEAIR TECHNICAL SERVICES</t>
  </si>
  <si>
    <t>FM4032</t>
  </si>
  <si>
    <t>560/250/12 P</t>
  </si>
  <si>
    <t>ASKARI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</si>
</sst>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41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1"/>
      <color rgb="FF000000"/>
      <name val="Times New Roman"/>
      <family val="1"/>
    </font>
    <font>
      <b/>
      <sz val="12"/>
      <name val="Calibri"/>
      <family val="2"/>
    </font>
    <font>
      <sz val="12"/>
      <color rgb="FF000000"/>
      <name val="Times New Roman"/>
      <family val="1"/>
    </font>
    <font>
      <sz val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name val="Calibri"/>
      <family val="2"/>
    </font>
    <font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20"/>
      <color rgb="FF000000"/>
      <name val="Century Gothic"/>
      <family val="2"/>
    </font>
    <font>
      <sz val="11"/>
      <color rgb="FF000000"/>
      <name val="Aptos Narrow"/>
      <family val="2"/>
    </font>
    <font>
      <sz val="14"/>
      <color rgb="FF000000"/>
      <name val="Century Gothic"/>
      <family val="2"/>
    </font>
    <font>
      <sz val="16"/>
      <color rgb="FF000000"/>
      <name val="Century Gothic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rgb="FF000000"/>
      <name val="Century Gothic"/>
      <family val="2"/>
    </font>
    <font>
      <b/>
      <sz val="22"/>
      <color rgb="FF000000"/>
      <name val="Century Gothic"/>
      <family val="2"/>
    </font>
    <font>
      <b/>
      <sz val="10"/>
      <name val="Calibri"/>
      <family val="2"/>
    </font>
    <font>
      <b/>
      <sz val="8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  <scheme val="minor"/>
    </font>
    <font>
      <sz val="8"/>
      <name val="Times New Roman"/>
      <family val="1"/>
    </font>
    <font>
      <sz val="10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20"/>
      <color rgb="FF000000"/>
      <name val="Century Gothic"/>
      <family val="2"/>
    </font>
    <font>
      <sz val="20"/>
      <color rgb="FF000000"/>
      <name val="Times New Roman"/>
      <family val="1"/>
    </font>
    <font>
      <sz val="24"/>
      <color rgb="FF000000"/>
      <name val="Century Gothic"/>
      <family val="2"/>
    </font>
    <font>
      <sz val="26"/>
      <color rgb="FF000000"/>
      <name val="Century Gothic"/>
      <family val="2"/>
    </font>
    <font>
      <b/>
      <sz val="18"/>
      <color rgb="FF000000"/>
      <name val="Century Gothic"/>
      <family val="2"/>
    </font>
    <font>
      <b/>
      <sz val="9"/>
      <name val="Calibri"/>
      <family val="2"/>
    </font>
    <font>
      <b/>
      <sz val="16"/>
      <color rgb="FF00000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83"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vertical="top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4" fillId="3" borderId="1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horizontal="left" vertical="top"/>
    </xf>
    <xf numFmtId="0" fontId="14" fillId="0" borderId="1" xfId="0" applyFont="1" applyBorder="1" applyAlignment="1">
      <alignment horizontal="center" wrapText="1"/>
    </xf>
    <xf numFmtId="0" fontId="14" fillId="0" borderId="2" xfId="0" applyFont="1" applyBorder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vertical="top"/>
    </xf>
    <xf numFmtId="14" fontId="14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center" vertical="top"/>
    </xf>
    <xf numFmtId="2" fontId="14" fillId="5" borderId="0" xfId="0" applyNumberFormat="1" applyFont="1" applyFill="1" applyAlignment="1">
      <alignment horizontal="center" vertical="top"/>
    </xf>
    <xf numFmtId="0" fontId="2" fillId="0" borderId="0" xfId="1"/>
    <xf numFmtId="0" fontId="2" fillId="0" borderId="5" xfId="1" applyBorder="1" applyAlignment="1">
      <alignment horizontal="center"/>
    </xf>
    <xf numFmtId="0" fontId="23" fillId="0" borderId="0" xfId="1" applyFont="1" applyAlignment="1">
      <alignment horizontal="center" vertical="top" wrapText="1"/>
    </xf>
    <xf numFmtId="0" fontId="23" fillId="0" borderId="5" xfId="1" applyFont="1" applyBorder="1" applyAlignment="1">
      <alignment horizontal="center" vertical="top" wrapText="1"/>
    </xf>
    <xf numFmtId="0" fontId="23" fillId="0" borderId="0" xfId="1" applyFont="1"/>
    <xf numFmtId="0" fontId="2" fillId="0" borderId="0" xfId="1" applyAlignment="1">
      <alignment horizontal="center"/>
    </xf>
    <xf numFmtId="0" fontId="20" fillId="0" borderId="0" xfId="0" applyFont="1" applyAlignment="1">
      <alignment horizontal="center"/>
    </xf>
    <xf numFmtId="0" fontId="1" fillId="0" borderId="0" xfId="2"/>
    <xf numFmtId="0" fontId="1" fillId="0" borderId="5" xfId="2" applyBorder="1" applyAlignment="1">
      <alignment horizontal="center"/>
    </xf>
    <xf numFmtId="0" fontId="1" fillId="0" borderId="0" xfId="2" applyAlignment="1">
      <alignment vertical="top" wrapText="1"/>
    </xf>
    <xf numFmtId="0" fontId="24" fillId="0" borderId="5" xfId="2" applyFont="1" applyBorder="1" applyAlignment="1">
      <alignment horizontal="center" vertical="top" wrapText="1"/>
    </xf>
    <xf numFmtId="0" fontId="24" fillId="0" borderId="0" xfId="2" applyFont="1"/>
    <xf numFmtId="0" fontId="14" fillId="4" borderId="0" xfId="0" applyFont="1" applyFill="1" applyAlignment="1">
      <alignment horizontal="center" vertical="top"/>
    </xf>
    <xf numFmtId="0" fontId="26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top"/>
    </xf>
    <xf numFmtId="0" fontId="30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32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/>
    </xf>
    <xf numFmtId="0" fontId="30" fillId="0" borderId="51" xfId="0" applyFont="1" applyBorder="1" applyAlignment="1">
      <alignment horizontal="left" vertical="center"/>
    </xf>
    <xf numFmtId="0" fontId="30" fillId="0" borderId="0" xfId="0" applyFont="1" applyAlignment="1">
      <alignment vertical="center"/>
    </xf>
    <xf numFmtId="0" fontId="32" fillId="0" borderId="0" xfId="0" applyFont="1" applyAlignment="1">
      <alignment horizontal="center" vertical="top"/>
    </xf>
    <xf numFmtId="164" fontId="32" fillId="0" borderId="0" xfId="0" applyNumberFormat="1" applyFont="1" applyAlignment="1">
      <alignment horizontal="center" vertical="top"/>
    </xf>
    <xf numFmtId="0" fontId="30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30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left" vertical="center"/>
    </xf>
    <xf numFmtId="0" fontId="32" fillId="0" borderId="56" xfId="0" applyFont="1" applyBorder="1" applyAlignment="1">
      <alignment horizontal="left" vertical="center"/>
    </xf>
    <xf numFmtId="0" fontId="32" fillId="0" borderId="57" xfId="0" applyFont="1" applyBorder="1" applyAlignment="1">
      <alignment horizontal="left" vertical="center"/>
    </xf>
    <xf numFmtId="0" fontId="30" fillId="0" borderId="58" xfId="0" applyFont="1" applyBorder="1" applyAlignment="1">
      <alignment horizontal="center" vertical="center"/>
    </xf>
    <xf numFmtId="0" fontId="32" fillId="0" borderId="58" xfId="0" applyFont="1" applyBorder="1" applyAlignment="1">
      <alignment horizontal="left" vertical="center"/>
    </xf>
    <xf numFmtId="0" fontId="32" fillId="0" borderId="52" xfId="0" applyFont="1" applyBorder="1" applyAlignment="1">
      <alignment horizontal="left" vertical="center"/>
    </xf>
    <xf numFmtId="0" fontId="32" fillId="0" borderId="59" xfId="0" applyFont="1" applyBorder="1" applyAlignment="1">
      <alignment horizontal="left" vertical="center"/>
    </xf>
    <xf numFmtId="0" fontId="32" fillId="0" borderId="60" xfId="0" applyFont="1" applyBorder="1" applyAlignment="1">
      <alignment horizontal="left" vertical="center"/>
    </xf>
    <xf numFmtId="0" fontId="32" fillId="0" borderId="59" xfId="0" applyFont="1" applyBorder="1" applyAlignment="1">
      <alignment horizontal="left" vertical="top"/>
    </xf>
    <xf numFmtId="0" fontId="32" fillId="0" borderId="57" xfId="0" applyFont="1" applyBorder="1" applyAlignment="1">
      <alignment horizontal="left" vertical="top"/>
    </xf>
    <xf numFmtId="0" fontId="30" fillId="0" borderId="61" xfId="0" applyFont="1" applyBorder="1" applyAlignment="1">
      <alignment horizontal="left" vertical="center"/>
    </xf>
    <xf numFmtId="0" fontId="32" fillId="0" borderId="61" xfId="0" applyFont="1" applyBorder="1" applyAlignment="1">
      <alignment horizontal="left" vertical="top"/>
    </xf>
    <xf numFmtId="0" fontId="30" fillId="0" borderId="61" xfId="0" applyFont="1" applyBorder="1" applyAlignment="1">
      <alignment vertical="center"/>
    </xf>
    <xf numFmtId="0" fontId="11" fillId="0" borderId="61" xfId="0" applyFont="1" applyBorder="1" applyAlignment="1">
      <alignment horizontal="left" vertical="center" wrapText="1"/>
    </xf>
    <xf numFmtId="0" fontId="30" fillId="0" borderId="62" xfId="0" applyFont="1" applyBorder="1" applyAlignment="1">
      <alignment horizontal="left" vertical="center"/>
    </xf>
    <xf numFmtId="0" fontId="30" fillId="0" borderId="63" xfId="0" applyFont="1" applyBorder="1" applyAlignment="1">
      <alignment horizontal="left" vertical="center"/>
    </xf>
    <xf numFmtId="0" fontId="30" fillId="0" borderId="63" xfId="0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11" fillId="0" borderId="53" xfId="0" applyFont="1" applyBorder="1" applyAlignment="1">
      <alignment horizontal="left"/>
    </xf>
    <xf numFmtId="0" fontId="30" fillId="0" borderId="54" xfId="0" applyFont="1" applyBorder="1" applyAlignment="1">
      <alignment horizontal="left" vertical="center"/>
    </xf>
    <xf numFmtId="0" fontId="30" fillId="0" borderId="55" xfId="0" applyFont="1" applyBorder="1" applyAlignment="1">
      <alignment vertical="center" wrapText="1"/>
    </xf>
    <xf numFmtId="0" fontId="30" fillId="0" borderId="56" xfId="0" applyFont="1" applyBorder="1" applyAlignment="1">
      <alignment vertical="center" wrapText="1"/>
    </xf>
    <xf numFmtId="0" fontId="30" fillId="0" borderId="57" xfId="0" applyFont="1" applyBorder="1" applyAlignment="1">
      <alignment horizontal="left" vertical="center"/>
    </xf>
    <xf numFmtId="0" fontId="32" fillId="0" borderId="58" xfId="0" applyFont="1" applyBorder="1" applyAlignment="1">
      <alignment vertical="center" wrapText="1"/>
    </xf>
    <xf numFmtId="0" fontId="32" fillId="0" borderId="52" xfId="0" applyFont="1" applyBorder="1" applyAlignment="1">
      <alignment vertical="center" wrapText="1"/>
    </xf>
    <xf numFmtId="0" fontId="30" fillId="0" borderId="65" xfId="0" applyFont="1" applyBorder="1" applyAlignment="1">
      <alignment horizontal="left" vertical="center"/>
    </xf>
    <xf numFmtId="0" fontId="30" fillId="0" borderId="35" xfId="0" applyFont="1" applyBorder="1" applyAlignment="1">
      <alignment vertical="center"/>
    </xf>
    <xf numFmtId="0" fontId="30" fillId="0" borderId="50" xfId="0" applyFont="1" applyBorder="1" applyAlignment="1">
      <alignment vertical="center"/>
    </xf>
    <xf numFmtId="0" fontId="30" fillId="0" borderId="49" xfId="0" applyFont="1" applyBorder="1" applyAlignment="1">
      <alignment vertical="center"/>
    </xf>
    <xf numFmtId="0" fontId="30" fillId="0" borderId="33" xfId="0" applyFont="1" applyBorder="1" applyAlignment="1">
      <alignment horizontal="left" vertical="center"/>
    </xf>
    <xf numFmtId="0" fontId="30" fillId="0" borderId="14" xfId="0" applyFont="1" applyBorder="1" applyAlignment="1">
      <alignment vertical="center"/>
    </xf>
    <xf numFmtId="0" fontId="30" fillId="0" borderId="15" xfId="0" applyFont="1" applyBorder="1" applyAlignment="1">
      <alignment vertical="center"/>
    </xf>
    <xf numFmtId="0" fontId="30" fillId="0" borderId="0" xfId="0" applyFont="1" applyAlignment="1">
      <alignment horizontal="left" vertical="top"/>
    </xf>
    <xf numFmtId="0" fontId="30" fillId="0" borderId="48" xfId="0" applyFont="1" applyBorder="1" applyAlignment="1">
      <alignment horizontal="left" vertical="top"/>
    </xf>
    <xf numFmtId="164" fontId="32" fillId="0" borderId="5" xfId="0" applyNumberFormat="1" applyFont="1" applyBorder="1" applyAlignment="1">
      <alignment horizontal="center" vertical="top"/>
    </xf>
    <xf numFmtId="0" fontId="32" fillId="0" borderId="5" xfId="0" applyFont="1" applyBorder="1" applyAlignment="1">
      <alignment horizontal="center" vertical="top"/>
    </xf>
    <xf numFmtId="164" fontId="32" fillId="0" borderId="61" xfId="0" applyNumberFormat="1" applyFont="1" applyBorder="1" applyAlignment="1">
      <alignment horizontal="center" vertical="top"/>
    </xf>
    <xf numFmtId="0" fontId="32" fillId="0" borderId="53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 wrapText="1"/>
    </xf>
    <xf numFmtId="164" fontId="30" fillId="0" borderId="54" xfId="0" applyNumberFormat="1" applyFont="1" applyBorder="1" applyAlignment="1">
      <alignment horizontal="left" vertical="top"/>
    </xf>
    <xf numFmtId="164" fontId="30" fillId="0" borderId="55" xfId="0" applyNumberFormat="1" applyFont="1" applyBorder="1" applyAlignment="1">
      <alignment horizontal="center" vertical="top"/>
    </xf>
    <xf numFmtId="0" fontId="30" fillId="0" borderId="55" xfId="0" applyFont="1" applyBorder="1" applyAlignment="1">
      <alignment horizontal="center" vertical="top"/>
    </xf>
    <xf numFmtId="0" fontId="30" fillId="0" borderId="56" xfId="0" applyFont="1" applyBorder="1" applyAlignment="1">
      <alignment horizontal="center" vertical="top"/>
    </xf>
    <xf numFmtId="164" fontId="32" fillId="0" borderId="66" xfId="0" applyNumberFormat="1" applyFont="1" applyBorder="1" applyAlignment="1">
      <alignment horizontal="left" vertical="top"/>
    </xf>
    <xf numFmtId="0" fontId="32" fillId="0" borderId="60" xfId="0" applyFont="1" applyBorder="1" applyAlignment="1">
      <alignment horizontal="center" vertical="top"/>
    </xf>
    <xf numFmtId="164" fontId="32" fillId="0" borderId="67" xfId="0" applyNumberFormat="1" applyFont="1" applyBorder="1" applyAlignment="1">
      <alignment horizontal="center" vertical="top"/>
    </xf>
    <xf numFmtId="164" fontId="32" fillId="0" borderId="58" xfId="0" applyNumberFormat="1" applyFont="1" applyBorder="1" applyAlignment="1">
      <alignment horizontal="center" vertical="top"/>
    </xf>
    <xf numFmtId="0" fontId="32" fillId="0" borderId="58" xfId="0" applyFont="1" applyBorder="1" applyAlignment="1">
      <alignment horizontal="center" vertical="top"/>
    </xf>
    <xf numFmtId="0" fontId="32" fillId="0" borderId="52" xfId="0" applyFont="1" applyBorder="1" applyAlignment="1">
      <alignment horizontal="center" vertical="top"/>
    </xf>
    <xf numFmtId="0" fontId="30" fillId="0" borderId="54" xfId="0" applyFont="1" applyBorder="1" applyAlignment="1">
      <alignment horizontal="left" vertical="top"/>
    </xf>
    <xf numFmtId="0" fontId="14" fillId="0" borderId="0" xfId="0" applyFont="1" applyAlignment="1">
      <alignment horizontal="left"/>
    </xf>
    <xf numFmtId="0" fontId="4" fillId="0" borderId="1" xfId="0" applyFont="1" applyBorder="1" applyAlignment="1">
      <alignment horizontal="left" vertical="top"/>
    </xf>
    <xf numFmtId="0" fontId="35" fillId="0" borderId="0" xfId="0" applyFont="1" applyAlignment="1">
      <alignment horizontal="left" vertical="top"/>
    </xf>
    <xf numFmtId="0" fontId="27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center" vertical="center" wrapText="1"/>
    </xf>
    <xf numFmtId="2" fontId="14" fillId="4" borderId="0" xfId="0" applyNumberFormat="1" applyFont="1" applyFill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quotePrefix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left" vertical="center" wrapText="1"/>
    </xf>
    <xf numFmtId="0" fontId="36" fillId="0" borderId="37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left" vertical="center" wrapText="1"/>
    </xf>
    <xf numFmtId="0" fontId="37" fillId="0" borderId="19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38" fillId="0" borderId="19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 wrapText="1"/>
    </xf>
    <xf numFmtId="49" fontId="19" fillId="0" borderId="37" xfId="0" applyNumberFormat="1" applyFont="1" applyBorder="1" applyAlignment="1">
      <alignment horizontal="left" vertical="center" wrapText="1"/>
    </xf>
    <xf numFmtId="0" fontId="19" fillId="0" borderId="37" xfId="0" applyFont="1" applyBorder="1" applyAlignment="1">
      <alignment horizontal="left" vertical="center" wrapText="1"/>
    </xf>
    <xf numFmtId="0" fontId="19" fillId="0" borderId="3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18" fillId="0" borderId="37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34" fillId="0" borderId="27" xfId="0" applyFont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34" fillId="0" borderId="28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top"/>
    </xf>
    <xf numFmtId="0" fontId="17" fillId="0" borderId="34" xfId="0" applyFont="1" applyBorder="1" applyAlignment="1">
      <alignment horizontal="left" vertical="center" wrapText="1"/>
    </xf>
    <xf numFmtId="0" fontId="17" fillId="0" borderId="35" xfId="0" applyFont="1" applyBorder="1" applyAlignment="1">
      <alignment horizontal="left" vertical="center" wrapText="1"/>
    </xf>
    <xf numFmtId="0" fontId="17" fillId="0" borderId="36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17" fillId="0" borderId="47" xfId="0" applyFont="1" applyBorder="1" applyAlignment="1">
      <alignment horizontal="left" vertical="center"/>
    </xf>
    <xf numFmtId="0" fontId="17" fillId="0" borderId="41" xfId="0" applyFont="1" applyBorder="1" applyAlignment="1">
      <alignment horizontal="left" vertical="center"/>
    </xf>
    <xf numFmtId="0" fontId="17" fillId="0" borderId="41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26" fillId="0" borderId="19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14" fontId="26" fillId="0" borderId="8" xfId="0" applyNumberFormat="1" applyFont="1" applyBorder="1" applyAlignment="1">
      <alignment horizontal="center" vertical="center" wrapText="1"/>
    </xf>
    <xf numFmtId="14" fontId="26" fillId="0" borderId="9" xfId="0" applyNumberFormat="1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4" xfId="0" applyFont="1" applyBorder="1" applyAlignment="1">
      <alignment horizontal="left" vertical="top" wrapText="1" inden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15" fillId="0" borderId="0" xfId="0" applyFont="1" applyAlignment="1">
      <alignment horizontal="center" vertical="top"/>
    </xf>
    <xf numFmtId="0" fontId="6" fillId="2" borderId="19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6" fillId="3" borderId="44" xfId="0" applyFont="1" applyFill="1" applyBorder="1" applyAlignment="1">
      <alignment horizontal="center" vertical="center" wrapText="1"/>
    </xf>
    <xf numFmtId="0" fontId="16" fillId="3" borderId="45" xfId="0" applyFont="1" applyFill="1" applyBorder="1" applyAlignment="1">
      <alignment horizontal="center" vertical="center" wrapText="1"/>
    </xf>
    <xf numFmtId="0" fontId="16" fillId="3" borderId="46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top" wrapText="1"/>
    </xf>
    <xf numFmtId="0" fontId="6" fillId="6" borderId="8" xfId="0" applyFont="1" applyFill="1" applyBorder="1" applyAlignment="1">
      <alignment horizontal="center" vertical="top" wrapText="1"/>
    </xf>
    <xf numFmtId="0" fontId="6" fillId="6" borderId="9" xfId="0" applyFont="1" applyFill="1" applyBorder="1" applyAlignment="1">
      <alignment horizontal="center" vertical="top" wrapText="1"/>
    </xf>
    <xf numFmtId="0" fontId="4" fillId="0" borderId="2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quotePrefix="1" applyFont="1" applyBorder="1" applyAlignment="1">
      <alignment horizontal="center" vertical="center" wrapText="1"/>
    </xf>
    <xf numFmtId="0" fontId="4" fillId="0" borderId="26" xfId="0" quotePrefix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164" fontId="29" fillId="0" borderId="27" xfId="0" applyNumberFormat="1" applyFont="1" applyBorder="1" applyAlignment="1">
      <alignment horizontal="center" vertical="center" wrapText="1"/>
    </xf>
    <xf numFmtId="164" fontId="29" fillId="0" borderId="25" xfId="0" applyNumberFormat="1" applyFont="1" applyBorder="1" applyAlignment="1">
      <alignment horizontal="center" vertical="center" wrapText="1"/>
    </xf>
    <xf numFmtId="164" fontId="29" fillId="0" borderId="26" xfId="0" applyNumberFormat="1" applyFont="1" applyBorder="1" applyAlignment="1">
      <alignment horizontal="center" vertical="center" wrapText="1"/>
    </xf>
    <xf numFmtId="0" fontId="4" fillId="0" borderId="25" xfId="0" quotePrefix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2" fontId="4" fillId="0" borderId="27" xfId="0" applyNumberFormat="1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top"/>
    </xf>
    <xf numFmtId="0" fontId="12" fillId="0" borderId="25" xfId="0" applyFont="1" applyBorder="1" applyAlignment="1">
      <alignment horizontal="center" vertical="top"/>
    </xf>
    <xf numFmtId="0" fontId="12" fillId="0" borderId="26" xfId="0" applyFont="1" applyBorder="1" applyAlignment="1">
      <alignment horizontal="center" vertical="top"/>
    </xf>
    <xf numFmtId="3" fontId="32" fillId="0" borderId="27" xfId="0" applyNumberFormat="1" applyFont="1" applyBorder="1" applyAlignment="1">
      <alignment horizontal="center" vertical="top"/>
    </xf>
    <xf numFmtId="3" fontId="32" fillId="0" borderId="25" xfId="0" applyNumberFormat="1" applyFont="1" applyBorder="1" applyAlignment="1">
      <alignment horizontal="center" vertical="top"/>
    </xf>
    <xf numFmtId="3" fontId="32" fillId="0" borderId="26" xfId="0" applyNumberFormat="1" applyFont="1" applyBorder="1" applyAlignment="1">
      <alignment horizontal="center" vertical="top"/>
    </xf>
    <xf numFmtId="164" fontId="30" fillId="0" borderId="27" xfId="0" applyNumberFormat="1" applyFont="1" applyBorder="1" applyAlignment="1">
      <alignment horizontal="center" vertical="top"/>
    </xf>
    <xf numFmtId="164" fontId="30" fillId="0" borderId="25" xfId="0" applyNumberFormat="1" applyFont="1" applyBorder="1" applyAlignment="1">
      <alignment horizontal="center" vertical="top"/>
    </xf>
    <xf numFmtId="164" fontId="30" fillId="0" borderId="26" xfId="0" applyNumberFormat="1" applyFont="1" applyBorder="1" applyAlignment="1">
      <alignment horizontal="center" vertical="top"/>
    </xf>
    <xf numFmtId="0" fontId="32" fillId="0" borderId="4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 wrapText="1"/>
    </xf>
    <xf numFmtId="0" fontId="40" fillId="0" borderId="19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1424E2DE-7D5D-44D4-9605-2D32C2E2B779}"/>
    <cellStyle name="Normal 3" xfId="2" xr:uid="{24755F82-2954-4854-AEC3-AD0F500D4E9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4EEC-2BDE-43A5-8EA5-079EF19DC60F}">
  <sheetPr>
    <tabColor theme="3"/>
  </sheetPr>
  <dimension ref="A1:K26"/>
  <sheetViews>
    <sheetView workbookViewId="0">
      <selection activeCell="M13" sqref="M13"/>
    </sheetView>
  </sheetViews>
  <sheetFormatPr defaultRowHeight="13.2" x14ac:dyDescent="0.25"/>
  <cols>
    <col min="1" max="1" width="25.5546875" bestFit="1" customWidth="1"/>
    <col min="3" max="3" width="36" bestFit="1" customWidth="1"/>
    <col min="5" max="5" width="12.88671875" bestFit="1" customWidth="1"/>
    <col min="7" max="7" width="20.88671875" bestFit="1" customWidth="1"/>
  </cols>
  <sheetData>
    <row r="1" spans="1:11" s="14" customFormat="1" ht="18" customHeight="1" x14ac:dyDescent="0.25">
      <c r="A1" s="6" t="s">
        <v>0</v>
      </c>
      <c r="B1" s="7"/>
      <c r="C1" s="8"/>
      <c r="D1" s="8"/>
      <c r="E1" s="8"/>
      <c r="F1" s="8"/>
      <c r="G1" s="9"/>
    </row>
    <row r="2" spans="1:11" s="17" customFormat="1" ht="15.75" customHeight="1" x14ac:dyDescent="0.3">
      <c r="A2" s="15"/>
      <c r="B2" s="16"/>
      <c r="C2" s="15"/>
      <c r="D2" s="15"/>
      <c r="E2" s="15"/>
      <c r="F2" s="15"/>
      <c r="G2" s="122"/>
    </row>
    <row r="3" spans="1:11" s="17" customFormat="1" ht="16.5" customHeight="1" x14ac:dyDescent="0.3">
      <c r="A3" s="3" t="s">
        <v>6</v>
      </c>
      <c r="B3" s="18"/>
      <c r="C3" s="3" t="s">
        <v>7</v>
      </c>
      <c r="D3" s="15"/>
      <c r="E3" s="3" t="s">
        <v>8</v>
      </c>
      <c r="F3" s="19"/>
      <c r="G3" s="221" t="s">
        <v>7</v>
      </c>
      <c r="H3" s="221"/>
      <c r="I3" s="221"/>
      <c r="J3" s="221"/>
      <c r="K3" s="221"/>
    </row>
    <row r="4" spans="1:11" s="17" customFormat="1" ht="16.5" customHeight="1" x14ac:dyDescent="0.3">
      <c r="A4" s="3" t="s">
        <v>9</v>
      </c>
      <c r="B4" s="18"/>
      <c r="C4" s="3" t="s">
        <v>10</v>
      </c>
      <c r="D4" s="15"/>
      <c r="E4" s="3" t="s">
        <v>11</v>
      </c>
      <c r="F4" s="19"/>
      <c r="G4" s="221" t="s">
        <v>12</v>
      </c>
      <c r="H4" s="221"/>
      <c r="I4" s="221"/>
      <c r="J4" s="221"/>
      <c r="K4" s="221"/>
    </row>
    <row r="5" spans="1:11" s="17" customFormat="1" ht="16.5" customHeight="1" x14ac:dyDescent="0.3">
      <c r="A5" s="3" t="s">
        <v>13</v>
      </c>
      <c r="B5" s="18"/>
      <c r="C5" s="3" t="s">
        <v>14</v>
      </c>
      <c r="D5" s="15"/>
      <c r="E5" s="3" t="s">
        <v>15</v>
      </c>
      <c r="F5" s="19"/>
      <c r="G5" s="221" t="s">
        <v>16</v>
      </c>
      <c r="H5" s="221"/>
      <c r="I5" s="221"/>
      <c r="J5" s="221"/>
      <c r="K5" s="221"/>
    </row>
    <row r="6" spans="1:11" s="17" customFormat="1" ht="16.5" customHeight="1" x14ac:dyDescent="0.3">
      <c r="A6" s="3" t="s">
        <v>17</v>
      </c>
      <c r="B6" s="18"/>
      <c r="C6" s="3" t="s">
        <v>14</v>
      </c>
      <c r="D6" s="15"/>
      <c r="E6" s="3" t="s">
        <v>18</v>
      </c>
      <c r="F6" s="19"/>
      <c r="G6" s="221" t="s">
        <v>19</v>
      </c>
      <c r="H6" s="221"/>
      <c r="I6" s="221"/>
      <c r="J6" s="221"/>
      <c r="K6" s="221"/>
    </row>
    <row r="7" spans="1:11" s="17" customFormat="1" ht="16.5" customHeight="1" x14ac:dyDescent="0.3">
      <c r="A7" s="3" t="s">
        <v>20</v>
      </c>
      <c r="B7" s="18"/>
      <c r="C7" s="3" t="s">
        <v>10</v>
      </c>
      <c r="D7" s="15"/>
      <c r="E7" s="3" t="s">
        <v>21</v>
      </c>
      <c r="F7" s="19"/>
      <c r="G7" s="221" t="s">
        <v>22</v>
      </c>
      <c r="H7" s="221"/>
      <c r="I7" s="221"/>
      <c r="J7" s="221"/>
      <c r="K7" s="221"/>
    </row>
    <row r="8" spans="1:11" s="17" customFormat="1" ht="16.5" customHeight="1" x14ac:dyDescent="0.3">
      <c r="A8" s="3" t="s">
        <v>23</v>
      </c>
      <c r="B8" s="18"/>
      <c r="C8" s="3" t="s">
        <v>24</v>
      </c>
      <c r="D8" s="15"/>
      <c r="E8" s="3" t="s">
        <v>25</v>
      </c>
      <c r="F8" s="19"/>
      <c r="G8" s="222" t="s">
        <v>26</v>
      </c>
      <c r="H8" s="222"/>
      <c r="I8" s="222"/>
      <c r="J8" s="222"/>
      <c r="K8" s="222"/>
    </row>
    <row r="9" spans="1:11" s="17" customFormat="1" ht="16.5" customHeight="1" x14ac:dyDescent="0.3">
      <c r="A9" s="3" t="s">
        <v>27</v>
      </c>
      <c r="B9" s="18"/>
      <c r="C9" s="3" t="s">
        <v>7</v>
      </c>
      <c r="D9" s="15"/>
      <c r="E9" s="3" t="s">
        <v>28</v>
      </c>
      <c r="F9" s="19"/>
      <c r="G9" s="221" t="s">
        <v>29</v>
      </c>
      <c r="H9" s="221"/>
      <c r="I9" s="221"/>
      <c r="J9" s="221"/>
      <c r="K9" s="221"/>
    </row>
    <row r="10" spans="1:11" s="17" customFormat="1" ht="15.75" customHeight="1" x14ac:dyDescent="0.3">
      <c r="A10" s="15"/>
      <c r="B10" s="16"/>
      <c r="C10" s="15"/>
      <c r="D10" s="15"/>
      <c r="E10" s="15"/>
      <c r="F10" s="15"/>
      <c r="G10" s="122"/>
    </row>
    <row r="11" spans="1:11" s="17" customFormat="1" ht="16.5" customHeight="1" x14ac:dyDescent="0.3">
      <c r="A11" s="15"/>
      <c r="B11" s="16"/>
      <c r="C11" s="3" t="s">
        <v>30</v>
      </c>
      <c r="D11" s="223" t="s">
        <v>31</v>
      </c>
      <c r="E11" s="224"/>
      <c r="F11" s="15"/>
      <c r="G11" s="122"/>
    </row>
    <row r="13" spans="1:11" ht="14.4" x14ac:dyDescent="0.25">
      <c r="A13" s="225" t="s">
        <v>1</v>
      </c>
      <c r="B13" s="226"/>
      <c r="C13" s="227"/>
      <c r="E13" s="225" t="s">
        <v>3</v>
      </c>
      <c r="F13" s="226"/>
      <c r="G13" s="227"/>
    </row>
    <row r="14" spans="1:11" ht="14.4" x14ac:dyDescent="0.25">
      <c r="A14" s="3" t="s">
        <v>32</v>
      </c>
      <c r="B14" s="4" t="s">
        <v>33</v>
      </c>
      <c r="C14" s="3" t="s">
        <v>34</v>
      </c>
      <c r="E14" s="3" t="s">
        <v>32</v>
      </c>
      <c r="F14" s="4" t="s">
        <v>33</v>
      </c>
      <c r="G14" s="123" t="s">
        <v>34</v>
      </c>
    </row>
    <row r="15" spans="1:11" ht="14.4" x14ac:dyDescent="0.25">
      <c r="A15" s="5" t="s">
        <v>2</v>
      </c>
      <c r="B15" s="4" t="s">
        <v>35</v>
      </c>
      <c r="C15" s="3" t="s">
        <v>36</v>
      </c>
      <c r="E15" s="5" t="s">
        <v>4</v>
      </c>
      <c r="F15" s="4" t="s">
        <v>35</v>
      </c>
      <c r="G15" s="123" t="s">
        <v>43</v>
      </c>
    </row>
    <row r="16" spans="1:11" ht="14.4" x14ac:dyDescent="0.25">
      <c r="A16" s="5" t="s">
        <v>2</v>
      </c>
      <c r="B16" s="4" t="s">
        <v>37</v>
      </c>
      <c r="C16" s="3" t="s">
        <v>36</v>
      </c>
      <c r="E16" s="5" t="s">
        <v>4</v>
      </c>
      <c r="F16" s="4" t="s">
        <v>37</v>
      </c>
      <c r="G16" s="123" t="s">
        <v>43</v>
      </c>
    </row>
    <row r="17" spans="1:7" ht="14.4" x14ac:dyDescent="0.25">
      <c r="A17" s="5" t="s">
        <v>2</v>
      </c>
      <c r="B17" s="4" t="s">
        <v>38</v>
      </c>
      <c r="C17" s="3" t="s">
        <v>39</v>
      </c>
      <c r="E17" s="5" t="s">
        <v>4</v>
      </c>
      <c r="F17" s="4" t="s">
        <v>38</v>
      </c>
      <c r="G17" s="123" t="s">
        <v>44</v>
      </c>
    </row>
    <row r="18" spans="1:7" ht="14.4" x14ac:dyDescent="0.25">
      <c r="A18" s="5" t="s">
        <v>2</v>
      </c>
      <c r="B18" s="4" t="s">
        <v>40</v>
      </c>
      <c r="C18" s="3" t="s">
        <v>41</v>
      </c>
      <c r="E18" s="5" t="s">
        <v>4</v>
      </c>
      <c r="F18" s="4" t="s">
        <v>40</v>
      </c>
      <c r="G18" s="123" t="s">
        <v>39</v>
      </c>
    </row>
    <row r="19" spans="1:7" ht="14.4" x14ac:dyDescent="0.3">
      <c r="A19" s="15"/>
      <c r="B19" s="16"/>
      <c r="C19" s="15"/>
      <c r="E19" s="15"/>
      <c r="F19" s="16"/>
      <c r="G19" s="122"/>
    </row>
    <row r="20" spans="1:7" ht="14.4" x14ac:dyDescent="0.25">
      <c r="A20" s="225" t="s">
        <v>3</v>
      </c>
      <c r="B20" s="226"/>
      <c r="C20" s="227"/>
      <c r="E20" s="225" t="s">
        <v>3</v>
      </c>
      <c r="F20" s="226"/>
      <c r="G20" s="227"/>
    </row>
    <row r="21" spans="1:7" ht="14.4" x14ac:dyDescent="0.25">
      <c r="A21" s="3" t="s">
        <v>32</v>
      </c>
      <c r="B21" s="4" t="s">
        <v>33</v>
      </c>
      <c r="C21" s="3" t="s">
        <v>42</v>
      </c>
      <c r="E21" s="3" t="s">
        <v>32</v>
      </c>
      <c r="F21" s="4" t="s">
        <v>33</v>
      </c>
      <c r="G21" s="123" t="s">
        <v>34</v>
      </c>
    </row>
    <row r="22" spans="1:7" ht="14.4" x14ac:dyDescent="0.25">
      <c r="A22" s="5" t="s">
        <v>2</v>
      </c>
      <c r="B22" s="4" t="s">
        <v>35</v>
      </c>
      <c r="C22" s="3" t="s">
        <v>43</v>
      </c>
      <c r="E22" s="5" t="s">
        <v>5</v>
      </c>
      <c r="F22" s="4" t="s">
        <v>35</v>
      </c>
      <c r="G22" s="123" t="s">
        <v>36</v>
      </c>
    </row>
    <row r="23" spans="1:7" ht="14.4" x14ac:dyDescent="0.25">
      <c r="A23" s="5" t="s">
        <v>2</v>
      </c>
      <c r="B23" s="4" t="s">
        <v>37</v>
      </c>
      <c r="C23" s="3" t="s">
        <v>43</v>
      </c>
      <c r="E23" s="5" t="s">
        <v>5</v>
      </c>
      <c r="F23" s="4" t="s">
        <v>37</v>
      </c>
      <c r="G23" s="123" t="s">
        <v>36</v>
      </c>
    </row>
    <row r="24" spans="1:7" ht="14.4" x14ac:dyDescent="0.25">
      <c r="A24" s="5" t="s">
        <v>2</v>
      </c>
      <c r="B24" s="4" t="s">
        <v>38</v>
      </c>
      <c r="C24" s="3" t="s">
        <v>44</v>
      </c>
      <c r="E24" s="5" t="s">
        <v>5</v>
      </c>
      <c r="F24" s="4" t="s">
        <v>38</v>
      </c>
      <c r="G24" s="123" t="s">
        <v>39</v>
      </c>
    </row>
    <row r="25" spans="1:7" ht="14.4" x14ac:dyDescent="0.25">
      <c r="A25" s="5" t="s">
        <v>2</v>
      </c>
      <c r="B25" s="4" t="s">
        <v>40</v>
      </c>
      <c r="C25" s="3" t="s">
        <v>39</v>
      </c>
      <c r="E25" s="5" t="s">
        <v>5</v>
      </c>
      <c r="F25" s="4" t="s">
        <v>40</v>
      </c>
      <c r="G25" s="123" t="s">
        <v>41</v>
      </c>
    </row>
    <row r="26" spans="1:7" ht="14.4" x14ac:dyDescent="0.3">
      <c r="A26" s="15"/>
      <c r="B26" s="16"/>
      <c r="C26" s="15"/>
    </row>
  </sheetData>
  <mergeCells count="12">
    <mergeCell ref="D11:E11"/>
    <mergeCell ref="E20:G20"/>
    <mergeCell ref="A20:C20"/>
    <mergeCell ref="E13:G13"/>
    <mergeCell ref="A13:C13"/>
    <mergeCell ref="G9:K9"/>
    <mergeCell ref="G8:K8"/>
    <mergeCell ref="G3:K3"/>
    <mergeCell ref="G4:K4"/>
    <mergeCell ref="G5:K5"/>
    <mergeCell ref="G6:K6"/>
    <mergeCell ref="G7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L32"/>
  <sheetViews>
    <sheetView zoomScale="80" zoomScaleNormal="80" workbookViewId="0">
      <selection activeCell="C24" sqref="C24"/>
    </sheetView>
  </sheetViews>
  <sheetFormatPr defaultColWidth="8.88671875" defaultRowHeight="14.4" x14ac:dyDescent="0.25"/>
  <cols>
    <col min="1" max="1" width="6.6640625" style="17" customWidth="1"/>
    <col min="2" max="2" width="19.88671875" style="17" bestFit="1" customWidth="1"/>
    <col min="3" max="3" width="37.6640625" style="17" customWidth="1"/>
    <col min="4" max="4" width="6.6640625" style="17" customWidth="1"/>
    <col min="5" max="5" width="9.88671875" style="17" customWidth="1"/>
    <col min="6" max="6" width="11.109375" style="17" bestFit="1" customWidth="1"/>
    <col min="7" max="7" width="10.6640625" style="17" customWidth="1"/>
    <col min="8" max="8" width="11.6640625" style="17" bestFit="1" customWidth="1"/>
    <col min="9" max="9" width="12.88671875" style="17" customWidth="1"/>
    <col min="10" max="10" width="8.88671875" style="17"/>
    <col min="11" max="11" width="13.44140625" style="17" bestFit="1" customWidth="1"/>
    <col min="12" max="12" width="15" style="17" customWidth="1"/>
    <col min="13" max="16384" width="8.88671875" style="17"/>
  </cols>
  <sheetData>
    <row r="1" spans="1:12" ht="31.5" customHeight="1" thickBot="1" x14ac:dyDescent="0.3">
      <c r="A1" s="20"/>
    </row>
    <row r="2" spans="1:12" ht="16.5" customHeight="1" thickTop="1" thickBot="1" x14ac:dyDescent="0.35">
      <c r="A2" s="15"/>
      <c r="B2" s="229" t="s">
        <v>105</v>
      </c>
      <c r="C2" s="230"/>
      <c r="D2" s="230"/>
      <c r="E2" s="230"/>
      <c r="F2" s="231"/>
    </row>
    <row r="3" spans="1:12" ht="16.5" customHeight="1" thickTop="1" x14ac:dyDescent="0.3">
      <c r="A3" s="15"/>
      <c r="B3" s="228" t="s">
        <v>97</v>
      </c>
      <c r="C3" s="228"/>
      <c r="D3" s="228"/>
      <c r="E3" s="228"/>
      <c r="F3" s="228"/>
    </row>
    <row r="4" spans="1:12" ht="16.5" customHeight="1" x14ac:dyDescent="0.3">
      <c r="A4" s="15"/>
      <c r="B4" s="17" t="s">
        <v>87</v>
      </c>
      <c r="C4" s="24">
        <f ca="1">TODAY()</f>
        <v>46148</v>
      </c>
      <c r="D4" s="23"/>
      <c r="E4" s="17" t="s">
        <v>93</v>
      </c>
      <c r="F4" s="23"/>
      <c r="L4" s="17" t="s">
        <v>258</v>
      </c>
    </row>
    <row r="5" spans="1:12" ht="16.5" customHeight="1" x14ac:dyDescent="0.3">
      <c r="A5" s="15"/>
      <c r="B5" s="17" t="s">
        <v>80</v>
      </c>
      <c r="C5" s="28" t="s">
        <v>261</v>
      </c>
      <c r="D5" s="23"/>
      <c r="E5" s="17" t="s">
        <v>93</v>
      </c>
      <c r="F5" s="23"/>
      <c r="L5" s="17" t="s">
        <v>259</v>
      </c>
    </row>
    <row r="6" spans="1:12" ht="16.5" customHeight="1" x14ac:dyDescent="0.3">
      <c r="A6" s="15"/>
      <c r="B6" s="22" t="s">
        <v>103</v>
      </c>
      <c r="C6" s="21" t="s">
        <v>245</v>
      </c>
      <c r="D6" s="23"/>
      <c r="E6" s="17" t="s">
        <v>93</v>
      </c>
      <c r="F6" s="23"/>
      <c r="H6" s="17" t="s">
        <v>245</v>
      </c>
    </row>
    <row r="7" spans="1:12" ht="16.5" customHeight="1" x14ac:dyDescent="0.3">
      <c r="A7" s="15"/>
      <c r="B7" s="17" t="s">
        <v>82</v>
      </c>
      <c r="C7" s="21" t="s">
        <v>262</v>
      </c>
      <c r="D7" s="23"/>
      <c r="E7" s="17" t="s">
        <v>93</v>
      </c>
      <c r="F7" s="23"/>
      <c r="H7" s="17" t="s">
        <v>247</v>
      </c>
      <c r="L7" s="17" t="str">
        <f>L4&amp;" "&amp;L5</f>
        <v>CHABO &amp; JOUBERT AIR CONDITIONING (PTY) LTD</v>
      </c>
    </row>
    <row r="8" spans="1:12" x14ac:dyDescent="0.3">
      <c r="A8" s="15"/>
      <c r="B8" s="17" t="s">
        <v>83</v>
      </c>
      <c r="C8" s="28" t="s">
        <v>263</v>
      </c>
      <c r="D8" s="23"/>
      <c r="E8" s="17" t="s">
        <v>93</v>
      </c>
      <c r="F8" s="23"/>
      <c r="H8" s="17" t="s">
        <v>250</v>
      </c>
    </row>
    <row r="9" spans="1:12" x14ac:dyDescent="0.3">
      <c r="A9" s="15"/>
      <c r="B9" s="17" t="s">
        <v>88</v>
      </c>
      <c r="C9" s="29">
        <v>1.1000000000000001</v>
      </c>
      <c r="D9" s="23"/>
      <c r="E9" s="17" t="s">
        <v>93</v>
      </c>
      <c r="F9" s="23"/>
      <c r="H9" s="17" t="s">
        <v>248</v>
      </c>
    </row>
    <row r="10" spans="1:12" ht="16.5" customHeight="1" x14ac:dyDescent="0.3">
      <c r="A10" s="15"/>
      <c r="B10" s="17" t="s">
        <v>104</v>
      </c>
      <c r="C10" s="21" t="s">
        <v>246</v>
      </c>
      <c r="D10" s="23"/>
      <c r="E10" s="17" t="s">
        <v>93</v>
      </c>
      <c r="F10" s="23"/>
      <c r="H10" s="17" t="s">
        <v>251</v>
      </c>
    </row>
    <row r="11" spans="1:12" ht="16.5" customHeight="1" x14ac:dyDescent="0.3">
      <c r="A11" s="15"/>
      <c r="B11" s="17" t="s">
        <v>96</v>
      </c>
      <c r="C11" s="42">
        <v>26</v>
      </c>
      <c r="D11" s="21"/>
      <c r="E11" s="17" t="s">
        <v>86</v>
      </c>
      <c r="F11" s="21"/>
      <c r="H11" s="17" t="s">
        <v>76</v>
      </c>
    </row>
    <row r="12" spans="1:12" ht="15.75" customHeight="1" x14ac:dyDescent="0.3">
      <c r="A12" s="15"/>
      <c r="B12" s="17" t="s">
        <v>92</v>
      </c>
      <c r="C12" s="42">
        <v>380</v>
      </c>
      <c r="D12" s="23"/>
      <c r="E12" s="17" t="s">
        <v>93</v>
      </c>
      <c r="F12" s="23"/>
      <c r="H12" s="17" t="s">
        <v>243</v>
      </c>
    </row>
    <row r="13" spans="1:12" ht="16.5" customHeight="1" x14ac:dyDescent="0.3">
      <c r="A13" s="15"/>
      <c r="B13" s="22" t="s">
        <v>94</v>
      </c>
      <c r="C13" s="127">
        <v>2.5</v>
      </c>
      <c r="D13" s="23"/>
      <c r="E13" s="17" t="s">
        <v>93</v>
      </c>
      <c r="F13" s="23"/>
      <c r="H13" s="17" t="s">
        <v>249</v>
      </c>
    </row>
    <row r="14" spans="1:12" ht="16.5" customHeight="1" x14ac:dyDescent="0.3">
      <c r="A14" s="15"/>
      <c r="B14" s="228" t="s">
        <v>81</v>
      </c>
      <c r="C14" s="228"/>
      <c r="D14" s="228"/>
      <c r="E14" s="228"/>
      <c r="F14" s="228"/>
      <c r="H14" s="17" t="s">
        <v>197</v>
      </c>
    </row>
    <row r="15" spans="1:12" x14ac:dyDescent="0.3">
      <c r="A15" s="15"/>
      <c r="B15" s="17" t="s">
        <v>95</v>
      </c>
      <c r="C15" s="12">
        <v>20</v>
      </c>
      <c r="D15" s="21"/>
      <c r="E15" s="17" t="s">
        <v>86</v>
      </c>
      <c r="F15" s="21"/>
      <c r="H15" s="17" t="s">
        <v>252</v>
      </c>
    </row>
    <row r="16" spans="1:12" ht="16.5" customHeight="1" x14ac:dyDescent="0.3">
      <c r="A16" s="15"/>
      <c r="B16" s="17" t="s">
        <v>89</v>
      </c>
      <c r="C16" s="21" t="s">
        <v>90</v>
      </c>
      <c r="D16" s="21"/>
      <c r="E16" s="17" t="s">
        <v>86</v>
      </c>
      <c r="F16" s="21"/>
      <c r="H16" s="17" t="s">
        <v>255</v>
      </c>
    </row>
    <row r="17" spans="1:8" ht="16.5" customHeight="1" x14ac:dyDescent="0.3">
      <c r="A17" s="15"/>
      <c r="B17" s="17" t="s">
        <v>99</v>
      </c>
      <c r="C17" s="21">
        <v>3</v>
      </c>
      <c r="D17" s="21"/>
      <c r="E17" s="17" t="s">
        <v>86</v>
      </c>
      <c r="F17" s="21"/>
      <c r="H17" s="17" t="s">
        <v>257</v>
      </c>
    </row>
    <row r="18" spans="1:8" ht="16.5" customHeight="1" x14ac:dyDescent="0.3">
      <c r="A18" s="15"/>
      <c r="B18" s="17" t="s">
        <v>100</v>
      </c>
      <c r="C18" s="12">
        <v>50</v>
      </c>
      <c r="D18" s="21"/>
      <c r="E18" s="17" t="s">
        <v>86</v>
      </c>
      <c r="F18" s="21"/>
    </row>
    <row r="19" spans="1:8" ht="16.5" customHeight="1" x14ac:dyDescent="0.3">
      <c r="A19" s="15"/>
      <c r="B19" s="17" t="s">
        <v>102</v>
      </c>
      <c r="C19" s="21" t="str">
        <f>IF(C12&lt;=220,"--",IF(C9&gt;=4,"DELTA","STAR"))</f>
        <v>STAR</v>
      </c>
      <c r="D19" s="21"/>
      <c r="E19" s="17" t="s">
        <v>86</v>
      </c>
      <c r="F19" s="21"/>
    </row>
    <row r="20" spans="1:8" ht="16.5" customHeight="1" x14ac:dyDescent="0.3">
      <c r="A20" s="15"/>
      <c r="B20" s="17" t="s">
        <v>101</v>
      </c>
      <c r="C20" s="21" t="s">
        <v>76</v>
      </c>
      <c r="D20" s="21"/>
      <c r="E20" s="17" t="s">
        <v>86</v>
      </c>
      <c r="F20" s="21"/>
    </row>
    <row r="21" spans="1:8" ht="16.5" customHeight="1" x14ac:dyDescent="0.3">
      <c r="A21" s="15"/>
      <c r="B21" s="228" t="s">
        <v>98</v>
      </c>
      <c r="C21" s="228"/>
      <c r="D21" s="228"/>
      <c r="E21" s="228"/>
      <c r="F21" s="228"/>
    </row>
    <row r="22" spans="1:8" ht="16.5" customHeight="1" x14ac:dyDescent="0.3">
      <c r="A22" s="15"/>
      <c r="B22" s="17" t="s">
        <v>85</v>
      </c>
      <c r="C22" s="21" t="s">
        <v>260</v>
      </c>
      <c r="D22" s="21"/>
      <c r="E22" s="17" t="s">
        <v>91</v>
      </c>
      <c r="F22" s="21"/>
    </row>
    <row r="23" spans="1:8" ht="16.5" customHeight="1" x14ac:dyDescent="0.3">
      <c r="A23" s="15"/>
      <c r="B23" s="17" t="s">
        <v>84</v>
      </c>
      <c r="C23" s="21" t="s">
        <v>106</v>
      </c>
      <c r="D23" s="21"/>
      <c r="E23" s="17" t="s">
        <v>91</v>
      </c>
      <c r="F23" s="21"/>
    </row>
    <row r="24" spans="1:8" ht="16.5" customHeight="1" x14ac:dyDescent="0.3">
      <c r="A24" s="15"/>
      <c r="B24" s="15" t="s">
        <v>244</v>
      </c>
      <c r="C24" s="21">
        <v>1</v>
      </c>
      <c r="E24" s="17" t="s">
        <v>91</v>
      </c>
    </row>
    <row r="25" spans="1:8" ht="16.5" customHeight="1" x14ac:dyDescent="0.3">
      <c r="A25" s="15"/>
      <c r="B25" s="15"/>
    </row>
    <row r="26" spans="1:8" ht="16.5" customHeight="1" x14ac:dyDescent="0.3">
      <c r="A26" s="15"/>
      <c r="B26" s="15"/>
    </row>
    <row r="27" spans="1:8" ht="16.5" customHeight="1" x14ac:dyDescent="0.3">
      <c r="A27" s="15"/>
      <c r="B27" s="15"/>
    </row>
    <row r="28" spans="1:8" ht="16.5" customHeight="1" x14ac:dyDescent="0.3">
      <c r="A28" s="15"/>
      <c r="B28" s="15"/>
    </row>
    <row r="29" spans="1:8" x14ac:dyDescent="0.3">
      <c r="B29" s="15"/>
    </row>
    <row r="30" spans="1:8" x14ac:dyDescent="0.3">
      <c r="B30" s="15"/>
    </row>
    <row r="31" spans="1:8" x14ac:dyDescent="0.3">
      <c r="B31" s="15"/>
    </row>
    <row r="32" spans="1:8" x14ac:dyDescent="0.3">
      <c r="B32" s="15"/>
    </row>
  </sheetData>
  <mergeCells count="4">
    <mergeCell ref="B21:F21"/>
    <mergeCell ref="B14:F14"/>
    <mergeCell ref="B3:F3"/>
    <mergeCell ref="B2:F2"/>
  </mergeCells>
  <dataValidations disablePrompts="1" count="2">
    <dataValidation type="list" allowBlank="1" showInputMessage="1" showErrorMessage="1" sqref="E6:F13" xr:uid="{0DE37141-9423-43BA-BDD6-F157CCE02BCC}">
      <formula1>"MAXFLO, MAJAX-2, MAJAX-3, AT, UV"</formula1>
    </dataValidation>
    <dataValidation type="list" allowBlank="1" showInputMessage="1" showErrorMessage="1" sqref="C6" xr:uid="{F74E0D31-0C59-4125-8872-A4D19A376C51}">
      <formula1>$H$6:$H$17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125" orientation="portrait" copies="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6227-EF66-406E-98F2-05F75604FF77}">
  <sheetPr>
    <tabColor theme="3"/>
  </sheetPr>
  <dimension ref="A1:F41"/>
  <sheetViews>
    <sheetView zoomScaleNormal="100" workbookViewId="0">
      <selection activeCell="D10" sqref="D10"/>
    </sheetView>
  </sheetViews>
  <sheetFormatPr defaultColWidth="8.88671875" defaultRowHeight="13.8" x14ac:dyDescent="0.25"/>
  <cols>
    <col min="1" max="1" width="11.33203125" style="1" customWidth="1"/>
    <col min="2" max="2" width="12.88671875" style="1" customWidth="1"/>
    <col min="3" max="3" width="8.88671875" style="1"/>
    <col min="4" max="4" width="13.44140625" style="1" bestFit="1" customWidth="1"/>
    <col min="5" max="5" width="15" style="1" customWidth="1"/>
    <col min="6" max="16384" width="8.88671875" style="1"/>
  </cols>
  <sheetData>
    <row r="1" spans="1:6" ht="38.85" customHeight="1" x14ac:dyDescent="0.25">
      <c r="A1" s="235" t="str">
        <f>'Info+Data Entry Form'!$C$5</f>
        <v>BREEZEAIR TECHNICAL SERVICES</v>
      </c>
      <c r="B1" s="236"/>
      <c r="C1" s="236"/>
      <c r="D1" s="236"/>
      <c r="E1" s="237"/>
    </row>
    <row r="3" spans="1:6" s="10" customFormat="1" ht="18" customHeight="1" x14ac:dyDescent="0.25">
      <c r="A3" s="234" t="s">
        <v>45</v>
      </c>
      <c r="B3" s="234"/>
      <c r="C3" s="234"/>
      <c r="D3" s="234"/>
      <c r="E3" s="234"/>
      <c r="F3" s="1"/>
    </row>
    <row r="4" spans="1:6" ht="15.75" customHeight="1" x14ac:dyDescent="0.25">
      <c r="A4" s="129" t="s">
        <v>6</v>
      </c>
      <c r="B4" s="128" t="str">
        <f>'Info+Data Entry Form'!$C$6</f>
        <v>MAXFLO</v>
      </c>
      <c r="C4" s="58"/>
      <c r="D4" s="130" t="s">
        <v>8</v>
      </c>
      <c r="E4" s="128" t="str">
        <f>'Info+Data Entry Form'!$C$8</f>
        <v>560/250/12 P</v>
      </c>
      <c r="F4" s="11"/>
    </row>
    <row r="5" spans="1:6" ht="16.5" customHeight="1" x14ac:dyDescent="0.25">
      <c r="A5" s="131" t="s">
        <v>9</v>
      </c>
      <c r="B5" s="132">
        <f>'Info+Data Entry Form'!$C$11</f>
        <v>26</v>
      </c>
      <c r="C5" s="46" t="s">
        <v>51</v>
      </c>
      <c r="D5" s="133" t="s">
        <v>11</v>
      </c>
      <c r="E5" s="134">
        <f>IF('Info+Data Entry Form'!$C$10="2P", 2880, IF('Info+Data Entry Form'!$C$10="4P",1440,IF('Info+Data Entry Form'!$C$10="6P"=960,IF('Info+Data Entry Form'!$C$10="8P",720,"-"))))</f>
        <v>1440</v>
      </c>
      <c r="F5" s="13" t="s">
        <v>49</v>
      </c>
    </row>
    <row r="6" spans="1:6" ht="16.5" customHeight="1" x14ac:dyDescent="0.25">
      <c r="A6" s="131" t="s">
        <v>13</v>
      </c>
      <c r="B6" s="134">
        <f>'Info+Data Entry Form'!$C$9</f>
        <v>1.1000000000000001</v>
      </c>
      <c r="C6" s="46" t="s">
        <v>52</v>
      </c>
      <c r="D6" s="133" t="s">
        <v>15</v>
      </c>
      <c r="E6" s="134">
        <f>E5</f>
        <v>1440</v>
      </c>
      <c r="F6" s="13" t="s">
        <v>49</v>
      </c>
    </row>
    <row r="7" spans="1:6" ht="16.5" customHeight="1" x14ac:dyDescent="0.25">
      <c r="A7" s="131" t="s">
        <v>17</v>
      </c>
      <c r="B7" s="128">
        <f>'Info+Data Entry Form'!$C$12</f>
        <v>380</v>
      </c>
      <c r="C7" s="46" t="s">
        <v>47</v>
      </c>
      <c r="D7" s="133" t="s">
        <v>18</v>
      </c>
      <c r="E7" s="128">
        <f>'Info+Data Entry Form'!$C$17</f>
        <v>3</v>
      </c>
      <c r="F7" s="13"/>
    </row>
    <row r="8" spans="1:6" ht="16.5" customHeight="1" x14ac:dyDescent="0.25">
      <c r="A8" s="131" t="s">
        <v>20</v>
      </c>
      <c r="B8" s="128">
        <f>'Info+Data Entry Form'!$C$13</f>
        <v>2.5</v>
      </c>
      <c r="C8" s="46"/>
      <c r="D8" s="133" t="s">
        <v>21</v>
      </c>
      <c r="E8" s="135">
        <f>'Info+Data Entry Form'!$C$18</f>
        <v>50</v>
      </c>
      <c r="F8" s="13" t="s">
        <v>48</v>
      </c>
    </row>
    <row r="9" spans="1:6" ht="16.5" customHeight="1" x14ac:dyDescent="0.25">
      <c r="A9" s="131" t="s">
        <v>23</v>
      </c>
      <c r="B9" s="135">
        <f>'Info+Data Entry Form'!$C$15</f>
        <v>20</v>
      </c>
      <c r="C9" s="46" t="s">
        <v>50</v>
      </c>
      <c r="D9" s="133" t="s">
        <v>25</v>
      </c>
      <c r="E9" s="136" t="str">
        <f>'Info+Data Entry Form'!$C$19</f>
        <v>STAR</v>
      </c>
      <c r="F9" s="13"/>
    </row>
    <row r="10" spans="1:6" ht="16.5" customHeight="1" x14ac:dyDescent="0.25">
      <c r="A10" s="131" t="s">
        <v>27</v>
      </c>
      <c r="B10" s="128" t="str">
        <f>'Info+Data Entry Form'!$C$7</f>
        <v>FM4032</v>
      </c>
      <c r="C10" s="46"/>
      <c r="D10" s="141" t="s">
        <v>28</v>
      </c>
      <c r="E10" s="137">
        <f ca="1">'Info+Data Entry Form'!$C$4</f>
        <v>46148</v>
      </c>
      <c r="F10" s="11"/>
    </row>
    <row r="11" spans="1:6" ht="16.5" customHeight="1" x14ac:dyDescent="0.25">
      <c r="A11" s="2"/>
    </row>
    <row r="12" spans="1:6" ht="15.75" customHeight="1" x14ac:dyDescent="0.25">
      <c r="A12" s="2"/>
      <c r="B12" s="232" t="s">
        <v>30</v>
      </c>
      <c r="C12" s="233" t="s">
        <v>46</v>
      </c>
      <c r="D12" s="233"/>
    </row>
    <row r="13" spans="1:6" ht="16.5" customHeight="1" x14ac:dyDescent="0.25">
      <c r="B13" s="232"/>
      <c r="C13" s="233"/>
      <c r="D13" s="233"/>
    </row>
    <row r="14" spans="1:6" ht="31.5" customHeight="1" x14ac:dyDescent="0.25"/>
    <row r="15" spans="1:6" ht="16.5" customHeight="1" x14ac:dyDescent="0.25"/>
    <row r="16" spans="1: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5.75" customHeight="1" x14ac:dyDescent="0.25"/>
    <row r="22" ht="16.5" customHeight="1" x14ac:dyDescent="0.25"/>
    <row r="23" ht="16.5" customHeight="1" x14ac:dyDescent="0.25"/>
    <row r="25" ht="16.5" customHeight="1" x14ac:dyDescent="0.25"/>
    <row r="26" ht="16.5" customHeight="1" x14ac:dyDescent="0.25"/>
    <row r="27" ht="16.5" customHeight="1" x14ac:dyDescent="0.25"/>
    <row r="28" ht="15.7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</sheetData>
  <mergeCells count="4">
    <mergeCell ref="B12:B13"/>
    <mergeCell ref="C12:D13"/>
    <mergeCell ref="A3:E3"/>
    <mergeCell ref="A1:E1"/>
  </mergeCells>
  <printOptions horizontalCentered="1"/>
  <pageMargins left="1.299212598425197" right="0.70866141732283472" top="0.74803149606299213" bottom="0.74803149606299213" header="0.31496062992125984" footer="0.31496062992125984"/>
  <pageSetup paperSize="9" scale="125" orientation="portrait" copies="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E9F1-BFA4-4498-A3F6-0F872462936B}">
  <sheetPr>
    <tabColor theme="3"/>
    <pageSetUpPr fitToPage="1"/>
  </sheetPr>
  <dimension ref="A1:AE41"/>
  <sheetViews>
    <sheetView tabSelected="1" zoomScale="70" zoomScaleNormal="70" workbookViewId="0">
      <selection activeCell="AA5" sqref="AA5"/>
    </sheetView>
  </sheetViews>
  <sheetFormatPr defaultColWidth="8" defaultRowHeight="34.35" customHeight="1" x14ac:dyDescent="0.25"/>
  <cols>
    <col min="1" max="1" width="8" style="10" customWidth="1"/>
    <col min="2" max="3" width="8" style="10"/>
    <col min="4" max="4" width="9.21875" style="10" customWidth="1"/>
    <col min="5" max="16384" width="8" style="10"/>
  </cols>
  <sheetData>
    <row r="1" spans="1:31" ht="34.35" customHeight="1" thickTop="1" thickBot="1" x14ac:dyDescent="0.3">
      <c r="A1" s="206" t="s">
        <v>183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43"/>
      <c r="N1" s="43"/>
      <c r="O1" s="43"/>
      <c r="P1" s="43"/>
      <c r="Q1" s="43"/>
      <c r="R1" s="43"/>
      <c r="S1" s="152" t="s">
        <v>184</v>
      </c>
      <c r="T1" s="152"/>
      <c r="U1" s="208">
        <f ca="1">'Info+Data Entry Form'!C4</f>
        <v>46148</v>
      </c>
      <c r="V1" s="208"/>
      <c r="W1" s="208"/>
      <c r="X1" s="208"/>
      <c r="Y1" s="209"/>
    </row>
    <row r="2" spans="1:31" ht="34.35" customHeight="1" thickTop="1" thickBot="1" x14ac:dyDescent="0.3">
      <c r="A2" s="144" t="s">
        <v>53</v>
      </c>
      <c r="B2" s="145"/>
      <c r="C2" s="146"/>
      <c r="D2" s="151" t="str">
        <f>'Info+Data Entry Form'!$C$7</f>
        <v>FM4032</v>
      </c>
      <c r="E2" s="152"/>
      <c r="F2" s="153"/>
      <c r="G2" s="144" t="s">
        <v>56</v>
      </c>
      <c r="H2" s="145"/>
      <c r="I2" s="146"/>
      <c r="J2" s="154" t="str">
        <f>'Info+Data Entry Form'!C6</f>
        <v>MAXFLO</v>
      </c>
      <c r="K2" s="155"/>
      <c r="L2" s="156"/>
      <c r="M2" s="144" t="s">
        <v>54</v>
      </c>
      <c r="N2" s="145"/>
      <c r="O2" s="146"/>
      <c r="P2" s="154" t="str">
        <f>LEFT('Info+Data Entry Form'!$C$8,FIND("/",'Info+Data Entry Form'!$C$8)-1)</f>
        <v>560</v>
      </c>
      <c r="Q2" s="155"/>
      <c r="R2" s="156"/>
      <c r="S2" s="144" t="s">
        <v>55</v>
      </c>
      <c r="T2" s="145"/>
      <c r="U2" s="146"/>
      <c r="V2" s="154" t="str">
        <f>'Info+Data Entry Form'!C23</f>
        <v>FORM B</v>
      </c>
      <c r="W2" s="155"/>
      <c r="X2" s="155"/>
      <c r="Y2" s="156"/>
      <c r="Z2" s="25"/>
      <c r="AA2" s="25"/>
      <c r="AB2" s="25"/>
      <c r="AC2" s="25"/>
      <c r="AD2" s="25"/>
      <c r="AE2" s="25"/>
    </row>
    <row r="3" spans="1:31" ht="34.35" customHeight="1" thickTop="1" thickBot="1" x14ac:dyDescent="0.3">
      <c r="A3" s="160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2"/>
    </row>
    <row r="4" spans="1:31" ht="34.35" customHeight="1" thickTop="1" thickBot="1" x14ac:dyDescent="0.3">
      <c r="A4" s="163" t="s">
        <v>80</v>
      </c>
      <c r="B4" s="163"/>
      <c r="C4" s="163"/>
      <c r="D4" s="157" t="str">
        <f>'Info+Data Entry Form'!$C$5</f>
        <v>BREEZEAIR TECHNICAL SERVICES</v>
      </c>
      <c r="E4" s="158"/>
      <c r="F4" s="158"/>
      <c r="G4" s="158"/>
      <c r="H4" s="158"/>
      <c r="I4" s="158"/>
      <c r="J4" s="159"/>
      <c r="K4" s="159"/>
      <c r="L4" s="159"/>
      <c r="M4" s="159"/>
      <c r="N4" s="159"/>
      <c r="O4" s="159"/>
      <c r="P4" s="159"/>
      <c r="Q4" s="158"/>
      <c r="R4" s="158"/>
      <c r="S4" s="158"/>
      <c r="T4" s="158"/>
      <c r="U4" s="158"/>
      <c r="V4" s="158"/>
      <c r="W4" s="158"/>
      <c r="X4" s="158"/>
      <c r="Y4" s="158"/>
    </row>
    <row r="5" spans="1:31" ht="34.35" customHeight="1" thickTop="1" thickBot="1" x14ac:dyDescent="0.3">
      <c r="A5" s="143" t="s">
        <v>57</v>
      </c>
      <c r="B5" s="143"/>
      <c r="C5" s="143"/>
      <c r="D5" s="142">
        <f>'Info+Data Entry Form'!$C$13</f>
        <v>2.5</v>
      </c>
      <c r="E5" s="142"/>
      <c r="F5" s="142"/>
      <c r="G5" s="143" t="s">
        <v>58</v>
      </c>
      <c r="H5" s="143"/>
      <c r="I5" s="144"/>
      <c r="J5" s="212"/>
      <c r="K5" s="213"/>
      <c r="L5" s="213"/>
      <c r="M5" s="213"/>
      <c r="N5" s="213"/>
      <c r="O5" s="213"/>
      <c r="P5" s="214"/>
      <c r="Q5" s="146" t="s">
        <v>59</v>
      </c>
      <c r="R5" s="143"/>
      <c r="S5" s="143"/>
      <c r="T5" s="280" t="str">
        <f>'Info+Data Entry Form'!$C$22</f>
        <v>ACTOM</v>
      </c>
      <c r="U5" s="281"/>
      <c r="V5" s="280" t="s">
        <v>264</v>
      </c>
      <c r="W5" s="282"/>
      <c r="X5" s="280" t="s">
        <v>254</v>
      </c>
      <c r="Y5" s="282"/>
    </row>
    <row r="6" spans="1:31" ht="34.35" customHeight="1" thickTop="1" thickBot="1" x14ac:dyDescent="0.3">
      <c r="A6" s="143" t="s">
        <v>60</v>
      </c>
      <c r="B6" s="143"/>
      <c r="C6" s="143"/>
      <c r="D6" s="142">
        <f>'Info+Data Entry Form'!$C$12</f>
        <v>380</v>
      </c>
      <c r="E6" s="142" t="s">
        <v>61</v>
      </c>
      <c r="F6" s="142"/>
      <c r="G6" s="143" t="s">
        <v>62</v>
      </c>
      <c r="H6" s="143"/>
      <c r="I6" s="144"/>
      <c r="J6" s="215"/>
      <c r="K6" s="216"/>
      <c r="L6" s="216"/>
      <c r="M6" s="216"/>
      <c r="N6" s="216"/>
      <c r="O6" s="216"/>
      <c r="P6" s="217"/>
      <c r="Q6" s="146" t="s">
        <v>63</v>
      </c>
      <c r="R6" s="143"/>
      <c r="S6" s="143"/>
      <c r="T6" s="148" t="str">
        <f>'Name Plate'!$B$6&amp;""&amp;'Name Plate'!$C$6&amp;" "&amp;'Info+Data Entry Form'!$C$10</f>
        <v>1.1kW 4P</v>
      </c>
      <c r="U6" s="149"/>
      <c r="V6" s="149"/>
      <c r="W6" s="149"/>
      <c r="X6" s="149"/>
      <c r="Y6" s="150"/>
    </row>
    <row r="7" spans="1:31" ht="34.35" customHeight="1" thickTop="1" thickBot="1" x14ac:dyDescent="0.3">
      <c r="A7" s="143" t="s">
        <v>64</v>
      </c>
      <c r="B7" s="143"/>
      <c r="C7" s="143"/>
      <c r="D7" s="142">
        <f>'Name Plate'!$E$5</f>
        <v>1440</v>
      </c>
      <c r="E7" s="142">
        <v>1440</v>
      </c>
      <c r="F7" s="142"/>
      <c r="G7" s="143" t="s">
        <v>65</v>
      </c>
      <c r="H7" s="143"/>
      <c r="I7" s="144"/>
      <c r="J7" s="218"/>
      <c r="K7" s="219"/>
      <c r="L7" s="219"/>
      <c r="M7" s="219"/>
      <c r="N7" s="219"/>
      <c r="O7" s="219"/>
      <c r="P7" s="220"/>
      <c r="Q7" s="210"/>
      <c r="R7" s="211"/>
      <c r="S7" s="211"/>
      <c r="T7" s="148"/>
      <c r="U7" s="149"/>
      <c r="V7" s="149"/>
      <c r="W7" s="149"/>
      <c r="X7" s="149"/>
      <c r="Y7" s="150"/>
    </row>
    <row r="8" spans="1:31" ht="34.35" customHeight="1" thickTop="1" thickBot="1" x14ac:dyDescent="0.3">
      <c r="A8" s="160"/>
      <c r="B8" s="161"/>
      <c r="C8" s="161"/>
      <c r="D8" s="161"/>
      <c r="E8" s="161"/>
      <c r="F8" s="161"/>
      <c r="G8" s="161"/>
      <c r="H8" s="161"/>
      <c r="I8" s="161"/>
      <c r="J8" s="192"/>
      <c r="K8" s="192"/>
      <c r="L8" s="192"/>
      <c r="M8" s="192"/>
      <c r="N8" s="192"/>
      <c r="O8" s="192"/>
      <c r="P8" s="192"/>
      <c r="Q8" s="161"/>
      <c r="R8" s="161"/>
      <c r="S8" s="161"/>
      <c r="T8" s="161"/>
      <c r="U8" s="161"/>
      <c r="V8" s="161"/>
      <c r="W8" s="161"/>
      <c r="X8" s="161"/>
      <c r="Y8" s="162"/>
    </row>
    <row r="9" spans="1:31" ht="34.35" customHeight="1" thickTop="1" thickBot="1" x14ac:dyDescent="0.3">
      <c r="A9" s="147" t="s">
        <v>66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</row>
    <row r="10" spans="1:31" ht="34.35" customHeight="1" thickTop="1" thickBot="1" x14ac:dyDescent="0.3">
      <c r="A10" s="178" t="s">
        <v>67</v>
      </c>
      <c r="B10" s="179"/>
      <c r="C10" s="179"/>
      <c r="D10" s="169"/>
      <c r="E10" s="168" t="s">
        <v>68</v>
      </c>
      <c r="F10" s="169"/>
      <c r="G10" s="168" t="s">
        <v>69</v>
      </c>
      <c r="H10" s="169"/>
      <c r="I10" s="172" t="s">
        <v>70</v>
      </c>
      <c r="J10" s="175"/>
      <c r="K10" s="172" t="s">
        <v>71</v>
      </c>
      <c r="L10" s="174"/>
      <c r="M10" s="174"/>
      <c r="N10" s="174"/>
      <c r="O10" s="174"/>
      <c r="P10" s="175"/>
      <c r="Q10" s="172" t="s">
        <v>17</v>
      </c>
      <c r="R10" s="174"/>
      <c r="S10" s="174"/>
      <c r="T10" s="174"/>
      <c r="U10" s="174"/>
      <c r="V10" s="175"/>
      <c r="W10" s="140"/>
      <c r="X10" s="172" t="s">
        <v>72</v>
      </c>
      <c r="Y10" s="173"/>
    </row>
    <row r="11" spans="1:31" ht="34.35" customHeight="1" thickBot="1" x14ac:dyDescent="0.3">
      <c r="A11" s="180"/>
      <c r="B11" s="181"/>
      <c r="C11" s="181"/>
      <c r="D11" s="171"/>
      <c r="E11" s="170"/>
      <c r="F11" s="171"/>
      <c r="G11" s="170"/>
      <c r="H11" s="171"/>
      <c r="I11" s="176" t="s">
        <v>65</v>
      </c>
      <c r="J11" s="177"/>
      <c r="K11" s="176" t="s">
        <v>73</v>
      </c>
      <c r="L11" s="177"/>
      <c r="M11" s="176" t="s">
        <v>74</v>
      </c>
      <c r="N11" s="177"/>
      <c r="O11" s="176" t="s">
        <v>75</v>
      </c>
      <c r="P11" s="177"/>
      <c r="Q11" s="176" t="s">
        <v>73</v>
      </c>
      <c r="R11" s="177"/>
      <c r="S11" s="176" t="s">
        <v>74</v>
      </c>
      <c r="T11" s="177"/>
      <c r="U11" s="176" t="s">
        <v>75</v>
      </c>
      <c r="V11" s="177"/>
      <c r="W11" s="279"/>
      <c r="X11" s="176"/>
      <c r="Y11" s="184"/>
    </row>
    <row r="12" spans="1:31" s="124" customFormat="1" ht="34.35" customHeight="1" thickBot="1" x14ac:dyDescent="0.3">
      <c r="A12" s="186"/>
      <c r="B12" s="187"/>
      <c r="C12" s="187"/>
      <c r="D12" s="183"/>
      <c r="E12" s="182">
        <f>'Info+Data Entry Form'!$C$11</f>
        <v>26</v>
      </c>
      <c r="F12" s="183"/>
      <c r="G12" s="182" t="s">
        <v>76</v>
      </c>
      <c r="H12" s="183"/>
      <c r="I12" s="182">
        <f>$D$7</f>
        <v>1440</v>
      </c>
      <c r="J12" s="183"/>
      <c r="K12" s="182"/>
      <c r="L12" s="183"/>
      <c r="M12" s="182"/>
      <c r="N12" s="183"/>
      <c r="O12" s="182"/>
      <c r="P12" s="183"/>
      <c r="Q12" s="182">
        <f>$D$6</f>
        <v>380</v>
      </c>
      <c r="R12" s="183"/>
      <c r="S12" s="182">
        <f t="shared" ref="S12" si="0">$D$6</f>
        <v>380</v>
      </c>
      <c r="T12" s="183"/>
      <c r="U12" s="182">
        <f t="shared" ref="U12" si="1">$D$6</f>
        <v>380</v>
      </c>
      <c r="V12" s="183"/>
      <c r="W12" s="139"/>
      <c r="X12" s="182" t="str">
        <f>'Info+Data Entry Form'!$C$19</f>
        <v>STAR</v>
      </c>
      <c r="Y12" s="185"/>
    </row>
    <row r="13" spans="1:31" s="124" customFormat="1" ht="34.35" customHeight="1" thickBot="1" x14ac:dyDescent="0.3">
      <c r="A13" s="186"/>
      <c r="B13" s="187"/>
      <c r="C13" s="187"/>
      <c r="D13" s="183"/>
      <c r="E13" s="182"/>
      <c r="F13" s="183"/>
      <c r="G13" s="182"/>
      <c r="H13" s="183"/>
      <c r="I13" s="182"/>
      <c r="J13" s="183"/>
      <c r="K13" s="182"/>
      <c r="L13" s="183"/>
      <c r="M13" s="182"/>
      <c r="N13" s="183"/>
      <c r="O13" s="182"/>
      <c r="P13" s="183"/>
      <c r="Q13" s="182"/>
      <c r="R13" s="183"/>
      <c r="S13" s="182"/>
      <c r="T13" s="183"/>
      <c r="U13" s="182"/>
      <c r="V13" s="183"/>
      <c r="W13" s="139"/>
      <c r="X13" s="182"/>
      <c r="Y13" s="185"/>
    </row>
    <row r="14" spans="1:31" s="124" customFormat="1" ht="34.35" customHeight="1" thickBot="1" x14ac:dyDescent="0.3">
      <c r="A14" s="186"/>
      <c r="B14" s="187"/>
      <c r="C14" s="187"/>
      <c r="D14" s="183"/>
      <c r="E14" s="182"/>
      <c r="F14" s="183"/>
      <c r="G14" s="182"/>
      <c r="H14" s="183"/>
      <c r="I14" s="182"/>
      <c r="J14" s="183"/>
      <c r="K14" s="182"/>
      <c r="L14" s="183"/>
      <c r="M14" s="182"/>
      <c r="N14" s="183"/>
      <c r="O14" s="182"/>
      <c r="P14" s="183"/>
      <c r="Q14" s="182"/>
      <c r="R14" s="183"/>
      <c r="S14" s="182"/>
      <c r="T14" s="183"/>
      <c r="U14" s="182"/>
      <c r="V14" s="183"/>
      <c r="W14" s="139"/>
      <c r="X14" s="182"/>
      <c r="Y14" s="185"/>
    </row>
    <row r="15" spans="1:31" s="124" customFormat="1" ht="34.35" customHeight="1" thickBot="1" x14ac:dyDescent="0.3">
      <c r="A15" s="186"/>
      <c r="B15" s="187"/>
      <c r="C15" s="187"/>
      <c r="D15" s="183"/>
      <c r="E15" s="182"/>
      <c r="F15" s="183"/>
      <c r="G15" s="182"/>
      <c r="H15" s="183"/>
      <c r="I15" s="182"/>
      <c r="J15" s="183"/>
      <c r="K15" s="182"/>
      <c r="L15" s="183"/>
      <c r="M15" s="182"/>
      <c r="N15" s="183"/>
      <c r="O15" s="182"/>
      <c r="P15" s="183"/>
      <c r="Q15" s="182"/>
      <c r="R15" s="183"/>
      <c r="S15" s="182"/>
      <c r="T15" s="183"/>
      <c r="U15" s="182"/>
      <c r="V15" s="183"/>
      <c r="W15" s="139"/>
      <c r="X15" s="182"/>
      <c r="Y15" s="185"/>
    </row>
    <row r="16" spans="1:31" s="124" customFormat="1" ht="34.35" customHeight="1" thickBot="1" x14ac:dyDescent="0.3">
      <c r="A16" s="186"/>
      <c r="B16" s="187"/>
      <c r="C16" s="187"/>
      <c r="D16" s="183"/>
      <c r="E16" s="182"/>
      <c r="F16" s="183"/>
      <c r="G16" s="182"/>
      <c r="H16" s="183"/>
      <c r="I16" s="182"/>
      <c r="J16" s="183"/>
      <c r="K16" s="182"/>
      <c r="L16" s="183"/>
      <c r="M16" s="182"/>
      <c r="N16" s="183"/>
      <c r="O16" s="182"/>
      <c r="P16" s="183"/>
      <c r="Q16" s="182"/>
      <c r="R16" s="183"/>
      <c r="S16" s="182"/>
      <c r="T16" s="183"/>
      <c r="U16" s="182"/>
      <c r="V16" s="183"/>
      <c r="W16" s="139"/>
      <c r="X16" s="182"/>
      <c r="Y16" s="185"/>
    </row>
    <row r="17" spans="1:25" s="124" customFormat="1" ht="34.35" customHeight="1" thickBot="1" x14ac:dyDescent="0.3">
      <c r="A17" s="186"/>
      <c r="B17" s="187"/>
      <c r="C17" s="187"/>
      <c r="D17" s="183"/>
      <c r="E17" s="182"/>
      <c r="F17" s="183"/>
      <c r="G17" s="182"/>
      <c r="H17" s="183"/>
      <c r="I17" s="182"/>
      <c r="J17" s="183"/>
      <c r="K17" s="182"/>
      <c r="L17" s="183"/>
      <c r="M17" s="182"/>
      <c r="N17" s="183"/>
      <c r="O17" s="182"/>
      <c r="P17" s="183"/>
      <c r="Q17" s="182"/>
      <c r="R17" s="183"/>
      <c r="S17" s="182"/>
      <c r="T17" s="183"/>
      <c r="U17" s="182"/>
      <c r="V17" s="183"/>
      <c r="W17" s="139"/>
      <c r="X17" s="182"/>
      <c r="Y17" s="185"/>
    </row>
    <row r="18" spans="1:25" ht="34.35" customHeight="1" thickBot="1" x14ac:dyDescent="0.3">
      <c r="A18" s="164"/>
      <c r="B18" s="165"/>
      <c r="C18" s="165"/>
      <c r="D18" s="166"/>
      <c r="E18" s="167"/>
      <c r="F18" s="166"/>
      <c r="G18" s="167"/>
      <c r="H18" s="166"/>
      <c r="I18" s="167"/>
      <c r="J18" s="166"/>
      <c r="K18" s="167"/>
      <c r="L18" s="166"/>
      <c r="M18" s="167"/>
      <c r="N18" s="166"/>
      <c r="O18" s="167"/>
      <c r="P18" s="166"/>
      <c r="Q18" s="167"/>
      <c r="R18" s="166"/>
      <c r="S18" s="167"/>
      <c r="T18" s="166"/>
      <c r="U18" s="167"/>
      <c r="V18" s="166"/>
      <c r="W18" s="138"/>
      <c r="X18" s="167"/>
      <c r="Y18" s="191"/>
    </row>
    <row r="19" spans="1:25" ht="34.35" customHeight="1" thickBot="1" x14ac:dyDescent="0.3">
      <c r="A19" s="164"/>
      <c r="B19" s="165"/>
      <c r="C19" s="165"/>
      <c r="D19" s="166"/>
      <c r="E19" s="167"/>
      <c r="F19" s="166"/>
      <c r="G19" s="167"/>
      <c r="H19" s="166"/>
      <c r="I19" s="167"/>
      <c r="J19" s="166"/>
      <c r="K19" s="167"/>
      <c r="L19" s="166"/>
      <c r="M19" s="167"/>
      <c r="N19" s="166"/>
      <c r="O19" s="167"/>
      <c r="P19" s="166"/>
      <c r="Q19" s="167"/>
      <c r="R19" s="166"/>
      <c r="S19" s="167"/>
      <c r="T19" s="166"/>
      <c r="U19" s="167"/>
      <c r="V19" s="166"/>
      <c r="W19" s="138"/>
      <c r="X19" s="167"/>
      <c r="Y19" s="191"/>
    </row>
    <row r="20" spans="1:25" ht="34.35" customHeight="1" thickBot="1" x14ac:dyDescent="0.3">
      <c r="A20" s="164"/>
      <c r="B20" s="165"/>
      <c r="C20" s="165"/>
      <c r="D20" s="166"/>
      <c r="E20" s="167"/>
      <c r="F20" s="166"/>
      <c r="G20" s="167"/>
      <c r="H20" s="166"/>
      <c r="I20" s="167"/>
      <c r="J20" s="166"/>
      <c r="K20" s="167"/>
      <c r="L20" s="166"/>
      <c r="M20" s="167"/>
      <c r="N20" s="166"/>
      <c r="O20" s="167"/>
      <c r="P20" s="166"/>
      <c r="Q20" s="167"/>
      <c r="R20" s="166"/>
      <c r="S20" s="167"/>
      <c r="T20" s="166"/>
      <c r="U20" s="167"/>
      <c r="V20" s="166"/>
      <c r="W20" s="138"/>
      <c r="X20" s="167"/>
      <c r="Y20" s="191"/>
    </row>
    <row r="21" spans="1:25" ht="34.35" customHeight="1" thickBot="1" x14ac:dyDescent="0.3">
      <c r="A21" s="164"/>
      <c r="B21" s="165"/>
      <c r="C21" s="165"/>
      <c r="D21" s="166"/>
      <c r="E21" s="167"/>
      <c r="F21" s="166"/>
      <c r="G21" s="167"/>
      <c r="H21" s="166"/>
      <c r="I21" s="167"/>
      <c r="J21" s="166"/>
      <c r="K21" s="167"/>
      <c r="L21" s="166"/>
      <c r="M21" s="167"/>
      <c r="N21" s="166"/>
      <c r="O21" s="167"/>
      <c r="P21" s="166"/>
      <c r="Q21" s="167"/>
      <c r="R21" s="166"/>
      <c r="S21" s="167"/>
      <c r="T21" s="166"/>
      <c r="U21" s="167"/>
      <c r="V21" s="166"/>
      <c r="W21" s="138"/>
      <c r="X21" s="167"/>
      <c r="Y21" s="191"/>
    </row>
    <row r="22" spans="1:25" ht="34.35" customHeight="1" thickBot="1" x14ac:dyDescent="0.3">
      <c r="A22" s="164"/>
      <c r="B22" s="165"/>
      <c r="C22" s="165"/>
      <c r="D22" s="166"/>
      <c r="E22" s="167"/>
      <c r="F22" s="166"/>
      <c r="G22" s="167"/>
      <c r="H22" s="166"/>
      <c r="I22" s="167"/>
      <c r="J22" s="166"/>
      <c r="K22" s="167"/>
      <c r="L22" s="166"/>
      <c r="M22" s="167"/>
      <c r="N22" s="166"/>
      <c r="O22" s="167"/>
      <c r="P22" s="166"/>
      <c r="Q22" s="167"/>
      <c r="R22" s="166"/>
      <c r="S22" s="167"/>
      <c r="T22" s="166"/>
      <c r="U22" s="167"/>
      <c r="V22" s="166"/>
      <c r="W22" s="138"/>
      <c r="X22" s="167"/>
      <c r="Y22" s="191"/>
    </row>
    <row r="23" spans="1:25" ht="34.35" customHeight="1" thickBot="1" x14ac:dyDescent="0.3">
      <c r="A23" s="164"/>
      <c r="B23" s="165"/>
      <c r="C23" s="165"/>
      <c r="D23" s="166"/>
      <c r="E23" s="167"/>
      <c r="F23" s="166"/>
      <c r="G23" s="167"/>
      <c r="H23" s="166"/>
      <c r="I23" s="167"/>
      <c r="J23" s="166"/>
      <c r="K23" s="167"/>
      <c r="L23" s="166"/>
      <c r="M23" s="167"/>
      <c r="N23" s="166"/>
      <c r="O23" s="167"/>
      <c r="P23" s="166"/>
      <c r="Q23" s="167"/>
      <c r="R23" s="166"/>
      <c r="S23" s="167"/>
      <c r="T23" s="166"/>
      <c r="U23" s="167"/>
      <c r="V23" s="166"/>
      <c r="W23" s="138"/>
      <c r="X23" s="167"/>
      <c r="Y23" s="191"/>
    </row>
    <row r="24" spans="1:25" ht="34.35" customHeight="1" thickBot="1" x14ac:dyDescent="0.3">
      <c r="A24" s="164"/>
      <c r="B24" s="165"/>
      <c r="C24" s="165"/>
      <c r="D24" s="166"/>
      <c r="E24" s="167"/>
      <c r="F24" s="166"/>
      <c r="G24" s="167"/>
      <c r="H24" s="166"/>
      <c r="I24" s="167"/>
      <c r="J24" s="166"/>
      <c r="K24" s="167"/>
      <c r="L24" s="166"/>
      <c r="M24" s="167"/>
      <c r="N24" s="166"/>
      <c r="O24" s="167"/>
      <c r="P24" s="166"/>
      <c r="Q24" s="167"/>
      <c r="R24" s="166"/>
      <c r="S24" s="167"/>
      <c r="T24" s="166"/>
      <c r="U24" s="167"/>
      <c r="V24" s="166"/>
      <c r="W24" s="138"/>
      <c r="X24" s="167"/>
      <c r="Y24" s="191"/>
    </row>
    <row r="25" spans="1:25" ht="34.35" customHeight="1" thickBot="1" x14ac:dyDescent="0.3">
      <c r="A25" s="164"/>
      <c r="B25" s="165"/>
      <c r="C25" s="165"/>
      <c r="D25" s="166"/>
      <c r="E25" s="167"/>
      <c r="F25" s="166"/>
      <c r="G25" s="167"/>
      <c r="H25" s="166"/>
      <c r="I25" s="167"/>
      <c r="J25" s="166"/>
      <c r="K25" s="167"/>
      <c r="L25" s="166"/>
      <c r="M25" s="167"/>
      <c r="N25" s="166"/>
      <c r="O25" s="167"/>
      <c r="P25" s="166"/>
      <c r="Q25" s="167"/>
      <c r="R25" s="166"/>
      <c r="S25" s="167"/>
      <c r="T25" s="166"/>
      <c r="U25" s="167"/>
      <c r="V25" s="166"/>
      <c r="W25" s="138"/>
      <c r="X25" s="167"/>
      <c r="Y25" s="191"/>
    </row>
    <row r="26" spans="1:25" ht="34.35" customHeight="1" thickBot="1" x14ac:dyDescent="0.3">
      <c r="A26" s="164"/>
      <c r="B26" s="165"/>
      <c r="C26" s="165"/>
      <c r="D26" s="166"/>
      <c r="E26" s="167"/>
      <c r="F26" s="166"/>
      <c r="G26" s="167"/>
      <c r="H26" s="166"/>
      <c r="I26" s="167"/>
      <c r="J26" s="166"/>
      <c r="K26" s="167"/>
      <c r="L26" s="166"/>
      <c r="M26" s="167"/>
      <c r="N26" s="166"/>
      <c r="O26" s="167"/>
      <c r="P26" s="166"/>
      <c r="Q26" s="167"/>
      <c r="R26" s="166"/>
      <c r="S26" s="167"/>
      <c r="T26" s="166"/>
      <c r="U26" s="167"/>
      <c r="V26" s="166"/>
      <c r="W26" s="138"/>
      <c r="X26" s="167"/>
      <c r="Y26" s="191"/>
    </row>
    <row r="27" spans="1:25" ht="34.35" customHeight="1" thickBot="1" x14ac:dyDescent="0.3">
      <c r="A27" s="164"/>
      <c r="B27" s="165"/>
      <c r="C27" s="165"/>
      <c r="D27" s="166"/>
      <c r="E27" s="167"/>
      <c r="F27" s="166"/>
      <c r="G27" s="167"/>
      <c r="H27" s="166"/>
      <c r="I27" s="167"/>
      <c r="J27" s="166"/>
      <c r="K27" s="167"/>
      <c r="L27" s="166"/>
      <c r="M27" s="167"/>
      <c r="N27" s="166"/>
      <c r="O27" s="167"/>
      <c r="P27" s="166"/>
      <c r="Q27" s="167"/>
      <c r="R27" s="166"/>
      <c r="S27" s="167"/>
      <c r="T27" s="166"/>
      <c r="U27" s="167"/>
      <c r="V27" s="166"/>
      <c r="W27" s="138"/>
      <c r="X27" s="167"/>
      <c r="Y27" s="191"/>
    </row>
    <row r="28" spans="1:25" ht="34.35" customHeight="1" thickBot="1" x14ac:dyDescent="0.3">
      <c r="A28" s="164"/>
      <c r="B28" s="165"/>
      <c r="C28" s="165"/>
      <c r="D28" s="166"/>
      <c r="E28" s="167"/>
      <c r="F28" s="166"/>
      <c r="G28" s="167"/>
      <c r="H28" s="166"/>
      <c r="I28" s="167"/>
      <c r="J28" s="166"/>
      <c r="K28" s="167"/>
      <c r="L28" s="166"/>
      <c r="M28" s="167"/>
      <c r="N28" s="166"/>
      <c r="O28" s="167"/>
      <c r="P28" s="166"/>
      <c r="Q28" s="167"/>
      <c r="R28" s="166"/>
      <c r="S28" s="167"/>
      <c r="T28" s="166"/>
      <c r="U28" s="167"/>
      <c r="V28" s="166"/>
      <c r="W28" s="138"/>
      <c r="X28" s="167"/>
      <c r="Y28" s="191"/>
    </row>
    <row r="29" spans="1:25" ht="34.35" customHeight="1" thickBot="1" x14ac:dyDescent="0.3">
      <c r="A29" s="164"/>
      <c r="B29" s="165"/>
      <c r="C29" s="165"/>
      <c r="D29" s="166"/>
      <c r="E29" s="167"/>
      <c r="F29" s="166"/>
      <c r="G29" s="167"/>
      <c r="H29" s="166"/>
      <c r="I29" s="167"/>
      <c r="J29" s="166"/>
      <c r="K29" s="167"/>
      <c r="L29" s="166"/>
      <c r="M29" s="167"/>
      <c r="N29" s="166"/>
      <c r="O29" s="167"/>
      <c r="P29" s="166"/>
      <c r="Q29" s="167"/>
      <c r="R29" s="166"/>
      <c r="S29" s="167"/>
      <c r="T29" s="166"/>
      <c r="U29" s="167"/>
      <c r="V29" s="166"/>
      <c r="W29" s="138"/>
      <c r="X29" s="167"/>
      <c r="Y29" s="191"/>
    </row>
    <row r="30" spans="1:25" ht="34.35" customHeight="1" thickBot="1" x14ac:dyDescent="0.3">
      <c r="A30" s="164"/>
      <c r="B30" s="165"/>
      <c r="C30" s="165"/>
      <c r="D30" s="166"/>
      <c r="E30" s="167"/>
      <c r="F30" s="166"/>
      <c r="G30" s="167"/>
      <c r="H30" s="166"/>
      <c r="I30" s="167"/>
      <c r="J30" s="166"/>
      <c r="K30" s="167"/>
      <c r="L30" s="166"/>
      <c r="M30" s="167"/>
      <c r="N30" s="166"/>
      <c r="O30" s="167"/>
      <c r="P30" s="166"/>
      <c r="Q30" s="167"/>
      <c r="R30" s="166"/>
      <c r="S30" s="167"/>
      <c r="T30" s="166"/>
      <c r="U30" s="167"/>
      <c r="V30" s="166"/>
      <c r="W30" s="138"/>
      <c r="X30" s="167"/>
      <c r="Y30" s="191"/>
    </row>
    <row r="31" spans="1:25" ht="34.35" customHeight="1" thickBot="1" x14ac:dyDescent="0.3">
      <c r="A31" s="164"/>
      <c r="B31" s="165"/>
      <c r="C31" s="165"/>
      <c r="D31" s="166"/>
      <c r="E31" s="167"/>
      <c r="F31" s="166"/>
      <c r="G31" s="167"/>
      <c r="H31" s="166"/>
      <c r="I31" s="167"/>
      <c r="J31" s="166"/>
      <c r="K31" s="167"/>
      <c r="L31" s="166"/>
      <c r="M31" s="167"/>
      <c r="N31" s="166"/>
      <c r="O31" s="167"/>
      <c r="P31" s="166"/>
      <c r="Q31" s="167"/>
      <c r="R31" s="166"/>
      <c r="S31" s="167"/>
      <c r="T31" s="166"/>
      <c r="U31" s="167"/>
      <c r="V31" s="166"/>
      <c r="W31" s="138"/>
      <c r="X31" s="167"/>
      <c r="Y31" s="191"/>
    </row>
    <row r="32" spans="1:25" ht="34.35" customHeight="1" thickBot="1" x14ac:dyDescent="0.3">
      <c r="A32" s="164"/>
      <c r="B32" s="165"/>
      <c r="C32" s="165"/>
      <c r="D32" s="166"/>
      <c r="E32" s="167"/>
      <c r="F32" s="166"/>
      <c r="G32" s="167"/>
      <c r="H32" s="166"/>
      <c r="I32" s="167"/>
      <c r="J32" s="166"/>
      <c r="K32" s="167"/>
      <c r="L32" s="166"/>
      <c r="M32" s="167"/>
      <c r="N32" s="166"/>
      <c r="O32" s="167"/>
      <c r="P32" s="166"/>
      <c r="Q32" s="167"/>
      <c r="R32" s="166"/>
      <c r="S32" s="167"/>
      <c r="T32" s="166"/>
      <c r="U32" s="167"/>
      <c r="V32" s="166"/>
      <c r="W32" s="138"/>
      <c r="X32" s="167"/>
      <c r="Y32" s="191"/>
    </row>
    <row r="33" spans="1:25" ht="34.35" customHeight="1" thickBot="1" x14ac:dyDescent="0.3">
      <c r="A33" s="164"/>
      <c r="B33" s="165"/>
      <c r="C33" s="165"/>
      <c r="D33" s="166"/>
      <c r="E33" s="167"/>
      <c r="F33" s="166"/>
      <c r="G33" s="167"/>
      <c r="H33" s="166"/>
      <c r="I33" s="167"/>
      <c r="J33" s="166"/>
      <c r="K33" s="167"/>
      <c r="L33" s="166"/>
      <c r="M33" s="167"/>
      <c r="N33" s="166"/>
      <c r="O33" s="167"/>
      <c r="P33" s="166"/>
      <c r="Q33" s="167"/>
      <c r="R33" s="166"/>
      <c r="S33" s="167"/>
      <c r="T33" s="166"/>
      <c r="U33" s="167"/>
      <c r="V33" s="166"/>
      <c r="W33" s="138"/>
      <c r="X33" s="167"/>
      <c r="Y33" s="191"/>
    </row>
    <row r="34" spans="1:25" ht="34.35" customHeight="1" x14ac:dyDescent="0.25">
      <c r="A34" s="193" t="s">
        <v>77</v>
      </c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5"/>
      <c r="M34" s="193" t="s">
        <v>78</v>
      </c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5"/>
    </row>
    <row r="35" spans="1:25" ht="34.35" customHeight="1" thickBot="1" x14ac:dyDescent="0.3">
      <c r="A35" s="196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8"/>
      <c r="M35" s="196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8"/>
    </row>
    <row r="36" spans="1:25" ht="34.35" customHeight="1" x14ac:dyDescent="0.25">
      <c r="A36" s="199" t="s">
        <v>79</v>
      </c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2"/>
    </row>
    <row r="37" spans="1:25" ht="34.35" customHeight="1" x14ac:dyDescent="0.25">
      <c r="A37" s="203"/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5"/>
    </row>
    <row r="38" spans="1:25" ht="34.35" customHeight="1" thickBot="1" x14ac:dyDescent="0.3">
      <c r="A38" s="188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90"/>
    </row>
    <row r="39" spans="1:25" ht="34.35" customHeight="1" thickTop="1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</row>
    <row r="40" spans="1:25" ht="34.35" customHeight="1" x14ac:dyDescent="0.25">
      <c r="A40" s="27"/>
    </row>
    <row r="41" spans="1:25" ht="34.35" customHeight="1" x14ac:dyDescent="0.25">
      <c r="A41" s="27"/>
    </row>
  </sheetData>
  <mergeCells count="297">
    <mergeCell ref="T5:U5"/>
    <mergeCell ref="V5:W5"/>
    <mergeCell ref="X5:Y5"/>
    <mergeCell ref="A1:L1"/>
    <mergeCell ref="S1:T1"/>
    <mergeCell ref="U1:Y1"/>
    <mergeCell ref="Q5:S5"/>
    <mergeCell ref="Q6:S6"/>
    <mergeCell ref="Q7:S7"/>
    <mergeCell ref="J5:P7"/>
    <mergeCell ref="M31:N31"/>
    <mergeCell ref="O31:P31"/>
    <mergeCell ref="K22:L22"/>
    <mergeCell ref="M22:N22"/>
    <mergeCell ref="O22:P22"/>
    <mergeCell ref="K23:L23"/>
    <mergeCell ref="M23:N23"/>
    <mergeCell ref="O23:P23"/>
    <mergeCell ref="K16:L16"/>
    <mergeCell ref="M16:N16"/>
    <mergeCell ref="O16:P16"/>
    <mergeCell ref="U25:V25"/>
    <mergeCell ref="X25:Y25"/>
    <mergeCell ref="O12:P12"/>
    <mergeCell ref="O13:P13"/>
    <mergeCell ref="K14:L14"/>
    <mergeCell ref="M14:N14"/>
    <mergeCell ref="K33:L33"/>
    <mergeCell ref="M33:N33"/>
    <mergeCell ref="O33:P33"/>
    <mergeCell ref="M28:N28"/>
    <mergeCell ref="O28:P28"/>
    <mergeCell ref="K29:L29"/>
    <mergeCell ref="M29:N29"/>
    <mergeCell ref="O29:P29"/>
    <mergeCell ref="K30:L30"/>
    <mergeCell ref="M30:N30"/>
    <mergeCell ref="O30:P30"/>
    <mergeCell ref="K28:L28"/>
    <mergeCell ref="K32:L32"/>
    <mergeCell ref="M32:N32"/>
    <mergeCell ref="O32:P32"/>
    <mergeCell ref="X17:Y17"/>
    <mergeCell ref="U14:V14"/>
    <mergeCell ref="X14:Y14"/>
    <mergeCell ref="M17:N17"/>
    <mergeCell ref="X18:Y18"/>
    <mergeCell ref="U20:V20"/>
    <mergeCell ref="X20:Y20"/>
    <mergeCell ref="K19:L19"/>
    <mergeCell ref="X16:Y16"/>
    <mergeCell ref="X15:Y15"/>
    <mergeCell ref="K15:L15"/>
    <mergeCell ref="M15:N15"/>
    <mergeCell ref="O15:P15"/>
    <mergeCell ref="S21:T21"/>
    <mergeCell ref="E24:F24"/>
    <mergeCell ref="G24:H24"/>
    <mergeCell ref="I24:J24"/>
    <mergeCell ref="Q24:R24"/>
    <mergeCell ref="S24:T24"/>
    <mergeCell ref="U24:V24"/>
    <mergeCell ref="X24:Y24"/>
    <mergeCell ref="G19:H19"/>
    <mergeCell ref="I19:J19"/>
    <mergeCell ref="K20:L20"/>
    <mergeCell ref="M20:N20"/>
    <mergeCell ref="O20:P20"/>
    <mergeCell ref="E20:F20"/>
    <mergeCell ref="G20:H20"/>
    <mergeCell ref="I20:J20"/>
    <mergeCell ref="Q20:R20"/>
    <mergeCell ref="S20:T20"/>
    <mergeCell ref="U21:V21"/>
    <mergeCell ref="X21:Y21"/>
    <mergeCell ref="X19:Y19"/>
    <mergeCell ref="S23:T23"/>
    <mergeCell ref="M21:N21"/>
    <mergeCell ref="Q21:R21"/>
    <mergeCell ref="X28:Y28"/>
    <mergeCell ref="A22:D22"/>
    <mergeCell ref="E22:F22"/>
    <mergeCell ref="G22:H22"/>
    <mergeCell ref="I22:J22"/>
    <mergeCell ref="S25:T25"/>
    <mergeCell ref="S22:T22"/>
    <mergeCell ref="X22:Y22"/>
    <mergeCell ref="U23:V23"/>
    <mergeCell ref="X23:Y23"/>
    <mergeCell ref="K26:L26"/>
    <mergeCell ref="M26:N26"/>
    <mergeCell ref="O26:P26"/>
    <mergeCell ref="K27:L27"/>
    <mergeCell ref="M27:N27"/>
    <mergeCell ref="O27:P27"/>
    <mergeCell ref="Q26:R26"/>
    <mergeCell ref="S26:T26"/>
    <mergeCell ref="U26:V26"/>
    <mergeCell ref="X26:Y26"/>
    <mergeCell ref="A27:D27"/>
    <mergeCell ref="E27:F27"/>
    <mergeCell ref="G27:H27"/>
    <mergeCell ref="I27:J27"/>
    <mergeCell ref="I25:J25"/>
    <mergeCell ref="Q25:R25"/>
    <mergeCell ref="O25:P25"/>
    <mergeCell ref="Q22:R22"/>
    <mergeCell ref="A24:D24"/>
    <mergeCell ref="A23:D23"/>
    <mergeCell ref="E23:F23"/>
    <mergeCell ref="G23:H23"/>
    <mergeCell ref="I23:J23"/>
    <mergeCell ref="Q23:R23"/>
    <mergeCell ref="E31:F31"/>
    <mergeCell ref="U22:V22"/>
    <mergeCell ref="A8:Y8"/>
    <mergeCell ref="A34:L35"/>
    <mergeCell ref="M34:Y35"/>
    <mergeCell ref="A36:M36"/>
    <mergeCell ref="N36:Y36"/>
    <mergeCell ref="A37:Y37"/>
    <mergeCell ref="G31:H31"/>
    <mergeCell ref="I31:J31"/>
    <mergeCell ref="Q31:R31"/>
    <mergeCell ref="S31:T31"/>
    <mergeCell ref="Q29:R29"/>
    <mergeCell ref="S29:T29"/>
    <mergeCell ref="U29:V29"/>
    <mergeCell ref="X29:Y29"/>
    <mergeCell ref="U27:V27"/>
    <mergeCell ref="X27:Y27"/>
    <mergeCell ref="A28:D28"/>
    <mergeCell ref="E28:F28"/>
    <mergeCell ref="G28:H28"/>
    <mergeCell ref="Q28:R28"/>
    <mergeCell ref="S28:T28"/>
    <mergeCell ref="U28:V28"/>
    <mergeCell ref="A38:Y38"/>
    <mergeCell ref="A19:D19"/>
    <mergeCell ref="G33:H33"/>
    <mergeCell ref="I33:J33"/>
    <mergeCell ref="Q33:R33"/>
    <mergeCell ref="S33:T33"/>
    <mergeCell ref="U33:V33"/>
    <mergeCell ref="X33:Y33"/>
    <mergeCell ref="U31:V31"/>
    <mergeCell ref="X31:Y31"/>
    <mergeCell ref="A32:D32"/>
    <mergeCell ref="E32:F32"/>
    <mergeCell ref="G32:H32"/>
    <mergeCell ref="Q32:R32"/>
    <mergeCell ref="S32:T32"/>
    <mergeCell ref="U32:V32"/>
    <mergeCell ref="X32:Y32"/>
    <mergeCell ref="K31:L31"/>
    <mergeCell ref="Q30:R30"/>
    <mergeCell ref="S30:T30"/>
    <mergeCell ref="U30:V30"/>
    <mergeCell ref="X30:Y30"/>
    <mergeCell ref="A31:D31"/>
    <mergeCell ref="A20:D20"/>
    <mergeCell ref="Q27:R27"/>
    <mergeCell ref="S27:T27"/>
    <mergeCell ref="A18:D18"/>
    <mergeCell ref="E18:F18"/>
    <mergeCell ref="G18:H18"/>
    <mergeCell ref="I18:J18"/>
    <mergeCell ref="Q18:R18"/>
    <mergeCell ref="S18:T18"/>
    <mergeCell ref="U18:V18"/>
    <mergeCell ref="M19:N19"/>
    <mergeCell ref="O19:P19"/>
    <mergeCell ref="K18:L18"/>
    <mergeCell ref="M18:N18"/>
    <mergeCell ref="O18:P18"/>
    <mergeCell ref="E19:F19"/>
    <mergeCell ref="Q19:R19"/>
    <mergeCell ref="S19:T19"/>
    <mergeCell ref="U19:V19"/>
    <mergeCell ref="A21:D21"/>
    <mergeCell ref="E21:F21"/>
    <mergeCell ref="G21:H21"/>
    <mergeCell ref="I21:J21"/>
    <mergeCell ref="O21:P21"/>
    <mergeCell ref="K21:L21"/>
    <mergeCell ref="E10:F11"/>
    <mergeCell ref="A17:D17"/>
    <mergeCell ref="E17:F17"/>
    <mergeCell ref="G17:H17"/>
    <mergeCell ref="Q17:R17"/>
    <mergeCell ref="S17:T17"/>
    <mergeCell ref="U17:V17"/>
    <mergeCell ref="A16:D16"/>
    <mergeCell ref="E16:F16"/>
    <mergeCell ref="G16:H16"/>
    <mergeCell ref="I16:J16"/>
    <mergeCell ref="I17:J17"/>
    <mergeCell ref="O17:P17"/>
    <mergeCell ref="Q16:R16"/>
    <mergeCell ref="S16:T16"/>
    <mergeCell ref="U16:V16"/>
    <mergeCell ref="K17:L17"/>
    <mergeCell ref="A15:D15"/>
    <mergeCell ref="E15:F15"/>
    <mergeCell ref="G15:H15"/>
    <mergeCell ref="I15:J15"/>
    <mergeCell ref="Q15:R15"/>
    <mergeCell ref="S15:T15"/>
    <mergeCell ref="U15:V15"/>
    <mergeCell ref="X13:Y13"/>
    <mergeCell ref="A14:D14"/>
    <mergeCell ref="E14:F14"/>
    <mergeCell ref="G14:H14"/>
    <mergeCell ref="I14:J14"/>
    <mergeCell ref="Q14:R14"/>
    <mergeCell ref="S14:T14"/>
    <mergeCell ref="A13:D13"/>
    <mergeCell ref="E13:F13"/>
    <mergeCell ref="G13:H13"/>
    <mergeCell ref="I13:J13"/>
    <mergeCell ref="K13:L13"/>
    <mergeCell ref="M13:N13"/>
    <mergeCell ref="O14:P14"/>
    <mergeCell ref="Q13:R13"/>
    <mergeCell ref="S13:T13"/>
    <mergeCell ref="U13:V13"/>
    <mergeCell ref="G10:H11"/>
    <mergeCell ref="X10:Y10"/>
    <mergeCell ref="K10:P10"/>
    <mergeCell ref="Q10:V10"/>
    <mergeCell ref="O11:P11"/>
    <mergeCell ref="Q11:R11"/>
    <mergeCell ref="A10:D11"/>
    <mergeCell ref="M12:N12"/>
    <mergeCell ref="K11:L11"/>
    <mergeCell ref="M11:N11"/>
    <mergeCell ref="I12:J12"/>
    <mergeCell ref="I11:J11"/>
    <mergeCell ref="K12:L12"/>
    <mergeCell ref="I10:J10"/>
    <mergeCell ref="S11:T11"/>
    <mergeCell ref="U11:V11"/>
    <mergeCell ref="X11:Y11"/>
    <mergeCell ref="Q12:R12"/>
    <mergeCell ref="S12:T12"/>
    <mergeCell ref="U12:V12"/>
    <mergeCell ref="X12:Y12"/>
    <mergeCell ref="A12:D12"/>
    <mergeCell ref="E12:F12"/>
    <mergeCell ref="G12:H12"/>
    <mergeCell ref="A33:D33"/>
    <mergeCell ref="E33:F33"/>
    <mergeCell ref="K24:L24"/>
    <mergeCell ref="M24:N24"/>
    <mergeCell ref="O24:P24"/>
    <mergeCell ref="A30:D30"/>
    <mergeCell ref="E30:F30"/>
    <mergeCell ref="G30:H30"/>
    <mergeCell ref="I30:J30"/>
    <mergeCell ref="A29:D29"/>
    <mergeCell ref="E29:F29"/>
    <mergeCell ref="A26:D26"/>
    <mergeCell ref="E26:F26"/>
    <mergeCell ref="G26:H26"/>
    <mergeCell ref="I26:J26"/>
    <mergeCell ref="I32:J32"/>
    <mergeCell ref="K25:L25"/>
    <mergeCell ref="M25:N25"/>
    <mergeCell ref="I28:J28"/>
    <mergeCell ref="G29:H29"/>
    <mergeCell ref="I29:J29"/>
    <mergeCell ref="A25:D25"/>
    <mergeCell ref="E25:F25"/>
    <mergeCell ref="G25:H25"/>
    <mergeCell ref="D6:F6"/>
    <mergeCell ref="A5:C5"/>
    <mergeCell ref="D7:F7"/>
    <mergeCell ref="D5:F5"/>
    <mergeCell ref="A2:C2"/>
    <mergeCell ref="G2:I2"/>
    <mergeCell ref="M2:O2"/>
    <mergeCell ref="S2:U2"/>
    <mergeCell ref="A9:Y9"/>
    <mergeCell ref="T6:Y6"/>
    <mergeCell ref="T7:Y7"/>
    <mergeCell ref="A7:C7"/>
    <mergeCell ref="G5:I5"/>
    <mergeCell ref="G6:I6"/>
    <mergeCell ref="G7:I7"/>
    <mergeCell ref="D2:F2"/>
    <mergeCell ref="J2:L2"/>
    <mergeCell ref="P2:R2"/>
    <mergeCell ref="V2:Y2"/>
    <mergeCell ref="D4:Y4"/>
    <mergeCell ref="A3:Y3"/>
    <mergeCell ref="A4:C4"/>
    <mergeCell ref="A6:C6"/>
  </mergeCells>
  <printOptions horizontalCentered="1"/>
  <pageMargins left="0.51181102362204722" right="0.51181102362204722" top="1.7322834645669292" bottom="0.74803149606299213" header="0.31496062992125984" footer="0.31496062992125984"/>
  <pageSetup paperSize="9" scale="51" orientation="portrait" r:id="rId1"/>
  <headerFooter alignWithMargins="0">
    <oddHeader>&amp;L&amp;"Arial,Bold"&amp;28
Title:&amp;"Arial,Regular" Test Record Sheet
&amp;R&amp;20&amp;G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E51D-4D44-4029-B91E-842B31001EAA}">
  <sheetPr>
    <tabColor rgb="FFFF0000"/>
  </sheetPr>
  <dimension ref="A1:F33"/>
  <sheetViews>
    <sheetView zoomScale="80" zoomScaleNormal="80" workbookViewId="0">
      <selection activeCell="D16" sqref="D16"/>
    </sheetView>
  </sheetViews>
  <sheetFormatPr defaultColWidth="8.88671875" defaultRowHeight="14.4" x14ac:dyDescent="0.25"/>
  <cols>
    <col min="1" max="1" width="6.6640625" style="17" customWidth="1"/>
    <col min="2" max="2" width="19.88671875" style="17" bestFit="1" customWidth="1"/>
    <col min="3" max="3" width="41" style="21" bestFit="1" customWidth="1"/>
    <col min="4" max="4" width="6.6640625" style="17" customWidth="1"/>
    <col min="5" max="5" width="9.88671875" style="17" customWidth="1"/>
    <col min="6" max="6" width="11.109375" style="17" bestFit="1" customWidth="1"/>
    <col min="7" max="7" width="10.6640625" style="17" customWidth="1"/>
    <col min="8" max="8" width="8.88671875" style="17"/>
    <col min="9" max="9" width="10.44140625" style="17" bestFit="1" customWidth="1"/>
    <col min="10" max="10" width="12.88671875" style="17" customWidth="1"/>
    <col min="11" max="11" width="8.88671875" style="17"/>
    <col min="12" max="12" width="13.44140625" style="17" bestFit="1" customWidth="1"/>
    <col min="13" max="13" width="15" style="17" customWidth="1"/>
    <col min="14" max="16384" width="8.88671875" style="17"/>
  </cols>
  <sheetData>
    <row r="1" spans="1:6" ht="31.5" customHeight="1" thickBot="1" x14ac:dyDescent="0.3">
      <c r="A1" s="20"/>
    </row>
    <row r="2" spans="1:6" ht="16.5" customHeight="1" thickTop="1" thickBot="1" x14ac:dyDescent="0.35">
      <c r="A2" s="15"/>
      <c r="B2" s="238" t="s">
        <v>196</v>
      </c>
      <c r="C2" s="239"/>
      <c r="D2" s="239"/>
      <c r="E2" s="239"/>
      <c r="F2" s="240"/>
    </row>
    <row r="3" spans="1:6" ht="16.5" customHeight="1" thickTop="1" x14ac:dyDescent="0.3">
      <c r="A3" s="15"/>
      <c r="B3" s="228" t="s">
        <v>97</v>
      </c>
      <c r="C3" s="228"/>
      <c r="D3" s="228"/>
      <c r="E3" s="228"/>
      <c r="F3" s="228"/>
    </row>
    <row r="4" spans="1:6" ht="16.5" customHeight="1" x14ac:dyDescent="0.3">
      <c r="A4" s="15"/>
      <c r="B4" s="17" t="s">
        <v>80</v>
      </c>
      <c r="C4" s="36" t="s">
        <v>253</v>
      </c>
      <c r="D4" s="23"/>
      <c r="E4" s="17" t="s">
        <v>93</v>
      </c>
      <c r="F4" s="23"/>
    </row>
    <row r="5" spans="1:6" ht="16.5" customHeight="1" x14ac:dyDescent="0.3">
      <c r="A5" s="15"/>
      <c r="B5" s="22" t="s">
        <v>103</v>
      </c>
      <c r="C5" s="21" t="s">
        <v>197</v>
      </c>
      <c r="D5" s="23"/>
      <c r="E5" s="17" t="s">
        <v>93</v>
      </c>
      <c r="F5" s="23"/>
    </row>
    <row r="6" spans="1:6" ht="16.5" customHeight="1" x14ac:dyDescent="0.3">
      <c r="A6" s="15"/>
      <c r="B6" s="17" t="s">
        <v>212</v>
      </c>
      <c r="C6" s="21">
        <v>1000</v>
      </c>
      <c r="D6" s="23"/>
      <c r="E6" s="17" t="s">
        <v>93</v>
      </c>
      <c r="F6" s="23"/>
    </row>
    <row r="7" spans="1:6" x14ac:dyDescent="0.3">
      <c r="A7" s="15"/>
      <c r="B7" s="17" t="s">
        <v>214</v>
      </c>
      <c r="C7" s="42">
        <v>20</v>
      </c>
      <c r="D7" s="21"/>
      <c r="E7" s="17" t="s">
        <v>86</v>
      </c>
      <c r="F7" s="21"/>
    </row>
    <row r="8" spans="1:6" ht="15.75" customHeight="1" x14ac:dyDescent="0.3">
      <c r="A8" s="15"/>
      <c r="B8" s="17" t="s">
        <v>201</v>
      </c>
      <c r="C8" s="21" t="s">
        <v>207</v>
      </c>
      <c r="D8" s="21"/>
      <c r="E8" s="17" t="s">
        <v>86</v>
      </c>
      <c r="F8" s="21"/>
    </row>
    <row r="9" spans="1:6" ht="16.5" customHeight="1" x14ac:dyDescent="0.3">
      <c r="A9" s="15"/>
      <c r="B9" s="17" t="s">
        <v>88</v>
      </c>
      <c r="C9" s="29">
        <v>7.5</v>
      </c>
      <c r="D9" s="23"/>
      <c r="E9" s="17" t="s">
        <v>93</v>
      </c>
      <c r="F9" s="23"/>
    </row>
    <row r="10" spans="1:6" ht="16.5" customHeight="1" x14ac:dyDescent="0.3">
      <c r="A10" s="15"/>
      <c r="B10" s="17" t="s">
        <v>92</v>
      </c>
      <c r="C10" s="42">
        <v>380</v>
      </c>
      <c r="D10" s="23"/>
      <c r="E10" s="17" t="s">
        <v>93</v>
      </c>
      <c r="F10" s="23"/>
    </row>
    <row r="11" spans="1:6" x14ac:dyDescent="0.3">
      <c r="A11" s="15"/>
      <c r="B11" s="17" t="s">
        <v>99</v>
      </c>
      <c r="C11" s="21">
        <v>3</v>
      </c>
      <c r="D11" s="21"/>
      <c r="E11" s="17" t="s">
        <v>86</v>
      </c>
      <c r="F11" s="21"/>
    </row>
    <row r="12" spans="1:6" ht="16.5" customHeight="1" x14ac:dyDescent="0.3">
      <c r="A12" s="15"/>
      <c r="B12" s="22" t="s">
        <v>94</v>
      </c>
      <c r="C12" s="42">
        <v>15.2</v>
      </c>
      <c r="D12" s="23"/>
      <c r="E12" s="17" t="s">
        <v>93</v>
      </c>
      <c r="F12" s="23"/>
    </row>
    <row r="13" spans="1:6" ht="16.5" customHeight="1" x14ac:dyDescent="0.3">
      <c r="A13" s="15"/>
      <c r="B13" s="17" t="s">
        <v>87</v>
      </c>
      <c r="C13" s="24">
        <f ca="1">TODAY()</f>
        <v>46148</v>
      </c>
      <c r="D13" s="23"/>
      <c r="E13" s="17" t="s">
        <v>93</v>
      </c>
      <c r="F13" s="23"/>
    </row>
    <row r="14" spans="1:6" ht="16.5" customHeight="1" x14ac:dyDescent="0.3">
      <c r="A14" s="15"/>
      <c r="B14" s="17" t="s">
        <v>95</v>
      </c>
      <c r="C14" s="12">
        <v>20</v>
      </c>
      <c r="D14" s="21"/>
      <c r="E14" s="17" t="s">
        <v>86</v>
      </c>
      <c r="F14" s="21"/>
    </row>
    <row r="15" spans="1:6" x14ac:dyDescent="0.3">
      <c r="A15" s="15"/>
      <c r="B15" s="17" t="s">
        <v>213</v>
      </c>
      <c r="C15" s="21" t="s">
        <v>256</v>
      </c>
      <c r="D15" s="23"/>
      <c r="E15" s="17" t="s">
        <v>93</v>
      </c>
      <c r="F15" s="23"/>
    </row>
    <row r="16" spans="1:6" ht="16.5" customHeight="1" x14ac:dyDescent="0.3">
      <c r="A16" s="15"/>
      <c r="B16" s="17" t="s">
        <v>104</v>
      </c>
      <c r="C16" s="21" t="s">
        <v>246</v>
      </c>
      <c r="D16" s="23"/>
      <c r="E16" s="17" t="s">
        <v>93</v>
      </c>
      <c r="F16" s="23"/>
    </row>
    <row r="17" spans="1:6" ht="16.5" customHeight="1" x14ac:dyDescent="0.3">
      <c r="A17" s="15"/>
      <c r="B17" s="228" t="s">
        <v>81</v>
      </c>
      <c r="C17" s="228"/>
      <c r="D17" s="228"/>
      <c r="E17" s="228"/>
      <c r="F17" s="228"/>
    </row>
    <row r="18" spans="1:6" ht="16.5" customHeight="1" x14ac:dyDescent="0.3">
      <c r="A18" s="15"/>
      <c r="B18" s="17" t="s">
        <v>89</v>
      </c>
      <c r="C18" s="21" t="s">
        <v>90</v>
      </c>
      <c r="D18" s="21"/>
      <c r="E18" s="17" t="s">
        <v>86</v>
      </c>
      <c r="F18" s="21"/>
    </row>
    <row r="19" spans="1:6" ht="16.5" customHeight="1" x14ac:dyDescent="0.3">
      <c r="A19" s="15"/>
      <c r="B19" s="17" t="s">
        <v>100</v>
      </c>
      <c r="C19" s="12">
        <v>50</v>
      </c>
      <c r="D19" s="21"/>
      <c r="E19" s="17" t="s">
        <v>86</v>
      </c>
      <c r="F19" s="21"/>
    </row>
    <row r="20" spans="1:6" ht="16.5" customHeight="1" x14ac:dyDescent="0.3">
      <c r="A20" s="15"/>
      <c r="B20" s="17" t="s">
        <v>102</v>
      </c>
      <c r="C20" s="21" t="str">
        <f>IF(C10&lt;=220,"--",IF(C9&gt;=4,"DELTA","STAR"))</f>
        <v>DELTA</v>
      </c>
      <c r="D20" s="21"/>
      <c r="E20" s="17" t="s">
        <v>86</v>
      </c>
      <c r="F20" s="21"/>
    </row>
    <row r="21" spans="1:6" ht="16.5" customHeight="1" x14ac:dyDescent="0.3">
      <c r="A21" s="15"/>
      <c r="B21" s="228" t="s">
        <v>98</v>
      </c>
      <c r="C21" s="228"/>
      <c r="D21" s="228"/>
      <c r="E21" s="228"/>
      <c r="F21" s="228"/>
    </row>
    <row r="22" spans="1:6" ht="16.5" customHeight="1" x14ac:dyDescent="0.3">
      <c r="A22" s="15"/>
      <c r="B22" s="17" t="s">
        <v>85</v>
      </c>
      <c r="C22" s="21" t="s">
        <v>254</v>
      </c>
      <c r="D22" s="21"/>
      <c r="E22" s="17" t="s">
        <v>91</v>
      </c>
      <c r="F22" s="21"/>
    </row>
    <row r="23" spans="1:6" ht="16.5" customHeight="1" x14ac:dyDescent="0.3">
      <c r="A23" s="15"/>
      <c r="B23" s="17" t="s">
        <v>84</v>
      </c>
      <c r="C23" s="21" t="s">
        <v>106</v>
      </c>
      <c r="D23" s="21"/>
      <c r="E23" s="17" t="s">
        <v>91</v>
      </c>
      <c r="F23" s="21"/>
    </row>
    <row r="24" spans="1:6" ht="16.5" customHeight="1" x14ac:dyDescent="0.3">
      <c r="A24" s="15"/>
      <c r="B24" s="228" t="s">
        <v>81</v>
      </c>
      <c r="C24" s="228"/>
      <c r="D24" s="228"/>
      <c r="E24" s="228"/>
      <c r="F24" s="228"/>
    </row>
    <row r="25" spans="1:6" ht="16.5" customHeight="1" x14ac:dyDescent="0.3">
      <c r="A25" s="15"/>
      <c r="B25" s="17" t="s">
        <v>215</v>
      </c>
      <c r="C25" s="21">
        <v>300</v>
      </c>
      <c r="E25" s="17" t="s">
        <v>86</v>
      </c>
    </row>
    <row r="26" spans="1:6" ht="16.5" customHeight="1" x14ac:dyDescent="0.3">
      <c r="A26" s="15"/>
      <c r="B26" s="17" t="s">
        <v>216</v>
      </c>
      <c r="C26" s="21">
        <v>120</v>
      </c>
      <c r="E26" s="17" t="s">
        <v>86</v>
      </c>
    </row>
    <row r="27" spans="1:6" ht="16.5" customHeight="1" x14ac:dyDescent="0.3">
      <c r="A27" s="15"/>
      <c r="B27" s="17" t="s">
        <v>217</v>
      </c>
      <c r="C27" s="21">
        <v>10.37</v>
      </c>
      <c r="E27" s="17" t="s">
        <v>86</v>
      </c>
    </row>
    <row r="28" spans="1:6" ht="16.5" customHeight="1" x14ac:dyDescent="0.3">
      <c r="A28" s="15"/>
      <c r="B28" s="15" t="s">
        <v>218</v>
      </c>
      <c r="C28" s="21">
        <v>0.4</v>
      </c>
      <c r="E28" s="17" t="s">
        <v>86</v>
      </c>
    </row>
    <row r="29" spans="1:6" x14ac:dyDescent="0.3">
      <c r="B29" s="15"/>
    </row>
    <row r="30" spans="1:6" x14ac:dyDescent="0.3">
      <c r="B30" s="15"/>
    </row>
    <row r="31" spans="1:6" x14ac:dyDescent="0.3">
      <c r="B31" s="15"/>
    </row>
    <row r="32" spans="1:6" x14ac:dyDescent="0.3">
      <c r="B32" s="15"/>
    </row>
    <row r="33" spans="2:2" x14ac:dyDescent="0.3">
      <c r="B33" s="15"/>
    </row>
  </sheetData>
  <mergeCells count="5">
    <mergeCell ref="B2:F2"/>
    <mergeCell ref="B3:F3"/>
    <mergeCell ref="B17:F17"/>
    <mergeCell ref="B21:F21"/>
    <mergeCell ref="B24:F24"/>
  </mergeCells>
  <dataValidations count="2">
    <dataValidation type="list" allowBlank="1" showInputMessage="1" showErrorMessage="1" sqref="C5" xr:uid="{6EDB5CB8-18B5-42E5-B82E-CA0C02B188EC}">
      <formula1>"MAXFLO, MAJAX-2, MAJAX-3, AT, UV, BCC, FUMAX"</formula1>
    </dataValidation>
    <dataValidation type="list" allowBlank="1" showInputMessage="1" showErrorMessage="1" sqref="E5:F14" xr:uid="{A01893C2-BF13-4E17-B3FC-1864843FC498}">
      <formula1>"MAXFLO, MAJAX-2, MAJAX-3, AT, UV"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125" orientation="portrait" copies="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DCE5-096E-4556-84AC-B21CCF7E17D5}">
  <sheetPr>
    <tabColor rgb="FFFF0000"/>
  </sheetPr>
  <dimension ref="A1:X44"/>
  <sheetViews>
    <sheetView zoomScale="115" zoomScaleNormal="115" workbookViewId="0">
      <selection activeCell="I13" sqref="I13:L13"/>
    </sheetView>
  </sheetViews>
  <sheetFormatPr defaultColWidth="8.88671875" defaultRowHeight="13.8" x14ac:dyDescent="0.25"/>
  <cols>
    <col min="1" max="4" width="3" style="49" customWidth="1"/>
    <col min="5" max="7" width="3" style="56" customWidth="1"/>
    <col min="8" max="8" width="3.77734375" style="56" bestFit="1" customWidth="1"/>
    <col min="9" max="10" width="3.77734375" style="56" customWidth="1"/>
    <col min="11" max="13" width="3" style="56" customWidth="1"/>
    <col min="14" max="16" width="3.21875" style="56" customWidth="1"/>
    <col min="17" max="17" width="3.77734375" style="49" bestFit="1" customWidth="1"/>
    <col min="18" max="23" width="3.77734375" style="56" customWidth="1"/>
    <col min="24" max="16384" width="8.88671875" style="49"/>
  </cols>
  <sheetData>
    <row r="1" spans="1:24" ht="14.4" customHeight="1" thickBot="1" x14ac:dyDescent="0.3">
      <c r="A1" s="247" t="str">
        <f>'Info+Data Entry Form FUMAX'!C4</f>
        <v>ST AIR SERVICES AND MAINTENANCE (PTY) LTD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9"/>
      <c r="X1" s="50"/>
    </row>
    <row r="2" spans="1:24" ht="15" thickBot="1" x14ac:dyDescent="0.3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</row>
    <row r="3" spans="1:24" s="53" customFormat="1" ht="18" customHeight="1" thickBot="1" x14ac:dyDescent="0.3">
      <c r="A3" s="250" t="s">
        <v>198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  <c r="X3" s="51"/>
    </row>
    <row r="4" spans="1:24" s="53" customFormat="1" ht="18" customHeight="1" thickBot="1" x14ac:dyDescent="0.3">
      <c r="A4" s="253"/>
      <c r="B4" s="253"/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51"/>
    </row>
    <row r="5" spans="1:24" ht="21.6" customHeight="1" thickBot="1" x14ac:dyDescent="0.3">
      <c r="A5" s="264" t="s">
        <v>8</v>
      </c>
      <c r="B5" s="264"/>
      <c r="C5" s="264"/>
      <c r="D5" s="264"/>
      <c r="E5" s="241">
        <f>'Info+Data Entry Form FUMAX'!$C$6</f>
        <v>1000</v>
      </c>
      <c r="F5" s="256"/>
      <c r="G5" s="242"/>
      <c r="H5" s="54"/>
      <c r="I5" s="253" t="s">
        <v>199</v>
      </c>
      <c r="J5" s="253"/>
      <c r="K5" s="243">
        <f>'Info+Data Entry Form FUMAX'!$C$7</f>
        <v>20</v>
      </c>
      <c r="L5" s="244"/>
      <c r="M5" s="45"/>
      <c r="N5" s="254" t="s">
        <v>208</v>
      </c>
      <c r="O5" s="254"/>
      <c r="P5" s="254"/>
      <c r="Q5" s="243">
        <f>'Info+Data Entry Form FUMAX'!$C$25</f>
        <v>300</v>
      </c>
      <c r="R5" s="244"/>
      <c r="S5" s="52" t="s">
        <v>210</v>
      </c>
      <c r="T5" s="243">
        <f>'Info+Data Entry Form FUMAX'!$C$26</f>
        <v>120</v>
      </c>
      <c r="U5" s="244"/>
      <c r="V5" s="246" t="s">
        <v>200</v>
      </c>
      <c r="W5" s="246"/>
    </row>
    <row r="6" spans="1:24" ht="16.5" customHeight="1" thickBot="1" x14ac:dyDescent="0.3">
      <c r="A6" s="254" t="s">
        <v>201</v>
      </c>
      <c r="B6" s="254"/>
      <c r="C6" s="254"/>
      <c r="D6" s="254"/>
      <c r="E6" s="241" t="str">
        <f>'Info+Data Entry Form FUMAX'!$C$8</f>
        <v>H</v>
      </c>
      <c r="F6" s="256"/>
      <c r="G6" s="242"/>
      <c r="H6" s="54"/>
      <c r="I6" s="54"/>
      <c r="J6" s="54"/>
      <c r="K6" s="45"/>
      <c r="L6" s="45"/>
      <c r="M6" s="45"/>
      <c r="N6" s="264" t="s">
        <v>203</v>
      </c>
      <c r="O6" s="264"/>
      <c r="P6" s="264"/>
      <c r="Q6" s="241">
        <f>'Info+Data Entry Form FUMAX'!$C$27</f>
        <v>10.37</v>
      </c>
      <c r="R6" s="242"/>
      <c r="S6" s="245" t="s">
        <v>204</v>
      </c>
      <c r="T6" s="245"/>
      <c r="U6" s="51"/>
      <c r="V6" s="51"/>
      <c r="W6" s="51"/>
    </row>
    <row r="7" spans="1:24" ht="16.5" customHeight="1" thickBot="1" x14ac:dyDescent="0.3">
      <c r="A7" s="264" t="s">
        <v>13</v>
      </c>
      <c r="B7" s="264"/>
      <c r="C7" s="264"/>
      <c r="D7" s="264"/>
      <c r="E7" s="265">
        <f>'Info+Data Entry Form FUMAX'!$C$9</f>
        <v>7.5</v>
      </c>
      <c r="F7" s="256"/>
      <c r="G7" s="242"/>
      <c r="H7" s="46" t="s">
        <v>52</v>
      </c>
      <c r="I7" s="46"/>
      <c r="J7" s="46"/>
      <c r="K7" s="45"/>
      <c r="L7" s="45"/>
      <c r="M7" s="45"/>
      <c r="N7" s="264" t="s">
        <v>205</v>
      </c>
      <c r="O7" s="264"/>
      <c r="P7" s="264"/>
      <c r="Q7" s="241">
        <f>'Info+Data Entry Form FUMAX'!$C$28</f>
        <v>0.4</v>
      </c>
      <c r="R7" s="242"/>
      <c r="S7" s="245" t="s">
        <v>206</v>
      </c>
      <c r="T7" s="245"/>
      <c r="U7" s="54"/>
      <c r="V7" s="54"/>
      <c r="W7" s="54"/>
    </row>
    <row r="8" spans="1:24" ht="16.5" customHeight="1" thickBot="1" x14ac:dyDescent="0.3">
      <c r="A8" s="264" t="s">
        <v>17</v>
      </c>
      <c r="B8" s="264"/>
      <c r="C8" s="264"/>
      <c r="D8" s="264"/>
      <c r="E8" s="241">
        <f>'Info+Data Entry Form FUMAX'!C10</f>
        <v>380</v>
      </c>
      <c r="F8" s="256"/>
      <c r="G8" s="242"/>
      <c r="H8" s="55" t="s">
        <v>47</v>
      </c>
      <c r="I8" s="257">
        <f>'Info+Data Entry Form FUMAX'!$C$11</f>
        <v>3</v>
      </c>
      <c r="J8" s="258"/>
      <c r="K8" s="253" t="s">
        <v>202</v>
      </c>
      <c r="L8" s="253"/>
      <c r="M8" s="51"/>
      <c r="N8" s="264" t="s">
        <v>11</v>
      </c>
      <c r="O8" s="264"/>
      <c r="P8" s="264"/>
      <c r="Q8" s="241">
        <f>IF('Info+Data Entry Form FUMAX'!$C$16="2P", 2880, IF('Info+Data Entry Form FUMAX'!$C$16="4P",1440,IF('Info+Data Entry Form FUMAX'!$C$16="6P"=960,IF('Info+Data Entry Form FUMAX'!$C$16="8P",720,"-"))))</f>
        <v>1440</v>
      </c>
      <c r="R8" s="242"/>
      <c r="S8" s="245" t="s">
        <v>49</v>
      </c>
      <c r="T8" s="245"/>
    </row>
    <row r="9" spans="1:24" ht="16.5" customHeight="1" thickBot="1" x14ac:dyDescent="0.3">
      <c r="A9" s="264" t="s">
        <v>20</v>
      </c>
      <c r="B9" s="264"/>
      <c r="C9" s="264"/>
      <c r="D9" s="264"/>
      <c r="E9" s="241">
        <f>'Info+Data Entry Form FUMAX'!$C$12</f>
        <v>15.2</v>
      </c>
      <c r="F9" s="256"/>
      <c r="G9" s="242"/>
      <c r="H9" s="54"/>
      <c r="I9" s="54"/>
      <c r="J9" s="54"/>
      <c r="K9" s="45"/>
      <c r="L9" s="45"/>
      <c r="M9" s="45"/>
      <c r="N9" s="264" t="s">
        <v>21</v>
      </c>
      <c r="O9" s="264"/>
      <c r="P9" s="264"/>
      <c r="Q9" s="241">
        <f>'Info+Data Entry Form FUMAX'!$C$19</f>
        <v>50</v>
      </c>
      <c r="R9" s="242"/>
      <c r="S9" s="245" t="s">
        <v>48</v>
      </c>
      <c r="T9" s="245"/>
    </row>
    <row r="10" spans="1:24" ht="16.5" customHeight="1" thickBot="1" x14ac:dyDescent="0.3">
      <c r="A10" s="264" t="s">
        <v>211</v>
      </c>
      <c r="B10" s="264"/>
      <c r="C10" s="264"/>
      <c r="D10" s="264"/>
      <c r="E10" s="259">
        <f ca="1">'Info+Data Entry Form FUMAX'!$C$13</f>
        <v>46148</v>
      </c>
      <c r="F10" s="260"/>
      <c r="G10" s="261"/>
      <c r="H10" s="54"/>
      <c r="I10" s="54"/>
      <c r="J10" s="54"/>
      <c r="K10" s="45"/>
      <c r="L10" s="45"/>
      <c r="M10" s="45"/>
      <c r="N10" s="263"/>
      <c r="O10" s="263"/>
      <c r="P10" s="263"/>
      <c r="R10" s="54"/>
      <c r="S10" s="54"/>
      <c r="T10" s="54"/>
    </row>
    <row r="11" spans="1:24" ht="16.5" customHeight="1" thickBot="1" x14ac:dyDescent="0.3">
      <c r="A11" s="264" t="s">
        <v>23</v>
      </c>
      <c r="B11" s="264"/>
      <c r="C11" s="264"/>
      <c r="D11" s="264"/>
      <c r="E11" s="241">
        <f>'Info+Data Entry Form FUMAX'!$C$14</f>
        <v>20</v>
      </c>
      <c r="F11" s="256"/>
      <c r="G11" s="242"/>
      <c r="H11" s="54"/>
      <c r="I11" s="54"/>
      <c r="J11" s="54"/>
      <c r="K11" s="57"/>
      <c r="L11" s="57"/>
      <c r="M11" s="57"/>
      <c r="N11" s="264" t="s">
        <v>25</v>
      </c>
      <c r="O11" s="264"/>
      <c r="P11" s="264"/>
      <c r="Q11" s="243" t="str">
        <f>'Info+Data Entry Form FUMAX'!$C$20</f>
        <v>DELTA</v>
      </c>
      <c r="R11" s="262"/>
      <c r="S11" s="244"/>
      <c r="T11" s="54"/>
    </row>
    <row r="12" spans="1:24" ht="15" thickBot="1" x14ac:dyDescent="0.3">
      <c r="A12" s="125"/>
      <c r="B12" s="125"/>
      <c r="C12" s="125"/>
      <c r="D12" s="125"/>
      <c r="E12" s="45"/>
      <c r="F12" s="45"/>
      <c r="G12" s="45"/>
      <c r="H12" s="54"/>
      <c r="I12" s="54"/>
      <c r="J12" s="54"/>
      <c r="K12" s="57"/>
      <c r="L12" s="57"/>
      <c r="M12" s="57"/>
      <c r="N12" s="125"/>
      <c r="O12" s="125"/>
      <c r="P12" s="125"/>
      <c r="Q12" s="126"/>
      <c r="R12" s="126"/>
      <c r="S12" s="126"/>
      <c r="T12" s="54"/>
    </row>
    <row r="13" spans="1:24" ht="16.5" customHeight="1" thickBot="1" x14ac:dyDescent="0.3">
      <c r="F13" s="255" t="s">
        <v>209</v>
      </c>
      <c r="G13" s="255"/>
      <c r="H13" s="255"/>
      <c r="I13" s="241" t="str">
        <f>'Info+Data Entry Form FUMAX'!$C$15</f>
        <v>FM3963</v>
      </c>
      <c r="J13" s="256"/>
      <c r="K13" s="256"/>
      <c r="L13" s="242"/>
      <c r="M13" s="45"/>
      <c r="R13" s="54"/>
      <c r="S13" s="54"/>
      <c r="T13" s="54"/>
    </row>
    <row r="14" spans="1:24" ht="16.5" customHeight="1" x14ac:dyDescent="0.25">
      <c r="B14" s="47"/>
      <c r="C14" s="47"/>
      <c r="D14" s="47"/>
      <c r="E14" s="48"/>
      <c r="F14" s="48"/>
      <c r="G14" s="48"/>
      <c r="H14" s="48"/>
      <c r="I14" s="48"/>
      <c r="J14" s="48"/>
      <c r="K14" s="48"/>
      <c r="L14" s="48"/>
      <c r="M14" s="48"/>
      <c r="Q14" s="46"/>
      <c r="R14" s="49"/>
      <c r="S14" s="49"/>
      <c r="T14" s="44"/>
      <c r="U14" s="49"/>
      <c r="V14" s="49"/>
      <c r="W14" s="49"/>
      <c r="X14" s="58"/>
    </row>
    <row r="15" spans="1:24" ht="15.75" customHeight="1" x14ac:dyDescent="0.25">
      <c r="K15" s="48"/>
      <c r="L15" s="48"/>
      <c r="M15" s="48"/>
      <c r="N15" s="48"/>
      <c r="O15" s="48"/>
      <c r="P15" s="48"/>
      <c r="Q15" s="44"/>
      <c r="R15" s="48"/>
      <c r="S15" s="48"/>
      <c r="T15" s="48"/>
      <c r="U15" s="48"/>
      <c r="V15" s="48"/>
      <c r="W15" s="48"/>
    </row>
    <row r="16" spans="1:24" ht="16.5" customHeight="1" x14ac:dyDescent="0.25">
      <c r="N16" s="48"/>
      <c r="O16" s="48"/>
      <c r="P16" s="48"/>
      <c r="Q16" s="44"/>
    </row>
    <row r="17" ht="31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5.75" customHeight="1" x14ac:dyDescent="0.25"/>
    <row r="25" ht="16.5" customHeight="1" x14ac:dyDescent="0.25"/>
    <row r="26" ht="16.5" customHeight="1" x14ac:dyDescent="0.25"/>
    <row r="28" ht="16.5" customHeight="1" x14ac:dyDescent="0.25"/>
    <row r="29" ht="16.5" customHeight="1" x14ac:dyDescent="0.25"/>
    <row r="30" ht="16.5" customHeight="1" x14ac:dyDescent="0.25"/>
    <row r="31" ht="15.7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</sheetData>
  <mergeCells count="43">
    <mergeCell ref="A10:D10"/>
    <mergeCell ref="A11:D11"/>
    <mergeCell ref="E5:G5"/>
    <mergeCell ref="E6:G6"/>
    <mergeCell ref="E7:G7"/>
    <mergeCell ref="E8:G8"/>
    <mergeCell ref="E9:G9"/>
    <mergeCell ref="A5:D5"/>
    <mergeCell ref="A6:D6"/>
    <mergeCell ref="A7:D7"/>
    <mergeCell ref="A8:D8"/>
    <mergeCell ref="A9:D9"/>
    <mergeCell ref="S9:T9"/>
    <mergeCell ref="Q11:S11"/>
    <mergeCell ref="N10:P10"/>
    <mergeCell ref="I5:J5"/>
    <mergeCell ref="K5:L5"/>
    <mergeCell ref="Q5:R5"/>
    <mergeCell ref="N9:P9"/>
    <mergeCell ref="Q9:R9"/>
    <mergeCell ref="N7:P7"/>
    <mergeCell ref="N8:P8"/>
    <mergeCell ref="Q6:R6"/>
    <mergeCell ref="N6:P6"/>
    <mergeCell ref="N11:P11"/>
    <mergeCell ref="S6:T6"/>
    <mergeCell ref="Q7:R7"/>
    <mergeCell ref="S7:T7"/>
    <mergeCell ref="F13:H13"/>
    <mergeCell ref="I13:L13"/>
    <mergeCell ref="I8:J8"/>
    <mergeCell ref="K8:L8"/>
    <mergeCell ref="E10:G10"/>
    <mergeCell ref="E11:G11"/>
    <mergeCell ref="Q8:R8"/>
    <mergeCell ref="T5:U5"/>
    <mergeCell ref="S8:T8"/>
    <mergeCell ref="V5:W5"/>
    <mergeCell ref="A1:W1"/>
    <mergeCell ref="A3:W3"/>
    <mergeCell ref="A4:W4"/>
    <mergeCell ref="A2:W2"/>
    <mergeCell ref="N5:P5"/>
  </mergeCells>
  <printOptions horizontalCentered="1"/>
  <pageMargins left="1.299212598425197" right="0.70866141732283472" top="0.74803149606299213" bottom="0.74803149606299213" header="0.31496062992125984" footer="0.31496062992125984"/>
  <pageSetup paperSize="9" scale="110" orientation="portrait" copies="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9BEA8-F333-4B2D-A09F-7C919A653F7F}">
  <sheetPr>
    <tabColor rgb="FFFF0000"/>
    <pageSetUpPr fitToPage="1"/>
  </sheetPr>
  <dimension ref="A1:AD41"/>
  <sheetViews>
    <sheetView zoomScale="70" zoomScaleNormal="70" workbookViewId="0">
      <selection activeCell="AI4" sqref="AI4"/>
    </sheetView>
  </sheetViews>
  <sheetFormatPr defaultColWidth="8" defaultRowHeight="34.35" customHeight="1" x14ac:dyDescent="0.25"/>
  <cols>
    <col min="1" max="1" width="8" style="10" customWidth="1"/>
    <col min="2" max="16384" width="8" style="10"/>
  </cols>
  <sheetData>
    <row r="1" spans="1:30" ht="34.35" customHeight="1" thickTop="1" thickBot="1" x14ac:dyDescent="0.3">
      <c r="A1" s="206" t="s">
        <v>183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43"/>
      <c r="N1" s="43"/>
      <c r="O1" s="43"/>
      <c r="P1" s="43"/>
      <c r="Q1" s="43"/>
      <c r="R1" s="43"/>
      <c r="S1" s="152" t="s">
        <v>184</v>
      </c>
      <c r="T1" s="152"/>
      <c r="U1" s="208">
        <f ca="1">TODAY()</f>
        <v>46148</v>
      </c>
      <c r="V1" s="208"/>
      <c r="W1" s="208"/>
      <c r="X1" s="209"/>
    </row>
    <row r="2" spans="1:30" ht="34.35" customHeight="1" thickTop="1" thickBot="1" x14ac:dyDescent="0.3">
      <c r="A2" s="144" t="s">
        <v>53</v>
      </c>
      <c r="B2" s="145"/>
      <c r="C2" s="146"/>
      <c r="D2" s="266" t="str">
        <f>'Info+Data Entry Form FUMAX'!$C$15</f>
        <v>FM3963</v>
      </c>
      <c r="E2" s="267"/>
      <c r="F2" s="268"/>
      <c r="G2" s="144" t="s">
        <v>56</v>
      </c>
      <c r="H2" s="145"/>
      <c r="I2" s="146"/>
      <c r="J2" s="266" t="str">
        <f>'Info+Data Entry Form FUMAX'!$C$5</f>
        <v>FUMAX</v>
      </c>
      <c r="K2" s="267"/>
      <c r="L2" s="268"/>
      <c r="M2" s="144" t="s">
        <v>54</v>
      </c>
      <c r="N2" s="145"/>
      <c r="O2" s="146"/>
      <c r="P2" s="266">
        <f>'Info+Data Entry Form FUMAX'!$C$6</f>
        <v>1000</v>
      </c>
      <c r="Q2" s="267"/>
      <c r="R2" s="268"/>
      <c r="S2" s="144" t="s">
        <v>55</v>
      </c>
      <c r="T2" s="145"/>
      <c r="U2" s="146"/>
      <c r="V2" s="266" t="str">
        <f>'Info+Data Entry Form FUMAX'!$C$23</f>
        <v>FORM B</v>
      </c>
      <c r="W2" s="267"/>
      <c r="X2" s="268"/>
      <c r="Y2" s="25"/>
      <c r="Z2" s="25"/>
      <c r="AA2" s="25"/>
      <c r="AB2" s="25"/>
      <c r="AC2" s="25"/>
      <c r="AD2" s="25"/>
    </row>
    <row r="3" spans="1:30" ht="34.35" customHeight="1" thickTop="1" thickBot="1" x14ac:dyDescent="0.3">
      <c r="A3" s="160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2"/>
    </row>
    <row r="4" spans="1:30" ht="34.35" customHeight="1" thickTop="1" thickBot="1" x14ac:dyDescent="0.3">
      <c r="A4" s="163" t="s">
        <v>80</v>
      </c>
      <c r="B4" s="163"/>
      <c r="C4" s="163"/>
      <c r="D4" s="158" t="str">
        <f>'Info+Data Entry Form FUMAX'!$C$4</f>
        <v>ST AIR SERVICES AND MAINTENANCE (PTY) LTD</v>
      </c>
      <c r="E4" s="158"/>
      <c r="F4" s="158"/>
      <c r="G4" s="158"/>
      <c r="H4" s="158"/>
      <c r="I4" s="158"/>
      <c r="J4" s="159"/>
      <c r="K4" s="159"/>
      <c r="L4" s="159"/>
      <c r="M4" s="159"/>
      <c r="N4" s="159"/>
      <c r="O4" s="159"/>
      <c r="P4" s="159"/>
      <c r="Q4" s="158"/>
      <c r="R4" s="158"/>
      <c r="S4" s="158"/>
      <c r="T4" s="158"/>
      <c r="U4" s="158"/>
      <c r="V4" s="158"/>
      <c r="W4" s="158"/>
      <c r="X4" s="158"/>
    </row>
    <row r="5" spans="1:30" ht="34.35" customHeight="1" thickTop="1" thickBot="1" x14ac:dyDescent="0.3">
      <c r="A5" s="143" t="s">
        <v>57</v>
      </c>
      <c r="B5" s="143"/>
      <c r="C5" s="143"/>
      <c r="D5" s="211">
        <f>'Info+Data Entry Form FUMAX'!$C$12</f>
        <v>15.2</v>
      </c>
      <c r="E5" s="211"/>
      <c r="F5" s="211"/>
      <c r="G5" s="143" t="s">
        <v>58</v>
      </c>
      <c r="H5" s="143"/>
      <c r="I5" s="144"/>
      <c r="J5" s="212"/>
      <c r="K5" s="213"/>
      <c r="L5" s="213"/>
      <c r="M5" s="213"/>
      <c r="N5" s="213"/>
      <c r="O5" s="213"/>
      <c r="P5" s="214"/>
      <c r="Q5" s="146" t="s">
        <v>59</v>
      </c>
      <c r="R5" s="143"/>
      <c r="S5" s="143"/>
      <c r="T5" s="266" t="str">
        <f>'Info+Data Entry Form FUMAX'!$C$22</f>
        <v>WEG</v>
      </c>
      <c r="U5" s="267"/>
      <c r="V5" s="267"/>
      <c r="W5" s="267"/>
      <c r="X5" s="268"/>
    </row>
    <row r="6" spans="1:30" ht="34.35" customHeight="1" thickTop="1" thickBot="1" x14ac:dyDescent="0.3">
      <c r="A6" s="143" t="s">
        <v>60</v>
      </c>
      <c r="B6" s="143"/>
      <c r="C6" s="143"/>
      <c r="D6" s="211">
        <f>'Info+Data Entry Form FUMAX'!$C$10</f>
        <v>380</v>
      </c>
      <c r="E6" s="211" t="s">
        <v>61</v>
      </c>
      <c r="F6" s="211"/>
      <c r="G6" s="143" t="s">
        <v>62</v>
      </c>
      <c r="H6" s="143"/>
      <c r="I6" s="144"/>
      <c r="J6" s="215"/>
      <c r="K6" s="216"/>
      <c r="L6" s="216"/>
      <c r="M6" s="216"/>
      <c r="N6" s="216"/>
      <c r="O6" s="216"/>
      <c r="P6" s="217"/>
      <c r="Q6" s="146" t="s">
        <v>63</v>
      </c>
      <c r="R6" s="143"/>
      <c r="S6" s="143"/>
      <c r="T6" s="266" t="str">
        <f>'Name Plate FUMAX'!$E$7&amp;""&amp;'Name Plate FUMAX'!$H$7&amp;" "&amp;'Info+Data Entry Form FUMAX'!$C$16</f>
        <v>7.5kW 4P</v>
      </c>
      <c r="U6" s="267"/>
      <c r="V6" s="267"/>
      <c r="W6" s="267"/>
      <c r="X6" s="268"/>
    </row>
    <row r="7" spans="1:30" ht="34.35" customHeight="1" thickTop="1" thickBot="1" x14ac:dyDescent="0.3">
      <c r="A7" s="143" t="s">
        <v>64</v>
      </c>
      <c r="B7" s="143"/>
      <c r="C7" s="143"/>
      <c r="D7" s="211">
        <f>'Name Plate FUMAX'!$Q$8</f>
        <v>1440</v>
      </c>
      <c r="E7" s="211">
        <v>1440</v>
      </c>
      <c r="F7" s="211"/>
      <c r="G7" s="143" t="s">
        <v>65</v>
      </c>
      <c r="H7" s="143"/>
      <c r="I7" s="144"/>
      <c r="J7" s="218"/>
      <c r="K7" s="219"/>
      <c r="L7" s="219"/>
      <c r="M7" s="219"/>
      <c r="N7" s="219"/>
      <c r="O7" s="219"/>
      <c r="P7" s="220"/>
      <c r="Q7" s="210"/>
      <c r="R7" s="211"/>
      <c r="S7" s="211"/>
      <c r="T7" s="266"/>
      <c r="U7" s="267"/>
      <c r="V7" s="267"/>
      <c r="W7" s="267"/>
      <c r="X7" s="268"/>
    </row>
    <row r="8" spans="1:30" ht="34.35" customHeight="1" thickTop="1" thickBot="1" x14ac:dyDescent="0.3">
      <c r="A8" s="160"/>
      <c r="B8" s="161"/>
      <c r="C8" s="161"/>
      <c r="D8" s="161"/>
      <c r="E8" s="161"/>
      <c r="F8" s="161"/>
      <c r="G8" s="161"/>
      <c r="H8" s="161"/>
      <c r="I8" s="161"/>
      <c r="J8" s="192"/>
      <c r="K8" s="192"/>
      <c r="L8" s="192"/>
      <c r="M8" s="192"/>
      <c r="N8" s="192"/>
      <c r="O8" s="192"/>
      <c r="P8" s="192"/>
      <c r="Q8" s="161"/>
      <c r="R8" s="161"/>
      <c r="S8" s="161"/>
      <c r="T8" s="161"/>
      <c r="U8" s="161"/>
      <c r="V8" s="161"/>
      <c r="W8" s="161"/>
      <c r="X8" s="162"/>
    </row>
    <row r="9" spans="1:30" ht="34.35" customHeight="1" thickTop="1" thickBot="1" x14ac:dyDescent="0.3">
      <c r="A9" s="147" t="s">
        <v>66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</row>
    <row r="10" spans="1:30" ht="34.35" customHeight="1" thickTop="1" thickBot="1" x14ac:dyDescent="0.3">
      <c r="A10" s="178" t="s">
        <v>67</v>
      </c>
      <c r="B10" s="179"/>
      <c r="C10" s="179"/>
      <c r="D10" s="169"/>
      <c r="E10" s="168" t="s">
        <v>68</v>
      </c>
      <c r="F10" s="169"/>
      <c r="G10" s="168" t="s">
        <v>69</v>
      </c>
      <c r="H10" s="169"/>
      <c r="I10" s="172" t="s">
        <v>70</v>
      </c>
      <c r="J10" s="175"/>
      <c r="K10" s="172" t="s">
        <v>71</v>
      </c>
      <c r="L10" s="174"/>
      <c r="M10" s="174"/>
      <c r="N10" s="174"/>
      <c r="O10" s="174"/>
      <c r="P10" s="175"/>
      <c r="Q10" s="172" t="s">
        <v>17</v>
      </c>
      <c r="R10" s="174"/>
      <c r="S10" s="174"/>
      <c r="T10" s="174"/>
      <c r="U10" s="174"/>
      <c r="V10" s="175"/>
      <c r="W10" s="172" t="s">
        <v>72</v>
      </c>
      <c r="X10" s="173"/>
    </row>
    <row r="11" spans="1:30" ht="34.35" customHeight="1" thickBot="1" x14ac:dyDescent="0.3">
      <c r="A11" s="180"/>
      <c r="B11" s="181"/>
      <c r="C11" s="181"/>
      <c r="D11" s="171"/>
      <c r="E11" s="170"/>
      <c r="F11" s="171"/>
      <c r="G11" s="170"/>
      <c r="H11" s="171"/>
      <c r="I11" s="176" t="s">
        <v>65</v>
      </c>
      <c r="J11" s="177"/>
      <c r="K11" s="176" t="s">
        <v>73</v>
      </c>
      <c r="L11" s="177"/>
      <c r="M11" s="176" t="s">
        <v>74</v>
      </c>
      <c r="N11" s="177"/>
      <c r="O11" s="176" t="s">
        <v>75</v>
      </c>
      <c r="P11" s="177"/>
      <c r="Q11" s="176" t="s">
        <v>73</v>
      </c>
      <c r="R11" s="177"/>
      <c r="S11" s="176" t="s">
        <v>74</v>
      </c>
      <c r="T11" s="177"/>
      <c r="U11" s="176" t="s">
        <v>75</v>
      </c>
      <c r="V11" s="177"/>
      <c r="W11" s="176"/>
      <c r="X11" s="184"/>
    </row>
    <row r="12" spans="1:30" ht="34.35" customHeight="1" thickBot="1" x14ac:dyDescent="0.3">
      <c r="A12" s="164"/>
      <c r="B12" s="165"/>
      <c r="C12" s="165"/>
      <c r="D12" s="166"/>
      <c r="E12" s="167">
        <f>'Info+Data Entry Form FUMAX'!$C$7</f>
        <v>20</v>
      </c>
      <c r="F12" s="166"/>
      <c r="G12" s="167" t="s">
        <v>76</v>
      </c>
      <c r="H12" s="166"/>
      <c r="I12" s="167">
        <f>$D$7</f>
        <v>1440</v>
      </c>
      <c r="J12" s="166"/>
      <c r="K12" s="167"/>
      <c r="L12" s="166"/>
      <c r="M12" s="167"/>
      <c r="N12" s="166"/>
      <c r="O12" s="167"/>
      <c r="P12" s="166"/>
      <c r="Q12" s="167">
        <f>$D$6</f>
        <v>380</v>
      </c>
      <c r="R12" s="166"/>
      <c r="S12" s="167">
        <f t="shared" ref="S12:S14" si="0">$D$6</f>
        <v>380</v>
      </c>
      <c r="T12" s="166"/>
      <c r="U12" s="167">
        <f t="shared" ref="U12:U14" si="1">$D$6</f>
        <v>380</v>
      </c>
      <c r="V12" s="166"/>
      <c r="W12" s="167" t="str">
        <f>'Info+Data Entry Form FUMAX'!$C$20</f>
        <v>DELTA</v>
      </c>
      <c r="X12" s="191"/>
    </row>
    <row r="13" spans="1:30" ht="34.35" customHeight="1" thickBot="1" x14ac:dyDescent="0.3">
      <c r="A13" s="164"/>
      <c r="B13" s="165"/>
      <c r="C13" s="165"/>
      <c r="D13" s="166"/>
      <c r="E13" s="167">
        <f>'Info+Data Entry Form FUMAX'!$C$7</f>
        <v>20</v>
      </c>
      <c r="F13" s="166"/>
      <c r="G13" s="167" t="s">
        <v>76</v>
      </c>
      <c r="H13" s="166"/>
      <c r="I13" s="167">
        <f t="shared" ref="I13:I14" si="2">$D$7</f>
        <v>1440</v>
      </c>
      <c r="J13" s="166"/>
      <c r="K13" s="167"/>
      <c r="L13" s="166"/>
      <c r="M13" s="167"/>
      <c r="N13" s="166"/>
      <c r="O13" s="167"/>
      <c r="P13" s="166"/>
      <c r="Q13" s="167">
        <f t="shared" ref="Q13:Q14" si="3">$D$6</f>
        <v>380</v>
      </c>
      <c r="R13" s="166"/>
      <c r="S13" s="167">
        <f t="shared" si="0"/>
        <v>380</v>
      </c>
      <c r="T13" s="166"/>
      <c r="U13" s="167">
        <f t="shared" si="1"/>
        <v>380</v>
      </c>
      <c r="V13" s="166"/>
      <c r="W13" s="167" t="str">
        <f>'Info+Data Entry Form FUMAX'!$C$20</f>
        <v>DELTA</v>
      </c>
      <c r="X13" s="191"/>
    </row>
    <row r="14" spans="1:30" ht="34.35" customHeight="1" thickBot="1" x14ac:dyDescent="0.3">
      <c r="A14" s="164"/>
      <c r="B14" s="165"/>
      <c r="C14" s="165"/>
      <c r="D14" s="166"/>
      <c r="E14" s="167">
        <f>'Info+Data Entry Form FUMAX'!$C$7</f>
        <v>20</v>
      </c>
      <c r="F14" s="166"/>
      <c r="G14" s="167" t="s">
        <v>76</v>
      </c>
      <c r="H14" s="166"/>
      <c r="I14" s="167">
        <f t="shared" si="2"/>
        <v>1440</v>
      </c>
      <c r="J14" s="166"/>
      <c r="K14" s="167"/>
      <c r="L14" s="166"/>
      <c r="M14" s="167"/>
      <c r="N14" s="166"/>
      <c r="O14" s="167"/>
      <c r="P14" s="166"/>
      <c r="Q14" s="167">
        <f t="shared" si="3"/>
        <v>380</v>
      </c>
      <c r="R14" s="166"/>
      <c r="S14" s="167">
        <f t="shared" si="0"/>
        <v>380</v>
      </c>
      <c r="T14" s="166"/>
      <c r="U14" s="167">
        <f t="shared" si="1"/>
        <v>380</v>
      </c>
      <c r="V14" s="166"/>
      <c r="W14" s="167" t="str">
        <f>'Info+Data Entry Form FUMAX'!$C$20</f>
        <v>DELTA</v>
      </c>
      <c r="X14" s="191"/>
    </row>
    <row r="15" spans="1:30" ht="34.35" customHeight="1" thickBot="1" x14ac:dyDescent="0.3">
      <c r="A15" s="164"/>
      <c r="B15" s="165"/>
      <c r="C15" s="165"/>
      <c r="D15" s="166"/>
      <c r="E15" s="167"/>
      <c r="F15" s="166"/>
      <c r="G15" s="167"/>
      <c r="H15" s="166"/>
      <c r="I15" s="167"/>
      <c r="J15" s="166"/>
      <c r="K15" s="167"/>
      <c r="L15" s="166"/>
      <c r="M15" s="167"/>
      <c r="N15" s="166"/>
      <c r="O15" s="167"/>
      <c r="P15" s="166"/>
      <c r="Q15" s="167"/>
      <c r="R15" s="166"/>
      <c r="S15" s="167"/>
      <c r="T15" s="166"/>
      <c r="U15" s="167"/>
      <c r="V15" s="166"/>
      <c r="W15" s="167"/>
      <c r="X15" s="191"/>
    </row>
    <row r="16" spans="1:30" ht="34.35" customHeight="1" thickBot="1" x14ac:dyDescent="0.3">
      <c r="A16" s="164"/>
      <c r="B16" s="165"/>
      <c r="C16" s="165"/>
      <c r="D16" s="166"/>
      <c r="E16" s="167"/>
      <c r="F16" s="166"/>
      <c r="G16" s="167"/>
      <c r="H16" s="166"/>
      <c r="I16" s="167"/>
      <c r="J16" s="166"/>
      <c r="K16" s="167"/>
      <c r="L16" s="166"/>
      <c r="M16" s="167"/>
      <c r="N16" s="166"/>
      <c r="O16" s="167"/>
      <c r="P16" s="166"/>
      <c r="Q16" s="167"/>
      <c r="R16" s="166"/>
      <c r="S16" s="167"/>
      <c r="T16" s="166"/>
      <c r="U16" s="167"/>
      <c r="V16" s="166"/>
      <c r="W16" s="167"/>
      <c r="X16" s="191"/>
    </row>
    <row r="17" spans="1:24" ht="34.35" customHeight="1" thickBot="1" x14ac:dyDescent="0.3">
      <c r="A17" s="164"/>
      <c r="B17" s="165"/>
      <c r="C17" s="165"/>
      <c r="D17" s="166"/>
      <c r="E17" s="167"/>
      <c r="F17" s="166"/>
      <c r="G17" s="167"/>
      <c r="H17" s="166"/>
      <c r="I17" s="167"/>
      <c r="J17" s="166"/>
      <c r="K17" s="167"/>
      <c r="L17" s="166"/>
      <c r="M17" s="167"/>
      <c r="N17" s="166"/>
      <c r="O17" s="167"/>
      <c r="P17" s="166"/>
      <c r="Q17" s="167"/>
      <c r="R17" s="166"/>
      <c r="S17" s="167"/>
      <c r="T17" s="166"/>
      <c r="U17" s="167"/>
      <c r="V17" s="166"/>
      <c r="W17" s="167"/>
      <c r="X17" s="191"/>
    </row>
    <row r="18" spans="1:24" ht="34.35" customHeight="1" thickBot="1" x14ac:dyDescent="0.3">
      <c r="A18" s="164"/>
      <c r="B18" s="165"/>
      <c r="C18" s="165"/>
      <c r="D18" s="166"/>
      <c r="E18" s="167"/>
      <c r="F18" s="166"/>
      <c r="G18" s="167"/>
      <c r="H18" s="166"/>
      <c r="I18" s="167"/>
      <c r="J18" s="166"/>
      <c r="K18" s="167"/>
      <c r="L18" s="166"/>
      <c r="M18" s="167"/>
      <c r="N18" s="166"/>
      <c r="O18" s="167"/>
      <c r="P18" s="166"/>
      <c r="Q18" s="167"/>
      <c r="R18" s="166"/>
      <c r="S18" s="167"/>
      <c r="T18" s="166"/>
      <c r="U18" s="167"/>
      <c r="V18" s="166"/>
      <c r="W18" s="167"/>
      <c r="X18" s="191"/>
    </row>
    <row r="19" spans="1:24" ht="34.35" customHeight="1" thickBot="1" x14ac:dyDescent="0.3">
      <c r="A19" s="164"/>
      <c r="B19" s="165"/>
      <c r="C19" s="165"/>
      <c r="D19" s="166"/>
      <c r="E19" s="167"/>
      <c r="F19" s="166"/>
      <c r="G19" s="167"/>
      <c r="H19" s="166"/>
      <c r="I19" s="167"/>
      <c r="J19" s="166"/>
      <c r="K19" s="167"/>
      <c r="L19" s="166"/>
      <c r="M19" s="167"/>
      <c r="N19" s="166"/>
      <c r="O19" s="167"/>
      <c r="P19" s="166"/>
      <c r="Q19" s="167"/>
      <c r="R19" s="166"/>
      <c r="S19" s="167"/>
      <c r="T19" s="166"/>
      <c r="U19" s="167"/>
      <c r="V19" s="166"/>
      <c r="W19" s="167"/>
      <c r="X19" s="191"/>
    </row>
    <row r="20" spans="1:24" ht="34.35" customHeight="1" thickBot="1" x14ac:dyDescent="0.3">
      <c r="A20" s="164"/>
      <c r="B20" s="165"/>
      <c r="C20" s="165"/>
      <c r="D20" s="166"/>
      <c r="E20" s="167"/>
      <c r="F20" s="166"/>
      <c r="G20" s="167"/>
      <c r="H20" s="166"/>
      <c r="I20" s="167"/>
      <c r="J20" s="166"/>
      <c r="K20" s="167"/>
      <c r="L20" s="166"/>
      <c r="M20" s="167"/>
      <c r="N20" s="166"/>
      <c r="O20" s="167"/>
      <c r="P20" s="166"/>
      <c r="Q20" s="167"/>
      <c r="R20" s="166"/>
      <c r="S20" s="167"/>
      <c r="T20" s="166"/>
      <c r="U20" s="167"/>
      <c r="V20" s="166"/>
      <c r="W20" s="167"/>
      <c r="X20" s="191"/>
    </row>
    <row r="21" spans="1:24" ht="34.35" customHeight="1" thickBot="1" x14ac:dyDescent="0.3">
      <c r="A21" s="164"/>
      <c r="B21" s="165"/>
      <c r="C21" s="165"/>
      <c r="D21" s="166"/>
      <c r="E21" s="167"/>
      <c r="F21" s="166"/>
      <c r="G21" s="167"/>
      <c r="H21" s="166"/>
      <c r="I21" s="167"/>
      <c r="J21" s="166"/>
      <c r="K21" s="167"/>
      <c r="L21" s="166"/>
      <c r="M21" s="167"/>
      <c r="N21" s="166"/>
      <c r="O21" s="167"/>
      <c r="P21" s="166"/>
      <c r="Q21" s="167"/>
      <c r="R21" s="166"/>
      <c r="S21" s="167"/>
      <c r="T21" s="166"/>
      <c r="U21" s="167"/>
      <c r="V21" s="166"/>
      <c r="W21" s="167"/>
      <c r="X21" s="191"/>
    </row>
    <row r="22" spans="1:24" ht="34.35" customHeight="1" thickBot="1" x14ac:dyDescent="0.3">
      <c r="A22" s="164"/>
      <c r="B22" s="165"/>
      <c r="C22" s="165"/>
      <c r="D22" s="166"/>
      <c r="E22" s="167"/>
      <c r="F22" s="166"/>
      <c r="G22" s="167"/>
      <c r="H22" s="166"/>
      <c r="I22" s="167"/>
      <c r="J22" s="166"/>
      <c r="K22" s="167"/>
      <c r="L22" s="166"/>
      <c r="M22" s="167"/>
      <c r="N22" s="166"/>
      <c r="O22" s="167"/>
      <c r="P22" s="166"/>
      <c r="Q22" s="167"/>
      <c r="R22" s="166"/>
      <c r="S22" s="167"/>
      <c r="T22" s="166"/>
      <c r="U22" s="167"/>
      <c r="V22" s="166"/>
      <c r="W22" s="167"/>
      <c r="X22" s="191"/>
    </row>
    <row r="23" spans="1:24" ht="34.35" customHeight="1" thickBot="1" x14ac:dyDescent="0.3">
      <c r="A23" s="164"/>
      <c r="B23" s="165"/>
      <c r="C23" s="165"/>
      <c r="D23" s="166"/>
      <c r="E23" s="167"/>
      <c r="F23" s="166"/>
      <c r="G23" s="167"/>
      <c r="H23" s="166"/>
      <c r="I23" s="167"/>
      <c r="J23" s="166"/>
      <c r="K23" s="167"/>
      <c r="L23" s="166"/>
      <c r="M23" s="167"/>
      <c r="N23" s="166"/>
      <c r="O23" s="167"/>
      <c r="P23" s="166"/>
      <c r="Q23" s="167"/>
      <c r="R23" s="166"/>
      <c r="S23" s="167"/>
      <c r="T23" s="166"/>
      <c r="U23" s="167"/>
      <c r="V23" s="166"/>
      <c r="W23" s="167"/>
      <c r="X23" s="191"/>
    </row>
    <row r="24" spans="1:24" ht="34.35" customHeight="1" thickBot="1" x14ac:dyDescent="0.3">
      <c r="A24" s="164"/>
      <c r="B24" s="165"/>
      <c r="C24" s="165"/>
      <c r="D24" s="166"/>
      <c r="E24" s="167"/>
      <c r="F24" s="166"/>
      <c r="G24" s="167"/>
      <c r="H24" s="166"/>
      <c r="I24" s="167"/>
      <c r="J24" s="166"/>
      <c r="K24" s="167"/>
      <c r="L24" s="166"/>
      <c r="M24" s="167"/>
      <c r="N24" s="166"/>
      <c r="O24" s="167"/>
      <c r="P24" s="166"/>
      <c r="Q24" s="167"/>
      <c r="R24" s="166"/>
      <c r="S24" s="167"/>
      <c r="T24" s="166"/>
      <c r="U24" s="167"/>
      <c r="V24" s="166"/>
      <c r="W24" s="167"/>
      <c r="X24" s="191"/>
    </row>
    <row r="25" spans="1:24" ht="34.35" customHeight="1" thickBot="1" x14ac:dyDescent="0.3">
      <c r="A25" s="164"/>
      <c r="B25" s="165"/>
      <c r="C25" s="165"/>
      <c r="D25" s="166"/>
      <c r="E25" s="167"/>
      <c r="F25" s="166"/>
      <c r="G25" s="167"/>
      <c r="H25" s="166"/>
      <c r="I25" s="167"/>
      <c r="J25" s="166"/>
      <c r="K25" s="167"/>
      <c r="L25" s="166"/>
      <c r="M25" s="167"/>
      <c r="N25" s="166"/>
      <c r="O25" s="167"/>
      <c r="P25" s="166"/>
      <c r="Q25" s="167"/>
      <c r="R25" s="166"/>
      <c r="S25" s="167"/>
      <c r="T25" s="166"/>
      <c r="U25" s="167"/>
      <c r="V25" s="166"/>
      <c r="W25" s="167"/>
      <c r="X25" s="191"/>
    </row>
    <row r="26" spans="1:24" ht="34.35" customHeight="1" thickBot="1" x14ac:dyDescent="0.3">
      <c r="A26" s="164"/>
      <c r="B26" s="165"/>
      <c r="C26" s="165"/>
      <c r="D26" s="166"/>
      <c r="E26" s="167"/>
      <c r="F26" s="166"/>
      <c r="G26" s="167"/>
      <c r="H26" s="166"/>
      <c r="I26" s="167"/>
      <c r="J26" s="166"/>
      <c r="K26" s="167"/>
      <c r="L26" s="166"/>
      <c r="M26" s="167"/>
      <c r="N26" s="166"/>
      <c r="O26" s="167"/>
      <c r="P26" s="166"/>
      <c r="Q26" s="167"/>
      <c r="R26" s="166"/>
      <c r="S26" s="167"/>
      <c r="T26" s="166"/>
      <c r="U26" s="167"/>
      <c r="V26" s="166"/>
      <c r="W26" s="167"/>
      <c r="X26" s="191"/>
    </row>
    <row r="27" spans="1:24" ht="34.35" customHeight="1" thickBot="1" x14ac:dyDescent="0.3">
      <c r="A27" s="164"/>
      <c r="B27" s="165"/>
      <c r="C27" s="165"/>
      <c r="D27" s="166"/>
      <c r="E27" s="167"/>
      <c r="F27" s="166"/>
      <c r="G27" s="167"/>
      <c r="H27" s="166"/>
      <c r="I27" s="167"/>
      <c r="J27" s="166"/>
      <c r="K27" s="167"/>
      <c r="L27" s="166"/>
      <c r="M27" s="167"/>
      <c r="N27" s="166"/>
      <c r="O27" s="167"/>
      <c r="P27" s="166"/>
      <c r="Q27" s="167"/>
      <c r="R27" s="166"/>
      <c r="S27" s="167"/>
      <c r="T27" s="166"/>
      <c r="U27" s="167"/>
      <c r="V27" s="166"/>
      <c r="W27" s="167"/>
      <c r="X27" s="191"/>
    </row>
    <row r="28" spans="1:24" ht="34.35" customHeight="1" thickBot="1" x14ac:dyDescent="0.3">
      <c r="A28" s="164"/>
      <c r="B28" s="165"/>
      <c r="C28" s="165"/>
      <c r="D28" s="166"/>
      <c r="E28" s="167"/>
      <c r="F28" s="166"/>
      <c r="G28" s="167"/>
      <c r="H28" s="166"/>
      <c r="I28" s="167"/>
      <c r="J28" s="166"/>
      <c r="K28" s="167"/>
      <c r="L28" s="166"/>
      <c r="M28" s="167"/>
      <c r="N28" s="166"/>
      <c r="O28" s="167"/>
      <c r="P28" s="166"/>
      <c r="Q28" s="167"/>
      <c r="R28" s="166"/>
      <c r="S28" s="167"/>
      <c r="T28" s="166"/>
      <c r="U28" s="167"/>
      <c r="V28" s="166"/>
      <c r="W28" s="167"/>
      <c r="X28" s="191"/>
    </row>
    <row r="29" spans="1:24" ht="34.35" customHeight="1" thickBot="1" x14ac:dyDescent="0.3">
      <c r="A29" s="164"/>
      <c r="B29" s="165"/>
      <c r="C29" s="165"/>
      <c r="D29" s="166"/>
      <c r="E29" s="167"/>
      <c r="F29" s="166"/>
      <c r="G29" s="167"/>
      <c r="H29" s="166"/>
      <c r="I29" s="167"/>
      <c r="J29" s="166"/>
      <c r="K29" s="167"/>
      <c r="L29" s="166"/>
      <c r="M29" s="167"/>
      <c r="N29" s="166"/>
      <c r="O29" s="167"/>
      <c r="P29" s="166"/>
      <c r="Q29" s="167"/>
      <c r="R29" s="166"/>
      <c r="S29" s="167"/>
      <c r="T29" s="166"/>
      <c r="U29" s="167"/>
      <c r="V29" s="166"/>
      <c r="W29" s="167"/>
      <c r="X29" s="191"/>
    </row>
    <row r="30" spans="1:24" ht="34.35" customHeight="1" thickBot="1" x14ac:dyDescent="0.3">
      <c r="A30" s="164"/>
      <c r="B30" s="165"/>
      <c r="C30" s="165"/>
      <c r="D30" s="166"/>
      <c r="E30" s="167"/>
      <c r="F30" s="166"/>
      <c r="G30" s="167"/>
      <c r="H30" s="166"/>
      <c r="I30" s="167"/>
      <c r="J30" s="166"/>
      <c r="K30" s="167"/>
      <c r="L30" s="166"/>
      <c r="M30" s="167"/>
      <c r="N30" s="166"/>
      <c r="O30" s="167"/>
      <c r="P30" s="166"/>
      <c r="Q30" s="167"/>
      <c r="R30" s="166"/>
      <c r="S30" s="167"/>
      <c r="T30" s="166"/>
      <c r="U30" s="167"/>
      <c r="V30" s="166"/>
      <c r="W30" s="167"/>
      <c r="X30" s="191"/>
    </row>
    <row r="31" spans="1:24" ht="34.35" customHeight="1" thickBot="1" x14ac:dyDescent="0.3">
      <c r="A31" s="164"/>
      <c r="B31" s="165"/>
      <c r="C31" s="165"/>
      <c r="D31" s="166"/>
      <c r="E31" s="167"/>
      <c r="F31" s="166"/>
      <c r="G31" s="167"/>
      <c r="H31" s="166"/>
      <c r="I31" s="167"/>
      <c r="J31" s="166"/>
      <c r="K31" s="167"/>
      <c r="L31" s="166"/>
      <c r="M31" s="167"/>
      <c r="N31" s="166"/>
      <c r="O31" s="167"/>
      <c r="P31" s="166"/>
      <c r="Q31" s="167"/>
      <c r="R31" s="166"/>
      <c r="S31" s="167"/>
      <c r="T31" s="166"/>
      <c r="U31" s="167"/>
      <c r="V31" s="166"/>
      <c r="W31" s="167"/>
      <c r="X31" s="191"/>
    </row>
    <row r="32" spans="1:24" ht="34.35" customHeight="1" thickBot="1" x14ac:dyDescent="0.3">
      <c r="A32" s="164"/>
      <c r="B32" s="165"/>
      <c r="C32" s="165"/>
      <c r="D32" s="166"/>
      <c r="E32" s="167"/>
      <c r="F32" s="166"/>
      <c r="G32" s="167"/>
      <c r="H32" s="166"/>
      <c r="I32" s="167"/>
      <c r="J32" s="166"/>
      <c r="K32" s="167"/>
      <c r="L32" s="166"/>
      <c r="M32" s="167"/>
      <c r="N32" s="166"/>
      <c r="O32" s="167"/>
      <c r="P32" s="166"/>
      <c r="Q32" s="167"/>
      <c r="R32" s="166"/>
      <c r="S32" s="167"/>
      <c r="T32" s="166"/>
      <c r="U32" s="167"/>
      <c r="V32" s="166"/>
      <c r="W32" s="167"/>
      <c r="X32" s="191"/>
    </row>
    <row r="33" spans="1:24" ht="34.35" customHeight="1" thickBot="1" x14ac:dyDescent="0.3">
      <c r="A33" s="164"/>
      <c r="B33" s="165"/>
      <c r="C33" s="165"/>
      <c r="D33" s="166"/>
      <c r="E33" s="167"/>
      <c r="F33" s="166"/>
      <c r="G33" s="167"/>
      <c r="H33" s="166"/>
      <c r="I33" s="167"/>
      <c r="J33" s="166"/>
      <c r="K33" s="167"/>
      <c r="L33" s="166"/>
      <c r="M33" s="167"/>
      <c r="N33" s="166"/>
      <c r="O33" s="167"/>
      <c r="P33" s="166"/>
      <c r="Q33" s="167"/>
      <c r="R33" s="166"/>
      <c r="S33" s="167"/>
      <c r="T33" s="166"/>
      <c r="U33" s="167"/>
      <c r="V33" s="166"/>
      <c r="W33" s="167"/>
      <c r="X33" s="191"/>
    </row>
    <row r="34" spans="1:24" ht="34.35" customHeight="1" x14ac:dyDescent="0.25">
      <c r="A34" s="193" t="s">
        <v>77</v>
      </c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5"/>
      <c r="M34" s="193" t="s">
        <v>78</v>
      </c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5"/>
    </row>
    <row r="35" spans="1:24" ht="34.35" customHeight="1" thickBot="1" x14ac:dyDescent="0.3">
      <c r="A35" s="196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8"/>
      <c r="M35" s="196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8"/>
    </row>
    <row r="36" spans="1:24" ht="34.35" customHeight="1" x14ac:dyDescent="0.25">
      <c r="A36" s="199" t="s">
        <v>79</v>
      </c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2"/>
    </row>
    <row r="37" spans="1:24" ht="34.35" customHeight="1" x14ac:dyDescent="0.25">
      <c r="A37" s="203"/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5"/>
    </row>
    <row r="38" spans="1:24" ht="34.35" customHeight="1" thickBot="1" x14ac:dyDescent="0.3">
      <c r="A38" s="188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90"/>
    </row>
    <row r="39" spans="1:24" ht="34.35" customHeight="1" thickTop="1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</row>
    <row r="40" spans="1:24" ht="34.35" customHeight="1" x14ac:dyDescent="0.25">
      <c r="A40" s="27"/>
    </row>
    <row r="41" spans="1:24" ht="34.35" customHeight="1" x14ac:dyDescent="0.25">
      <c r="A41" s="27"/>
    </row>
  </sheetData>
  <mergeCells count="295">
    <mergeCell ref="A1:L1"/>
    <mergeCell ref="S1:T1"/>
    <mergeCell ref="U1:X1"/>
    <mergeCell ref="A2:C2"/>
    <mergeCell ref="D2:F2"/>
    <mergeCell ref="G2:I2"/>
    <mergeCell ref="J2:L2"/>
    <mergeCell ref="M2:O2"/>
    <mergeCell ref="P2:R2"/>
    <mergeCell ref="S2:U2"/>
    <mergeCell ref="V2:X2"/>
    <mergeCell ref="A3:X3"/>
    <mergeCell ref="A4:C4"/>
    <mergeCell ref="D4:X4"/>
    <mergeCell ref="A5:C5"/>
    <mergeCell ref="D5:F5"/>
    <mergeCell ref="G5:I5"/>
    <mergeCell ref="J5:P7"/>
    <mergeCell ref="Q5:S5"/>
    <mergeCell ref="T5:X5"/>
    <mergeCell ref="A6:C6"/>
    <mergeCell ref="D6:F6"/>
    <mergeCell ref="G6:I6"/>
    <mergeCell ref="Q6:S6"/>
    <mergeCell ref="T6:X6"/>
    <mergeCell ref="A7:C7"/>
    <mergeCell ref="D7:F7"/>
    <mergeCell ref="G7:I7"/>
    <mergeCell ref="Q7:S7"/>
    <mergeCell ref="T7:X7"/>
    <mergeCell ref="K12:L12"/>
    <mergeCell ref="M12:N12"/>
    <mergeCell ref="O12:P12"/>
    <mergeCell ref="Q12:R12"/>
    <mergeCell ref="S12:T12"/>
    <mergeCell ref="A8:X8"/>
    <mergeCell ref="A9:X9"/>
    <mergeCell ref="A10:D11"/>
    <mergeCell ref="E10:F11"/>
    <mergeCell ref="G10:H11"/>
    <mergeCell ref="I10:J10"/>
    <mergeCell ref="K10:P10"/>
    <mergeCell ref="Q10:V10"/>
    <mergeCell ref="W10:X10"/>
    <mergeCell ref="I11:J11"/>
    <mergeCell ref="W11:X11"/>
    <mergeCell ref="K11:L11"/>
    <mergeCell ref="M11:N11"/>
    <mergeCell ref="O11:P11"/>
    <mergeCell ref="Q11:R11"/>
    <mergeCell ref="S11:T11"/>
    <mergeCell ref="U11:V11"/>
    <mergeCell ref="A16:D16"/>
    <mergeCell ref="E16:F16"/>
    <mergeCell ref="G16:H16"/>
    <mergeCell ref="I16:J16"/>
    <mergeCell ref="K16:L16"/>
    <mergeCell ref="M16:N16"/>
    <mergeCell ref="O16:P16"/>
    <mergeCell ref="U12:V12"/>
    <mergeCell ref="W12:X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2:D12"/>
    <mergeCell ref="E12:F12"/>
    <mergeCell ref="G12:H12"/>
    <mergeCell ref="I12:J12"/>
    <mergeCell ref="Q14:R14"/>
    <mergeCell ref="S14:T14"/>
    <mergeCell ref="U14:V14"/>
    <mergeCell ref="W14:X14"/>
    <mergeCell ref="A15:D15"/>
    <mergeCell ref="E15:F15"/>
    <mergeCell ref="G15:H15"/>
    <mergeCell ref="I15:J15"/>
    <mergeCell ref="K15:L15"/>
    <mergeCell ref="M15:N15"/>
    <mergeCell ref="A14:D14"/>
    <mergeCell ref="E14:F14"/>
    <mergeCell ref="G14:H14"/>
    <mergeCell ref="I14:J14"/>
    <mergeCell ref="K14:L14"/>
    <mergeCell ref="M14:N14"/>
    <mergeCell ref="O14:P14"/>
    <mergeCell ref="Q16:R16"/>
    <mergeCell ref="S16:T16"/>
    <mergeCell ref="U16:V16"/>
    <mergeCell ref="W16:X16"/>
    <mergeCell ref="O15:P15"/>
    <mergeCell ref="Q15:R15"/>
    <mergeCell ref="S15:T15"/>
    <mergeCell ref="U15:V15"/>
    <mergeCell ref="W15:X15"/>
    <mergeCell ref="A18:D18"/>
    <mergeCell ref="E18:F18"/>
    <mergeCell ref="G18:H18"/>
    <mergeCell ref="I18:J18"/>
    <mergeCell ref="K18:L18"/>
    <mergeCell ref="A17:D17"/>
    <mergeCell ref="E17:F17"/>
    <mergeCell ref="G17:H17"/>
    <mergeCell ref="I17:J17"/>
    <mergeCell ref="K17:L17"/>
    <mergeCell ref="M18:N18"/>
    <mergeCell ref="O18:P18"/>
    <mergeCell ref="Q18:R18"/>
    <mergeCell ref="S18:T18"/>
    <mergeCell ref="U18:V18"/>
    <mergeCell ref="W18:X18"/>
    <mergeCell ref="O17:P17"/>
    <mergeCell ref="Q17:R17"/>
    <mergeCell ref="S17:T17"/>
    <mergeCell ref="U17:V17"/>
    <mergeCell ref="W17:X17"/>
    <mergeCell ref="M17:N17"/>
    <mergeCell ref="A20:D20"/>
    <mergeCell ref="E20:F20"/>
    <mergeCell ref="G20:H20"/>
    <mergeCell ref="I20:J20"/>
    <mergeCell ref="K20:L20"/>
    <mergeCell ref="A19:D19"/>
    <mergeCell ref="E19:F19"/>
    <mergeCell ref="G19:H19"/>
    <mergeCell ref="I19:J19"/>
    <mergeCell ref="K19:L19"/>
    <mergeCell ref="M20:N20"/>
    <mergeCell ref="O20:P20"/>
    <mergeCell ref="Q20:R20"/>
    <mergeCell ref="S20:T20"/>
    <mergeCell ref="U20:V20"/>
    <mergeCell ref="W20:X20"/>
    <mergeCell ref="O19:P19"/>
    <mergeCell ref="Q19:R19"/>
    <mergeCell ref="S19:T19"/>
    <mergeCell ref="U19:V19"/>
    <mergeCell ref="W19:X19"/>
    <mergeCell ref="M19:N19"/>
    <mergeCell ref="A22:D22"/>
    <mergeCell ref="E22:F22"/>
    <mergeCell ref="G22:H22"/>
    <mergeCell ref="I22:J22"/>
    <mergeCell ref="K22:L22"/>
    <mergeCell ref="A21:D21"/>
    <mergeCell ref="E21:F21"/>
    <mergeCell ref="G21:H21"/>
    <mergeCell ref="I21:J21"/>
    <mergeCell ref="K21:L21"/>
    <mergeCell ref="M22:N22"/>
    <mergeCell ref="O22:P22"/>
    <mergeCell ref="Q22:R22"/>
    <mergeCell ref="S22:T22"/>
    <mergeCell ref="U22:V22"/>
    <mergeCell ref="W22:X22"/>
    <mergeCell ref="O21:P21"/>
    <mergeCell ref="Q21:R21"/>
    <mergeCell ref="S21:T21"/>
    <mergeCell ref="U21:V21"/>
    <mergeCell ref="W21:X21"/>
    <mergeCell ref="M21:N21"/>
    <mergeCell ref="A24:D24"/>
    <mergeCell ref="E24:F24"/>
    <mergeCell ref="G24:H24"/>
    <mergeCell ref="I24:J24"/>
    <mergeCell ref="K24:L24"/>
    <mergeCell ref="A23:D23"/>
    <mergeCell ref="E23:F23"/>
    <mergeCell ref="G23:H23"/>
    <mergeCell ref="I23:J23"/>
    <mergeCell ref="K23:L23"/>
    <mergeCell ref="M24:N24"/>
    <mergeCell ref="O24:P24"/>
    <mergeCell ref="Q24:R24"/>
    <mergeCell ref="S24:T24"/>
    <mergeCell ref="U24:V24"/>
    <mergeCell ref="W24:X24"/>
    <mergeCell ref="O23:P23"/>
    <mergeCell ref="Q23:R23"/>
    <mergeCell ref="S23:T23"/>
    <mergeCell ref="U23:V23"/>
    <mergeCell ref="W23:X23"/>
    <mergeCell ref="M23:N23"/>
    <mergeCell ref="A26:D26"/>
    <mergeCell ref="E26:F26"/>
    <mergeCell ref="G26:H26"/>
    <mergeCell ref="I26:J26"/>
    <mergeCell ref="K26:L26"/>
    <mergeCell ref="A25:D25"/>
    <mergeCell ref="E25:F25"/>
    <mergeCell ref="G25:H25"/>
    <mergeCell ref="I25:J25"/>
    <mergeCell ref="K25:L25"/>
    <mergeCell ref="M26:N26"/>
    <mergeCell ref="O26:P26"/>
    <mergeCell ref="Q26:R26"/>
    <mergeCell ref="S26:T26"/>
    <mergeCell ref="U26:V26"/>
    <mergeCell ref="W26:X26"/>
    <mergeCell ref="O25:P25"/>
    <mergeCell ref="Q25:R25"/>
    <mergeCell ref="S25:T25"/>
    <mergeCell ref="U25:V25"/>
    <mergeCell ref="W25:X25"/>
    <mergeCell ref="M25:N25"/>
    <mergeCell ref="A28:D28"/>
    <mergeCell ref="E28:F28"/>
    <mergeCell ref="G28:H28"/>
    <mergeCell ref="I28:J28"/>
    <mergeCell ref="K28:L28"/>
    <mergeCell ref="A27:D27"/>
    <mergeCell ref="E27:F27"/>
    <mergeCell ref="G27:H27"/>
    <mergeCell ref="I27:J27"/>
    <mergeCell ref="K27:L27"/>
    <mergeCell ref="M28:N28"/>
    <mergeCell ref="O28:P28"/>
    <mergeCell ref="Q28:R28"/>
    <mergeCell ref="S28:T28"/>
    <mergeCell ref="U28:V28"/>
    <mergeCell ref="W28:X28"/>
    <mergeCell ref="O27:P27"/>
    <mergeCell ref="Q27:R27"/>
    <mergeCell ref="S27:T27"/>
    <mergeCell ref="U27:V27"/>
    <mergeCell ref="W27:X27"/>
    <mergeCell ref="M27:N27"/>
    <mergeCell ref="A30:D30"/>
    <mergeCell ref="E30:F30"/>
    <mergeCell ref="G30:H30"/>
    <mergeCell ref="I30:J30"/>
    <mergeCell ref="K30:L30"/>
    <mergeCell ref="A29:D29"/>
    <mergeCell ref="E29:F29"/>
    <mergeCell ref="G29:H29"/>
    <mergeCell ref="I29:J29"/>
    <mergeCell ref="K29:L29"/>
    <mergeCell ref="M30:N30"/>
    <mergeCell ref="O30:P30"/>
    <mergeCell ref="Q30:R30"/>
    <mergeCell ref="S30:T30"/>
    <mergeCell ref="U30:V30"/>
    <mergeCell ref="W30:X30"/>
    <mergeCell ref="O29:P29"/>
    <mergeCell ref="Q29:R29"/>
    <mergeCell ref="S29:T29"/>
    <mergeCell ref="U29:V29"/>
    <mergeCell ref="W29:X29"/>
    <mergeCell ref="M29:N29"/>
    <mergeCell ref="A32:D32"/>
    <mergeCell ref="E32:F32"/>
    <mergeCell ref="G32:H32"/>
    <mergeCell ref="I32:J32"/>
    <mergeCell ref="K32:L32"/>
    <mergeCell ref="A31:D31"/>
    <mergeCell ref="E31:F31"/>
    <mergeCell ref="G31:H31"/>
    <mergeCell ref="I31:J31"/>
    <mergeCell ref="K31:L31"/>
    <mergeCell ref="M32:N32"/>
    <mergeCell ref="O32:P32"/>
    <mergeCell ref="Q32:R32"/>
    <mergeCell ref="S32:T32"/>
    <mergeCell ref="U32:V32"/>
    <mergeCell ref="W32:X32"/>
    <mergeCell ref="O31:P31"/>
    <mergeCell ref="Q31:R31"/>
    <mergeCell ref="S31:T31"/>
    <mergeCell ref="U31:V31"/>
    <mergeCell ref="W31:X31"/>
    <mergeCell ref="M31:N31"/>
    <mergeCell ref="A36:M36"/>
    <mergeCell ref="N36:X36"/>
    <mergeCell ref="A37:X37"/>
    <mergeCell ref="A38:X38"/>
    <mergeCell ref="O33:P33"/>
    <mergeCell ref="Q33:R33"/>
    <mergeCell ref="S33:T33"/>
    <mergeCell ref="U33:V33"/>
    <mergeCell ref="W33:X33"/>
    <mergeCell ref="A34:L35"/>
    <mergeCell ref="M34:X35"/>
    <mergeCell ref="A33:D33"/>
    <mergeCell ref="E33:F33"/>
    <mergeCell ref="G33:H33"/>
    <mergeCell ref="I33:J33"/>
    <mergeCell ref="K33:L33"/>
    <mergeCell ref="M33:N33"/>
  </mergeCells>
  <printOptions horizontalCentered="1"/>
  <pageMargins left="0.51181102362204722" right="0.51181102362204722" top="1.7322834645669292" bottom="0.74803149606299213" header="0.31496062992125984" footer="0.31496062992125984"/>
  <pageSetup paperSize="9" scale="52" orientation="portrait" r:id="rId1"/>
  <headerFooter alignWithMargins="0">
    <oddHeader>&amp;L&amp;"Arial,Bold"&amp;28
Title:&amp;"Arial,Regular" Test Record Sheet
&amp;R&amp;20&amp;G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D002-3C79-4340-A3D0-FDB0691E0C17}">
  <dimension ref="A1:T40"/>
  <sheetViews>
    <sheetView zoomScale="80" zoomScaleNormal="80" workbookViewId="0">
      <selection activeCell="A21" sqref="A21:XFD21"/>
    </sheetView>
  </sheetViews>
  <sheetFormatPr defaultColWidth="8.88671875" defaultRowHeight="14.4" x14ac:dyDescent="0.3"/>
  <cols>
    <col min="1" max="20" width="9.88671875" style="30" customWidth="1"/>
    <col min="21" max="16384" width="8.88671875" style="30"/>
  </cols>
  <sheetData>
    <row r="1" spans="1:20" x14ac:dyDescent="0.3">
      <c r="A1" s="34" t="s">
        <v>35</v>
      </c>
    </row>
    <row r="2" spans="1:20" s="32" customFormat="1" ht="43.2" x14ac:dyDescent="0.25">
      <c r="A2" s="33" t="s">
        <v>142</v>
      </c>
      <c r="B2" s="33" t="s">
        <v>141</v>
      </c>
      <c r="C2" s="33" t="s">
        <v>140</v>
      </c>
      <c r="D2" s="33" t="s">
        <v>139</v>
      </c>
      <c r="E2" s="33" t="s">
        <v>138</v>
      </c>
      <c r="F2" s="33" t="s">
        <v>137</v>
      </c>
      <c r="G2" s="33" t="s">
        <v>136</v>
      </c>
      <c r="H2" s="33" t="s">
        <v>135</v>
      </c>
      <c r="I2" s="33" t="s">
        <v>134</v>
      </c>
      <c r="J2" s="33" t="s">
        <v>133</v>
      </c>
      <c r="K2" s="33" t="s">
        <v>132</v>
      </c>
      <c r="L2" s="33" t="s">
        <v>131</v>
      </c>
      <c r="M2" s="33" t="s">
        <v>130</v>
      </c>
      <c r="N2" s="33" t="s">
        <v>129</v>
      </c>
      <c r="O2" s="33" t="s">
        <v>128</v>
      </c>
      <c r="P2" s="33" t="s">
        <v>127</v>
      </c>
      <c r="Q2" s="33" t="s">
        <v>126</v>
      </c>
      <c r="R2" s="33" t="s">
        <v>125</v>
      </c>
      <c r="S2" s="33" t="s">
        <v>124</v>
      </c>
      <c r="T2" s="33" t="s">
        <v>123</v>
      </c>
    </row>
    <row r="3" spans="1:20" x14ac:dyDescent="0.3">
      <c r="A3" s="31">
        <v>0.37</v>
      </c>
      <c r="B3" s="31" t="s">
        <v>146</v>
      </c>
      <c r="C3" s="31" t="s">
        <v>149</v>
      </c>
      <c r="D3" s="31">
        <v>2740</v>
      </c>
      <c r="E3" s="31">
        <v>2</v>
      </c>
      <c r="F3" s="31">
        <v>0.94</v>
      </c>
      <c r="G3" s="31">
        <v>1.3</v>
      </c>
      <c r="H3" s="31">
        <v>70</v>
      </c>
      <c r="I3" s="31">
        <v>68.900000000000006</v>
      </c>
      <c r="J3" s="31">
        <v>66.2</v>
      </c>
      <c r="K3" s="31">
        <v>0.81</v>
      </c>
      <c r="L3" s="31">
        <v>0.75</v>
      </c>
      <c r="M3" s="31">
        <v>0.63</v>
      </c>
      <c r="N3" s="31">
        <v>2.2000000000000002</v>
      </c>
      <c r="O3" s="31">
        <v>6.1</v>
      </c>
      <c r="P3" s="31">
        <v>2.2000000000000002</v>
      </c>
      <c r="Q3" s="31">
        <v>8</v>
      </c>
      <c r="R3" s="31">
        <v>0.4</v>
      </c>
      <c r="S3" s="31">
        <v>1.02</v>
      </c>
      <c r="T3" s="31">
        <v>12</v>
      </c>
    </row>
    <row r="4" spans="1:20" x14ac:dyDescent="0.3">
      <c r="A4" s="31">
        <v>0.55000000000000004</v>
      </c>
      <c r="B4" s="31" t="s">
        <v>146</v>
      </c>
      <c r="C4" s="31" t="s">
        <v>145</v>
      </c>
      <c r="D4" s="31">
        <v>2740</v>
      </c>
      <c r="E4" s="31">
        <v>2</v>
      </c>
      <c r="F4" s="31">
        <v>1.33</v>
      </c>
      <c r="G4" s="31">
        <v>1.9</v>
      </c>
      <c r="H4" s="31">
        <v>73</v>
      </c>
      <c r="I4" s="31">
        <v>70.2</v>
      </c>
      <c r="J4" s="31">
        <v>67.400000000000006</v>
      </c>
      <c r="K4" s="31">
        <v>0.82</v>
      </c>
      <c r="L4" s="31">
        <v>0.77</v>
      </c>
      <c r="M4" s="31">
        <v>0.64</v>
      </c>
      <c r="N4" s="31">
        <v>2.2000000000000002</v>
      </c>
      <c r="O4" s="31">
        <v>6.1</v>
      </c>
      <c r="P4" s="31">
        <v>2.2000000000000002</v>
      </c>
      <c r="Q4" s="31">
        <v>9</v>
      </c>
      <c r="R4" s="31">
        <v>0.65</v>
      </c>
      <c r="S4" s="31">
        <v>1.57</v>
      </c>
      <c r="T4" s="31">
        <v>12</v>
      </c>
    </row>
    <row r="5" spans="1:20" x14ac:dyDescent="0.3">
      <c r="A5" s="31">
        <v>0.75</v>
      </c>
      <c r="B5" s="31" t="s">
        <v>121</v>
      </c>
      <c r="C5" s="31" t="s">
        <v>122</v>
      </c>
      <c r="D5" s="31">
        <v>2855</v>
      </c>
      <c r="E5" s="31">
        <v>2</v>
      </c>
      <c r="F5" s="31">
        <v>1.64</v>
      </c>
      <c r="G5" s="31">
        <v>2.5</v>
      </c>
      <c r="H5" s="31">
        <v>80.7</v>
      </c>
      <c r="I5" s="31">
        <v>80.7</v>
      </c>
      <c r="J5" s="31">
        <v>79.099999999999994</v>
      </c>
      <c r="K5" s="31">
        <v>0.82</v>
      </c>
      <c r="L5" s="31">
        <v>0.77</v>
      </c>
      <c r="M5" s="31">
        <v>0.64</v>
      </c>
      <c r="N5" s="31">
        <v>2.2999999999999998</v>
      </c>
      <c r="O5" s="31">
        <v>7</v>
      </c>
      <c r="P5" s="31">
        <v>2.2999999999999998</v>
      </c>
      <c r="Q5" s="31">
        <v>10</v>
      </c>
      <c r="R5" s="31">
        <v>0.85</v>
      </c>
      <c r="S5" s="31">
        <v>1.85</v>
      </c>
      <c r="T5" s="31">
        <v>12</v>
      </c>
    </row>
    <row r="6" spans="1:20" x14ac:dyDescent="0.3">
      <c r="A6" s="31">
        <v>1.1000000000000001</v>
      </c>
      <c r="B6" s="31" t="s">
        <v>121</v>
      </c>
      <c r="C6" s="31" t="s">
        <v>120</v>
      </c>
      <c r="D6" s="31">
        <v>2855</v>
      </c>
      <c r="E6" s="31">
        <v>2</v>
      </c>
      <c r="F6" s="31">
        <v>2.31</v>
      </c>
      <c r="G6" s="31">
        <v>3.7</v>
      </c>
      <c r="H6" s="31">
        <v>82.7</v>
      </c>
      <c r="I6" s="31">
        <v>82.7</v>
      </c>
      <c r="J6" s="31">
        <v>81</v>
      </c>
      <c r="K6" s="31">
        <v>0.83</v>
      </c>
      <c r="L6" s="31">
        <v>0.81</v>
      </c>
      <c r="M6" s="31">
        <v>0.7</v>
      </c>
      <c r="N6" s="31">
        <v>2.2000000000000002</v>
      </c>
      <c r="O6" s="31">
        <v>7.6</v>
      </c>
      <c r="P6" s="31">
        <v>2.2999999999999998</v>
      </c>
      <c r="Q6" s="31">
        <v>13</v>
      </c>
      <c r="R6" s="31">
        <v>1.3</v>
      </c>
      <c r="S6" s="31">
        <v>2.73</v>
      </c>
      <c r="T6" s="31">
        <v>12</v>
      </c>
    </row>
    <row r="7" spans="1:20" x14ac:dyDescent="0.3">
      <c r="A7" s="31">
        <v>1.5</v>
      </c>
      <c r="B7" s="31" t="s">
        <v>119</v>
      </c>
      <c r="C7" s="31" t="s">
        <v>118</v>
      </c>
      <c r="D7" s="31">
        <v>2880</v>
      </c>
      <c r="E7" s="31">
        <v>2</v>
      </c>
      <c r="F7" s="31">
        <v>3.06</v>
      </c>
      <c r="G7" s="31">
        <v>5</v>
      </c>
      <c r="H7" s="31">
        <v>84.2</v>
      </c>
      <c r="I7" s="31">
        <v>84.2</v>
      </c>
      <c r="J7" s="31">
        <v>82.5</v>
      </c>
      <c r="K7" s="31">
        <v>0.84</v>
      </c>
      <c r="L7" s="31">
        <v>0.77</v>
      </c>
      <c r="M7" s="31">
        <v>0.65</v>
      </c>
      <c r="N7" s="31">
        <v>2.2000000000000002</v>
      </c>
      <c r="O7" s="31">
        <v>7.9</v>
      </c>
      <c r="P7" s="31">
        <v>2.2999999999999998</v>
      </c>
      <c r="Q7" s="31">
        <v>15</v>
      </c>
      <c r="R7" s="31">
        <v>1.8</v>
      </c>
      <c r="S7" s="31">
        <v>3.67</v>
      </c>
      <c r="T7" s="31">
        <v>14.5</v>
      </c>
    </row>
    <row r="8" spans="1:20" x14ac:dyDescent="0.3">
      <c r="A8" s="31">
        <v>2.2000000000000002</v>
      </c>
      <c r="B8" s="31" t="s">
        <v>117</v>
      </c>
      <c r="C8" s="31" t="s">
        <v>116</v>
      </c>
      <c r="D8" s="31">
        <v>2880</v>
      </c>
      <c r="E8" s="31">
        <v>2</v>
      </c>
      <c r="F8" s="31">
        <v>4.3499999999999996</v>
      </c>
      <c r="G8" s="31">
        <v>7.3</v>
      </c>
      <c r="H8" s="31">
        <v>85.9</v>
      </c>
      <c r="I8" s="31">
        <v>85.9</v>
      </c>
      <c r="J8" s="31">
        <v>84.2</v>
      </c>
      <c r="K8" s="31">
        <v>0.85</v>
      </c>
      <c r="L8" s="31">
        <v>0.82</v>
      </c>
      <c r="M8" s="31">
        <v>0.71</v>
      </c>
      <c r="N8" s="31">
        <v>2.2000000000000002</v>
      </c>
      <c r="O8" s="31">
        <v>7.9</v>
      </c>
      <c r="P8" s="31">
        <v>2.2999999999999998</v>
      </c>
      <c r="Q8" s="31">
        <v>18</v>
      </c>
      <c r="R8" s="31">
        <v>2.6</v>
      </c>
      <c r="S8" s="31">
        <v>5.14</v>
      </c>
      <c r="T8" s="31">
        <v>14.5</v>
      </c>
    </row>
    <row r="9" spans="1:20" x14ac:dyDescent="0.3">
      <c r="A9" s="31">
        <v>3</v>
      </c>
      <c r="B9" s="31" t="s">
        <v>115</v>
      </c>
      <c r="C9" s="31" t="s">
        <v>144</v>
      </c>
      <c r="D9" s="31">
        <v>2890</v>
      </c>
      <c r="E9" s="31">
        <v>2</v>
      </c>
      <c r="F9" s="31">
        <v>5.7</v>
      </c>
      <c r="G9" s="31">
        <v>9.9</v>
      </c>
      <c r="H9" s="31">
        <v>87.1</v>
      </c>
      <c r="I9" s="31">
        <v>87.1</v>
      </c>
      <c r="J9" s="31">
        <v>85.4</v>
      </c>
      <c r="K9" s="31">
        <v>0.87</v>
      </c>
      <c r="L9" s="31">
        <v>0.85</v>
      </c>
      <c r="M9" s="31">
        <v>0.77</v>
      </c>
      <c r="N9" s="31">
        <v>2.2000000000000002</v>
      </c>
      <c r="O9" s="31">
        <v>8.5</v>
      </c>
      <c r="P9" s="31">
        <v>2.2999999999999998</v>
      </c>
      <c r="Q9" s="31">
        <v>24</v>
      </c>
      <c r="R9" s="31">
        <v>3.5</v>
      </c>
      <c r="S9" s="31">
        <v>6.67</v>
      </c>
      <c r="T9" s="31">
        <v>19.5</v>
      </c>
    </row>
    <row r="10" spans="1:20" x14ac:dyDescent="0.3">
      <c r="A10" s="31">
        <v>4</v>
      </c>
      <c r="B10" s="31" t="s">
        <v>113</v>
      </c>
      <c r="C10" s="31" t="s">
        <v>112</v>
      </c>
      <c r="D10" s="31">
        <v>2905</v>
      </c>
      <c r="E10" s="31">
        <v>2</v>
      </c>
      <c r="F10" s="31">
        <v>7.4</v>
      </c>
      <c r="G10" s="31">
        <v>13.1</v>
      </c>
      <c r="H10" s="31">
        <v>88.1</v>
      </c>
      <c r="I10" s="31">
        <v>88.1</v>
      </c>
      <c r="J10" s="31">
        <v>86.3</v>
      </c>
      <c r="K10" s="31">
        <v>0.88</v>
      </c>
      <c r="L10" s="31">
        <v>0.87</v>
      </c>
      <c r="M10" s="31">
        <v>0.8</v>
      </c>
      <c r="N10" s="31">
        <v>2.2000000000000002</v>
      </c>
      <c r="O10" s="31">
        <v>8.5</v>
      </c>
      <c r="P10" s="31">
        <v>2.2999999999999998</v>
      </c>
      <c r="Q10" s="31">
        <v>32</v>
      </c>
      <c r="R10" s="31">
        <v>4.7</v>
      </c>
      <c r="S10" s="31">
        <v>8.75</v>
      </c>
      <c r="T10" s="31">
        <v>19.5</v>
      </c>
    </row>
    <row r="11" spans="1:20" x14ac:dyDescent="0.3">
      <c r="A11" s="31">
        <v>5.5</v>
      </c>
      <c r="B11" s="31" t="s">
        <v>111</v>
      </c>
      <c r="C11" s="31" t="s">
        <v>110</v>
      </c>
      <c r="D11" s="31">
        <v>2920</v>
      </c>
      <c r="E11" s="31">
        <v>2</v>
      </c>
      <c r="F11" s="31">
        <v>10.1</v>
      </c>
      <c r="G11" s="31">
        <v>18</v>
      </c>
      <c r="H11" s="31">
        <v>89.2</v>
      </c>
      <c r="I11" s="31">
        <v>89.2</v>
      </c>
      <c r="J11" s="31">
        <v>87.4</v>
      </c>
      <c r="K11" s="31">
        <v>0.88</v>
      </c>
      <c r="L11" s="31">
        <v>0.87</v>
      </c>
      <c r="M11" s="31">
        <v>0.81</v>
      </c>
      <c r="N11" s="31">
        <v>2</v>
      </c>
      <c r="O11" s="31">
        <v>8.5</v>
      </c>
      <c r="P11" s="31">
        <v>2.2999999999999998</v>
      </c>
      <c r="Q11" s="31">
        <v>47</v>
      </c>
      <c r="R11" s="31">
        <v>6</v>
      </c>
      <c r="S11" s="31">
        <v>11</v>
      </c>
      <c r="T11" s="31">
        <v>26</v>
      </c>
    </row>
    <row r="12" spans="1:20" x14ac:dyDescent="0.3">
      <c r="A12" s="31">
        <v>7.5</v>
      </c>
      <c r="B12" s="31" t="s">
        <v>111</v>
      </c>
      <c r="C12" s="31" t="s">
        <v>148</v>
      </c>
      <c r="D12" s="31">
        <v>2915</v>
      </c>
      <c r="E12" s="31">
        <v>2</v>
      </c>
      <c r="F12" s="31">
        <v>13.7</v>
      </c>
      <c r="G12" s="31">
        <v>24.6</v>
      </c>
      <c r="H12" s="31">
        <v>90.1</v>
      </c>
      <c r="I12" s="31">
        <v>90.1</v>
      </c>
      <c r="J12" s="31">
        <v>88.3</v>
      </c>
      <c r="K12" s="31">
        <v>0.88</v>
      </c>
      <c r="L12" s="31">
        <v>0.87</v>
      </c>
      <c r="M12" s="31">
        <v>0.82</v>
      </c>
      <c r="N12" s="31">
        <v>2</v>
      </c>
      <c r="O12" s="31">
        <v>8.5</v>
      </c>
      <c r="P12" s="31">
        <v>2.2999999999999998</v>
      </c>
      <c r="Q12" s="31">
        <v>51</v>
      </c>
      <c r="R12" s="31">
        <v>8.6</v>
      </c>
      <c r="S12" s="31">
        <v>15.7</v>
      </c>
      <c r="T12" s="31">
        <v>26</v>
      </c>
    </row>
    <row r="13" spans="1:20" x14ac:dyDescent="0.3">
      <c r="A13" s="31">
        <v>9.1999999999999993</v>
      </c>
      <c r="B13" s="31" t="s">
        <v>108</v>
      </c>
      <c r="C13" s="31" t="s">
        <v>109</v>
      </c>
      <c r="D13" s="31">
        <v>2920</v>
      </c>
      <c r="E13" s="31">
        <v>2</v>
      </c>
      <c r="F13" s="31">
        <v>16.7</v>
      </c>
      <c r="G13" s="31">
        <v>30.1</v>
      </c>
      <c r="H13" s="31">
        <v>90.4</v>
      </c>
      <c r="I13" s="31">
        <v>90.4</v>
      </c>
      <c r="J13" s="31">
        <v>88.5</v>
      </c>
      <c r="K13" s="31">
        <v>0.88</v>
      </c>
      <c r="L13" s="31">
        <v>0.88</v>
      </c>
      <c r="M13" s="31">
        <v>0.83</v>
      </c>
      <c r="N13" s="31">
        <v>2</v>
      </c>
      <c r="O13" s="31">
        <v>8.5</v>
      </c>
      <c r="P13" s="31">
        <v>2.2999999999999998</v>
      </c>
      <c r="Q13" s="31">
        <v>56</v>
      </c>
      <c r="R13" s="31">
        <v>10.6</v>
      </c>
      <c r="S13" s="31">
        <v>19.2</v>
      </c>
      <c r="T13" s="31">
        <v>26</v>
      </c>
    </row>
    <row r="14" spans="1:20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</row>
    <row r="15" spans="1:20" x14ac:dyDescent="0.3">
      <c r="A15" s="34" t="s">
        <v>37</v>
      </c>
    </row>
    <row r="16" spans="1:20" s="32" customFormat="1" ht="43.2" x14ac:dyDescent="0.25">
      <c r="A16" s="33" t="s">
        <v>142</v>
      </c>
      <c r="B16" s="33" t="s">
        <v>141</v>
      </c>
      <c r="C16" s="33" t="s">
        <v>140</v>
      </c>
      <c r="D16" s="33" t="s">
        <v>139</v>
      </c>
      <c r="E16" s="33" t="s">
        <v>138</v>
      </c>
      <c r="F16" s="33" t="s">
        <v>137</v>
      </c>
      <c r="G16" s="33" t="s">
        <v>136</v>
      </c>
      <c r="H16" s="33" t="s">
        <v>135</v>
      </c>
      <c r="I16" s="33" t="s">
        <v>134</v>
      </c>
      <c r="J16" s="33" t="s">
        <v>133</v>
      </c>
      <c r="K16" s="33" t="s">
        <v>132</v>
      </c>
      <c r="L16" s="33" t="s">
        <v>131</v>
      </c>
      <c r="M16" s="33" t="s">
        <v>130</v>
      </c>
      <c r="N16" s="33" t="s">
        <v>129</v>
      </c>
      <c r="O16" s="33" t="s">
        <v>128</v>
      </c>
      <c r="P16" s="33" t="s">
        <v>127</v>
      </c>
      <c r="Q16" s="33" t="s">
        <v>126</v>
      </c>
      <c r="R16" s="33" t="s">
        <v>125</v>
      </c>
      <c r="S16" s="33" t="s">
        <v>124</v>
      </c>
      <c r="T16" s="33" t="s">
        <v>123</v>
      </c>
    </row>
    <row r="17" spans="1:20" x14ac:dyDescent="0.3">
      <c r="A17" s="31">
        <v>0.25</v>
      </c>
      <c r="B17" s="31" t="s">
        <v>146</v>
      </c>
      <c r="C17" s="31" t="s">
        <v>147</v>
      </c>
      <c r="D17" s="31">
        <v>1330</v>
      </c>
      <c r="E17" s="31">
        <v>4</v>
      </c>
      <c r="F17" s="31">
        <v>0.8</v>
      </c>
      <c r="G17" s="31">
        <v>1.8</v>
      </c>
      <c r="H17" s="31">
        <v>65</v>
      </c>
      <c r="I17" s="31">
        <v>62.1</v>
      </c>
      <c r="J17" s="31">
        <v>60.9</v>
      </c>
      <c r="K17" s="31">
        <v>0.74</v>
      </c>
      <c r="L17" s="31">
        <v>0.66</v>
      </c>
      <c r="M17" s="31">
        <v>0.54</v>
      </c>
      <c r="N17" s="31">
        <v>2.1</v>
      </c>
      <c r="O17" s="31">
        <v>4.4000000000000004</v>
      </c>
      <c r="P17" s="31">
        <v>2.1</v>
      </c>
      <c r="Q17" s="31">
        <v>8</v>
      </c>
      <c r="R17" s="31">
        <v>0.28000000000000003</v>
      </c>
      <c r="S17" s="31">
        <v>0.84</v>
      </c>
      <c r="T17" s="31">
        <v>7</v>
      </c>
    </row>
    <row r="18" spans="1:20" x14ac:dyDescent="0.3">
      <c r="A18" s="31">
        <v>0.37</v>
      </c>
      <c r="B18" s="31" t="s">
        <v>146</v>
      </c>
      <c r="C18" s="31" t="s">
        <v>145</v>
      </c>
      <c r="D18" s="31">
        <v>1330</v>
      </c>
      <c r="E18" s="31">
        <v>4</v>
      </c>
      <c r="F18" s="31">
        <v>1.1000000000000001</v>
      </c>
      <c r="G18" s="31">
        <v>2.7</v>
      </c>
      <c r="H18" s="31">
        <v>67</v>
      </c>
      <c r="I18" s="31">
        <v>64.900000000000006</v>
      </c>
      <c r="J18" s="31">
        <v>62.1</v>
      </c>
      <c r="K18" s="31">
        <v>0.75</v>
      </c>
      <c r="L18" s="31">
        <v>0.67</v>
      </c>
      <c r="M18" s="31">
        <v>0.55000000000000004</v>
      </c>
      <c r="N18" s="31">
        <v>2.1</v>
      </c>
      <c r="O18" s="31">
        <v>5.2</v>
      </c>
      <c r="P18" s="31">
        <v>2.1</v>
      </c>
      <c r="Q18" s="31">
        <v>8</v>
      </c>
      <c r="R18" s="31">
        <v>0.4</v>
      </c>
      <c r="S18" s="31">
        <v>1.1499999999999999</v>
      </c>
      <c r="T18" s="31">
        <v>7</v>
      </c>
    </row>
    <row r="19" spans="1:20" x14ac:dyDescent="0.3">
      <c r="A19" s="31">
        <v>0.55000000000000004</v>
      </c>
      <c r="B19" s="31" t="s">
        <v>121</v>
      </c>
      <c r="C19" s="31" t="s">
        <v>122</v>
      </c>
      <c r="D19" s="31">
        <v>1420</v>
      </c>
      <c r="E19" s="31">
        <v>4</v>
      </c>
      <c r="F19" s="31">
        <v>1.3</v>
      </c>
      <c r="G19" s="31">
        <v>3.7</v>
      </c>
      <c r="H19" s="31">
        <v>80.8</v>
      </c>
      <c r="I19" s="31">
        <v>80.8</v>
      </c>
      <c r="J19" s="31">
        <v>79.2</v>
      </c>
      <c r="K19" s="31">
        <v>0.75</v>
      </c>
      <c r="L19" s="31">
        <v>0.67</v>
      </c>
      <c r="M19" s="31">
        <v>0.55000000000000004</v>
      </c>
      <c r="N19" s="31">
        <v>2.4</v>
      </c>
      <c r="O19" s="31">
        <v>6.6</v>
      </c>
      <c r="P19" s="31">
        <v>2.2999999999999998</v>
      </c>
      <c r="Q19" s="31">
        <v>10</v>
      </c>
      <c r="R19" s="31">
        <v>0.65</v>
      </c>
      <c r="S19" s="31">
        <v>1.55</v>
      </c>
      <c r="T19" s="31">
        <v>7.5</v>
      </c>
    </row>
    <row r="20" spans="1:20" x14ac:dyDescent="0.3">
      <c r="A20" s="31">
        <v>0.75</v>
      </c>
      <c r="B20" s="31" t="s">
        <v>121</v>
      </c>
      <c r="C20" s="31" t="s">
        <v>120</v>
      </c>
      <c r="D20" s="31">
        <v>1420</v>
      </c>
      <c r="E20" s="31">
        <v>4</v>
      </c>
      <c r="F20" s="31">
        <v>1.7</v>
      </c>
      <c r="G20" s="31">
        <v>5</v>
      </c>
      <c r="H20" s="31">
        <v>82.5</v>
      </c>
      <c r="I20" s="31">
        <v>82.5</v>
      </c>
      <c r="J20" s="31">
        <v>80.900000000000006</v>
      </c>
      <c r="K20" s="31">
        <v>0.75</v>
      </c>
      <c r="L20" s="31">
        <v>0.72</v>
      </c>
      <c r="M20" s="31">
        <v>0.59</v>
      </c>
      <c r="N20" s="31">
        <v>2.2999999999999998</v>
      </c>
      <c r="O20" s="31">
        <v>6.6</v>
      </c>
      <c r="P20" s="31">
        <v>2.2999999999999998</v>
      </c>
      <c r="Q20" s="31">
        <v>12</v>
      </c>
      <c r="R20" s="31">
        <v>0.85</v>
      </c>
      <c r="S20" s="31">
        <v>1.98</v>
      </c>
      <c r="T20" s="31">
        <v>7.5</v>
      </c>
    </row>
    <row r="21" spans="1:20" x14ac:dyDescent="0.3">
      <c r="A21" s="31">
        <v>1.1000000000000001</v>
      </c>
      <c r="B21" s="31" t="s">
        <v>119</v>
      </c>
      <c r="C21" s="31" t="s">
        <v>118</v>
      </c>
      <c r="D21" s="31">
        <v>1425</v>
      </c>
      <c r="E21" s="31">
        <v>4</v>
      </c>
      <c r="F21" s="31">
        <v>2.5</v>
      </c>
      <c r="G21" s="31">
        <v>7.4</v>
      </c>
      <c r="H21" s="31">
        <v>84.1</v>
      </c>
      <c r="I21" s="31">
        <v>84.1</v>
      </c>
      <c r="J21" s="31">
        <v>82.4</v>
      </c>
      <c r="K21" s="31">
        <v>0.76</v>
      </c>
      <c r="L21" s="31">
        <v>0.69</v>
      </c>
      <c r="M21" s="31">
        <v>0.56000000000000005</v>
      </c>
      <c r="N21" s="31">
        <v>2.2999999999999998</v>
      </c>
      <c r="O21" s="31">
        <v>6.8</v>
      </c>
      <c r="P21" s="31">
        <v>2.2999999999999998</v>
      </c>
      <c r="Q21" s="31">
        <v>16</v>
      </c>
      <c r="R21" s="31">
        <v>1.3</v>
      </c>
      <c r="S21" s="31">
        <v>2.94</v>
      </c>
      <c r="T21" s="31">
        <v>9</v>
      </c>
    </row>
    <row r="22" spans="1:20" x14ac:dyDescent="0.3">
      <c r="A22" s="31">
        <v>1.5</v>
      </c>
      <c r="B22" s="31" t="s">
        <v>117</v>
      </c>
      <c r="C22" s="31" t="s">
        <v>116</v>
      </c>
      <c r="D22" s="31">
        <v>1430</v>
      </c>
      <c r="E22" s="31">
        <v>4</v>
      </c>
      <c r="F22" s="31">
        <v>3.3</v>
      </c>
      <c r="G22" s="31">
        <v>10</v>
      </c>
      <c r="H22" s="31">
        <v>85.3</v>
      </c>
      <c r="I22" s="31">
        <v>85.3</v>
      </c>
      <c r="J22" s="31">
        <v>83.6</v>
      </c>
      <c r="K22" s="31">
        <v>0.77</v>
      </c>
      <c r="L22" s="31">
        <v>0.71</v>
      </c>
      <c r="M22" s="31">
        <v>0.57999999999999996</v>
      </c>
      <c r="N22" s="31">
        <v>2.2999999999999998</v>
      </c>
      <c r="O22" s="31">
        <v>7</v>
      </c>
      <c r="P22" s="31">
        <v>2.2999999999999998</v>
      </c>
      <c r="Q22" s="31">
        <v>19</v>
      </c>
      <c r="R22" s="31">
        <v>1.8</v>
      </c>
      <c r="S22" s="31">
        <v>3.96</v>
      </c>
      <c r="T22" s="31">
        <v>9</v>
      </c>
    </row>
    <row r="23" spans="1:20" x14ac:dyDescent="0.3">
      <c r="A23" s="31">
        <v>2.2000000000000002</v>
      </c>
      <c r="B23" s="31" t="s">
        <v>115</v>
      </c>
      <c r="C23" s="31" t="s">
        <v>144</v>
      </c>
      <c r="D23" s="31">
        <v>1440</v>
      </c>
      <c r="E23" s="31">
        <v>4</v>
      </c>
      <c r="F23" s="31">
        <v>4.5</v>
      </c>
      <c r="G23" s="31">
        <v>14.6</v>
      </c>
      <c r="H23" s="31">
        <v>86.7</v>
      </c>
      <c r="I23" s="31">
        <v>86.7</v>
      </c>
      <c r="J23" s="31">
        <v>85</v>
      </c>
      <c r="K23" s="31">
        <v>0.81</v>
      </c>
      <c r="L23" s="31">
        <v>0.75</v>
      </c>
      <c r="M23" s="31">
        <v>0.63</v>
      </c>
      <c r="N23" s="31">
        <v>2.2999999999999998</v>
      </c>
      <c r="O23" s="31">
        <v>7.6</v>
      </c>
      <c r="P23" s="31">
        <v>2.2999999999999998</v>
      </c>
      <c r="Q23" s="31">
        <v>26</v>
      </c>
      <c r="R23" s="31">
        <v>2.6</v>
      </c>
      <c r="S23" s="31">
        <v>5.34</v>
      </c>
      <c r="T23" s="31">
        <v>11</v>
      </c>
    </row>
    <row r="24" spans="1:20" x14ac:dyDescent="0.3">
      <c r="A24" s="31">
        <v>3</v>
      </c>
      <c r="B24" s="31" t="s">
        <v>115</v>
      </c>
      <c r="C24" s="31" t="s">
        <v>114</v>
      </c>
      <c r="D24" s="31">
        <v>1440</v>
      </c>
      <c r="E24" s="31">
        <v>4</v>
      </c>
      <c r="F24" s="31">
        <v>6</v>
      </c>
      <c r="G24" s="31">
        <v>19.899999999999999</v>
      </c>
      <c r="H24" s="31">
        <v>87.7</v>
      </c>
      <c r="I24" s="31">
        <v>87.7</v>
      </c>
      <c r="J24" s="31">
        <v>85.9</v>
      </c>
      <c r="K24" s="31">
        <v>0.82</v>
      </c>
      <c r="L24" s="31">
        <v>0.78</v>
      </c>
      <c r="M24" s="31">
        <v>0.66</v>
      </c>
      <c r="N24" s="31">
        <v>2.2999999999999998</v>
      </c>
      <c r="O24" s="31">
        <v>7.6</v>
      </c>
      <c r="P24" s="31">
        <v>2.2999999999999998</v>
      </c>
      <c r="Q24" s="31">
        <v>30</v>
      </c>
      <c r="R24" s="31">
        <v>3.5</v>
      </c>
      <c r="S24" s="31">
        <v>7.03</v>
      </c>
      <c r="T24" s="31">
        <v>11</v>
      </c>
    </row>
    <row r="25" spans="1:20" x14ac:dyDescent="0.3">
      <c r="A25" s="31">
        <v>4</v>
      </c>
      <c r="B25" s="31" t="s">
        <v>113</v>
      </c>
      <c r="C25" s="31" t="s">
        <v>112</v>
      </c>
      <c r="D25" s="31">
        <v>1445</v>
      </c>
      <c r="E25" s="31">
        <v>4</v>
      </c>
      <c r="F25" s="31">
        <v>7.95</v>
      </c>
      <c r="G25" s="31">
        <v>26.4</v>
      </c>
      <c r="H25" s="31">
        <v>88.6</v>
      </c>
      <c r="I25" s="31">
        <v>88.6</v>
      </c>
      <c r="J25" s="31">
        <v>86.8</v>
      </c>
      <c r="K25" s="31">
        <v>0.82</v>
      </c>
      <c r="L25" s="31">
        <v>0.79</v>
      </c>
      <c r="M25" s="31">
        <v>0.68</v>
      </c>
      <c r="N25" s="31">
        <v>2.2000000000000002</v>
      </c>
      <c r="O25" s="31">
        <v>7.8</v>
      </c>
      <c r="P25" s="31">
        <v>2.2999999999999998</v>
      </c>
      <c r="Q25" s="31">
        <v>37</v>
      </c>
      <c r="R25" s="31">
        <v>4.7</v>
      </c>
      <c r="S25" s="31">
        <v>9.34</v>
      </c>
      <c r="T25" s="31">
        <v>12</v>
      </c>
    </row>
    <row r="26" spans="1:20" x14ac:dyDescent="0.3">
      <c r="A26" s="31">
        <v>5.5</v>
      </c>
      <c r="B26" s="31" t="s">
        <v>111</v>
      </c>
      <c r="C26" s="31" t="s">
        <v>110</v>
      </c>
      <c r="D26" s="31">
        <v>1460</v>
      </c>
      <c r="E26" s="31">
        <v>4</v>
      </c>
      <c r="F26" s="31">
        <v>10.67</v>
      </c>
      <c r="G26" s="31">
        <v>36</v>
      </c>
      <c r="H26" s="31">
        <v>89.6</v>
      </c>
      <c r="I26" s="31">
        <v>89.6</v>
      </c>
      <c r="J26" s="31">
        <v>87.8</v>
      </c>
      <c r="K26" s="31">
        <v>0.83</v>
      </c>
      <c r="L26" s="31">
        <v>0.8</v>
      </c>
      <c r="M26" s="31">
        <v>0.68</v>
      </c>
      <c r="N26" s="31">
        <v>2</v>
      </c>
      <c r="O26" s="31">
        <v>7.9</v>
      </c>
      <c r="P26" s="31">
        <v>2.2999999999999998</v>
      </c>
      <c r="Q26" s="31">
        <v>47</v>
      </c>
      <c r="R26" s="31">
        <v>6</v>
      </c>
      <c r="S26" s="31">
        <v>11.6</v>
      </c>
      <c r="T26" s="31">
        <v>16</v>
      </c>
    </row>
    <row r="27" spans="1:20" x14ac:dyDescent="0.3">
      <c r="A27" s="31">
        <v>7.5</v>
      </c>
      <c r="B27" s="31" t="s">
        <v>108</v>
      </c>
      <c r="C27" s="31" t="s">
        <v>109</v>
      </c>
      <c r="D27" s="31">
        <v>1460</v>
      </c>
      <c r="E27" s="31">
        <v>4</v>
      </c>
      <c r="F27" s="31">
        <v>14.26</v>
      </c>
      <c r="G27" s="31">
        <v>49.1</v>
      </c>
      <c r="H27" s="31">
        <v>90.4</v>
      </c>
      <c r="I27" s="31">
        <v>90.4</v>
      </c>
      <c r="J27" s="31">
        <v>88.6</v>
      </c>
      <c r="K27" s="31">
        <v>0.84</v>
      </c>
      <c r="L27" s="31">
        <v>0.8</v>
      </c>
      <c r="M27" s="31">
        <v>0.69</v>
      </c>
      <c r="N27" s="31">
        <v>2</v>
      </c>
      <c r="O27" s="31">
        <v>7.5</v>
      </c>
      <c r="P27" s="31">
        <v>2.2999999999999998</v>
      </c>
      <c r="Q27" s="31">
        <v>59</v>
      </c>
      <c r="R27" s="31">
        <v>8.6</v>
      </c>
      <c r="S27" s="31">
        <v>16.3</v>
      </c>
      <c r="T27" s="31">
        <v>16</v>
      </c>
    </row>
    <row r="28" spans="1:20" x14ac:dyDescent="0.3">
      <c r="A28" s="31">
        <v>9.1999999999999993</v>
      </c>
      <c r="B28" s="31" t="s">
        <v>108</v>
      </c>
      <c r="C28" s="31" t="s">
        <v>143</v>
      </c>
      <c r="D28" s="31">
        <v>1460</v>
      </c>
      <c r="E28" s="31">
        <v>4</v>
      </c>
      <c r="F28" s="31">
        <v>17.43</v>
      </c>
      <c r="G28" s="31">
        <v>60.2</v>
      </c>
      <c r="H28" s="31">
        <v>90.7</v>
      </c>
      <c r="I28" s="31">
        <v>90.7</v>
      </c>
      <c r="J28" s="31">
        <v>88.8</v>
      </c>
      <c r="K28" s="31">
        <v>0.84</v>
      </c>
      <c r="L28" s="31">
        <v>0.81</v>
      </c>
      <c r="M28" s="31">
        <v>0.71</v>
      </c>
      <c r="N28" s="31">
        <v>2.2000000000000002</v>
      </c>
      <c r="O28" s="31">
        <v>7.7</v>
      </c>
      <c r="P28" s="31">
        <v>2.2999999999999998</v>
      </c>
      <c r="Q28" s="31">
        <v>64</v>
      </c>
      <c r="R28" s="31">
        <v>10.6</v>
      </c>
      <c r="S28" s="31">
        <v>20.100000000000001</v>
      </c>
      <c r="T28" s="31">
        <v>16</v>
      </c>
    </row>
    <row r="29" spans="1:20" x14ac:dyDescent="0.3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</row>
    <row r="30" spans="1:20" x14ac:dyDescent="0.3">
      <c r="A30" s="34" t="s">
        <v>38</v>
      </c>
    </row>
    <row r="31" spans="1:20" s="32" customFormat="1" ht="43.2" x14ac:dyDescent="0.25">
      <c r="A31" s="33" t="s">
        <v>142</v>
      </c>
      <c r="B31" s="33" t="s">
        <v>141</v>
      </c>
      <c r="C31" s="33" t="s">
        <v>140</v>
      </c>
      <c r="D31" s="33" t="s">
        <v>139</v>
      </c>
      <c r="E31" s="33" t="s">
        <v>138</v>
      </c>
      <c r="F31" s="33" t="s">
        <v>137</v>
      </c>
      <c r="G31" s="33" t="s">
        <v>136</v>
      </c>
      <c r="H31" s="33" t="s">
        <v>135</v>
      </c>
      <c r="I31" s="33" t="s">
        <v>134</v>
      </c>
      <c r="J31" s="33" t="s">
        <v>133</v>
      </c>
      <c r="K31" s="33" t="s">
        <v>132</v>
      </c>
      <c r="L31" s="33" t="s">
        <v>131</v>
      </c>
      <c r="M31" s="33" t="s">
        <v>130</v>
      </c>
      <c r="N31" s="33" t="s">
        <v>129</v>
      </c>
      <c r="O31" s="33" t="s">
        <v>128</v>
      </c>
      <c r="P31" s="33" t="s">
        <v>127</v>
      </c>
      <c r="Q31" s="33" t="s">
        <v>126</v>
      </c>
      <c r="R31" s="33" t="s">
        <v>125</v>
      </c>
      <c r="S31" s="33" t="s">
        <v>124</v>
      </c>
      <c r="T31" s="33" t="s">
        <v>123</v>
      </c>
    </row>
    <row r="32" spans="1:20" x14ac:dyDescent="0.3">
      <c r="A32" s="31">
        <v>0.37</v>
      </c>
      <c r="B32" s="31" t="s">
        <v>121</v>
      </c>
      <c r="C32" s="31" t="s">
        <v>122</v>
      </c>
      <c r="D32" s="31">
        <v>930</v>
      </c>
      <c r="E32" s="31">
        <v>6</v>
      </c>
      <c r="F32" s="31">
        <v>1.04</v>
      </c>
      <c r="G32" s="31">
        <v>3.8</v>
      </c>
      <c r="H32" s="31">
        <v>73.5</v>
      </c>
      <c r="I32" s="31">
        <v>73.5</v>
      </c>
      <c r="J32" s="31">
        <v>72</v>
      </c>
      <c r="K32" s="31">
        <v>0.7</v>
      </c>
      <c r="L32" s="31">
        <v>0.6</v>
      </c>
      <c r="M32" s="31">
        <v>0.47</v>
      </c>
      <c r="N32" s="31">
        <v>1.9</v>
      </c>
      <c r="O32" s="31">
        <v>6</v>
      </c>
      <c r="P32" s="31">
        <v>2</v>
      </c>
      <c r="Q32" s="31">
        <v>10</v>
      </c>
      <c r="R32" s="31">
        <v>0.4</v>
      </c>
      <c r="S32" s="31">
        <v>1.1200000000000001</v>
      </c>
      <c r="T32" s="31">
        <v>6.5</v>
      </c>
    </row>
    <row r="33" spans="1:20" x14ac:dyDescent="0.3">
      <c r="A33" s="31">
        <v>0.55000000000000004</v>
      </c>
      <c r="B33" s="31" t="s">
        <v>121</v>
      </c>
      <c r="C33" s="31" t="s">
        <v>120</v>
      </c>
      <c r="D33" s="31">
        <v>930</v>
      </c>
      <c r="E33" s="31">
        <v>6</v>
      </c>
      <c r="F33" s="31">
        <v>1.43</v>
      </c>
      <c r="G33" s="31">
        <v>5.6</v>
      </c>
      <c r="H33" s="31">
        <v>77.2</v>
      </c>
      <c r="I33" s="31">
        <v>77.2</v>
      </c>
      <c r="J33" s="31">
        <v>75.7</v>
      </c>
      <c r="K33" s="31">
        <v>0.72</v>
      </c>
      <c r="L33" s="31">
        <v>0.62</v>
      </c>
      <c r="M33" s="31">
        <v>0.5</v>
      </c>
      <c r="N33" s="31">
        <v>1.9</v>
      </c>
      <c r="O33" s="31">
        <v>6</v>
      </c>
      <c r="P33" s="31">
        <v>2.1</v>
      </c>
      <c r="Q33" s="31">
        <v>13</v>
      </c>
      <c r="R33" s="31">
        <v>0.65</v>
      </c>
      <c r="S33" s="31">
        <v>1.69</v>
      </c>
      <c r="T33" s="31">
        <v>6.5</v>
      </c>
    </row>
    <row r="34" spans="1:20" x14ac:dyDescent="0.3">
      <c r="A34" s="31">
        <v>0.75</v>
      </c>
      <c r="B34" s="31" t="s">
        <v>119</v>
      </c>
      <c r="C34" s="31" t="s">
        <v>118</v>
      </c>
      <c r="D34" s="31">
        <v>940</v>
      </c>
      <c r="E34" s="31">
        <v>6</v>
      </c>
      <c r="F34" s="31">
        <v>1.93</v>
      </c>
      <c r="G34" s="31">
        <v>7.6</v>
      </c>
      <c r="H34" s="31">
        <v>78.900000000000006</v>
      </c>
      <c r="I34" s="31">
        <v>78.900000000000006</v>
      </c>
      <c r="J34" s="31">
        <v>77.3</v>
      </c>
      <c r="K34" s="31">
        <v>0.71</v>
      </c>
      <c r="L34" s="31">
        <v>0.62</v>
      </c>
      <c r="M34" s="31">
        <v>0.48</v>
      </c>
      <c r="N34" s="31">
        <v>2</v>
      </c>
      <c r="O34" s="31">
        <v>6</v>
      </c>
      <c r="P34" s="31">
        <v>2.1</v>
      </c>
      <c r="Q34" s="31">
        <v>16</v>
      </c>
      <c r="R34" s="31">
        <v>0.85</v>
      </c>
      <c r="S34" s="31">
        <v>2.19</v>
      </c>
      <c r="T34" s="31">
        <v>7.5</v>
      </c>
    </row>
    <row r="35" spans="1:20" x14ac:dyDescent="0.3">
      <c r="A35" s="31">
        <v>1.1000000000000001</v>
      </c>
      <c r="B35" s="31" t="s">
        <v>117</v>
      </c>
      <c r="C35" s="31" t="s">
        <v>116</v>
      </c>
      <c r="D35" s="31">
        <v>940</v>
      </c>
      <c r="E35" s="31">
        <v>6</v>
      </c>
      <c r="F35" s="31">
        <v>2.69</v>
      </c>
      <c r="G35" s="31">
        <v>11.2</v>
      </c>
      <c r="H35" s="31">
        <v>81</v>
      </c>
      <c r="I35" s="31">
        <v>81</v>
      </c>
      <c r="J35" s="31">
        <v>79.400000000000006</v>
      </c>
      <c r="K35" s="31">
        <v>0.73</v>
      </c>
      <c r="L35" s="31">
        <v>0.64</v>
      </c>
      <c r="M35" s="31">
        <v>0.5</v>
      </c>
      <c r="N35" s="31">
        <v>2</v>
      </c>
      <c r="O35" s="31">
        <v>6</v>
      </c>
      <c r="P35" s="31">
        <v>2.1</v>
      </c>
      <c r="Q35" s="31">
        <v>21</v>
      </c>
      <c r="R35" s="31">
        <v>1.3</v>
      </c>
      <c r="S35" s="31">
        <v>3.17</v>
      </c>
      <c r="T35" s="31">
        <v>7.5</v>
      </c>
    </row>
    <row r="36" spans="1:20" x14ac:dyDescent="0.3">
      <c r="A36" s="31">
        <v>1.5</v>
      </c>
      <c r="B36" s="31" t="s">
        <v>115</v>
      </c>
      <c r="C36" s="31" t="s">
        <v>114</v>
      </c>
      <c r="D36" s="31">
        <v>950</v>
      </c>
      <c r="E36" s="31">
        <v>6</v>
      </c>
      <c r="F36" s="31">
        <v>3.59</v>
      </c>
      <c r="G36" s="31">
        <v>15.1</v>
      </c>
      <c r="H36" s="31">
        <v>82.5</v>
      </c>
      <c r="I36" s="31">
        <v>82.5</v>
      </c>
      <c r="J36" s="31">
        <v>80.900000000000006</v>
      </c>
      <c r="K36" s="31">
        <v>0.73</v>
      </c>
      <c r="L36" s="31">
        <v>0.65</v>
      </c>
      <c r="M36" s="31">
        <v>0.51</v>
      </c>
      <c r="N36" s="31">
        <v>2</v>
      </c>
      <c r="O36" s="31">
        <v>6.5</v>
      </c>
      <c r="P36" s="31">
        <v>2.1</v>
      </c>
      <c r="Q36" s="31">
        <v>23</v>
      </c>
      <c r="R36" s="31">
        <v>1.8</v>
      </c>
      <c r="S36" s="31">
        <v>4.3099999999999996</v>
      </c>
      <c r="T36" s="31">
        <v>8</v>
      </c>
    </row>
    <row r="37" spans="1:20" x14ac:dyDescent="0.3">
      <c r="A37" s="31">
        <v>2.2000000000000002</v>
      </c>
      <c r="B37" s="31" t="s">
        <v>113</v>
      </c>
      <c r="C37" s="31" t="s">
        <v>112</v>
      </c>
      <c r="D37" s="31">
        <v>950</v>
      </c>
      <c r="E37" s="31">
        <v>6</v>
      </c>
      <c r="F37" s="31">
        <v>5.09</v>
      </c>
      <c r="G37" s="31">
        <v>22.1</v>
      </c>
      <c r="H37" s="31">
        <v>84.3</v>
      </c>
      <c r="I37" s="31">
        <v>84.3</v>
      </c>
      <c r="J37" s="31">
        <v>82.6</v>
      </c>
      <c r="K37" s="31">
        <v>0.74</v>
      </c>
      <c r="L37" s="31">
        <v>0.68</v>
      </c>
      <c r="M37" s="31">
        <v>0.55000000000000004</v>
      </c>
      <c r="N37" s="31">
        <v>2</v>
      </c>
      <c r="O37" s="31">
        <v>6.6</v>
      </c>
      <c r="P37" s="31">
        <v>2.1</v>
      </c>
      <c r="Q37" s="31">
        <v>33</v>
      </c>
      <c r="R37" s="31">
        <v>2.6</v>
      </c>
      <c r="S37" s="31">
        <v>6.02</v>
      </c>
      <c r="T37" s="31">
        <v>9</v>
      </c>
    </row>
    <row r="38" spans="1:20" x14ac:dyDescent="0.3">
      <c r="A38" s="31">
        <v>3</v>
      </c>
      <c r="B38" s="31" t="s">
        <v>111</v>
      </c>
      <c r="C38" s="31" t="s">
        <v>110</v>
      </c>
      <c r="D38" s="31">
        <v>975</v>
      </c>
      <c r="E38" s="31">
        <v>6</v>
      </c>
      <c r="F38" s="31">
        <v>6.84</v>
      </c>
      <c r="G38" s="31">
        <v>29.4</v>
      </c>
      <c r="H38" s="31">
        <v>85.6</v>
      </c>
      <c r="I38" s="31">
        <v>85.6</v>
      </c>
      <c r="J38" s="31">
        <v>83.9</v>
      </c>
      <c r="K38" s="31">
        <v>0.74</v>
      </c>
      <c r="L38" s="31">
        <v>0.68</v>
      </c>
      <c r="M38" s="31">
        <v>0.54</v>
      </c>
      <c r="N38" s="31">
        <v>2</v>
      </c>
      <c r="O38" s="31">
        <v>6.8</v>
      </c>
      <c r="P38" s="31">
        <v>2.1</v>
      </c>
      <c r="Q38" s="31">
        <v>39</v>
      </c>
      <c r="R38" s="31">
        <v>3.4</v>
      </c>
      <c r="S38" s="31">
        <v>7.75</v>
      </c>
      <c r="T38" s="31">
        <v>11</v>
      </c>
    </row>
    <row r="39" spans="1:20" x14ac:dyDescent="0.3">
      <c r="A39" s="31">
        <v>4</v>
      </c>
      <c r="B39" s="31" t="s">
        <v>108</v>
      </c>
      <c r="C39" s="31" t="s">
        <v>109</v>
      </c>
      <c r="D39" s="31">
        <v>975</v>
      </c>
      <c r="E39" s="31">
        <v>6</v>
      </c>
      <c r="F39" s="31">
        <v>8.99</v>
      </c>
      <c r="G39" s="31">
        <v>39.200000000000003</v>
      </c>
      <c r="H39" s="31">
        <v>86.8</v>
      </c>
      <c r="I39" s="31">
        <v>86.8</v>
      </c>
      <c r="J39" s="31">
        <v>85.1</v>
      </c>
      <c r="K39" s="31">
        <v>0.74</v>
      </c>
      <c r="L39" s="31">
        <v>0.67</v>
      </c>
      <c r="M39" s="31">
        <v>0.54</v>
      </c>
      <c r="N39" s="31">
        <v>2</v>
      </c>
      <c r="O39" s="31">
        <v>6.8</v>
      </c>
      <c r="P39" s="31">
        <v>2.1</v>
      </c>
      <c r="Q39" s="31">
        <v>48</v>
      </c>
      <c r="R39" s="31">
        <v>4.5</v>
      </c>
      <c r="S39" s="31">
        <v>10.1</v>
      </c>
      <c r="T39" s="31">
        <v>11</v>
      </c>
    </row>
    <row r="40" spans="1:20" x14ac:dyDescent="0.3">
      <c r="A40" s="31">
        <v>5.5</v>
      </c>
      <c r="B40" s="31" t="s">
        <v>108</v>
      </c>
      <c r="C40" s="31" t="s">
        <v>107</v>
      </c>
      <c r="D40" s="31">
        <v>975</v>
      </c>
      <c r="E40" s="31">
        <v>6</v>
      </c>
      <c r="F40" s="31">
        <v>12.03</v>
      </c>
      <c r="G40" s="31">
        <v>53.9</v>
      </c>
      <c r="H40" s="31">
        <v>88</v>
      </c>
      <c r="I40" s="31">
        <v>88</v>
      </c>
      <c r="J40" s="31">
        <v>86.2</v>
      </c>
      <c r="K40" s="31">
        <v>0.75</v>
      </c>
      <c r="L40" s="31">
        <v>0.69</v>
      </c>
      <c r="M40" s="31">
        <v>0.55000000000000004</v>
      </c>
      <c r="N40" s="31">
        <v>2</v>
      </c>
      <c r="O40" s="31">
        <v>7</v>
      </c>
      <c r="P40" s="31">
        <v>2.1</v>
      </c>
      <c r="Q40" s="31">
        <v>57</v>
      </c>
      <c r="R40" s="31">
        <v>6</v>
      </c>
      <c r="S40" s="31">
        <v>13.1</v>
      </c>
      <c r="T40" s="31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F749-E421-4683-B316-0F869791FFE7}">
  <dimension ref="A1:U76"/>
  <sheetViews>
    <sheetView workbookViewId="0">
      <pane ySplit="4" topLeftCell="A17" activePane="bottomLeft" state="frozen"/>
      <selection pane="bottomLeft" activeCell="C33" sqref="C33"/>
    </sheetView>
  </sheetViews>
  <sheetFormatPr defaultColWidth="8.88671875" defaultRowHeight="14.4" x14ac:dyDescent="0.3"/>
  <cols>
    <col min="1" max="21" width="9.88671875" style="37" customWidth="1"/>
    <col min="22" max="16384" width="8.88671875" style="37"/>
  </cols>
  <sheetData>
    <row r="1" spans="1:21" x14ac:dyDescent="0.3">
      <c r="A1" s="41" t="s">
        <v>182</v>
      </c>
    </row>
    <row r="2" spans="1:21" x14ac:dyDescent="0.3">
      <c r="A2" s="37" t="s">
        <v>181</v>
      </c>
    </row>
    <row r="4" spans="1:21" s="39" customFormat="1" ht="72" x14ac:dyDescent="0.25">
      <c r="A4" s="40" t="s">
        <v>52</v>
      </c>
      <c r="B4" s="40" t="s">
        <v>138</v>
      </c>
      <c r="C4" s="40" t="s">
        <v>180</v>
      </c>
      <c r="D4" s="40" t="s">
        <v>179</v>
      </c>
      <c r="E4" s="40" t="s">
        <v>178</v>
      </c>
      <c r="F4" s="40" t="s">
        <v>177</v>
      </c>
      <c r="G4" s="40" t="s">
        <v>176</v>
      </c>
      <c r="H4" s="40" t="s">
        <v>175</v>
      </c>
      <c r="I4" s="40" t="s">
        <v>174</v>
      </c>
      <c r="J4" s="40" t="s">
        <v>173</v>
      </c>
      <c r="K4" s="40" t="s">
        <v>172</v>
      </c>
      <c r="L4" s="40" t="s">
        <v>171</v>
      </c>
      <c r="M4" s="40" t="s">
        <v>170</v>
      </c>
      <c r="N4" s="40" t="s">
        <v>169</v>
      </c>
      <c r="O4" s="40" t="s">
        <v>168</v>
      </c>
      <c r="P4" s="40" t="s">
        <v>167</v>
      </c>
      <c r="Q4" s="40" t="s">
        <v>166</v>
      </c>
      <c r="R4" s="40" t="s">
        <v>165</v>
      </c>
      <c r="S4" s="40" t="s">
        <v>164</v>
      </c>
      <c r="T4" s="40" t="s">
        <v>163</v>
      </c>
      <c r="U4" s="40" t="s">
        <v>162</v>
      </c>
    </row>
    <row r="5" spans="1:21" x14ac:dyDescent="0.3">
      <c r="A5" s="38">
        <v>0.12</v>
      </c>
      <c r="B5" s="38">
        <v>2</v>
      </c>
      <c r="C5" s="38">
        <v>0.375</v>
      </c>
      <c r="D5" s="38" t="s">
        <v>160</v>
      </c>
      <c r="E5" s="38">
        <v>2820</v>
      </c>
      <c r="F5" s="38">
        <v>0.16</v>
      </c>
      <c r="G5" s="38">
        <v>0.41</v>
      </c>
      <c r="H5" s="38">
        <v>5.4</v>
      </c>
      <c r="I5" s="38">
        <v>3.1</v>
      </c>
      <c r="J5" s="38">
        <v>3.3</v>
      </c>
      <c r="K5" s="38">
        <v>1E-4</v>
      </c>
      <c r="L5" s="38">
        <v>30</v>
      </c>
      <c r="M5" s="38">
        <v>66</v>
      </c>
      <c r="N5" s="38">
        <v>6.9</v>
      </c>
      <c r="O5" s="38">
        <v>52</v>
      </c>
      <c r="P5" s="38">
        <v>58</v>
      </c>
      <c r="Q5" s="38">
        <v>60.8</v>
      </c>
      <c r="R5" s="38">
        <v>60.8</v>
      </c>
      <c r="S5" s="38">
        <v>0.54</v>
      </c>
      <c r="T5" s="38">
        <v>0.67</v>
      </c>
      <c r="U5" s="38">
        <v>0.76</v>
      </c>
    </row>
    <row r="6" spans="1:21" x14ac:dyDescent="0.3">
      <c r="A6" s="38">
        <v>0.18</v>
      </c>
      <c r="B6" s="38">
        <v>2</v>
      </c>
      <c r="C6" s="38">
        <v>0.53300000000000003</v>
      </c>
      <c r="D6" s="38" t="s">
        <v>160</v>
      </c>
      <c r="E6" s="38">
        <v>2860</v>
      </c>
      <c r="F6" s="38">
        <v>0.25</v>
      </c>
      <c r="G6" s="38">
        <v>0.6</v>
      </c>
      <c r="H6" s="38">
        <v>5.2</v>
      </c>
      <c r="I6" s="38">
        <v>3</v>
      </c>
      <c r="J6" s="38">
        <v>3.2</v>
      </c>
      <c r="K6" s="38">
        <v>2.0000000000000001E-4</v>
      </c>
      <c r="L6" s="38">
        <v>22</v>
      </c>
      <c r="M6" s="38">
        <v>48</v>
      </c>
      <c r="N6" s="38">
        <v>7.6</v>
      </c>
      <c r="O6" s="38">
        <v>52</v>
      </c>
      <c r="P6" s="38">
        <v>61</v>
      </c>
      <c r="Q6" s="38">
        <v>65.900000000000006</v>
      </c>
      <c r="R6" s="38">
        <v>65.900000000000006</v>
      </c>
      <c r="S6" s="38">
        <v>0.53</v>
      </c>
      <c r="T6" s="38">
        <v>0.65</v>
      </c>
      <c r="U6" s="38">
        <v>0.74</v>
      </c>
    </row>
    <row r="7" spans="1:21" x14ac:dyDescent="0.3">
      <c r="A7" s="38">
        <v>0.25</v>
      </c>
      <c r="B7" s="38">
        <v>2</v>
      </c>
      <c r="C7" s="38">
        <v>0.67200000000000004</v>
      </c>
      <c r="D7" s="38" t="s">
        <v>160</v>
      </c>
      <c r="E7" s="38">
        <v>2805</v>
      </c>
      <c r="F7" s="38">
        <v>0.33</v>
      </c>
      <c r="G7" s="38">
        <v>0.85</v>
      </c>
      <c r="H7" s="38">
        <v>5.5</v>
      </c>
      <c r="I7" s="38">
        <v>3.8</v>
      </c>
      <c r="J7" s="38">
        <v>3.3</v>
      </c>
      <c r="K7" s="38">
        <v>2.0000000000000001E-4</v>
      </c>
      <c r="L7" s="38">
        <v>17</v>
      </c>
      <c r="M7" s="38">
        <v>37</v>
      </c>
      <c r="N7" s="38">
        <v>7.8</v>
      </c>
      <c r="O7" s="38">
        <v>52</v>
      </c>
      <c r="P7" s="38">
        <v>63</v>
      </c>
      <c r="Q7" s="38">
        <v>68</v>
      </c>
      <c r="R7" s="38">
        <v>69.7</v>
      </c>
      <c r="S7" s="38">
        <v>0.54</v>
      </c>
      <c r="T7" s="38">
        <v>0.68</v>
      </c>
      <c r="U7" s="38">
        <v>0.77</v>
      </c>
    </row>
    <row r="8" spans="1:21" x14ac:dyDescent="0.3">
      <c r="A8" s="38">
        <v>0.37</v>
      </c>
      <c r="B8" s="38">
        <v>2</v>
      </c>
      <c r="C8" s="38">
        <v>0.85099999999999998</v>
      </c>
      <c r="D8" s="38" t="s">
        <v>146</v>
      </c>
      <c r="E8" s="38">
        <v>2820</v>
      </c>
      <c r="F8" s="38">
        <v>0.5</v>
      </c>
      <c r="G8" s="38">
        <v>1.25</v>
      </c>
      <c r="H8" s="38">
        <v>6</v>
      </c>
      <c r="I8" s="38">
        <v>2.5</v>
      </c>
      <c r="J8" s="38">
        <v>2.5</v>
      </c>
      <c r="K8" s="38">
        <v>4.0000000000000002E-4</v>
      </c>
      <c r="L8" s="38">
        <v>12</v>
      </c>
      <c r="M8" s="38">
        <v>26</v>
      </c>
      <c r="N8" s="38">
        <v>10.1</v>
      </c>
      <c r="O8" s="38">
        <v>56</v>
      </c>
      <c r="P8" s="38">
        <v>73</v>
      </c>
      <c r="Q8" s="38">
        <v>73.8</v>
      </c>
      <c r="R8" s="38">
        <v>73.8</v>
      </c>
      <c r="S8" s="38">
        <v>0.66</v>
      </c>
      <c r="T8" s="38">
        <v>0.79</v>
      </c>
      <c r="U8" s="38">
        <v>0.85</v>
      </c>
    </row>
    <row r="9" spans="1:21" x14ac:dyDescent="0.3">
      <c r="A9" s="38">
        <v>0.55000000000000004</v>
      </c>
      <c r="B9" s="38">
        <v>2</v>
      </c>
      <c r="C9" s="38">
        <v>1.19</v>
      </c>
      <c r="D9" s="38" t="s">
        <v>146</v>
      </c>
      <c r="E9" s="38">
        <v>2830</v>
      </c>
      <c r="F9" s="38">
        <v>0.75</v>
      </c>
      <c r="G9" s="38">
        <v>1.86</v>
      </c>
      <c r="H9" s="38">
        <v>5.9</v>
      </c>
      <c r="I9" s="38">
        <v>2.7</v>
      </c>
      <c r="J9" s="38">
        <v>2.7</v>
      </c>
      <c r="K9" s="38">
        <v>5.0000000000000001E-4</v>
      </c>
      <c r="L9" s="38">
        <v>15</v>
      </c>
      <c r="M9" s="38">
        <v>33</v>
      </c>
      <c r="N9" s="38">
        <v>11</v>
      </c>
      <c r="O9" s="38">
        <v>56</v>
      </c>
      <c r="P9" s="38">
        <v>75</v>
      </c>
      <c r="Q9" s="38">
        <v>76</v>
      </c>
      <c r="R9" s="38">
        <v>77.8</v>
      </c>
      <c r="S9" s="38">
        <v>0.68</v>
      </c>
      <c r="T9" s="38">
        <v>0.8</v>
      </c>
      <c r="U9" s="38">
        <v>0.86</v>
      </c>
    </row>
    <row r="10" spans="1:21" x14ac:dyDescent="0.3">
      <c r="A10" s="38">
        <v>0.75</v>
      </c>
      <c r="B10" s="38">
        <v>2</v>
      </c>
      <c r="C10" s="38">
        <v>1.65</v>
      </c>
      <c r="D10" s="38" t="s">
        <v>121</v>
      </c>
      <c r="E10" s="38">
        <v>2860</v>
      </c>
      <c r="F10" s="38">
        <v>1</v>
      </c>
      <c r="G10" s="38">
        <v>2.5099999999999998</v>
      </c>
      <c r="H10" s="38">
        <v>7.5</v>
      </c>
      <c r="I10" s="38">
        <v>3.2</v>
      </c>
      <c r="J10" s="38">
        <v>3.2</v>
      </c>
      <c r="K10" s="38">
        <v>8.0000000000000004E-4</v>
      </c>
      <c r="L10" s="38">
        <v>18</v>
      </c>
      <c r="M10" s="38">
        <v>40</v>
      </c>
      <c r="N10" s="38">
        <v>14</v>
      </c>
      <c r="O10" s="38">
        <v>59</v>
      </c>
      <c r="P10" s="38">
        <v>80</v>
      </c>
      <c r="Q10" s="38">
        <v>82</v>
      </c>
      <c r="R10" s="38">
        <v>81</v>
      </c>
      <c r="S10" s="38">
        <v>0.6</v>
      </c>
      <c r="T10" s="38">
        <v>0.73</v>
      </c>
      <c r="U10" s="38">
        <v>0.81</v>
      </c>
    </row>
    <row r="11" spans="1:21" x14ac:dyDescent="0.3">
      <c r="A11" s="38">
        <v>1.1000000000000001</v>
      </c>
      <c r="B11" s="38">
        <v>2</v>
      </c>
      <c r="C11" s="38">
        <v>2.39</v>
      </c>
      <c r="D11" s="38" t="s">
        <v>121</v>
      </c>
      <c r="E11" s="38">
        <v>2835</v>
      </c>
      <c r="F11" s="38">
        <v>1.5</v>
      </c>
      <c r="G11" s="38">
        <v>3.71</v>
      </c>
      <c r="H11" s="38">
        <v>7.2</v>
      </c>
      <c r="I11" s="38">
        <v>4.0999999999999996</v>
      </c>
      <c r="J11" s="38">
        <v>3.7</v>
      </c>
      <c r="K11" s="38">
        <v>8.9999999999999998E-4</v>
      </c>
      <c r="L11" s="38">
        <v>23</v>
      </c>
      <c r="M11" s="38">
        <v>51</v>
      </c>
      <c r="N11" s="38">
        <v>14.8</v>
      </c>
      <c r="O11" s="38">
        <v>59</v>
      </c>
      <c r="P11" s="38">
        <v>81.5</v>
      </c>
      <c r="Q11" s="38">
        <v>83</v>
      </c>
      <c r="R11" s="38">
        <v>83</v>
      </c>
      <c r="S11" s="38">
        <v>0.6</v>
      </c>
      <c r="T11" s="38">
        <v>0.73</v>
      </c>
      <c r="U11" s="38">
        <v>0.8</v>
      </c>
    </row>
    <row r="12" spans="1:21" x14ac:dyDescent="0.3">
      <c r="A12" s="38">
        <v>1.5</v>
      </c>
      <c r="B12" s="38">
        <v>2</v>
      </c>
      <c r="C12" s="38">
        <v>3.17</v>
      </c>
      <c r="D12" s="38" t="s">
        <v>119</v>
      </c>
      <c r="E12" s="38">
        <v>2885</v>
      </c>
      <c r="F12" s="38">
        <v>2</v>
      </c>
      <c r="G12" s="38">
        <v>4.97</v>
      </c>
      <c r="H12" s="38">
        <v>7</v>
      </c>
      <c r="I12" s="38">
        <v>2.5</v>
      </c>
      <c r="J12" s="38">
        <v>3</v>
      </c>
      <c r="K12" s="38">
        <v>2E-3</v>
      </c>
      <c r="L12" s="38">
        <v>10</v>
      </c>
      <c r="M12" s="38">
        <v>22</v>
      </c>
      <c r="N12" s="38">
        <v>21.5</v>
      </c>
      <c r="O12" s="38">
        <v>62</v>
      </c>
      <c r="P12" s="38">
        <v>82</v>
      </c>
      <c r="Q12" s="38">
        <v>83.5</v>
      </c>
      <c r="R12" s="38">
        <v>84.2</v>
      </c>
      <c r="S12" s="38">
        <v>0.62</v>
      </c>
      <c r="T12" s="38">
        <v>0.74</v>
      </c>
      <c r="U12" s="38">
        <v>0.81</v>
      </c>
    </row>
    <row r="13" spans="1:21" x14ac:dyDescent="0.3">
      <c r="A13" s="38">
        <v>2.2000000000000002</v>
      </c>
      <c r="B13" s="38">
        <v>2</v>
      </c>
      <c r="C13" s="38">
        <v>4.43</v>
      </c>
      <c r="D13" s="38" t="s">
        <v>117</v>
      </c>
      <c r="E13" s="38">
        <v>2870</v>
      </c>
      <c r="F13" s="38">
        <v>3</v>
      </c>
      <c r="G13" s="38">
        <v>7.32</v>
      </c>
      <c r="H13" s="38">
        <v>7.5</v>
      </c>
      <c r="I13" s="38">
        <v>3.4</v>
      </c>
      <c r="J13" s="38">
        <v>3.4</v>
      </c>
      <c r="K13" s="38">
        <v>2.5999999999999999E-3</v>
      </c>
      <c r="L13" s="38">
        <v>12</v>
      </c>
      <c r="M13" s="38">
        <v>26</v>
      </c>
      <c r="N13" s="38">
        <v>25</v>
      </c>
      <c r="O13" s="38">
        <v>62</v>
      </c>
      <c r="P13" s="38">
        <v>85.5</v>
      </c>
      <c r="Q13" s="38">
        <v>86</v>
      </c>
      <c r="R13" s="38">
        <v>86.3</v>
      </c>
      <c r="S13" s="38">
        <v>0.65</v>
      </c>
      <c r="T13" s="38">
        <v>0.77</v>
      </c>
      <c r="U13" s="38">
        <v>0.83</v>
      </c>
    </row>
    <row r="14" spans="1:21" x14ac:dyDescent="0.3">
      <c r="A14" s="38">
        <v>3</v>
      </c>
      <c r="B14" s="38">
        <v>2</v>
      </c>
      <c r="C14" s="38">
        <v>5.78</v>
      </c>
      <c r="D14" s="38" t="s">
        <v>115</v>
      </c>
      <c r="E14" s="38">
        <v>2900</v>
      </c>
      <c r="F14" s="38">
        <v>4</v>
      </c>
      <c r="G14" s="38">
        <v>9.8800000000000008</v>
      </c>
      <c r="H14" s="38">
        <v>8</v>
      </c>
      <c r="I14" s="38">
        <v>3.1</v>
      </c>
      <c r="J14" s="38">
        <v>3.6</v>
      </c>
      <c r="K14" s="38">
        <v>6.4000000000000003E-3</v>
      </c>
      <c r="L14" s="38">
        <v>15</v>
      </c>
      <c r="M14" s="38">
        <v>33</v>
      </c>
      <c r="N14" s="38">
        <v>32.799999999999997</v>
      </c>
      <c r="O14" s="38">
        <v>67</v>
      </c>
      <c r="P14" s="38">
        <v>85</v>
      </c>
      <c r="Q14" s="38">
        <v>86.5</v>
      </c>
      <c r="R14" s="38">
        <v>87.1</v>
      </c>
      <c r="S14" s="38">
        <v>0.69</v>
      </c>
      <c r="T14" s="38">
        <v>0.81</v>
      </c>
      <c r="U14" s="38">
        <v>0.86</v>
      </c>
    </row>
    <row r="15" spans="1:21" x14ac:dyDescent="0.3">
      <c r="A15" s="38">
        <v>4</v>
      </c>
      <c r="B15" s="38">
        <v>2</v>
      </c>
      <c r="C15" s="38">
        <v>7.59</v>
      </c>
      <c r="D15" s="38" t="s">
        <v>113</v>
      </c>
      <c r="E15" s="38">
        <v>2900</v>
      </c>
      <c r="F15" s="38">
        <v>5.5</v>
      </c>
      <c r="G15" s="38">
        <v>13.2</v>
      </c>
      <c r="H15" s="38">
        <v>7.7</v>
      </c>
      <c r="I15" s="38">
        <v>2.5</v>
      </c>
      <c r="J15" s="38">
        <v>3.5</v>
      </c>
      <c r="K15" s="38">
        <v>8.0999999999999996E-3</v>
      </c>
      <c r="L15" s="38">
        <v>14</v>
      </c>
      <c r="M15" s="38">
        <v>31</v>
      </c>
      <c r="N15" s="38">
        <v>42.5</v>
      </c>
      <c r="O15" s="38">
        <v>62</v>
      </c>
      <c r="P15" s="38">
        <v>88</v>
      </c>
      <c r="Q15" s="38">
        <v>88.4</v>
      </c>
      <c r="R15" s="38">
        <v>88.4</v>
      </c>
      <c r="S15" s="38">
        <v>0.69</v>
      </c>
      <c r="T15" s="38">
        <v>0.8</v>
      </c>
      <c r="U15" s="38">
        <v>0.86</v>
      </c>
    </row>
    <row r="16" spans="1:21" x14ac:dyDescent="0.3">
      <c r="A16" s="38">
        <v>5.5</v>
      </c>
      <c r="B16" s="38">
        <v>2</v>
      </c>
      <c r="C16" s="38">
        <v>10.6</v>
      </c>
      <c r="D16" s="38" t="s">
        <v>111</v>
      </c>
      <c r="E16" s="38">
        <v>2940</v>
      </c>
      <c r="F16" s="38">
        <v>7.5</v>
      </c>
      <c r="G16" s="38">
        <v>17.899999999999999</v>
      </c>
      <c r="H16" s="38">
        <v>7.9</v>
      </c>
      <c r="I16" s="38">
        <v>2.4</v>
      </c>
      <c r="J16" s="38">
        <v>3.5</v>
      </c>
      <c r="K16" s="38">
        <v>1.7999999999999999E-2</v>
      </c>
      <c r="L16" s="38">
        <v>12</v>
      </c>
      <c r="M16" s="38">
        <v>26</v>
      </c>
      <c r="N16" s="38">
        <v>61</v>
      </c>
      <c r="O16" s="38">
        <v>63</v>
      </c>
      <c r="P16" s="38">
        <v>86.9</v>
      </c>
      <c r="Q16" s="38">
        <v>88.7</v>
      </c>
      <c r="R16" s="38">
        <v>89.4</v>
      </c>
      <c r="S16" s="38">
        <v>0.66</v>
      </c>
      <c r="T16" s="38">
        <v>0.78</v>
      </c>
      <c r="U16" s="38">
        <v>0.84</v>
      </c>
    </row>
    <row r="17" spans="1:21" x14ac:dyDescent="0.3">
      <c r="A17" s="38">
        <v>7.5</v>
      </c>
      <c r="B17" s="38">
        <v>2</v>
      </c>
      <c r="C17" s="38">
        <v>14.1</v>
      </c>
      <c r="D17" s="38" t="s">
        <v>111</v>
      </c>
      <c r="E17" s="38">
        <v>2925</v>
      </c>
      <c r="F17" s="38">
        <v>10</v>
      </c>
      <c r="G17" s="38">
        <v>24.5</v>
      </c>
      <c r="H17" s="38">
        <v>8.5</v>
      </c>
      <c r="I17" s="38">
        <v>2.8</v>
      </c>
      <c r="J17" s="38">
        <v>3.3</v>
      </c>
      <c r="K17" s="38">
        <v>2.3400000000000001E-2</v>
      </c>
      <c r="L17" s="38">
        <v>10</v>
      </c>
      <c r="M17" s="38">
        <v>22</v>
      </c>
      <c r="N17" s="38">
        <v>68.599999999999994</v>
      </c>
      <c r="O17" s="38">
        <v>63</v>
      </c>
      <c r="P17" s="38">
        <v>88.5</v>
      </c>
      <c r="Q17" s="38">
        <v>89.8</v>
      </c>
      <c r="R17" s="38">
        <v>90.3</v>
      </c>
      <c r="S17" s="38">
        <v>0.68</v>
      </c>
      <c r="T17" s="38">
        <v>0.8</v>
      </c>
      <c r="U17" s="38">
        <v>0.85</v>
      </c>
    </row>
    <row r="18" spans="1:21" x14ac:dyDescent="0.3">
      <c r="A18" s="38">
        <v>9.1999999999999993</v>
      </c>
      <c r="B18" s="38">
        <v>2</v>
      </c>
      <c r="C18" s="38">
        <v>16.600000000000001</v>
      </c>
      <c r="D18" s="38" t="s">
        <v>108</v>
      </c>
      <c r="E18" s="38">
        <v>2925</v>
      </c>
      <c r="F18" s="38">
        <v>12.5</v>
      </c>
      <c r="G18" s="38">
        <v>30.1</v>
      </c>
      <c r="H18" s="38">
        <v>8.5</v>
      </c>
      <c r="I18" s="38">
        <v>2.8</v>
      </c>
      <c r="J18" s="38">
        <v>3.1</v>
      </c>
      <c r="K18" s="38">
        <v>3.0300000000000001E-2</v>
      </c>
      <c r="L18" s="38">
        <v>16</v>
      </c>
      <c r="M18" s="38">
        <v>35</v>
      </c>
      <c r="N18" s="38">
        <v>83.2</v>
      </c>
      <c r="O18" s="38">
        <v>63</v>
      </c>
      <c r="P18" s="38">
        <v>90.4</v>
      </c>
      <c r="Q18" s="38">
        <v>91.1</v>
      </c>
      <c r="R18" s="38">
        <v>90.7</v>
      </c>
      <c r="S18" s="38">
        <v>0.75</v>
      </c>
      <c r="T18" s="38">
        <v>0.84</v>
      </c>
      <c r="U18" s="38">
        <v>0.88</v>
      </c>
    </row>
    <row r="19" spans="1:21" x14ac:dyDescent="0.3">
      <c r="A19" s="38">
        <v>11</v>
      </c>
      <c r="B19" s="38">
        <v>2</v>
      </c>
      <c r="C19" s="38">
        <v>20.399999999999999</v>
      </c>
      <c r="D19" s="38" t="s">
        <v>155</v>
      </c>
      <c r="E19" s="38">
        <v>2950</v>
      </c>
      <c r="F19" s="38">
        <v>15</v>
      </c>
      <c r="G19" s="38">
        <v>35.6</v>
      </c>
      <c r="H19" s="38">
        <v>8</v>
      </c>
      <c r="I19" s="38">
        <v>2.7</v>
      </c>
      <c r="J19" s="38">
        <v>3.4</v>
      </c>
      <c r="K19" s="38">
        <v>4.82E-2</v>
      </c>
      <c r="L19" s="38">
        <v>12</v>
      </c>
      <c r="M19" s="38">
        <v>26</v>
      </c>
      <c r="N19" s="38">
        <v>113</v>
      </c>
      <c r="O19" s="38">
        <v>67</v>
      </c>
      <c r="P19" s="38">
        <v>90.3</v>
      </c>
      <c r="Q19" s="38">
        <v>91.4</v>
      </c>
      <c r="R19" s="38">
        <v>91.4</v>
      </c>
      <c r="S19" s="38">
        <v>0.7</v>
      </c>
      <c r="T19" s="38">
        <v>0.8</v>
      </c>
      <c r="U19" s="38">
        <v>0.85</v>
      </c>
    </row>
    <row r="20" spans="1:21" x14ac:dyDescent="0.3">
      <c r="A20" s="38">
        <v>15</v>
      </c>
      <c r="B20" s="38">
        <v>2</v>
      </c>
      <c r="C20" s="38">
        <v>27.7</v>
      </c>
      <c r="D20" s="38" t="s">
        <v>155</v>
      </c>
      <c r="E20" s="38">
        <v>2945</v>
      </c>
      <c r="F20" s="38">
        <v>20</v>
      </c>
      <c r="G20" s="38">
        <v>48.7</v>
      </c>
      <c r="H20" s="38">
        <v>8.3000000000000007</v>
      </c>
      <c r="I20" s="38">
        <v>2.8</v>
      </c>
      <c r="J20" s="38">
        <v>3.6</v>
      </c>
      <c r="K20" s="38">
        <v>5.5100000000000003E-2</v>
      </c>
      <c r="L20" s="38">
        <v>8</v>
      </c>
      <c r="M20" s="38">
        <v>18</v>
      </c>
      <c r="N20" s="38">
        <v>120</v>
      </c>
      <c r="O20" s="38">
        <v>67</v>
      </c>
      <c r="P20" s="38">
        <v>90.9</v>
      </c>
      <c r="Q20" s="38">
        <v>91.8</v>
      </c>
      <c r="R20" s="38">
        <v>92</v>
      </c>
      <c r="S20" s="38">
        <v>0.67</v>
      </c>
      <c r="T20" s="38">
        <v>0.79</v>
      </c>
      <c r="U20" s="38">
        <v>0.85</v>
      </c>
    </row>
    <row r="21" spans="1:21" x14ac:dyDescent="0.3">
      <c r="A21" s="38">
        <v>18.5</v>
      </c>
      <c r="B21" s="38">
        <v>2</v>
      </c>
      <c r="C21" s="38">
        <v>33.9</v>
      </c>
      <c r="D21" s="38" t="s">
        <v>154</v>
      </c>
      <c r="E21" s="38">
        <v>2945</v>
      </c>
      <c r="F21" s="38">
        <v>25</v>
      </c>
      <c r="G21" s="38">
        <v>60</v>
      </c>
      <c r="H21" s="38">
        <v>8.5</v>
      </c>
      <c r="I21" s="38">
        <v>3.1</v>
      </c>
      <c r="J21" s="38">
        <v>3.7</v>
      </c>
      <c r="K21" s="38">
        <v>6.6299999999999998E-2</v>
      </c>
      <c r="L21" s="38">
        <v>6</v>
      </c>
      <c r="M21" s="38">
        <v>13</v>
      </c>
      <c r="N21" s="38">
        <v>135</v>
      </c>
      <c r="O21" s="38">
        <v>67</v>
      </c>
      <c r="P21" s="38">
        <v>91.5</v>
      </c>
      <c r="Q21" s="38">
        <v>92.3</v>
      </c>
      <c r="R21" s="38">
        <v>92.6</v>
      </c>
      <c r="S21" s="38">
        <v>0.69</v>
      </c>
      <c r="T21" s="38">
        <v>0.8</v>
      </c>
      <c r="U21" s="38">
        <v>0.85</v>
      </c>
    </row>
    <row r="22" spans="1:21" x14ac:dyDescent="0.3">
      <c r="A22" s="38">
        <v>22</v>
      </c>
      <c r="B22" s="38">
        <v>2</v>
      </c>
      <c r="C22" s="38">
        <v>39.799999999999997</v>
      </c>
      <c r="D22" s="38" t="s">
        <v>153</v>
      </c>
      <c r="E22" s="38">
        <v>2960</v>
      </c>
      <c r="F22" s="38">
        <v>30</v>
      </c>
      <c r="G22" s="38">
        <v>71</v>
      </c>
      <c r="H22" s="38">
        <v>8.3000000000000007</v>
      </c>
      <c r="I22" s="38">
        <v>3.2</v>
      </c>
      <c r="J22" s="38">
        <v>3.6</v>
      </c>
      <c r="K22" s="38">
        <v>9.6799999999999997E-2</v>
      </c>
      <c r="L22" s="38">
        <v>6</v>
      </c>
      <c r="M22" s="38">
        <v>13</v>
      </c>
      <c r="N22" s="38">
        <v>166</v>
      </c>
      <c r="O22" s="38">
        <v>67</v>
      </c>
      <c r="P22" s="38">
        <v>92</v>
      </c>
      <c r="Q22" s="38">
        <v>92.7</v>
      </c>
      <c r="R22" s="38">
        <v>92.7</v>
      </c>
      <c r="S22" s="38">
        <v>0.69</v>
      </c>
      <c r="T22" s="38">
        <v>0.8</v>
      </c>
      <c r="U22" s="38">
        <v>0.86</v>
      </c>
    </row>
    <row r="23" spans="1:21" x14ac:dyDescent="0.3">
      <c r="A23" s="38">
        <v>0.12</v>
      </c>
      <c r="B23" s="38">
        <v>4</v>
      </c>
      <c r="C23" s="38">
        <v>0.36599999999999999</v>
      </c>
      <c r="D23" s="38" t="s">
        <v>160</v>
      </c>
      <c r="E23" s="38">
        <v>1395</v>
      </c>
      <c r="F23" s="38">
        <v>0.16</v>
      </c>
      <c r="G23" s="38">
        <v>0.82</v>
      </c>
      <c r="H23" s="38">
        <v>4.4000000000000004</v>
      </c>
      <c r="I23" s="38">
        <v>2.2999999999999998</v>
      </c>
      <c r="J23" s="38">
        <v>2.2999999999999998</v>
      </c>
      <c r="K23" s="38">
        <v>4.0000000000000002E-4</v>
      </c>
      <c r="L23" s="38">
        <v>30</v>
      </c>
      <c r="M23" s="38">
        <v>66</v>
      </c>
      <c r="N23" s="38">
        <v>5.2</v>
      </c>
      <c r="O23" s="38">
        <v>44</v>
      </c>
      <c r="P23" s="38">
        <v>57</v>
      </c>
      <c r="Q23" s="38">
        <v>63</v>
      </c>
      <c r="R23" s="38">
        <v>64.8</v>
      </c>
      <c r="S23" s="38">
        <v>0.52</v>
      </c>
      <c r="T23" s="38">
        <v>0.62</v>
      </c>
      <c r="U23" s="38">
        <v>0.73</v>
      </c>
    </row>
    <row r="24" spans="1:21" x14ac:dyDescent="0.3">
      <c r="A24" s="38">
        <v>0.18</v>
      </c>
      <c r="B24" s="38">
        <v>4</v>
      </c>
      <c r="C24" s="38">
        <v>0.51600000000000001</v>
      </c>
      <c r="D24" s="38" t="s">
        <v>160</v>
      </c>
      <c r="E24" s="38">
        <v>1380</v>
      </c>
      <c r="F24" s="38">
        <v>0.25</v>
      </c>
      <c r="G24" s="38">
        <v>1.25</v>
      </c>
      <c r="H24" s="38">
        <v>4.5999999999999996</v>
      </c>
      <c r="I24" s="38">
        <v>2.2000000000000002</v>
      </c>
      <c r="J24" s="38">
        <v>2.2000000000000002</v>
      </c>
      <c r="K24" s="38">
        <v>5.9999999999999995E-4</v>
      </c>
      <c r="L24" s="38">
        <v>30</v>
      </c>
      <c r="M24" s="38">
        <v>66</v>
      </c>
      <c r="N24" s="38">
        <v>14</v>
      </c>
      <c r="O24" s="38">
        <v>44</v>
      </c>
      <c r="P24" s="38">
        <v>65</v>
      </c>
      <c r="Q24" s="38">
        <v>67</v>
      </c>
      <c r="R24" s="38">
        <v>69.900000000000006</v>
      </c>
      <c r="S24" s="38">
        <v>0.53</v>
      </c>
      <c r="T24" s="38">
        <v>0.63</v>
      </c>
      <c r="U24" s="38">
        <v>0.72</v>
      </c>
    </row>
    <row r="25" spans="1:21" x14ac:dyDescent="0.3">
      <c r="A25" s="38">
        <v>0.25</v>
      </c>
      <c r="B25" s="38">
        <v>4</v>
      </c>
      <c r="C25" s="38">
        <v>0.68200000000000005</v>
      </c>
      <c r="D25" s="38" t="s">
        <v>146</v>
      </c>
      <c r="E25" s="38">
        <v>1410</v>
      </c>
      <c r="F25" s="38">
        <v>0.33</v>
      </c>
      <c r="G25" s="38">
        <v>1.69</v>
      </c>
      <c r="H25" s="38">
        <v>4.8</v>
      </c>
      <c r="I25" s="38">
        <v>2.4</v>
      </c>
      <c r="J25" s="38">
        <v>2.4</v>
      </c>
      <c r="K25" s="38">
        <v>8.9999999999999998E-4</v>
      </c>
      <c r="L25" s="38">
        <v>30</v>
      </c>
      <c r="M25" s="38">
        <v>66</v>
      </c>
      <c r="N25" s="38">
        <v>11.2</v>
      </c>
      <c r="O25" s="38">
        <v>43</v>
      </c>
      <c r="P25" s="38">
        <v>69</v>
      </c>
      <c r="Q25" s="38">
        <v>72</v>
      </c>
      <c r="R25" s="38">
        <v>73.5</v>
      </c>
      <c r="S25" s="38">
        <v>0.52</v>
      </c>
      <c r="T25" s="38">
        <v>0.62</v>
      </c>
      <c r="U25" s="38">
        <v>0.72</v>
      </c>
    </row>
    <row r="26" spans="1:21" x14ac:dyDescent="0.3">
      <c r="A26" s="38">
        <v>0.37</v>
      </c>
      <c r="B26" s="38">
        <v>4</v>
      </c>
      <c r="C26" s="38">
        <v>0.98699999999999999</v>
      </c>
      <c r="D26" s="38" t="s">
        <v>146</v>
      </c>
      <c r="E26" s="38">
        <v>1385</v>
      </c>
      <c r="F26" s="38">
        <v>0.5</v>
      </c>
      <c r="G26" s="38">
        <v>2.5499999999999998</v>
      </c>
      <c r="H26" s="38">
        <v>4.8</v>
      </c>
      <c r="I26" s="38">
        <v>2.8</v>
      </c>
      <c r="J26" s="38">
        <v>2.7</v>
      </c>
      <c r="K26" s="38">
        <v>8.0000000000000004E-4</v>
      </c>
      <c r="L26" s="38">
        <v>30</v>
      </c>
      <c r="M26" s="38">
        <v>66</v>
      </c>
      <c r="N26" s="38">
        <v>11.4</v>
      </c>
      <c r="O26" s="38">
        <v>43</v>
      </c>
      <c r="P26" s="38">
        <v>73</v>
      </c>
      <c r="Q26" s="38">
        <v>75</v>
      </c>
      <c r="R26" s="38">
        <v>77.3</v>
      </c>
      <c r="S26" s="38">
        <v>0.5</v>
      </c>
      <c r="T26" s="38">
        <v>0.62</v>
      </c>
      <c r="U26" s="38">
        <v>0.7</v>
      </c>
    </row>
    <row r="27" spans="1:21" x14ac:dyDescent="0.3">
      <c r="A27" s="38">
        <v>0.55000000000000004</v>
      </c>
      <c r="B27" s="38">
        <v>4</v>
      </c>
      <c r="C27" s="38">
        <v>1.23</v>
      </c>
      <c r="D27" s="38" t="s">
        <v>121</v>
      </c>
      <c r="E27" s="38">
        <v>1425</v>
      </c>
      <c r="F27" s="38">
        <v>0.75</v>
      </c>
      <c r="G27" s="38">
        <v>3.69</v>
      </c>
      <c r="H27" s="38">
        <v>6.6</v>
      </c>
      <c r="I27" s="38">
        <v>2.7</v>
      </c>
      <c r="J27" s="38">
        <v>3</v>
      </c>
      <c r="K27" s="38">
        <v>2.7000000000000001E-3</v>
      </c>
      <c r="L27" s="38">
        <v>20</v>
      </c>
      <c r="M27" s="38">
        <v>44</v>
      </c>
      <c r="N27" s="38">
        <v>14.7</v>
      </c>
      <c r="O27" s="38">
        <v>44</v>
      </c>
      <c r="P27" s="38">
        <v>77</v>
      </c>
      <c r="Q27" s="38">
        <v>79</v>
      </c>
      <c r="R27" s="38">
        <v>80.8</v>
      </c>
      <c r="S27" s="38">
        <v>0.61</v>
      </c>
      <c r="T27" s="38">
        <v>0.74</v>
      </c>
      <c r="U27" s="38">
        <v>0.8</v>
      </c>
    </row>
    <row r="28" spans="1:21" x14ac:dyDescent="0.3">
      <c r="A28" s="38">
        <v>0.75</v>
      </c>
      <c r="B28" s="38">
        <v>4</v>
      </c>
      <c r="C28" s="38">
        <v>1.68</v>
      </c>
      <c r="D28" s="38" t="s">
        <v>121</v>
      </c>
      <c r="E28" s="38">
        <v>1435</v>
      </c>
      <c r="F28" s="38">
        <v>1</v>
      </c>
      <c r="G28" s="38">
        <v>4.99</v>
      </c>
      <c r="H28" s="38">
        <v>7</v>
      </c>
      <c r="I28" s="38">
        <v>3.4</v>
      </c>
      <c r="J28" s="38">
        <v>3.5</v>
      </c>
      <c r="K28" s="38">
        <v>3.2000000000000002E-3</v>
      </c>
      <c r="L28" s="38">
        <v>18</v>
      </c>
      <c r="M28" s="38">
        <v>40</v>
      </c>
      <c r="N28" s="38">
        <v>15.9</v>
      </c>
      <c r="O28" s="38">
        <v>44</v>
      </c>
      <c r="P28" s="38">
        <v>78</v>
      </c>
      <c r="Q28" s="38">
        <v>81</v>
      </c>
      <c r="R28" s="38">
        <v>82.5</v>
      </c>
      <c r="S28" s="38">
        <v>0.54</v>
      </c>
      <c r="T28" s="38">
        <v>0.68</v>
      </c>
      <c r="U28" s="38">
        <v>0.78</v>
      </c>
    </row>
    <row r="29" spans="1:21" x14ac:dyDescent="0.3">
      <c r="A29" s="38">
        <v>1.1000000000000001</v>
      </c>
      <c r="B29" s="38">
        <v>4</v>
      </c>
      <c r="C29" s="38">
        <v>2.35</v>
      </c>
      <c r="D29" s="38" t="s">
        <v>119</v>
      </c>
      <c r="E29" s="38">
        <v>1445</v>
      </c>
      <c r="F29" s="38">
        <v>1.5</v>
      </c>
      <c r="G29" s="38">
        <v>7.27</v>
      </c>
      <c r="H29" s="38">
        <v>7</v>
      </c>
      <c r="I29" s="38">
        <v>2.2999999999999998</v>
      </c>
      <c r="J29" s="38">
        <v>2.7</v>
      </c>
      <c r="K29" s="38">
        <v>5.4999999999999997E-3</v>
      </c>
      <c r="L29" s="38">
        <v>15</v>
      </c>
      <c r="M29" s="38">
        <v>33</v>
      </c>
      <c r="N29" s="38">
        <v>21.1</v>
      </c>
      <c r="O29" s="38">
        <v>49</v>
      </c>
      <c r="P29" s="38">
        <v>83</v>
      </c>
      <c r="Q29" s="38">
        <v>84.5</v>
      </c>
      <c r="R29" s="38">
        <v>84.5</v>
      </c>
      <c r="S29" s="38">
        <v>0.59</v>
      </c>
      <c r="T29" s="38">
        <v>0.72</v>
      </c>
      <c r="U29" s="38">
        <v>0.8</v>
      </c>
    </row>
    <row r="30" spans="1:21" x14ac:dyDescent="0.3">
      <c r="A30" s="38">
        <v>1.5</v>
      </c>
      <c r="B30" s="38">
        <v>4</v>
      </c>
      <c r="C30" s="38">
        <v>3.34</v>
      </c>
      <c r="D30" s="38" t="s">
        <v>117</v>
      </c>
      <c r="E30" s="38">
        <v>1450</v>
      </c>
      <c r="F30" s="38">
        <v>2</v>
      </c>
      <c r="G30" s="38">
        <v>9.8800000000000008</v>
      </c>
      <c r="H30" s="38">
        <v>7.4</v>
      </c>
      <c r="I30" s="38">
        <v>2.9</v>
      </c>
      <c r="J30" s="38">
        <v>3.2</v>
      </c>
      <c r="K30" s="38">
        <v>6.6E-3</v>
      </c>
      <c r="L30" s="38">
        <v>13</v>
      </c>
      <c r="M30" s="38">
        <v>29</v>
      </c>
      <c r="N30" s="38">
        <v>24.6</v>
      </c>
      <c r="O30" s="38">
        <v>49</v>
      </c>
      <c r="P30" s="38">
        <v>84</v>
      </c>
      <c r="Q30" s="38">
        <v>85</v>
      </c>
      <c r="R30" s="38">
        <v>85.3</v>
      </c>
      <c r="S30" s="38">
        <v>0.55000000000000004</v>
      </c>
      <c r="T30" s="38">
        <v>0.68</v>
      </c>
      <c r="U30" s="38">
        <v>0.76</v>
      </c>
    </row>
    <row r="31" spans="1:21" x14ac:dyDescent="0.3">
      <c r="A31" s="38">
        <v>2.2000000000000002</v>
      </c>
      <c r="B31" s="38">
        <v>4</v>
      </c>
      <c r="C31" s="38">
        <v>4.62</v>
      </c>
      <c r="D31" s="38" t="s">
        <v>115</v>
      </c>
      <c r="E31" s="38">
        <v>1435</v>
      </c>
      <c r="F31" s="38">
        <v>3</v>
      </c>
      <c r="G31" s="38">
        <v>14.7</v>
      </c>
      <c r="H31" s="38">
        <v>7.8</v>
      </c>
      <c r="I31" s="38">
        <v>3.5</v>
      </c>
      <c r="J31" s="38">
        <v>3.4</v>
      </c>
      <c r="K31" s="38">
        <v>8.9999999999999993E-3</v>
      </c>
      <c r="L31" s="38">
        <v>18</v>
      </c>
      <c r="M31" s="38">
        <v>40</v>
      </c>
      <c r="N31" s="38">
        <v>32.5</v>
      </c>
      <c r="O31" s="38">
        <v>53</v>
      </c>
      <c r="P31" s="38">
        <v>86.5</v>
      </c>
      <c r="Q31" s="38">
        <v>87</v>
      </c>
      <c r="R31" s="38">
        <v>87</v>
      </c>
      <c r="S31" s="38">
        <v>0.59</v>
      </c>
      <c r="T31" s="38">
        <v>0.72</v>
      </c>
      <c r="U31" s="38">
        <v>0.79</v>
      </c>
    </row>
    <row r="32" spans="1:21" x14ac:dyDescent="0.3">
      <c r="A32" s="38">
        <v>3</v>
      </c>
      <c r="B32" s="38">
        <v>4</v>
      </c>
      <c r="C32" s="38">
        <v>6.15</v>
      </c>
      <c r="D32" s="38" t="s">
        <v>161</v>
      </c>
      <c r="E32" s="38">
        <v>1440</v>
      </c>
      <c r="F32" s="38">
        <v>4</v>
      </c>
      <c r="G32" s="38">
        <v>19.899999999999999</v>
      </c>
      <c r="H32" s="38">
        <v>7.8</v>
      </c>
      <c r="I32" s="38">
        <v>3.9</v>
      </c>
      <c r="J32" s="38">
        <v>3.2</v>
      </c>
      <c r="K32" s="38">
        <v>1.2E-2</v>
      </c>
      <c r="L32" s="38">
        <v>15</v>
      </c>
      <c r="M32" s="38">
        <v>33</v>
      </c>
      <c r="N32" s="38">
        <v>38</v>
      </c>
      <c r="O32" s="38">
        <v>53</v>
      </c>
      <c r="P32" s="38">
        <v>87</v>
      </c>
      <c r="Q32" s="38">
        <v>88</v>
      </c>
      <c r="R32" s="38">
        <v>88</v>
      </c>
      <c r="S32" s="38">
        <v>0.6</v>
      </c>
      <c r="T32" s="38">
        <v>0.73</v>
      </c>
      <c r="U32" s="38">
        <v>0.8</v>
      </c>
    </row>
    <row r="33" spans="1:21" x14ac:dyDescent="0.3">
      <c r="A33" s="38">
        <v>4</v>
      </c>
      <c r="B33" s="38">
        <v>4</v>
      </c>
      <c r="C33" s="38">
        <v>8.34</v>
      </c>
      <c r="D33" s="38" t="s">
        <v>113</v>
      </c>
      <c r="E33" s="38">
        <v>1450</v>
      </c>
      <c r="F33" s="38">
        <v>5.5</v>
      </c>
      <c r="G33" s="38">
        <v>26.4</v>
      </c>
      <c r="H33" s="38">
        <v>7</v>
      </c>
      <c r="I33" s="38">
        <v>2.6</v>
      </c>
      <c r="J33" s="38">
        <v>3.1</v>
      </c>
      <c r="K33" s="38">
        <v>1.7999999999999999E-2</v>
      </c>
      <c r="L33" s="38">
        <v>15</v>
      </c>
      <c r="M33" s="38">
        <v>33</v>
      </c>
      <c r="N33" s="38">
        <v>45.7</v>
      </c>
      <c r="O33" s="38">
        <v>56</v>
      </c>
      <c r="P33" s="38">
        <v>88.7</v>
      </c>
      <c r="Q33" s="38">
        <v>89.1</v>
      </c>
      <c r="R33" s="38">
        <v>88.8</v>
      </c>
      <c r="S33" s="38">
        <v>0.59</v>
      </c>
      <c r="T33" s="38">
        <v>0.71</v>
      </c>
      <c r="U33" s="38">
        <v>0.78</v>
      </c>
    </row>
    <row r="34" spans="1:21" x14ac:dyDescent="0.3">
      <c r="A34" s="38">
        <v>5.5</v>
      </c>
      <c r="B34" s="38">
        <v>4</v>
      </c>
      <c r="C34" s="38">
        <v>10.5</v>
      </c>
      <c r="D34" s="38" t="s">
        <v>111</v>
      </c>
      <c r="E34" s="38">
        <v>1465</v>
      </c>
      <c r="F34" s="38">
        <v>7.5</v>
      </c>
      <c r="G34" s="38">
        <v>35.9</v>
      </c>
      <c r="H34" s="38">
        <v>8.3000000000000007</v>
      </c>
      <c r="I34" s="38">
        <v>2.2999999999999998</v>
      </c>
      <c r="J34" s="38">
        <v>3.3</v>
      </c>
      <c r="K34" s="38">
        <v>4.9099999999999998E-2</v>
      </c>
      <c r="L34" s="38">
        <v>12</v>
      </c>
      <c r="M34" s="38">
        <v>26</v>
      </c>
      <c r="N34" s="38">
        <v>66.3</v>
      </c>
      <c r="O34" s="38">
        <v>56</v>
      </c>
      <c r="P34" s="38">
        <v>89</v>
      </c>
      <c r="Q34" s="38">
        <v>89.6</v>
      </c>
      <c r="R34" s="38">
        <v>89.7</v>
      </c>
      <c r="S34" s="38">
        <v>0.66</v>
      </c>
      <c r="T34" s="38">
        <v>0.78</v>
      </c>
      <c r="U34" s="38">
        <v>0.84</v>
      </c>
    </row>
    <row r="35" spans="1:21" x14ac:dyDescent="0.3">
      <c r="A35" s="38">
        <v>7.5</v>
      </c>
      <c r="B35" s="38">
        <v>4</v>
      </c>
      <c r="C35" s="38">
        <v>14.2</v>
      </c>
      <c r="D35" s="38" t="s">
        <v>108</v>
      </c>
      <c r="E35" s="38">
        <v>1460</v>
      </c>
      <c r="F35" s="38">
        <v>10</v>
      </c>
      <c r="G35" s="38">
        <v>49.1</v>
      </c>
      <c r="H35" s="38">
        <v>8.3000000000000007</v>
      </c>
      <c r="I35" s="38">
        <v>2.4</v>
      </c>
      <c r="J35" s="38">
        <v>3.5</v>
      </c>
      <c r="K35" s="38">
        <v>5.6300000000000003E-2</v>
      </c>
      <c r="L35" s="38">
        <v>7</v>
      </c>
      <c r="M35" s="38">
        <v>15</v>
      </c>
      <c r="N35" s="38">
        <v>75.099999999999994</v>
      </c>
      <c r="O35" s="38">
        <v>56</v>
      </c>
      <c r="P35" s="38">
        <v>90.5</v>
      </c>
      <c r="Q35" s="38">
        <v>90.8</v>
      </c>
      <c r="R35" s="38">
        <v>90.6</v>
      </c>
      <c r="S35" s="38">
        <v>0.63</v>
      </c>
      <c r="T35" s="38">
        <v>0.76</v>
      </c>
      <c r="U35" s="38">
        <v>0.84</v>
      </c>
    </row>
    <row r="36" spans="1:21" x14ac:dyDescent="0.3">
      <c r="A36" s="38">
        <v>9.1999999999999993</v>
      </c>
      <c r="B36" s="38">
        <v>4</v>
      </c>
      <c r="C36" s="38">
        <v>17.8</v>
      </c>
      <c r="D36" s="38" t="s">
        <v>156</v>
      </c>
      <c r="E36" s="38">
        <v>1465</v>
      </c>
      <c r="F36" s="38">
        <v>12.5</v>
      </c>
      <c r="G36" s="38">
        <v>60</v>
      </c>
      <c r="H36" s="38">
        <v>8.6</v>
      </c>
      <c r="I36" s="38">
        <v>2.8</v>
      </c>
      <c r="J36" s="38">
        <v>3.5</v>
      </c>
      <c r="K36" s="38">
        <v>6.9800000000000001E-2</v>
      </c>
      <c r="L36" s="38">
        <v>10</v>
      </c>
      <c r="M36" s="38">
        <v>22</v>
      </c>
      <c r="N36" s="38">
        <v>85</v>
      </c>
      <c r="O36" s="38">
        <v>56</v>
      </c>
      <c r="P36" s="38">
        <v>90.3</v>
      </c>
      <c r="Q36" s="38">
        <v>91</v>
      </c>
      <c r="R36" s="38">
        <v>91</v>
      </c>
      <c r="S36" s="38">
        <v>0.64</v>
      </c>
      <c r="T36" s="38">
        <v>0.76</v>
      </c>
      <c r="U36" s="38">
        <v>0.82</v>
      </c>
    </row>
    <row r="37" spans="1:21" x14ac:dyDescent="0.3">
      <c r="A37" s="38">
        <v>11</v>
      </c>
      <c r="B37" s="38">
        <v>4</v>
      </c>
      <c r="C37" s="38">
        <v>20.9</v>
      </c>
      <c r="D37" s="38" t="s">
        <v>155</v>
      </c>
      <c r="E37" s="38">
        <v>1475</v>
      </c>
      <c r="F37" s="38">
        <v>15</v>
      </c>
      <c r="G37" s="38">
        <v>71.3</v>
      </c>
      <c r="H37" s="38">
        <v>7.5</v>
      </c>
      <c r="I37" s="38">
        <v>2.8</v>
      </c>
      <c r="J37" s="38">
        <v>3.2</v>
      </c>
      <c r="K37" s="38">
        <v>0.1191</v>
      </c>
      <c r="L37" s="38">
        <v>11</v>
      </c>
      <c r="M37" s="38">
        <v>24</v>
      </c>
      <c r="N37" s="38">
        <v>125</v>
      </c>
      <c r="O37" s="38">
        <v>61</v>
      </c>
      <c r="P37" s="38">
        <v>91.1</v>
      </c>
      <c r="Q37" s="38">
        <v>91.8</v>
      </c>
      <c r="R37" s="38">
        <v>91.6</v>
      </c>
      <c r="S37" s="38">
        <v>0.65</v>
      </c>
      <c r="T37" s="38">
        <v>0.77</v>
      </c>
      <c r="U37" s="38">
        <v>0.83</v>
      </c>
    </row>
    <row r="38" spans="1:21" x14ac:dyDescent="0.3">
      <c r="A38" s="38">
        <v>15</v>
      </c>
      <c r="B38" s="38">
        <v>4</v>
      </c>
      <c r="C38" s="38">
        <v>28.3</v>
      </c>
      <c r="D38" s="38" t="s">
        <v>154</v>
      </c>
      <c r="E38" s="38">
        <v>1470</v>
      </c>
      <c r="F38" s="38">
        <v>20</v>
      </c>
      <c r="G38" s="38">
        <v>97.5</v>
      </c>
      <c r="H38" s="38">
        <v>7.6</v>
      </c>
      <c r="I38" s="38">
        <v>2.8</v>
      </c>
      <c r="J38" s="38">
        <v>3.1</v>
      </c>
      <c r="K38" s="38">
        <v>0.15340000000000001</v>
      </c>
      <c r="L38" s="38">
        <v>8</v>
      </c>
      <c r="M38" s="38">
        <v>18</v>
      </c>
      <c r="N38" s="38">
        <v>147</v>
      </c>
      <c r="O38" s="38">
        <v>61</v>
      </c>
      <c r="P38" s="38">
        <v>92.2</v>
      </c>
      <c r="Q38" s="38">
        <v>92.5</v>
      </c>
      <c r="R38" s="38">
        <v>92.3</v>
      </c>
      <c r="S38" s="38">
        <v>0.66</v>
      </c>
      <c r="T38" s="38">
        <v>0.77</v>
      </c>
      <c r="U38" s="38">
        <v>0.83</v>
      </c>
    </row>
    <row r="39" spans="1:21" x14ac:dyDescent="0.3">
      <c r="A39" s="38">
        <v>18.5</v>
      </c>
      <c r="B39" s="38">
        <v>4</v>
      </c>
      <c r="C39" s="38">
        <v>35.200000000000003</v>
      </c>
      <c r="D39" s="38" t="s">
        <v>153</v>
      </c>
      <c r="E39" s="38">
        <v>1470</v>
      </c>
      <c r="F39" s="38">
        <v>25</v>
      </c>
      <c r="G39" s="38">
        <v>120</v>
      </c>
      <c r="H39" s="38">
        <v>7.5</v>
      </c>
      <c r="I39" s="38">
        <v>3</v>
      </c>
      <c r="J39" s="38">
        <v>3.2</v>
      </c>
      <c r="K39" s="38">
        <v>0.17399999999999999</v>
      </c>
      <c r="L39" s="38">
        <v>13</v>
      </c>
      <c r="M39" s="38">
        <v>29</v>
      </c>
      <c r="N39" s="38">
        <v>171</v>
      </c>
      <c r="O39" s="38">
        <v>61</v>
      </c>
      <c r="P39" s="38">
        <v>91.8</v>
      </c>
      <c r="Q39" s="38">
        <v>92.6</v>
      </c>
      <c r="R39" s="38">
        <v>92.6</v>
      </c>
      <c r="S39" s="38">
        <v>0.64</v>
      </c>
      <c r="T39" s="38">
        <v>0.76</v>
      </c>
      <c r="U39" s="38">
        <v>0.82</v>
      </c>
    </row>
    <row r="40" spans="1:21" x14ac:dyDescent="0.3">
      <c r="A40" s="38">
        <v>22</v>
      </c>
      <c r="B40" s="38">
        <v>4</v>
      </c>
      <c r="C40" s="38">
        <v>41</v>
      </c>
      <c r="D40" s="38" t="s">
        <v>152</v>
      </c>
      <c r="E40" s="38">
        <v>1470</v>
      </c>
      <c r="F40" s="38">
        <v>30</v>
      </c>
      <c r="G40" s="38">
        <v>143</v>
      </c>
      <c r="H40" s="38">
        <v>7.3</v>
      </c>
      <c r="I40" s="38">
        <v>3.4</v>
      </c>
      <c r="J40" s="38">
        <v>3.4</v>
      </c>
      <c r="K40" s="38">
        <v>0.2097</v>
      </c>
      <c r="L40" s="38">
        <v>11</v>
      </c>
      <c r="M40" s="38">
        <v>24</v>
      </c>
      <c r="N40" s="38">
        <v>193</v>
      </c>
      <c r="O40" s="38">
        <v>61</v>
      </c>
      <c r="P40" s="38">
        <v>92.3</v>
      </c>
      <c r="Q40" s="38">
        <v>93</v>
      </c>
      <c r="R40" s="38">
        <v>93.2</v>
      </c>
      <c r="S40" s="38">
        <v>0.66</v>
      </c>
      <c r="T40" s="38">
        <v>0.77</v>
      </c>
      <c r="U40" s="38">
        <v>0.83</v>
      </c>
    </row>
    <row r="41" spans="1:21" x14ac:dyDescent="0.3">
      <c r="A41" s="38">
        <v>0.12</v>
      </c>
      <c r="B41" s="38">
        <v>6</v>
      </c>
      <c r="C41" s="38">
        <v>0.50900000000000001</v>
      </c>
      <c r="D41" s="38" t="s">
        <v>160</v>
      </c>
      <c r="E41" s="38">
        <v>925</v>
      </c>
      <c r="F41" s="38">
        <v>0.16</v>
      </c>
      <c r="G41" s="38">
        <v>1.24</v>
      </c>
      <c r="H41" s="38">
        <v>3.1</v>
      </c>
      <c r="I41" s="38">
        <v>2.1</v>
      </c>
      <c r="J41" s="38">
        <v>2.2999999999999998</v>
      </c>
      <c r="K41" s="38">
        <v>6.9999999999999999E-4</v>
      </c>
      <c r="L41" s="38">
        <v>30</v>
      </c>
      <c r="M41" s="38">
        <v>66</v>
      </c>
      <c r="N41" s="38">
        <v>7.7</v>
      </c>
      <c r="O41" s="38">
        <v>43</v>
      </c>
      <c r="P41" s="38">
        <v>50</v>
      </c>
      <c r="Q41" s="38">
        <v>55</v>
      </c>
      <c r="R41" s="38">
        <v>57.7</v>
      </c>
      <c r="S41" s="38">
        <v>0.4</v>
      </c>
      <c r="T41" s="38">
        <v>0.5</v>
      </c>
      <c r="U41" s="38">
        <v>0.59</v>
      </c>
    </row>
    <row r="42" spans="1:21" x14ac:dyDescent="0.3">
      <c r="A42" s="38">
        <v>0.18</v>
      </c>
      <c r="B42" s="38">
        <v>6</v>
      </c>
      <c r="C42" s="38">
        <v>0.71299999999999997</v>
      </c>
      <c r="D42" s="38" t="s">
        <v>146</v>
      </c>
      <c r="E42" s="38">
        <v>900</v>
      </c>
      <c r="F42" s="38">
        <v>0.25</v>
      </c>
      <c r="G42" s="38">
        <v>1.91</v>
      </c>
      <c r="H42" s="38">
        <v>3.2</v>
      </c>
      <c r="I42" s="38">
        <v>2</v>
      </c>
      <c r="J42" s="38">
        <v>2.1</v>
      </c>
      <c r="K42" s="38">
        <v>8.9999999999999998E-4</v>
      </c>
      <c r="L42" s="38">
        <v>30</v>
      </c>
      <c r="M42" s="38">
        <v>66</v>
      </c>
      <c r="N42" s="38">
        <v>11.2</v>
      </c>
      <c r="O42" s="38">
        <v>43</v>
      </c>
      <c r="P42" s="38">
        <v>56</v>
      </c>
      <c r="Q42" s="38">
        <v>62</v>
      </c>
      <c r="R42" s="38">
        <v>63.9</v>
      </c>
      <c r="S42" s="38">
        <v>0.38</v>
      </c>
      <c r="T42" s="38">
        <v>0.48</v>
      </c>
      <c r="U42" s="38">
        <v>0.56999999999999995</v>
      </c>
    </row>
    <row r="43" spans="1:21" x14ac:dyDescent="0.3">
      <c r="A43" s="38">
        <v>0.25</v>
      </c>
      <c r="B43" s="38">
        <v>6</v>
      </c>
      <c r="C43" s="38">
        <v>0.76</v>
      </c>
      <c r="D43" s="38" t="s">
        <v>121</v>
      </c>
      <c r="E43" s="38">
        <v>955</v>
      </c>
      <c r="F43" s="38">
        <v>0.33</v>
      </c>
      <c r="G43" s="38">
        <v>2.5</v>
      </c>
      <c r="H43" s="38">
        <v>4.3</v>
      </c>
      <c r="I43" s="38">
        <v>2</v>
      </c>
      <c r="J43" s="38">
        <v>2.4</v>
      </c>
      <c r="K43" s="38">
        <v>2.8999999999999998E-3</v>
      </c>
      <c r="L43" s="38">
        <v>25</v>
      </c>
      <c r="M43" s="38">
        <v>55</v>
      </c>
      <c r="N43" s="38">
        <v>12</v>
      </c>
      <c r="O43" s="38">
        <v>43</v>
      </c>
      <c r="P43" s="38">
        <v>63.6</v>
      </c>
      <c r="Q43" s="38">
        <v>68.5</v>
      </c>
      <c r="R43" s="38">
        <v>68.8</v>
      </c>
      <c r="S43" s="38">
        <v>0.47</v>
      </c>
      <c r="T43" s="38">
        <v>0.6</v>
      </c>
      <c r="U43" s="38">
        <v>0.69</v>
      </c>
    </row>
    <row r="44" spans="1:21" x14ac:dyDescent="0.3">
      <c r="A44" s="38">
        <v>0.37</v>
      </c>
      <c r="B44" s="38">
        <v>6</v>
      </c>
      <c r="C44" s="38">
        <v>0.96899999999999997</v>
      </c>
      <c r="D44" s="38" t="s">
        <v>121</v>
      </c>
      <c r="E44" s="38">
        <v>925</v>
      </c>
      <c r="F44" s="38">
        <v>0.5</v>
      </c>
      <c r="G44" s="38">
        <v>3.82</v>
      </c>
      <c r="H44" s="38">
        <v>4.2</v>
      </c>
      <c r="I44" s="38">
        <v>2.1</v>
      </c>
      <c r="J44" s="38">
        <v>2.1</v>
      </c>
      <c r="K44" s="38">
        <v>2.5000000000000001E-3</v>
      </c>
      <c r="L44" s="38">
        <v>25</v>
      </c>
      <c r="M44" s="38">
        <v>55</v>
      </c>
      <c r="N44" s="38">
        <v>14.3</v>
      </c>
      <c r="O44" s="38">
        <v>43</v>
      </c>
      <c r="P44" s="38">
        <v>66</v>
      </c>
      <c r="Q44" s="38">
        <v>69.5</v>
      </c>
      <c r="R44" s="38">
        <v>73.5</v>
      </c>
      <c r="S44" s="38">
        <v>0.51</v>
      </c>
      <c r="T44" s="38">
        <v>0.65</v>
      </c>
      <c r="U44" s="38">
        <v>0.75</v>
      </c>
    </row>
    <row r="45" spans="1:21" x14ac:dyDescent="0.3">
      <c r="A45" s="38">
        <v>0.55000000000000004</v>
      </c>
      <c r="B45" s="38">
        <v>6</v>
      </c>
      <c r="C45" s="38">
        <v>1.49</v>
      </c>
      <c r="D45" s="38" t="s">
        <v>159</v>
      </c>
      <c r="E45" s="38">
        <v>945</v>
      </c>
      <c r="F45" s="38">
        <v>0.75</v>
      </c>
      <c r="G45" s="38">
        <v>5.56</v>
      </c>
      <c r="H45" s="38">
        <v>5.0999999999999996</v>
      </c>
      <c r="I45" s="38">
        <v>2.9</v>
      </c>
      <c r="J45" s="38">
        <v>3.1</v>
      </c>
      <c r="K45" s="38">
        <v>3.7000000000000002E-3</v>
      </c>
      <c r="L45" s="38">
        <v>20</v>
      </c>
      <c r="M45" s="38">
        <v>44</v>
      </c>
      <c r="N45" s="38">
        <v>18.8</v>
      </c>
      <c r="O45" s="38">
        <v>43</v>
      </c>
      <c r="P45" s="38">
        <v>70.5</v>
      </c>
      <c r="Q45" s="38">
        <v>75.2</v>
      </c>
      <c r="R45" s="38">
        <v>77.2</v>
      </c>
      <c r="S45" s="38">
        <v>0.45</v>
      </c>
      <c r="T45" s="38">
        <v>0.57999999999999996</v>
      </c>
      <c r="U45" s="38">
        <v>0.69</v>
      </c>
    </row>
    <row r="46" spans="1:21" x14ac:dyDescent="0.3">
      <c r="A46" s="38">
        <v>0.75</v>
      </c>
      <c r="B46" s="38">
        <v>6</v>
      </c>
      <c r="C46" s="38">
        <v>1.93</v>
      </c>
      <c r="D46" s="38" t="s">
        <v>158</v>
      </c>
      <c r="E46" s="38">
        <v>950</v>
      </c>
      <c r="F46" s="38">
        <v>1</v>
      </c>
      <c r="G46" s="38">
        <v>7.54</v>
      </c>
      <c r="H46" s="38">
        <v>5.2</v>
      </c>
      <c r="I46" s="38">
        <v>2.5</v>
      </c>
      <c r="J46" s="38">
        <v>2.6</v>
      </c>
      <c r="K46" s="38">
        <v>6.0000000000000001E-3</v>
      </c>
      <c r="L46" s="38">
        <v>31</v>
      </c>
      <c r="M46" s="38">
        <v>68</v>
      </c>
      <c r="N46" s="38">
        <v>24.2</v>
      </c>
      <c r="O46" s="38">
        <v>45</v>
      </c>
      <c r="P46" s="38">
        <v>76.5</v>
      </c>
      <c r="Q46" s="38">
        <v>79</v>
      </c>
      <c r="R46" s="38">
        <v>79</v>
      </c>
      <c r="S46" s="38">
        <v>0.49</v>
      </c>
      <c r="T46" s="38">
        <v>0.62</v>
      </c>
      <c r="U46" s="38">
        <v>0.71</v>
      </c>
    </row>
    <row r="47" spans="1:21" x14ac:dyDescent="0.3">
      <c r="A47" s="38">
        <v>1.1000000000000001</v>
      </c>
      <c r="B47" s="38">
        <v>6</v>
      </c>
      <c r="C47" s="38">
        <v>2.69</v>
      </c>
      <c r="D47" s="38" t="s">
        <v>157</v>
      </c>
      <c r="E47" s="38">
        <v>945</v>
      </c>
      <c r="F47" s="38">
        <v>1.5</v>
      </c>
      <c r="G47" s="38">
        <v>11.1</v>
      </c>
      <c r="H47" s="38">
        <v>5.5</v>
      </c>
      <c r="I47" s="38">
        <v>2.7</v>
      </c>
      <c r="J47" s="38">
        <v>2.7</v>
      </c>
      <c r="K47" s="38">
        <v>7.7000000000000002E-3</v>
      </c>
      <c r="L47" s="38">
        <v>20</v>
      </c>
      <c r="M47" s="38">
        <v>44</v>
      </c>
      <c r="N47" s="38">
        <v>28.5</v>
      </c>
      <c r="O47" s="38">
        <v>45</v>
      </c>
      <c r="P47" s="38">
        <v>79.3</v>
      </c>
      <c r="Q47" s="38">
        <v>81.400000000000006</v>
      </c>
      <c r="R47" s="38">
        <v>81</v>
      </c>
      <c r="S47" s="38">
        <v>0.5</v>
      </c>
      <c r="T47" s="38">
        <v>0.64</v>
      </c>
      <c r="U47" s="38">
        <v>0.73</v>
      </c>
    </row>
    <row r="48" spans="1:21" x14ac:dyDescent="0.3">
      <c r="A48" s="38">
        <v>1.5</v>
      </c>
      <c r="B48" s="38">
        <v>6</v>
      </c>
      <c r="C48" s="38">
        <v>3.7</v>
      </c>
      <c r="D48" s="38" t="s">
        <v>115</v>
      </c>
      <c r="E48" s="38">
        <v>955</v>
      </c>
      <c r="F48" s="38">
        <v>2</v>
      </c>
      <c r="G48" s="38">
        <v>15</v>
      </c>
      <c r="H48" s="38">
        <v>5.5</v>
      </c>
      <c r="I48" s="38">
        <v>2.7</v>
      </c>
      <c r="J48" s="38">
        <v>2.7</v>
      </c>
      <c r="K48" s="38">
        <v>1.43E-2</v>
      </c>
      <c r="L48" s="38">
        <v>31</v>
      </c>
      <c r="M48" s="38">
        <v>68</v>
      </c>
      <c r="N48" s="38">
        <v>33.5</v>
      </c>
      <c r="O48" s="38">
        <v>44</v>
      </c>
      <c r="P48" s="38">
        <v>81.5</v>
      </c>
      <c r="Q48" s="38">
        <v>82.5</v>
      </c>
      <c r="R48" s="38">
        <v>82.5</v>
      </c>
      <c r="S48" s="38">
        <v>0.49</v>
      </c>
      <c r="T48" s="38">
        <v>0.62</v>
      </c>
      <c r="U48" s="38">
        <v>0.71</v>
      </c>
    </row>
    <row r="49" spans="1:21" x14ac:dyDescent="0.3">
      <c r="A49" s="38">
        <v>2.2000000000000002</v>
      </c>
      <c r="B49" s="38">
        <v>6</v>
      </c>
      <c r="C49" s="38">
        <v>5.29</v>
      </c>
      <c r="D49" s="38" t="s">
        <v>113</v>
      </c>
      <c r="E49" s="38">
        <v>960</v>
      </c>
      <c r="F49" s="38">
        <v>3</v>
      </c>
      <c r="G49" s="38">
        <v>21.9</v>
      </c>
      <c r="H49" s="38">
        <v>6.5</v>
      </c>
      <c r="I49" s="38">
        <v>2.7</v>
      </c>
      <c r="J49" s="38">
        <v>2.7</v>
      </c>
      <c r="K49" s="38">
        <v>2.5700000000000001E-2</v>
      </c>
      <c r="L49" s="38">
        <v>26</v>
      </c>
      <c r="M49" s="38">
        <v>57</v>
      </c>
      <c r="N49" s="38">
        <v>46</v>
      </c>
      <c r="O49" s="38">
        <v>49</v>
      </c>
      <c r="P49" s="38">
        <v>83</v>
      </c>
      <c r="Q49" s="38">
        <v>84.5</v>
      </c>
      <c r="R49" s="38">
        <v>84.5</v>
      </c>
      <c r="S49" s="38">
        <v>0.48</v>
      </c>
      <c r="T49" s="38">
        <v>0.61</v>
      </c>
      <c r="U49" s="38">
        <v>0.71</v>
      </c>
    </row>
    <row r="50" spans="1:21" x14ac:dyDescent="0.3">
      <c r="A50" s="38">
        <v>3</v>
      </c>
      <c r="B50" s="38">
        <v>6</v>
      </c>
      <c r="C50" s="38">
        <v>6.93</v>
      </c>
      <c r="D50" s="38" t="s">
        <v>111</v>
      </c>
      <c r="E50" s="38">
        <v>970</v>
      </c>
      <c r="F50" s="38">
        <v>4</v>
      </c>
      <c r="G50" s="38">
        <v>29.6</v>
      </c>
      <c r="H50" s="38">
        <v>6.1</v>
      </c>
      <c r="I50" s="38">
        <v>1.9</v>
      </c>
      <c r="J50" s="38">
        <v>2.4</v>
      </c>
      <c r="K50" s="38">
        <v>4.1599999999999998E-2</v>
      </c>
      <c r="L50" s="38">
        <v>40</v>
      </c>
      <c r="M50" s="38">
        <v>88</v>
      </c>
      <c r="N50" s="38">
        <v>61.5</v>
      </c>
      <c r="O50" s="38">
        <v>53</v>
      </c>
      <c r="P50" s="38">
        <v>85</v>
      </c>
      <c r="Q50" s="38">
        <v>85.6</v>
      </c>
      <c r="R50" s="38">
        <v>85.6</v>
      </c>
      <c r="S50" s="38">
        <v>0.53</v>
      </c>
      <c r="T50" s="38">
        <v>0.66</v>
      </c>
      <c r="U50" s="38">
        <v>0.73</v>
      </c>
    </row>
    <row r="51" spans="1:21" x14ac:dyDescent="0.3">
      <c r="A51" s="38">
        <v>4</v>
      </c>
      <c r="B51" s="38">
        <v>6</v>
      </c>
      <c r="C51" s="38">
        <v>9.11</v>
      </c>
      <c r="D51" s="38" t="s">
        <v>108</v>
      </c>
      <c r="E51" s="38">
        <v>965</v>
      </c>
      <c r="F51" s="38">
        <v>5.5</v>
      </c>
      <c r="G51" s="38">
        <v>39.6</v>
      </c>
      <c r="H51" s="38">
        <v>6.5</v>
      </c>
      <c r="I51" s="38">
        <v>2.1</v>
      </c>
      <c r="J51" s="38">
        <v>2.6</v>
      </c>
      <c r="K51" s="38">
        <v>4.9200000000000001E-2</v>
      </c>
      <c r="L51" s="38">
        <v>20</v>
      </c>
      <c r="M51" s="38">
        <v>44</v>
      </c>
      <c r="N51" s="38">
        <v>69.8</v>
      </c>
      <c r="O51" s="38">
        <v>53</v>
      </c>
      <c r="P51" s="38">
        <v>86</v>
      </c>
      <c r="Q51" s="38">
        <v>86.8</v>
      </c>
      <c r="R51" s="38">
        <v>86.8</v>
      </c>
      <c r="S51" s="38">
        <v>0.53</v>
      </c>
      <c r="T51" s="38">
        <v>0.66</v>
      </c>
      <c r="U51" s="38">
        <v>0.73</v>
      </c>
    </row>
    <row r="52" spans="1:21" x14ac:dyDescent="0.3">
      <c r="A52" s="38">
        <v>5.5</v>
      </c>
      <c r="B52" s="38">
        <v>6</v>
      </c>
      <c r="C52" s="38">
        <v>12.9</v>
      </c>
      <c r="D52" s="38" t="s">
        <v>156</v>
      </c>
      <c r="E52" s="38">
        <v>970</v>
      </c>
      <c r="F52" s="38">
        <v>7.5</v>
      </c>
      <c r="G52" s="38">
        <v>54.2</v>
      </c>
      <c r="H52" s="38">
        <v>7.3</v>
      </c>
      <c r="I52" s="38">
        <v>2.6</v>
      </c>
      <c r="J52" s="38">
        <v>2.8</v>
      </c>
      <c r="K52" s="38">
        <v>7.5499999999999998E-2</v>
      </c>
      <c r="L52" s="38">
        <v>26</v>
      </c>
      <c r="M52" s="38">
        <v>57</v>
      </c>
      <c r="N52" s="38">
        <v>78</v>
      </c>
      <c r="O52" s="38">
        <v>53</v>
      </c>
      <c r="P52" s="38">
        <v>86.5</v>
      </c>
      <c r="Q52" s="38">
        <v>88</v>
      </c>
      <c r="R52" s="38">
        <v>88</v>
      </c>
      <c r="S52" s="38">
        <v>0.5</v>
      </c>
      <c r="T52" s="38">
        <v>0.64</v>
      </c>
      <c r="U52" s="38">
        <v>0.7</v>
      </c>
    </row>
    <row r="53" spans="1:21" x14ac:dyDescent="0.3">
      <c r="A53" s="38">
        <v>7.5</v>
      </c>
      <c r="B53" s="38">
        <v>6</v>
      </c>
      <c r="C53" s="38">
        <v>15.2</v>
      </c>
      <c r="D53" s="38" t="s">
        <v>155</v>
      </c>
      <c r="E53" s="38">
        <v>975</v>
      </c>
      <c r="F53" s="38">
        <v>10</v>
      </c>
      <c r="G53" s="38">
        <v>73.5</v>
      </c>
      <c r="H53" s="38">
        <v>6.3</v>
      </c>
      <c r="I53" s="38">
        <v>2.2000000000000002</v>
      </c>
      <c r="J53" s="38">
        <v>2.5</v>
      </c>
      <c r="K53" s="38">
        <v>0.1404</v>
      </c>
      <c r="L53" s="38">
        <v>16</v>
      </c>
      <c r="M53" s="38">
        <v>35</v>
      </c>
      <c r="N53" s="38">
        <v>118</v>
      </c>
      <c r="O53" s="38">
        <v>57</v>
      </c>
      <c r="P53" s="38">
        <v>88.3</v>
      </c>
      <c r="Q53" s="38">
        <v>89.3</v>
      </c>
      <c r="R53" s="38">
        <v>89.1</v>
      </c>
      <c r="S53" s="38">
        <v>0.62</v>
      </c>
      <c r="T53" s="38">
        <v>0.74</v>
      </c>
      <c r="U53" s="38">
        <v>0.8</v>
      </c>
    </row>
    <row r="54" spans="1:21" x14ac:dyDescent="0.3">
      <c r="A54" s="38">
        <v>9.1999999999999993</v>
      </c>
      <c r="B54" s="38">
        <v>6</v>
      </c>
      <c r="C54" s="38">
        <v>18.2</v>
      </c>
      <c r="D54" s="38" t="s">
        <v>154</v>
      </c>
      <c r="E54" s="38">
        <v>975</v>
      </c>
      <c r="F54" s="38">
        <v>12.5</v>
      </c>
      <c r="G54" s="38">
        <v>90.2</v>
      </c>
      <c r="H54" s="38">
        <v>6.5</v>
      </c>
      <c r="I54" s="38">
        <v>2.2999999999999998</v>
      </c>
      <c r="J54" s="38">
        <v>2.9</v>
      </c>
      <c r="K54" s="38">
        <v>0.17560000000000001</v>
      </c>
      <c r="L54" s="38">
        <v>18</v>
      </c>
      <c r="M54" s="38">
        <v>40</v>
      </c>
      <c r="N54" s="38">
        <v>135</v>
      </c>
      <c r="O54" s="38">
        <v>57</v>
      </c>
      <c r="P54" s="38">
        <v>90</v>
      </c>
      <c r="Q54" s="38">
        <v>90.6</v>
      </c>
      <c r="R54" s="38">
        <v>90</v>
      </c>
      <c r="S54" s="38">
        <v>0.64</v>
      </c>
      <c r="T54" s="38">
        <v>0.75</v>
      </c>
      <c r="U54" s="38">
        <v>0.81</v>
      </c>
    </row>
    <row r="55" spans="1:21" x14ac:dyDescent="0.3">
      <c r="A55" s="38">
        <v>11</v>
      </c>
      <c r="B55" s="38">
        <v>6</v>
      </c>
      <c r="C55" s="38">
        <v>22.8</v>
      </c>
      <c r="D55" s="38" t="s">
        <v>154</v>
      </c>
      <c r="E55" s="38">
        <v>978</v>
      </c>
      <c r="F55" s="38">
        <v>15</v>
      </c>
      <c r="G55" s="38">
        <v>107</v>
      </c>
      <c r="H55" s="38">
        <v>7.1</v>
      </c>
      <c r="I55" s="38">
        <v>2.8</v>
      </c>
      <c r="J55" s="38">
        <v>3</v>
      </c>
      <c r="K55" s="38">
        <v>0.19309999999999999</v>
      </c>
      <c r="L55" s="38">
        <v>12</v>
      </c>
      <c r="M55" s="38">
        <v>26</v>
      </c>
      <c r="N55" s="38">
        <v>142</v>
      </c>
      <c r="O55" s="38">
        <v>57</v>
      </c>
      <c r="P55" s="38">
        <v>89</v>
      </c>
      <c r="Q55" s="38">
        <v>90.1</v>
      </c>
      <c r="R55" s="38">
        <v>90.5</v>
      </c>
      <c r="S55" s="38">
        <v>0.56000000000000005</v>
      </c>
      <c r="T55" s="38">
        <v>0.7</v>
      </c>
      <c r="U55" s="38">
        <v>0.77</v>
      </c>
    </row>
    <row r="56" spans="1:21" x14ac:dyDescent="0.3">
      <c r="A56" s="38">
        <v>15</v>
      </c>
      <c r="B56" s="38">
        <v>6</v>
      </c>
      <c r="C56" s="38">
        <v>28.2</v>
      </c>
      <c r="D56" s="38" t="s">
        <v>152</v>
      </c>
      <c r="E56" s="38">
        <v>977</v>
      </c>
      <c r="F56" s="38">
        <v>20</v>
      </c>
      <c r="G56" s="38">
        <v>147</v>
      </c>
      <c r="H56" s="38">
        <v>8.1999999999999993</v>
      </c>
      <c r="I56" s="38">
        <v>2.8</v>
      </c>
      <c r="J56" s="38">
        <v>3.2</v>
      </c>
      <c r="K56" s="38">
        <v>0.29699999999999999</v>
      </c>
      <c r="L56" s="38">
        <v>8</v>
      </c>
      <c r="M56" s="38">
        <v>18</v>
      </c>
      <c r="N56" s="38">
        <v>181</v>
      </c>
      <c r="O56" s="38">
        <v>56</v>
      </c>
      <c r="P56" s="38">
        <v>91.5</v>
      </c>
      <c r="Q56" s="38">
        <v>91.5</v>
      </c>
      <c r="R56" s="38">
        <v>91.4</v>
      </c>
      <c r="S56" s="38">
        <v>0.65</v>
      </c>
      <c r="T56" s="38">
        <v>0.77</v>
      </c>
      <c r="U56" s="38">
        <v>0.84</v>
      </c>
    </row>
    <row r="57" spans="1:21" x14ac:dyDescent="0.3">
      <c r="A57" s="38">
        <v>18.5</v>
      </c>
      <c r="B57" s="38">
        <v>6</v>
      </c>
      <c r="C57" s="38">
        <v>35.9</v>
      </c>
      <c r="D57" s="38" t="s">
        <v>151</v>
      </c>
      <c r="E57" s="38">
        <v>980</v>
      </c>
      <c r="F57" s="38">
        <v>25</v>
      </c>
      <c r="G57" s="38">
        <v>180</v>
      </c>
      <c r="H57" s="38">
        <v>6.3</v>
      </c>
      <c r="I57" s="38">
        <v>2.4</v>
      </c>
      <c r="J57" s="38">
        <v>2.8</v>
      </c>
      <c r="K57" s="38">
        <v>0.35099999999999998</v>
      </c>
      <c r="L57" s="38">
        <v>16</v>
      </c>
      <c r="M57" s="38">
        <v>35</v>
      </c>
      <c r="N57" s="38">
        <v>222</v>
      </c>
      <c r="O57" s="38">
        <v>60</v>
      </c>
      <c r="P57" s="38">
        <v>91</v>
      </c>
      <c r="Q57" s="38">
        <v>91.7</v>
      </c>
      <c r="R57" s="38">
        <v>91.9</v>
      </c>
      <c r="S57" s="38">
        <v>0.63</v>
      </c>
      <c r="T57" s="38">
        <v>0.75</v>
      </c>
      <c r="U57" s="38">
        <v>0.81</v>
      </c>
    </row>
    <row r="58" spans="1:21" x14ac:dyDescent="0.3">
      <c r="A58" s="38">
        <v>22</v>
      </c>
      <c r="B58" s="38">
        <v>6</v>
      </c>
      <c r="C58" s="38">
        <v>42.4</v>
      </c>
      <c r="D58" s="38" t="s">
        <v>151</v>
      </c>
      <c r="E58" s="38">
        <v>980</v>
      </c>
      <c r="F58" s="38">
        <v>30</v>
      </c>
      <c r="G58" s="38">
        <v>215</v>
      </c>
      <c r="H58" s="38">
        <v>6.4</v>
      </c>
      <c r="I58" s="38">
        <v>2.4</v>
      </c>
      <c r="J58" s="38">
        <v>2.8</v>
      </c>
      <c r="K58" s="38">
        <v>0.42120000000000002</v>
      </c>
      <c r="L58" s="38">
        <v>15</v>
      </c>
      <c r="M58" s="38">
        <v>33</v>
      </c>
      <c r="N58" s="38">
        <v>242</v>
      </c>
      <c r="O58" s="38">
        <v>60</v>
      </c>
      <c r="P58" s="38">
        <v>91.4</v>
      </c>
      <c r="Q58" s="38">
        <v>92</v>
      </c>
      <c r="R58" s="38">
        <v>92.4</v>
      </c>
      <c r="S58" s="38">
        <v>0.64</v>
      </c>
      <c r="T58" s="38">
        <v>0.76</v>
      </c>
      <c r="U58" s="38">
        <v>0.81</v>
      </c>
    </row>
    <row r="59" spans="1:21" x14ac:dyDescent="0.3">
      <c r="A59" s="38">
        <v>0.12</v>
      </c>
      <c r="B59" s="38">
        <v>8</v>
      </c>
      <c r="C59" s="38">
        <v>0.66</v>
      </c>
      <c r="D59" s="38" t="s">
        <v>146</v>
      </c>
      <c r="E59" s="38">
        <v>650</v>
      </c>
      <c r="F59" s="38">
        <v>0.16</v>
      </c>
      <c r="G59" s="38">
        <v>1.76</v>
      </c>
      <c r="H59" s="38">
        <v>2.4</v>
      </c>
      <c r="I59" s="38">
        <v>1.8</v>
      </c>
      <c r="J59" s="38">
        <v>1.9</v>
      </c>
      <c r="K59" s="38">
        <v>8.9999999999999998E-4</v>
      </c>
      <c r="L59" s="38">
        <v>30</v>
      </c>
      <c r="M59" s="38">
        <v>66</v>
      </c>
      <c r="N59" s="38">
        <v>11.5</v>
      </c>
      <c r="O59" s="38">
        <v>41</v>
      </c>
      <c r="P59" s="38">
        <v>44</v>
      </c>
      <c r="Q59" s="38">
        <v>50</v>
      </c>
      <c r="R59" s="38">
        <v>52.5</v>
      </c>
      <c r="S59" s="38">
        <v>0.35</v>
      </c>
      <c r="T59" s="38">
        <v>0.43</v>
      </c>
      <c r="U59" s="38">
        <v>0.5</v>
      </c>
    </row>
    <row r="60" spans="1:21" x14ac:dyDescent="0.3">
      <c r="A60" s="38">
        <v>0.18</v>
      </c>
      <c r="B60" s="38">
        <v>8</v>
      </c>
      <c r="C60" s="38">
        <v>0.68100000000000005</v>
      </c>
      <c r="D60" s="38" t="s">
        <v>121</v>
      </c>
      <c r="E60" s="38">
        <v>680</v>
      </c>
      <c r="F60" s="38">
        <v>0.25</v>
      </c>
      <c r="G60" s="38">
        <v>2.5299999999999998</v>
      </c>
      <c r="H60" s="38">
        <v>3.3</v>
      </c>
      <c r="I60" s="38">
        <v>2</v>
      </c>
      <c r="J60" s="38">
        <v>2.2000000000000002</v>
      </c>
      <c r="K60" s="38">
        <v>2.8999999999999998E-3</v>
      </c>
      <c r="L60" s="38">
        <v>30</v>
      </c>
      <c r="M60" s="38">
        <v>66</v>
      </c>
      <c r="N60" s="38">
        <v>13.5</v>
      </c>
      <c r="O60" s="38">
        <v>42</v>
      </c>
      <c r="P60" s="38">
        <v>51</v>
      </c>
      <c r="Q60" s="38">
        <v>57</v>
      </c>
      <c r="R60" s="38">
        <v>58.7</v>
      </c>
      <c r="S60" s="38">
        <v>0.45</v>
      </c>
      <c r="T60" s="38">
        <v>0.55000000000000004</v>
      </c>
      <c r="U60" s="38">
        <v>0.65</v>
      </c>
    </row>
    <row r="61" spans="1:21" x14ac:dyDescent="0.3">
      <c r="A61" s="38">
        <v>0.25</v>
      </c>
      <c r="B61" s="38">
        <v>8</v>
      </c>
      <c r="C61" s="38">
        <v>0.89400000000000002</v>
      </c>
      <c r="D61" s="38" t="s">
        <v>121</v>
      </c>
      <c r="E61" s="38">
        <v>695</v>
      </c>
      <c r="F61" s="38">
        <v>0.33</v>
      </c>
      <c r="G61" s="38">
        <v>3.44</v>
      </c>
      <c r="H61" s="38">
        <v>3.5</v>
      </c>
      <c r="I61" s="38">
        <v>2</v>
      </c>
      <c r="J61" s="38">
        <v>2.2000000000000002</v>
      </c>
      <c r="K61" s="38">
        <v>3.3999999999999998E-3</v>
      </c>
      <c r="L61" s="38">
        <v>30</v>
      </c>
      <c r="M61" s="38">
        <v>66</v>
      </c>
      <c r="N61" s="38">
        <v>14.5</v>
      </c>
      <c r="O61" s="38">
        <v>42</v>
      </c>
      <c r="P61" s="38">
        <v>53</v>
      </c>
      <c r="Q61" s="38">
        <v>60</v>
      </c>
      <c r="R61" s="38">
        <v>64.099999999999994</v>
      </c>
      <c r="S61" s="38">
        <v>0.42</v>
      </c>
      <c r="T61" s="38">
        <v>0.52</v>
      </c>
      <c r="U61" s="38">
        <v>0.63</v>
      </c>
    </row>
    <row r="62" spans="1:21" x14ac:dyDescent="0.3">
      <c r="A62" s="38">
        <v>0.37</v>
      </c>
      <c r="B62" s="38">
        <v>8</v>
      </c>
      <c r="C62" s="38">
        <v>1.24</v>
      </c>
      <c r="D62" s="38" t="s">
        <v>119</v>
      </c>
      <c r="E62" s="38">
        <v>700</v>
      </c>
      <c r="F62" s="38">
        <v>0.5</v>
      </c>
      <c r="G62" s="38">
        <v>5.05</v>
      </c>
      <c r="H62" s="38">
        <v>3.7</v>
      </c>
      <c r="I62" s="38">
        <v>2</v>
      </c>
      <c r="J62" s="38">
        <v>2.2999999999999998</v>
      </c>
      <c r="K62" s="38">
        <v>5.4999999999999997E-3</v>
      </c>
      <c r="L62" s="38">
        <v>30</v>
      </c>
      <c r="M62" s="38">
        <v>66</v>
      </c>
      <c r="N62" s="38">
        <v>19</v>
      </c>
      <c r="O62" s="38">
        <v>44</v>
      </c>
      <c r="P62" s="38">
        <v>61</v>
      </c>
      <c r="Q62" s="38">
        <v>66</v>
      </c>
      <c r="R62" s="38">
        <v>69.3</v>
      </c>
      <c r="S62" s="38">
        <v>0.41</v>
      </c>
      <c r="T62" s="38">
        <v>0.53</v>
      </c>
      <c r="U62" s="38">
        <v>0.62</v>
      </c>
    </row>
    <row r="63" spans="1:21" x14ac:dyDescent="0.3">
      <c r="A63" s="38">
        <v>0.55000000000000004</v>
      </c>
      <c r="B63" s="38">
        <v>8</v>
      </c>
      <c r="C63" s="38">
        <v>1.62</v>
      </c>
      <c r="D63" s="38" t="s">
        <v>117</v>
      </c>
      <c r="E63" s="38">
        <v>695</v>
      </c>
      <c r="F63" s="38">
        <v>0.75</v>
      </c>
      <c r="G63" s="38">
        <v>7.56</v>
      </c>
      <c r="H63" s="38">
        <v>3.8</v>
      </c>
      <c r="I63" s="38">
        <v>1.9</v>
      </c>
      <c r="J63" s="38">
        <v>2.2000000000000002</v>
      </c>
      <c r="K63" s="38">
        <v>6.6E-3</v>
      </c>
      <c r="L63" s="38">
        <v>29</v>
      </c>
      <c r="M63" s="38">
        <v>64</v>
      </c>
      <c r="N63" s="38">
        <v>23</v>
      </c>
      <c r="O63" s="38">
        <v>44</v>
      </c>
      <c r="P63" s="38">
        <v>65</v>
      </c>
      <c r="Q63" s="38">
        <v>70</v>
      </c>
      <c r="R63" s="38">
        <v>73</v>
      </c>
      <c r="S63" s="38">
        <v>0.44</v>
      </c>
      <c r="T63" s="38">
        <v>0.56999999999999995</v>
      </c>
      <c r="U63" s="38">
        <v>0.67</v>
      </c>
    </row>
    <row r="64" spans="1:21" x14ac:dyDescent="0.3">
      <c r="A64" s="38">
        <v>0.75</v>
      </c>
      <c r="B64" s="38">
        <v>8</v>
      </c>
      <c r="C64" s="38">
        <v>2.31</v>
      </c>
      <c r="D64" s="38" t="s">
        <v>115</v>
      </c>
      <c r="E64" s="38">
        <v>710</v>
      </c>
      <c r="F64" s="38">
        <v>1</v>
      </c>
      <c r="G64" s="38">
        <v>10.1</v>
      </c>
      <c r="H64" s="38">
        <v>4.3</v>
      </c>
      <c r="I64" s="38">
        <v>1.8</v>
      </c>
      <c r="J64" s="38">
        <v>2.1</v>
      </c>
      <c r="K64" s="38">
        <v>1.2699999999999999E-2</v>
      </c>
      <c r="L64" s="38">
        <v>30</v>
      </c>
      <c r="M64" s="38">
        <v>66</v>
      </c>
      <c r="N64" s="38">
        <v>30.5</v>
      </c>
      <c r="O64" s="38">
        <v>50</v>
      </c>
      <c r="P64" s="38">
        <v>72.5</v>
      </c>
      <c r="Q64" s="38">
        <v>75.5</v>
      </c>
      <c r="R64" s="38">
        <v>75.5</v>
      </c>
      <c r="S64" s="38">
        <v>0.41</v>
      </c>
      <c r="T64" s="38">
        <v>0.53</v>
      </c>
      <c r="U64" s="38">
        <v>0.62</v>
      </c>
    </row>
    <row r="65" spans="1:21" x14ac:dyDescent="0.3">
      <c r="A65" s="38">
        <v>1.1000000000000001</v>
      </c>
      <c r="B65" s="38">
        <v>8</v>
      </c>
      <c r="C65" s="38">
        <v>3.3</v>
      </c>
      <c r="D65" s="38" t="s">
        <v>115</v>
      </c>
      <c r="E65" s="38">
        <v>710</v>
      </c>
      <c r="F65" s="38">
        <v>1.5</v>
      </c>
      <c r="G65" s="38">
        <v>14.8</v>
      </c>
      <c r="H65" s="38">
        <v>4.5999999999999996</v>
      </c>
      <c r="I65" s="38">
        <v>1.9</v>
      </c>
      <c r="J65" s="38">
        <v>2</v>
      </c>
      <c r="K65" s="38">
        <v>1.43E-2</v>
      </c>
      <c r="L65" s="38">
        <v>30</v>
      </c>
      <c r="M65" s="38">
        <v>66</v>
      </c>
      <c r="N65" s="38">
        <v>33</v>
      </c>
      <c r="O65" s="38">
        <v>50</v>
      </c>
      <c r="P65" s="38">
        <v>73</v>
      </c>
      <c r="Q65" s="38">
        <v>76</v>
      </c>
      <c r="R65" s="38">
        <v>77.7</v>
      </c>
      <c r="S65" s="38">
        <v>0.41</v>
      </c>
      <c r="T65" s="38">
        <v>0.53</v>
      </c>
      <c r="U65" s="38">
        <v>0.62</v>
      </c>
    </row>
    <row r="66" spans="1:21" x14ac:dyDescent="0.3">
      <c r="A66" s="38">
        <v>1.5</v>
      </c>
      <c r="B66" s="38">
        <v>8</v>
      </c>
      <c r="C66" s="38">
        <v>3.98</v>
      </c>
      <c r="D66" s="38" t="s">
        <v>113</v>
      </c>
      <c r="E66" s="38">
        <v>705</v>
      </c>
      <c r="F66" s="38">
        <v>2</v>
      </c>
      <c r="G66" s="38">
        <v>20.3</v>
      </c>
      <c r="H66" s="38">
        <v>5</v>
      </c>
      <c r="I66" s="38">
        <v>2.5</v>
      </c>
      <c r="J66" s="38">
        <v>2.8</v>
      </c>
      <c r="K66" s="38">
        <v>2.3800000000000002E-2</v>
      </c>
      <c r="L66" s="38">
        <v>28</v>
      </c>
      <c r="M66" s="38">
        <v>62</v>
      </c>
      <c r="N66" s="38">
        <v>43</v>
      </c>
      <c r="O66" s="38">
        <v>46</v>
      </c>
      <c r="P66" s="38">
        <v>79</v>
      </c>
      <c r="Q66" s="38">
        <v>79.5</v>
      </c>
      <c r="R66" s="38">
        <v>79.900000000000006</v>
      </c>
      <c r="S66" s="38">
        <v>0.45</v>
      </c>
      <c r="T66" s="38">
        <v>0.59</v>
      </c>
      <c r="U66" s="38">
        <v>0.68</v>
      </c>
    </row>
    <row r="67" spans="1:21" x14ac:dyDescent="0.3">
      <c r="A67" s="38">
        <v>2.2000000000000002</v>
      </c>
      <c r="B67" s="38">
        <v>8</v>
      </c>
      <c r="C67" s="38">
        <v>5.37</v>
      </c>
      <c r="D67" s="38" t="s">
        <v>111</v>
      </c>
      <c r="E67" s="38">
        <v>710</v>
      </c>
      <c r="F67" s="38">
        <v>3</v>
      </c>
      <c r="G67" s="38">
        <v>29.6</v>
      </c>
      <c r="H67" s="38">
        <v>6.2</v>
      </c>
      <c r="I67" s="38">
        <v>2.2999999999999998</v>
      </c>
      <c r="J67" s="38">
        <v>2.5</v>
      </c>
      <c r="K67" s="38">
        <v>6.9000000000000006E-2</v>
      </c>
      <c r="L67" s="38">
        <v>27</v>
      </c>
      <c r="M67" s="38">
        <v>59</v>
      </c>
      <c r="N67" s="38">
        <v>69</v>
      </c>
      <c r="O67" s="38">
        <v>48</v>
      </c>
      <c r="P67" s="38">
        <v>81.5</v>
      </c>
      <c r="Q67" s="38">
        <v>82</v>
      </c>
      <c r="R67" s="38">
        <v>82.1</v>
      </c>
      <c r="S67" s="38">
        <v>0.51</v>
      </c>
      <c r="T67" s="38">
        <v>0.65</v>
      </c>
      <c r="U67" s="38">
        <v>0.72</v>
      </c>
    </row>
    <row r="68" spans="1:21" x14ac:dyDescent="0.3">
      <c r="A68" s="38">
        <v>3</v>
      </c>
      <c r="B68" s="38">
        <v>8</v>
      </c>
      <c r="C68" s="38">
        <v>7.2</v>
      </c>
      <c r="D68" s="38" t="s">
        <v>108</v>
      </c>
      <c r="E68" s="38">
        <v>715</v>
      </c>
      <c r="F68" s="38">
        <v>4</v>
      </c>
      <c r="G68" s="38">
        <v>40.1</v>
      </c>
      <c r="H68" s="38">
        <v>6.5</v>
      </c>
      <c r="I68" s="38">
        <v>2.4</v>
      </c>
      <c r="J68" s="38">
        <v>2.6</v>
      </c>
      <c r="K68" s="38">
        <v>8.3799999999999999E-2</v>
      </c>
      <c r="L68" s="38">
        <v>21</v>
      </c>
      <c r="M68" s="38">
        <v>46</v>
      </c>
      <c r="N68" s="38">
        <v>75</v>
      </c>
      <c r="O68" s="38">
        <v>48</v>
      </c>
      <c r="P68" s="38">
        <v>82.5</v>
      </c>
      <c r="Q68" s="38">
        <v>83.5</v>
      </c>
      <c r="R68" s="38">
        <v>83.5</v>
      </c>
      <c r="S68" s="38">
        <v>0.51</v>
      </c>
      <c r="T68" s="38">
        <v>0.64</v>
      </c>
      <c r="U68" s="38">
        <v>0.72</v>
      </c>
    </row>
    <row r="69" spans="1:21" x14ac:dyDescent="0.3">
      <c r="A69" s="38">
        <v>4</v>
      </c>
      <c r="B69" s="38">
        <v>8</v>
      </c>
      <c r="C69" s="38">
        <v>9.8699999999999992</v>
      </c>
      <c r="D69" s="38" t="s">
        <v>155</v>
      </c>
      <c r="E69" s="38">
        <v>730</v>
      </c>
      <c r="F69" s="38">
        <v>5.5</v>
      </c>
      <c r="G69" s="38">
        <v>52.4</v>
      </c>
      <c r="H69" s="38">
        <v>5</v>
      </c>
      <c r="I69" s="38">
        <v>2.1</v>
      </c>
      <c r="J69" s="38">
        <v>2.2999999999999998</v>
      </c>
      <c r="K69" s="38">
        <v>0.1229</v>
      </c>
      <c r="L69" s="38">
        <v>34</v>
      </c>
      <c r="M69" s="38">
        <v>75</v>
      </c>
      <c r="N69" s="38">
        <v>114</v>
      </c>
      <c r="O69" s="38">
        <v>51</v>
      </c>
      <c r="P69" s="38">
        <v>85</v>
      </c>
      <c r="Q69" s="38">
        <v>86</v>
      </c>
      <c r="R69" s="38">
        <v>86</v>
      </c>
      <c r="S69" s="38">
        <v>0.47</v>
      </c>
      <c r="T69" s="38">
        <v>0.61</v>
      </c>
      <c r="U69" s="38">
        <v>0.68</v>
      </c>
    </row>
    <row r="70" spans="1:21" x14ac:dyDescent="0.3">
      <c r="A70" s="38">
        <v>5.5</v>
      </c>
      <c r="B70" s="38">
        <v>8</v>
      </c>
      <c r="C70" s="38">
        <v>12.5</v>
      </c>
      <c r="D70" s="38" t="s">
        <v>155</v>
      </c>
      <c r="E70" s="38">
        <v>725</v>
      </c>
      <c r="F70" s="38">
        <v>7.5</v>
      </c>
      <c r="G70" s="38">
        <v>72.5</v>
      </c>
      <c r="H70" s="38">
        <v>5</v>
      </c>
      <c r="I70" s="38">
        <v>2.1</v>
      </c>
      <c r="J70" s="38">
        <v>2.2999999999999998</v>
      </c>
      <c r="K70" s="38">
        <v>0.1492</v>
      </c>
      <c r="L70" s="38">
        <v>28</v>
      </c>
      <c r="M70" s="38">
        <v>62</v>
      </c>
      <c r="N70" s="38">
        <v>123</v>
      </c>
      <c r="O70" s="38">
        <v>51</v>
      </c>
      <c r="P70" s="38">
        <v>86</v>
      </c>
      <c r="Q70" s="38">
        <v>87.3</v>
      </c>
      <c r="R70" s="38">
        <v>87.3</v>
      </c>
      <c r="S70" s="38">
        <v>0.52</v>
      </c>
      <c r="T70" s="38">
        <v>0.65</v>
      </c>
      <c r="U70" s="38">
        <v>0.73</v>
      </c>
    </row>
    <row r="71" spans="1:21" x14ac:dyDescent="0.3">
      <c r="A71" s="38">
        <v>7.5</v>
      </c>
      <c r="B71" s="38">
        <v>8</v>
      </c>
      <c r="C71" s="38">
        <v>18</v>
      </c>
      <c r="D71" s="38" t="s">
        <v>154</v>
      </c>
      <c r="E71" s="38">
        <v>731</v>
      </c>
      <c r="F71" s="38">
        <v>10</v>
      </c>
      <c r="G71" s="38">
        <v>98</v>
      </c>
      <c r="H71" s="38">
        <v>5.5</v>
      </c>
      <c r="I71" s="38">
        <v>2.2000000000000002</v>
      </c>
      <c r="J71" s="38">
        <v>2.5</v>
      </c>
      <c r="K71" s="38">
        <v>0.21990000000000001</v>
      </c>
      <c r="L71" s="38">
        <v>22</v>
      </c>
      <c r="M71" s="38">
        <v>48</v>
      </c>
      <c r="N71" s="38">
        <v>145</v>
      </c>
      <c r="O71" s="38">
        <v>51</v>
      </c>
      <c r="P71" s="38">
        <v>86.5</v>
      </c>
      <c r="Q71" s="38">
        <v>88</v>
      </c>
      <c r="R71" s="38">
        <v>88.4</v>
      </c>
      <c r="S71" s="38">
        <v>0.46</v>
      </c>
      <c r="T71" s="38">
        <v>0.59</v>
      </c>
      <c r="U71" s="38">
        <v>0.68</v>
      </c>
    </row>
    <row r="72" spans="1:21" x14ac:dyDescent="0.3">
      <c r="A72" s="38">
        <v>9.1999999999999993</v>
      </c>
      <c r="B72" s="38">
        <v>8</v>
      </c>
      <c r="C72" s="38">
        <v>18.5</v>
      </c>
      <c r="D72" s="38" t="s">
        <v>153</v>
      </c>
      <c r="E72" s="38">
        <v>725</v>
      </c>
      <c r="F72" s="38">
        <v>12.5</v>
      </c>
      <c r="G72" s="38">
        <v>121</v>
      </c>
      <c r="H72" s="38">
        <v>6</v>
      </c>
      <c r="I72" s="38">
        <v>2</v>
      </c>
      <c r="J72" s="38">
        <v>2.6</v>
      </c>
      <c r="K72" s="38">
        <v>0.25750000000000001</v>
      </c>
      <c r="L72" s="38">
        <v>15</v>
      </c>
      <c r="M72" s="38">
        <v>33</v>
      </c>
      <c r="N72" s="38">
        <v>173</v>
      </c>
      <c r="O72" s="38">
        <v>52</v>
      </c>
      <c r="P72" s="38">
        <v>89</v>
      </c>
      <c r="Q72" s="38">
        <v>89.3</v>
      </c>
      <c r="R72" s="38">
        <v>89.6</v>
      </c>
      <c r="S72" s="38">
        <v>0.63</v>
      </c>
      <c r="T72" s="38">
        <v>0.75</v>
      </c>
      <c r="U72" s="38">
        <v>0.8</v>
      </c>
    </row>
    <row r="73" spans="1:21" x14ac:dyDescent="0.3">
      <c r="A73" s="38">
        <v>11</v>
      </c>
      <c r="B73" s="38">
        <v>8</v>
      </c>
      <c r="C73" s="38">
        <v>23.3</v>
      </c>
      <c r="D73" s="38" t="s">
        <v>152</v>
      </c>
      <c r="E73" s="38">
        <v>730</v>
      </c>
      <c r="F73" s="38">
        <v>15</v>
      </c>
      <c r="G73" s="38">
        <v>144</v>
      </c>
      <c r="H73" s="38">
        <v>6.5</v>
      </c>
      <c r="I73" s="38">
        <v>2.2999999999999998</v>
      </c>
      <c r="J73" s="38">
        <v>2.7</v>
      </c>
      <c r="K73" s="38">
        <v>0.28460000000000002</v>
      </c>
      <c r="L73" s="38">
        <v>12</v>
      </c>
      <c r="M73" s="38">
        <v>26</v>
      </c>
      <c r="N73" s="38">
        <v>185</v>
      </c>
      <c r="O73" s="38">
        <v>52</v>
      </c>
      <c r="P73" s="38">
        <v>88.7</v>
      </c>
      <c r="Q73" s="38">
        <v>89.2</v>
      </c>
      <c r="R73" s="38">
        <v>89.7</v>
      </c>
      <c r="S73" s="38">
        <v>0.55000000000000004</v>
      </c>
      <c r="T73" s="38">
        <v>0.68</v>
      </c>
      <c r="U73" s="38">
        <v>0.76</v>
      </c>
    </row>
    <row r="74" spans="1:21" x14ac:dyDescent="0.3">
      <c r="A74" s="38">
        <v>15</v>
      </c>
      <c r="B74" s="38">
        <v>8</v>
      </c>
      <c r="C74" s="38">
        <v>32.5</v>
      </c>
      <c r="D74" s="38" t="s">
        <v>151</v>
      </c>
      <c r="E74" s="38">
        <v>730</v>
      </c>
      <c r="F74" s="38">
        <v>20</v>
      </c>
      <c r="G74" s="38">
        <v>196</v>
      </c>
      <c r="H74" s="38">
        <v>4.9000000000000004</v>
      </c>
      <c r="I74" s="38">
        <v>1.8</v>
      </c>
      <c r="J74" s="38">
        <v>2</v>
      </c>
      <c r="K74" s="38">
        <v>0.45710000000000001</v>
      </c>
      <c r="L74" s="38">
        <v>33</v>
      </c>
      <c r="M74" s="38">
        <v>73</v>
      </c>
      <c r="N74" s="38">
        <v>220</v>
      </c>
      <c r="O74" s="38">
        <v>56</v>
      </c>
      <c r="P74" s="38">
        <v>89.8</v>
      </c>
      <c r="Q74" s="38">
        <v>89.9</v>
      </c>
      <c r="R74" s="38">
        <v>90</v>
      </c>
      <c r="S74" s="38">
        <v>0.56000000000000005</v>
      </c>
      <c r="T74" s="38">
        <v>0.68</v>
      </c>
      <c r="U74" s="38">
        <v>0.74</v>
      </c>
    </row>
    <row r="75" spans="1:21" x14ac:dyDescent="0.3">
      <c r="A75" s="38">
        <v>18.5</v>
      </c>
      <c r="B75" s="38">
        <v>8</v>
      </c>
      <c r="C75" s="38">
        <v>36.5</v>
      </c>
      <c r="D75" s="38" t="s">
        <v>150</v>
      </c>
      <c r="E75" s="38">
        <v>735</v>
      </c>
      <c r="F75" s="38">
        <v>25</v>
      </c>
      <c r="G75" s="38">
        <v>241</v>
      </c>
      <c r="H75" s="38">
        <v>6.5</v>
      </c>
      <c r="I75" s="38">
        <v>1.7</v>
      </c>
      <c r="J75" s="38">
        <v>2.5</v>
      </c>
      <c r="K75" s="38">
        <v>0.82189999999999996</v>
      </c>
      <c r="L75" s="38">
        <v>28</v>
      </c>
      <c r="M75" s="38">
        <v>62</v>
      </c>
      <c r="N75" s="38">
        <v>377</v>
      </c>
      <c r="O75" s="38">
        <v>56</v>
      </c>
      <c r="P75" s="38">
        <v>89.8</v>
      </c>
      <c r="Q75" s="38">
        <v>90.3</v>
      </c>
      <c r="R75" s="38">
        <v>90.3</v>
      </c>
      <c r="S75" s="38">
        <v>0.63</v>
      </c>
      <c r="T75" s="38">
        <v>0.75</v>
      </c>
      <c r="U75" s="38">
        <v>0.81</v>
      </c>
    </row>
    <row r="76" spans="1:21" x14ac:dyDescent="0.3">
      <c r="A76" s="38">
        <v>22</v>
      </c>
      <c r="B76" s="38">
        <v>8</v>
      </c>
      <c r="C76" s="38">
        <v>44.3</v>
      </c>
      <c r="D76" s="38" t="s">
        <v>150</v>
      </c>
      <c r="E76" s="38">
        <v>735</v>
      </c>
      <c r="F76" s="38">
        <v>30</v>
      </c>
      <c r="G76" s="38">
        <v>286</v>
      </c>
      <c r="H76" s="38">
        <v>7</v>
      </c>
      <c r="I76" s="38">
        <v>2.1</v>
      </c>
      <c r="J76" s="38">
        <v>2.7</v>
      </c>
      <c r="K76" s="38">
        <v>0.95740000000000003</v>
      </c>
      <c r="L76" s="38">
        <v>20</v>
      </c>
      <c r="M76" s="38">
        <v>44</v>
      </c>
      <c r="N76" s="38">
        <v>402</v>
      </c>
      <c r="O76" s="38">
        <v>56</v>
      </c>
      <c r="P76" s="38">
        <v>90.3</v>
      </c>
      <c r="Q76" s="38">
        <v>90.8</v>
      </c>
      <c r="R76" s="38">
        <v>90.8</v>
      </c>
      <c r="S76" s="38">
        <v>0.61</v>
      </c>
      <c r="T76" s="38">
        <v>0.73</v>
      </c>
      <c r="U76" s="38">
        <v>0.79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B684-9EEE-4FBA-A3C8-4B02DC2B819E}">
  <dimension ref="A1:H45"/>
  <sheetViews>
    <sheetView workbookViewId="0">
      <selection activeCell="J10" sqref="J10"/>
    </sheetView>
  </sheetViews>
  <sheetFormatPr defaultColWidth="8.88671875" defaultRowHeight="13.8" x14ac:dyDescent="0.25"/>
  <cols>
    <col min="1" max="1" width="36.88671875" style="59" customWidth="1"/>
    <col min="2" max="2" width="10.109375" style="59" bestFit="1" customWidth="1"/>
    <col min="3" max="7" width="9.5546875" style="59" bestFit="1" customWidth="1"/>
    <col min="8" max="16384" width="8.88671875" style="59"/>
  </cols>
  <sheetData>
    <row r="1" spans="1:7" ht="15" thickBot="1" x14ac:dyDescent="0.3">
      <c r="A1" s="269" t="s">
        <v>219</v>
      </c>
      <c r="B1" s="270"/>
      <c r="C1" s="270"/>
      <c r="D1" s="270"/>
      <c r="E1" s="270"/>
      <c r="F1" s="270"/>
      <c r="G1" s="271"/>
    </row>
    <row r="2" spans="1:7" ht="14.4" thickBot="1" x14ac:dyDescent="0.3"/>
    <row r="3" spans="1:7" ht="14.4" thickBot="1" x14ac:dyDescent="0.3">
      <c r="A3" s="105" t="s">
        <v>220</v>
      </c>
      <c r="C3" s="272">
        <v>1</v>
      </c>
      <c r="D3" s="273"/>
      <c r="E3" s="274"/>
    </row>
    <row r="4" spans="1:7" ht="14.4" thickBot="1" x14ac:dyDescent="0.3">
      <c r="B4" s="66"/>
      <c r="C4" s="66"/>
    </row>
    <row r="5" spans="1:7" ht="14.4" thickBot="1" x14ac:dyDescent="0.3">
      <c r="A5" s="105" t="s">
        <v>221</v>
      </c>
      <c r="C5" s="275">
        <f ca="1">TODAY()</f>
        <v>46148</v>
      </c>
      <c r="D5" s="276"/>
      <c r="E5" s="277"/>
    </row>
    <row r="6" spans="1:7" ht="14.4" thickBot="1" x14ac:dyDescent="0.3">
      <c r="B6" s="67"/>
      <c r="C6" s="67"/>
    </row>
    <row r="7" spans="1:7" s="104" customFormat="1" x14ac:dyDescent="0.25">
      <c r="A7" s="121" t="s">
        <v>237</v>
      </c>
      <c r="B7" s="112" t="s">
        <v>228</v>
      </c>
      <c r="C7" s="113">
        <v>315</v>
      </c>
      <c r="D7" s="113">
        <v>400</v>
      </c>
      <c r="E7" s="113">
        <v>500</v>
      </c>
      <c r="F7" s="113">
        <v>560</v>
      </c>
      <c r="G7" s="114">
        <v>630</v>
      </c>
    </row>
    <row r="8" spans="1:7" x14ac:dyDescent="0.25">
      <c r="A8" s="80" t="s">
        <v>238</v>
      </c>
      <c r="B8" s="108"/>
      <c r="C8" s="106"/>
      <c r="D8" s="107"/>
      <c r="E8" s="107"/>
      <c r="F8" s="107"/>
      <c r="G8" s="116"/>
    </row>
    <row r="9" spans="1:7" x14ac:dyDescent="0.25">
      <c r="A9" s="80" t="s">
        <v>193</v>
      </c>
      <c r="B9" s="108"/>
      <c r="C9" s="107">
        <v>315</v>
      </c>
      <c r="D9" s="107">
        <v>400</v>
      </c>
      <c r="E9" s="107">
        <v>400</v>
      </c>
      <c r="F9" s="107">
        <v>400</v>
      </c>
      <c r="G9" s="116">
        <v>400</v>
      </c>
    </row>
    <row r="10" spans="1:7" x14ac:dyDescent="0.25">
      <c r="A10" s="78" t="s">
        <v>240</v>
      </c>
      <c r="B10" s="108"/>
      <c r="C10" s="106"/>
      <c r="D10" s="107"/>
      <c r="E10" s="107"/>
      <c r="F10" s="107"/>
      <c r="G10" s="116"/>
    </row>
    <row r="11" spans="1:7" ht="14.4" thickBot="1" x14ac:dyDescent="0.3">
      <c r="A11" s="74" t="s">
        <v>239</v>
      </c>
      <c r="B11" s="117"/>
      <c r="C11" s="118" t="s">
        <v>76</v>
      </c>
      <c r="D11" s="119" t="s">
        <v>76</v>
      </c>
      <c r="E11" s="119"/>
      <c r="F11" s="119"/>
      <c r="G11" s="120"/>
    </row>
    <row r="12" spans="1:7" ht="14.4" thickBot="1" x14ac:dyDescent="0.3">
      <c r="B12" s="67"/>
      <c r="C12" s="67"/>
      <c r="D12" s="66"/>
      <c r="E12" s="66"/>
      <c r="F12" s="66"/>
      <c r="G12" s="66"/>
    </row>
    <row r="13" spans="1:7" s="104" customFormat="1" x14ac:dyDescent="0.25">
      <c r="A13" s="111" t="s">
        <v>237</v>
      </c>
      <c r="B13" s="112" t="s">
        <v>228</v>
      </c>
      <c r="C13" s="113">
        <v>710</v>
      </c>
      <c r="D13" s="113">
        <v>800</v>
      </c>
      <c r="E13" s="113">
        <v>900</v>
      </c>
      <c r="F13" s="113">
        <v>1000</v>
      </c>
      <c r="G13" s="114"/>
    </row>
    <row r="14" spans="1:7" x14ac:dyDescent="0.25">
      <c r="A14" s="115" t="s">
        <v>238</v>
      </c>
      <c r="B14" s="108"/>
      <c r="C14" s="106"/>
      <c r="D14" s="107"/>
      <c r="E14" s="107"/>
      <c r="F14" s="107"/>
      <c r="G14" s="116"/>
    </row>
    <row r="15" spans="1:7" x14ac:dyDescent="0.25">
      <c r="A15" s="115" t="s">
        <v>193</v>
      </c>
      <c r="B15" s="108"/>
      <c r="C15" s="107">
        <v>400</v>
      </c>
      <c r="D15" s="107">
        <v>400</v>
      </c>
      <c r="E15" s="107">
        <v>500</v>
      </c>
      <c r="F15" s="107">
        <v>500</v>
      </c>
      <c r="G15" s="116"/>
    </row>
    <row r="16" spans="1:7" x14ac:dyDescent="0.25">
      <c r="A16" s="78" t="s">
        <v>240</v>
      </c>
      <c r="B16" s="108"/>
      <c r="C16" s="106"/>
      <c r="D16" s="107"/>
      <c r="E16" s="107"/>
      <c r="F16" s="107"/>
      <c r="G16" s="116"/>
    </row>
    <row r="17" spans="1:8" ht="14.4" thickBot="1" x14ac:dyDescent="0.3">
      <c r="A17" s="74" t="s">
        <v>239</v>
      </c>
      <c r="B17" s="117"/>
      <c r="C17" s="118"/>
      <c r="D17" s="119"/>
      <c r="E17" s="119"/>
      <c r="F17" s="119"/>
      <c r="G17" s="120"/>
    </row>
    <row r="18" spans="1:8" ht="14.4" thickBot="1" x14ac:dyDescent="0.3">
      <c r="B18" s="67"/>
      <c r="C18" s="67"/>
    </row>
    <row r="19" spans="1:8" ht="15" thickBot="1" x14ac:dyDescent="0.3">
      <c r="A19" s="86" t="s">
        <v>185</v>
      </c>
      <c r="B19" s="87"/>
      <c r="C19" s="88" t="s">
        <v>222</v>
      </c>
      <c r="D19" s="88" t="s">
        <v>223</v>
      </c>
      <c r="E19" s="88" t="s">
        <v>224</v>
      </c>
      <c r="F19" s="88" t="s">
        <v>225</v>
      </c>
      <c r="G19" s="89" t="s">
        <v>226</v>
      </c>
      <c r="H19" s="61"/>
    </row>
    <row r="20" spans="1:8" ht="15" thickBot="1" x14ac:dyDescent="0.3">
      <c r="A20" s="82" t="s">
        <v>228</v>
      </c>
      <c r="B20" s="83"/>
      <c r="C20" s="84"/>
      <c r="D20" s="84"/>
      <c r="E20" s="84"/>
      <c r="F20" s="84"/>
      <c r="G20" s="85"/>
    </row>
    <row r="21" spans="1:8" x14ac:dyDescent="0.25">
      <c r="A21" s="70" t="s">
        <v>194</v>
      </c>
      <c r="B21" s="71" t="s">
        <v>229</v>
      </c>
      <c r="C21" s="72"/>
      <c r="D21" s="72"/>
      <c r="E21" s="72"/>
      <c r="F21" s="72"/>
      <c r="G21" s="73"/>
    </row>
    <row r="22" spans="1:8" x14ac:dyDescent="0.25">
      <c r="A22" s="78"/>
      <c r="B22" s="60" t="s">
        <v>230</v>
      </c>
      <c r="C22" s="62"/>
      <c r="D22" s="62"/>
      <c r="E22" s="62"/>
      <c r="F22" s="62"/>
      <c r="G22" s="79"/>
    </row>
    <row r="23" spans="1:8" x14ac:dyDescent="0.25">
      <c r="A23" s="78"/>
      <c r="B23" s="60" t="s">
        <v>231</v>
      </c>
      <c r="C23" s="62"/>
      <c r="D23" s="62"/>
      <c r="E23" s="62"/>
      <c r="F23" s="62"/>
      <c r="G23" s="79"/>
    </row>
    <row r="24" spans="1:8" x14ac:dyDescent="0.25">
      <c r="A24" s="78"/>
      <c r="B24" s="60" t="s">
        <v>232</v>
      </c>
      <c r="C24" s="62"/>
      <c r="D24" s="62"/>
      <c r="E24" s="62"/>
      <c r="F24" s="62"/>
      <c r="G24" s="79"/>
    </row>
    <row r="25" spans="1:8" ht="14.4" thickBot="1" x14ac:dyDescent="0.3">
      <c r="A25" s="74"/>
      <c r="B25" s="75"/>
      <c r="C25" s="76"/>
      <c r="D25" s="76"/>
      <c r="E25" s="76"/>
      <c r="F25" s="76"/>
      <c r="G25" s="77"/>
    </row>
    <row r="26" spans="1:8" x14ac:dyDescent="0.25">
      <c r="A26" s="70" t="s">
        <v>195</v>
      </c>
      <c r="B26" s="71" t="s">
        <v>229</v>
      </c>
      <c r="C26" s="72"/>
      <c r="D26" s="72"/>
      <c r="E26" s="72"/>
      <c r="F26" s="72"/>
      <c r="G26" s="73"/>
    </row>
    <row r="27" spans="1:8" x14ac:dyDescent="0.25">
      <c r="A27" s="78"/>
      <c r="B27" s="60" t="s">
        <v>230</v>
      </c>
      <c r="C27" s="62"/>
      <c r="D27" s="62"/>
      <c r="E27" s="62"/>
      <c r="F27" s="62"/>
      <c r="G27" s="79"/>
    </row>
    <row r="28" spans="1:8" x14ac:dyDescent="0.25">
      <c r="A28" s="78"/>
      <c r="B28" s="60" t="s">
        <v>231</v>
      </c>
      <c r="C28" s="62"/>
      <c r="D28" s="62"/>
      <c r="E28" s="62"/>
      <c r="F28" s="62"/>
      <c r="G28" s="79"/>
    </row>
    <row r="29" spans="1:8" x14ac:dyDescent="0.25">
      <c r="A29" s="80"/>
      <c r="B29" s="60" t="s">
        <v>232</v>
      </c>
      <c r="C29" s="62"/>
      <c r="D29" s="62"/>
      <c r="E29" s="62"/>
      <c r="F29" s="62"/>
      <c r="G29" s="79"/>
    </row>
    <row r="30" spans="1:8" ht="14.4" thickBot="1" x14ac:dyDescent="0.3">
      <c r="A30" s="81"/>
      <c r="B30" s="75"/>
      <c r="C30" s="76"/>
      <c r="D30" s="76"/>
      <c r="E30" s="76"/>
      <c r="F30" s="76"/>
      <c r="G30" s="77"/>
    </row>
    <row r="31" spans="1:8" x14ac:dyDescent="0.25">
      <c r="A31" s="70" t="s">
        <v>192</v>
      </c>
      <c r="B31" s="71" t="s">
        <v>186</v>
      </c>
      <c r="C31" s="72"/>
      <c r="D31" s="72"/>
      <c r="E31" s="72"/>
      <c r="F31" s="72"/>
      <c r="G31" s="73"/>
    </row>
    <row r="32" spans="1:8" ht="14.4" thickBot="1" x14ac:dyDescent="0.3">
      <c r="A32" s="74"/>
      <c r="B32" s="75" t="s">
        <v>233</v>
      </c>
      <c r="C32" s="76"/>
      <c r="D32" s="76"/>
      <c r="E32" s="76"/>
      <c r="F32" s="76"/>
      <c r="G32" s="77"/>
    </row>
    <row r="33" spans="1:7" x14ac:dyDescent="0.25">
      <c r="A33" s="70" t="s">
        <v>227</v>
      </c>
      <c r="B33" s="71" t="s">
        <v>187</v>
      </c>
      <c r="C33" s="72"/>
      <c r="D33" s="72"/>
      <c r="E33" s="72"/>
      <c r="F33" s="72"/>
      <c r="G33" s="73"/>
    </row>
    <row r="34" spans="1:7" ht="14.4" thickBot="1" x14ac:dyDescent="0.3">
      <c r="A34" s="74" t="s">
        <v>191</v>
      </c>
      <c r="B34" s="75" t="s">
        <v>187</v>
      </c>
      <c r="C34" s="76"/>
      <c r="D34" s="76"/>
      <c r="E34" s="76"/>
      <c r="F34" s="76"/>
      <c r="G34" s="77"/>
    </row>
    <row r="35" spans="1:7" ht="14.4" x14ac:dyDescent="0.3">
      <c r="A35" s="110" t="s">
        <v>193</v>
      </c>
      <c r="B35" s="60"/>
      <c r="C35" s="63"/>
      <c r="D35" s="62"/>
      <c r="E35" s="62"/>
      <c r="F35" s="62"/>
      <c r="G35" s="62"/>
    </row>
    <row r="36" spans="1:7" x14ac:dyDescent="0.25">
      <c r="A36" s="278" t="s">
        <v>242</v>
      </c>
      <c r="B36" s="278"/>
      <c r="C36" s="278"/>
      <c r="D36" s="278"/>
      <c r="E36" s="278"/>
      <c r="F36" s="278"/>
      <c r="G36" s="278"/>
    </row>
    <row r="37" spans="1:7" ht="15" thickBot="1" x14ac:dyDescent="0.35">
      <c r="A37" s="109" t="s">
        <v>241</v>
      </c>
      <c r="B37" s="68" t="s">
        <v>187</v>
      </c>
      <c r="C37" s="90"/>
      <c r="D37" s="69"/>
      <c r="E37" s="69"/>
      <c r="F37" s="69"/>
      <c r="G37" s="69"/>
    </row>
    <row r="38" spans="1:7" x14ac:dyDescent="0.25">
      <c r="A38" s="91" t="s">
        <v>188</v>
      </c>
      <c r="B38" s="92"/>
      <c r="C38" s="92"/>
      <c r="D38" s="92"/>
      <c r="E38" s="92"/>
      <c r="F38" s="92"/>
      <c r="G38" s="93"/>
    </row>
    <row r="39" spans="1:7" ht="14.4" thickBot="1" x14ac:dyDescent="0.3">
      <c r="A39" s="94" t="s">
        <v>189</v>
      </c>
      <c r="B39" s="95"/>
      <c r="C39" s="95"/>
      <c r="D39" s="95"/>
      <c r="E39" s="95"/>
      <c r="F39" s="95"/>
      <c r="G39" s="96"/>
    </row>
    <row r="40" spans="1:7" ht="13.2" customHeight="1" thickBot="1" x14ac:dyDescent="0.3">
      <c r="A40" s="64"/>
      <c r="B40" s="65"/>
      <c r="C40" s="65"/>
      <c r="D40" s="65"/>
      <c r="E40" s="65"/>
      <c r="F40" s="65"/>
      <c r="G40" s="65"/>
    </row>
    <row r="41" spans="1:7" ht="13.2" customHeight="1" x14ac:dyDescent="0.25">
      <c r="A41" s="97" t="s">
        <v>190</v>
      </c>
      <c r="B41" s="98"/>
      <c r="C41" s="98"/>
      <c r="D41" s="98"/>
      <c r="E41" s="98"/>
      <c r="F41" s="98"/>
      <c r="G41" s="99"/>
    </row>
    <row r="42" spans="1:7" ht="13.2" customHeight="1" x14ac:dyDescent="0.25">
      <c r="A42" s="64" t="s">
        <v>234</v>
      </c>
      <c r="B42" s="65"/>
      <c r="C42" s="65"/>
      <c r="D42" s="65"/>
      <c r="E42" s="65"/>
      <c r="F42" s="65"/>
      <c r="G42" s="100"/>
    </row>
    <row r="43" spans="1:7" ht="13.2" customHeight="1" x14ac:dyDescent="0.25">
      <c r="A43" s="64" t="s">
        <v>235</v>
      </c>
      <c r="B43" s="65"/>
      <c r="C43" s="65"/>
      <c r="D43" s="65"/>
      <c r="E43" s="65"/>
      <c r="F43" s="65"/>
      <c r="G43" s="100"/>
    </row>
    <row r="44" spans="1:7" x14ac:dyDescent="0.25">
      <c r="A44" s="64" t="s">
        <v>236</v>
      </c>
      <c r="B44" s="65"/>
      <c r="C44" s="65"/>
      <c r="D44" s="65"/>
      <c r="E44" s="65"/>
      <c r="F44" s="65"/>
      <c r="G44" s="100"/>
    </row>
    <row r="45" spans="1:7" ht="14.4" thickBot="1" x14ac:dyDescent="0.3">
      <c r="A45" s="101"/>
      <c r="B45" s="102"/>
      <c r="C45" s="102"/>
      <c r="D45" s="102"/>
      <c r="E45" s="102"/>
      <c r="F45" s="102"/>
      <c r="G45" s="103"/>
    </row>
  </sheetData>
  <mergeCells count="4">
    <mergeCell ref="A1:G1"/>
    <mergeCell ref="C3:E3"/>
    <mergeCell ref="C5:E5"/>
    <mergeCell ref="A36:G36"/>
  </mergeCells>
  <phoneticPr fontId="3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NamePlateProc</vt:lpstr>
      <vt:lpstr>Info+Data Entry Form</vt:lpstr>
      <vt:lpstr>Name Plate</vt:lpstr>
      <vt:lpstr>Test Sheet</vt:lpstr>
      <vt:lpstr>Info+Data Entry Form FUMAX</vt:lpstr>
      <vt:lpstr>Name Plate FUMAX</vt:lpstr>
      <vt:lpstr>Test Sheet FUMAX</vt:lpstr>
      <vt:lpstr>PB4 Performance Data</vt:lpstr>
      <vt:lpstr>WEG_W22_IE3_400V</vt:lpstr>
      <vt:lpstr>CasingInspectionSheet</vt:lpstr>
      <vt:lpstr>'Name Plate'!Print_Area</vt:lpstr>
      <vt:lpstr>'Name Plate FUMAX'!Print_Area</vt:lpstr>
      <vt:lpstr>'Test Sheet'!Print_Area</vt:lpstr>
      <vt:lpstr>'Test Sheet FUMAX'!Print_Area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Zinziso Xhallie</dc:creator>
  <cp:lastModifiedBy>Tebello Lelosa</cp:lastModifiedBy>
  <cp:lastPrinted>2026-05-06T11:48:20Z</cp:lastPrinted>
  <dcterms:created xsi:type="dcterms:W3CDTF">2025-10-29T08:09:20Z</dcterms:created>
  <dcterms:modified xsi:type="dcterms:W3CDTF">2026-05-06T11:48:23Z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2024-07-24T00:00:00Z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2025-10-29T00:00:00Z</vt:filetime>
  </property>
  <property fmtid="{D5CDD505-2E9C-101B-9397-08002B2CF9AE}" pid="5" name="Producer">
    <vt:lpwstr>Microsoft® Excel® for Microsoft 365</vt:lpwstr>
  </property>
</Properties>
</file>