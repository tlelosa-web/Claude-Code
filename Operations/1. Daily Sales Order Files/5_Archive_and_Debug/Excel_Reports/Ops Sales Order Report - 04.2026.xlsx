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name="29.04.2026" sheetId="1" state="visible" r:id="rId1"/>
    <sheet name="04.05.2026" sheetId="2" state="visible" r:id="rId2"/>
    <sheet name="05.05.2026" sheetId="3" state="visible" r:id="rId3"/>
    <sheet name="06.05.2026" sheetId="4" state="visible" r:id="rId4"/>
    <sheet name="07.05.2026" sheetId="5" state="visible" r:id="rId5"/>
  </sheets>
  <definedNames>
    <definedName name="_xlnm.Print_Area" localSheetId="0">'29.04.2026'!$A$1:$L$26</definedName>
    <definedName name="_xlnm.Print_Area" localSheetId="1">'04.05.2026'!$A$1:$L$39</definedName>
    <definedName name="_xlnm.Print_Area" localSheetId="2">'05.05.2026'!$A$1:$L$32</definedName>
    <definedName name="_xlnm.Print_Area" localSheetId="3">'06.05.2026'!$A$1:$L$30</definedName>
    <definedName name="_xlnm.Print_Area" localSheetId="4">'07.05.2026'!$A$1:$L$39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R&quot;\ #,##0.00"/>
    <numFmt numFmtId="165" formatCode="DD/MM/YYYY"/>
    <numFmt numFmtId="166" formatCode="&quot;R&quot; #,##0.00"/>
  </numFmts>
  <fonts count="27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sz val="11"/>
      <u val="single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sz val="11"/>
      <u val="single"/>
    </font>
    <font>
      <name val="Calibri"/>
      <family val="2"/>
      <i val="1"/>
      <sz val="10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sz val="11"/>
      <u val="single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1"/>
      <u val="single"/>
    </font>
    <font>
      <name val="Calibri"/>
      <family val="2"/>
      <color theme="1"/>
      <sz val="14"/>
      <scheme val="minor"/>
    </font>
    <font>
      <name val="Calibri"/>
      <b val="1"/>
      <sz val="14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1"/>
      <u val="single"/>
    </font>
    <font>
      <b val="1"/>
      <sz val="14"/>
    </font>
    <font>
      <b val="1"/>
    </font>
    <font>
      <b val="1"/>
      <color rgb="00FFFFFF"/>
    </font>
    <font>
      <b val="1"/>
      <u val="single"/>
    </font>
    <font>
      <i val="1"/>
      <sz val="10"/>
    </font>
  </fonts>
  <fills count="25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5" tint="0.3999755851924192"/>
        <bgColor rgb="FFC6EFCE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theme="3" tint="0.5999938962981048"/>
        <bgColor rgb="FFC6EFCE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1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4" fontId="2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14" fontId="0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left" vertical="top" wrapText="1"/>
    </xf>
    <xf numFmtId="164" fontId="0" fillId="6" borderId="1" applyAlignment="1" pivotButton="0" quotePrefix="0" xfId="0">
      <alignment vertical="top" wrapText="1"/>
    </xf>
    <xf numFmtId="14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1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4" fontId="0" fillId="2" borderId="1" applyAlignment="1" pivotButton="0" quotePrefix="0" xfId="0">
      <alignment horizontal="center" vertical="top" wrapText="1"/>
    </xf>
    <xf numFmtId="0" fontId="0" fillId="2" borderId="1" applyAlignment="1" pivotButton="0" quotePrefix="0" xfId="0">
      <alignment horizontal="center" vertical="top" wrapText="1"/>
    </xf>
    <xf numFmtId="0" fontId="0" fillId="2" borderId="1" applyAlignment="1" pivotButton="0" quotePrefix="0" xfId="0">
      <alignment horizontal="left" vertical="top" wrapText="1"/>
    </xf>
    <xf numFmtId="164" fontId="0" fillId="2" borderId="1" applyAlignment="1" pivotButton="0" quotePrefix="0" xfId="0">
      <alignment vertical="top" wrapText="1"/>
    </xf>
    <xf numFmtId="14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164" fontId="0" fillId="4" borderId="1" applyAlignment="1" pivotButton="0" quotePrefix="0" xfId="0">
      <alignment vertical="top" wrapText="1"/>
    </xf>
    <xf numFmtId="14" fontId="0" fillId="7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left" vertical="top" wrapText="1"/>
    </xf>
    <xf numFmtId="164" fontId="0" fillId="7" borderId="1" applyAlignment="1" pivotButton="0" quotePrefix="0" xfId="0">
      <alignment vertical="top" wrapText="1"/>
    </xf>
    <xf numFmtId="0" fontId="5" fillId="0" borderId="0" pivotButton="0" quotePrefix="0" xfId="0"/>
    <xf numFmtId="14" fontId="6" fillId="0" borderId="0" pivotButton="0" quotePrefix="0" xfId="0"/>
    <xf numFmtId="0" fontId="7" fillId="8" borderId="2" applyAlignment="1" pivotButton="0" quotePrefix="0" xfId="0">
      <alignment horizontal="center" vertical="center" wrapText="1"/>
    </xf>
    <xf numFmtId="14" fontId="0" fillId="9" borderId="2" applyAlignment="1" pivotButton="0" quotePrefix="0" xfId="0">
      <alignment horizontal="center" vertical="top" wrapText="1"/>
    </xf>
    <xf numFmtId="0" fontId="0" fillId="9" borderId="2" applyAlignment="1" pivotButton="0" quotePrefix="0" xfId="0">
      <alignment horizontal="center" vertical="top" wrapText="1"/>
    </xf>
    <xf numFmtId="0" fontId="0" fillId="9" borderId="2" applyAlignment="1" pivotButton="0" quotePrefix="0" xfId="0">
      <alignment horizontal="left" vertical="top" wrapText="1"/>
    </xf>
    <xf numFmtId="164" fontId="0" fillId="9" borderId="2" applyAlignment="1" pivotButton="0" quotePrefix="0" xfId="0">
      <alignment vertical="top" wrapText="1"/>
    </xf>
    <xf numFmtId="14" fontId="0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164" fontId="0" fillId="0" borderId="2" applyAlignment="1" pivotButton="0" quotePrefix="0" xfId="0">
      <alignment vertical="top" wrapText="1"/>
    </xf>
    <xf numFmtId="0" fontId="6" fillId="0" borderId="0" pivotButton="0" quotePrefix="0" xfId="0"/>
    <xf numFmtId="164" fontId="6" fillId="0" borderId="0" pivotButton="0" quotePrefix="0" xfId="0"/>
    <xf numFmtId="0" fontId="8" fillId="0" borderId="0" pivotButton="0" quotePrefix="0" xfId="0"/>
    <xf numFmtId="14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14" fontId="11" fillId="0" borderId="0" pivotButton="0" quotePrefix="0" xfId="0"/>
    <xf numFmtId="0" fontId="12" fillId="10" borderId="3" applyAlignment="1" pivotButton="0" quotePrefix="0" xfId="0">
      <alignment horizontal="center" vertical="center" wrapText="1"/>
    </xf>
    <xf numFmtId="14" fontId="0" fillId="11" borderId="3" applyAlignment="1" pivotButton="0" quotePrefix="0" xfId="0">
      <alignment horizontal="center" vertical="top" wrapText="1"/>
    </xf>
    <xf numFmtId="0" fontId="0" fillId="11" borderId="3" applyAlignment="1" pivotButton="0" quotePrefix="0" xfId="0">
      <alignment horizontal="center" vertical="top" wrapText="1"/>
    </xf>
    <xf numFmtId="0" fontId="0" fillId="11" borderId="3" applyAlignment="1" pivotButton="0" quotePrefix="0" xfId="0">
      <alignment horizontal="left" vertical="top" wrapText="1"/>
    </xf>
    <xf numFmtId="164" fontId="0" fillId="11" borderId="3" applyAlignment="1" pivotButton="0" quotePrefix="0" xfId="0">
      <alignment vertical="top" wrapText="1"/>
    </xf>
    <xf numFmtId="14" fontId="0" fillId="12" borderId="3" applyAlignment="1" pivotButton="0" quotePrefix="0" xfId="0">
      <alignment horizontal="center" vertical="top" wrapText="1"/>
    </xf>
    <xf numFmtId="0" fontId="0" fillId="12" borderId="3" applyAlignment="1" pivotButton="0" quotePrefix="0" xfId="0">
      <alignment horizontal="center" vertical="top" wrapText="1"/>
    </xf>
    <xf numFmtId="0" fontId="0" fillId="12" borderId="3" applyAlignment="1" pivotButton="0" quotePrefix="0" xfId="0">
      <alignment horizontal="left" vertical="top" wrapText="1"/>
    </xf>
    <xf numFmtId="164" fontId="0" fillId="12" borderId="3" applyAlignment="1" pivotButton="0" quotePrefix="0" xfId="0">
      <alignment vertical="top" wrapText="1"/>
    </xf>
    <xf numFmtId="14" fontId="0" fillId="0" borderId="3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left" vertical="top" wrapText="1"/>
    </xf>
    <xf numFmtId="164" fontId="0" fillId="0" borderId="3" applyAlignment="1" pivotButton="0" quotePrefix="0" xfId="0">
      <alignment vertical="top" wrapText="1"/>
    </xf>
    <xf numFmtId="0" fontId="11" fillId="0" borderId="0" pivotButton="0" quotePrefix="0" xfId="0"/>
    <xf numFmtId="164" fontId="11" fillId="0" borderId="0" pivotButton="0" quotePrefix="0" xfId="0"/>
    <xf numFmtId="0" fontId="13" fillId="0" borderId="0" pivotButton="0" quotePrefix="0" xfId="0"/>
    <xf numFmtId="14" fontId="0" fillId="0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14" fontId="0" fillId="3" borderId="3" applyAlignment="1" pivotButton="0" quotePrefix="0" xfId="0">
      <alignment horizontal="center" vertical="top" wrapText="1"/>
    </xf>
    <xf numFmtId="0" fontId="0" fillId="3" borderId="3" applyAlignment="1" pivotButton="0" quotePrefix="0" xfId="0">
      <alignment horizontal="center" vertical="top" wrapText="1"/>
    </xf>
    <xf numFmtId="0" fontId="0" fillId="3" borderId="3" applyAlignment="1" pivotButton="0" quotePrefix="0" xfId="0">
      <alignment horizontal="left" vertical="top" wrapText="1"/>
    </xf>
    <xf numFmtId="164" fontId="0" fillId="3" borderId="3" applyAlignment="1" pivotButton="0" quotePrefix="0" xfId="0">
      <alignment vertical="top" wrapText="1"/>
    </xf>
    <xf numFmtId="14" fontId="0" fillId="4" borderId="3" applyAlignment="1" pivotButton="0" quotePrefix="0" xfId="0">
      <alignment horizontal="center" vertical="top" wrapText="1"/>
    </xf>
    <xf numFmtId="0" fontId="0" fillId="4" borderId="3" applyAlignment="1" pivotButton="0" quotePrefix="0" xfId="0">
      <alignment horizontal="center" vertical="top" wrapText="1"/>
    </xf>
    <xf numFmtId="0" fontId="0" fillId="4" borderId="3" applyAlignment="1" pivotButton="0" quotePrefix="0" xfId="0">
      <alignment horizontal="left" vertical="top" wrapText="1"/>
    </xf>
    <xf numFmtId="164" fontId="0" fillId="4" borderId="3" applyAlignment="1" pivotButton="0" quotePrefix="0" xfId="0">
      <alignment vertical="top" wrapText="1"/>
    </xf>
    <xf numFmtId="0" fontId="15" fillId="13" borderId="4" applyAlignment="1" pivotButton="0" quotePrefix="0" xfId="0">
      <alignment horizontal="center" vertical="center" wrapText="1"/>
    </xf>
    <xf numFmtId="14" fontId="0" fillId="14" borderId="4" applyAlignment="1" pivotButton="0" quotePrefix="0" xfId="0">
      <alignment horizontal="center" vertical="top" wrapText="1"/>
    </xf>
    <xf numFmtId="0" fontId="0" fillId="14" borderId="4" applyAlignment="1" pivotButton="0" quotePrefix="0" xfId="0">
      <alignment horizontal="center" vertical="top" wrapText="1"/>
    </xf>
    <xf numFmtId="0" fontId="0" fillId="14" borderId="4" applyAlignment="1" pivotButton="0" quotePrefix="0" xfId="0">
      <alignment horizontal="left" vertical="top" wrapText="1"/>
    </xf>
    <xf numFmtId="164" fontId="0" fillId="14" borderId="4" applyAlignment="1" pivotButton="0" quotePrefix="0" xfId="0">
      <alignment vertical="top" wrapText="1"/>
    </xf>
    <xf numFmtId="14" fontId="0" fillId="15" borderId="4" applyAlignment="1" pivotButton="0" quotePrefix="0" xfId="0">
      <alignment horizontal="center" vertical="top" wrapText="1"/>
    </xf>
    <xf numFmtId="0" fontId="0" fillId="15" borderId="4" applyAlignment="1" pivotButton="0" quotePrefix="0" xfId="0">
      <alignment horizontal="center" vertical="top" wrapText="1"/>
    </xf>
    <xf numFmtId="0" fontId="0" fillId="15" borderId="4" applyAlignment="1" pivotButton="0" quotePrefix="0" xfId="0">
      <alignment horizontal="left" vertical="top" wrapText="1"/>
    </xf>
    <xf numFmtId="164" fontId="0" fillId="15" borderId="4" applyAlignment="1" pivotButton="0" quotePrefix="0" xfId="0">
      <alignment vertical="top" wrapText="1"/>
    </xf>
    <xf numFmtId="14" fontId="0" fillId="0" borderId="4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left" vertical="top" wrapText="1"/>
    </xf>
    <xf numFmtId="164" fontId="0" fillId="0" borderId="4" applyAlignment="1" pivotButton="0" quotePrefix="0" xfId="0">
      <alignment vertical="top" wrapText="1"/>
    </xf>
    <xf numFmtId="0" fontId="14" fillId="0" borderId="0" pivotButton="0" quotePrefix="0" xfId="0"/>
    <xf numFmtId="164" fontId="14" fillId="0" borderId="0" pivotButton="0" quotePrefix="0" xfId="0"/>
    <xf numFmtId="0" fontId="16" fillId="0" borderId="0" pivotButton="0" quotePrefix="0" xfId="0"/>
    <xf numFmtId="14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14" fontId="0" fillId="16" borderId="4" applyAlignment="1" pivotButton="0" quotePrefix="0" xfId="0">
      <alignment horizontal="center" vertical="top" wrapText="1"/>
    </xf>
    <xf numFmtId="0" fontId="0" fillId="16" borderId="4" applyAlignment="1" pivotButton="0" quotePrefix="0" xfId="0">
      <alignment horizontal="center" vertical="top" wrapText="1"/>
    </xf>
    <xf numFmtId="0" fontId="0" fillId="16" borderId="4" applyAlignment="1" pivotButton="0" quotePrefix="0" xfId="0">
      <alignment horizontal="left" vertical="top" wrapText="1"/>
    </xf>
    <xf numFmtId="164" fontId="0" fillId="16" borderId="4" applyAlignment="1" pivotButton="0" quotePrefix="0" xfId="0">
      <alignment vertical="top" wrapText="1"/>
    </xf>
    <xf numFmtId="14" fontId="0" fillId="17" borderId="4" applyAlignment="1" pivotButton="0" quotePrefix="0" xfId="0">
      <alignment horizontal="center" vertical="top" wrapText="1"/>
    </xf>
    <xf numFmtId="0" fontId="0" fillId="17" borderId="4" applyAlignment="1" pivotButton="0" quotePrefix="0" xfId="0">
      <alignment horizontal="center" vertical="top" wrapText="1"/>
    </xf>
    <xf numFmtId="0" fontId="0" fillId="17" borderId="4" applyAlignment="1" pivotButton="0" quotePrefix="0" xfId="0">
      <alignment horizontal="left" vertical="top" wrapText="1"/>
    </xf>
    <xf numFmtId="164" fontId="0" fillId="17" borderId="4" applyAlignment="1" pivotButton="0" quotePrefix="0" xfId="0">
      <alignment vertical="top" wrapText="1"/>
    </xf>
    <xf numFmtId="14" fontId="0" fillId="18" borderId="4" applyAlignment="1" pivotButton="0" quotePrefix="0" xfId="0">
      <alignment horizontal="center" vertical="top" wrapText="1"/>
    </xf>
    <xf numFmtId="0" fontId="0" fillId="18" borderId="4" applyAlignment="1" pivotButton="0" quotePrefix="0" xfId="0">
      <alignment horizontal="center" vertical="top" wrapText="1"/>
    </xf>
    <xf numFmtId="0" fontId="0" fillId="18" borderId="4" applyAlignment="1" pivotButton="0" quotePrefix="0" xfId="0">
      <alignment horizontal="left" vertical="top" wrapText="1"/>
    </xf>
    <xf numFmtId="164" fontId="0" fillId="18" borderId="4" applyAlignment="1" pivotButton="0" quotePrefix="0" xfId="0">
      <alignment vertical="top" wrapText="1"/>
    </xf>
    <xf numFmtId="0" fontId="17" fillId="0" borderId="0" pivotButton="0" quotePrefix="0" xfId="0"/>
    <xf numFmtId="14" fontId="1" fillId="0" borderId="0" pivotButton="0" quotePrefix="0" xfId="0"/>
    <xf numFmtId="0" fontId="18" fillId="0" borderId="0" pivotButton="0" quotePrefix="0" xfId="0"/>
    <xf numFmtId="14" fontId="19" fillId="0" borderId="0" pivotButton="0" quotePrefix="0" xfId="0"/>
    <xf numFmtId="0" fontId="20" fillId="19" borderId="5" applyAlignment="1" pivotButton="0" quotePrefix="0" xfId="0">
      <alignment horizontal="center" vertical="center" wrapText="1"/>
    </xf>
    <xf numFmtId="14" fontId="0" fillId="20" borderId="5" applyAlignment="1" pivotButton="0" quotePrefix="0" xfId="0">
      <alignment horizontal="center" vertical="top" wrapText="1"/>
    </xf>
    <xf numFmtId="0" fontId="0" fillId="20" borderId="5" applyAlignment="1" pivotButton="0" quotePrefix="0" xfId="0">
      <alignment horizontal="center" vertical="top" wrapText="1"/>
    </xf>
    <xf numFmtId="0" fontId="0" fillId="20" borderId="5" applyAlignment="1" pivotButton="0" quotePrefix="0" xfId="0">
      <alignment horizontal="left" vertical="top" wrapText="1"/>
    </xf>
    <xf numFmtId="164" fontId="0" fillId="20" borderId="5" applyAlignment="1" pivotButton="0" quotePrefix="0" xfId="0">
      <alignment vertical="top" wrapText="1"/>
    </xf>
    <xf numFmtId="14" fontId="0" fillId="21" borderId="5" applyAlignment="1" pivotButton="0" quotePrefix="0" xfId="0">
      <alignment horizontal="center" vertical="top" wrapText="1"/>
    </xf>
    <xf numFmtId="0" fontId="0" fillId="21" borderId="5" applyAlignment="1" pivotButton="0" quotePrefix="0" xfId="0">
      <alignment horizontal="center" vertical="top" wrapText="1"/>
    </xf>
    <xf numFmtId="0" fontId="0" fillId="21" borderId="5" applyAlignment="1" pivotButton="0" quotePrefix="0" xfId="0">
      <alignment horizontal="left" vertical="top" wrapText="1"/>
    </xf>
    <xf numFmtId="164" fontId="0" fillId="21" borderId="5" applyAlignment="1" pivotButton="0" quotePrefix="0" xfId="0">
      <alignment vertical="top" wrapText="1"/>
    </xf>
    <xf numFmtId="14" fontId="0" fillId="0" borderId="5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left" vertical="top" wrapText="1"/>
    </xf>
    <xf numFmtId="164" fontId="0" fillId="0" borderId="5" applyAlignment="1" pivotButton="0" quotePrefix="0" xfId="0">
      <alignment vertical="top" wrapText="1"/>
    </xf>
    <xf numFmtId="0" fontId="19" fillId="0" borderId="0" pivotButton="0" quotePrefix="0" xfId="0"/>
    <xf numFmtId="164" fontId="19" fillId="0" borderId="0" pivotButton="0" quotePrefix="0" xfId="0"/>
    <xf numFmtId="0" fontId="21" fillId="0" borderId="0" pivotButton="0" quotePrefix="0" xfId="0"/>
    <xf numFmtId="14" fontId="0" fillId="0" borderId="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14" fontId="0" fillId="2" borderId="5" applyAlignment="1" pivotButton="0" quotePrefix="0" xfId="0">
      <alignment horizontal="center" vertical="top" wrapText="1"/>
    </xf>
    <xf numFmtId="0" fontId="0" fillId="2" borderId="5" applyAlignment="1" pivotButton="0" quotePrefix="0" xfId="0">
      <alignment horizontal="center" vertical="top" wrapText="1"/>
    </xf>
    <xf numFmtId="0" fontId="0" fillId="2" borderId="5" applyAlignment="1" pivotButton="0" quotePrefix="0" xfId="0">
      <alignment horizontal="left" vertical="top" wrapText="1"/>
    </xf>
    <xf numFmtId="164" fontId="0" fillId="2" borderId="5" applyAlignment="1" pivotButton="0" quotePrefix="0" xfId="0">
      <alignment vertical="top" wrapText="1"/>
    </xf>
    <xf numFmtId="0" fontId="22" fillId="0" borderId="0" pivotButton="0" quotePrefix="0" xfId="0"/>
    <xf numFmtId="165" fontId="23" fillId="0" borderId="0" pivotButton="0" quotePrefix="0" xfId="0"/>
    <xf numFmtId="0" fontId="24" fillId="22" borderId="6" applyAlignment="1" pivotButton="0" quotePrefix="0" xfId="0">
      <alignment horizontal="center" vertical="center" wrapText="1"/>
    </xf>
    <xf numFmtId="165" fontId="0" fillId="23" borderId="6" applyAlignment="1" pivotButton="0" quotePrefix="0" xfId="0">
      <alignment horizontal="center" vertical="top" wrapText="1"/>
    </xf>
    <xf numFmtId="0" fontId="0" fillId="23" borderId="6" applyAlignment="1" pivotButton="0" quotePrefix="0" xfId="0">
      <alignment horizontal="center" vertical="top" wrapText="1"/>
    </xf>
    <xf numFmtId="0" fontId="0" fillId="23" borderId="6" applyAlignment="1" pivotButton="0" quotePrefix="0" xfId="0">
      <alignment horizontal="left" vertical="top" wrapText="1"/>
    </xf>
    <xf numFmtId="166" fontId="0" fillId="23" borderId="6" applyAlignment="1" pivotButton="0" quotePrefix="0" xfId="0">
      <alignment vertical="top" wrapText="1"/>
    </xf>
    <xf numFmtId="165" fontId="0" fillId="24" borderId="6" applyAlignment="1" pivotButton="0" quotePrefix="0" xfId="0">
      <alignment horizontal="center" vertical="top" wrapText="1"/>
    </xf>
    <xf numFmtId="0" fontId="0" fillId="24" borderId="6" applyAlignment="1" pivotButton="0" quotePrefix="0" xfId="0">
      <alignment horizontal="center" vertical="top" wrapText="1"/>
    </xf>
    <xf numFmtId="0" fontId="0" fillId="24" borderId="6" applyAlignment="1" pivotButton="0" quotePrefix="0" xfId="0">
      <alignment horizontal="left" vertical="top" wrapText="1"/>
    </xf>
    <xf numFmtId="166" fontId="0" fillId="24" borderId="6" applyAlignment="1" pivotButton="0" quotePrefix="0" xfId="0">
      <alignment vertical="top" wrapText="1"/>
    </xf>
    <xf numFmtId="165" fontId="0" fillId="0" borderId="6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left" vertical="top" wrapText="1"/>
    </xf>
    <xf numFmtId="166" fontId="0" fillId="0" borderId="6" applyAlignment="1" pivotButton="0" quotePrefix="0" xfId="0">
      <alignment vertical="top" wrapText="1"/>
    </xf>
    <xf numFmtId="0" fontId="23" fillId="0" borderId="0" pivotButton="0" quotePrefix="0" xfId="0"/>
    <xf numFmtId="166" fontId="23" fillId="0" borderId="0" pivotButton="0" quotePrefix="0" xfId="0"/>
    <xf numFmtId="0" fontId="25" fillId="0" borderId="0" pivotButton="0" quotePrefix="0" xfId="0"/>
    <xf numFmtId="166" fontId="0" fillId="0" borderId="0" pivotButton="0" quotePrefix="0" xfId="0"/>
    <xf numFmtId="165" fontId="0" fillId="0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166" fontId="0" fillId="23" borderId="6" applyAlignment="1" pivotButton="0" quotePrefix="0" xfId="0">
      <alignment vertical="top" wrapText="1"/>
    </xf>
    <xf numFmtId="166" fontId="0" fillId="24" borderId="6" applyAlignment="1" pivotButton="0" quotePrefix="0" xfId="0">
      <alignment vertical="top" wrapText="1"/>
    </xf>
    <xf numFmtId="166" fontId="0" fillId="0" borderId="6" applyAlignment="1" pivotButton="0" quotePrefix="0" xfId="0">
      <alignment vertical="top" wrapText="1"/>
    </xf>
    <xf numFmtId="166" fontId="23" fillId="0" borderId="0" pivotButton="0" quotePrefix="0" xfId="0"/>
    <xf numFmtId="166" fontId="0" fillId="0" borderId="0" pivotButton="0" quotePrefix="0" xfId="0"/>
    <xf numFmtId="165" fontId="0" fillId="24" borderId="6" applyAlignment="1" pivotButton="0" quotePrefix="0" xfId="0">
      <alignment vertical="top" wrapText="1"/>
    </xf>
    <xf numFmtId="0" fontId="0" fillId="24" borderId="6" applyAlignment="1" pivotButton="0" quotePrefix="0" xfId="0">
      <alignment vertical="top" wrapText="1"/>
    </xf>
    <xf numFmtId="0" fontId="0" fillId="24" borderId="6" pivotButton="0" quotePrefix="0" xfId="0"/>
    <xf numFmtId="0" fontId="2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zoomScale="80" zoomScaleNormal="80" workbookViewId="0">
      <pane xSplit="4" ySplit="2" topLeftCell="E3" activePane="bottomRight" state="frozen"/>
      <selection activeCell="K23" sqref="K23"/>
      <selection pane="topRight" activeCell="K23" sqref="K23"/>
      <selection pane="bottomLeft" activeCell="K23" sqref="K23"/>
      <selection pane="bottomRight" activeCell="A9" sqref="A9:XFD9"/>
    </sheetView>
  </sheetViews>
  <sheetFormatPr baseColWidth="8" defaultRowHeight="14.4"/>
  <cols>
    <col width="12" customWidth="1" min="1" max="2"/>
    <col width="15" customWidth="1" min="3" max="3"/>
    <col width="12" customWidth="1" min="4" max="4"/>
    <col width="20" customWidth="1" min="5" max="5"/>
    <col width="30" customWidth="1" min="6" max="6"/>
    <col width="15" customWidth="1" min="7" max="7"/>
    <col width="20" customWidth="1" min="8" max="8"/>
    <col width="15" customWidth="1" min="9" max="9"/>
    <col width="23.33203125" customWidth="1" min="10" max="10"/>
    <col width="50" customWidth="1" min="11" max="11"/>
    <col width="12" customWidth="1" min="12" max="12"/>
  </cols>
  <sheetData>
    <row r="1" ht="18" customHeight="1">
      <c r="A1" s="2" t="inlineStr">
        <is>
          <t>SALES ORDER REPORT</t>
        </is>
      </c>
      <c r="K1" s="3">
        <f>TODAY()</f>
        <v/>
      </c>
    </row>
    <row r="2" ht="43.2" customHeight="1">
      <c r="A2" s="4" t="inlineStr">
        <is>
          <t>Date</t>
        </is>
      </c>
      <c r="B2" s="4" t="inlineStr">
        <is>
          <t>Delivery Date</t>
        </is>
      </c>
      <c r="C2" s="4" t="inlineStr">
        <is>
          <t>Job Number</t>
        </is>
      </c>
      <c r="D2" s="4" t="inlineStr">
        <is>
          <t>SO Number</t>
        </is>
      </c>
      <c r="E2" s="4" t="inlineStr">
        <is>
          <t>Customer Ref.</t>
        </is>
      </c>
      <c r="F2" s="4" t="inlineStr">
        <is>
          <t>Customer</t>
        </is>
      </c>
      <c r="G2" s="4" t="inlineStr">
        <is>
          <t>Total</t>
        </is>
      </c>
      <c r="H2" s="4" t="inlineStr">
        <is>
          <t>Sales Rep</t>
        </is>
      </c>
      <c r="I2" s="4" t="inlineStr">
        <is>
          <t>Status</t>
        </is>
      </c>
      <c r="J2" s="4" t="inlineStr">
        <is>
          <t>Payment Status</t>
        </is>
      </c>
      <c r="K2" s="4" t="inlineStr">
        <is>
          <t>Details</t>
        </is>
      </c>
      <c r="L2" s="4" t="inlineStr">
        <is>
          <t>Planned Delivery Date</t>
        </is>
      </c>
    </row>
    <row r="3" ht="28.8" customHeight="1">
      <c r="A3" s="26" t="n">
        <v>46133</v>
      </c>
      <c r="B3" s="26" t="n">
        <v>46141.42868263889</v>
      </c>
      <c r="C3" s="27" t="inlineStr">
        <is>
          <t>FM4008</t>
        </is>
      </c>
      <c r="D3" s="27" t="inlineStr">
        <is>
          <t>SO4537</t>
        </is>
      </c>
      <c r="E3" s="28" t="inlineStr">
        <is>
          <t>PO-0070</t>
        </is>
      </c>
      <c r="F3" s="28" t="inlineStr">
        <is>
          <t>Duty Point Pty Ltd</t>
        </is>
      </c>
      <c r="G3" s="29" t="n">
        <v>28418.48</v>
      </c>
      <c r="H3" s="27" t="inlineStr">
        <is>
          <t>Mashudu Tshifularo</t>
        </is>
      </c>
      <c r="I3" s="27" t="inlineStr">
        <is>
          <t>Ready-Dispatch</t>
        </is>
      </c>
      <c r="J3" s="27" t="inlineStr">
        <is>
          <t>CASH SALE – PARTIAL</t>
        </is>
      </c>
      <c r="K3" s="28" t="inlineStr">
        <is>
          <t>MAXFLO 800/150/10 A c/w 4,00KW 4P 380V - PLATE AXIAL (Qty: 2)</t>
        </is>
      </c>
      <c r="L3" s="26">
        <f>B3</f>
        <v/>
      </c>
    </row>
    <row r="4" ht="28.8" customHeight="1">
      <c r="A4" s="5" t="n">
        <v>46136</v>
      </c>
      <c r="B4" s="5" t="n">
        <v>46141.42868263889</v>
      </c>
      <c r="C4" s="6" t="inlineStr">
        <is>
          <t>FM4017</t>
        </is>
      </c>
      <c r="D4" s="6" t="inlineStr">
        <is>
          <t>SO4546</t>
        </is>
      </c>
      <c r="E4" s="7" t="inlineStr">
        <is>
          <t>PO145956</t>
        </is>
      </c>
      <c r="F4" s="7" t="inlineStr">
        <is>
          <t>Howden Power a Div of Howden Africa (Pty) LTD</t>
        </is>
      </c>
      <c r="G4" s="8" t="n">
        <v>15437.6</v>
      </c>
      <c r="H4" s="6" t="inlineStr">
        <is>
          <t>Sizwe Tshabalala</t>
        </is>
      </c>
      <c r="I4" s="6" t="inlineStr">
        <is>
          <t>Ready-Dispatch</t>
        </is>
      </c>
      <c r="J4" s="6" t="inlineStr">
        <is>
          <t>ACCOUNT - UP TO DATE</t>
        </is>
      </c>
      <c r="K4" s="7" t="inlineStr">
        <is>
          <t>SCL-K03 MS-0.55kW-380V (Qty: 1)</t>
        </is>
      </c>
      <c r="L4" s="5">
        <f>B4</f>
        <v/>
      </c>
    </row>
    <row r="5">
      <c r="A5" s="22" t="n">
        <v>46119</v>
      </c>
      <c r="B5" s="22" t="n">
        <v>46142</v>
      </c>
      <c r="C5" s="23" t="inlineStr">
        <is>
          <t>FM3979</t>
        </is>
      </c>
      <c r="D5" s="23" t="inlineStr">
        <is>
          <t>SO4506</t>
        </is>
      </c>
      <c r="E5" s="24" t="inlineStr">
        <is>
          <t>14264</t>
        </is>
      </c>
      <c r="F5" s="24" t="inlineStr">
        <is>
          <t>Arta Masjinerie</t>
        </is>
      </c>
      <c r="G5" s="25" t="n">
        <v>58613.2</v>
      </c>
      <c r="H5" s="23" t="inlineStr">
        <is>
          <t>Simon Mokgola</t>
        </is>
      </c>
      <c r="I5" s="23" t="inlineStr">
        <is>
          <t>In Progress</t>
        </is>
      </c>
      <c r="J5" s="23" t="inlineStr">
        <is>
          <t>ACCOUNT - UP TO DATE</t>
        </is>
      </c>
      <c r="K5" s="24" t="inlineStr">
        <is>
          <t>800 c/w 3.0Kw 4Pole 380V (Qty: 4)</t>
        </is>
      </c>
      <c r="L5" s="22">
        <f>B5</f>
        <v/>
      </c>
    </row>
    <row r="6" ht="43.2" customHeight="1">
      <c r="A6" s="9" t="n">
        <v>46120</v>
      </c>
      <c r="B6" s="9" t="n">
        <v>46142</v>
      </c>
      <c r="C6" s="10" t="inlineStr">
        <is>
          <t>FM3985</t>
        </is>
      </c>
      <c r="D6" s="10" t="inlineStr">
        <is>
          <t>SO4510</t>
        </is>
      </c>
      <c r="E6" s="11" t="inlineStr">
        <is>
          <t>62048</t>
        </is>
      </c>
      <c r="F6" s="11" t="inlineStr">
        <is>
          <t>Chabo &amp; Joubert Air Conditioning (Pty) Ltd</t>
        </is>
      </c>
      <c r="G6" s="12" t="n">
        <v>50593.1</v>
      </c>
      <c r="H6" s="10" t="inlineStr">
        <is>
          <t>Sizwe Tshabalala</t>
        </is>
      </c>
      <c r="I6" s="10" t="inlineStr">
        <is>
          <t>Ready-Dispatch</t>
        </is>
      </c>
      <c r="J6" s="10" t="inlineStr">
        <is>
          <t>ACCOUNT - UP TO DATE</t>
        </is>
      </c>
      <c r="K6" s="11" t="inlineStr">
        <is>
          <t>UV250/1/6 c/w 0.18kW 960rpm 6pole 220V Single Phase Motor incl Bird Screen (Qty: 2), UV400/3/6 c/w 0.55kW 960rpm 6Pole 380V Motor incl Bird Screen (Qty: 1)</t>
        </is>
      </c>
      <c r="L6" s="9">
        <f>B6</f>
        <v/>
      </c>
    </row>
    <row r="7" ht="57.6" customHeight="1">
      <c r="A7" s="22" t="n">
        <v>46136</v>
      </c>
      <c r="B7" s="22" t="n">
        <v>46142</v>
      </c>
      <c r="C7" s="23" t="inlineStr">
        <is>
          <t>FM4016</t>
        </is>
      </c>
      <c r="D7" s="23" t="inlineStr">
        <is>
          <t>SO4545</t>
        </is>
      </c>
      <c r="E7" s="24" t="inlineStr">
        <is>
          <t>cash sale</t>
        </is>
      </c>
      <c r="F7" s="24" t="inlineStr">
        <is>
          <t>ZEFS More Vision</t>
        </is>
      </c>
      <c r="G7" s="25" t="n">
        <v>57647.2</v>
      </c>
      <c r="H7" s="23" t="inlineStr">
        <is>
          <t>Mashudu Tshifularo</t>
        </is>
      </c>
      <c r="I7" s="23" t="inlineStr">
        <is>
          <t>In Progress</t>
        </is>
      </c>
      <c r="J7" s="23" t="inlineStr">
        <is>
          <t>CASH SALE - PAID</t>
        </is>
      </c>
      <c r="K7" s="24" t="inlineStr">
        <is>
          <t>MAXFLO 500/150/10 A c/w 1,10KW 4P 380V (Qty: 4), 500 Diam Mounting Feet (Qty: 12), MAXFLO 560/150/10 A c/w 1,10KW 4P 380V (Qty: 2), 560 Diam Mounting Feet (Qty: 6), 315 to 560 NDA RED ANeoprene Floor Mounts (Qty: 36)</t>
        </is>
      </c>
      <c r="L7" s="22">
        <f>B7</f>
        <v/>
      </c>
    </row>
    <row r="8" ht="28.8" customHeight="1">
      <c r="A8" s="18" t="n">
        <v>46111</v>
      </c>
      <c r="B8" s="18" t="n">
        <v>46146</v>
      </c>
      <c r="C8" s="19" t="inlineStr">
        <is>
          <t>FM3967</t>
        </is>
      </c>
      <c r="D8" s="19" t="inlineStr">
        <is>
          <t>SO4492</t>
        </is>
      </c>
      <c r="E8" s="20" t="inlineStr">
        <is>
          <t>PO260306</t>
        </is>
      </c>
      <c r="F8" s="20" t="inlineStr">
        <is>
          <t>Alpha Air Ventilation Services</t>
        </is>
      </c>
      <c r="G8" s="21" t="n">
        <v>9014.209999999999</v>
      </c>
      <c r="H8" s="19" t="inlineStr">
        <is>
          <t>Sizwe Tshabalala</t>
        </is>
      </c>
      <c r="I8" s="19" t="inlineStr">
        <is>
          <t>On Hold</t>
        </is>
      </c>
      <c r="J8" s="19">
        <f>IFERROR(VLOOKUP(D8,#REF!, 7, FALSE), "")</f>
        <v/>
      </c>
      <c r="K8" s="20" t="inlineStr">
        <is>
          <t>MAJAX-2 500 c/w 0,55KW 4P 380V (Qty: 1), 500 Diam Counter Flange (Qty: 2)</t>
        </is>
      </c>
      <c r="L8" s="18">
        <f>B8</f>
        <v/>
      </c>
    </row>
    <row r="9">
      <c r="A9" s="9" t="n">
        <v>46133</v>
      </c>
      <c r="B9" s="9" t="n">
        <v>46146</v>
      </c>
      <c r="C9" s="10" t="inlineStr">
        <is>
          <t>FM4020</t>
        </is>
      </c>
      <c r="D9" s="10" t="inlineStr">
        <is>
          <t>SO4549</t>
        </is>
      </c>
      <c r="E9" s="11" t="inlineStr">
        <is>
          <t>nan</t>
        </is>
      </c>
      <c r="F9" s="11" t="inlineStr">
        <is>
          <t>Sulit Projects</t>
        </is>
      </c>
      <c r="G9" s="12" t="n">
        <v>1573.2</v>
      </c>
      <c r="H9" s="10" t="inlineStr">
        <is>
          <t>Mashudu Tshifularo</t>
        </is>
      </c>
      <c r="I9" s="10" t="inlineStr">
        <is>
          <t>In Progress</t>
        </is>
      </c>
      <c r="J9" s="10" t="inlineStr">
        <is>
          <t>CASH SALE - PAID</t>
        </is>
      </c>
      <c r="K9" s="11" t="inlineStr">
        <is>
          <t>RAD 125 (Qty: 1)</t>
        </is>
      </c>
      <c r="L9" s="9">
        <f>B9</f>
        <v/>
      </c>
    </row>
    <row r="10">
      <c r="A10" s="18" t="n">
        <v>46111</v>
      </c>
      <c r="B10" s="18" t="n">
        <v>46150</v>
      </c>
      <c r="C10" s="19" t="inlineStr">
        <is>
          <t>FM3990</t>
        </is>
      </c>
      <c r="D10" s="19" t="inlineStr">
        <is>
          <t>SO4517</t>
        </is>
      </c>
      <c r="E10" s="20" t="inlineStr">
        <is>
          <t>PO:0000426</t>
        </is>
      </c>
      <c r="F10" s="20" t="inlineStr">
        <is>
          <t>Compu Cool (Pty) Ltd</t>
        </is>
      </c>
      <c r="G10" s="21" t="n">
        <v>169353.6</v>
      </c>
      <c r="H10" s="19" t="inlineStr">
        <is>
          <t>Mashudu Tshifularo</t>
        </is>
      </c>
      <c r="I10" s="19" t="inlineStr">
        <is>
          <t>On Hold</t>
        </is>
      </c>
      <c r="J10" s="19">
        <f>IFERROR(VLOOKUP(D10,#REF!, 7, FALSE), "")</f>
        <v/>
      </c>
      <c r="K10" s="20" t="inlineStr">
        <is>
          <t>UV710/3/6 (Qty: 6)</t>
        </is>
      </c>
      <c r="L10" s="18">
        <f>B10</f>
        <v/>
      </c>
    </row>
    <row r="11">
      <c r="A11" s="9" t="n">
        <v>46069</v>
      </c>
      <c r="B11" s="9" t="n">
        <v>46157</v>
      </c>
      <c r="C11" s="10" t="inlineStr">
        <is>
          <t>FM3841</t>
        </is>
      </c>
      <c r="D11" s="10" t="inlineStr">
        <is>
          <t>SO4372</t>
        </is>
      </c>
      <c r="E11" s="11" t="inlineStr">
        <is>
          <t>PO2213</t>
        </is>
      </c>
      <c r="F11" s="11" t="inlineStr">
        <is>
          <t>Hucra Fans</t>
        </is>
      </c>
      <c r="G11" s="12" t="n">
        <v>379993.35</v>
      </c>
      <c r="H11" s="10" t="inlineStr">
        <is>
          <t>Sales Agent Hucra Fans</t>
        </is>
      </c>
      <c r="I11" s="10" t="inlineStr">
        <is>
          <t>In Progress</t>
        </is>
      </c>
      <c r="J11" s="10" t="inlineStr">
        <is>
          <t>ACCOUNT - UP TO DATE</t>
        </is>
      </c>
      <c r="K11" s="11" t="inlineStr">
        <is>
          <t>SCL K11 MS - 11.0kW - 525V (Qty: 3)</t>
        </is>
      </c>
      <c r="L11" s="9">
        <f>B11</f>
        <v/>
      </c>
    </row>
    <row r="12">
      <c r="A12" s="9" t="n">
        <v>46077</v>
      </c>
      <c r="B12" s="9" t="n">
        <v>46157</v>
      </c>
      <c r="C12" s="10" t="inlineStr">
        <is>
          <t>FM3874</t>
        </is>
      </c>
      <c r="D12" s="10" t="inlineStr">
        <is>
          <t>SO4404</t>
        </is>
      </c>
      <c r="E12" s="11" t="inlineStr">
        <is>
          <t>PO2174</t>
        </is>
      </c>
      <c r="F12" s="11" t="inlineStr">
        <is>
          <t>ITD North Pty Ltd</t>
        </is>
      </c>
      <c r="G12" s="12" t="n">
        <v>94247.10000000001</v>
      </c>
      <c r="H12" s="10" t="inlineStr">
        <is>
          <t>Mashudu Tshifularo</t>
        </is>
      </c>
      <c r="I12" s="10" t="inlineStr">
        <is>
          <t>In Progress</t>
        </is>
      </c>
      <c r="J12" s="10" t="inlineStr">
        <is>
          <t>CASH SALE – PARTIAL</t>
        </is>
      </c>
      <c r="K12" s="11" t="inlineStr">
        <is>
          <t>RDH 710 K2 - Nicotra Fan (Qty: 1)</t>
        </is>
      </c>
      <c r="L12" s="9">
        <f>B12</f>
        <v/>
      </c>
    </row>
    <row r="13" ht="28.8" customHeight="1">
      <c r="A13" s="9" t="n">
        <v>46112</v>
      </c>
      <c r="B13" s="9" t="n">
        <v>46171</v>
      </c>
      <c r="C13" s="10" t="inlineStr">
        <is>
          <t>FM3974</t>
        </is>
      </c>
      <c r="D13" s="10" t="inlineStr">
        <is>
          <t>SO4502</t>
        </is>
      </c>
      <c r="E13" s="11" t="inlineStr">
        <is>
          <t>210719</t>
        </is>
      </c>
      <c r="F13" s="11" t="inlineStr">
        <is>
          <t>Kenmare Moma Processing (Mauritius) Limited</t>
        </is>
      </c>
      <c r="G13" s="12" t="n">
        <v>103711</v>
      </c>
      <c r="H13" s="10" t="inlineStr">
        <is>
          <t>Sizwe Tshabalala</t>
        </is>
      </c>
      <c r="I13" s="10" t="inlineStr">
        <is>
          <t>In Progress</t>
        </is>
      </c>
      <c r="J13" s="10" t="inlineStr">
        <is>
          <t>ACCOUNT - UP TO DATE</t>
        </is>
      </c>
      <c r="K13" s="11" t="inlineStr">
        <is>
          <t>SCL-K10 MS-11kW - Item no 28000234 (Qty: 1)</t>
        </is>
      </c>
      <c r="L13" s="9">
        <f>B13</f>
        <v/>
      </c>
    </row>
    <row r="14" ht="28.8" customHeight="1">
      <c r="A14" s="9" t="n">
        <v>46112</v>
      </c>
      <c r="B14" s="9" t="n">
        <v>46171</v>
      </c>
      <c r="C14" s="10" t="inlineStr">
        <is>
          <t>FM3997</t>
        </is>
      </c>
      <c r="D14" s="10" t="inlineStr">
        <is>
          <t>SO4525</t>
        </is>
      </c>
      <c r="E14" s="11" t="inlineStr">
        <is>
          <t>211035</t>
        </is>
      </c>
      <c r="F14" s="11" t="inlineStr">
        <is>
          <t>Kenmare Moma Processing (Mauritius) Limited</t>
        </is>
      </c>
      <c r="G14" s="12" t="n">
        <v>83433</v>
      </c>
      <c r="H14" s="10" t="inlineStr">
        <is>
          <t>Sizwe Tshabalala</t>
        </is>
      </c>
      <c r="I14" s="10" t="inlineStr">
        <is>
          <t>In Progress</t>
        </is>
      </c>
      <c r="J14" s="10" t="inlineStr">
        <is>
          <t>ACCOUNT - UP TO DATE</t>
        </is>
      </c>
      <c r="K14" s="11" t="inlineStr">
        <is>
          <t>SCL-K08 MS-7.5kW (Qty: 1)</t>
        </is>
      </c>
      <c r="L14" s="9">
        <f>B14</f>
        <v/>
      </c>
    </row>
    <row r="15">
      <c r="F15" s="13" t="inlineStr">
        <is>
          <t>Total Value (All):</t>
        </is>
      </c>
      <c r="G15" s="14">
        <f>SUM(G3:G14)</f>
        <v/>
      </c>
    </row>
    <row r="17">
      <c r="F17" s="15" t="inlineStr">
        <is>
          <t>BREAKDOWN</t>
        </is>
      </c>
    </row>
    <row r="18">
      <c r="F18" t="inlineStr">
        <is>
          <t>Cash Sale (April):</t>
        </is>
      </c>
      <c r="G18" s="1">
        <f>SUMIFS(G3:G14, J3:J14, "*CASH SALE*", L3:L14, "&gt;="&amp;EOMONTH(TODAY(),-1)+1, L3:L14, "&lt;="&amp;EOMONTH(TODAY(),0))</f>
        <v/>
      </c>
      <c r="I18" t="inlineStr">
        <is>
          <t>Cash Sale (May):</t>
        </is>
      </c>
      <c r="J18" s="1">
        <f>SUMIFS(G3:G14, J3:J14, "*CASH SALE*", L3:L14, "&gt;="&amp;EOMONTH(TODAY(),0)+1, L3:L14, "&lt;="&amp;EOMONTH(TODAY(),1))</f>
        <v/>
      </c>
    </row>
    <row r="19">
      <c r="F19" t="inlineStr">
        <is>
          <t>Account (April):</t>
        </is>
      </c>
      <c r="G19" s="1">
        <f>SUMIFS(G3:G14, J3:J14, "*ACCOUNT*", L3:L14, "&gt;="&amp;EOMONTH(TODAY(),-1)+1, L3:L14, "&lt;="&amp;EOMONTH(TODAY(),0))</f>
        <v/>
      </c>
      <c r="I19" t="inlineStr">
        <is>
          <t>Account (May):</t>
        </is>
      </c>
      <c r="J19" s="1">
        <f>SUMIFS(G3:G14, J3:J14, "*ACCOUNT*", L3:L14, "&gt;="&amp;EOMONTH(TODAY(),0)+1, L3:L14, "&lt;="&amp;EOMONTH(TODAY(),1))</f>
        <v/>
      </c>
    </row>
    <row r="21" ht="28.8" customHeight="1">
      <c r="A21" s="4" t="inlineStr">
        <is>
          <t>Date</t>
        </is>
      </c>
      <c r="B21" s="4" t="inlineStr">
        <is>
          <t>Delivery Date</t>
        </is>
      </c>
      <c r="C21" s="4" t="inlineStr">
        <is>
          <t>Job Number</t>
        </is>
      </c>
      <c r="D21" s="4" t="inlineStr">
        <is>
          <t>SO Number</t>
        </is>
      </c>
      <c r="E21" s="4" t="inlineStr">
        <is>
          <t>Customer Ref.</t>
        </is>
      </c>
      <c r="F21" s="4" t="inlineStr">
        <is>
          <t>Customer</t>
        </is>
      </c>
      <c r="G21" s="4" t="inlineStr">
        <is>
          <t>Total</t>
        </is>
      </c>
      <c r="H21" s="4" t="inlineStr">
        <is>
          <t>Sales Rep</t>
        </is>
      </c>
      <c r="I21" s="4" t="inlineStr">
        <is>
          <t>Status</t>
        </is>
      </c>
      <c r="J21" s="4" t="inlineStr">
        <is>
          <t>Payment Status</t>
        </is>
      </c>
      <c r="K21" s="4" t="inlineStr">
        <is>
          <t>Comments</t>
        </is>
      </c>
    </row>
    <row r="22">
      <c r="A22" s="16" t="n">
        <v>46133</v>
      </c>
      <c r="B22" s="16" t="n">
        <v>46141.42868263889</v>
      </c>
      <c r="C22" s="17" t="inlineStr">
        <is>
          <t>FM4008</t>
        </is>
      </c>
      <c r="D22" s="17" t="inlineStr">
        <is>
          <t>SO4537</t>
        </is>
      </c>
      <c r="E22" s="17" t="inlineStr">
        <is>
          <t>PO-0070</t>
        </is>
      </c>
      <c r="F22" s="17" t="inlineStr">
        <is>
          <t>Duty Point Pty Ltd</t>
        </is>
      </c>
      <c r="G22" s="12" t="n">
        <v>28418.48</v>
      </c>
      <c r="H22" s="17" t="inlineStr">
        <is>
          <t>Mashudu Tshifularo</t>
        </is>
      </c>
      <c r="I22" s="17" t="inlineStr">
        <is>
          <t>Ready-Dispatch</t>
        </is>
      </c>
      <c r="J22" s="17" t="inlineStr">
        <is>
          <t>CASH SALE – PARTIAL</t>
        </is>
      </c>
      <c r="K22" s="11" t="inlineStr">
        <is>
          <t>Balance payment required prior to delivery/collection</t>
        </is>
      </c>
    </row>
    <row r="23" ht="28.8" customHeight="1">
      <c r="A23" s="16" t="n">
        <v>46136</v>
      </c>
      <c r="B23" s="16" t="n">
        <v>46141.42868263889</v>
      </c>
      <c r="C23" s="17" t="inlineStr">
        <is>
          <t>FM4017</t>
        </is>
      </c>
      <c r="D23" s="17" t="inlineStr">
        <is>
          <t>SO4546</t>
        </is>
      </c>
      <c r="E23" s="17" t="inlineStr">
        <is>
          <t>PO145956</t>
        </is>
      </c>
      <c r="F23" s="17" t="inlineStr">
        <is>
          <t>Howden Power a Div of Howden Africa (Pty) LTD</t>
        </is>
      </c>
      <c r="G23" s="12" t="n">
        <v>15437.6</v>
      </c>
      <c r="H23" s="17" t="inlineStr">
        <is>
          <t>Sizwe Tshabalala</t>
        </is>
      </c>
      <c r="I23" s="17" t="inlineStr">
        <is>
          <t>Ready-Dispatch</t>
        </is>
      </c>
      <c r="J23" s="17" t="inlineStr">
        <is>
          <t>ACCOUNT - UP TO DATE</t>
        </is>
      </c>
      <c r="K23" s="11" t="inlineStr">
        <is>
          <t>Client to collect 28/04/2026 - Sizwe to advise</t>
        </is>
      </c>
    </row>
    <row r="24">
      <c r="F24" s="13" t="inlineStr">
        <is>
          <t>Due Today - Total:</t>
        </is>
      </c>
      <c r="G24" s="14">
        <f>SUM(G22:G23)</f>
        <v/>
      </c>
    </row>
    <row r="26">
      <c r="F26" s="13" t="inlineStr">
        <is>
          <t>Ready-Dispatch:</t>
        </is>
      </c>
      <c r="G26" s="14">
        <f>SUMIFS(G3:G14, I3:I14, "*Ready*Dispatch*")</f>
        <v/>
      </c>
    </row>
  </sheetData>
  <pageMargins left="0.25" right="0.25" top="0.75" bottom="0.75" header="0.3" footer="0.3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zoomScale="85" zoomScaleNormal="85" workbookViewId="0">
      <pane xSplit="4" ySplit="2" topLeftCell="E3" activePane="bottomRight" state="frozen"/>
      <selection activeCell="K23" sqref="K23"/>
      <selection pane="topRight" activeCell="K23" sqref="K23"/>
      <selection pane="bottomLeft" activeCell="K23" sqref="K23"/>
      <selection pane="bottomRight" activeCell="K23" sqref="K23"/>
    </sheetView>
  </sheetViews>
  <sheetFormatPr baseColWidth="8" defaultRowHeight="14.4"/>
  <cols>
    <col width="12" customWidth="1" min="1" max="2"/>
    <col width="15" customWidth="1" min="3" max="3"/>
    <col width="12" customWidth="1" min="4" max="4"/>
    <col width="20" customWidth="1" min="5" max="5"/>
    <col width="30" customWidth="1" min="6" max="6"/>
    <col width="15" customWidth="1" min="7" max="7"/>
    <col width="20" customWidth="1" min="8" max="8"/>
    <col width="15" customWidth="1" min="9" max="9"/>
    <col width="23.33203125" customWidth="1" min="10" max="10"/>
    <col width="50" customWidth="1" min="11" max="11"/>
    <col width="12" customWidth="1" min="12" max="12"/>
  </cols>
  <sheetData>
    <row r="1" ht="18" customHeight="1">
      <c r="A1" s="30" t="inlineStr">
        <is>
          <t>SALES ORDER REPORT</t>
        </is>
      </c>
      <c r="K1" s="31">
        <f>TODAY()</f>
        <v/>
      </c>
    </row>
    <row r="2" ht="43.2" customHeight="1">
      <c r="A2" s="32" t="inlineStr">
        <is>
          <t>Date</t>
        </is>
      </c>
      <c r="B2" s="32" t="inlineStr">
        <is>
          <t>Delivery Date</t>
        </is>
      </c>
      <c r="C2" s="32" t="inlineStr">
        <is>
          <t>Job Number</t>
        </is>
      </c>
      <c r="D2" s="32" t="inlineStr">
        <is>
          <t>SO Number</t>
        </is>
      </c>
      <c r="E2" s="32" t="inlineStr">
        <is>
          <t>Customer Ref.</t>
        </is>
      </c>
      <c r="F2" s="32" t="inlineStr">
        <is>
          <t>Customer</t>
        </is>
      </c>
      <c r="G2" s="32" t="inlineStr">
        <is>
          <t>Total</t>
        </is>
      </c>
      <c r="H2" s="32" t="inlineStr">
        <is>
          <t>Sales Rep</t>
        </is>
      </c>
      <c r="I2" s="32" t="inlineStr">
        <is>
          <t>Status</t>
        </is>
      </c>
      <c r="J2" s="32" t="inlineStr">
        <is>
          <t>Payment Status</t>
        </is>
      </c>
      <c r="K2" s="32" t="inlineStr">
        <is>
          <t>Details</t>
        </is>
      </c>
      <c r="L2" s="32" t="inlineStr">
        <is>
          <t>Planned Delivery Date</t>
        </is>
      </c>
    </row>
    <row r="3" ht="43.2" customHeight="1">
      <c r="A3" s="33" t="n">
        <v>46120</v>
      </c>
      <c r="B3" s="33" t="n">
        <v>46146.32827782408</v>
      </c>
      <c r="C3" s="34" t="inlineStr">
        <is>
          <t>FM3985</t>
        </is>
      </c>
      <c r="D3" s="34" t="inlineStr">
        <is>
          <t>SO4510</t>
        </is>
      </c>
      <c r="E3" s="35" t="inlineStr">
        <is>
          <t>62048</t>
        </is>
      </c>
      <c r="F3" s="35" t="inlineStr">
        <is>
          <t>Chabo &amp; Joubert Air Conditioning (Pty) Ltd</t>
        </is>
      </c>
      <c r="G3" s="36" t="n">
        <v>50593.1</v>
      </c>
      <c r="H3" s="34" t="inlineStr">
        <is>
          <t>Sizwe Tshabalala</t>
        </is>
      </c>
      <c r="I3" s="34" t="inlineStr">
        <is>
          <t>Ready-Dispatch</t>
        </is>
      </c>
      <c r="J3" s="34" t="inlineStr">
        <is>
          <t>ACCOUNT - UP TO DATE</t>
        </is>
      </c>
      <c r="K3" s="35" t="inlineStr">
        <is>
          <t>UV250/1/6 c/w 0.18kW 960rpm 6pole 220V Single Phase Motor incl Bird Screen (Qty: 2), UV400/3/6 c/w 0.55kW 960rpm 6Pole 380V Motor incl Bird Screen (Qty: 1)</t>
        </is>
      </c>
      <c r="L3" s="33">
        <f>B3</f>
        <v/>
      </c>
    </row>
    <row r="4" ht="28.8" customHeight="1">
      <c r="A4" s="33" t="n">
        <v>46133</v>
      </c>
      <c r="B4" s="33" t="n">
        <v>46146.32827782408</v>
      </c>
      <c r="C4" s="34" t="inlineStr">
        <is>
          <t>FM4008</t>
        </is>
      </c>
      <c r="D4" s="34" t="inlineStr">
        <is>
          <t>SO4537</t>
        </is>
      </c>
      <c r="E4" s="35" t="inlineStr">
        <is>
          <t>PO-0070</t>
        </is>
      </c>
      <c r="F4" s="35" t="inlineStr">
        <is>
          <t>Duty Point Pty Ltd</t>
        </is>
      </c>
      <c r="G4" s="36" t="n">
        <v>28418.48</v>
      </c>
      <c r="H4" s="34" t="inlineStr">
        <is>
          <t>Mashudu Tshifularo</t>
        </is>
      </c>
      <c r="I4" s="34" t="inlineStr">
        <is>
          <t>Ready-Dispatch</t>
        </is>
      </c>
      <c r="J4" s="34" t="inlineStr">
        <is>
          <t>CASH SALE – PARTIAL</t>
        </is>
      </c>
      <c r="K4" s="35" t="inlineStr">
        <is>
          <t>MAXFLO 800/150/10 A c/w 4,00KW 4P 380V - PLATE AXIAL (Qty: 2)</t>
        </is>
      </c>
      <c r="L4" s="33">
        <f>B4</f>
        <v/>
      </c>
    </row>
    <row r="5" ht="28.8" customHeight="1">
      <c r="A5" s="33" t="n">
        <v>46136</v>
      </c>
      <c r="B5" s="33" t="n">
        <v>46146.32827782408</v>
      </c>
      <c r="C5" s="34" t="inlineStr">
        <is>
          <t>FM4017</t>
        </is>
      </c>
      <c r="D5" s="34" t="inlineStr">
        <is>
          <t>SO4546</t>
        </is>
      </c>
      <c r="E5" s="35" t="inlineStr">
        <is>
          <t>PO145956</t>
        </is>
      </c>
      <c r="F5" s="35" t="inlineStr">
        <is>
          <t>Howden Power a Div of Howden Africa (Pty) LTD</t>
        </is>
      </c>
      <c r="G5" s="36" t="n">
        <v>15437.6</v>
      </c>
      <c r="H5" s="34" t="inlineStr">
        <is>
          <t>Sizwe Tshabalala</t>
        </is>
      </c>
      <c r="I5" s="34" t="inlineStr">
        <is>
          <t>Ready-Dispatch</t>
        </is>
      </c>
      <c r="J5" s="34" t="inlineStr">
        <is>
          <t>ACCOUNT - UP TO DATE</t>
        </is>
      </c>
      <c r="K5" s="35" t="inlineStr">
        <is>
          <t>SCL-K03 MS-0.55kW-380V (Qty: 1)</t>
        </is>
      </c>
      <c r="L5" s="33">
        <f>B5</f>
        <v/>
      </c>
    </row>
    <row r="6" ht="28.8" customHeight="1">
      <c r="A6" s="33" t="n">
        <v>46111</v>
      </c>
      <c r="B6" s="33" t="n">
        <v>46146.32827782408</v>
      </c>
      <c r="C6" s="34" t="inlineStr">
        <is>
          <t>FM3967</t>
        </is>
      </c>
      <c r="D6" s="34" t="inlineStr">
        <is>
          <t>SO4492</t>
        </is>
      </c>
      <c r="E6" s="35" t="inlineStr">
        <is>
          <t>PO260306</t>
        </is>
      </c>
      <c r="F6" s="35" t="inlineStr">
        <is>
          <t>Alpha Air Ventilation Services</t>
        </is>
      </c>
      <c r="G6" s="36" t="n">
        <v>9014.209999999999</v>
      </c>
      <c r="H6" s="34" t="inlineStr">
        <is>
          <t>Sizwe Tshabalala</t>
        </is>
      </c>
      <c r="I6" s="34" t="inlineStr">
        <is>
          <t>On Hold</t>
        </is>
      </c>
      <c r="J6" s="34">
        <f>IFERROR(VLOOKUP(D6, '29.04.2026'!D:J, 7, FALSE), "")</f>
        <v/>
      </c>
      <c r="K6" s="35" t="inlineStr">
        <is>
          <t>MAJAX-2 500 c/w 0,55KW 4P 380V (Qty: 1), 500 Diam Counter Flange (Qty: 2)</t>
        </is>
      </c>
      <c r="L6" s="33">
        <f>B6</f>
        <v/>
      </c>
    </row>
    <row r="7" ht="28.8" customHeight="1">
      <c r="A7" s="33" t="n">
        <v>46112</v>
      </c>
      <c r="B7" s="33" t="n">
        <v>46146.32827782408</v>
      </c>
      <c r="C7" s="34" t="inlineStr">
        <is>
          <t>FM3974</t>
        </is>
      </c>
      <c r="D7" s="34" t="inlineStr">
        <is>
          <t>SO4502</t>
        </is>
      </c>
      <c r="E7" s="35" t="inlineStr">
        <is>
          <t>210719</t>
        </is>
      </c>
      <c r="F7" s="35" t="inlineStr">
        <is>
          <t>Kenmare Moma Processing (Mauritius) Limited</t>
        </is>
      </c>
      <c r="G7" s="36" t="n">
        <v>103711</v>
      </c>
      <c r="H7" s="34" t="inlineStr">
        <is>
          <t>Sizwe Tshabalala</t>
        </is>
      </c>
      <c r="I7" s="34" t="inlineStr">
        <is>
          <t>In Progress</t>
        </is>
      </c>
      <c r="J7" s="34" t="inlineStr">
        <is>
          <t>ACCOUNT - UP TO DATE</t>
        </is>
      </c>
      <c r="K7" s="35" t="inlineStr">
        <is>
          <t>SCL-K10 MS-11kW - Item no 28000234 (Qty: 1)</t>
        </is>
      </c>
      <c r="L7" s="33">
        <f>B7</f>
        <v/>
      </c>
    </row>
    <row r="8" ht="28.8" customHeight="1">
      <c r="A8" s="33" t="n">
        <v>46112</v>
      </c>
      <c r="B8" s="33" t="n">
        <v>46146.32827782408</v>
      </c>
      <c r="C8" s="34" t="inlineStr">
        <is>
          <t>FM3997</t>
        </is>
      </c>
      <c r="D8" s="34" t="inlineStr">
        <is>
          <t>SO4525</t>
        </is>
      </c>
      <c r="E8" s="35" t="inlineStr">
        <is>
          <t>211035</t>
        </is>
      </c>
      <c r="F8" s="35" t="inlineStr">
        <is>
          <t>Kenmare Moma Processing (Mauritius) Limited</t>
        </is>
      </c>
      <c r="G8" s="36" t="n">
        <v>83433</v>
      </c>
      <c r="H8" s="34" t="inlineStr">
        <is>
          <t>Sizwe Tshabalala</t>
        </is>
      </c>
      <c r="I8" s="34" t="inlineStr">
        <is>
          <t>In Progress</t>
        </is>
      </c>
      <c r="J8" s="34" t="inlineStr">
        <is>
          <t>ACCOUNT - UP TO DATE</t>
        </is>
      </c>
      <c r="K8" s="35" t="inlineStr">
        <is>
          <t>SCL-K08 MS-7.5kW (Qty: 1)</t>
        </is>
      </c>
      <c r="L8" s="33">
        <f>B8</f>
        <v/>
      </c>
    </row>
    <row r="9">
      <c r="A9" s="33" t="n">
        <v>46119</v>
      </c>
      <c r="B9" s="33" t="n">
        <v>46146.32827782408</v>
      </c>
      <c r="C9" s="34" t="inlineStr">
        <is>
          <t>FM3979</t>
        </is>
      </c>
      <c r="D9" s="34" t="inlineStr">
        <is>
          <t>SO4506</t>
        </is>
      </c>
      <c r="E9" s="35" t="inlineStr">
        <is>
          <t>14264</t>
        </is>
      </c>
      <c r="F9" s="35" t="inlineStr">
        <is>
          <t>Arta Masjinerie</t>
        </is>
      </c>
      <c r="G9" s="36" t="n">
        <v>58613.2</v>
      </c>
      <c r="H9" s="34" t="inlineStr">
        <is>
          <t>Simon Mokgola</t>
        </is>
      </c>
      <c r="I9" s="34" t="inlineStr">
        <is>
          <t>In Progress</t>
        </is>
      </c>
      <c r="J9" s="34" t="inlineStr">
        <is>
          <t>ACCOUNT - UP TO DATE</t>
        </is>
      </c>
      <c r="K9" s="35" t="inlineStr">
        <is>
          <t>800 c/w 3.0Kw 4Pole 380V (Qty: 4)</t>
        </is>
      </c>
      <c r="L9" s="33">
        <f>B9</f>
        <v/>
      </c>
    </row>
    <row r="10">
      <c r="A10" s="33" t="n">
        <v>46133</v>
      </c>
      <c r="B10" s="33" t="n">
        <v>46146.32827782408</v>
      </c>
      <c r="C10" s="34" t="inlineStr">
        <is>
          <t>FM4020</t>
        </is>
      </c>
      <c r="D10" s="34" t="inlineStr">
        <is>
          <t>SO4549</t>
        </is>
      </c>
      <c r="E10" s="35" t="inlineStr">
        <is>
          <t>nan</t>
        </is>
      </c>
      <c r="F10" s="35" t="inlineStr">
        <is>
          <t>Sulit Projects</t>
        </is>
      </c>
      <c r="G10" s="36" t="n">
        <v>1573.2</v>
      </c>
      <c r="H10" s="34" t="inlineStr">
        <is>
          <t>Mashudu Tshifularo</t>
        </is>
      </c>
      <c r="I10" s="34" t="inlineStr">
        <is>
          <t>In Progress</t>
        </is>
      </c>
      <c r="J10" s="34" t="inlineStr">
        <is>
          <t>CASH SALE - PAID</t>
        </is>
      </c>
      <c r="K10" s="35" t="inlineStr">
        <is>
          <t>RAD 125 (Qty: 1)</t>
        </is>
      </c>
      <c r="L10" s="33">
        <f>B10</f>
        <v/>
      </c>
    </row>
    <row r="11" ht="57.6" customHeight="1">
      <c r="A11" s="33" t="n">
        <v>46136</v>
      </c>
      <c r="B11" s="33" t="n">
        <v>46146.32827782408</v>
      </c>
      <c r="C11" s="34" t="inlineStr">
        <is>
          <t>FM4016</t>
        </is>
      </c>
      <c r="D11" s="34" t="inlineStr">
        <is>
          <t>SO4545</t>
        </is>
      </c>
      <c r="E11" s="35" t="inlineStr">
        <is>
          <t>cash sale</t>
        </is>
      </c>
      <c r="F11" s="35" t="inlineStr">
        <is>
          <t>ZEFS More Vision</t>
        </is>
      </c>
      <c r="G11" s="36" t="n">
        <v>57647.2</v>
      </c>
      <c r="H11" s="34" t="inlineStr">
        <is>
          <t>Mashudu Tshifularo</t>
        </is>
      </c>
      <c r="I11" s="34" t="inlineStr">
        <is>
          <t>In Progress</t>
        </is>
      </c>
      <c r="J11" s="34" t="inlineStr">
        <is>
          <t>CASH SALE - PAID</t>
        </is>
      </c>
      <c r="K11" s="35" t="inlineStr">
        <is>
          <t>MAXFLO 500/150/10 A c/w 1,10KW 4P 380V (Qty: 4), 500 Diam Mounting Feet (Qty: 12), MAXFLO 560/150/10 A c/w 1,10KW 4P 380V (Qty: 2), 560 Diam Mounting Feet (Qty: 6), 315 to 560 NDA RED ANeoprene Floor Mounts (Qty: 36)</t>
        </is>
      </c>
      <c r="L11" s="33">
        <f>B11</f>
        <v/>
      </c>
    </row>
    <row r="12">
      <c r="A12" s="37" t="n">
        <v>46111</v>
      </c>
      <c r="B12" s="37" t="n">
        <v>46150</v>
      </c>
      <c r="C12" s="38" t="inlineStr">
        <is>
          <t>FM3990</t>
        </is>
      </c>
      <c r="D12" s="38" t="inlineStr">
        <is>
          <t>SO4517</t>
        </is>
      </c>
      <c r="E12" s="39" t="inlineStr">
        <is>
          <t>PO:0000426</t>
        </is>
      </c>
      <c r="F12" s="39" t="inlineStr">
        <is>
          <t>Compu Cool (Pty) Ltd</t>
        </is>
      </c>
      <c r="G12" s="40" t="n">
        <v>169353.6</v>
      </c>
      <c r="H12" s="38" t="inlineStr">
        <is>
          <t>Mashudu Tshifularo</t>
        </is>
      </c>
      <c r="I12" s="38" t="inlineStr">
        <is>
          <t>On Hold</t>
        </is>
      </c>
      <c r="J12" s="38">
        <f>IFERROR(VLOOKUP(D12, '29.04.2026'!D:J, 7, FALSE), "")</f>
        <v/>
      </c>
      <c r="K12" s="39" t="inlineStr">
        <is>
          <t>UV710/3/6 (Qty: 6)</t>
        </is>
      </c>
      <c r="L12" s="37">
        <f>B12</f>
        <v/>
      </c>
    </row>
    <row r="13">
      <c r="A13" s="37" t="n">
        <v>46069</v>
      </c>
      <c r="B13" s="37" t="n">
        <v>46157</v>
      </c>
      <c r="C13" s="38" t="inlineStr">
        <is>
          <t>FM3841</t>
        </is>
      </c>
      <c r="D13" s="38" t="inlineStr">
        <is>
          <t>SO4372</t>
        </is>
      </c>
      <c r="E13" s="39" t="inlineStr">
        <is>
          <t>PO2213</t>
        </is>
      </c>
      <c r="F13" s="39" t="inlineStr">
        <is>
          <t>Hucra Fans</t>
        </is>
      </c>
      <c r="G13" s="40" t="n">
        <v>379993.35</v>
      </c>
      <c r="H13" s="38" t="inlineStr">
        <is>
          <t>Sales Agent Hucra Fans</t>
        </is>
      </c>
      <c r="I13" s="38" t="inlineStr">
        <is>
          <t>In Progress</t>
        </is>
      </c>
      <c r="J13" s="38" t="inlineStr">
        <is>
          <t>ACCOUNT - UP TO DATE</t>
        </is>
      </c>
      <c r="K13" s="39" t="inlineStr">
        <is>
          <t>SCL K11 MS - 11.0kW - 525V (Qty: 3)</t>
        </is>
      </c>
      <c r="L13" s="37">
        <f>B13</f>
        <v/>
      </c>
    </row>
    <row r="14">
      <c r="A14" s="37" t="n">
        <v>46077</v>
      </c>
      <c r="B14" s="37" t="n">
        <v>46157</v>
      </c>
      <c r="C14" s="38" t="inlineStr">
        <is>
          <t>FM3874</t>
        </is>
      </c>
      <c r="D14" s="38" t="inlineStr">
        <is>
          <t>SO4404</t>
        </is>
      </c>
      <c r="E14" s="39" t="inlineStr">
        <is>
          <t>PO2174</t>
        </is>
      </c>
      <c r="F14" s="39" t="inlineStr">
        <is>
          <t>ITD North Pty Ltd</t>
        </is>
      </c>
      <c r="G14" s="40" t="n">
        <v>94247.10000000001</v>
      </c>
      <c r="H14" s="38" t="inlineStr">
        <is>
          <t>Mashudu Tshifularo</t>
        </is>
      </c>
      <c r="I14" s="38" t="inlineStr">
        <is>
          <t>In Progress</t>
        </is>
      </c>
      <c r="J14" s="38" t="inlineStr">
        <is>
          <t>CASH SALE – PARTIAL</t>
        </is>
      </c>
      <c r="K14" s="39" t="inlineStr">
        <is>
          <t>RDH 710 K2 - Nicotra Fan (Qty: 1)</t>
        </is>
      </c>
      <c r="L14" s="37">
        <f>B14</f>
        <v/>
      </c>
    </row>
    <row r="15">
      <c r="F15" s="41" t="inlineStr">
        <is>
          <t>Total Value (All):</t>
        </is>
      </c>
      <c r="G15" s="42">
        <f>SUM(G3:G14)</f>
        <v/>
      </c>
    </row>
    <row r="17">
      <c r="F17" s="43" t="inlineStr">
        <is>
          <t>BREAKDOWN</t>
        </is>
      </c>
    </row>
    <row r="18">
      <c r="F18" t="inlineStr">
        <is>
          <t>Cash Sale (May):</t>
        </is>
      </c>
      <c r="G18" s="1">
        <f>SUMIFS(G3:G14, J3:J14, "*CASH SALE*", L3:L14, "&gt;="&amp;EOMONTH(TODAY(),-1)+1, L3:L14, "&lt;="&amp;EOMONTH(TODAY(),0))</f>
        <v/>
      </c>
      <c r="I18" t="inlineStr">
        <is>
          <t>Cash Sale (June):</t>
        </is>
      </c>
      <c r="J18" s="1">
        <f>SUMIFS(G3:G14, J3:J14, "*CASH SALE*", L3:L14, "&gt;="&amp;EOMONTH(TODAY(),0)+1, L3:L14, "&lt;="&amp;EOMONTH(TODAY(),1))</f>
        <v/>
      </c>
    </row>
    <row r="19">
      <c r="F19" t="inlineStr">
        <is>
          <t>Account (May):</t>
        </is>
      </c>
      <c r="G19" s="1">
        <f>SUMIFS(G3:G14, J3:J14, "*ACCOUNT*", L3:L14, "&gt;="&amp;EOMONTH(TODAY(),-1)+1, L3:L14, "&lt;="&amp;EOMONTH(TODAY(),0))</f>
        <v/>
      </c>
      <c r="I19" t="inlineStr">
        <is>
          <t>Account (June):</t>
        </is>
      </c>
      <c r="J19" s="1">
        <f>SUMIFS(G3:G14, J3:J14, "*ACCOUNT*", L3:L14, "&gt;="&amp;EOMONTH(TODAY(),0)+1, L3:L14, "&lt;="&amp;EOMONTH(TODAY(),1))</f>
        <v/>
      </c>
    </row>
    <row r="22" ht="28.8" customHeight="1">
      <c r="A22" s="32" t="inlineStr">
        <is>
          <t>Date</t>
        </is>
      </c>
      <c r="B22" s="32" t="inlineStr">
        <is>
          <t>Delivery Date</t>
        </is>
      </c>
      <c r="C22" s="32" t="inlineStr">
        <is>
          <t>Job Number</t>
        </is>
      </c>
      <c r="D22" s="32" t="inlineStr">
        <is>
          <t>SO Number</t>
        </is>
      </c>
      <c r="E22" s="32" t="inlineStr">
        <is>
          <t>Customer Ref.</t>
        </is>
      </c>
      <c r="F22" s="32" t="inlineStr">
        <is>
          <t>Customer</t>
        </is>
      </c>
      <c r="G22" s="32" t="inlineStr">
        <is>
          <t>Total</t>
        </is>
      </c>
      <c r="H22" s="32" t="inlineStr">
        <is>
          <t>Sales Rep</t>
        </is>
      </c>
      <c r="I22" s="32" t="inlineStr">
        <is>
          <t>Status</t>
        </is>
      </c>
      <c r="J22" s="32" t="inlineStr">
        <is>
          <t>Payment Status</t>
        </is>
      </c>
      <c r="K22" s="32" t="inlineStr">
        <is>
          <t>Comments</t>
        </is>
      </c>
    </row>
    <row r="23" ht="28.8" customHeight="1">
      <c r="A23" s="44" t="n">
        <v>46120</v>
      </c>
      <c r="B23" s="44" t="n">
        <v>46146.32827782408</v>
      </c>
      <c r="C23" s="45" t="inlineStr">
        <is>
          <t>FM3985</t>
        </is>
      </c>
      <c r="D23" s="45" t="inlineStr">
        <is>
          <t>SO4510</t>
        </is>
      </c>
      <c r="E23" s="45" t="inlineStr">
        <is>
          <t>62048</t>
        </is>
      </c>
      <c r="F23" s="45" t="inlineStr">
        <is>
          <t>Chabo &amp; Joubert Air Conditioning (Pty) Ltd</t>
        </is>
      </c>
      <c r="G23" s="40" t="n">
        <v>50593.1</v>
      </c>
      <c r="H23" s="45" t="inlineStr">
        <is>
          <t>Sizwe Tshabalala</t>
        </is>
      </c>
      <c r="I23" s="45" t="inlineStr">
        <is>
          <t>Ready-Dispatch</t>
        </is>
      </c>
      <c r="J23" s="45" t="inlineStr">
        <is>
          <t>ACCOUNT - UP TO DATE</t>
        </is>
      </c>
      <c r="K23" s="39" t="n"/>
    </row>
    <row r="24">
      <c r="A24" s="44" t="n">
        <v>46133</v>
      </c>
      <c r="B24" s="44" t="n">
        <v>46146.32827782408</v>
      </c>
      <c r="C24" s="45" t="inlineStr">
        <is>
          <t>FM4008</t>
        </is>
      </c>
      <c r="D24" s="45" t="inlineStr">
        <is>
          <t>SO4537</t>
        </is>
      </c>
      <c r="E24" s="45" t="inlineStr">
        <is>
          <t>PO-0070</t>
        </is>
      </c>
      <c r="F24" s="45" t="inlineStr">
        <is>
          <t>Duty Point Pty Ltd</t>
        </is>
      </c>
      <c r="G24" s="40" t="n">
        <v>28418.48</v>
      </c>
      <c r="H24" s="45" t="inlineStr">
        <is>
          <t>Mashudu Tshifularo</t>
        </is>
      </c>
      <c r="I24" s="45" t="inlineStr">
        <is>
          <t>Ready-Dispatch</t>
        </is>
      </c>
      <c r="J24" s="45" t="inlineStr">
        <is>
          <t>CASH SALE – PARTIAL</t>
        </is>
      </c>
      <c r="K24" s="39" t="inlineStr">
        <is>
          <t>Balance payment required prior to delivery/collection</t>
        </is>
      </c>
    </row>
    <row r="25" ht="28.8" customHeight="1">
      <c r="A25" s="44" t="n">
        <v>46136</v>
      </c>
      <c r="B25" s="44" t="n">
        <v>46146.32827782408</v>
      </c>
      <c r="C25" s="45" t="inlineStr">
        <is>
          <t>FM4017</t>
        </is>
      </c>
      <c r="D25" s="45" t="inlineStr">
        <is>
          <t>SO4546</t>
        </is>
      </c>
      <c r="E25" s="45" t="inlineStr">
        <is>
          <t>PO145956</t>
        </is>
      </c>
      <c r="F25" s="45" t="inlineStr">
        <is>
          <t>Howden Power a Div of Howden Africa (Pty) LTD</t>
        </is>
      </c>
      <c r="G25" s="40" t="n">
        <v>15437.6</v>
      </c>
      <c r="H25" s="45" t="inlineStr">
        <is>
          <t>Sizwe Tshabalala</t>
        </is>
      </c>
      <c r="I25" s="45" t="inlineStr">
        <is>
          <t>Ready-Dispatch</t>
        </is>
      </c>
      <c r="J25" s="45" t="inlineStr">
        <is>
          <t>ACCOUNT - UP TO DATE</t>
        </is>
      </c>
      <c r="K25" s="39" t="inlineStr">
        <is>
          <t>Client to collect 28/04/2026 - Sizwe to advise</t>
        </is>
      </c>
    </row>
    <row r="26">
      <c r="A26" s="44" t="n">
        <v>46111</v>
      </c>
      <c r="B26" s="44" t="n">
        <v>46146.32827782408</v>
      </c>
      <c r="C26" s="45" t="inlineStr">
        <is>
          <t>FM3967</t>
        </is>
      </c>
      <c r="D26" s="45" t="inlineStr">
        <is>
          <t>SO4492</t>
        </is>
      </c>
      <c r="E26" s="45" t="inlineStr">
        <is>
          <t>PO260306</t>
        </is>
      </c>
      <c r="F26" s="45" t="inlineStr">
        <is>
          <t>Alpha Air Ventilation Services</t>
        </is>
      </c>
      <c r="G26" s="40" t="n">
        <v>9014.209999999999</v>
      </c>
      <c r="H26" s="45" t="inlineStr">
        <is>
          <t>Sizwe Tshabalala</t>
        </is>
      </c>
      <c r="I26" s="45" t="inlineStr">
        <is>
          <t>On Hold</t>
        </is>
      </c>
      <c r="J26" s="45" t="n"/>
      <c r="K26" s="39" t="n"/>
    </row>
    <row r="27" ht="28.8" customHeight="1">
      <c r="A27" s="44" t="n">
        <v>46112</v>
      </c>
      <c r="B27" s="44" t="n">
        <v>46146.32827782408</v>
      </c>
      <c r="C27" s="45" t="inlineStr">
        <is>
          <t>FM3974</t>
        </is>
      </c>
      <c r="D27" s="45" t="inlineStr">
        <is>
          <t>SO4502</t>
        </is>
      </c>
      <c r="E27" s="45" t="inlineStr">
        <is>
          <t>210719</t>
        </is>
      </c>
      <c r="F27" s="45" t="inlineStr">
        <is>
          <t>Kenmare Moma Processing (Mauritius) Limited</t>
        </is>
      </c>
      <c r="G27" s="40" t="n">
        <v>103711</v>
      </c>
      <c r="H27" s="45" t="inlineStr">
        <is>
          <t>Sizwe Tshabalala</t>
        </is>
      </c>
      <c r="I27" s="45" t="inlineStr">
        <is>
          <t>In Progress</t>
        </is>
      </c>
      <c r="J27" s="45" t="inlineStr">
        <is>
          <t>ACCOUNT - UP TO DATE</t>
        </is>
      </c>
      <c r="K27" s="39" t="n"/>
    </row>
    <row r="28" ht="28.8" customHeight="1">
      <c r="A28" s="44" t="n">
        <v>46112</v>
      </c>
      <c r="B28" s="44" t="n">
        <v>46146.32827782408</v>
      </c>
      <c r="C28" s="45" t="inlineStr">
        <is>
          <t>FM3997</t>
        </is>
      </c>
      <c r="D28" s="45" t="inlineStr">
        <is>
          <t>SO4525</t>
        </is>
      </c>
      <c r="E28" s="45" t="inlineStr">
        <is>
          <t>211035</t>
        </is>
      </c>
      <c r="F28" s="45" t="inlineStr">
        <is>
          <t>Kenmare Moma Processing (Mauritius) Limited</t>
        </is>
      </c>
      <c r="G28" s="40" t="n">
        <v>83433</v>
      </c>
      <c r="H28" s="45" t="inlineStr">
        <is>
          <t>Sizwe Tshabalala</t>
        </is>
      </c>
      <c r="I28" s="45" t="inlineStr">
        <is>
          <t>In Progress</t>
        </is>
      </c>
      <c r="J28" s="45" t="inlineStr">
        <is>
          <t>ACCOUNT - UP TO DATE</t>
        </is>
      </c>
      <c r="K28" s="39" t="n"/>
    </row>
    <row r="29">
      <c r="A29" s="44" t="n">
        <v>46119</v>
      </c>
      <c r="B29" s="44" t="n">
        <v>46146.32827782408</v>
      </c>
      <c r="C29" s="45" t="inlineStr">
        <is>
          <t>FM3979</t>
        </is>
      </c>
      <c r="D29" s="45" t="inlineStr">
        <is>
          <t>SO4506</t>
        </is>
      </c>
      <c r="E29" s="45" t="inlineStr">
        <is>
          <t>14264</t>
        </is>
      </c>
      <c r="F29" s="45" t="inlineStr">
        <is>
          <t>Arta Masjinerie</t>
        </is>
      </c>
      <c r="G29" s="40" t="n">
        <v>58613.2</v>
      </c>
      <c r="H29" s="45" t="inlineStr">
        <is>
          <t>Simon Mokgola</t>
        </is>
      </c>
      <c r="I29" s="45" t="inlineStr">
        <is>
          <t>In Progress</t>
        </is>
      </c>
      <c r="J29" s="45" t="inlineStr">
        <is>
          <t>ACCOUNT - UP TO DATE</t>
        </is>
      </c>
      <c r="K29" s="39" t="n"/>
    </row>
    <row r="30">
      <c r="A30" s="44" t="n">
        <v>46133</v>
      </c>
      <c r="B30" s="44" t="n">
        <v>46146.32827782408</v>
      </c>
      <c r="C30" s="45" t="inlineStr">
        <is>
          <t>FM4020</t>
        </is>
      </c>
      <c r="D30" s="45" t="inlineStr">
        <is>
          <t>SO4549</t>
        </is>
      </c>
      <c r="E30" s="45" t="inlineStr">
        <is>
          <t>nan</t>
        </is>
      </c>
      <c r="F30" s="45" t="inlineStr">
        <is>
          <t>Sulit Projects</t>
        </is>
      </c>
      <c r="G30" s="40" t="n">
        <v>1573.2</v>
      </c>
      <c r="H30" s="45" t="inlineStr">
        <is>
          <t>Mashudu Tshifularo</t>
        </is>
      </c>
      <c r="I30" s="45" t="inlineStr">
        <is>
          <t>In Progress</t>
        </is>
      </c>
      <c r="J30" s="45" t="inlineStr">
        <is>
          <t>CASH SALE - PAID</t>
        </is>
      </c>
      <c r="K30" s="39" t="n"/>
    </row>
    <row r="31">
      <c r="A31" s="44" t="n">
        <v>46136</v>
      </c>
      <c r="B31" s="44" t="n">
        <v>46146.32827782408</v>
      </c>
      <c r="C31" s="45" t="inlineStr">
        <is>
          <t>FM4016</t>
        </is>
      </c>
      <c r="D31" s="45" t="inlineStr">
        <is>
          <t>SO4545</t>
        </is>
      </c>
      <c r="E31" s="45" t="inlineStr">
        <is>
          <t>cash sale</t>
        </is>
      </c>
      <c r="F31" s="45" t="inlineStr">
        <is>
          <t>ZEFS More Vision</t>
        </is>
      </c>
      <c r="G31" s="40" t="n">
        <v>57647.2</v>
      </c>
      <c r="H31" s="45" t="inlineStr">
        <is>
          <t>Mashudu Tshifularo</t>
        </is>
      </c>
      <c r="I31" s="45" t="inlineStr">
        <is>
          <t>In Progress</t>
        </is>
      </c>
      <c r="J31" s="45" t="inlineStr">
        <is>
          <t>CASH SALE - PAID</t>
        </is>
      </c>
      <c r="K31" s="39" t="n"/>
    </row>
    <row r="32">
      <c r="F32" s="41" t="inlineStr">
        <is>
          <t>Due Today - Total:</t>
        </is>
      </c>
      <c r="G32" s="42">
        <f>SUM(G23:G31)</f>
        <v/>
      </c>
    </row>
    <row r="34">
      <c r="F34" s="41" t="inlineStr">
        <is>
          <t>Ready-Dispatch:</t>
        </is>
      </c>
      <c r="G34" s="42">
        <f>SUMIFS(G3:G14, I3:I14, "*Ready*Dispatch*")</f>
        <v/>
      </c>
    </row>
    <row r="37">
      <c r="A37" s="46" t="inlineStr">
        <is>
          <t>Recommended Print Range: A1:L39</t>
        </is>
      </c>
    </row>
    <row r="38">
      <c r="A38" s="46" t="inlineStr">
        <is>
          <t>Suggested Date for Next Update: 05.05.2026</t>
        </is>
      </c>
    </row>
  </sheetData>
  <pageMargins left="0.25" right="0.25" top="0.75" bottom="0.75" header="0.3" footer="0.3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2"/>
  <sheetViews>
    <sheetView zoomScale="80" zoomScaleNormal="80" workbookViewId="0">
      <pane xSplit="4" ySplit="2" topLeftCell="E6" activePane="bottomRight" state="frozen"/>
      <selection pane="topRight" activeCell="A1" sqref="A1"/>
      <selection pane="bottomLeft" activeCell="A1" sqref="A1"/>
      <selection pane="bottomRight" activeCell="J8" sqref="J8"/>
    </sheetView>
  </sheetViews>
  <sheetFormatPr baseColWidth="8" defaultRowHeight="14.4"/>
  <cols>
    <col width="12" customWidth="1" min="1" max="2"/>
    <col width="15" customWidth="1" min="3" max="3"/>
    <col width="12" customWidth="1" min="4" max="4"/>
    <col width="20" customWidth="1" min="5" max="5"/>
    <col width="30" customWidth="1" min="6" max="6"/>
    <col width="15" customWidth="1" min="7" max="7"/>
    <col width="20" customWidth="1" min="8" max="8"/>
    <col width="15" customWidth="1" min="9" max="9"/>
    <col width="23.33203125" customWidth="1" min="10" max="10"/>
    <col width="50" customWidth="1" min="11" max="11"/>
    <col width="12" customWidth="1" min="12" max="12"/>
  </cols>
  <sheetData>
    <row r="1" ht="18" customHeight="1">
      <c r="A1" s="47" t="inlineStr">
        <is>
          <t>SALES ORDER REPORT</t>
        </is>
      </c>
      <c r="K1" s="48">
        <f>TODAY()</f>
        <v/>
      </c>
    </row>
    <row r="2" ht="43.2" customHeight="1">
      <c r="A2" s="49" t="inlineStr">
        <is>
          <t>Date</t>
        </is>
      </c>
      <c r="B2" s="49" t="inlineStr">
        <is>
          <t>Delivery Date</t>
        </is>
      </c>
      <c r="C2" s="49" t="inlineStr">
        <is>
          <t>Job Number</t>
        </is>
      </c>
      <c r="D2" s="49" t="inlineStr">
        <is>
          <t>SO Number</t>
        </is>
      </c>
      <c r="E2" s="49" t="inlineStr">
        <is>
          <t>Customer Ref.</t>
        </is>
      </c>
      <c r="F2" s="49" t="inlineStr">
        <is>
          <t>Customer</t>
        </is>
      </c>
      <c r="G2" s="49" t="inlineStr">
        <is>
          <t>Total</t>
        </is>
      </c>
      <c r="H2" s="49" t="inlineStr">
        <is>
          <t>Sales Rep</t>
        </is>
      </c>
      <c r="I2" s="49" t="inlineStr">
        <is>
          <t>Status</t>
        </is>
      </c>
      <c r="J2" s="49" t="inlineStr">
        <is>
          <t>Payment Status</t>
        </is>
      </c>
      <c r="K2" s="49" t="inlineStr">
        <is>
          <t>Details</t>
        </is>
      </c>
      <c r="L2" s="49" t="inlineStr">
        <is>
          <t>Planned Delivery Date</t>
        </is>
      </c>
    </row>
    <row r="3" ht="43.2" customHeight="1">
      <c r="A3" s="50" t="n">
        <v>46120</v>
      </c>
      <c r="B3" s="50" t="n">
        <v>46147.40175501158</v>
      </c>
      <c r="C3" s="51" t="inlineStr">
        <is>
          <t>FM3985</t>
        </is>
      </c>
      <c r="D3" s="51" t="inlineStr">
        <is>
          <t>SO4510</t>
        </is>
      </c>
      <c r="E3" s="52" t="inlineStr">
        <is>
          <t>62048</t>
        </is>
      </c>
      <c r="F3" s="52" t="inlineStr">
        <is>
          <t>Chabo &amp; Joubert Air Conditioning (Pty) Ltd</t>
        </is>
      </c>
      <c r="G3" s="53" t="n">
        <v>50593.1</v>
      </c>
      <c r="H3" s="51" t="inlineStr">
        <is>
          <t>Sizwe Tshabalala</t>
        </is>
      </c>
      <c r="I3" s="51" t="inlineStr">
        <is>
          <t>Ready-Dispatch</t>
        </is>
      </c>
      <c r="J3" s="51" t="inlineStr">
        <is>
          <t>ACCOUNT - UP TO DATE</t>
        </is>
      </c>
      <c r="K3" s="52" t="inlineStr">
        <is>
          <t>UV250/1/6 c/w 0.18kW 960rpm 6pole 220V Single Phase Motor incl Bird Screen (Qty: 2), UV400/3/6 c/w 0.55kW 960rpm 6Pole 380V Motor incl Bird Screen (Qty: 1)</t>
        </is>
      </c>
      <c r="L3" s="50">
        <f>B3</f>
        <v/>
      </c>
    </row>
    <row r="4" ht="28.8" customHeight="1">
      <c r="A4" s="50" t="n">
        <v>46136</v>
      </c>
      <c r="B4" s="50" t="n">
        <v>46147.40175501158</v>
      </c>
      <c r="C4" s="51" t="inlineStr">
        <is>
          <t>FM4017</t>
        </is>
      </c>
      <c r="D4" s="51" t="inlineStr">
        <is>
          <t>SO4546</t>
        </is>
      </c>
      <c r="E4" s="52" t="inlineStr">
        <is>
          <t>PO145956</t>
        </is>
      </c>
      <c r="F4" s="52" t="inlineStr">
        <is>
          <t>Howden Power a Div of Howden Africa (Pty) LTD</t>
        </is>
      </c>
      <c r="G4" s="53" t="n">
        <v>15437.6</v>
      </c>
      <c r="H4" s="51" t="inlineStr">
        <is>
          <t>Sizwe Tshabalala</t>
        </is>
      </c>
      <c r="I4" s="51" t="inlineStr">
        <is>
          <t>Ready-Dispatch</t>
        </is>
      </c>
      <c r="J4" s="51" t="inlineStr">
        <is>
          <t>ACCOUNT - UP TO DATE</t>
        </is>
      </c>
      <c r="K4" s="52" t="inlineStr">
        <is>
          <t>SCL-K03 MS-0.55kW-380V (Qty: 1)</t>
        </is>
      </c>
      <c r="L4" s="50">
        <f>B4</f>
        <v/>
      </c>
    </row>
    <row r="5">
      <c r="A5" s="50" t="n">
        <v>46133</v>
      </c>
      <c r="B5" s="50" t="n">
        <v>46147.40175501158</v>
      </c>
      <c r="C5" s="51" t="inlineStr">
        <is>
          <t>FM4020</t>
        </is>
      </c>
      <c r="D5" s="51" t="inlineStr">
        <is>
          <t>SO4549</t>
        </is>
      </c>
      <c r="E5" s="52" t="inlineStr">
        <is>
          <t>nan</t>
        </is>
      </c>
      <c r="F5" s="52" t="inlineStr">
        <is>
          <t>Sulit Projects</t>
        </is>
      </c>
      <c r="G5" s="53" t="n">
        <v>1573.2</v>
      </c>
      <c r="H5" s="51" t="inlineStr">
        <is>
          <t>Mashudu Tshifularo</t>
        </is>
      </c>
      <c r="I5" s="51" t="inlineStr">
        <is>
          <t>Ready-Dispatch</t>
        </is>
      </c>
      <c r="J5" s="51" t="inlineStr">
        <is>
          <t>CASH SALE - PAID</t>
        </is>
      </c>
      <c r="K5" s="52" t="inlineStr">
        <is>
          <t>RAD 125 (Qty: 1)</t>
        </is>
      </c>
      <c r="L5" s="50">
        <f>B5</f>
        <v/>
      </c>
    </row>
    <row r="6">
      <c r="A6" s="71" t="n">
        <v>46146</v>
      </c>
      <c r="B6" s="71" t="n">
        <v>46149</v>
      </c>
      <c r="C6" s="72" t="inlineStr">
        <is>
          <t>FM4025</t>
        </is>
      </c>
      <c r="D6" s="72" t="inlineStr">
        <is>
          <t>SO4559</t>
        </is>
      </c>
      <c r="E6" s="73" t="inlineStr">
        <is>
          <t>PO0000475</t>
        </is>
      </c>
      <c r="F6" s="73" t="inlineStr">
        <is>
          <t>Compu Cool (Pty) Ltd</t>
        </is>
      </c>
      <c r="G6" s="74" t="n">
        <v>11429.61</v>
      </c>
      <c r="H6" s="72" t="inlineStr">
        <is>
          <t>Mashudu Tshifularo</t>
        </is>
      </c>
      <c r="I6" s="72" t="inlineStr">
        <is>
          <t>In Progress</t>
        </is>
      </c>
      <c r="J6" s="72" t="inlineStr">
        <is>
          <t>ACCOUNT - UP TO DATE</t>
        </is>
      </c>
      <c r="K6" s="73" t="inlineStr">
        <is>
          <t>MAXFLO 710/150/10 A c/w 2,20KW 4P 380V (Qty: 1)</t>
        </is>
      </c>
      <c r="L6" s="71">
        <f>B6</f>
        <v/>
      </c>
    </row>
    <row r="7">
      <c r="A7" s="67" t="n">
        <v>46111</v>
      </c>
      <c r="B7" s="67" t="n">
        <v>46150</v>
      </c>
      <c r="C7" s="68" t="inlineStr">
        <is>
          <t>FM3990</t>
        </is>
      </c>
      <c r="D7" s="68" t="inlineStr">
        <is>
          <t>SO4517</t>
        </is>
      </c>
      <c r="E7" s="69" t="inlineStr">
        <is>
          <t>PO:0000426</t>
        </is>
      </c>
      <c r="F7" s="69" t="inlineStr">
        <is>
          <t>Compu Cool (Pty) Ltd</t>
        </is>
      </c>
      <c r="G7" s="70" t="n">
        <v>169353.6</v>
      </c>
      <c r="H7" s="68" t="inlineStr">
        <is>
          <t>Mashudu Tshifularo</t>
        </is>
      </c>
      <c r="I7" s="68" t="inlineStr">
        <is>
          <t>On Hold</t>
        </is>
      </c>
      <c r="J7" s="68" t="inlineStr">
        <is>
          <t>ACCOUNT - UP TO DATE</t>
        </is>
      </c>
      <c r="K7" s="69" t="inlineStr">
        <is>
          <t>UV710/3/6 (Qty: 6)</t>
        </is>
      </c>
      <c r="L7" s="67">
        <f>B7</f>
        <v/>
      </c>
    </row>
    <row r="8" ht="28.8" customHeight="1">
      <c r="A8" s="58" t="n">
        <v>46112</v>
      </c>
      <c r="B8" s="58" t="n">
        <v>46150</v>
      </c>
      <c r="C8" s="59" t="inlineStr">
        <is>
          <t>FM3974</t>
        </is>
      </c>
      <c r="D8" s="59" t="inlineStr">
        <is>
          <t>SO4502</t>
        </is>
      </c>
      <c r="E8" s="60" t="inlineStr">
        <is>
          <t>210719</t>
        </is>
      </c>
      <c r="F8" s="60" t="inlineStr">
        <is>
          <t>Kenmare Moma Processing (Mauritius) Limited</t>
        </is>
      </c>
      <c r="G8" s="61" t="n">
        <v>103711</v>
      </c>
      <c r="H8" s="59" t="inlineStr">
        <is>
          <t>Sizwe Tshabalala</t>
        </is>
      </c>
      <c r="I8" s="59" t="inlineStr">
        <is>
          <t>In Progress</t>
        </is>
      </c>
      <c r="J8" s="59" t="inlineStr">
        <is>
          <t>ACCOUNT - UP TO DATE</t>
        </is>
      </c>
      <c r="K8" s="60" t="inlineStr">
        <is>
          <t>SCL-K10 MS-11kW - Item no 28000234 (Qty: 1)</t>
        </is>
      </c>
      <c r="L8" s="58">
        <f>B8</f>
        <v/>
      </c>
    </row>
    <row r="9" ht="28.8" customHeight="1">
      <c r="A9" s="58" t="n">
        <v>46112</v>
      </c>
      <c r="B9" s="58" t="n">
        <v>46150</v>
      </c>
      <c r="C9" s="59" t="inlineStr">
        <is>
          <t>FM3997</t>
        </is>
      </c>
      <c r="D9" s="59" t="inlineStr">
        <is>
          <t>SO4525</t>
        </is>
      </c>
      <c r="E9" s="60" t="inlineStr">
        <is>
          <t>211035</t>
        </is>
      </c>
      <c r="F9" s="60" t="inlineStr">
        <is>
          <t>Kenmare Moma Processing (Mauritius) Limited</t>
        </is>
      </c>
      <c r="G9" s="61" t="n">
        <v>83433</v>
      </c>
      <c r="H9" s="59" t="inlineStr">
        <is>
          <t>Sizwe Tshabalala</t>
        </is>
      </c>
      <c r="I9" s="59" t="inlineStr">
        <is>
          <t>In Progress</t>
        </is>
      </c>
      <c r="J9" s="59" t="inlineStr">
        <is>
          <t>ACCOUNT - UP TO DATE</t>
        </is>
      </c>
      <c r="K9" s="60" t="inlineStr">
        <is>
          <t>SCL-K08 MS-7.5kW (Qty: 1)</t>
        </is>
      </c>
      <c r="L9" s="58">
        <f>B9</f>
        <v/>
      </c>
    </row>
    <row r="10">
      <c r="A10" s="58" t="n">
        <v>46069</v>
      </c>
      <c r="B10" s="58" t="n">
        <v>46157</v>
      </c>
      <c r="C10" s="59" t="inlineStr">
        <is>
          <t>FM3841</t>
        </is>
      </c>
      <c r="D10" s="59" t="inlineStr">
        <is>
          <t>SO4372</t>
        </is>
      </c>
      <c r="E10" s="60" t="inlineStr">
        <is>
          <t>PO2213</t>
        </is>
      </c>
      <c r="F10" s="60" t="inlineStr">
        <is>
          <t>Hucra Fans</t>
        </is>
      </c>
      <c r="G10" s="61" t="n">
        <v>379993.35</v>
      </c>
      <c r="H10" s="59" t="inlineStr">
        <is>
          <t>Sales Agent Hucra Fans</t>
        </is>
      </c>
      <c r="I10" s="59" t="inlineStr">
        <is>
          <t>In Progress</t>
        </is>
      </c>
      <c r="J10" s="59" t="inlineStr">
        <is>
          <t>ACCOUNT - UP TO DATE</t>
        </is>
      </c>
      <c r="K10" s="60" t="inlineStr">
        <is>
          <t>SCL K11 MS - 11.0kW - 525V (Qty: 3)</t>
        </is>
      </c>
      <c r="L10" s="58">
        <f>B10</f>
        <v/>
      </c>
    </row>
    <row r="11">
      <c r="A11" s="58" t="n">
        <v>46077</v>
      </c>
      <c r="B11" s="58" t="n">
        <v>46157</v>
      </c>
      <c r="C11" s="59" t="inlineStr">
        <is>
          <t>FM3874</t>
        </is>
      </c>
      <c r="D11" s="59" t="inlineStr">
        <is>
          <t>SO4404</t>
        </is>
      </c>
      <c r="E11" s="60" t="inlineStr">
        <is>
          <t>PO2174</t>
        </is>
      </c>
      <c r="F11" s="60" t="inlineStr">
        <is>
          <t>ITD North Pty Ltd</t>
        </is>
      </c>
      <c r="G11" s="61" t="n">
        <v>94247.10000000001</v>
      </c>
      <c r="H11" s="59" t="inlineStr">
        <is>
          <t>Mashudu Tshifularo</t>
        </is>
      </c>
      <c r="I11" s="59" t="inlineStr">
        <is>
          <t>In Progress</t>
        </is>
      </c>
      <c r="J11" s="59" t="inlineStr">
        <is>
          <t>CASH SALE – PARTIAL</t>
        </is>
      </c>
      <c r="K11" s="60" t="inlineStr">
        <is>
          <t>RDH 710 K2 - Nicotra Fan (Qty: 1)</t>
        </is>
      </c>
      <c r="L11" s="58">
        <f>B11</f>
        <v/>
      </c>
    </row>
    <row r="12" ht="28.8" customHeight="1">
      <c r="A12" s="67" t="n">
        <v>46111</v>
      </c>
      <c r="B12" s="67" t="n">
        <v>46172</v>
      </c>
      <c r="C12" s="68" t="inlineStr">
        <is>
          <t>FM3967</t>
        </is>
      </c>
      <c r="D12" s="68" t="inlineStr">
        <is>
          <t>SO4492</t>
        </is>
      </c>
      <c r="E12" s="69" t="inlineStr">
        <is>
          <t>PO260306</t>
        </is>
      </c>
      <c r="F12" s="69" t="inlineStr">
        <is>
          <t>Alpha Air Ventilation Services</t>
        </is>
      </c>
      <c r="G12" s="70" t="n">
        <v>9014.209999999999</v>
      </c>
      <c r="H12" s="68" t="inlineStr">
        <is>
          <t>Sizwe Tshabalala</t>
        </is>
      </c>
      <c r="I12" s="68" t="inlineStr">
        <is>
          <t>On Hold</t>
        </is>
      </c>
      <c r="J12" s="68">
        <f>IFERROR(VLOOKUP(D12, '04.05.2026'!D:J, 7, FALSE), "")</f>
        <v/>
      </c>
      <c r="K12" s="69" t="inlineStr">
        <is>
          <t>MAJAX-2 500 c/w 0,55KW 4P 380V (Qty: 1), 500 Diam Counter Flange (Qty: 2)</t>
        </is>
      </c>
      <c r="L12" s="67">
        <f>B12</f>
        <v/>
      </c>
    </row>
    <row r="13" ht="28.8" customHeight="1">
      <c r="A13" s="54" t="n">
        <v>46057</v>
      </c>
      <c r="B13" s="54" t="n">
        <v>46172</v>
      </c>
      <c r="C13" s="55" t="inlineStr">
        <is>
          <t>Pending</t>
        </is>
      </c>
      <c r="D13" s="55" t="inlineStr">
        <is>
          <t>SO4558</t>
        </is>
      </c>
      <c r="E13" s="56" t="inlineStr">
        <is>
          <t>FMTA4398-Thabakgolo</t>
        </is>
      </c>
      <c r="F13" s="56" t="inlineStr">
        <is>
          <t>Oribi Air CC</t>
        </is>
      </c>
      <c r="G13" s="57" t="n">
        <v>427841.4</v>
      </c>
      <c r="H13" s="55" t="inlineStr">
        <is>
          <t>Mashudu Tshifularo</t>
        </is>
      </c>
      <c r="I13" s="55" t="inlineStr">
        <is>
          <t>Pending</t>
        </is>
      </c>
      <c r="J13" s="55">
        <f>IFERROR(VLOOKUP(D13, '04.05.2026'!D:J, 7, FALSE), "")</f>
        <v/>
      </c>
      <c r="K13" s="56" t="inlineStr">
        <is>
          <t>LINEO 250 QUIET-5.1.1 (Qty: 24), LINEO 315 QUIET-5.6.1 (Qty: 12)</t>
        </is>
      </c>
      <c r="L13" s="54">
        <f>B13</f>
        <v/>
      </c>
    </row>
    <row r="14" ht="158.4" customHeight="1">
      <c r="A14" s="54" t="n">
        <v>46128</v>
      </c>
      <c r="B14" s="54" t="n">
        <v>46172</v>
      </c>
      <c r="C14" s="55" t="inlineStr">
        <is>
          <t>Pending</t>
        </is>
      </c>
      <c r="D14" s="55" t="inlineStr">
        <is>
          <t>SO4554</t>
        </is>
      </c>
      <c r="E14" s="56" t="inlineStr">
        <is>
          <t>FMTA4599</t>
        </is>
      </c>
      <c r="F14" s="56" t="inlineStr">
        <is>
          <t>Matla Solution Group</t>
        </is>
      </c>
      <c r="G14" s="57" t="n">
        <v>82900.05</v>
      </c>
      <c r="H14" s="55" t="inlineStr">
        <is>
          <t>Mashudu Tshifularo</t>
        </is>
      </c>
      <c r="I14" s="55" t="inlineStr">
        <is>
          <t>Pending</t>
        </is>
      </c>
      <c r="J14" s="55">
        <f>IFERROR(VLOOKUP(D14, '04.05.2026'!D:J, 7, FALSE), "")</f>
        <v/>
      </c>
      <c r="K14" s="56" t="inlineStr">
        <is>
          <t>LINEO 315 QUIET - EF 1 (Qty: 1), LINEO 250 QUIET - EF 2 (Qty: 1), LINEO 200 QUIET - EF 3 (Qty: 1), KDAXIS 200 - EF 4 (Qty: 1), KDAXIS 200 - EF 5 (Qty: 1), MAXFLO 630/250/14 A c/w 1,10KW 4P 380V - FA 1 (Qty: 1), 630 Diam Silencer 1.5D Podded (Qty: 2), 630 Diam Counter Flange (Qty: 2), 630 Diam Mounting Feet (Qty: 4), 630 to 1000 NDB GREEN Neoprene Floor Mounts (Qty: 8), MAXFLO 710/250/14 A c/w 1,10KW 4P 380V - FA 2 (Qty: 1), 710 Diam Silencer 1.5D Podded (Qty: 2), 710 Diam Counter Flange (Qty: 2), 710 Diam Mounting Feet (Qty: 4), 630 to 1000 NDB GREEN Neoprene Floor Mounts (Qty: 8)</t>
        </is>
      </c>
      <c r="L14" s="54">
        <f>B14</f>
        <v/>
      </c>
    </row>
    <row r="15">
      <c r="A15" s="54" t="n">
        <v>46142</v>
      </c>
      <c r="B15" s="54" t="n">
        <v>46172</v>
      </c>
      <c r="C15" s="55" t="inlineStr">
        <is>
          <t>Pending</t>
        </is>
      </c>
      <c r="D15" s="55" t="inlineStr">
        <is>
          <t>SO4552</t>
        </is>
      </c>
      <c r="E15" s="56" t="inlineStr">
        <is>
          <t>nan</t>
        </is>
      </c>
      <c r="F15" s="56" t="inlineStr">
        <is>
          <t>Neobionomics Services Pty Ltd</t>
        </is>
      </c>
      <c r="G15" s="57" t="n">
        <v>13711.09</v>
      </c>
      <c r="H15" s="55" t="inlineStr">
        <is>
          <t>Sizwe Tshabalala</t>
        </is>
      </c>
      <c r="I15" s="55" t="inlineStr">
        <is>
          <t>Pending</t>
        </is>
      </c>
      <c r="J15" s="55">
        <f>IFERROR(VLOOKUP(D15, '04.05.2026'!D:J, 7, FALSE), "")</f>
        <v/>
      </c>
      <c r="K15" s="56" t="inlineStr">
        <is>
          <t>MAJAX-2 630 c/w 0,75KW 4P 380V (Qty: 1)</t>
        </is>
      </c>
      <c r="L15" s="54">
        <f>B15</f>
        <v/>
      </c>
    </row>
    <row r="16">
      <c r="A16" s="54" t="n">
        <v>46142</v>
      </c>
      <c r="B16" s="54" t="n">
        <v>46172</v>
      </c>
      <c r="C16" s="55" t="inlineStr">
        <is>
          <t>Pending</t>
        </is>
      </c>
      <c r="D16" s="55" t="inlineStr">
        <is>
          <t>SO4556</t>
        </is>
      </c>
      <c r="E16" s="56" t="inlineStr">
        <is>
          <t>Constitutional Hill</t>
        </is>
      </c>
      <c r="F16" s="56" t="inlineStr">
        <is>
          <t>LJ Trading &amp; Projects (Pty) Ltd</t>
        </is>
      </c>
      <c r="G16" s="57" t="n">
        <v>554227.55</v>
      </c>
      <c r="H16" s="55" t="inlineStr">
        <is>
          <t>Simon Mokgola</t>
        </is>
      </c>
      <c r="I16" s="55" t="inlineStr">
        <is>
          <t>Pending</t>
        </is>
      </c>
      <c r="J16" s="55">
        <f>IFERROR(VLOOKUP(D16, '04.05.2026'!D:J, 7, FALSE), "")</f>
        <v/>
      </c>
      <c r="K16" s="56" t="inlineStr">
        <is>
          <t>Constitutional Hill (Qty: 1)</t>
        </is>
      </c>
      <c r="L16" s="54">
        <f>B16</f>
        <v/>
      </c>
    </row>
    <row r="17" ht="28.8" customHeight="1">
      <c r="A17" s="54" t="n">
        <v>46142</v>
      </c>
      <c r="B17" s="54" t="n">
        <v>46172</v>
      </c>
      <c r="C17" s="55" t="inlineStr">
        <is>
          <t>Pending</t>
        </is>
      </c>
      <c r="D17" s="55" t="inlineStr">
        <is>
          <t>SO4557</t>
        </is>
      </c>
      <c r="E17" s="56" t="inlineStr">
        <is>
          <t>nan</t>
        </is>
      </c>
      <c r="F17" s="56" t="inlineStr">
        <is>
          <t>Vigeta Pty Ltd</t>
        </is>
      </c>
      <c r="G17" s="57" t="n">
        <v>204447</v>
      </c>
      <c r="H17" s="55" t="inlineStr">
        <is>
          <t>Simon Mokgola</t>
        </is>
      </c>
      <c r="I17" s="55" t="inlineStr">
        <is>
          <t>Pending</t>
        </is>
      </c>
      <c r="J17" s="55">
        <f>IFERROR(VLOOKUP(D17, '04.05.2026'!D:J, 7, FALSE), "")</f>
        <v/>
      </c>
      <c r="K17" s="56" t="inlineStr">
        <is>
          <t>630 Diam Vertical Discharge BASE c/w 2.2kW 4P 380V (Qty: 10)</t>
        </is>
      </c>
      <c r="L17" s="54">
        <f>B17</f>
        <v/>
      </c>
    </row>
    <row r="18" ht="28.8" customHeight="1">
      <c r="A18" s="54" t="n">
        <v>46142</v>
      </c>
      <c r="B18" s="54" t="n">
        <v>46172</v>
      </c>
      <c r="C18" s="55" t="inlineStr">
        <is>
          <t>Pending</t>
        </is>
      </c>
      <c r="D18" s="55" t="inlineStr">
        <is>
          <t>SO4553</t>
        </is>
      </c>
      <c r="E18" s="56" t="inlineStr">
        <is>
          <t>FMTA4519</t>
        </is>
      </c>
      <c r="F18" s="56" t="inlineStr">
        <is>
          <t>ST AIR SERVICES AND MAINTENANCE (PTY) LTD</t>
        </is>
      </c>
      <c r="G18" s="57" t="n">
        <v>426010.6</v>
      </c>
      <c r="H18" s="55" t="inlineStr">
        <is>
          <t>Simon Mokgola</t>
        </is>
      </c>
      <c r="I18" s="55" t="inlineStr">
        <is>
          <t>Pending</t>
        </is>
      </c>
      <c r="J18" s="55">
        <f>IFERROR(VLOOKUP(D18, '04.05.2026'!D:J, 7, FALSE), "")</f>
        <v/>
      </c>
      <c r="K18" s="56" t="inlineStr">
        <is>
          <t>Mimosa Mall Office Park (Qty: 1)</t>
        </is>
      </c>
      <c r="L18" s="54">
        <f>B18</f>
        <v/>
      </c>
    </row>
    <row r="19">
      <c r="F19" s="62" t="inlineStr">
        <is>
          <t>Total Value (All):</t>
        </is>
      </c>
      <c r="G19" s="63">
        <f>SUM(G3:G18)</f>
        <v/>
      </c>
    </row>
    <row r="21">
      <c r="F21" s="64" t="inlineStr">
        <is>
          <t>BREAKDOWN</t>
        </is>
      </c>
    </row>
    <row r="22">
      <c r="F22" t="inlineStr">
        <is>
          <t>Cash Sale (May):</t>
        </is>
      </c>
      <c r="G22" s="1">
        <f>SUMIFS(G3:G18, J3:J18, "*CASH SALE*", L3:L18, "&gt;="&amp;EOMONTH(TODAY(),-1)+1, L3:L18, "&lt;="&amp;EOMONTH(TODAY(),0))</f>
        <v/>
      </c>
      <c r="I22" t="inlineStr">
        <is>
          <t>Cash Sale (June):</t>
        </is>
      </c>
      <c r="J22" s="1">
        <f>SUMIFS(G3:G18, J3:J18, "*CASH SALE*", L3:L18, "&gt;="&amp;EOMONTH(TODAY(),0)+1, L3:L18, "&lt;="&amp;EOMONTH(TODAY(),1))</f>
        <v/>
      </c>
    </row>
    <row r="23">
      <c r="F23" t="inlineStr">
        <is>
          <t>Account (May):</t>
        </is>
      </c>
      <c r="G23" s="1">
        <f>SUMIFS(G3:G18, J3:J18, "*ACCOUNT*", L3:L18, "&gt;="&amp;EOMONTH(TODAY(),-1)+1, L3:L18, "&lt;="&amp;EOMONTH(TODAY(),0))</f>
        <v/>
      </c>
      <c r="I23" t="inlineStr">
        <is>
          <t>Account (June):</t>
        </is>
      </c>
      <c r="J23" s="1">
        <f>SUMIFS(G3:G18, J3:J18, "*ACCOUNT*", L3:L18, "&gt;="&amp;EOMONTH(TODAY(),0)+1, L3:L18, "&lt;="&amp;EOMONTH(TODAY(),1))</f>
        <v/>
      </c>
    </row>
    <row r="26" ht="28.8" customHeight="1">
      <c r="A26" s="49" t="inlineStr">
        <is>
          <t>Date</t>
        </is>
      </c>
      <c r="B26" s="49" t="inlineStr">
        <is>
          <t>Delivery Date</t>
        </is>
      </c>
      <c r="C26" s="49" t="inlineStr">
        <is>
          <t>Job Number</t>
        </is>
      </c>
      <c r="D26" s="49" t="inlineStr">
        <is>
          <t>SO Number</t>
        </is>
      </c>
      <c r="E26" s="49" t="inlineStr">
        <is>
          <t>Customer Ref.</t>
        </is>
      </c>
      <c r="F26" s="49" t="inlineStr">
        <is>
          <t>Customer</t>
        </is>
      </c>
      <c r="G26" s="49" t="inlineStr">
        <is>
          <t>Total</t>
        </is>
      </c>
      <c r="H26" s="49" t="inlineStr">
        <is>
          <t>Sales Rep</t>
        </is>
      </c>
      <c r="I26" s="49" t="inlineStr">
        <is>
          <t>Status</t>
        </is>
      </c>
      <c r="J26" s="49" t="inlineStr">
        <is>
          <t>Payment Status</t>
        </is>
      </c>
      <c r="K26" s="49" t="inlineStr">
        <is>
          <t>Comments</t>
        </is>
      </c>
    </row>
    <row r="27" ht="28.8" customHeight="1">
      <c r="A27" s="65" t="n">
        <v>46120</v>
      </c>
      <c r="B27" s="65" t="n">
        <v>46147.40175501158</v>
      </c>
      <c r="C27" s="66" t="inlineStr">
        <is>
          <t>FM3985</t>
        </is>
      </c>
      <c r="D27" s="66" t="inlineStr">
        <is>
          <t>SO4510</t>
        </is>
      </c>
      <c r="E27" s="66" t="inlineStr">
        <is>
          <t>62048</t>
        </is>
      </c>
      <c r="F27" s="66" t="inlineStr">
        <is>
          <t>Chabo &amp; Joubert Air Conditioning (Pty) Ltd</t>
        </is>
      </c>
      <c r="G27" s="61" t="n">
        <v>50593.1</v>
      </c>
      <c r="H27" s="66" t="inlineStr">
        <is>
          <t>Sizwe Tshabalala</t>
        </is>
      </c>
      <c r="I27" s="66" t="inlineStr">
        <is>
          <t>Ready-Dispatch</t>
        </is>
      </c>
      <c r="J27" s="66" t="inlineStr">
        <is>
          <t>ACCOUNT - UP TO DATE</t>
        </is>
      </c>
      <c r="K27" s="60" t="inlineStr">
        <is>
          <t>Ready for collection 30/04/2026 - ST to advise</t>
        </is>
      </c>
    </row>
    <row r="28">
      <c r="A28" s="65" t="n">
        <v>46133</v>
      </c>
      <c r="B28" s="65" t="n">
        <v>46147.40175501158</v>
      </c>
      <c r="C28" s="66" t="inlineStr">
        <is>
          <t>FM4020</t>
        </is>
      </c>
      <c r="D28" s="66" t="inlineStr">
        <is>
          <t>SO4549</t>
        </is>
      </c>
      <c r="E28" s="66" t="inlineStr">
        <is>
          <t>nan</t>
        </is>
      </c>
      <c r="F28" s="66" t="inlineStr">
        <is>
          <t>Sulit Projects</t>
        </is>
      </c>
      <c r="G28" s="61" t="n">
        <v>1573.2</v>
      </c>
      <c r="H28" s="66" t="inlineStr">
        <is>
          <t>Mashudu Tshifularo</t>
        </is>
      </c>
      <c r="I28" s="66" t="inlineStr">
        <is>
          <t>Ready-Dispatch</t>
        </is>
      </c>
      <c r="J28" s="66" t="inlineStr">
        <is>
          <t>CASH SALE - PAID</t>
        </is>
      </c>
      <c r="K28" s="60" t="inlineStr">
        <is>
          <t>Invoiced - Ready for collection 04/05/2026 - MT to Advise</t>
        </is>
      </c>
    </row>
    <row r="29" ht="28.8" customHeight="1">
      <c r="A29" s="65" t="n">
        <v>46136</v>
      </c>
      <c r="B29" s="65" t="n">
        <v>46147.40175501158</v>
      </c>
      <c r="C29" s="66" t="inlineStr">
        <is>
          <t>FM4017</t>
        </is>
      </c>
      <c r="D29" s="66" t="inlineStr">
        <is>
          <t>SO4546</t>
        </is>
      </c>
      <c r="E29" s="66" t="inlineStr">
        <is>
          <t>PO145956</t>
        </is>
      </c>
      <c r="F29" s="66" t="inlineStr">
        <is>
          <t>Howden Power a Div of Howden Africa (Pty) LTD</t>
        </is>
      </c>
      <c r="G29" s="61" t="n">
        <v>15437.6</v>
      </c>
      <c r="H29" s="66" t="inlineStr">
        <is>
          <t>Sizwe Tshabalala</t>
        </is>
      </c>
      <c r="I29" s="66" t="inlineStr">
        <is>
          <t>Ready-Dispatch</t>
        </is>
      </c>
      <c r="J29" s="66" t="inlineStr">
        <is>
          <t>ACCOUNT - UP TO DATE</t>
        </is>
      </c>
      <c r="K29" s="60" t="inlineStr">
        <is>
          <t>Client to collect 28/04/2026 - ST to advise</t>
        </is>
      </c>
    </row>
    <row r="30">
      <c r="F30" s="62" t="inlineStr">
        <is>
          <t>Due Today - Total:</t>
        </is>
      </c>
      <c r="G30" s="63">
        <f>SUM(G27:G29)</f>
        <v/>
      </c>
    </row>
    <row r="32">
      <c r="F32" s="62" t="inlineStr">
        <is>
          <t>Ready-Dispatch:</t>
        </is>
      </c>
      <c r="G32" s="63">
        <f>SUMIFS(G3:G18, I3:I18, "*Ready*Dispatch*")</f>
        <v/>
      </c>
    </row>
  </sheetData>
  <pageMargins left="0.25" right="0.25" top="0.75" bottom="0.75" header="0.3" footer="0.3"/>
  <pageSetup orientation="landscape" scale="56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zoomScale="80" zoomScaleNormal="8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K19" sqref="K19"/>
    </sheetView>
  </sheetViews>
  <sheetFormatPr baseColWidth="8" defaultRowHeight="14.4"/>
  <cols>
    <col width="12" customWidth="1" min="1" max="2"/>
    <col width="15" customWidth="1" min="3" max="3"/>
    <col width="12" customWidth="1" min="4" max="4"/>
    <col width="20" customWidth="1" min="5" max="5"/>
    <col width="30" customWidth="1" min="6" max="6"/>
    <col width="15" customWidth="1" min="7" max="7"/>
    <col width="20" customWidth="1" min="8" max="8"/>
    <col width="15" customWidth="1" min="9" max="9"/>
    <col width="23.33203125" customWidth="1" min="10" max="10"/>
    <col width="50" customWidth="1" min="11" max="11"/>
    <col width="12" customWidth="1" min="12" max="12"/>
  </cols>
  <sheetData>
    <row r="1" ht="18" customFormat="1" customHeight="1" s="105">
      <c r="A1" s="2" t="inlineStr">
        <is>
          <t>SALES ORDER REPORT</t>
        </is>
      </c>
      <c r="K1" s="106">
        <f>TODAY()</f>
        <v/>
      </c>
    </row>
    <row r="2" ht="43.2" customHeight="1">
      <c r="A2" s="75" t="inlineStr">
        <is>
          <t>Date</t>
        </is>
      </c>
      <c r="B2" s="75" t="inlineStr">
        <is>
          <t>Delivery Date</t>
        </is>
      </c>
      <c r="C2" s="75" t="inlineStr">
        <is>
          <t>Job Number</t>
        </is>
      </c>
      <c r="D2" s="75" t="inlineStr">
        <is>
          <t>SO Number</t>
        </is>
      </c>
      <c r="E2" s="75" t="inlineStr">
        <is>
          <t>Customer Ref.</t>
        </is>
      </c>
      <c r="F2" s="75" t="inlineStr">
        <is>
          <t>Customer</t>
        </is>
      </c>
      <c r="G2" s="75" t="inlineStr">
        <is>
          <t>Total</t>
        </is>
      </c>
      <c r="H2" s="75" t="inlineStr">
        <is>
          <t>Sales Rep</t>
        </is>
      </c>
      <c r="I2" s="75" t="inlineStr">
        <is>
          <t>Status</t>
        </is>
      </c>
      <c r="J2" s="75" t="inlineStr">
        <is>
          <t>Payment Status</t>
        </is>
      </c>
      <c r="K2" s="75" t="inlineStr">
        <is>
          <t>Details</t>
        </is>
      </c>
      <c r="L2" s="75" t="inlineStr">
        <is>
          <t>Planned Delivery Date</t>
        </is>
      </c>
    </row>
    <row r="3" ht="28.8" customHeight="1">
      <c r="A3" s="76" t="n">
        <v>46136</v>
      </c>
      <c r="B3" s="76" t="n">
        <v>46148.39998587963</v>
      </c>
      <c r="C3" s="77" t="inlineStr">
        <is>
          <t>FM4017</t>
        </is>
      </c>
      <c r="D3" s="77" t="inlineStr">
        <is>
          <t>SO4546</t>
        </is>
      </c>
      <c r="E3" s="78" t="inlineStr">
        <is>
          <t>PO145956</t>
        </is>
      </c>
      <c r="F3" s="78" t="inlineStr">
        <is>
          <t>Howden Power a Div of Howden Africa (Pty) LTD</t>
        </is>
      </c>
      <c r="G3" s="79" t="n">
        <v>15437.6</v>
      </c>
      <c r="H3" s="77" t="inlineStr">
        <is>
          <t>Sizwe Tshabalala</t>
        </is>
      </c>
      <c r="I3" s="77" t="inlineStr">
        <is>
          <t>Ready-Dispatch</t>
        </is>
      </c>
      <c r="J3" s="77" t="inlineStr">
        <is>
          <t>ACCOUNT - UP TO DATE</t>
        </is>
      </c>
      <c r="K3" s="78" t="inlineStr">
        <is>
          <t>SCL-K03 MS-0.55kW-380V (Qty: 1)</t>
        </is>
      </c>
      <c r="L3" s="76">
        <f>B3</f>
        <v/>
      </c>
    </row>
    <row r="4">
      <c r="A4" s="93" t="n">
        <v>46146</v>
      </c>
      <c r="B4" s="93" t="n">
        <v>46149</v>
      </c>
      <c r="C4" s="94" t="inlineStr">
        <is>
          <t>FM4025</t>
        </is>
      </c>
      <c r="D4" s="94" t="inlineStr">
        <is>
          <t>SO4559</t>
        </is>
      </c>
      <c r="E4" s="95" t="inlineStr">
        <is>
          <t>PO0000475</t>
        </is>
      </c>
      <c r="F4" s="95" t="inlineStr">
        <is>
          <t>Compu Cool (Pty) Ltd</t>
        </is>
      </c>
      <c r="G4" s="96" t="n">
        <v>11429.61</v>
      </c>
      <c r="H4" s="94" t="inlineStr">
        <is>
          <t>Mashudu Tshifularo</t>
        </is>
      </c>
      <c r="I4" s="94" t="inlineStr">
        <is>
          <t>In Progress</t>
        </is>
      </c>
      <c r="J4" s="94" t="inlineStr">
        <is>
          <t>ACCOUNT - UP TO DATE</t>
        </is>
      </c>
      <c r="K4" s="95" t="inlineStr">
        <is>
          <t>MAXFLO 710/150/10 A c/w 2,20KW 4P 380V (Qty: 1)</t>
        </is>
      </c>
      <c r="L4" s="93">
        <f>B4</f>
        <v/>
      </c>
    </row>
    <row r="5">
      <c r="A5" s="84" t="n">
        <v>46069</v>
      </c>
      <c r="B5" s="84" t="n">
        <v>46170</v>
      </c>
      <c r="C5" s="85" t="inlineStr">
        <is>
          <t>FM3841</t>
        </is>
      </c>
      <c r="D5" s="85" t="inlineStr">
        <is>
          <t>SO4372</t>
        </is>
      </c>
      <c r="E5" s="86" t="inlineStr">
        <is>
          <t>PO2213</t>
        </is>
      </c>
      <c r="F5" s="86" t="inlineStr">
        <is>
          <t>Hucra Fans</t>
        </is>
      </c>
      <c r="G5" s="87" t="n">
        <v>379993.35</v>
      </c>
      <c r="H5" s="85" t="inlineStr">
        <is>
          <t>Sales Agent Hucra Fans</t>
        </is>
      </c>
      <c r="I5" s="85" t="inlineStr">
        <is>
          <t>In Progress</t>
        </is>
      </c>
      <c r="J5" s="85" t="inlineStr">
        <is>
          <t>ACCOUNT - UP TO DATE</t>
        </is>
      </c>
      <c r="K5" s="86" t="inlineStr">
        <is>
          <t>SCL K11 MS - 11.0kW - 525V (Qty: 3)</t>
        </is>
      </c>
      <c r="L5" s="84">
        <f>B5</f>
        <v/>
      </c>
    </row>
    <row r="6">
      <c r="A6" s="84" t="n">
        <v>46077</v>
      </c>
      <c r="B6" s="84" t="n">
        <v>46170</v>
      </c>
      <c r="C6" s="85" t="inlineStr">
        <is>
          <t>FM3874</t>
        </is>
      </c>
      <c r="D6" s="85" t="inlineStr">
        <is>
          <t>SO4404</t>
        </is>
      </c>
      <c r="E6" s="86" t="inlineStr">
        <is>
          <t>PO2174</t>
        </is>
      </c>
      <c r="F6" s="86" t="inlineStr">
        <is>
          <t>ITD North Pty Ltd</t>
        </is>
      </c>
      <c r="G6" s="87" t="n">
        <v>94247.10000000001</v>
      </c>
      <c r="H6" s="85" t="inlineStr">
        <is>
          <t>Mashudu Tshifularo</t>
        </is>
      </c>
      <c r="I6" s="85" t="inlineStr">
        <is>
          <t>In Progress</t>
        </is>
      </c>
      <c r="J6" s="85" t="inlineStr">
        <is>
          <t>CASH SALE – PARTIAL</t>
        </is>
      </c>
      <c r="K6" s="86" t="inlineStr">
        <is>
          <t>RDH 710 K2 - Nicotra Fan (Qty: 1)</t>
        </is>
      </c>
      <c r="L6" s="84">
        <f>B6</f>
        <v/>
      </c>
    </row>
    <row r="7" ht="28.8" customHeight="1">
      <c r="A7" s="80" t="n">
        <v>46057</v>
      </c>
      <c r="B7" s="80" t="n">
        <v>46171</v>
      </c>
      <c r="C7" s="81" t="inlineStr">
        <is>
          <t>Pending</t>
        </is>
      </c>
      <c r="D7" s="81" t="inlineStr">
        <is>
          <t>SO4558</t>
        </is>
      </c>
      <c r="E7" s="82" t="inlineStr">
        <is>
          <t>FMTA4398-Thabakgolo</t>
        </is>
      </c>
      <c r="F7" s="82" t="inlineStr">
        <is>
          <t>Oribi Air CC</t>
        </is>
      </c>
      <c r="G7" s="83" t="n">
        <v>427841.4</v>
      </c>
      <c r="H7" s="81" t="inlineStr">
        <is>
          <t>Mashudu Tshifularo</t>
        </is>
      </c>
      <c r="I7" s="81" t="inlineStr">
        <is>
          <t>Pending</t>
        </is>
      </c>
      <c r="J7" s="81">
        <f>IFERROR(VLOOKUP(D7, '05.05.2026'!D:J, 7, FALSE), "")</f>
        <v/>
      </c>
      <c r="K7" s="82" t="inlineStr">
        <is>
          <t>LINEO 250 QUIET-5.1.1 (Qty: 24), LINEO 315 QUIET-5.6.1 (Qty: 12)</t>
        </is>
      </c>
      <c r="L7" s="80">
        <f>B7</f>
        <v/>
      </c>
    </row>
    <row r="8" ht="28.8" customHeight="1">
      <c r="A8" s="97" t="n">
        <v>46111</v>
      </c>
      <c r="B8" s="97" t="n">
        <v>46171</v>
      </c>
      <c r="C8" s="98" t="inlineStr">
        <is>
          <t>FM3967</t>
        </is>
      </c>
      <c r="D8" s="98" t="inlineStr">
        <is>
          <t>SO4492</t>
        </is>
      </c>
      <c r="E8" s="99" t="inlineStr">
        <is>
          <t>PO260306</t>
        </is>
      </c>
      <c r="F8" s="99" t="inlineStr">
        <is>
          <t>Alpha Air Ventilation Services</t>
        </is>
      </c>
      <c r="G8" s="100" t="n">
        <v>9014.209999999999</v>
      </c>
      <c r="H8" s="98" t="inlineStr">
        <is>
          <t>Sizwe Tshabalala</t>
        </is>
      </c>
      <c r="I8" s="98" t="inlineStr">
        <is>
          <t>On Hold</t>
        </is>
      </c>
      <c r="J8" s="98">
        <f>IFERROR(VLOOKUP(D8, '05.05.2026'!D:J, 7, FALSE), "")</f>
        <v/>
      </c>
      <c r="K8" s="99" t="inlineStr">
        <is>
          <t>MAJAX-2 500 c/w 0,55KW 4P 380V (Qty: 1), 500 Diam Counter Flange (Qty: 2)</t>
        </is>
      </c>
      <c r="L8" s="97">
        <f>B8</f>
        <v/>
      </c>
    </row>
    <row r="9">
      <c r="A9" s="101" t="n">
        <v>46111</v>
      </c>
      <c r="B9" s="101" t="n">
        <v>46171</v>
      </c>
      <c r="C9" s="102" t="inlineStr">
        <is>
          <t>FM3990</t>
        </is>
      </c>
      <c r="D9" s="102" t="inlineStr">
        <is>
          <t>SO4517</t>
        </is>
      </c>
      <c r="E9" s="103" t="inlineStr">
        <is>
          <t>PO:0000426</t>
        </is>
      </c>
      <c r="F9" s="103" t="inlineStr">
        <is>
          <t>Compu Cool (Pty) Ltd</t>
        </is>
      </c>
      <c r="G9" s="104" t="n">
        <v>169353.6</v>
      </c>
      <c r="H9" s="102" t="inlineStr">
        <is>
          <t>Mashudu Tshifularo</t>
        </is>
      </c>
      <c r="I9" s="102" t="inlineStr">
        <is>
          <t>On Hold</t>
        </is>
      </c>
      <c r="J9" s="102">
        <f>IFERROR(VLOOKUP(D9, '05.05.2026'!D:J, 7, FALSE), "")</f>
        <v/>
      </c>
      <c r="K9" s="103" t="inlineStr">
        <is>
          <t>UV710/3/6 (Qty: 6)</t>
        </is>
      </c>
      <c r="L9" s="101">
        <f>B9</f>
        <v/>
      </c>
    </row>
    <row r="10" ht="158.4" customHeight="1">
      <c r="A10" s="80" t="n">
        <v>46128</v>
      </c>
      <c r="B10" s="80" t="n">
        <v>46171</v>
      </c>
      <c r="C10" s="81" t="inlineStr">
        <is>
          <t>Pending</t>
        </is>
      </c>
      <c r="D10" s="81" t="inlineStr">
        <is>
          <t>SO4554</t>
        </is>
      </c>
      <c r="E10" s="82" t="inlineStr">
        <is>
          <t>FMTA4599</t>
        </is>
      </c>
      <c r="F10" s="82" t="inlineStr">
        <is>
          <t>Matla Solution Group</t>
        </is>
      </c>
      <c r="G10" s="83" t="n">
        <v>82900.05</v>
      </c>
      <c r="H10" s="81" t="inlineStr">
        <is>
          <t>Mashudu Tshifularo</t>
        </is>
      </c>
      <c r="I10" s="81" t="inlineStr">
        <is>
          <t>Pending</t>
        </is>
      </c>
      <c r="J10" s="81">
        <f>IFERROR(VLOOKUP(D10, '05.05.2026'!D:J, 7, FALSE), "")</f>
        <v/>
      </c>
      <c r="K10" s="82" t="inlineStr">
        <is>
          <t>LINEO 315 QUIET - EF 1 (Qty: 1), LINEO 250 QUIET - EF 2 (Qty: 1), LINEO 200 QUIET - EF 3 (Qty: 1), KDAXIS 200 - EF 4 (Qty: 1), KDAXIS 200 - EF 5 (Qty: 1), MAXFLO 630/250/14 A c/w 1,10KW 4P 380V - FA 1 (Qty: 1), 630 Diam Silencer 1.5D Podded (Qty: 2), 630 Diam Counter Flange (Qty: 2), 630 Diam Mounting Feet (Qty: 4), 630 to 1000 NDB GREEN Neoprene Floor Mounts (Qty: 8), MAXFLO 710/250/14 A c/w 1,10KW 4P 380V - FA 2 (Qty: 1), 710 Diam Silencer 1.5D Podded (Qty: 2), 710 Diam Counter Flange (Qty: 2), 710 Diam Mounting Feet (Qty: 4), 630 to 1000 NDB GREEN Neoprene Floor Mounts (Qty: 8)</t>
        </is>
      </c>
      <c r="L10" s="80">
        <f>B10</f>
        <v/>
      </c>
    </row>
    <row r="11">
      <c r="A11" s="80" t="n">
        <v>46142</v>
      </c>
      <c r="B11" s="80" t="n">
        <v>46171</v>
      </c>
      <c r="C11" s="81" t="inlineStr">
        <is>
          <t>Pending</t>
        </is>
      </c>
      <c r="D11" s="81" t="inlineStr">
        <is>
          <t>SO4552</t>
        </is>
      </c>
      <c r="E11" s="82" t="inlineStr">
        <is>
          <t>nan</t>
        </is>
      </c>
      <c r="F11" s="82" t="inlineStr">
        <is>
          <t>Neobionomics Services Pty Ltd</t>
        </is>
      </c>
      <c r="G11" s="83" t="n">
        <v>13711.09</v>
      </c>
      <c r="H11" s="81" t="inlineStr">
        <is>
          <t>Sizwe Tshabalala</t>
        </is>
      </c>
      <c r="I11" s="81" t="inlineStr">
        <is>
          <t>Pending</t>
        </is>
      </c>
      <c r="J11" s="81">
        <f>IFERROR(VLOOKUP(D11, '05.05.2026'!D:J, 7, FALSE), "")</f>
        <v/>
      </c>
      <c r="K11" s="82" t="inlineStr">
        <is>
          <t>MAJAX-2 630 c/w 0,75KW 4P 380V (Qty: 1)</t>
        </is>
      </c>
      <c r="L11" s="80">
        <f>B11</f>
        <v/>
      </c>
    </row>
    <row r="12">
      <c r="A12" s="80" t="n">
        <v>46142</v>
      </c>
      <c r="B12" s="80" t="n">
        <v>46171</v>
      </c>
      <c r="C12" s="81" t="inlineStr">
        <is>
          <t>Pending</t>
        </is>
      </c>
      <c r="D12" s="81" t="inlineStr">
        <is>
          <t>SO4556</t>
        </is>
      </c>
      <c r="E12" s="82" t="inlineStr">
        <is>
          <t>Constitutional Hill</t>
        </is>
      </c>
      <c r="F12" s="82" t="inlineStr">
        <is>
          <t>LJ Trading &amp; Projects (Pty) Ltd</t>
        </is>
      </c>
      <c r="G12" s="83" t="n">
        <v>554227.55</v>
      </c>
      <c r="H12" s="81" t="inlineStr">
        <is>
          <t>Simon Mokgola</t>
        </is>
      </c>
      <c r="I12" s="81" t="inlineStr">
        <is>
          <t>Pending</t>
        </is>
      </c>
      <c r="J12" s="81">
        <f>IFERROR(VLOOKUP(D12, '05.05.2026'!D:J, 7, FALSE), "")</f>
        <v/>
      </c>
      <c r="K12" s="82" t="inlineStr">
        <is>
          <t>Constitutional Hill (Qty: 1)</t>
        </is>
      </c>
      <c r="L12" s="80">
        <f>B12</f>
        <v/>
      </c>
    </row>
    <row r="13" ht="28.8" customHeight="1">
      <c r="A13" s="80" t="n">
        <v>46142</v>
      </c>
      <c r="B13" s="80" t="n">
        <v>46171</v>
      </c>
      <c r="C13" s="81" t="inlineStr">
        <is>
          <t>Pending</t>
        </is>
      </c>
      <c r="D13" s="81" t="inlineStr">
        <is>
          <t>SO4557</t>
        </is>
      </c>
      <c r="E13" s="82" t="inlineStr">
        <is>
          <t>nan</t>
        </is>
      </c>
      <c r="F13" s="82" t="inlineStr">
        <is>
          <t>Vigeta Pty Ltd</t>
        </is>
      </c>
      <c r="G13" s="83" t="n">
        <v>204447</v>
      </c>
      <c r="H13" s="81" t="inlineStr">
        <is>
          <t>Simon Mokgola</t>
        </is>
      </c>
      <c r="I13" s="81" t="inlineStr">
        <is>
          <t>Pending</t>
        </is>
      </c>
      <c r="J13" s="81">
        <f>IFERROR(VLOOKUP(D13, '05.05.2026'!D:J, 7, FALSE), "")</f>
        <v/>
      </c>
      <c r="K13" s="82" t="inlineStr">
        <is>
          <t>630 Diam Vertical Discharge BASE c/w 2.2kW 4P 380V (Qty: 10)</t>
        </is>
      </c>
      <c r="L13" s="80">
        <f>B13</f>
        <v/>
      </c>
    </row>
    <row r="14" ht="28.8" customHeight="1">
      <c r="A14" s="80" t="n">
        <v>46142</v>
      </c>
      <c r="B14" s="80" t="n">
        <v>46171</v>
      </c>
      <c r="C14" s="81" t="inlineStr">
        <is>
          <t>Pending</t>
        </is>
      </c>
      <c r="D14" s="81" t="inlineStr">
        <is>
          <t>SO4553</t>
        </is>
      </c>
      <c r="E14" s="82" t="inlineStr">
        <is>
          <t>FMTA4519</t>
        </is>
      </c>
      <c r="F14" s="82" t="inlineStr">
        <is>
          <t>ST AIR SERVICES AND MAINTENANCE (PTY) LTD</t>
        </is>
      </c>
      <c r="G14" s="83" t="n">
        <v>426010.6</v>
      </c>
      <c r="H14" s="81" t="inlineStr">
        <is>
          <t>Simon Mokgola</t>
        </is>
      </c>
      <c r="I14" s="81" t="inlineStr">
        <is>
          <t>Pending</t>
        </is>
      </c>
      <c r="J14" s="81">
        <f>IFERROR(VLOOKUP(D14, '05.05.2026'!D:J, 7, FALSE), "")</f>
        <v/>
      </c>
      <c r="K14" s="82" t="inlineStr">
        <is>
          <t>Mimosa Mall Office Park (Qty: 1)</t>
        </is>
      </c>
      <c r="L14" s="80">
        <f>B14</f>
        <v/>
      </c>
    </row>
    <row r="15" ht="28.8" customHeight="1">
      <c r="A15" s="76" t="n">
        <v>46112</v>
      </c>
      <c r="B15" s="76" t="n">
        <v>46293</v>
      </c>
      <c r="C15" s="77" t="inlineStr">
        <is>
          <t>FM3974</t>
        </is>
      </c>
      <c r="D15" s="77" t="inlineStr">
        <is>
          <t>SO4502</t>
        </is>
      </c>
      <c r="E15" s="78" t="inlineStr">
        <is>
          <t>210719</t>
        </is>
      </c>
      <c r="F15" s="78" t="inlineStr">
        <is>
          <t>Kenmare Moma Processing (Mauritius) Limited</t>
        </is>
      </c>
      <c r="G15" s="79" t="n">
        <v>103711</v>
      </c>
      <c r="H15" s="77" t="inlineStr">
        <is>
          <t>Sizwe Tshabalala</t>
        </is>
      </c>
      <c r="I15" s="77" t="inlineStr">
        <is>
          <t>In Progress</t>
        </is>
      </c>
      <c r="J15" s="77" t="inlineStr">
        <is>
          <t>ACCOUNT - UP TO DATE</t>
        </is>
      </c>
      <c r="K15" s="78" t="inlineStr">
        <is>
          <t>SCL-K10 MS-11kW - Item no 28000234 (Qty: 1)</t>
        </is>
      </c>
      <c r="L15" s="76">
        <f>B15</f>
        <v/>
      </c>
    </row>
    <row r="16" ht="28.8" customHeight="1">
      <c r="A16" s="76" t="n">
        <v>46112</v>
      </c>
      <c r="B16" s="76" t="n">
        <v>46293</v>
      </c>
      <c r="C16" s="77" t="inlineStr">
        <is>
          <t>FM3997</t>
        </is>
      </c>
      <c r="D16" s="77" t="inlineStr">
        <is>
          <t>SO4525</t>
        </is>
      </c>
      <c r="E16" s="78" t="inlineStr">
        <is>
          <t>211035</t>
        </is>
      </c>
      <c r="F16" s="78" t="inlineStr">
        <is>
          <t>Kenmare Moma Processing (Mauritius) Limited</t>
        </is>
      </c>
      <c r="G16" s="79" t="n">
        <v>83433</v>
      </c>
      <c r="H16" s="77" t="inlineStr">
        <is>
          <t>Sizwe Tshabalala</t>
        </is>
      </c>
      <c r="I16" s="77" t="inlineStr">
        <is>
          <t>In Progress</t>
        </is>
      </c>
      <c r="J16" s="77" t="inlineStr">
        <is>
          <t>ACCOUNT - UP TO DATE</t>
        </is>
      </c>
      <c r="K16" s="78" t="inlineStr">
        <is>
          <t>SCL-K08 MS-7.5kW (Qty: 1)</t>
        </is>
      </c>
      <c r="L16" s="76">
        <f>B16</f>
        <v/>
      </c>
    </row>
    <row r="17">
      <c r="F17" s="88" t="inlineStr">
        <is>
          <t>Total Value (All):</t>
        </is>
      </c>
      <c r="G17" s="89">
        <f>SUM(G3:G16)</f>
        <v/>
      </c>
    </row>
    <row r="19">
      <c r="F19" s="90" t="inlineStr">
        <is>
          <t>BREAKDOWN</t>
        </is>
      </c>
    </row>
    <row r="20">
      <c r="F20" t="inlineStr">
        <is>
          <t>Cash Sale (May):</t>
        </is>
      </c>
      <c r="G20" s="1">
        <f>SUMIFS(G3:G16, J3:J16, "*CASH SALE*", L3:L16, "&gt;="&amp;EOMONTH(TODAY(),-1)+1, L3:L16, "&lt;="&amp;EOMONTH(TODAY(),0))</f>
        <v/>
      </c>
      <c r="I20" t="inlineStr">
        <is>
          <t>Cash Sale (June):</t>
        </is>
      </c>
      <c r="J20" s="1">
        <f>SUMIFS(G3:G16, J3:J16, "*CASH SALE*", L3:L16, "&gt;="&amp;EOMONTH(TODAY(),0)+1, L3:L16, "&lt;="&amp;EOMONTH(TODAY(),1))</f>
        <v/>
      </c>
    </row>
    <row r="21">
      <c r="F21" t="inlineStr">
        <is>
          <t>Account (May):</t>
        </is>
      </c>
      <c r="G21" s="1">
        <f>SUMIFS(G3:G16, J3:J16, "*ACCOUNT*", L3:L16, "&gt;="&amp;EOMONTH(TODAY(),-1)+1, L3:L16, "&lt;="&amp;EOMONTH(TODAY(),0))</f>
        <v/>
      </c>
      <c r="I21" t="inlineStr">
        <is>
          <t>Account (June):</t>
        </is>
      </c>
      <c r="J21" s="1">
        <f>SUMIFS(G3:G16, J3:J16, "*ACCOUNT*", L3:L16, "&gt;="&amp;EOMONTH(TODAY(),0)+1, L3:L16, "&lt;="&amp;EOMONTH(TODAY(),1))</f>
        <v/>
      </c>
    </row>
    <row r="24" ht="28.8" customHeight="1">
      <c r="A24" s="75" t="inlineStr">
        <is>
          <t>Date</t>
        </is>
      </c>
      <c r="B24" s="75" t="inlineStr">
        <is>
          <t>Delivery Date</t>
        </is>
      </c>
      <c r="C24" s="75" t="inlineStr">
        <is>
          <t>Job Number</t>
        </is>
      </c>
      <c r="D24" s="75" t="inlineStr">
        <is>
          <t>SO Number</t>
        </is>
      </c>
      <c r="E24" s="75" t="inlineStr">
        <is>
          <t>Customer Ref.</t>
        </is>
      </c>
      <c r="F24" s="75" t="inlineStr">
        <is>
          <t>Customer</t>
        </is>
      </c>
      <c r="G24" s="75" t="inlineStr">
        <is>
          <t>Total</t>
        </is>
      </c>
      <c r="H24" s="75" t="inlineStr">
        <is>
          <t>Sales Rep</t>
        </is>
      </c>
      <c r="I24" s="75" t="inlineStr">
        <is>
          <t>Status</t>
        </is>
      </c>
      <c r="J24" s="75" t="inlineStr">
        <is>
          <t>Payment Status</t>
        </is>
      </c>
      <c r="K24" s="75" t="inlineStr">
        <is>
          <t>Comments</t>
        </is>
      </c>
    </row>
    <row r="25" ht="28.8" customHeight="1">
      <c r="A25" s="91" t="n">
        <v>46136</v>
      </c>
      <c r="B25" s="91" t="n">
        <v>46148.39998587963</v>
      </c>
      <c r="C25" s="92" t="inlineStr">
        <is>
          <t>FM4017</t>
        </is>
      </c>
      <c r="D25" s="92" t="inlineStr">
        <is>
          <t>SO4546</t>
        </is>
      </c>
      <c r="E25" s="92" t="inlineStr">
        <is>
          <t>PO145956</t>
        </is>
      </c>
      <c r="F25" s="92" t="inlineStr">
        <is>
          <t>Howden Power a Div of Howden Africa (Pty) LTD</t>
        </is>
      </c>
      <c r="G25" s="87" t="n">
        <v>15437.6</v>
      </c>
      <c r="H25" s="92" t="inlineStr">
        <is>
          <t>Sizwe Tshabalala</t>
        </is>
      </c>
      <c r="I25" s="92" t="inlineStr">
        <is>
          <t>Ready-Dispatch</t>
        </is>
      </c>
      <c r="J25" s="92" t="inlineStr">
        <is>
          <t>ACCOUNT - UP TO DATE</t>
        </is>
      </c>
      <c r="K25" s="86" t="inlineStr">
        <is>
          <t>Client to collect 28/04/2026 - ST to advise</t>
        </is>
      </c>
    </row>
    <row r="26">
      <c r="F26" s="88" t="inlineStr">
        <is>
          <t>Due Today - Total:</t>
        </is>
      </c>
      <c r="G26" s="89">
        <f>SUM(G25:G25)</f>
        <v/>
      </c>
    </row>
    <row r="28">
      <c r="F28" s="88" t="inlineStr">
        <is>
          <t>Ready-Dispatch:</t>
        </is>
      </c>
      <c r="G28" s="89">
        <f>SUMIFS(G3:G16, I3:I16, "*Ready*Dispatch*")</f>
        <v/>
      </c>
    </row>
  </sheetData>
  <pageMargins left="0.25" right="0.25" top="0.75" bottom="0.75" header="0.3" footer="0.3"/>
  <pageSetup orientation="landscape" scale="56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20" customWidth="1" min="5" max="5"/>
    <col width="30" customWidth="1" min="6" max="6"/>
    <col width="15" customWidth="1" min="7" max="7"/>
    <col width="20" customWidth="1" min="8" max="8"/>
    <col width="15" customWidth="1" min="9" max="9"/>
    <col width="23.3" customWidth="1" min="10" max="10"/>
    <col width="50" customWidth="1" min="11" max="11"/>
    <col width="12" customWidth="1" min="12" max="12"/>
  </cols>
  <sheetData>
    <row r="1">
      <c r="A1" s="131" t="inlineStr">
        <is>
          <t>SALES ORDER REPORT</t>
        </is>
      </c>
      <c r="K1" s="132">
        <f>TODAY()</f>
        <v/>
      </c>
    </row>
    <row r="2">
      <c r="A2" s="133" t="inlineStr">
        <is>
          <t>Date</t>
        </is>
      </c>
      <c r="B2" s="133" t="inlineStr">
        <is>
          <t>Delivery Date</t>
        </is>
      </c>
      <c r="C2" s="133" t="inlineStr">
        <is>
          <t>Job Number</t>
        </is>
      </c>
      <c r="D2" s="133" t="inlineStr">
        <is>
          <t>SO Number</t>
        </is>
      </c>
      <c r="E2" s="133" t="inlineStr">
        <is>
          <t>Customer Ref.</t>
        </is>
      </c>
      <c r="F2" s="133" t="inlineStr">
        <is>
          <t>Customer</t>
        </is>
      </c>
      <c r="G2" s="133" t="inlineStr">
        <is>
          <t>Total</t>
        </is>
      </c>
      <c r="H2" s="133" t="inlineStr">
        <is>
          <t>Sales Rep</t>
        </is>
      </c>
      <c r="I2" s="133" t="inlineStr">
        <is>
          <t>Status</t>
        </is>
      </c>
      <c r="J2" s="133" t="inlineStr">
        <is>
          <t>Payment Status</t>
        </is>
      </c>
      <c r="K2" s="133" t="inlineStr">
        <is>
          <t>Details</t>
        </is>
      </c>
      <c r="L2" s="133" t="inlineStr">
        <is>
          <t>Planned Delivery Date</t>
        </is>
      </c>
    </row>
    <row r="3">
      <c r="A3" s="134" t="n">
        <v>46136</v>
      </c>
      <c r="B3" s="134" t="n">
        <v>46149.49891068287</v>
      </c>
      <c r="C3" s="135" t="inlineStr">
        <is>
          <t>FM4017</t>
        </is>
      </c>
      <c r="D3" s="135" t="inlineStr">
        <is>
          <t>SO4546</t>
        </is>
      </c>
      <c r="E3" s="136" t="inlineStr">
        <is>
          <t>PO145956</t>
        </is>
      </c>
      <c r="F3" s="136" t="inlineStr">
        <is>
          <t>Howden Power a Div of Howden Africa (Pty) LTD</t>
        </is>
      </c>
      <c r="G3" s="152" t="n">
        <v>15437.6</v>
      </c>
      <c r="H3" s="135" t="inlineStr">
        <is>
          <t>Sizwe Tshabalala</t>
        </is>
      </c>
      <c r="I3" s="135" t="inlineStr">
        <is>
          <t>Ready-Dispatch</t>
        </is>
      </c>
      <c r="J3" s="135" t="inlineStr">
        <is>
          <t>ACCOUNT - UP TO DATE</t>
        </is>
      </c>
      <c r="K3" s="136" t="inlineStr">
        <is>
          <t>SCL-K03 MS-0.55kW-380V (Qty: 1)</t>
        </is>
      </c>
      <c r="L3" s="134">
        <f>B3</f>
        <v/>
      </c>
    </row>
    <row r="4">
      <c r="A4" s="138" t="n">
        <v>46142</v>
      </c>
      <c r="B4" s="138" t="n">
        <v>46149.49891068287</v>
      </c>
      <c r="C4" s="139" t="inlineStr">
        <is>
          <t>Pending</t>
        </is>
      </c>
      <c r="D4" s="139" t="inlineStr">
        <is>
          <t>SO4556</t>
        </is>
      </c>
      <c r="E4" s="140" t="inlineStr">
        <is>
          <t>Constitutional Hill</t>
        </is>
      </c>
      <c r="F4" s="140" t="inlineStr">
        <is>
          <t>LJ Trading &amp; Projects (Pty) Ltd</t>
        </is>
      </c>
      <c r="G4" s="153" t="n">
        <v>554227.55</v>
      </c>
      <c r="H4" s="139" t="inlineStr">
        <is>
          <t>Simon Mokgola</t>
        </is>
      </c>
      <c r="I4" s="139" t="inlineStr">
        <is>
          <t>Pending</t>
        </is>
      </c>
      <c r="J4" s="139">
        <f>IFERROR(VLOOKUP(D4, '06.05.2026'!D:J, 7, FALSE), "")</f>
        <v/>
      </c>
      <c r="K4" s="140" t="inlineStr">
        <is>
          <t>Constitutional Hill (Qty: 1)</t>
        </is>
      </c>
      <c r="L4" s="138">
        <f>B4</f>
        <v/>
      </c>
    </row>
    <row r="5">
      <c r="A5" s="134" t="n">
        <v>46142</v>
      </c>
      <c r="B5" s="134" t="n">
        <v>46149.49891068287</v>
      </c>
      <c r="C5" s="135" t="inlineStr">
        <is>
          <t>FM4031</t>
        </is>
      </c>
      <c r="D5" s="135" t="inlineStr">
        <is>
          <t>SO4565</t>
        </is>
      </c>
      <c r="E5" s="136" t="inlineStr">
        <is>
          <t>POAM26058144</t>
        </is>
      </c>
      <c r="F5" s="136" t="inlineStr">
        <is>
          <t>Allbro Industries (PTY) Ltd</t>
        </is>
      </c>
      <c r="G5" s="152" t="n">
        <v>19154.4</v>
      </c>
      <c r="H5" s="135" t="inlineStr">
        <is>
          <t>Sizwe Tshabalala</t>
        </is>
      </c>
      <c r="I5" s="135" t="inlineStr">
        <is>
          <t>In Progress</t>
        </is>
      </c>
      <c r="J5" s="135" t="inlineStr">
        <is>
          <t>CASH SALE - PAID</t>
        </is>
      </c>
      <c r="K5" s="136" t="inlineStr">
        <is>
          <t>HV 7 c/w 0.45kw 6P 380v (Qty: 2), WEATHER LOUVRE 800(W)*800(H) HS NA (Qty: 2)</t>
        </is>
      </c>
      <c r="L5" s="134">
        <f>B5</f>
        <v/>
      </c>
    </row>
    <row r="6">
      <c r="A6" s="134" t="n">
        <v>46146</v>
      </c>
      <c r="B6" s="134" t="n">
        <v>46149.49891068287</v>
      </c>
      <c r="C6" s="135" t="inlineStr">
        <is>
          <t>FM4025</t>
        </is>
      </c>
      <c r="D6" s="135" t="inlineStr">
        <is>
          <t>SO4559</t>
        </is>
      </c>
      <c r="E6" s="136" t="inlineStr">
        <is>
          <t>PO0000475</t>
        </is>
      </c>
      <c r="F6" s="136" t="inlineStr">
        <is>
          <t>Compu Cool (Pty) Ltd</t>
        </is>
      </c>
      <c r="G6" s="152" t="n">
        <v>11429.61</v>
      </c>
      <c r="H6" s="135" t="inlineStr">
        <is>
          <t>Mashudu Tshifularo</t>
        </is>
      </c>
      <c r="I6" s="135" t="inlineStr">
        <is>
          <t>In Progress</t>
        </is>
      </c>
      <c r="J6" s="135" t="inlineStr">
        <is>
          <t>ACCOUNT - UP TO DATE</t>
        </is>
      </c>
      <c r="K6" s="136" t="inlineStr">
        <is>
          <t>MAXFLO 710/150/10 A c/w 2,20KW 4P 380V (Qty: 1)</t>
        </is>
      </c>
      <c r="L6" s="134">
        <f>B6</f>
        <v/>
      </c>
    </row>
    <row r="7">
      <c r="A7" s="142" t="n">
        <v>46148</v>
      </c>
      <c r="B7" s="142" t="n">
        <v>46157</v>
      </c>
      <c r="C7" s="143" t="inlineStr">
        <is>
          <t>FM4032</t>
        </is>
      </c>
      <c r="D7" s="143" t="inlineStr">
        <is>
          <t>SO4566</t>
        </is>
      </c>
      <c r="E7" s="144" t="inlineStr">
        <is>
          <t>FMTA4618</t>
        </is>
      </c>
      <c r="F7" s="144" t="inlineStr">
        <is>
          <t>Breezeair Technical Services</t>
        </is>
      </c>
      <c r="G7" s="154" t="n">
        <v>13174.4</v>
      </c>
      <c r="H7" s="143" t="inlineStr">
        <is>
          <t>Mashudu Tshifularo</t>
        </is>
      </c>
      <c r="I7" s="143" t="inlineStr">
        <is>
          <t>In Progress</t>
        </is>
      </c>
      <c r="J7" s="143" t="inlineStr">
        <is>
          <t>CASH SALE - PAID</t>
        </is>
      </c>
      <c r="K7" s="144" t="inlineStr">
        <is>
          <t>MAXFLO 560/250/14 A c/w 1,10KW 4P 380V (Qty: 1), 560 Diam Counter Flange (Qty: 2), 560 Diam Mounting Feet (Qty: 4), 315 to 560 NDA RED ANeoprene Floor Mounts (Qty: 8)</t>
        </is>
      </c>
      <c r="L7" s="142">
        <f>B7</f>
        <v/>
      </c>
    </row>
    <row r="8">
      <c r="A8" s="142" t="n">
        <v>46077</v>
      </c>
      <c r="B8" s="142" t="n">
        <v>46169</v>
      </c>
      <c r="C8" s="143" t="inlineStr">
        <is>
          <t>FM3874</t>
        </is>
      </c>
      <c r="D8" s="143" t="inlineStr">
        <is>
          <t>SO4404</t>
        </is>
      </c>
      <c r="E8" s="144" t="inlineStr">
        <is>
          <t>PO2174</t>
        </is>
      </c>
      <c r="F8" s="144" t="inlineStr">
        <is>
          <t>ITD North Pty Ltd</t>
        </is>
      </c>
      <c r="G8" s="154" t="n">
        <v>94247.10000000001</v>
      </c>
      <c r="H8" s="143" t="inlineStr">
        <is>
          <t>Mashudu Tshifularo</t>
        </is>
      </c>
      <c r="I8" s="143" t="inlineStr">
        <is>
          <t>In Progress</t>
        </is>
      </c>
      <c r="J8" s="143" t="inlineStr">
        <is>
          <t>CASH SALE – PARTIAL</t>
        </is>
      </c>
      <c r="K8" s="144" t="inlineStr">
        <is>
          <t>RDH 710 K2 - Nicotra Fan (Qty: 1)</t>
        </is>
      </c>
      <c r="L8" s="142">
        <f>B8</f>
        <v/>
      </c>
    </row>
    <row r="9">
      <c r="A9" s="142" t="n">
        <v>46069</v>
      </c>
      <c r="B9" s="142" t="n">
        <v>46170</v>
      </c>
      <c r="C9" s="143" t="inlineStr">
        <is>
          <t>FM3841</t>
        </is>
      </c>
      <c r="D9" s="143" t="inlineStr">
        <is>
          <t>SO4372</t>
        </is>
      </c>
      <c r="E9" s="144" t="inlineStr">
        <is>
          <t>PO2213</t>
        </is>
      </c>
      <c r="F9" s="144" t="inlineStr">
        <is>
          <t>Hucra Fans</t>
        </is>
      </c>
      <c r="G9" s="154" t="n">
        <v>379993.35</v>
      </c>
      <c r="H9" s="143" t="inlineStr">
        <is>
          <t>Sales Agent Hucra Fans</t>
        </is>
      </c>
      <c r="I9" s="143" t="inlineStr">
        <is>
          <t>In Progress</t>
        </is>
      </c>
      <c r="J9" s="143" t="inlineStr">
        <is>
          <t>ACCOUNT - UP TO DATE</t>
        </is>
      </c>
      <c r="K9" s="144" t="inlineStr">
        <is>
          <t>SCL K11 MS - 11.0kW - 525V (Qty: 3)</t>
        </is>
      </c>
      <c r="L9" s="142">
        <f>B9</f>
        <v/>
      </c>
    </row>
    <row r="10">
      <c r="A10" s="142" t="n">
        <v>46112</v>
      </c>
      <c r="B10" s="142" t="n">
        <v>46170</v>
      </c>
      <c r="C10" s="143" t="inlineStr">
        <is>
          <t>FM3974</t>
        </is>
      </c>
      <c r="D10" s="143" t="inlineStr">
        <is>
          <t>SO4502</t>
        </is>
      </c>
      <c r="E10" s="144" t="inlineStr">
        <is>
          <t>210719</t>
        </is>
      </c>
      <c r="F10" s="144" t="inlineStr">
        <is>
          <t>Kenmare Moma Processing (Mauritius) Limited</t>
        </is>
      </c>
      <c r="G10" s="154" t="n">
        <v>103711</v>
      </c>
      <c r="H10" s="143" t="inlineStr">
        <is>
          <t>Sizwe Tshabalala</t>
        </is>
      </c>
      <c r="I10" s="143" t="inlineStr">
        <is>
          <t>In Progress</t>
        </is>
      </c>
      <c r="J10" s="143" t="inlineStr">
        <is>
          <t>ACCOUNT - UP TO DATE</t>
        </is>
      </c>
      <c r="K10" s="144" t="inlineStr">
        <is>
          <t>SCL-K10 MS-11kW - Item no 28000234 (Qty: 1)</t>
        </is>
      </c>
      <c r="L10" s="142">
        <f>B10</f>
        <v/>
      </c>
    </row>
    <row r="11">
      <c r="A11" s="142" t="n">
        <v>46112</v>
      </c>
      <c r="B11" s="142" t="n">
        <v>46170</v>
      </c>
      <c r="C11" s="143" t="inlineStr">
        <is>
          <t>FM3997</t>
        </is>
      </c>
      <c r="D11" s="143" t="inlineStr">
        <is>
          <t>SO4525</t>
        </is>
      </c>
      <c r="E11" s="144" t="inlineStr">
        <is>
          <t>211035</t>
        </is>
      </c>
      <c r="F11" s="144" t="inlineStr">
        <is>
          <t>Kenmare Moma Processing (Mauritius) Limited</t>
        </is>
      </c>
      <c r="G11" s="154" t="n">
        <v>83433</v>
      </c>
      <c r="H11" s="143" t="inlineStr">
        <is>
          <t>Sizwe Tshabalala</t>
        </is>
      </c>
      <c r="I11" s="143" t="inlineStr">
        <is>
          <t>In Progress</t>
        </is>
      </c>
      <c r="J11" s="143" t="inlineStr">
        <is>
          <t>ACCOUNT - UP TO DATE</t>
        </is>
      </c>
      <c r="K11" s="144" t="inlineStr">
        <is>
          <t>SCL-K08 MS-7.5kW (Qty: 1)</t>
        </is>
      </c>
      <c r="L11" s="142">
        <f>B11</f>
        <v/>
      </c>
    </row>
    <row r="12">
      <c r="A12" s="138" t="n">
        <v>46057</v>
      </c>
      <c r="B12" s="138" t="n">
        <v>46171</v>
      </c>
      <c r="C12" s="139" t="inlineStr">
        <is>
          <t>Pending</t>
        </is>
      </c>
      <c r="D12" s="139" t="inlineStr">
        <is>
          <t>SO4558</t>
        </is>
      </c>
      <c r="E12" s="140" t="inlineStr">
        <is>
          <t>FMTA4398-Thabakgolo</t>
        </is>
      </c>
      <c r="F12" s="140" t="inlineStr">
        <is>
          <t>Oribi Air CC</t>
        </is>
      </c>
      <c r="G12" s="153" t="n">
        <v>427841.4</v>
      </c>
      <c r="H12" s="139" t="inlineStr">
        <is>
          <t>Mashudu Tshifularo</t>
        </is>
      </c>
      <c r="I12" s="139" t="inlineStr">
        <is>
          <t>Pending</t>
        </is>
      </c>
      <c r="J12" s="139">
        <f>IFERROR(VLOOKUP(D12, '06.05.2026'!D:J, 7, FALSE), "")</f>
        <v/>
      </c>
      <c r="K12" s="140" t="inlineStr">
        <is>
          <t>LINEO 250 QUIET-5.1.1 (Qty: 24), LINEO 315 QUIET-5.6.1 (Qty: 12)</t>
        </is>
      </c>
      <c r="L12" s="138">
        <f>B12</f>
        <v/>
      </c>
    </row>
    <row r="13">
      <c r="A13" s="142" t="n">
        <v>46111</v>
      </c>
      <c r="B13" s="142" t="n">
        <v>46171</v>
      </c>
      <c r="C13" s="143" t="inlineStr">
        <is>
          <t>FM3967</t>
        </is>
      </c>
      <c r="D13" s="143" t="inlineStr">
        <is>
          <t>SO4492</t>
        </is>
      </c>
      <c r="E13" s="144" t="inlineStr">
        <is>
          <t>PO260306</t>
        </is>
      </c>
      <c r="F13" s="144" t="inlineStr">
        <is>
          <t>Alpha Air Ventilation Services</t>
        </is>
      </c>
      <c r="G13" s="154" t="n">
        <v>9014.209999999999</v>
      </c>
      <c r="H13" s="143" t="inlineStr">
        <is>
          <t>Sizwe Tshabalala</t>
        </is>
      </c>
      <c r="I13" s="143" t="inlineStr">
        <is>
          <t>On Hold</t>
        </is>
      </c>
      <c r="J13" s="143">
        <f>IFERROR(VLOOKUP(D13, '06.05.2026'!D:J, 7, FALSE), "")</f>
        <v/>
      </c>
      <c r="K13" s="144" t="inlineStr">
        <is>
          <t>MAJAX-2 500 c/w 0,55KW 4P 380V (Qty: 1), 500 Diam Counter Flange (Qty: 2)</t>
        </is>
      </c>
      <c r="L13" s="142">
        <f>B13</f>
        <v/>
      </c>
    </row>
    <row r="14">
      <c r="A14" s="142" t="n">
        <v>46111</v>
      </c>
      <c r="B14" s="142" t="n">
        <v>46171</v>
      </c>
      <c r="C14" s="143" t="inlineStr">
        <is>
          <t>FM3990</t>
        </is>
      </c>
      <c r="D14" s="143" t="inlineStr">
        <is>
          <t>SO4517</t>
        </is>
      </c>
      <c r="E14" s="144" t="inlineStr">
        <is>
          <t>PO:0000426</t>
        </is>
      </c>
      <c r="F14" s="144" t="inlineStr">
        <is>
          <t>Compu Cool (Pty) Ltd</t>
        </is>
      </c>
      <c r="G14" s="154" t="n">
        <v>169353.6</v>
      </c>
      <c r="H14" s="143" t="inlineStr">
        <is>
          <t>Mashudu Tshifularo</t>
        </is>
      </c>
      <c r="I14" s="143" t="inlineStr">
        <is>
          <t>On Hold</t>
        </is>
      </c>
      <c r="J14" s="143">
        <f>IFERROR(VLOOKUP(D14, '06.05.2026'!D:J, 7, FALSE), "")</f>
        <v/>
      </c>
      <c r="K14" s="144" t="inlineStr">
        <is>
          <t>UV710/3/6 (Qty: 6)</t>
        </is>
      </c>
      <c r="L14" s="142">
        <f>B14</f>
        <v/>
      </c>
    </row>
    <row r="15">
      <c r="A15" s="138" t="n">
        <v>46128</v>
      </c>
      <c r="B15" s="138" t="n">
        <v>46171</v>
      </c>
      <c r="C15" s="139" t="inlineStr">
        <is>
          <t>Pending</t>
        </is>
      </c>
      <c r="D15" s="139" t="inlineStr">
        <is>
          <t>SO4554</t>
        </is>
      </c>
      <c r="E15" s="140" t="inlineStr">
        <is>
          <t>FMTA4599</t>
        </is>
      </c>
      <c r="F15" s="140" t="inlineStr">
        <is>
          <t>Matla Solution Group</t>
        </is>
      </c>
      <c r="G15" s="153" t="n">
        <v>82900.05</v>
      </c>
      <c r="H15" s="139" t="inlineStr">
        <is>
          <t>Mashudu Tshifularo</t>
        </is>
      </c>
      <c r="I15" s="139" t="inlineStr">
        <is>
          <t>Pending</t>
        </is>
      </c>
      <c r="J15" s="139">
        <f>IFERROR(VLOOKUP(D15, '06.05.2026'!D:J, 7, FALSE), "")</f>
        <v/>
      </c>
      <c r="K15" s="140" t="inlineStr">
        <is>
          <t>LINEO 315 QUIET - EF 1 (Qty: 1), LINEO 250 QUIET - EF 2 (Qty: 1), LINEO 200 QUIET - EF 3 (Qty: 1), KDAXIS 200 - EF 4 (Qty: 1), KDAXIS 200 - EF 5 (Qty: 1), MAXFLO 630/250/14 A c/w 1,10KW 4P 380V - FA 1 (Qty: 1), 630 Diam Silencer 1.5D Podded (Qty: 2), 630 Diam Counter Flange (Qty: 2), 630 Diam Mounting Feet (Qty: 4), 630 to 1000 NDB GREEN Neoprene Floor Mounts (Qty: 8), MAXFLO 710/250/14 A c/w 1,10KW 4P 380V - FA 2 (Qty: 1), 710 Diam Silencer 1.5D Podded (Qty: 2), 710 Diam Counter Flange (Qty: 2), 710 Diam Mounting Feet (Qty: 4), 630 to 1000 NDB GREEN Neoprene Floor Mounts (Qty: 8)</t>
        </is>
      </c>
      <c r="L15" s="138">
        <f>B15</f>
        <v/>
      </c>
    </row>
    <row r="16">
      <c r="A16" s="138" t="n">
        <v>46142</v>
      </c>
      <c r="B16" s="138" t="n">
        <v>46171</v>
      </c>
      <c r="C16" s="139" t="inlineStr">
        <is>
          <t>Pending</t>
        </is>
      </c>
      <c r="D16" s="139" t="inlineStr">
        <is>
          <t>SO4552</t>
        </is>
      </c>
      <c r="E16" s="140" t="inlineStr">
        <is>
          <t>nan</t>
        </is>
      </c>
      <c r="F16" s="140" t="inlineStr">
        <is>
          <t>Neobionomics Services Pty Ltd</t>
        </is>
      </c>
      <c r="G16" s="153" t="n">
        <v>13711.09</v>
      </c>
      <c r="H16" s="139" t="inlineStr">
        <is>
          <t>Sizwe Tshabalala</t>
        </is>
      </c>
      <c r="I16" s="139" t="inlineStr">
        <is>
          <t>Pending</t>
        </is>
      </c>
      <c r="J16" s="139">
        <f>IFERROR(VLOOKUP(D16, '06.05.2026'!D:J, 7, FALSE), "")</f>
        <v/>
      </c>
      <c r="K16" s="140" t="inlineStr">
        <is>
          <t>MAJAX-2 630 c/w 0,75KW 4P 380V (Qty: 1)</t>
        </is>
      </c>
      <c r="L16" s="138">
        <f>B16</f>
        <v/>
      </c>
    </row>
    <row r="17">
      <c r="A17" s="138" t="n">
        <v>46142</v>
      </c>
      <c r="B17" s="138" t="n">
        <v>46171</v>
      </c>
      <c r="C17" s="139" t="inlineStr">
        <is>
          <t>Pending</t>
        </is>
      </c>
      <c r="D17" s="139" t="inlineStr">
        <is>
          <t>SO4553</t>
        </is>
      </c>
      <c r="E17" s="140" t="inlineStr">
        <is>
          <t>FMTA4519</t>
        </is>
      </c>
      <c r="F17" s="140" t="inlineStr">
        <is>
          <t>ST AIR SERVICES AND MAINTENANCE (PTY) LTD</t>
        </is>
      </c>
      <c r="G17" s="153" t="n">
        <v>426010.6</v>
      </c>
      <c r="H17" s="139" t="inlineStr">
        <is>
          <t>Simon Mokgola</t>
        </is>
      </c>
      <c r="I17" s="139" t="inlineStr">
        <is>
          <t>Pending</t>
        </is>
      </c>
      <c r="J17" s="139">
        <f>IFERROR(VLOOKUP(D17, '06.05.2026'!D:J, 7, FALSE), "")</f>
        <v/>
      </c>
      <c r="K17" s="140" t="inlineStr">
        <is>
          <t>Mimosa Mall Office Park (Qty: 1)</t>
        </is>
      </c>
      <c r="L17" s="138">
        <f>B17</f>
        <v/>
      </c>
    </row>
    <row r="18">
      <c r="A18" s="138" t="n">
        <v>46142</v>
      </c>
      <c r="B18" s="138" t="n">
        <v>46171</v>
      </c>
      <c r="C18" s="139" t="inlineStr">
        <is>
          <t>FM4036</t>
        </is>
      </c>
      <c r="D18" s="139" t="inlineStr">
        <is>
          <t>SO4555</t>
        </is>
      </c>
      <c r="E18" s="140" t="inlineStr">
        <is>
          <t>FM4035-FM4036</t>
        </is>
      </c>
      <c r="F18" s="140" t="inlineStr">
        <is>
          <t>Michmat Projects</t>
        </is>
      </c>
      <c r="G18" s="153" t="n">
        <v>310411</v>
      </c>
      <c r="H18" s="139" t="inlineStr">
        <is>
          <t>Mashudu - R.O.A</t>
        </is>
      </c>
      <c r="I18" s="139" t="inlineStr">
        <is>
          <t>Pending</t>
        </is>
      </c>
      <c r="J18" s="139">
        <f>IFERROR(VLOOKUP(D18, '06.05.2026'!D:J, 7, FALSE), "")</f>
        <v/>
      </c>
      <c r="K18" s="140" t="inlineStr">
        <is>
          <t>MFAJAX-3 1250 c/w 45,00KW 4P 380V (Qty: 3), 1250 Diam Counter Flange (Qty: 6), 1250 Diam Mounting Feet (Qty: 6), 630 to 1000 NDB GREEN Neoprene Floor Mounts (Qty: 12), MAJAX-3 560 c/w 5,50KW 2P 380V (Qty: 2), 560 Diam Counter Flange (Qty: 4), 560 Diam Mounting Feet (Qty: 4), 315 to 560 NDA RED ANeoprene Floor Mounts (Qty: 8)</t>
        </is>
      </c>
      <c r="L18" s="138">
        <f>B18</f>
        <v/>
      </c>
    </row>
    <row r="19">
      <c r="A19" s="138" t="n">
        <v>46142</v>
      </c>
      <c r="B19" s="138" t="n">
        <v>46171</v>
      </c>
      <c r="C19" s="139" t="inlineStr">
        <is>
          <t>Pending</t>
        </is>
      </c>
      <c r="D19" s="139" t="inlineStr">
        <is>
          <t>SO4557</t>
        </is>
      </c>
      <c r="E19" s="140" t="inlineStr">
        <is>
          <t>nan</t>
        </is>
      </c>
      <c r="F19" s="140" t="inlineStr">
        <is>
          <t>Vigeta Pty Ltd</t>
        </is>
      </c>
      <c r="G19" s="153" t="n">
        <v>204447</v>
      </c>
      <c r="H19" s="139" t="inlineStr">
        <is>
          <t>Simon Mokgola</t>
        </is>
      </c>
      <c r="I19" s="139" t="inlineStr">
        <is>
          <t>Pending</t>
        </is>
      </c>
      <c r="J19" s="139">
        <f>IFERROR(VLOOKUP(D19, '06.05.2026'!D:J, 7, FALSE), "")</f>
        <v/>
      </c>
      <c r="K19" s="140" t="inlineStr">
        <is>
          <t>630 Diam Vertical Discharge BASE c/w 2.2kW 4P 380V (Qty: 10)</t>
        </is>
      </c>
      <c r="L19" s="138">
        <f>B19</f>
        <v/>
      </c>
    </row>
    <row r="20">
      <c r="F20" s="146" t="inlineStr">
        <is>
          <t>Total Value (All):</t>
        </is>
      </c>
      <c r="G20" s="155">
        <f>SUM(G3:G19)</f>
        <v/>
      </c>
    </row>
    <row r="21"/>
    <row r="22">
      <c r="F22" s="148" t="inlineStr">
        <is>
          <t>BREAKDOWN</t>
        </is>
      </c>
    </row>
    <row r="23">
      <c r="F23" t="inlineStr">
        <is>
          <t>Cash Sale (May):</t>
        </is>
      </c>
      <c r="G23" s="156">
        <f>SUMIFS(G3:G19, J3:J19, "*CASH SALE*", L3:L19, "&gt;="&amp;EOMONTH(TODAY(),-1)+1, L3:L19, "&lt;="&amp;EOMONTH(TODAY(),0))</f>
        <v/>
      </c>
      <c r="I23" t="inlineStr">
        <is>
          <t>Cash Sale (June):</t>
        </is>
      </c>
      <c r="J23" s="156">
        <f>SUMIFS(G3:G19, J3:J19, "*CASH SALE*", L3:L19, "&gt;="&amp;EOMONTH(TODAY(),0)+1, L3:L19, "&lt;="&amp;EOMONTH(TODAY(),1))</f>
        <v/>
      </c>
    </row>
    <row r="24">
      <c r="F24" t="inlineStr">
        <is>
          <t>Account (May):</t>
        </is>
      </c>
      <c r="G24" s="156">
        <f>SUMIFS(G3:G19, J3:J19, "*ACCOUNT*", L3:L19, "&gt;="&amp;EOMONTH(TODAY(),-1)+1, L3:L19, "&lt;="&amp;EOMONTH(TODAY(),0))</f>
        <v/>
      </c>
      <c r="I24" t="inlineStr">
        <is>
          <t>Account (June):</t>
        </is>
      </c>
      <c r="J24" s="156">
        <f>SUMIFS(G3:G19, J3:J19, "*ACCOUNT*", L3:L19, "&gt;="&amp;EOMONTH(TODAY(),0)+1, L3:L19, "&lt;="&amp;EOMONTH(TODAY(),1))</f>
        <v/>
      </c>
    </row>
    <row r="25"/>
    <row r="26"/>
    <row r="27">
      <c r="A27" s="133" t="inlineStr">
        <is>
          <t>Date</t>
        </is>
      </c>
      <c r="B27" s="133" t="inlineStr">
        <is>
          <t>Delivery Date</t>
        </is>
      </c>
      <c r="C27" s="133" t="inlineStr">
        <is>
          <t>Job Number</t>
        </is>
      </c>
      <c r="D27" s="133" t="inlineStr">
        <is>
          <t>SO Number</t>
        </is>
      </c>
      <c r="E27" s="133" t="inlineStr">
        <is>
          <t>Customer Ref.</t>
        </is>
      </c>
      <c r="F27" s="133" t="inlineStr">
        <is>
          <t>Customer</t>
        </is>
      </c>
      <c r="G27" s="133" t="inlineStr">
        <is>
          <t>Total</t>
        </is>
      </c>
      <c r="H27" s="133" t="inlineStr">
        <is>
          <t>Sales Rep</t>
        </is>
      </c>
      <c r="I27" s="133" t="inlineStr">
        <is>
          <t>Status</t>
        </is>
      </c>
      <c r="J27" s="133" t="inlineStr">
        <is>
          <t>Payment Status</t>
        </is>
      </c>
      <c r="K27" s="133" t="inlineStr">
        <is>
          <t>Comments</t>
        </is>
      </c>
    </row>
    <row r="28">
      <c r="A28" s="150" t="n">
        <v>46136</v>
      </c>
      <c r="B28" s="150" t="n">
        <v>46149.49891068287</v>
      </c>
      <c r="C28" s="151" t="inlineStr">
        <is>
          <t>FM4017</t>
        </is>
      </c>
      <c r="D28" s="151" t="inlineStr">
        <is>
          <t>SO4546</t>
        </is>
      </c>
      <c r="E28" s="151" t="inlineStr">
        <is>
          <t>PO145956</t>
        </is>
      </c>
      <c r="F28" s="151" t="inlineStr">
        <is>
          <t>Howden Power a Div of Howden Africa (Pty) LTD</t>
        </is>
      </c>
      <c r="G28" s="154" t="n">
        <v>15437.6</v>
      </c>
      <c r="H28" s="151" t="inlineStr">
        <is>
          <t>Sizwe Tshabalala</t>
        </is>
      </c>
      <c r="I28" s="151" t="inlineStr">
        <is>
          <t>Ready-Dispatch</t>
        </is>
      </c>
      <c r="J28" s="151" t="inlineStr">
        <is>
          <t>ACCOUNT - UP TO DATE</t>
        </is>
      </c>
      <c r="K28" s="144" t="inlineStr">
        <is>
          <t>Client to collect 28/04/2026 - ST to advise</t>
        </is>
      </c>
    </row>
    <row r="29">
      <c r="A29" s="157" t="n">
        <v>46142</v>
      </c>
      <c r="B29" s="157" t="n">
        <v>46149.49891068287</v>
      </c>
      <c r="C29" s="158" t="inlineStr">
        <is>
          <t>Pending</t>
        </is>
      </c>
      <c r="D29" s="158" t="inlineStr">
        <is>
          <t>SO4556</t>
        </is>
      </c>
      <c r="E29" s="158" t="inlineStr">
        <is>
          <t>Constitutional Hill</t>
        </is>
      </c>
      <c r="F29" s="158" t="inlineStr">
        <is>
          <t>LJ Trading &amp; Projects (Pty) Ltd</t>
        </is>
      </c>
      <c r="G29" s="153" t="n">
        <v>554227.55</v>
      </c>
      <c r="H29" s="158" t="inlineStr">
        <is>
          <t>Simon Mokgola</t>
        </is>
      </c>
      <c r="I29" s="158" t="inlineStr">
        <is>
          <t>Pending</t>
        </is>
      </c>
      <c r="J29" s="158" t="inlineStr"/>
      <c r="K29" s="140" t="inlineStr"/>
      <c r="L29" s="159" t="n"/>
    </row>
    <row r="30">
      <c r="A30" s="150" t="n">
        <v>46142</v>
      </c>
      <c r="B30" s="150" t="n">
        <v>46149.49891068287</v>
      </c>
      <c r="C30" s="151" t="inlineStr">
        <is>
          <t>FM4031</t>
        </is>
      </c>
      <c r="D30" s="151" t="inlineStr">
        <is>
          <t>SO4565</t>
        </is>
      </c>
      <c r="E30" s="151" t="inlineStr">
        <is>
          <t>POAM26058144</t>
        </is>
      </c>
      <c r="F30" s="151" t="inlineStr">
        <is>
          <t>Allbro Industries (PTY) Ltd</t>
        </is>
      </c>
      <c r="G30" s="154" t="n">
        <v>19154.4</v>
      </c>
      <c r="H30" s="151" t="inlineStr">
        <is>
          <t>Sizwe Tshabalala</t>
        </is>
      </c>
      <c r="I30" s="151" t="inlineStr">
        <is>
          <t>In Progress</t>
        </is>
      </c>
      <c r="J30" s="151" t="inlineStr">
        <is>
          <t>CASH SALE - PAID</t>
        </is>
      </c>
      <c r="K30" s="144" t="inlineStr"/>
    </row>
    <row r="31">
      <c r="A31" s="150" t="n">
        <v>46146</v>
      </c>
      <c r="B31" s="150" t="n">
        <v>46149.49891068287</v>
      </c>
      <c r="C31" s="151" t="inlineStr">
        <is>
          <t>FM4025</t>
        </is>
      </c>
      <c r="D31" s="151" t="inlineStr">
        <is>
          <t>SO4559</t>
        </is>
      </c>
      <c r="E31" s="151" t="inlineStr">
        <is>
          <t>PO0000475</t>
        </is>
      </c>
      <c r="F31" s="151" t="inlineStr">
        <is>
          <t>Compu Cool (Pty) Ltd</t>
        </is>
      </c>
      <c r="G31" s="154" t="n">
        <v>11429.61</v>
      </c>
      <c r="H31" s="151" t="inlineStr">
        <is>
          <t>Mashudu Tshifularo</t>
        </is>
      </c>
      <c r="I31" s="151" t="inlineStr">
        <is>
          <t>In Progress</t>
        </is>
      </c>
      <c r="J31" s="151" t="inlineStr">
        <is>
          <t>ACCOUNT - UP TO DATE</t>
        </is>
      </c>
      <c r="K31" s="144" t="inlineStr"/>
    </row>
    <row r="32">
      <c r="F32" s="146" t="inlineStr">
        <is>
          <t>Due Today - Total:</t>
        </is>
      </c>
      <c r="G32" s="155">
        <f>SUM(G28:G31)</f>
        <v/>
      </c>
    </row>
    <row r="33"/>
    <row r="34">
      <c r="F34" s="146" t="inlineStr">
        <is>
          <t>Ready-Dispatch:</t>
        </is>
      </c>
      <c r="G34" s="155">
        <f>SUMIFS(G3:G19, I3:I19, "*Ready*Dispatch*")</f>
        <v/>
      </c>
    </row>
    <row r="37">
      <c r="A37" s="160" t="inlineStr">
        <is>
          <t>Recommended Print Range: A1:L39</t>
        </is>
      </c>
    </row>
    <row r="38">
      <c r="A38" s="160" t="inlineStr">
        <is>
          <t>Suggested Date for Next Update: 08.05.2026</t>
        </is>
      </c>
    </row>
  </sheetData>
  <pageMargins left="0.25" right="0.25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2026-04-02T05:29:00Z</dcterms:created>
  <dcterms:modified xsi:type="dcterms:W3CDTF">2026-05-07T09:58:28Z</dcterms:modified>
  <cp:lastModifiedBy>Tebello Lelosa</cp:lastModifiedBy>
  <cp:lastPrinted>2026-05-06T07:42:31Z</cp:lastPrinted>
</cp:coreProperties>
</file>