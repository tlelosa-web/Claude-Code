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1. Daily Sales Order Files/2_Source_Data/"/>
    </mc:Choice>
  </mc:AlternateContent>
  <xr:revisionPtr revIDLastSave="1" documentId="8_{F2A5418F-F981-4FC1-97E7-A6C90A751518}" xr6:coauthVersionLast="47" xr6:coauthVersionMax="47" xr10:uidLastSave="{2F9CD8EE-1C20-418A-86E8-51138512DADF}"/>
  <bookViews>
    <workbookView xWindow="-108" yWindow="-108" windowWidth="23256" windowHeight="12456" xr2:uid="{10612400-0267-4F6F-A461-77978F30B336}"/>
  </bookViews>
  <sheets>
    <sheet name="Monthly INV - 06.2026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5" i="1"/>
  <c r="F3" i="1" l="1"/>
  <c r="F4" i="1"/>
  <c r="F10" i="1"/>
  <c r="F9" i="1"/>
  <c r="F11" i="1" s="1"/>
  <c r="C13" i="1" s="1"/>
  <c r="E13" i="1" s="1"/>
  <c r="F5" i="1" l="1"/>
  <c r="C7" i="1" s="1"/>
  <c r="E7" i="1" s="1"/>
</calcChain>
</file>

<file path=xl/sharedStrings.xml><?xml version="1.0" encoding="utf-8"?>
<sst xmlns="http://schemas.openxmlformats.org/spreadsheetml/2006/main" count="21" uniqueCount="12">
  <si>
    <t>Invoicing</t>
  </si>
  <si>
    <t>Current Month:</t>
  </si>
  <si>
    <t>Cash Sale Invoiced</t>
  </si>
  <si>
    <t>Cash Sale Invoice OS</t>
  </si>
  <si>
    <t>Account Invoiced</t>
  </si>
  <si>
    <t>Account Invoice OS</t>
  </si>
  <si>
    <t>Total Excl VAT.</t>
  </si>
  <si>
    <t>GRAND TOTAL:</t>
  </si>
  <si>
    <t>Excl. VAT</t>
  </si>
  <si>
    <t>Incl. VAT</t>
  </si>
  <si>
    <t>JULY:</t>
  </si>
  <si>
    <t>Total Excl.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</si>
</sst>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44" fontId="0" fillId="0" borderId="0" xfId="0" applyNumberFormat="1"/>
    <xf numFmtId="0" fontId="1" fillId="0" borderId="1" xfId="0" applyFont="1" applyBorder="1"/>
    <xf numFmtId="0" fontId="1" fillId="0" borderId="2" xfId="0" applyFont="1" applyBorder="1"/>
    <xf numFmtId="44" fontId="0" fillId="0" borderId="2" xfId="0" applyNumberFormat="1" applyBorder="1"/>
    <xf numFmtId="0" fontId="0" fillId="0" borderId="2" xfId="0" applyBorder="1"/>
    <xf numFmtId="44" fontId="0" fillId="0" borderId="3" xfId="0" applyNumberFormat="1" applyBorder="1"/>
    <xf numFmtId="0" fontId="0" fillId="0" borderId="4" xfId="0" applyBorder="1"/>
    <xf numFmtId="0" fontId="1" fillId="0" borderId="0" xfId="0" applyFont="1"/>
    <xf numFmtId="44" fontId="0" fillId="0" borderId="5" xfId="0" applyNumberFormat="1" applyBorder="1"/>
    <xf numFmtId="0" fontId="3" fillId="0" borderId="0" xfId="0" applyFont="1"/>
    <xf numFmtId="44" fontId="0" fillId="2" borderId="6" xfId="0" applyNumberFormat="1" applyFill="1" applyBorder="1"/>
    <xf numFmtId="0" fontId="0" fillId="0" borderId="7" xfId="0" applyBorder="1"/>
    <xf numFmtId="0" fontId="3" fillId="0" borderId="8" xfId="0" applyFont="1" applyBorder="1"/>
    <xf numFmtId="44" fontId="1" fillId="2" borderId="6" xfId="0" applyNumberFormat="1" applyFont="1" applyFill="1" applyBorder="1"/>
    <xf numFmtId="0" fontId="0" fillId="0" borderId="8" xfId="0" applyBorder="1"/>
    <xf numFmtId="4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zinzi_xhallie_fanmovement_co_za/Documents/Sales/Sales%20Contracts%20&amp;%20Register/Production%20Forecast/Sales%20Order%20Report%20-%2006.2026.xlsx" TargetMode="External"/><Relationship Id="rId2" Type="http://schemas.openxmlformats.org/officeDocument/2006/relationships/externalLinkPath" Target="https://fanmovement-my.sharepoint.com/personal/zinzi_xhallie_fanmovement_co_za/Documents/Sales/Sales%20Contracts%20&amp;%20Register/Production%20Forecast/Sales%20Order%20Report%20-%2006.2026.xlsx" TargetMode="External"/><Relationship Id="rId1" Type="http://schemas.openxmlformats.org/officeDocument/2006/relationships/externalLinkPath" Target="/personal/zinzi_xhallie_fanmovement_co_za/Documents/Sales/Sales%20Contracts%20&amp;%20Register/Production%20Forecast/Sales%20Order%20Report%20-%2006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9.05.2026"/>
      <sheetName val="01.06.2026"/>
      <sheetName val="02.06.2026"/>
      <sheetName val="Monthly INV - 06.26"/>
    </sheetNames>
    <sheetDataSet>
      <sheetData sheetId="0">
        <row r="26">
          <cell r="J26">
            <v>0</v>
          </cell>
        </row>
      </sheetData>
      <sheetData sheetId="1" refreshError="1"/>
      <sheetData sheetId="2">
        <row r="27">
          <cell r="G27">
            <v>449072.51</v>
          </cell>
        </row>
        <row r="28">
          <cell r="G28">
            <v>946533.54999999993</v>
          </cell>
          <cell r="J28">
            <v>31962.639999999999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D22E-3146-444B-91D3-E20CD9E3D9AE}">
  <dimension ref="A1:F13"/>
  <sheetViews>
    <sheetView tabSelected="1" workbookViewId="0">
      <selection activeCell="I11" sqref="I11"/>
    </sheetView>
  </sheetViews>
  <sheetFormatPr defaultRowHeight="14.4" x14ac:dyDescent="0.3"/>
  <cols>
    <col min="1" max="1" width="14.21875" bestFit="1" customWidth="1"/>
    <col min="2" max="2" width="16.6640625" bestFit="1" customWidth="1"/>
    <col min="3" max="3" width="14" style="2" bestFit="1" customWidth="1"/>
    <col min="4" max="4" width="8.44140625" bestFit="1" customWidth="1"/>
    <col min="5" max="5" width="18.44140625" bestFit="1" customWidth="1"/>
    <col min="6" max="6" width="14" style="2" bestFit="1" customWidth="1"/>
  </cols>
  <sheetData>
    <row r="1" spans="1:6" ht="15.6" x14ac:dyDescent="0.3">
      <c r="A1" s="1" t="s">
        <v>0</v>
      </c>
    </row>
    <row r="3" spans="1:6" x14ac:dyDescent="0.3">
      <c r="A3" s="3" t="s">
        <v>1</v>
      </c>
      <c r="B3" s="4" t="s">
        <v>2</v>
      </c>
      <c r="C3" s="5">
        <v>3202</v>
      </c>
      <c r="D3" s="6"/>
      <c r="E3" s="4" t="s">
        <v>3</v>
      </c>
      <c r="F3" s="7">
        <f>'[1]02.06.2026'!G27</f>
        <v>449072.51</v>
      </c>
    </row>
    <row r="4" spans="1:6" x14ac:dyDescent="0.3">
      <c r="A4" s="8"/>
      <c r="B4" s="9" t="s">
        <v>4</v>
      </c>
      <c r="C4" s="2">
        <v>0</v>
      </c>
      <c r="E4" s="9" t="s">
        <v>5</v>
      </c>
      <c r="F4" s="10">
        <f>'[1]02.06.2026'!G28</f>
        <v>946533.54999999993</v>
      </c>
    </row>
    <row r="5" spans="1:6" x14ac:dyDescent="0.3">
      <c r="A5" s="8"/>
      <c r="B5" s="11" t="s">
        <v>6</v>
      </c>
      <c r="C5" s="12">
        <f>SUM(C3:C4)</f>
        <v>3202</v>
      </c>
      <c r="E5" s="11" t="s">
        <v>6</v>
      </c>
      <c r="F5" s="12">
        <f>SUM(F3:F4)</f>
        <v>1395606.06</v>
      </c>
    </row>
    <row r="6" spans="1:6" x14ac:dyDescent="0.3">
      <c r="A6" s="8"/>
      <c r="F6" s="10"/>
    </row>
    <row r="7" spans="1:6" x14ac:dyDescent="0.3">
      <c r="A7" s="13"/>
      <c r="B7" s="14" t="s">
        <v>7</v>
      </c>
      <c r="C7" s="15">
        <f>C5+F5</f>
        <v>1398808.06</v>
      </c>
      <c r="D7" s="16" t="s">
        <v>8</v>
      </c>
      <c r="E7" s="15">
        <f>C7*1.15</f>
        <v>1608629.2689999999</v>
      </c>
      <c r="F7" s="17" t="s">
        <v>9</v>
      </c>
    </row>
    <row r="9" spans="1:6" x14ac:dyDescent="0.3">
      <c r="A9" s="3" t="s">
        <v>10</v>
      </c>
      <c r="B9" s="4" t="s">
        <v>2</v>
      </c>
      <c r="C9" s="5">
        <v>0</v>
      </c>
      <c r="D9" s="6"/>
      <c r="E9" s="4" t="s">
        <v>3</v>
      </c>
      <c r="F9" s="7">
        <f>'[1]29.05.2026'!J26</f>
        <v>0</v>
      </c>
    </row>
    <row r="10" spans="1:6" x14ac:dyDescent="0.3">
      <c r="A10" s="8"/>
      <c r="B10" s="9" t="s">
        <v>4</v>
      </c>
      <c r="C10" s="2">
        <v>0</v>
      </c>
      <c r="E10" s="9" t="s">
        <v>5</v>
      </c>
      <c r="F10" s="10">
        <f>'[1]02.06.2026'!J28</f>
        <v>31962.639999999999</v>
      </c>
    </row>
    <row r="11" spans="1:6" x14ac:dyDescent="0.3">
      <c r="A11" s="8"/>
      <c r="B11" s="11" t="s">
        <v>11</v>
      </c>
      <c r="C11" s="12">
        <f>SUM(C9:C10)</f>
        <v>0</v>
      </c>
      <c r="E11" s="11" t="s">
        <v>11</v>
      </c>
      <c r="F11" s="12">
        <f>SUM(F9:F10)</f>
        <v>31962.639999999999</v>
      </c>
    </row>
    <row r="12" spans="1:6" x14ac:dyDescent="0.3">
      <c r="A12" s="8"/>
      <c r="F12" s="10"/>
    </row>
    <row r="13" spans="1:6" x14ac:dyDescent="0.3">
      <c r="A13" s="13"/>
      <c r="B13" s="14" t="s">
        <v>7</v>
      </c>
      <c r="C13" s="15">
        <f>C11+F11</f>
        <v>31962.639999999999</v>
      </c>
      <c r="D13" s="16" t="s">
        <v>8</v>
      </c>
      <c r="E13" s="15">
        <f>C13*1.15</f>
        <v>36757.036</v>
      </c>
      <c r="F13" s="17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INV - 06.2026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2026-06-02T09:20:45Z</dcterms:created>
  <dcterms:modified xsi:type="dcterms:W3CDTF">2026-06-02T10:25:49Z</dcterms:modified>
</cp:coreProperties>
</file>