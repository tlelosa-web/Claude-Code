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ovement Summary" sheetId="1" state="visible" r:id="rId1"/>
    <sheet name="Order Summary" sheetId="2" state="visible" r:id="rId2"/>
  </sheets>
  <definedNames>
    <definedName name="_xlnm.Print_Titles" localSheetId="0">'Item Movement Summary'!$1:$1</definedName>
    <definedName name="_xlnm.Print_Titles" localSheetId="1">'Order Summary'!$1:$1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temMovementSummary" displayName="ItemMovementSummary" ref="A1:Q1555" headerRowCount="1" totalsRowCount="1">
  <autoFilter ref="A1:Q1555"/>
  <tableColumns count="17">
    <tableColumn id="1" name="Item Code"/>
    <tableColumn id="2" name="Description"/>
    <tableColumn id="3" name="Category"/>
    <tableColumn id="4" name="Period (month(s))"/>
    <tableColumn id="5" name="Total QTY Purchased"/>
    <tableColumn id="6" name="Supplier"/>
    <tableColumn id="7" name="Cost"/>
    <tableColumn id="8" name="Total QTY Sold"/>
    <tableColumn id="9" name="Lead Time (months)"/>
    <tableColumn id="10" name="AMU"/>
    <tableColumn id="11" name="Min" totalsRowFunction="sum"/>
    <tableColumn id="12" name="Current Stock"/>
    <tableColumn id="13" name="On Order"/>
    <tableColumn id="14" name="Max" totalsRowFunction="sum"/>
    <tableColumn id="15" name="Stock Value" totalsRowFunction="sum"/>
    <tableColumn id="16" name="Re-Order Qty" totalsRowFunction="sum"/>
    <tableColumn id="17" name="Re-Order Value" totalsRowFunction="sum"/>
  </tableColumns>
  <tableStyleInfo name="TableStyleLight9" showRowStripes="1"/>
</table>
</file>

<file path=xl/tables/table2.xml><?xml version="1.0" encoding="utf-8"?>
<table xmlns="http://schemas.openxmlformats.org/spreadsheetml/2006/main" id="2" name="OrderSummary" displayName="OrderSummary" ref="A1:M1555" headerRowCount="1" totalsRowCount="1">
  <autoFilter ref="A1:M1555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Period (month(s))</t>
        </is>
      </c>
      <c r="E1" t="inlineStr">
        <is>
          <t>Total QTY Purchased</t>
        </is>
      </c>
      <c r="F1" t="inlineStr">
        <is>
          <t>Supplier</t>
        </is>
      </c>
      <c r="G1" t="inlineStr">
        <is>
          <t>Cost</t>
        </is>
      </c>
      <c r="H1" t="inlineStr">
        <is>
          <t>Total QTY Sold</t>
        </is>
      </c>
      <c r="I1" t="inlineStr">
        <is>
          <t>Lead Time (months)</t>
        </is>
      </c>
      <c r="J1" t="inlineStr">
        <is>
          <t>AMU</t>
        </is>
      </c>
      <c r="K1" t="inlineStr">
        <is>
          <t>Min</t>
        </is>
      </c>
      <c r="L1" t="inlineStr">
        <is>
          <t>Current Stock</t>
        </is>
      </c>
      <c r="M1" t="inlineStr">
        <is>
          <t>On Order</t>
        </is>
      </c>
      <c r="N1" t="inlineStr">
        <is>
          <t>Max</t>
        </is>
      </c>
      <c r="O1" t="inlineStr">
        <is>
          <t>Stock Value</t>
        </is>
      </c>
      <c r="P1" t="inlineStr">
        <is>
          <t>Re-Order Qty</t>
        </is>
      </c>
      <c r="Q1" t="inlineStr">
        <is>
          <t>Re-Order Value</t>
        </is>
      </c>
    </row>
    <row r="2">
      <c r="A2" t="inlineStr">
        <is>
          <t>-GLF12.5-S</t>
        </is>
      </c>
      <c r="B2" t="inlineStr">
        <is>
          <t>Galvanised Industrial Extractor Fan+ Grill &amp; Louvers 1380sq, 380V,1.1kw, 440rpm, 44000m3/hr</t>
        </is>
      </c>
      <c r="C2" t="inlineStr"/>
      <c r="D2" t="n">
        <v>1</v>
      </c>
      <c r="E2" t="n">
        <v>1</v>
      </c>
      <c r="F2" t="inlineStr">
        <is>
          <t>AF Fans CC</t>
        </is>
      </c>
      <c r="G2" s="1" t="n">
        <v>6515.6</v>
      </c>
      <c r="H2" t="n">
        <v>0</v>
      </c>
      <c r="I2" t="n">
        <v>0.5</v>
      </c>
      <c r="J2" t="n">
        <v>1</v>
      </c>
      <c r="K2" t="n">
        <v>1</v>
      </c>
      <c r="L2" t="n">
        <v>0</v>
      </c>
      <c r="M2" t="n">
        <v>0</v>
      </c>
      <c r="N2" t="n">
        <v>2</v>
      </c>
      <c r="O2" s="1">
        <f>IFERROR(L2*G2,0)</f>
        <v/>
      </c>
      <c r="P2">
        <f>IF(N2-L2-M2&gt;0,N2-L2-M2,0)</f>
        <v/>
      </c>
      <c r="Q2" s="1">
        <f>IFERROR(P2*G2,0)</f>
        <v/>
      </c>
    </row>
    <row r="3">
      <c r="A3" t="inlineStr">
        <is>
          <t>.30 Duct</t>
        </is>
      </c>
      <c r="B3" t="inlineStr">
        <is>
          <t>300mm Diameter-10 meter Long</t>
        </is>
      </c>
      <c r="C3" t="inlineStr">
        <is>
          <t>DUCT</t>
        </is>
      </c>
      <c r="D3" t="n">
        <v>2</v>
      </c>
      <c r="E3" t="n">
        <v>5</v>
      </c>
      <c r="F3" t="inlineStr">
        <is>
          <t>Luft Industries Natal (Pty) Ltd</t>
        </is>
      </c>
      <c r="G3" s="1" t="n">
        <v>1500</v>
      </c>
      <c r="H3" t="n">
        <v>5</v>
      </c>
      <c r="I3" t="n">
        <v>0.5</v>
      </c>
      <c r="J3" t="n">
        <v>2.5</v>
      </c>
      <c r="K3" t="n">
        <v>1</v>
      </c>
      <c r="L3" t="n">
        <v>0</v>
      </c>
      <c r="M3" t="n">
        <v>0</v>
      </c>
      <c r="N3" t="n">
        <v>6</v>
      </c>
      <c r="O3" s="1">
        <f>IFERROR(L3*G3,0)</f>
        <v/>
      </c>
      <c r="P3">
        <f>IF(N3-L3-M3&gt;0,N3-L3-M3,0)</f>
        <v/>
      </c>
      <c r="Q3" s="1">
        <f>IFERROR(P3*G3,0)</f>
        <v/>
      </c>
    </row>
    <row r="4">
      <c r="A4" t="inlineStr">
        <is>
          <t>0.2543PM</t>
        </is>
      </c>
      <c r="B4" t="inlineStr">
        <is>
          <t>0.25kW 4P 380V Pad Mount Motor</t>
        </is>
      </c>
      <c r="C4" t="inlineStr">
        <is>
          <t>FM - MOTOR</t>
        </is>
      </c>
      <c r="D4" t="n">
        <v>19</v>
      </c>
      <c r="E4" t="n">
        <v>29</v>
      </c>
      <c r="F4" t="inlineStr">
        <is>
          <t>ACTOM</t>
        </is>
      </c>
      <c r="G4" s="1" t="n">
        <v>1149.38</v>
      </c>
      <c r="H4" t="n">
        <v>0</v>
      </c>
      <c r="I4" t="n">
        <v>1</v>
      </c>
      <c r="J4" t="n">
        <v>2</v>
      </c>
      <c r="K4" t="n">
        <v>2</v>
      </c>
      <c r="L4" t="n">
        <v>0</v>
      </c>
      <c r="M4" t="n">
        <v>6</v>
      </c>
      <c r="N4" t="n">
        <v>6</v>
      </c>
      <c r="O4" s="1">
        <f>IFERROR(L4*G4,0)</f>
        <v/>
      </c>
      <c r="P4">
        <f>IF(N4-L4-M4&gt;0,N4-L4-M4,0)</f>
        <v/>
      </c>
      <c r="Q4" s="1">
        <f>IFERROR(P4*G4,0)</f>
        <v/>
      </c>
    </row>
    <row r="5">
      <c r="A5" t="inlineStr">
        <is>
          <t>0.3723PM</t>
        </is>
      </c>
      <c r="B5" t="inlineStr">
        <is>
          <t>0.37kW 2P 380V Pad Mount Motor</t>
        </is>
      </c>
      <c r="C5" t="inlineStr">
        <is>
          <t>FM - MOTOR</t>
        </is>
      </c>
      <c r="D5" t="n">
        <v>20</v>
      </c>
      <c r="E5" t="n">
        <v>55</v>
      </c>
      <c r="F5" t="inlineStr">
        <is>
          <t>ACTOM</t>
        </is>
      </c>
      <c r="G5" s="1" t="n">
        <v>1207.65</v>
      </c>
      <c r="H5" t="n">
        <v>0</v>
      </c>
      <c r="I5" t="n">
        <v>0.7</v>
      </c>
      <c r="J5" t="n">
        <v>3</v>
      </c>
      <c r="K5" t="n">
        <v>2</v>
      </c>
      <c r="L5" t="n">
        <v>0</v>
      </c>
      <c r="M5" t="n">
        <v>0</v>
      </c>
      <c r="N5" t="n">
        <v>8</v>
      </c>
      <c r="O5" s="1">
        <f>IFERROR(L5*G5,0)</f>
        <v/>
      </c>
      <c r="P5">
        <f>IF(N5-L5-M5&gt;0,N5-L5-M5,0)</f>
        <v/>
      </c>
      <c r="Q5" s="1">
        <f>IFERROR(P5*G5,0)</f>
        <v/>
      </c>
    </row>
    <row r="6">
      <c r="A6" t="inlineStr">
        <is>
          <t>0.3741PM</t>
        </is>
      </c>
      <c r="B6" t="inlineStr">
        <is>
          <t>0.37KW 4P 220V Pad Mount Motor</t>
        </is>
      </c>
      <c r="C6" t="inlineStr">
        <is>
          <t>MOTORS</t>
        </is>
      </c>
      <c r="D6" t="n">
        <v>3</v>
      </c>
      <c r="E6" t="n">
        <v>3</v>
      </c>
      <c r="F6" t="inlineStr">
        <is>
          <t>WEG South Africa</t>
        </is>
      </c>
      <c r="G6" s="1" t="n">
        <v>1430</v>
      </c>
      <c r="H6" t="n">
        <v>2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3</v>
      </c>
      <c r="O6" s="1">
        <f>IFERROR(L6*G6,0)</f>
        <v/>
      </c>
      <c r="P6">
        <f>IF(N6-L6-M6&gt;0,N6-L6-M6,0)</f>
        <v/>
      </c>
      <c r="Q6" s="1">
        <f>IFERROR(P6*G6,0)</f>
        <v/>
      </c>
    </row>
    <row r="7">
      <c r="A7" t="inlineStr">
        <is>
          <t>0.3743PM</t>
        </is>
      </c>
      <c r="B7" t="inlineStr">
        <is>
          <t>0.37kW 4P 380V Pad Mount Motor</t>
        </is>
      </c>
      <c r="C7" t="inlineStr">
        <is>
          <t>FM - MOTOR</t>
        </is>
      </c>
      <c r="D7" t="n">
        <v>19</v>
      </c>
      <c r="E7" t="n">
        <v>44</v>
      </c>
      <c r="F7" t="inlineStr">
        <is>
          <t>ACTOM</t>
        </is>
      </c>
      <c r="G7" s="1" t="n">
        <v>1251.89</v>
      </c>
      <c r="H7" t="n">
        <v>0</v>
      </c>
      <c r="I7" t="n">
        <v>0.8</v>
      </c>
      <c r="J7" t="n">
        <v>2.5</v>
      </c>
      <c r="K7" t="n">
        <v>2</v>
      </c>
      <c r="L7" t="n">
        <v>0</v>
      </c>
      <c r="M7" t="n">
        <v>10</v>
      </c>
      <c r="N7" t="n">
        <v>7</v>
      </c>
      <c r="O7" s="1">
        <f>IFERROR(L7*G7,0)</f>
        <v/>
      </c>
      <c r="P7">
        <f>IF(N7-L7-M7&gt;0,N7-L7-M7,0)</f>
        <v/>
      </c>
      <c r="Q7" s="1">
        <f>IFERROR(P7*G7,0)</f>
        <v/>
      </c>
    </row>
    <row r="8">
      <c r="A8" t="inlineStr">
        <is>
          <t>0.5523PM</t>
        </is>
      </c>
      <c r="B8" t="inlineStr">
        <is>
          <t>0.55kW 2P 380V Pad Mount Motor</t>
        </is>
      </c>
      <c r="C8" t="inlineStr">
        <is>
          <t>FM - MOTOR</t>
        </is>
      </c>
      <c r="D8" t="n">
        <v>20</v>
      </c>
      <c r="E8" t="n">
        <v>52</v>
      </c>
      <c r="F8" t="inlineStr">
        <is>
          <t>ACTOM</t>
        </is>
      </c>
      <c r="G8" s="1" t="n">
        <v>1304.81</v>
      </c>
      <c r="H8" t="n">
        <v>2</v>
      </c>
      <c r="I8" t="n">
        <v>0.9</v>
      </c>
      <c r="J8" t="n">
        <v>3</v>
      </c>
      <c r="K8" t="n">
        <v>3</v>
      </c>
      <c r="L8" t="n">
        <v>0</v>
      </c>
      <c r="M8" t="n">
        <v>10</v>
      </c>
      <c r="N8" t="n">
        <v>9</v>
      </c>
      <c r="O8" s="1">
        <f>IFERROR(L8*G8,0)</f>
        <v/>
      </c>
      <c r="P8">
        <f>IF(N8-L8-M8&gt;0,N8-L8-M8,0)</f>
        <v/>
      </c>
      <c r="Q8" s="1">
        <f>IFERROR(P8*G8,0)</f>
        <v/>
      </c>
    </row>
    <row r="9">
      <c r="A9" t="inlineStr">
        <is>
          <t>0.552P</t>
        </is>
      </c>
      <c r="B9" t="inlineStr">
        <is>
          <t>0.55Kw 2P 380V Pad Motor</t>
        </is>
      </c>
      <c r="C9" t="inlineStr"/>
      <c r="D9" t="n">
        <v>1</v>
      </c>
      <c r="E9" t="n">
        <v>1</v>
      </c>
      <c r="F9" t="inlineStr">
        <is>
          <t>ACTOM</t>
        </is>
      </c>
      <c r="G9" s="1" t="n">
        <v>1359</v>
      </c>
      <c r="H9" t="n">
        <v>0</v>
      </c>
      <c r="I9" t="n">
        <v>0.8</v>
      </c>
      <c r="J9" t="n">
        <v>1</v>
      </c>
      <c r="K9" t="n">
        <v>1</v>
      </c>
      <c r="L9" t="n">
        <v>0</v>
      </c>
      <c r="M9" t="n">
        <v>0</v>
      </c>
      <c r="N9" t="n">
        <v>3</v>
      </c>
      <c r="O9" s="1">
        <f>IFERROR(L9*G9,0)</f>
        <v/>
      </c>
      <c r="P9">
        <f>IF(N9-L9-M9&gt;0,N9-L9-M9,0)</f>
        <v/>
      </c>
      <c r="Q9" s="1">
        <f>IFERROR(P9*G9,0)</f>
        <v/>
      </c>
    </row>
    <row r="10">
      <c r="A10" t="inlineStr">
        <is>
          <t>0.5541PM</t>
        </is>
      </c>
      <c r="B10" t="inlineStr">
        <is>
          <t>0.55KW 4P 220V Pad Mount Motor</t>
        </is>
      </c>
      <c r="C10" t="inlineStr">
        <is>
          <t>MOTORS</t>
        </is>
      </c>
      <c r="D10" t="n">
        <v>1</v>
      </c>
      <c r="E10" t="n">
        <v>1</v>
      </c>
      <c r="F10" t="inlineStr">
        <is>
          <t>ASKARI ELECTRIC (PTY) LTD</t>
        </is>
      </c>
      <c r="G10" s="1" t="n">
        <v>1480</v>
      </c>
      <c r="H10" t="n">
        <v>0</v>
      </c>
      <c r="I10" t="n">
        <v>0.5</v>
      </c>
      <c r="J10" t="n">
        <v>1</v>
      </c>
      <c r="K10" t="n">
        <v>1</v>
      </c>
      <c r="L10" t="n">
        <v>0</v>
      </c>
      <c r="M10" t="n">
        <v>0</v>
      </c>
      <c r="N10" t="n">
        <v>2</v>
      </c>
      <c r="O10" s="1">
        <f>IFERROR(L10*G10,0)</f>
        <v/>
      </c>
      <c r="P10">
        <f>IF(N10-L10-M10&gt;0,N10-L10-M10,0)</f>
        <v/>
      </c>
      <c r="Q10" s="1">
        <f>IFERROR(P10*G10,0)</f>
        <v/>
      </c>
    </row>
    <row r="11">
      <c r="A11" t="inlineStr">
        <is>
          <t>0.5543PM</t>
        </is>
      </c>
      <c r="B11" t="inlineStr">
        <is>
          <t>0.55kW 4P 380V Pad Mount Motor</t>
        </is>
      </c>
      <c r="C11" t="inlineStr">
        <is>
          <t>FM - MOTOR</t>
        </is>
      </c>
      <c r="D11" t="n">
        <v>20</v>
      </c>
      <c r="E11" t="n">
        <v>70</v>
      </c>
      <c r="F11" t="inlineStr">
        <is>
          <t>ACTOM</t>
        </is>
      </c>
      <c r="G11" s="1" t="n">
        <v>1539.27</v>
      </c>
      <c r="H11" t="n">
        <v>0</v>
      </c>
      <c r="I11" t="n">
        <v>0.7</v>
      </c>
      <c r="J11" t="n">
        <v>3.5</v>
      </c>
      <c r="K11" t="n">
        <v>2</v>
      </c>
      <c r="L11" t="n">
        <v>0</v>
      </c>
      <c r="M11" t="n">
        <v>0</v>
      </c>
      <c r="N11" t="n">
        <v>9</v>
      </c>
      <c r="O11" s="1">
        <f>IFERROR(L11*G11,0)</f>
        <v/>
      </c>
      <c r="P11">
        <f>IF(N11-L11-M11&gt;0,N11-L11-M11,0)</f>
        <v/>
      </c>
      <c r="Q11" s="1">
        <f>IFERROR(P11*G11,0)</f>
        <v/>
      </c>
    </row>
    <row r="12">
      <c r="A12" t="inlineStr">
        <is>
          <t>0.7523PM</t>
        </is>
      </c>
      <c r="B12" t="inlineStr">
        <is>
          <t>0.75kW 2P 380V Pad Mount Motor</t>
        </is>
      </c>
      <c r="C12" t="inlineStr">
        <is>
          <t>FM - MOTOR</t>
        </is>
      </c>
      <c r="D12" t="n">
        <v>19</v>
      </c>
      <c r="E12" t="n">
        <v>22</v>
      </c>
      <c r="F12" t="inlineStr">
        <is>
          <t>ACTOM</t>
        </is>
      </c>
      <c r="G12" s="1" t="n">
        <v>1590.52</v>
      </c>
      <c r="H12" t="n">
        <v>1</v>
      </c>
      <c r="I12" t="n">
        <v>0.7</v>
      </c>
      <c r="J12" t="n">
        <v>1.5</v>
      </c>
      <c r="K12" t="n">
        <v>1</v>
      </c>
      <c r="L12" t="n">
        <v>0</v>
      </c>
      <c r="M12" t="n">
        <v>2</v>
      </c>
      <c r="N12" t="n">
        <v>4</v>
      </c>
      <c r="O12" s="1">
        <f>IFERROR(L12*G12,0)</f>
        <v/>
      </c>
      <c r="P12">
        <f>IF(N12-L12-M12&gt;0,N12-L12-M12,0)</f>
        <v/>
      </c>
      <c r="Q12" s="1">
        <f>IFERROR(P12*G12,0)</f>
        <v/>
      </c>
    </row>
    <row r="13">
      <c r="A13" t="inlineStr">
        <is>
          <t>0.752P</t>
        </is>
      </c>
      <c r="B13" t="inlineStr">
        <is>
          <t>0.75Kw 2Pole 380V Pad Mount</t>
        </is>
      </c>
      <c r="C13" t="inlineStr"/>
      <c r="D13" t="n">
        <v>1</v>
      </c>
      <c r="E13" t="n">
        <v>3</v>
      </c>
      <c r="F13" t="inlineStr">
        <is>
          <t>ACTOM</t>
        </is>
      </c>
      <c r="G13" s="1" t="n">
        <v>1591</v>
      </c>
      <c r="H13" t="n">
        <v>0</v>
      </c>
      <c r="I13" t="n">
        <v>1.2</v>
      </c>
      <c r="J13" t="n">
        <v>3</v>
      </c>
      <c r="K13" t="n">
        <v>4</v>
      </c>
      <c r="L13" t="n">
        <v>0</v>
      </c>
      <c r="M13" t="n">
        <v>0</v>
      </c>
      <c r="N13" t="n">
        <v>10</v>
      </c>
      <c r="O13" s="1">
        <f>IFERROR(L13*G13,0)</f>
        <v/>
      </c>
      <c r="P13">
        <f>IF(N13-L13-M13&gt;0,N13-L13-M13,0)</f>
        <v/>
      </c>
      <c r="Q13" s="1">
        <f>IFERROR(P13*G13,0)</f>
        <v/>
      </c>
    </row>
    <row r="14">
      <c r="A14" t="inlineStr">
        <is>
          <t>0.7541FM</t>
        </is>
      </c>
      <c r="B14" t="inlineStr">
        <is>
          <t>0.75Kw 220v Foot Mount</t>
        </is>
      </c>
      <c r="C14" t="inlineStr"/>
      <c r="D14" t="n">
        <v>1</v>
      </c>
      <c r="E14" t="n">
        <v>1</v>
      </c>
      <c r="F14" t="inlineStr">
        <is>
          <t>ACTOM</t>
        </is>
      </c>
      <c r="G14" s="1" t="n">
        <v>1880</v>
      </c>
      <c r="H14" t="n">
        <v>0</v>
      </c>
      <c r="I14" t="n">
        <v>1.4</v>
      </c>
      <c r="J14" t="n">
        <v>1</v>
      </c>
      <c r="K14" t="n">
        <v>1</v>
      </c>
      <c r="L14" t="n">
        <v>0</v>
      </c>
      <c r="M14" t="n">
        <v>0</v>
      </c>
      <c r="N14" t="n">
        <v>3</v>
      </c>
      <c r="O14" s="1">
        <f>IFERROR(L14*G14,0)</f>
        <v/>
      </c>
      <c r="P14">
        <f>IF(N14-L14-M14&gt;0,N14-L14-M14,0)</f>
        <v/>
      </c>
      <c r="Q14" s="1">
        <f>IFERROR(P14*G14,0)</f>
        <v/>
      </c>
    </row>
    <row r="15">
      <c r="A15" t="inlineStr">
        <is>
          <t>0.7541PM</t>
        </is>
      </c>
      <c r="B15" t="inlineStr">
        <is>
          <t>0.75Kw 220v Pad Mount</t>
        </is>
      </c>
      <c r="C15" t="inlineStr"/>
      <c r="D15" t="n">
        <v>1</v>
      </c>
      <c r="E15" t="n">
        <v>1</v>
      </c>
      <c r="F15" t="inlineStr">
        <is>
          <t>ASKARI ELECTRIC (PTY) LTD</t>
        </is>
      </c>
      <c r="G15" s="1" t="n">
        <v>1630</v>
      </c>
      <c r="H15" t="n">
        <v>0</v>
      </c>
      <c r="I15" t="n">
        <v>0.5</v>
      </c>
      <c r="J15" t="n">
        <v>1</v>
      </c>
      <c r="K15" t="n">
        <v>1</v>
      </c>
      <c r="L15" t="n">
        <v>0</v>
      </c>
      <c r="M15" t="n">
        <v>0</v>
      </c>
      <c r="N15" t="n">
        <v>2</v>
      </c>
      <c r="O15" s="1">
        <f>IFERROR(L15*G15,0)</f>
        <v/>
      </c>
      <c r="P15">
        <f>IF(N15-L15-M15&gt;0,N15-L15-M15,0)</f>
        <v/>
      </c>
      <c r="Q15" s="1">
        <f>IFERROR(P15*G15,0)</f>
        <v/>
      </c>
    </row>
    <row r="16">
      <c r="A16" t="inlineStr">
        <is>
          <t>0.7543PM</t>
        </is>
      </c>
      <c r="B16" t="inlineStr">
        <is>
          <t>0.75kW 4P 380V Pad Mount Motor</t>
        </is>
      </c>
      <c r="C16" t="inlineStr">
        <is>
          <t>FM - MOTOR</t>
        </is>
      </c>
      <c r="D16" t="n">
        <v>21</v>
      </c>
      <c r="E16" t="n">
        <v>54</v>
      </c>
      <c r="F16" t="inlineStr">
        <is>
          <t>ACTOM</t>
        </is>
      </c>
      <c r="G16" s="1" t="n">
        <v>1445.96</v>
      </c>
      <c r="H16" t="n">
        <v>1</v>
      </c>
      <c r="I16" t="n">
        <v>1.1</v>
      </c>
      <c r="J16" t="n">
        <v>3</v>
      </c>
      <c r="K16" t="n">
        <v>3</v>
      </c>
      <c r="L16" t="n">
        <v>0</v>
      </c>
      <c r="M16" t="n">
        <v>6</v>
      </c>
      <c r="N16" t="n">
        <v>9</v>
      </c>
      <c r="O16" s="1">
        <f>IFERROR(L16*G16,0)</f>
        <v/>
      </c>
      <c r="P16">
        <f>IF(N16-L16-M16&gt;0,N16-L16-M16,0)</f>
        <v/>
      </c>
      <c r="Q16" s="1">
        <f>IFERROR(P16*G16,0)</f>
        <v/>
      </c>
    </row>
    <row r="17">
      <c r="A17" t="inlineStr">
        <is>
          <t>0.7563PM</t>
        </is>
      </c>
      <c r="B17" t="inlineStr">
        <is>
          <t>0.75kW 6P 380V Pad Mount Motor</t>
        </is>
      </c>
      <c r="C17" t="inlineStr"/>
      <c r="D17" t="n">
        <v>1</v>
      </c>
      <c r="E17" t="n">
        <v>1</v>
      </c>
      <c r="F17" t="inlineStr">
        <is>
          <t>ACTOM</t>
        </is>
      </c>
      <c r="G17" s="1" t="n">
        <v>1834</v>
      </c>
      <c r="H17" t="n">
        <v>0</v>
      </c>
      <c r="I17" t="n">
        <v>1.8</v>
      </c>
      <c r="J17" t="n">
        <v>1</v>
      </c>
      <c r="K17" t="n">
        <v>2</v>
      </c>
      <c r="L17" t="n">
        <v>0</v>
      </c>
      <c r="M17" t="n">
        <v>0</v>
      </c>
      <c r="N17" t="n">
        <v>4</v>
      </c>
      <c r="O17" s="1">
        <f>IFERROR(L17*G17,0)</f>
        <v/>
      </c>
      <c r="P17">
        <f>IF(N17-L17-M17&gt;0,N17-L17-M17,0)</f>
        <v/>
      </c>
      <c r="Q17" s="1">
        <f>IFERROR(P17*G17,0)</f>
        <v/>
      </c>
    </row>
    <row r="18">
      <c r="A18" t="inlineStr">
        <is>
          <t>0.75kW VSD</t>
        </is>
      </c>
      <c r="B18" t="inlineStr">
        <is>
          <t>Variable Speed Controller</t>
        </is>
      </c>
      <c r="C18" t="inlineStr"/>
      <c r="D18" t="n">
        <v>10</v>
      </c>
      <c r="E18" t="n">
        <v>5</v>
      </c>
      <c r="F18" t="inlineStr">
        <is>
          <t>Drive Dynamics (Pty) Ltd</t>
        </is>
      </c>
      <c r="G18" s="1" t="n">
        <v>2710</v>
      </c>
      <c r="H18" t="n">
        <v>8</v>
      </c>
      <c r="I18" t="n">
        <v>0.6</v>
      </c>
      <c r="J18" t="n">
        <v>1</v>
      </c>
      <c r="K18" t="n">
        <v>1</v>
      </c>
      <c r="L18" t="n">
        <v>0</v>
      </c>
      <c r="M18" t="n">
        <v>1</v>
      </c>
      <c r="N18" t="n">
        <v>3</v>
      </c>
      <c r="O18" s="1">
        <f>IFERROR(L18*G18,0)</f>
        <v/>
      </c>
      <c r="P18">
        <f>IF(N18-L18-M18&gt;0,N18-L18-M18,0)</f>
        <v/>
      </c>
      <c r="Q18" s="1">
        <f>IFERROR(P18*G18,0)</f>
        <v/>
      </c>
    </row>
    <row r="19">
      <c r="A19" t="inlineStr">
        <is>
          <t>0010</t>
        </is>
      </c>
      <c r="B19" t="inlineStr">
        <is>
          <t>SPARE MOTOR - TIRACAMINO - Vortice Spare Motor for Tiracamino 0.12kW 4P 230V</t>
        </is>
      </c>
      <c r="C19" t="inlineStr"/>
      <c r="D19" t="n">
        <v>10</v>
      </c>
      <c r="E19" t="n">
        <v>0</v>
      </c>
      <c r="F19" t="inlineStr"/>
      <c r="G19" s="1" t="n">
        <v>0</v>
      </c>
      <c r="H19" t="n">
        <v>21</v>
      </c>
      <c r="I19" t="n">
        <v>0.5</v>
      </c>
      <c r="J19" t="n">
        <v>2.5</v>
      </c>
      <c r="K19" t="n">
        <v>1</v>
      </c>
      <c r="L19" t="n">
        <v>0</v>
      </c>
      <c r="M19" t="n">
        <v>0</v>
      </c>
      <c r="N19" t="n">
        <v>6</v>
      </c>
      <c r="O19" s="1">
        <f>IFERROR(L19*G19,0)</f>
        <v/>
      </c>
      <c r="P19">
        <f>IF(N19-L19-M19&gt;0,N19-L19-M19,0)</f>
        <v/>
      </c>
      <c r="Q19" s="1">
        <f>IFERROR(P19*G19,0)</f>
        <v/>
      </c>
    </row>
    <row r="20">
      <c r="A20" t="inlineStr">
        <is>
          <t>009</t>
        </is>
      </c>
      <c r="B20" t="inlineStr">
        <is>
          <t>HVF/75N c/w 0.24kW 750mm 220V</t>
        </is>
      </c>
      <c r="C20" t="inlineStr"/>
      <c r="D20" t="n">
        <v>1</v>
      </c>
      <c r="E20" t="n">
        <v>0</v>
      </c>
      <c r="F20" t="inlineStr"/>
      <c r="G20" s="1" t="n">
        <v>0</v>
      </c>
      <c r="H20" t="n">
        <v>20</v>
      </c>
      <c r="I20" t="n">
        <v>0.5</v>
      </c>
      <c r="J20" t="n">
        <v>20</v>
      </c>
      <c r="K20" t="n">
        <v>10</v>
      </c>
      <c r="L20" t="n">
        <v>0</v>
      </c>
      <c r="M20" t="n">
        <v>0</v>
      </c>
      <c r="N20" t="n">
        <v>50</v>
      </c>
      <c r="O20" s="1">
        <f>IFERROR(L20*G20,0)</f>
        <v/>
      </c>
      <c r="P20">
        <f>IF(N20-L20-M20&gt;0,N20-L20-M20,0)</f>
        <v/>
      </c>
      <c r="Q20" s="1">
        <f>IFERROR(P20*G20,0)</f>
        <v/>
      </c>
    </row>
    <row r="21">
      <c r="A21" t="inlineStr">
        <is>
          <t>02880</t>
        </is>
      </c>
      <c r="B21" t="inlineStr">
        <is>
          <t>PRA LOCKNUT BRASS No 0 &amp; 1 - M20</t>
        </is>
      </c>
      <c r="C21" t="inlineStr"/>
      <c r="D21" t="n">
        <v>4</v>
      </c>
      <c r="E21" t="n">
        <v>3</v>
      </c>
      <c r="F21" t="inlineStr">
        <is>
          <t>Pratley (Pty) Ltd</t>
        </is>
      </c>
      <c r="G21" s="1" t="n">
        <v>4276.18</v>
      </c>
      <c r="H21" t="n">
        <v>0</v>
      </c>
      <c r="I21" t="n">
        <v>0.5</v>
      </c>
      <c r="J21" t="n">
        <v>1</v>
      </c>
      <c r="K21" t="n">
        <v>1</v>
      </c>
      <c r="L21" t="n">
        <v>0</v>
      </c>
      <c r="M21" t="n">
        <v>0</v>
      </c>
      <c r="N21" t="n">
        <v>2</v>
      </c>
      <c r="O21" s="1">
        <f>IFERROR(L21*G21,0)</f>
        <v/>
      </c>
      <c r="P21">
        <f>IF(N21-L21-M21&gt;0,N21-L21-M21,0)</f>
        <v/>
      </c>
      <c r="Q21" s="1">
        <f>IFERROR(P21*G21,0)</f>
        <v/>
      </c>
    </row>
    <row r="22">
      <c r="A22" t="inlineStr">
        <is>
          <t>053575</t>
        </is>
      </c>
      <c r="B22" t="inlineStr">
        <is>
          <t>AFROX PICKELING PASTE AOX 1LT</t>
        </is>
      </c>
      <c r="C22" t="inlineStr"/>
      <c r="D22" t="n">
        <v>1</v>
      </c>
      <c r="E22" t="n">
        <v>2</v>
      </c>
      <c r="F22" t="inlineStr">
        <is>
          <t>INTROWELD CC</t>
        </is>
      </c>
      <c r="G22" s="1" t="n">
        <v>520</v>
      </c>
      <c r="H22" t="n">
        <v>0</v>
      </c>
      <c r="I22" t="n">
        <v>0.5</v>
      </c>
      <c r="J22" t="n">
        <v>2</v>
      </c>
      <c r="K22" t="n">
        <v>1</v>
      </c>
      <c r="L22" t="n">
        <v>0</v>
      </c>
      <c r="M22" t="n">
        <v>0</v>
      </c>
      <c r="N22" t="n">
        <v>5</v>
      </c>
      <c r="O22" s="1">
        <f>IFERROR(L22*G22,0)</f>
        <v/>
      </c>
      <c r="P22">
        <f>IF(N22-L22-M22&gt;0,N22-L22-M22,0)</f>
        <v/>
      </c>
      <c r="Q22" s="1">
        <f>IFERROR(P22*G22,0)</f>
        <v/>
      </c>
    </row>
    <row r="23">
      <c r="A23" t="inlineStr">
        <is>
          <t>1 IP 65</t>
        </is>
      </c>
      <c r="B23" t="inlineStr">
        <is>
          <t>Change IP Rating - Motor Size 90Watts 2Pole 380V to IP 65</t>
        </is>
      </c>
      <c r="C23" t="inlineStr"/>
      <c r="D23" t="n">
        <v>6</v>
      </c>
      <c r="E23" t="n">
        <v>4</v>
      </c>
      <c r="F23" t="inlineStr">
        <is>
          <t>Luck and King</t>
        </is>
      </c>
      <c r="G23" s="1" t="n">
        <v>1004</v>
      </c>
      <c r="H23" t="n">
        <v>0</v>
      </c>
      <c r="I23" t="n">
        <v>0.5</v>
      </c>
      <c r="J23" t="n">
        <v>1</v>
      </c>
      <c r="K23" t="n">
        <v>1</v>
      </c>
      <c r="L23" t="n">
        <v>0</v>
      </c>
      <c r="M23" t="n">
        <v>0</v>
      </c>
      <c r="N23" t="n">
        <v>2</v>
      </c>
      <c r="O23" s="1">
        <f>IFERROR(L23*G23,0)</f>
        <v/>
      </c>
      <c r="P23">
        <f>IF(N23-L23-M23&gt;0,N23-L23-M23,0)</f>
        <v/>
      </c>
      <c r="Q23" s="1">
        <f>IFERROR(P23*G23,0)</f>
        <v/>
      </c>
    </row>
    <row r="24">
      <c r="A24" t="inlineStr">
        <is>
          <t>1.1.2Pad</t>
        </is>
      </c>
      <c r="B24" t="inlineStr">
        <is>
          <t>1.1Kw 2P 380V Pad Mount Motor</t>
        </is>
      </c>
      <c r="C24" t="inlineStr"/>
      <c r="D24" t="n">
        <v>21</v>
      </c>
      <c r="E24" t="n">
        <v>12</v>
      </c>
      <c r="F24" t="inlineStr">
        <is>
          <t>ACTOM</t>
        </is>
      </c>
      <c r="G24" s="1" t="n">
        <v>1768.63</v>
      </c>
      <c r="H24" t="n">
        <v>1</v>
      </c>
      <c r="I24" t="n">
        <v>0.9</v>
      </c>
      <c r="J24" t="n">
        <v>1</v>
      </c>
      <c r="K24" t="n">
        <v>1</v>
      </c>
      <c r="L24" t="n">
        <v>0</v>
      </c>
      <c r="M24" t="n">
        <v>0</v>
      </c>
      <c r="N24" t="n">
        <v>3</v>
      </c>
      <c r="O24" s="1">
        <f>IFERROR(L24*G24,0)</f>
        <v/>
      </c>
      <c r="P24">
        <f>IF(N24-L24-M24&gt;0,N24-L24-M24,0)</f>
        <v/>
      </c>
      <c r="Q24" s="1">
        <f>IFERROR(P24*G24,0)</f>
        <v/>
      </c>
    </row>
    <row r="25">
      <c r="A25" t="inlineStr">
        <is>
          <t>1.123PM</t>
        </is>
      </c>
      <c r="B25" t="inlineStr">
        <is>
          <t>1.1kW 2P 380V Pad Mount Motor</t>
        </is>
      </c>
      <c r="C25" t="inlineStr">
        <is>
          <t>FM - MOTOR</t>
        </is>
      </c>
      <c r="D25" t="n">
        <v>19</v>
      </c>
      <c r="E25" t="n">
        <v>22</v>
      </c>
      <c r="F25" t="inlineStr">
        <is>
          <t>ACTOM</t>
        </is>
      </c>
      <c r="G25" s="1" t="n">
        <v>1726.71</v>
      </c>
      <c r="H25" t="n">
        <v>0</v>
      </c>
      <c r="I25" t="n">
        <v>0.9</v>
      </c>
      <c r="J25" t="n">
        <v>1.5</v>
      </c>
      <c r="K25" t="n">
        <v>1</v>
      </c>
      <c r="L25" t="n">
        <v>0</v>
      </c>
      <c r="M25" t="n">
        <v>8</v>
      </c>
      <c r="N25" t="n">
        <v>4</v>
      </c>
      <c r="O25" s="1">
        <f>IFERROR(L25*G25,0)</f>
        <v/>
      </c>
      <c r="P25">
        <f>IF(N25-L25-M25&gt;0,N25-L25-M25,0)</f>
        <v/>
      </c>
      <c r="Q25" s="1">
        <f>IFERROR(P25*G25,0)</f>
        <v/>
      </c>
    </row>
    <row r="26">
      <c r="A26" t="inlineStr">
        <is>
          <t>1.141PM</t>
        </is>
      </c>
      <c r="B26" t="inlineStr">
        <is>
          <t>1.1kW 4P 220V Pad Mount Motor</t>
        </is>
      </c>
      <c r="C26" t="inlineStr"/>
      <c r="D26" t="n">
        <v>1</v>
      </c>
      <c r="E26" t="n">
        <v>1</v>
      </c>
      <c r="F26" t="inlineStr">
        <is>
          <t>ASKARI ELECTRIC (PTY) LTD</t>
        </is>
      </c>
      <c r="G26" s="1" t="n">
        <v>2276</v>
      </c>
      <c r="H26" t="n">
        <v>0</v>
      </c>
      <c r="I26" t="n">
        <v>0.9</v>
      </c>
      <c r="J26" t="n">
        <v>1</v>
      </c>
      <c r="K26" t="n">
        <v>1</v>
      </c>
      <c r="L26" t="n">
        <v>0</v>
      </c>
      <c r="M26" t="n">
        <v>0</v>
      </c>
      <c r="N26" t="n">
        <v>3</v>
      </c>
      <c r="O26" s="1">
        <f>IFERROR(L26*G26,0)</f>
        <v/>
      </c>
      <c r="P26">
        <f>IF(N26-L26-M26&gt;0,N26-L26-M26,0)</f>
        <v/>
      </c>
      <c r="Q26" s="1">
        <f>IFERROR(P26*G26,0)</f>
        <v/>
      </c>
    </row>
    <row r="27">
      <c r="A27" t="inlineStr">
        <is>
          <t>1.143FM</t>
        </is>
      </c>
      <c r="B27" t="inlineStr">
        <is>
          <t>1.1kW 4P 400V B3 QL3</t>
        </is>
      </c>
      <c r="C27" t="inlineStr"/>
      <c r="D27" t="n">
        <v>14</v>
      </c>
      <c r="E27" t="n">
        <v>5</v>
      </c>
      <c r="F27" t="inlineStr">
        <is>
          <t>ACTOM</t>
        </is>
      </c>
      <c r="G27" s="1" t="n">
        <v>1864</v>
      </c>
      <c r="H27" t="n">
        <v>0</v>
      </c>
      <c r="I27" t="n">
        <v>0.5</v>
      </c>
      <c r="J27" t="n">
        <v>1</v>
      </c>
      <c r="K27" t="n">
        <v>1</v>
      </c>
      <c r="L27" t="n">
        <v>0</v>
      </c>
      <c r="M27" t="n">
        <v>0</v>
      </c>
      <c r="N27" t="n">
        <v>2</v>
      </c>
      <c r="O27" s="1">
        <f>IFERROR(L27*G27,0)</f>
        <v/>
      </c>
      <c r="P27">
        <f>IF(N27-L27-M27&gt;0,N27-L27-M27,0)</f>
        <v/>
      </c>
      <c r="Q27" s="1">
        <f>IFERROR(P27*G27,0)</f>
        <v/>
      </c>
    </row>
    <row r="28">
      <c r="A28" t="inlineStr">
        <is>
          <t>1.143PM</t>
        </is>
      </c>
      <c r="B28" t="inlineStr">
        <is>
          <t>1.1kW 4P 380V Pad Mount Motor</t>
        </is>
      </c>
      <c r="C28" t="inlineStr">
        <is>
          <t>FM - MOTOR</t>
        </is>
      </c>
      <c r="D28" t="n">
        <v>21</v>
      </c>
      <c r="E28" t="n">
        <v>73</v>
      </c>
      <c r="F28" t="inlineStr">
        <is>
          <t>ACTOM</t>
        </is>
      </c>
      <c r="G28" s="1" t="n">
        <v>1751.92</v>
      </c>
      <c r="H28" t="n">
        <v>0</v>
      </c>
      <c r="I28" t="n">
        <v>0.7</v>
      </c>
      <c r="J28" t="n">
        <v>3.5</v>
      </c>
      <c r="K28" t="n">
        <v>2</v>
      </c>
      <c r="L28" t="n">
        <v>0</v>
      </c>
      <c r="M28" t="n">
        <v>15</v>
      </c>
      <c r="N28" t="n">
        <v>9</v>
      </c>
      <c r="O28" s="1">
        <f>IFERROR(L28*G28,0)</f>
        <v/>
      </c>
      <c r="P28">
        <f>IF(N28-L28-M28&gt;0,N28-L28-M28,0)</f>
        <v/>
      </c>
      <c r="Q28" s="1">
        <f>IFERROR(P28*G28,0)</f>
        <v/>
      </c>
    </row>
    <row r="29">
      <c r="A29" t="inlineStr">
        <is>
          <t>1.163PM</t>
        </is>
      </c>
      <c r="B29" t="inlineStr">
        <is>
          <t>1.1kW 6P 380V Pad Mount Motor</t>
        </is>
      </c>
      <c r="C29" t="inlineStr"/>
      <c r="D29" t="n">
        <v>1</v>
      </c>
      <c r="E29" t="n">
        <v>2</v>
      </c>
      <c r="F29" t="inlineStr">
        <is>
          <t>WEG South Africa</t>
        </is>
      </c>
      <c r="G29" s="1" t="n">
        <v>2430</v>
      </c>
      <c r="H29" t="n">
        <v>0</v>
      </c>
      <c r="I29" t="n">
        <v>0.5</v>
      </c>
      <c r="J29" t="n">
        <v>2</v>
      </c>
      <c r="K29" t="n">
        <v>1</v>
      </c>
      <c r="L29" t="n">
        <v>0</v>
      </c>
      <c r="M29" t="n">
        <v>0</v>
      </c>
      <c r="N29" t="n">
        <v>5</v>
      </c>
      <c r="O29" s="1">
        <f>IFERROR(L29*G29,0)</f>
        <v/>
      </c>
      <c r="P29">
        <f>IF(N29-L29-M29&gt;0,N29-L29-M29,0)</f>
        <v/>
      </c>
      <c r="Q29" s="1">
        <f>IFERROR(P29*G29,0)</f>
        <v/>
      </c>
    </row>
    <row r="30">
      <c r="A30" t="inlineStr">
        <is>
          <t>1.523PM</t>
        </is>
      </c>
      <c r="B30" t="inlineStr">
        <is>
          <t>1.5kW 2P 380V Pad Mount Motor</t>
        </is>
      </c>
      <c r="C30" t="inlineStr">
        <is>
          <t>FM - MOTOR</t>
        </is>
      </c>
      <c r="D30" t="n">
        <v>20</v>
      </c>
      <c r="E30" t="n">
        <v>19</v>
      </c>
      <c r="F30" t="inlineStr">
        <is>
          <t>ACTOM</t>
        </is>
      </c>
      <c r="G30" s="1" t="n">
        <v>1902.15</v>
      </c>
      <c r="H30" t="n">
        <v>0</v>
      </c>
      <c r="I30" t="n">
        <v>1.1</v>
      </c>
      <c r="J30" t="n">
        <v>1</v>
      </c>
      <c r="K30" t="n">
        <v>1</v>
      </c>
      <c r="L30" t="n">
        <v>0</v>
      </c>
      <c r="M30" t="n">
        <v>5</v>
      </c>
      <c r="N30" t="n">
        <v>3</v>
      </c>
      <c r="O30" s="1">
        <f>IFERROR(L30*G30,0)</f>
        <v/>
      </c>
      <c r="P30">
        <f>IF(N30-L30-M30&gt;0,N30-L30-M30,0)</f>
        <v/>
      </c>
      <c r="Q30" s="1">
        <f>IFERROR(P30*G30,0)</f>
        <v/>
      </c>
    </row>
    <row r="31">
      <c r="A31" t="inlineStr">
        <is>
          <t>1.543PM</t>
        </is>
      </c>
      <c r="B31" t="inlineStr">
        <is>
          <t>1.5kW 4P 380V Pad Mount Motor</t>
        </is>
      </c>
      <c r="C31" t="inlineStr">
        <is>
          <t>FM - MOTOR</t>
        </is>
      </c>
      <c r="D31" t="n">
        <v>21</v>
      </c>
      <c r="E31" t="n">
        <v>53</v>
      </c>
      <c r="F31" t="inlineStr">
        <is>
          <t>ACTOM</t>
        </is>
      </c>
      <c r="G31" s="1" t="n">
        <v>2747.74</v>
      </c>
      <c r="H31" t="n">
        <v>0</v>
      </c>
      <c r="I31" t="n">
        <v>0.9</v>
      </c>
      <c r="J31" t="n">
        <v>3</v>
      </c>
      <c r="K31" t="n">
        <v>3</v>
      </c>
      <c r="L31" t="n">
        <v>0</v>
      </c>
      <c r="M31" t="n">
        <v>15</v>
      </c>
      <c r="N31" t="n">
        <v>9</v>
      </c>
      <c r="O31" s="1">
        <f>IFERROR(L31*G31,0)</f>
        <v/>
      </c>
      <c r="P31">
        <f>IF(N31-L31-M31&gt;0,N31-L31-M31,0)</f>
        <v/>
      </c>
      <c r="Q31" s="1">
        <f>IFERROR(P31*G31,0)</f>
        <v/>
      </c>
    </row>
    <row r="32">
      <c r="A32" t="inlineStr">
        <is>
          <t>1.563PM</t>
        </is>
      </c>
      <c r="B32" t="inlineStr">
        <is>
          <t>1.5kW 6P 380V Pad Mount Motor</t>
        </is>
      </c>
      <c r="C32" t="inlineStr"/>
      <c r="D32" t="n">
        <v>1</v>
      </c>
      <c r="E32" t="n">
        <v>10</v>
      </c>
      <c r="F32" t="inlineStr">
        <is>
          <t>ACTOM</t>
        </is>
      </c>
      <c r="G32" s="1" t="n">
        <v>2681</v>
      </c>
      <c r="H32" t="n">
        <v>0</v>
      </c>
      <c r="I32" t="n">
        <v>1.4</v>
      </c>
      <c r="J32" t="n">
        <v>10</v>
      </c>
      <c r="K32" t="n">
        <v>14</v>
      </c>
      <c r="L32" t="n">
        <v>0</v>
      </c>
      <c r="M32" t="n">
        <v>0</v>
      </c>
      <c r="N32" t="n">
        <v>34</v>
      </c>
      <c r="O32" s="1">
        <f>IFERROR(L32*G32,0)</f>
        <v/>
      </c>
      <c r="P32">
        <f>IF(N32-L32-M32&gt;0,N32-L32-M32,0)</f>
        <v/>
      </c>
      <c r="Q32" s="1">
        <f>IFERROR(P32*G32,0)</f>
        <v/>
      </c>
    </row>
    <row r="33">
      <c r="A33" t="inlineStr">
        <is>
          <t>1.583PM</t>
        </is>
      </c>
      <c r="B33" t="inlineStr">
        <is>
          <t>1.5KW 8P 380V Pad Mount Motor</t>
        </is>
      </c>
      <c r="C33" t="inlineStr"/>
      <c r="D33" t="n">
        <v>1</v>
      </c>
      <c r="E33" t="n">
        <v>1</v>
      </c>
      <c r="F33" t="inlineStr">
        <is>
          <t>Bearing Man Group</t>
        </is>
      </c>
      <c r="G33" s="1" t="n">
        <v>2853.04</v>
      </c>
      <c r="H33" t="n">
        <v>0</v>
      </c>
      <c r="I33" t="n">
        <v>0.5</v>
      </c>
      <c r="J33" t="n">
        <v>1</v>
      </c>
      <c r="K33" t="n">
        <v>1</v>
      </c>
      <c r="L33" t="n">
        <v>0</v>
      </c>
      <c r="M33" t="n">
        <v>0</v>
      </c>
      <c r="N33" t="n">
        <v>2</v>
      </c>
      <c r="O33" s="1">
        <f>IFERROR(L33*G33,0)</f>
        <v/>
      </c>
      <c r="P33">
        <f>IF(N33-L33-M33&gt;0,N33-L33-M33,0)</f>
        <v/>
      </c>
      <c r="Q33" s="1">
        <f>IFERROR(P33*G33,0)</f>
        <v/>
      </c>
    </row>
    <row r="34">
      <c r="A34" t="inlineStr">
        <is>
          <t>1.5kW VSD</t>
        </is>
      </c>
      <c r="B34" t="inlineStr">
        <is>
          <t>1.5kW Variable Speed Controller</t>
        </is>
      </c>
      <c r="C34" t="inlineStr">
        <is>
          <t>VSD</t>
        </is>
      </c>
      <c r="D34" t="n">
        <v>1</v>
      </c>
      <c r="E34" t="n">
        <v>0</v>
      </c>
      <c r="F34" t="inlineStr">
        <is>
          <t>AM SYSTEMS INTEGRATIONS (PTY) LTD</t>
        </is>
      </c>
      <c r="G34" s="1" t="n">
        <v>5996.25</v>
      </c>
      <c r="H34" t="n">
        <v>1</v>
      </c>
      <c r="I34" t="n">
        <v>0.9</v>
      </c>
      <c r="J34" t="n">
        <v>1</v>
      </c>
      <c r="K34" t="n">
        <v>1</v>
      </c>
      <c r="L34" t="n">
        <v>0</v>
      </c>
      <c r="M34" t="n">
        <v>1</v>
      </c>
      <c r="N34" t="n">
        <v>3</v>
      </c>
      <c r="O34" s="1">
        <f>IFERROR(L34*G34,0)</f>
        <v/>
      </c>
      <c r="P34">
        <f>IF(N34-L34-M34&gt;0,N34-L34-M34,0)</f>
        <v/>
      </c>
      <c r="Q34" s="1">
        <f>IFERROR(P34*G34,0)</f>
        <v/>
      </c>
    </row>
    <row r="35">
      <c r="A35" t="inlineStr">
        <is>
          <t>100/112 FR 27.8</t>
        </is>
      </c>
      <c r="B35" t="inlineStr">
        <is>
          <t>100/112 Motor Frame - 27.8 mm OD Spacer</t>
        </is>
      </c>
      <c r="C35" t="inlineStr"/>
      <c r="D35" t="n">
        <v>3</v>
      </c>
      <c r="E35" t="n">
        <v>37</v>
      </c>
      <c r="F35" t="inlineStr">
        <is>
          <t>Hulmak Engineering cc</t>
        </is>
      </c>
      <c r="G35" s="1" t="n">
        <v>30</v>
      </c>
      <c r="H35" t="n">
        <v>0</v>
      </c>
      <c r="I35" t="n">
        <v>0.5</v>
      </c>
      <c r="J35" t="n">
        <v>12.5</v>
      </c>
      <c r="K35" t="n">
        <v>6</v>
      </c>
      <c r="L35" t="n">
        <v>0</v>
      </c>
      <c r="M35" t="n">
        <v>0</v>
      </c>
      <c r="N35" t="n">
        <v>31</v>
      </c>
      <c r="O35" s="1">
        <f>IFERROR(L35*G35,0)</f>
        <v/>
      </c>
      <c r="P35">
        <f>IF(N35-L35-M35&gt;0,N35-L35-M35,0)</f>
        <v/>
      </c>
      <c r="Q35" s="1">
        <f>IFERROR(P35*G35,0)</f>
        <v/>
      </c>
    </row>
    <row r="36">
      <c r="A36" t="inlineStr">
        <is>
          <t>1000 HDG</t>
        </is>
      </c>
      <c r="B36" t="inlineStr">
        <is>
          <t>1000SC 1000mm Diam HDG Screen</t>
        </is>
      </c>
      <c r="C36" t="inlineStr"/>
      <c r="D36" t="n">
        <v>1</v>
      </c>
      <c r="E36" t="n">
        <v>2</v>
      </c>
      <c r="F36" t="inlineStr">
        <is>
          <t>Heinmor Wire Products CC</t>
        </is>
      </c>
      <c r="G36" s="1" t="n">
        <v>876</v>
      </c>
      <c r="H36" t="n">
        <v>2</v>
      </c>
      <c r="I36" t="n">
        <v>0.5</v>
      </c>
      <c r="J36" t="n">
        <v>2</v>
      </c>
      <c r="K36" t="n">
        <v>1</v>
      </c>
      <c r="L36" t="n">
        <v>0</v>
      </c>
      <c r="M36" t="n">
        <v>0</v>
      </c>
      <c r="N36" t="n">
        <v>5</v>
      </c>
      <c r="O36" s="1">
        <f>IFERROR(L36*G36,0)</f>
        <v/>
      </c>
      <c r="P36">
        <f>IF(N36-L36-M36&gt;0,N36-L36-M36,0)</f>
        <v/>
      </c>
      <c r="Q36" s="1">
        <f>IFERROR(P36*G36,0)</f>
        <v/>
      </c>
    </row>
    <row r="37">
      <c r="A37" t="inlineStr">
        <is>
          <t>1000 ICS</t>
        </is>
      </c>
      <c r="B37" t="inlineStr">
        <is>
          <t>Majax Inlet Cone &amp; Screen</t>
        </is>
      </c>
      <c r="C37" t="inlineStr"/>
      <c r="D37" t="n">
        <v>1</v>
      </c>
      <c r="E37" t="n">
        <v>0</v>
      </c>
      <c r="F37" t="inlineStr"/>
      <c r="G37" s="1" t="n">
        <v>0</v>
      </c>
      <c r="H37" t="n">
        <v>2</v>
      </c>
      <c r="I37" t="n">
        <v>0.5</v>
      </c>
      <c r="J37" t="n">
        <v>2</v>
      </c>
      <c r="K37" t="n">
        <v>1</v>
      </c>
      <c r="L37" t="n">
        <v>0</v>
      </c>
      <c r="M37" t="n">
        <v>0</v>
      </c>
      <c r="N37" t="n">
        <v>5</v>
      </c>
      <c r="O37" s="1">
        <f>IFERROR(L37*G37,0)</f>
        <v/>
      </c>
      <c r="P37">
        <f>IF(N37-L37-M37&gt;0,N37-L37-M37,0)</f>
        <v/>
      </c>
      <c r="Q37" s="1">
        <f>IFERROR(P37*G37,0)</f>
        <v/>
      </c>
    </row>
    <row r="38">
      <c r="A38" t="inlineStr">
        <is>
          <t>1000 SIL</t>
        </is>
      </c>
      <c r="B38" t="inlineStr">
        <is>
          <t>Inlet Silencer 1000 1.5D (1000mm Diameter to reduce noise on the dischargeside)</t>
        </is>
      </c>
      <c r="C38" t="inlineStr"/>
      <c r="D38" t="n">
        <v>1</v>
      </c>
      <c r="E38" t="n">
        <v>0</v>
      </c>
      <c r="F38" t="inlineStr"/>
      <c r="G38" s="1" t="n">
        <v>0</v>
      </c>
      <c r="H38" t="n">
        <v>1</v>
      </c>
      <c r="I38" t="n">
        <v>0.5</v>
      </c>
      <c r="J38" t="n">
        <v>1</v>
      </c>
      <c r="K38" t="n">
        <v>1</v>
      </c>
      <c r="L38" t="n">
        <v>0</v>
      </c>
      <c r="M38" t="n">
        <v>0</v>
      </c>
      <c r="N38" t="n">
        <v>2</v>
      </c>
      <c r="O38" s="1">
        <f>IFERROR(L38*G38,0)</f>
        <v/>
      </c>
      <c r="P38">
        <f>IF(N38-L38-M38&gt;0,N38-L38-M38,0)</f>
        <v/>
      </c>
      <c r="Q38" s="1">
        <f>IFERROR(P38*G38,0)</f>
        <v/>
      </c>
    </row>
    <row r="39">
      <c r="A39" t="inlineStr">
        <is>
          <t>1000 X 500 MM</t>
        </is>
      </c>
      <c r="B39" t="inlineStr">
        <is>
          <t>Sand Trap Air Louver</t>
        </is>
      </c>
      <c r="C39" t="inlineStr"/>
      <c r="D39" t="n">
        <v>1</v>
      </c>
      <c r="E39" t="n">
        <v>0</v>
      </c>
      <c r="F39" t="inlineStr"/>
      <c r="G39" s="1" t="n">
        <v>0</v>
      </c>
      <c r="H39" t="n">
        <v>2</v>
      </c>
      <c r="I39" t="n">
        <v>0.5</v>
      </c>
      <c r="J39" t="n">
        <v>2</v>
      </c>
      <c r="K39" t="n">
        <v>1</v>
      </c>
      <c r="L39" t="n">
        <v>0</v>
      </c>
      <c r="M39" t="n">
        <v>0</v>
      </c>
      <c r="N39" t="n">
        <v>5</v>
      </c>
      <c r="O39" s="1">
        <f>IFERROR(L39*G39,0)</f>
        <v/>
      </c>
      <c r="P39">
        <f>IF(N39-L39-M39&gt;0,N39-L39-M39,0)</f>
        <v/>
      </c>
      <c r="Q39" s="1">
        <f>IFERROR(P39*G39,0)</f>
        <v/>
      </c>
    </row>
    <row r="40">
      <c r="A40" t="inlineStr">
        <is>
          <t>10000000</t>
        </is>
      </c>
      <c r="B40" t="inlineStr">
        <is>
          <t>Impeller 0560mm 'B' 250A14PR19mm 080Frame</t>
        </is>
      </c>
      <c r="C40" t="inlineStr"/>
      <c r="D40" t="n">
        <v>1</v>
      </c>
      <c r="E40" t="n">
        <v>1</v>
      </c>
      <c r="F40" t="inlineStr">
        <is>
          <t>Luft Industries Natal (Pty) Ltd</t>
        </is>
      </c>
      <c r="G40" s="1" t="n">
        <v>1612</v>
      </c>
      <c r="H40" t="n">
        <v>0</v>
      </c>
      <c r="I40" t="n">
        <v>0.5</v>
      </c>
      <c r="J40" t="n">
        <v>1</v>
      </c>
      <c r="K40" t="n">
        <v>1</v>
      </c>
      <c r="L40" t="n">
        <v>0</v>
      </c>
      <c r="M40" t="n">
        <v>0</v>
      </c>
      <c r="N40" t="n">
        <v>2</v>
      </c>
      <c r="O40" s="1">
        <f>IFERROR(L40*G40,0)</f>
        <v/>
      </c>
      <c r="P40">
        <f>IF(N40-L40-M40&gt;0,N40-L40-M40,0)</f>
        <v/>
      </c>
      <c r="Q40" s="1">
        <f>IFERROR(P40*G40,0)</f>
        <v/>
      </c>
    </row>
    <row r="41">
      <c r="A41" t="inlineStr">
        <is>
          <t>1000002</t>
        </is>
      </c>
      <c r="B41" t="inlineStr">
        <is>
          <t>Monthly Retainer - March 2025</t>
        </is>
      </c>
      <c r="C41" t="inlineStr"/>
      <c r="D41" t="n">
        <v>6</v>
      </c>
      <c r="E41" t="n">
        <v>4</v>
      </c>
      <c r="F41" t="inlineStr">
        <is>
          <t>KOBILAN PILLAY AND ASSOCIATES</t>
        </is>
      </c>
      <c r="G41" s="1" t="n">
        <v>4000</v>
      </c>
      <c r="H41" t="n">
        <v>0</v>
      </c>
      <c r="I41" t="n">
        <v>0.5</v>
      </c>
      <c r="J41" t="n">
        <v>1</v>
      </c>
      <c r="K41" t="n">
        <v>1</v>
      </c>
      <c r="L41" t="n">
        <v>0</v>
      </c>
      <c r="M41" t="n">
        <v>0</v>
      </c>
      <c r="N41" t="n">
        <v>2</v>
      </c>
      <c r="O41" s="1">
        <f>IFERROR(L41*G41,0)</f>
        <v/>
      </c>
      <c r="P41">
        <f>IF(N41-L41-M41&gt;0,N41-L41-M41,0)</f>
        <v/>
      </c>
      <c r="Q41" s="1">
        <f>IFERROR(P41*G41,0)</f>
        <v/>
      </c>
    </row>
    <row r="42">
      <c r="A42" t="inlineStr">
        <is>
          <t>1000005</t>
        </is>
      </c>
      <c r="B42" t="inlineStr">
        <is>
          <t>TURBINA CMP 616 14 LG (Impeller for CMP616-2T-0.75 230/400V)</t>
        </is>
      </c>
      <c r="C42" t="inlineStr">
        <is>
          <t>FM - SODECA</t>
        </is>
      </c>
      <c r="D42" t="n">
        <v>27</v>
      </c>
      <c r="E42" t="n">
        <v>24</v>
      </c>
      <c r="F42" t="inlineStr">
        <is>
          <t>SODECA</t>
        </is>
      </c>
      <c r="G42" s="1" t="n">
        <v>1786.4</v>
      </c>
      <c r="H42" t="n">
        <v>25</v>
      </c>
      <c r="I42" t="n">
        <v>2.7</v>
      </c>
      <c r="J42" t="n">
        <v>1</v>
      </c>
      <c r="K42" t="n">
        <v>3</v>
      </c>
      <c r="L42" t="n">
        <v>0</v>
      </c>
      <c r="M42" t="n">
        <v>0</v>
      </c>
      <c r="N42" t="n">
        <v>5</v>
      </c>
      <c r="O42" s="1">
        <f>IFERROR(L42*G42,0)</f>
        <v/>
      </c>
      <c r="P42">
        <f>IF(N42-L42-M42&gt;0,N42-L42-M42,0)</f>
        <v/>
      </c>
      <c r="Q42" s="1">
        <f>IFERROR(P42*G42,0)</f>
        <v/>
      </c>
    </row>
    <row r="43">
      <c r="A43" t="inlineStr">
        <is>
          <t>1000012</t>
        </is>
      </c>
      <c r="B43" t="inlineStr">
        <is>
          <t>HCD 20 4M</t>
        </is>
      </c>
      <c r="C43" t="inlineStr">
        <is>
          <t>FM - SODECA</t>
        </is>
      </c>
      <c r="D43" t="n">
        <v>29</v>
      </c>
      <c r="E43" t="n">
        <v>8</v>
      </c>
      <c r="F43" t="inlineStr">
        <is>
          <t>SODECA</t>
        </is>
      </c>
      <c r="G43" s="1" t="n">
        <v>798.59</v>
      </c>
      <c r="H43" t="n">
        <v>17</v>
      </c>
      <c r="I43" t="n">
        <v>1.2</v>
      </c>
      <c r="J43" t="n">
        <v>1</v>
      </c>
      <c r="K43" t="n">
        <v>1</v>
      </c>
      <c r="L43" t="n">
        <v>0</v>
      </c>
      <c r="M43" t="n">
        <v>0</v>
      </c>
      <c r="N43" t="n">
        <v>3</v>
      </c>
      <c r="O43" s="1">
        <f>IFERROR(L43*G43,0)</f>
        <v/>
      </c>
      <c r="P43">
        <f>IF(N43-L43-M43&gt;0,N43-L43-M43,0)</f>
        <v/>
      </c>
      <c r="Q43" s="1">
        <f>IFERROR(P43*G43,0)</f>
        <v/>
      </c>
    </row>
    <row r="44">
      <c r="A44" t="inlineStr">
        <is>
          <t>1000013</t>
        </is>
      </c>
      <c r="B44" t="inlineStr">
        <is>
          <t>HCD 25 4M</t>
        </is>
      </c>
      <c r="C44" t="inlineStr">
        <is>
          <t>FM - SODECA</t>
        </is>
      </c>
      <c r="D44" t="n">
        <v>30</v>
      </c>
      <c r="E44" t="n">
        <v>2</v>
      </c>
      <c r="F44" t="inlineStr">
        <is>
          <t>SODECA</t>
        </is>
      </c>
      <c r="G44" s="1" t="n">
        <v>299.66</v>
      </c>
      <c r="H44" t="n">
        <v>12</v>
      </c>
      <c r="I44" t="n">
        <v>2.8</v>
      </c>
      <c r="J44" t="n">
        <v>1</v>
      </c>
      <c r="K44" t="n">
        <v>3</v>
      </c>
      <c r="L44" t="n">
        <v>0</v>
      </c>
      <c r="M44" t="n">
        <v>0</v>
      </c>
      <c r="N44" t="n">
        <v>5</v>
      </c>
      <c r="O44" s="1">
        <f>IFERROR(L44*G44,0)</f>
        <v/>
      </c>
      <c r="P44">
        <f>IF(N44-L44-M44&gt;0,N44-L44-M44,0)</f>
        <v/>
      </c>
      <c r="Q44" s="1">
        <f>IFERROR(P44*G44,0)</f>
        <v/>
      </c>
    </row>
    <row r="45">
      <c r="A45" t="inlineStr">
        <is>
          <t>1000013.</t>
        </is>
      </c>
      <c r="B45" t="inlineStr">
        <is>
          <t>HCD-30-4M 230V. 50/60Hz</t>
        </is>
      </c>
      <c r="C45" t="inlineStr"/>
      <c r="D45" t="n">
        <v>1</v>
      </c>
      <c r="E45" t="n">
        <v>8</v>
      </c>
      <c r="F45" t="inlineStr">
        <is>
          <t>SODECA</t>
        </is>
      </c>
      <c r="G45" s="1" t="n">
        <v>1635.63</v>
      </c>
      <c r="H45" t="n">
        <v>0</v>
      </c>
      <c r="I45" t="n">
        <v>2.1</v>
      </c>
      <c r="J45" t="n">
        <v>8</v>
      </c>
      <c r="K45" t="n">
        <v>17</v>
      </c>
      <c r="L45" t="n">
        <v>0</v>
      </c>
      <c r="M45" t="n">
        <v>0</v>
      </c>
      <c r="N45" t="n">
        <v>33</v>
      </c>
      <c r="O45" s="1">
        <f>IFERROR(L45*G45,0)</f>
        <v/>
      </c>
      <c r="P45">
        <f>IF(N45-L45-M45&gt;0,N45-L45-M45,0)</f>
        <v/>
      </c>
      <c r="Q45" s="1">
        <f>IFERROR(P45*G45,0)</f>
        <v/>
      </c>
    </row>
    <row r="46">
      <c r="A46" t="inlineStr">
        <is>
          <t>1000015</t>
        </is>
      </c>
      <c r="B46" t="inlineStr">
        <is>
          <t>HCD 30 4M</t>
        </is>
      </c>
      <c r="C46" t="inlineStr">
        <is>
          <t>FM - SODECA</t>
        </is>
      </c>
      <c r="D46" t="n">
        <v>22</v>
      </c>
      <c r="E46" t="n">
        <v>5</v>
      </c>
      <c r="F46" t="inlineStr">
        <is>
          <t>SODECA</t>
        </is>
      </c>
      <c r="G46" s="1" t="n">
        <v>2222.02</v>
      </c>
      <c r="H46" t="n">
        <v>22</v>
      </c>
      <c r="I46" t="n">
        <v>1.8</v>
      </c>
      <c r="J46" t="n">
        <v>1</v>
      </c>
      <c r="K46" t="n">
        <v>2</v>
      </c>
      <c r="L46" t="n">
        <v>0</v>
      </c>
      <c r="M46" t="n">
        <v>0</v>
      </c>
      <c r="N46" t="n">
        <v>4</v>
      </c>
      <c r="O46" s="1">
        <f>IFERROR(L46*G46,0)</f>
        <v/>
      </c>
      <c r="P46">
        <f>IF(N46-L46-M46&gt;0,N46-L46-M46,0)</f>
        <v/>
      </c>
      <c r="Q46" s="1">
        <f>IFERROR(P46*G46,0)</f>
        <v/>
      </c>
    </row>
    <row r="47">
      <c r="A47" t="inlineStr">
        <is>
          <t>1000016</t>
        </is>
      </c>
      <c r="B47" t="inlineStr">
        <is>
          <t>HCD 35 4M</t>
        </is>
      </c>
      <c r="C47" t="inlineStr">
        <is>
          <t>FM - SODECA</t>
        </is>
      </c>
      <c r="D47" t="n">
        <v>33</v>
      </c>
      <c r="E47" t="n">
        <v>0</v>
      </c>
      <c r="F47" t="inlineStr">
        <is>
          <t>Luck and King</t>
        </is>
      </c>
      <c r="G47" s="1" t="n">
        <v>0</v>
      </c>
      <c r="H47" t="n">
        <v>14</v>
      </c>
      <c r="I47" t="n">
        <v>1.5</v>
      </c>
      <c r="J47" t="n">
        <v>1</v>
      </c>
      <c r="K47" t="n">
        <v>2</v>
      </c>
      <c r="L47" t="n">
        <v>0</v>
      </c>
      <c r="M47" t="n">
        <v>0</v>
      </c>
      <c r="N47" t="n">
        <v>4</v>
      </c>
      <c r="O47" s="1">
        <f>IFERROR(L47*G47,0)</f>
        <v/>
      </c>
      <c r="P47">
        <f>IF(N47-L47-M47&gt;0,N47-L47-M47,0)</f>
        <v/>
      </c>
      <c r="Q47" s="1">
        <f>IFERROR(P47*G47,0)</f>
        <v/>
      </c>
    </row>
    <row r="48">
      <c r="A48" t="inlineStr">
        <is>
          <t>1000040</t>
        </is>
      </c>
      <c r="B48" t="inlineStr">
        <is>
          <t>HCT-25-2T/PL</t>
        </is>
      </c>
      <c r="C48" t="inlineStr">
        <is>
          <t>FM - SODECA</t>
        </is>
      </c>
      <c r="D48" t="n">
        <v>24</v>
      </c>
      <c r="E48" t="n">
        <v>0</v>
      </c>
      <c r="F48" t="inlineStr"/>
      <c r="G48" s="1" t="n">
        <v>0</v>
      </c>
      <c r="H48" t="n">
        <v>1</v>
      </c>
      <c r="I48" t="n">
        <v>0.5</v>
      </c>
      <c r="J48" t="n">
        <v>1</v>
      </c>
      <c r="K48" t="n">
        <v>1</v>
      </c>
      <c r="L48" t="n">
        <v>0</v>
      </c>
      <c r="M48" t="n">
        <v>0</v>
      </c>
      <c r="N48" t="n">
        <v>2</v>
      </c>
      <c r="O48" s="1">
        <f>IFERROR(L48*G48,0)</f>
        <v/>
      </c>
      <c r="P48">
        <f>IF(N48-L48-M48&gt;0,N48-L48-M48,0)</f>
        <v/>
      </c>
      <c r="Q48" s="1">
        <f>IFERROR(P48*G48,0)</f>
        <v/>
      </c>
    </row>
    <row r="49">
      <c r="A49" t="inlineStr">
        <is>
          <t>1000046</t>
        </is>
      </c>
      <c r="B49" t="inlineStr">
        <is>
          <t>HCT-31-2M/PL</t>
        </is>
      </c>
      <c r="C49" t="inlineStr">
        <is>
          <t>FM - SODECA</t>
        </is>
      </c>
      <c r="D49" t="n">
        <v>4</v>
      </c>
      <c r="E49" t="n">
        <v>0</v>
      </c>
      <c r="F49" t="inlineStr"/>
      <c r="G49" s="1" t="n">
        <v>0</v>
      </c>
      <c r="H49" t="n">
        <v>1</v>
      </c>
      <c r="I49" t="n">
        <v>0.5</v>
      </c>
      <c r="J49" t="n">
        <v>1</v>
      </c>
      <c r="K49" t="n">
        <v>1</v>
      </c>
      <c r="L49" t="n">
        <v>0</v>
      </c>
      <c r="M49" t="n">
        <v>0</v>
      </c>
      <c r="N49" t="n">
        <v>2</v>
      </c>
      <c r="O49" s="1">
        <f>IFERROR(L49*G49,0)</f>
        <v/>
      </c>
      <c r="P49">
        <f>IF(N49-L49-M49&gt;0,N49-L49-M49,0)</f>
        <v/>
      </c>
      <c r="Q49" s="1">
        <f>IFERROR(P49*G49,0)</f>
        <v/>
      </c>
    </row>
    <row r="50">
      <c r="A50" t="inlineStr">
        <is>
          <t>1000047</t>
        </is>
      </c>
      <c r="B50" t="inlineStr">
        <is>
          <t>HCT-31-2T/PL</t>
        </is>
      </c>
      <c r="C50" t="inlineStr">
        <is>
          <t>FM - SODECA</t>
        </is>
      </c>
      <c r="D50" t="n">
        <v>26</v>
      </c>
      <c r="E50" t="n">
        <v>0</v>
      </c>
      <c r="F50" t="inlineStr"/>
      <c r="G50" s="1" t="n">
        <v>0</v>
      </c>
      <c r="H50" t="n">
        <v>2</v>
      </c>
      <c r="I50" t="n">
        <v>0.5</v>
      </c>
      <c r="J50" t="n">
        <v>1</v>
      </c>
      <c r="K50" t="n">
        <v>1</v>
      </c>
      <c r="L50" t="n">
        <v>0</v>
      </c>
      <c r="M50" t="n">
        <v>0</v>
      </c>
      <c r="N50" t="n">
        <v>2</v>
      </c>
      <c r="O50" s="1">
        <f>IFERROR(L50*G50,0)</f>
        <v/>
      </c>
      <c r="P50">
        <f>IF(N50-L50-M50&gt;0,N50-L50-M50,0)</f>
        <v/>
      </c>
      <c r="Q50" s="1">
        <f>IFERROR(P50*G50,0)</f>
        <v/>
      </c>
    </row>
    <row r="51">
      <c r="A51" t="inlineStr">
        <is>
          <t>1000049</t>
        </is>
      </c>
      <c r="B51" t="inlineStr">
        <is>
          <t>HCT-31-4M/PL</t>
        </is>
      </c>
      <c r="C51" t="inlineStr">
        <is>
          <t>FM - SODECA</t>
        </is>
      </c>
      <c r="D51" t="n">
        <v>18</v>
      </c>
      <c r="E51" t="n">
        <v>0</v>
      </c>
      <c r="F51" t="inlineStr"/>
      <c r="G51" s="1" t="n">
        <v>0</v>
      </c>
      <c r="H51" t="n">
        <v>1</v>
      </c>
      <c r="I51" t="n">
        <v>0.5</v>
      </c>
      <c r="J51" t="n">
        <v>1</v>
      </c>
      <c r="K51" t="n">
        <v>1</v>
      </c>
      <c r="L51" t="n">
        <v>0</v>
      </c>
      <c r="M51" t="n">
        <v>0</v>
      </c>
      <c r="N51" t="n">
        <v>2</v>
      </c>
      <c r="O51" s="1">
        <f>IFERROR(L51*G51,0)</f>
        <v/>
      </c>
      <c r="P51">
        <f>IF(N51-L51-M51&gt;0,N51-L51-M51,0)</f>
        <v/>
      </c>
      <c r="Q51" s="1">
        <f>IFERROR(P51*G51,0)</f>
        <v/>
      </c>
    </row>
    <row r="52">
      <c r="A52" t="inlineStr">
        <is>
          <t>1000052</t>
        </is>
      </c>
      <c r="B52" t="inlineStr">
        <is>
          <t>HCT-35-2T/PL</t>
        </is>
      </c>
      <c r="C52" t="inlineStr">
        <is>
          <t>FM - SODECA</t>
        </is>
      </c>
      <c r="D52" t="n">
        <v>8</v>
      </c>
      <c r="E52" t="n">
        <v>0</v>
      </c>
      <c r="F52" t="inlineStr"/>
      <c r="G52" s="1" t="n">
        <v>0</v>
      </c>
      <c r="H52" t="n">
        <v>1</v>
      </c>
      <c r="I52" t="n">
        <v>0.5</v>
      </c>
      <c r="J52" t="n">
        <v>1</v>
      </c>
      <c r="K52" t="n">
        <v>1</v>
      </c>
      <c r="L52" t="n">
        <v>0</v>
      </c>
      <c r="M52" t="n">
        <v>0</v>
      </c>
      <c r="N52" t="n">
        <v>2</v>
      </c>
      <c r="O52" s="1">
        <f>IFERROR(L52*G52,0)</f>
        <v/>
      </c>
      <c r="P52">
        <f>IF(N52-L52-M52&gt;0,N52-L52-M52,0)</f>
        <v/>
      </c>
      <c r="Q52" s="1">
        <f>IFERROR(P52*G52,0)</f>
        <v/>
      </c>
    </row>
    <row r="53">
      <c r="A53" t="inlineStr">
        <is>
          <t>100081</t>
        </is>
      </c>
      <c r="B53" t="inlineStr">
        <is>
          <t>OPTECH OUTER LENS 110 X 90</t>
        </is>
      </c>
      <c r="C53" t="inlineStr"/>
      <c r="D53" t="n">
        <v>1</v>
      </c>
      <c r="E53" t="n">
        <v>5</v>
      </c>
      <c r="F53" t="inlineStr">
        <is>
          <t>INTROWELD CC</t>
        </is>
      </c>
      <c r="G53" s="1" t="n">
        <v>0</v>
      </c>
      <c r="H53" t="n">
        <v>0</v>
      </c>
      <c r="I53" t="n">
        <v>0.5</v>
      </c>
      <c r="J53" t="n">
        <v>5</v>
      </c>
      <c r="K53" t="n">
        <v>2</v>
      </c>
      <c r="L53" t="n">
        <v>0</v>
      </c>
      <c r="M53" t="n">
        <v>0</v>
      </c>
      <c r="N53" t="n">
        <v>12</v>
      </c>
      <c r="O53" s="1">
        <f>IFERROR(L53*G53,0)</f>
        <v/>
      </c>
      <c r="P53">
        <f>IF(N53-L53-M53&gt;0,N53-L53-M53,0)</f>
        <v/>
      </c>
      <c r="Q53" s="1">
        <f>IFERROR(P53*G53,0)</f>
        <v/>
      </c>
    </row>
    <row r="54">
      <c r="A54" t="inlineStr">
        <is>
          <t>100083</t>
        </is>
      </c>
      <c r="B54" t="inlineStr">
        <is>
          <t>OPTECH INNER LENS 108 X 51</t>
        </is>
      </c>
      <c r="C54" t="inlineStr"/>
      <c r="D54" t="n">
        <v>1</v>
      </c>
      <c r="E54" t="n">
        <v>5</v>
      </c>
      <c r="F54" t="inlineStr">
        <is>
          <t>INTROWELD CC</t>
        </is>
      </c>
      <c r="G54" s="1" t="n">
        <v>0</v>
      </c>
      <c r="H54" t="n">
        <v>0</v>
      </c>
      <c r="I54" t="n">
        <v>0.5</v>
      </c>
      <c r="J54" t="n">
        <v>5</v>
      </c>
      <c r="K54" t="n">
        <v>2</v>
      </c>
      <c r="L54" t="n">
        <v>0</v>
      </c>
      <c r="M54" t="n">
        <v>0</v>
      </c>
      <c r="N54" t="n">
        <v>12</v>
      </c>
      <c r="O54" s="1">
        <f>IFERROR(L54*G54,0)</f>
        <v/>
      </c>
      <c r="P54">
        <f>IF(N54-L54-M54&gt;0,N54-L54-M54,0)</f>
        <v/>
      </c>
      <c r="Q54" s="1">
        <f>IFERROR(P54*G54,0)</f>
        <v/>
      </c>
    </row>
    <row r="55">
      <c r="A55" t="inlineStr">
        <is>
          <t>100087</t>
        </is>
      </c>
      <c r="B55" t="inlineStr">
        <is>
          <t>SOLAR HELMET ADJUSTABLE (84-210300-11</t>
        </is>
      </c>
      <c r="C55" t="inlineStr"/>
      <c r="D55" t="n">
        <v>1</v>
      </c>
      <c r="E55" t="n">
        <v>1</v>
      </c>
      <c r="F55" t="inlineStr">
        <is>
          <t>INTROWELD CC</t>
        </is>
      </c>
      <c r="G55" s="1" t="n">
        <v>0</v>
      </c>
      <c r="H55" t="n">
        <v>0</v>
      </c>
      <c r="I55" t="n">
        <v>0.5</v>
      </c>
      <c r="J55" t="n">
        <v>1</v>
      </c>
      <c r="K55" t="n">
        <v>1</v>
      </c>
      <c r="L55" t="n">
        <v>0</v>
      </c>
      <c r="M55" t="n">
        <v>0</v>
      </c>
      <c r="N55" t="n">
        <v>2</v>
      </c>
      <c r="O55" s="1">
        <f>IFERROR(L55*G55,0)</f>
        <v/>
      </c>
      <c r="P55">
        <f>IF(N55-L55-M55&gt;0,N55-L55-M55,0)</f>
        <v/>
      </c>
      <c r="Q55" s="1">
        <f>IFERROR(P55*G55,0)</f>
        <v/>
      </c>
    </row>
    <row r="56">
      <c r="A56" t="inlineStr">
        <is>
          <t>1000CF</t>
        </is>
      </c>
      <c r="B56" t="inlineStr">
        <is>
          <t>1000 Diam Counter Flange</t>
        </is>
      </c>
      <c r="C56" t="inlineStr">
        <is>
          <t>FM - C/FLANGE</t>
        </is>
      </c>
      <c r="D56" t="n">
        <v>49</v>
      </c>
      <c r="E56" t="n">
        <v>59</v>
      </c>
      <c r="F56" t="inlineStr">
        <is>
          <t>Attenu-Tec HVAC Parts</t>
        </is>
      </c>
      <c r="G56" s="1" t="n">
        <v>503.22</v>
      </c>
      <c r="H56" t="n">
        <v>47</v>
      </c>
      <c r="I56" t="n">
        <v>0.6</v>
      </c>
      <c r="J56" t="n">
        <v>1.5</v>
      </c>
      <c r="K56" t="n">
        <v>1</v>
      </c>
      <c r="L56" t="n">
        <v>0</v>
      </c>
      <c r="M56" t="n">
        <v>0</v>
      </c>
      <c r="N56" t="n">
        <v>4</v>
      </c>
      <c r="O56" s="1">
        <f>IFERROR(L56*G56,0)</f>
        <v/>
      </c>
      <c r="P56">
        <f>IF(N56-L56-M56&gt;0,N56-L56-M56,0)</f>
        <v/>
      </c>
      <c r="Q56" s="1">
        <f>IFERROR(P56*G56,0)</f>
        <v/>
      </c>
    </row>
    <row r="57">
      <c r="A57" t="inlineStr">
        <is>
          <t>1000CFUG</t>
        </is>
      </c>
      <c r="B57" t="inlineStr">
        <is>
          <t>1000 Diam Counter Flange Ungalvanised</t>
        </is>
      </c>
      <c r="C57" t="inlineStr">
        <is>
          <t>FM - C/FLANGE</t>
        </is>
      </c>
      <c r="D57" t="n">
        <v>1</v>
      </c>
      <c r="E57" t="n">
        <v>6</v>
      </c>
      <c r="F57" t="inlineStr">
        <is>
          <t>ULTIMATENG (PTY) LTD</t>
        </is>
      </c>
      <c r="G57" s="1" t="n">
        <v>0</v>
      </c>
      <c r="H57" t="n">
        <v>0</v>
      </c>
      <c r="I57" t="n">
        <v>0.5</v>
      </c>
      <c r="J57" t="n">
        <v>6</v>
      </c>
      <c r="K57" t="n">
        <v>3</v>
      </c>
      <c r="L57" t="n">
        <v>0</v>
      </c>
      <c r="M57" t="n">
        <v>0</v>
      </c>
      <c r="N57" t="n">
        <v>15</v>
      </c>
      <c r="O57" s="1">
        <f>IFERROR(L57*G57,0)</f>
        <v/>
      </c>
      <c r="P57">
        <f>IF(N57-L57-M57&gt;0,N57-L57-M57,0)</f>
        <v/>
      </c>
      <c r="Q57" s="1">
        <f>IFERROR(P57*G57,0)</f>
        <v/>
      </c>
    </row>
    <row r="58">
      <c r="A58" t="inlineStr">
        <is>
          <t>1000IC</t>
        </is>
      </c>
      <c r="B58" t="inlineStr">
        <is>
          <t>Majax Inlet Cone</t>
        </is>
      </c>
      <c r="C58" t="inlineStr"/>
      <c r="D58" t="n">
        <v>1</v>
      </c>
      <c r="E58" t="n">
        <v>12</v>
      </c>
      <c r="F58" t="inlineStr">
        <is>
          <t>Attenu-Tec HVAC Parts</t>
        </is>
      </c>
      <c r="G58" s="1" t="n">
        <v>1478</v>
      </c>
      <c r="H58" t="n">
        <v>10</v>
      </c>
      <c r="I58" t="n">
        <v>0.5</v>
      </c>
      <c r="J58" t="n">
        <v>12</v>
      </c>
      <c r="K58" t="n">
        <v>6</v>
      </c>
      <c r="L58" t="n">
        <v>0</v>
      </c>
      <c r="M58" t="n">
        <v>0</v>
      </c>
      <c r="N58" t="n">
        <v>30</v>
      </c>
      <c r="O58" s="1">
        <f>IFERROR(L58*G58,0)</f>
        <v/>
      </c>
      <c r="P58">
        <f>IF(N58-L58-M58&gt;0,N58-L58-M58,0)</f>
        <v/>
      </c>
      <c r="Q58" s="1">
        <f>IFERROR(P58*G58,0)</f>
        <v/>
      </c>
    </row>
    <row r="59">
      <c r="A59" t="inlineStr">
        <is>
          <t>1000MBP09</t>
        </is>
      </c>
      <c r="B59" t="inlineStr">
        <is>
          <t>1-0350-240 P09 - 1000 Motor Bracket</t>
        </is>
      </c>
      <c r="C59" t="inlineStr"/>
      <c r="D59" t="n">
        <v>19</v>
      </c>
      <c r="E59" t="n">
        <v>28</v>
      </c>
      <c r="F59" t="inlineStr">
        <is>
          <t>Kart Shop TA Ultimate Laser Cutting</t>
        </is>
      </c>
      <c r="G59" s="1" t="n">
        <v>72.61</v>
      </c>
      <c r="H59" t="n">
        <v>0</v>
      </c>
      <c r="I59" t="n">
        <v>0.5</v>
      </c>
      <c r="J59" t="n">
        <v>1.5</v>
      </c>
      <c r="K59" t="n">
        <v>1</v>
      </c>
      <c r="L59" t="n">
        <v>0</v>
      </c>
      <c r="M59" t="n">
        <v>0</v>
      </c>
      <c r="N59" t="n">
        <v>4</v>
      </c>
      <c r="O59" s="1">
        <f>IFERROR(L59*G59,0)</f>
        <v/>
      </c>
      <c r="P59">
        <f>IF(N59-L59-M59&gt;0,N59-L59-M59,0)</f>
        <v/>
      </c>
      <c r="Q59" s="1">
        <f>IFERROR(P59*G59,0)</f>
        <v/>
      </c>
    </row>
    <row r="60">
      <c r="A60" t="inlineStr">
        <is>
          <t>1000MF</t>
        </is>
      </c>
      <c r="B60" t="inlineStr">
        <is>
          <t>1000 Diam Mounting Feet</t>
        </is>
      </c>
      <c r="C60" t="inlineStr">
        <is>
          <t>FM - M/FEET</t>
        </is>
      </c>
      <c r="D60" t="n">
        <v>49</v>
      </c>
      <c r="E60" t="n">
        <v>70</v>
      </c>
      <c r="F60" t="inlineStr">
        <is>
          <t>Air Speration</t>
        </is>
      </c>
      <c r="G60" s="1" t="n">
        <v>470.13</v>
      </c>
      <c r="H60" t="n">
        <v>76</v>
      </c>
      <c r="I60" t="n">
        <v>0.7</v>
      </c>
      <c r="J60" t="n">
        <v>2</v>
      </c>
      <c r="K60" t="n">
        <v>1</v>
      </c>
      <c r="L60" t="n">
        <v>0</v>
      </c>
      <c r="M60" t="n">
        <v>0</v>
      </c>
      <c r="N60" t="n">
        <v>5</v>
      </c>
      <c r="O60" s="1">
        <f>IFERROR(L60*G60,0)</f>
        <v/>
      </c>
      <c r="P60">
        <f>IF(N60-L60-M60&gt;0,N60-L60-M60,0)</f>
        <v/>
      </c>
      <c r="Q60" s="1">
        <f>IFERROR(P60*G60,0)</f>
        <v/>
      </c>
    </row>
    <row r="61">
      <c r="A61" t="inlineStr">
        <is>
          <t>1000MFUG</t>
        </is>
      </c>
      <c r="B61" t="inlineStr">
        <is>
          <t>1000 Diam Mounting Feet Ungalvanized</t>
        </is>
      </c>
      <c r="C61" t="inlineStr">
        <is>
          <t>FM - M/FEET</t>
        </is>
      </c>
      <c r="D61" t="n">
        <v>1</v>
      </c>
      <c r="E61" t="n">
        <v>24</v>
      </c>
      <c r="F61" t="inlineStr">
        <is>
          <t>ULTIMATENG (PTY) LTD</t>
        </is>
      </c>
      <c r="G61" s="1" t="n">
        <v>0</v>
      </c>
      <c r="H61" t="n">
        <v>0</v>
      </c>
      <c r="I61" t="n">
        <v>0.5</v>
      </c>
      <c r="J61" t="n">
        <v>24</v>
      </c>
      <c r="K61" t="n">
        <v>12</v>
      </c>
      <c r="L61" t="n">
        <v>0</v>
      </c>
      <c r="M61" t="n">
        <v>0</v>
      </c>
      <c r="N61" t="n">
        <v>60</v>
      </c>
      <c r="O61" s="1">
        <f>IFERROR(L61*G61,0)</f>
        <v/>
      </c>
      <c r="P61">
        <f>IF(N61-L61-M61&gt;0,N61-L61-M61,0)</f>
        <v/>
      </c>
      <c r="Q61" s="1">
        <f>IFERROR(P61*G61,0)</f>
        <v/>
      </c>
    </row>
    <row r="62">
      <c r="A62" t="inlineStr">
        <is>
          <t>1000S1.5DP</t>
        </is>
      </c>
      <c r="B62" t="inlineStr">
        <is>
          <t>1000 Diam Silencer 1.5D Podded</t>
        </is>
      </c>
      <c r="C62" t="inlineStr">
        <is>
          <t>FM - DONKIN</t>
        </is>
      </c>
      <c r="D62" t="n">
        <v>16</v>
      </c>
      <c r="E62" t="n">
        <v>10</v>
      </c>
      <c r="F62" t="inlineStr">
        <is>
          <t>Attenu-Tec</t>
        </is>
      </c>
      <c r="G62" s="1" t="n">
        <v>6255</v>
      </c>
      <c r="H62" t="n">
        <v>10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3</v>
      </c>
      <c r="O62" s="1">
        <f>IFERROR(L62*G62,0)</f>
        <v/>
      </c>
      <c r="P62">
        <f>IF(N62-L62-M62&gt;0,N62-L62-M62,0)</f>
        <v/>
      </c>
      <c r="Q62" s="1">
        <f>IFERROR(P62*G62,0)</f>
        <v/>
      </c>
    </row>
    <row r="63">
      <c r="A63" t="inlineStr">
        <is>
          <t>1000S2.0DP</t>
        </is>
      </c>
      <c r="B63" t="inlineStr">
        <is>
          <t>1000 Diam Silencer 2.0D Podded</t>
        </is>
      </c>
      <c r="C63" t="inlineStr">
        <is>
          <t>FM - DONKIN</t>
        </is>
      </c>
      <c r="D63" t="n">
        <v>1</v>
      </c>
      <c r="E63" t="n">
        <v>4</v>
      </c>
      <c r="F63" t="inlineStr">
        <is>
          <t>Attenu-Tec</t>
        </is>
      </c>
      <c r="G63" s="1" t="n">
        <v>7900</v>
      </c>
      <c r="H63" t="n">
        <v>4</v>
      </c>
      <c r="I63" t="n">
        <v>1.9</v>
      </c>
      <c r="J63" t="n">
        <v>4</v>
      </c>
      <c r="K63" t="n">
        <v>8</v>
      </c>
      <c r="L63" t="n">
        <v>0</v>
      </c>
      <c r="M63" t="n">
        <v>0</v>
      </c>
      <c r="N63" t="n">
        <v>16</v>
      </c>
      <c r="O63" s="1">
        <f>IFERROR(L63*G63,0)</f>
        <v/>
      </c>
      <c r="P63">
        <f>IF(N63-L63-M63&gt;0,N63-L63-M63,0)</f>
        <v/>
      </c>
      <c r="Q63" s="1">
        <f>IFERROR(P63*G63,0)</f>
        <v/>
      </c>
    </row>
    <row r="64">
      <c r="A64" t="inlineStr">
        <is>
          <t>1000SM1.0D</t>
        </is>
      </c>
      <c r="B64" t="inlineStr">
        <is>
          <t>1000 Diam Melinex Silencer 1.0D</t>
        </is>
      </c>
      <c r="C64" t="inlineStr">
        <is>
          <t>FM - DONKIN</t>
        </is>
      </c>
      <c r="D64" t="n">
        <v>1</v>
      </c>
      <c r="E64" t="n">
        <v>4</v>
      </c>
      <c r="F64" t="inlineStr">
        <is>
          <t>Attenu-Tec</t>
        </is>
      </c>
      <c r="G64" s="1" t="n">
        <v>4463</v>
      </c>
      <c r="H64" t="n">
        <v>0</v>
      </c>
      <c r="I64" t="n">
        <v>0.5</v>
      </c>
      <c r="J64" t="n">
        <v>4</v>
      </c>
      <c r="K64" t="n">
        <v>2</v>
      </c>
      <c r="L64" t="n">
        <v>0</v>
      </c>
      <c r="M64" t="n">
        <v>0</v>
      </c>
      <c r="N64" t="n">
        <v>10</v>
      </c>
      <c r="O64" s="1">
        <f>IFERROR(L64*G64,0)</f>
        <v/>
      </c>
      <c r="P64">
        <f>IF(N64-L64-M64&gt;0,N64-L64-M64,0)</f>
        <v/>
      </c>
      <c r="Q64" s="1">
        <f>IFERROR(P64*G64,0)</f>
        <v/>
      </c>
    </row>
    <row r="65">
      <c r="A65" t="inlineStr">
        <is>
          <t>1000SM1.0DP</t>
        </is>
      </c>
      <c r="B65" t="inlineStr">
        <is>
          <t>1000 Diam Melinex Silencer 1.0D Podded</t>
        </is>
      </c>
      <c r="C65" t="inlineStr">
        <is>
          <t>FM - DONKIN</t>
        </is>
      </c>
      <c r="D65" t="n">
        <v>1</v>
      </c>
      <c r="E65" t="n">
        <v>0</v>
      </c>
      <c r="F65" t="inlineStr"/>
      <c r="G65" s="1" t="n">
        <v>0</v>
      </c>
      <c r="H65" t="n">
        <v>4</v>
      </c>
      <c r="I65" t="n">
        <v>0.5</v>
      </c>
      <c r="J65" t="n">
        <v>4</v>
      </c>
      <c r="K65" t="n">
        <v>2</v>
      </c>
      <c r="L65" t="n">
        <v>0</v>
      </c>
      <c r="M65" t="n">
        <v>0</v>
      </c>
      <c r="N65" t="n">
        <v>10</v>
      </c>
      <c r="O65" s="1">
        <f>IFERROR(L65*G65,0)</f>
        <v/>
      </c>
      <c r="P65">
        <f>IF(N65-L65-M65&gt;0,N65-L65-M65,0)</f>
        <v/>
      </c>
      <c r="Q65" s="1">
        <f>IFERROR(P65*G65,0)</f>
        <v/>
      </c>
    </row>
    <row r="66">
      <c r="A66" t="inlineStr">
        <is>
          <t>1000SM1.5DP</t>
        </is>
      </c>
      <c r="B66" t="inlineStr">
        <is>
          <t>1000 Diam Melinex Silencer 1.5D Podded</t>
        </is>
      </c>
      <c r="C66" t="inlineStr">
        <is>
          <t>FM - DONKIN</t>
        </is>
      </c>
      <c r="D66" t="n">
        <v>1</v>
      </c>
      <c r="E66" t="n">
        <v>2</v>
      </c>
      <c r="F66" t="inlineStr">
        <is>
          <t>Attenu-Tec</t>
        </is>
      </c>
      <c r="G66" s="1" t="n">
        <v>5620</v>
      </c>
      <c r="H66" t="n">
        <v>2</v>
      </c>
      <c r="I66" t="n">
        <v>0.5</v>
      </c>
      <c r="J66" t="n">
        <v>2</v>
      </c>
      <c r="K66" t="n">
        <v>1</v>
      </c>
      <c r="L66" t="n">
        <v>0</v>
      </c>
      <c r="M66" t="n">
        <v>0</v>
      </c>
      <c r="N66" t="n">
        <v>5</v>
      </c>
      <c r="O66" s="1">
        <f>IFERROR(L66*G66,0)</f>
        <v/>
      </c>
      <c r="P66">
        <f>IF(N66-L66-M66&gt;0,N66-L66-M66,0)</f>
        <v/>
      </c>
      <c r="Q66" s="1">
        <f>IFERROR(P66*G66,0)</f>
        <v/>
      </c>
    </row>
    <row r="67">
      <c r="A67" t="inlineStr">
        <is>
          <t>1002948</t>
        </is>
      </c>
      <c r="B67" t="inlineStr">
        <is>
          <t>HCT-40-4T-0.33/PL</t>
        </is>
      </c>
      <c r="C67" t="inlineStr">
        <is>
          <t>FM - SODECA</t>
        </is>
      </c>
      <c r="D67" t="n">
        <v>3</v>
      </c>
      <c r="E67" t="n">
        <v>1</v>
      </c>
      <c r="F67" t="inlineStr">
        <is>
          <t>SODECA</t>
        </is>
      </c>
      <c r="G67" s="1" t="n">
        <v>10445.1</v>
      </c>
      <c r="H67" t="n">
        <v>1</v>
      </c>
      <c r="I67" t="n">
        <v>2</v>
      </c>
      <c r="J67" t="n">
        <v>1</v>
      </c>
      <c r="K67" t="n">
        <v>2</v>
      </c>
      <c r="L67" t="n">
        <v>0</v>
      </c>
      <c r="M67" t="n">
        <v>0</v>
      </c>
      <c r="N67" t="n">
        <v>4</v>
      </c>
      <c r="O67" s="1">
        <f>IFERROR(L67*G67,0)</f>
        <v/>
      </c>
      <c r="P67">
        <f>IF(N67-L67-M67&gt;0,N67-L67-M67,0)</f>
        <v/>
      </c>
      <c r="Q67" s="1">
        <f>IFERROR(P67*G67,0)</f>
        <v/>
      </c>
    </row>
    <row r="68">
      <c r="A68" t="inlineStr">
        <is>
          <t>1005878</t>
        </is>
      </c>
      <c r="B68" t="inlineStr">
        <is>
          <t>HTM-56-4M</t>
        </is>
      </c>
      <c r="C68" t="inlineStr">
        <is>
          <t>FM - SODECA</t>
        </is>
      </c>
      <c r="D68" t="n">
        <v>3</v>
      </c>
      <c r="E68" t="n">
        <v>0</v>
      </c>
      <c r="F68" t="inlineStr"/>
      <c r="G68" s="1" t="n">
        <v>0</v>
      </c>
      <c r="H68" t="n">
        <v>1</v>
      </c>
      <c r="I68" t="n">
        <v>0.5</v>
      </c>
      <c r="J68" t="n">
        <v>1</v>
      </c>
      <c r="K68" t="n">
        <v>1</v>
      </c>
      <c r="L68" t="n">
        <v>0</v>
      </c>
      <c r="M68" t="n">
        <v>0</v>
      </c>
      <c r="N68" t="n">
        <v>2</v>
      </c>
      <c r="O68" s="1">
        <f>IFERROR(L68*G68,0)</f>
        <v/>
      </c>
      <c r="P68">
        <f>IF(N68-L68-M68&gt;0,N68-L68-M68,0)</f>
        <v/>
      </c>
      <c r="Q68" s="1">
        <f>IFERROR(P68*G68,0)</f>
        <v/>
      </c>
    </row>
    <row r="69">
      <c r="A69" t="inlineStr">
        <is>
          <t>1005879</t>
        </is>
      </c>
      <c r="B69" t="inlineStr">
        <is>
          <t>HTM-56-4T</t>
        </is>
      </c>
      <c r="C69" t="inlineStr">
        <is>
          <t>FM - SODECA</t>
        </is>
      </c>
      <c r="D69" t="n">
        <v>1</v>
      </c>
      <c r="E69" t="n">
        <v>0</v>
      </c>
      <c r="F69" t="inlineStr"/>
      <c r="G69" s="1" t="n">
        <v>0</v>
      </c>
      <c r="H69" t="n">
        <v>1</v>
      </c>
      <c r="I69" t="n">
        <v>0.5</v>
      </c>
      <c r="J69" t="n">
        <v>1</v>
      </c>
      <c r="K69" t="n">
        <v>1</v>
      </c>
      <c r="L69" t="n">
        <v>0</v>
      </c>
      <c r="M69" t="n">
        <v>0</v>
      </c>
      <c r="N69" t="n">
        <v>2</v>
      </c>
      <c r="O69" s="1">
        <f>IFERROR(L69*G69,0)</f>
        <v/>
      </c>
      <c r="P69">
        <f>IF(N69-L69-M69&gt;0,N69-L69-M69,0)</f>
        <v/>
      </c>
      <c r="Q69" s="1">
        <f>IFERROR(P69*G69,0)</f>
        <v/>
      </c>
    </row>
    <row r="70">
      <c r="A70" t="inlineStr">
        <is>
          <t>1006313</t>
        </is>
      </c>
      <c r="B70" t="inlineStr">
        <is>
          <t>HCDF-31-4T / ATEX / EXII2G Ex d</t>
        </is>
      </c>
      <c r="C70" t="inlineStr">
        <is>
          <t>FM - SODECA</t>
        </is>
      </c>
      <c r="D70" t="n">
        <v>1</v>
      </c>
      <c r="E70" t="n">
        <v>1</v>
      </c>
      <c r="F70" t="inlineStr">
        <is>
          <t>SODECA</t>
        </is>
      </c>
      <c r="G70" s="1" t="n">
        <v>10228.92</v>
      </c>
      <c r="H70" t="n">
        <v>0</v>
      </c>
      <c r="I70" t="n">
        <v>2</v>
      </c>
      <c r="J70" t="n">
        <v>1</v>
      </c>
      <c r="K70" t="n">
        <v>2</v>
      </c>
      <c r="L70" t="n">
        <v>0</v>
      </c>
      <c r="M70" t="n">
        <v>0</v>
      </c>
      <c r="N70" t="n">
        <v>4</v>
      </c>
      <c r="O70" s="1">
        <f>IFERROR(L70*G70,0)</f>
        <v/>
      </c>
      <c r="P70">
        <f>IF(N70-L70-M70&gt;0,N70-L70-M70,0)</f>
        <v/>
      </c>
      <c r="Q70" s="1">
        <f>IFERROR(P70*G70,0)</f>
        <v/>
      </c>
    </row>
    <row r="71">
      <c r="A71" t="inlineStr">
        <is>
          <t>1006315</t>
        </is>
      </c>
      <c r="B71" t="inlineStr">
        <is>
          <t>HCDF 35 - 4T - Flameproof</t>
        </is>
      </c>
      <c r="C71" t="inlineStr">
        <is>
          <t>FM - SODECA</t>
        </is>
      </c>
      <c r="D71" t="n">
        <v>1</v>
      </c>
      <c r="E71" t="n">
        <v>0</v>
      </c>
      <c r="F71" t="inlineStr"/>
      <c r="G71" s="1" t="n">
        <v>0</v>
      </c>
      <c r="H71" t="n">
        <v>1</v>
      </c>
      <c r="I71" t="n">
        <v>0.5</v>
      </c>
      <c r="J71" t="n">
        <v>1</v>
      </c>
      <c r="K71" t="n">
        <v>1</v>
      </c>
      <c r="L71" t="n">
        <v>0</v>
      </c>
      <c r="M71" t="n">
        <v>0</v>
      </c>
      <c r="N71" t="n">
        <v>2</v>
      </c>
      <c r="O71" s="1">
        <f>IFERROR(L71*G71,0)</f>
        <v/>
      </c>
      <c r="P71">
        <f>IF(N71-L71-M71&gt;0,N71-L71-M71,0)</f>
        <v/>
      </c>
      <c r="Q71" s="1">
        <f>IFERROR(P71*G71,0)</f>
        <v/>
      </c>
    </row>
    <row r="72">
      <c r="A72" t="inlineStr">
        <is>
          <t>1006321</t>
        </is>
      </c>
      <c r="B72" t="inlineStr">
        <is>
          <t>HCDF 50 - 4T - Flameproof</t>
        </is>
      </c>
      <c r="C72" t="inlineStr">
        <is>
          <t>FM - SODECA</t>
        </is>
      </c>
      <c r="D72" t="n">
        <v>26</v>
      </c>
      <c r="E72" t="n">
        <v>0</v>
      </c>
      <c r="F72" t="inlineStr"/>
      <c r="G72" s="1" t="n">
        <v>0</v>
      </c>
      <c r="H72" t="n">
        <v>2</v>
      </c>
      <c r="I72" t="n">
        <v>0.5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s="1">
        <f>IFERROR(L72*G72,0)</f>
        <v/>
      </c>
      <c r="P72">
        <f>IF(N72-L72-M72&gt;0,N72-L72-M72,0)</f>
        <v/>
      </c>
      <c r="Q72" s="1">
        <f>IFERROR(P72*G72,0)</f>
        <v/>
      </c>
    </row>
    <row r="73">
      <c r="A73" t="inlineStr">
        <is>
          <t>1006663</t>
        </is>
      </c>
      <c r="B73" t="inlineStr">
        <is>
          <t>B-150</t>
        </is>
      </c>
      <c r="C73" t="inlineStr"/>
      <c r="D73" t="n">
        <v>1</v>
      </c>
      <c r="E73" t="n">
        <v>8</v>
      </c>
      <c r="F73" t="inlineStr">
        <is>
          <t>SODECA</t>
        </is>
      </c>
      <c r="G73" s="1" t="n">
        <v>553.55</v>
      </c>
      <c r="H73" t="n">
        <v>0</v>
      </c>
      <c r="I73" t="n">
        <v>2.8</v>
      </c>
      <c r="J73" t="n">
        <v>8</v>
      </c>
      <c r="K73" t="n">
        <v>22</v>
      </c>
      <c r="L73" t="n">
        <v>0</v>
      </c>
      <c r="M73" t="n">
        <v>0</v>
      </c>
      <c r="N73" t="n">
        <v>38</v>
      </c>
      <c r="O73" s="1">
        <f>IFERROR(L73*G73,0)</f>
        <v/>
      </c>
      <c r="P73">
        <f>IF(N73-L73-M73&gt;0,N73-L73-M73,0)</f>
        <v/>
      </c>
      <c r="Q73" s="1">
        <f>IFERROR(P73*G73,0)</f>
        <v/>
      </c>
    </row>
    <row r="74">
      <c r="A74" t="inlineStr">
        <is>
          <t>1006974</t>
        </is>
      </c>
      <c r="B74" t="inlineStr">
        <is>
          <t>RPA-20</t>
        </is>
      </c>
      <c r="C74" t="inlineStr"/>
      <c r="D74" t="n">
        <v>1</v>
      </c>
      <c r="E74" t="n">
        <v>4</v>
      </c>
      <c r="F74" t="inlineStr">
        <is>
          <t>SODECA</t>
        </is>
      </c>
      <c r="G74" s="1" t="n">
        <v>281.92</v>
      </c>
      <c r="H74" t="n">
        <v>0</v>
      </c>
      <c r="I74" t="n">
        <v>2.8</v>
      </c>
      <c r="J74" t="n">
        <v>4</v>
      </c>
      <c r="K74" t="n">
        <v>11</v>
      </c>
      <c r="L74" t="n">
        <v>0</v>
      </c>
      <c r="M74" t="n">
        <v>0</v>
      </c>
      <c r="N74" t="n">
        <v>19</v>
      </c>
      <c r="O74" s="1">
        <f>IFERROR(L74*G74,0)</f>
        <v/>
      </c>
      <c r="P74">
        <f>IF(N74-L74-M74&gt;0,N74-L74-M74,0)</f>
        <v/>
      </c>
      <c r="Q74" s="1">
        <f>IFERROR(P74*G74,0)</f>
        <v/>
      </c>
    </row>
    <row r="75">
      <c r="A75" t="inlineStr">
        <is>
          <t>1007140</t>
        </is>
      </c>
      <c r="B75" t="inlineStr">
        <is>
          <t>ACE-150</t>
        </is>
      </c>
      <c r="C75" t="inlineStr"/>
      <c r="D75" t="n">
        <v>1</v>
      </c>
      <c r="E75" t="n">
        <v>4</v>
      </c>
      <c r="F75" t="inlineStr">
        <is>
          <t>SODECA</t>
        </is>
      </c>
      <c r="G75" s="1" t="n">
        <v>754.8099999999999</v>
      </c>
      <c r="H75" t="n">
        <v>0</v>
      </c>
      <c r="I75" t="n">
        <v>2.8</v>
      </c>
      <c r="J75" t="n">
        <v>4</v>
      </c>
      <c r="K75" t="n">
        <v>11</v>
      </c>
      <c r="L75" t="n">
        <v>0</v>
      </c>
      <c r="M75" t="n">
        <v>0</v>
      </c>
      <c r="N75" t="n">
        <v>19</v>
      </c>
      <c r="O75" s="1">
        <f>IFERROR(L75*G75,0)</f>
        <v/>
      </c>
      <c r="P75">
        <f>IF(N75-L75-M75&gt;0,N75-L75-M75,0)</f>
        <v/>
      </c>
      <c r="Q75" s="1">
        <f>IFERROR(P75*G75,0)</f>
        <v/>
      </c>
    </row>
    <row r="76">
      <c r="A76" t="inlineStr">
        <is>
          <t>1007944</t>
        </is>
      </c>
      <c r="B76" t="inlineStr">
        <is>
          <t>CPV 1020 4T</t>
        </is>
      </c>
      <c r="C76" t="inlineStr">
        <is>
          <t>FM - SODECA</t>
        </is>
      </c>
      <c r="D76" t="n">
        <v>34</v>
      </c>
      <c r="E76" t="n">
        <v>23</v>
      </c>
      <c r="F76" t="inlineStr">
        <is>
          <t>SODECA</t>
        </is>
      </c>
      <c r="G76" s="1" t="n">
        <v>7297.22</v>
      </c>
      <c r="H76" t="n">
        <v>23</v>
      </c>
      <c r="I76" t="n">
        <v>2.3</v>
      </c>
      <c r="J76" t="n">
        <v>1</v>
      </c>
      <c r="K76" t="n">
        <v>2</v>
      </c>
      <c r="L76" t="n">
        <v>0</v>
      </c>
      <c r="M76" t="n">
        <v>0</v>
      </c>
      <c r="N76" t="n">
        <v>4</v>
      </c>
      <c r="O76" s="1">
        <f>IFERROR(L76*G76,0)</f>
        <v/>
      </c>
      <c r="P76">
        <f>IF(N76-L76-M76&gt;0,N76-L76-M76,0)</f>
        <v/>
      </c>
      <c r="Q76" s="1">
        <f>IFERROR(P76*G76,0)</f>
        <v/>
      </c>
    </row>
    <row r="77">
      <c r="A77" t="inlineStr">
        <is>
          <t>1007947</t>
        </is>
      </c>
      <c r="B77" t="inlineStr">
        <is>
          <t>CPV 1325 4T</t>
        </is>
      </c>
      <c r="C77" t="inlineStr">
        <is>
          <t>FM - SODECA</t>
        </is>
      </c>
      <c r="D77" t="n">
        <v>30</v>
      </c>
      <c r="E77" t="n">
        <v>5</v>
      </c>
      <c r="F77" t="inlineStr">
        <is>
          <t>SODECA</t>
        </is>
      </c>
      <c r="G77" s="1" t="n">
        <v>9057.07</v>
      </c>
      <c r="H77" t="n">
        <v>7</v>
      </c>
      <c r="I77" t="n">
        <v>2.1</v>
      </c>
      <c r="J77" t="n">
        <v>1</v>
      </c>
      <c r="K77" t="n">
        <v>2</v>
      </c>
      <c r="L77" t="n">
        <v>0</v>
      </c>
      <c r="M77" t="n">
        <v>0</v>
      </c>
      <c r="N77" t="n">
        <v>4</v>
      </c>
      <c r="O77" s="1">
        <f>IFERROR(L77*G77,0)</f>
        <v/>
      </c>
      <c r="P77">
        <f>IF(N77-L77-M77&gt;0,N77-L77-M77,0)</f>
        <v/>
      </c>
      <c r="Q77" s="1">
        <f>IFERROR(P77*G77,0)</f>
        <v/>
      </c>
    </row>
    <row r="78">
      <c r="A78" t="inlineStr">
        <is>
          <t>1007957</t>
        </is>
      </c>
      <c r="B78" t="inlineStr">
        <is>
          <t>CPV 1020 2TIE3</t>
        </is>
      </c>
      <c r="C78" t="inlineStr">
        <is>
          <t>FM - SODECA</t>
        </is>
      </c>
      <c r="D78" t="n">
        <v>25</v>
      </c>
      <c r="E78" t="n">
        <v>4</v>
      </c>
      <c r="F78" t="inlineStr">
        <is>
          <t>SODECA</t>
        </is>
      </c>
      <c r="G78" s="1" t="n">
        <v>8659.74</v>
      </c>
      <c r="H78" t="n">
        <v>2</v>
      </c>
      <c r="I78" t="n">
        <v>2.4</v>
      </c>
      <c r="J78" t="n">
        <v>1</v>
      </c>
      <c r="K78" t="n">
        <v>2</v>
      </c>
      <c r="L78" t="n">
        <v>0</v>
      </c>
      <c r="M78" t="n">
        <v>0</v>
      </c>
      <c r="N78" t="n">
        <v>4</v>
      </c>
      <c r="O78" s="1">
        <f>IFERROR(L78*G78,0)</f>
        <v/>
      </c>
      <c r="P78">
        <f>IF(N78-L78-M78&gt;0,N78-L78-M78,0)</f>
        <v/>
      </c>
      <c r="Q78" s="1">
        <f>IFERROR(P78*G78,0)</f>
        <v/>
      </c>
    </row>
    <row r="79">
      <c r="A79" t="inlineStr">
        <is>
          <t>1007960</t>
        </is>
      </c>
      <c r="B79" t="inlineStr">
        <is>
          <t>CPV 1325 2TIE3</t>
        </is>
      </c>
      <c r="C79" t="inlineStr">
        <is>
          <t>FM - SODECA</t>
        </is>
      </c>
      <c r="D79" t="n">
        <v>6</v>
      </c>
      <c r="E79" t="n">
        <v>1</v>
      </c>
      <c r="F79" t="inlineStr">
        <is>
          <t>SODECA</t>
        </is>
      </c>
      <c r="G79" s="1" t="n">
        <v>6576.53</v>
      </c>
      <c r="H79" t="n">
        <v>1</v>
      </c>
      <c r="I79" t="n">
        <v>2.8</v>
      </c>
      <c r="J79" t="n">
        <v>1</v>
      </c>
      <c r="K79" t="n">
        <v>3</v>
      </c>
      <c r="L79" t="n">
        <v>0</v>
      </c>
      <c r="M79" t="n">
        <v>0</v>
      </c>
      <c r="N79" t="n">
        <v>5</v>
      </c>
      <c r="O79" s="1">
        <f>IFERROR(L79*G79,0)</f>
        <v/>
      </c>
      <c r="P79">
        <f>IF(N79-L79-M79&gt;0,N79-L79-M79,0)</f>
        <v/>
      </c>
      <c r="Q79" s="1">
        <f>IFERROR(P79*G79,0)</f>
        <v/>
      </c>
    </row>
    <row r="80">
      <c r="A80" t="inlineStr">
        <is>
          <t>1008843</t>
        </is>
      </c>
      <c r="B80" t="inlineStr">
        <is>
          <t>CMA-218-2M</t>
        </is>
      </c>
      <c r="C80" t="inlineStr">
        <is>
          <t>FM - SODECA</t>
        </is>
      </c>
      <c r="D80" t="n">
        <v>12</v>
      </c>
      <c r="E80" t="n">
        <v>0</v>
      </c>
      <c r="F80" t="inlineStr"/>
      <c r="G80" s="1" t="n">
        <v>0</v>
      </c>
      <c r="H80" t="n">
        <v>3</v>
      </c>
      <c r="I80" t="n">
        <v>0.5</v>
      </c>
      <c r="J80" t="n">
        <v>1</v>
      </c>
      <c r="K80" t="n">
        <v>1</v>
      </c>
      <c r="L80" t="n">
        <v>0</v>
      </c>
      <c r="M80" t="n">
        <v>0</v>
      </c>
      <c r="N80" t="n">
        <v>2</v>
      </c>
      <c r="O80" s="1">
        <f>IFERROR(L80*G80,0)</f>
        <v/>
      </c>
      <c r="P80">
        <f>IF(N80-L80-M80&gt;0,N80-L80-M80,0)</f>
        <v/>
      </c>
      <c r="Q80" s="1">
        <f>IFERROR(P80*G80,0)</f>
        <v/>
      </c>
    </row>
    <row r="81">
      <c r="A81" t="inlineStr">
        <is>
          <t>1008844</t>
        </is>
      </c>
      <c r="B81" t="inlineStr">
        <is>
          <t>CMA-218-2T</t>
        </is>
      </c>
      <c r="C81" t="inlineStr">
        <is>
          <t>FM - SODECA</t>
        </is>
      </c>
      <c r="D81" t="n">
        <v>31</v>
      </c>
      <c r="E81" t="n">
        <v>11</v>
      </c>
      <c r="F81" t="inlineStr">
        <is>
          <t>SODECA</t>
        </is>
      </c>
      <c r="G81" s="1" t="n">
        <v>2161.93</v>
      </c>
      <c r="H81" t="n">
        <v>11</v>
      </c>
      <c r="I81" t="n">
        <v>2</v>
      </c>
      <c r="J81" t="n">
        <v>1</v>
      </c>
      <c r="K81" t="n">
        <v>2</v>
      </c>
      <c r="L81" t="n">
        <v>0</v>
      </c>
      <c r="M81" t="n">
        <v>0</v>
      </c>
      <c r="N81" t="n">
        <v>4</v>
      </c>
      <c r="O81" s="1">
        <f>IFERROR(L81*G81,0)</f>
        <v/>
      </c>
      <c r="P81">
        <f>IF(N81-L81-M81&gt;0,N81-L81-M81,0)</f>
        <v/>
      </c>
      <c r="Q81" s="1">
        <f>IFERROR(P81*G81,0)</f>
        <v/>
      </c>
    </row>
    <row r="82">
      <c r="A82" t="inlineStr">
        <is>
          <t>1008847</t>
        </is>
      </c>
      <c r="B82" t="inlineStr">
        <is>
          <t>CMA-324-2M</t>
        </is>
      </c>
      <c r="C82" t="inlineStr">
        <is>
          <t>FM - SODECA</t>
        </is>
      </c>
      <c r="D82" t="n">
        <v>17</v>
      </c>
      <c r="E82" t="n">
        <v>3</v>
      </c>
      <c r="F82" t="inlineStr">
        <is>
          <t>SODECA</t>
        </is>
      </c>
      <c r="G82" s="1" t="n">
        <v>1227.76</v>
      </c>
      <c r="H82" t="n">
        <v>4</v>
      </c>
      <c r="I82" t="n">
        <v>2.8</v>
      </c>
      <c r="J82" t="n">
        <v>1</v>
      </c>
      <c r="K82" t="n">
        <v>3</v>
      </c>
      <c r="L82" t="n">
        <v>0</v>
      </c>
      <c r="M82" t="n">
        <v>0</v>
      </c>
      <c r="N82" t="n">
        <v>5</v>
      </c>
      <c r="O82" s="1">
        <f>IFERROR(L82*G82,0)</f>
        <v/>
      </c>
      <c r="P82">
        <f>IF(N82-L82-M82&gt;0,N82-L82-M82,0)</f>
        <v/>
      </c>
      <c r="Q82" s="1">
        <f>IFERROR(P82*G82,0)</f>
        <v/>
      </c>
    </row>
    <row r="83">
      <c r="A83" t="inlineStr">
        <is>
          <t>1008849</t>
        </is>
      </c>
      <c r="B83" t="inlineStr">
        <is>
          <t>CMA-324-2T</t>
        </is>
      </c>
      <c r="C83" t="inlineStr">
        <is>
          <t>FM - SODECA</t>
        </is>
      </c>
      <c r="D83" t="n">
        <v>28</v>
      </c>
      <c r="E83" t="n">
        <v>10</v>
      </c>
      <c r="F83" t="inlineStr">
        <is>
          <t>SODECA</t>
        </is>
      </c>
      <c r="G83" s="1" t="n">
        <v>3195.59</v>
      </c>
      <c r="H83" t="n">
        <v>11</v>
      </c>
      <c r="I83" t="n">
        <v>2.4</v>
      </c>
      <c r="J83" t="n">
        <v>1</v>
      </c>
      <c r="K83" t="n">
        <v>2</v>
      </c>
      <c r="L83" t="n">
        <v>0</v>
      </c>
      <c r="M83" t="n">
        <v>0</v>
      </c>
      <c r="N83" t="n">
        <v>4</v>
      </c>
      <c r="O83" s="1">
        <f>IFERROR(L83*G83,0)</f>
        <v/>
      </c>
      <c r="P83">
        <f>IF(N83-L83-M83&gt;0,N83-L83-M83,0)</f>
        <v/>
      </c>
      <c r="Q83" s="1">
        <f>IFERROR(P83*G83,0)</f>
        <v/>
      </c>
    </row>
    <row r="84">
      <c r="A84" t="inlineStr">
        <is>
          <t>1008851</t>
        </is>
      </c>
      <c r="B84" t="inlineStr">
        <is>
          <t>CMA-325-2M</t>
        </is>
      </c>
      <c r="C84" t="inlineStr">
        <is>
          <t>FM - SODECA</t>
        </is>
      </c>
      <c r="D84" t="n">
        <v>30</v>
      </c>
      <c r="E84" t="n">
        <v>45</v>
      </c>
      <c r="F84" t="inlineStr">
        <is>
          <t>SODECA</t>
        </is>
      </c>
      <c r="G84" s="1" t="n">
        <v>4623.77</v>
      </c>
      <c r="H84" t="n">
        <v>41</v>
      </c>
      <c r="I84" t="n">
        <v>2.3</v>
      </c>
      <c r="J84" t="n">
        <v>1.5</v>
      </c>
      <c r="K84" t="n">
        <v>3</v>
      </c>
      <c r="L84" t="n">
        <v>0</v>
      </c>
      <c r="M84" t="n">
        <v>0</v>
      </c>
      <c r="N84" t="n">
        <v>6</v>
      </c>
      <c r="O84" s="1">
        <f>IFERROR(L84*G84,0)</f>
        <v/>
      </c>
      <c r="P84">
        <f>IF(N84-L84-M84&gt;0,N84-L84-M84,0)</f>
        <v/>
      </c>
      <c r="Q84" s="1">
        <f>IFERROR(P84*G84,0)</f>
        <v/>
      </c>
    </row>
    <row r="85">
      <c r="A85" t="inlineStr">
        <is>
          <t>1008852</t>
        </is>
      </c>
      <c r="B85" t="inlineStr">
        <is>
          <t>CMA-325-2T</t>
        </is>
      </c>
      <c r="C85" t="inlineStr">
        <is>
          <t>FM - SODECA</t>
        </is>
      </c>
      <c r="D85" t="n">
        <v>27</v>
      </c>
      <c r="E85" t="n">
        <v>18</v>
      </c>
      <c r="F85" t="inlineStr">
        <is>
          <t>SODECA</t>
        </is>
      </c>
      <c r="G85" s="1" t="n">
        <v>3573.35</v>
      </c>
      <c r="H85" t="n">
        <v>15</v>
      </c>
      <c r="I85" t="n">
        <v>2.5</v>
      </c>
      <c r="J85" t="n">
        <v>1</v>
      </c>
      <c r="K85" t="n">
        <v>2</v>
      </c>
      <c r="L85" t="n">
        <v>0</v>
      </c>
      <c r="M85" t="n">
        <v>0</v>
      </c>
      <c r="N85" t="n">
        <v>4</v>
      </c>
      <c r="O85" s="1">
        <f>IFERROR(L85*G85,0)</f>
        <v/>
      </c>
      <c r="P85">
        <f>IF(N85-L85-M85&gt;0,N85-L85-M85,0)</f>
        <v/>
      </c>
      <c r="Q85" s="1">
        <f>IFERROR(P85*G85,0)</f>
        <v/>
      </c>
    </row>
    <row r="86">
      <c r="A86" t="inlineStr">
        <is>
          <t>1008854</t>
        </is>
      </c>
      <c r="B86" t="inlineStr">
        <is>
          <t>CMA-426-2M</t>
        </is>
      </c>
      <c r="C86" t="inlineStr">
        <is>
          <t>FM - SODECA</t>
        </is>
      </c>
      <c r="D86" t="n">
        <v>30</v>
      </c>
      <c r="E86" t="n">
        <v>23</v>
      </c>
      <c r="F86" t="inlineStr">
        <is>
          <t>SODECA</t>
        </is>
      </c>
      <c r="G86" s="1" t="n">
        <v>4990.01</v>
      </c>
      <c r="H86" t="n">
        <v>24</v>
      </c>
      <c r="I86" t="n">
        <v>2.3</v>
      </c>
      <c r="J86" t="n">
        <v>1</v>
      </c>
      <c r="K86" t="n">
        <v>2</v>
      </c>
      <c r="L86" t="n">
        <v>0</v>
      </c>
      <c r="M86" t="n">
        <v>0</v>
      </c>
      <c r="N86" t="n">
        <v>4</v>
      </c>
      <c r="O86" s="1">
        <f>IFERROR(L86*G86,0)</f>
        <v/>
      </c>
      <c r="P86">
        <f>IF(N86-L86-M86&gt;0,N86-L86-M86,0)</f>
        <v/>
      </c>
      <c r="Q86" s="1">
        <f>IFERROR(P86*G86,0)</f>
        <v/>
      </c>
    </row>
    <row r="87">
      <c r="A87" t="inlineStr">
        <is>
          <t>1008856</t>
        </is>
      </c>
      <c r="B87" t="inlineStr">
        <is>
          <t>CMA-426-2T</t>
        </is>
      </c>
      <c r="C87" t="inlineStr">
        <is>
          <t>FM - SODECA</t>
        </is>
      </c>
      <c r="D87" t="n">
        <v>31</v>
      </c>
      <c r="E87" t="n">
        <v>11</v>
      </c>
      <c r="F87" t="inlineStr">
        <is>
          <t>SODECA</t>
        </is>
      </c>
      <c r="G87" s="1" t="n">
        <v>3795.3</v>
      </c>
      <c r="H87" t="n">
        <v>11</v>
      </c>
      <c r="I87" t="n">
        <v>2.3</v>
      </c>
      <c r="J87" t="n">
        <v>1</v>
      </c>
      <c r="K87" t="n">
        <v>2</v>
      </c>
      <c r="L87" t="n">
        <v>0</v>
      </c>
      <c r="M87" t="n">
        <v>0</v>
      </c>
      <c r="N87" t="n">
        <v>4</v>
      </c>
      <c r="O87" s="1">
        <f>IFERROR(L87*G87,0)</f>
        <v/>
      </c>
      <c r="P87">
        <f>IF(N87-L87-M87&gt;0,N87-L87-M87,0)</f>
        <v/>
      </c>
      <c r="Q87" s="1">
        <f>IFERROR(P87*G87,0)</f>
        <v/>
      </c>
    </row>
    <row r="88">
      <c r="A88" t="inlineStr">
        <is>
          <t>1008860</t>
        </is>
      </c>
      <c r="B88" t="inlineStr">
        <is>
          <t>CMA-527-2M</t>
        </is>
      </c>
      <c r="C88" t="inlineStr">
        <is>
          <t>FM - SODECA</t>
        </is>
      </c>
      <c r="D88" t="n">
        <v>1</v>
      </c>
      <c r="E88" t="n">
        <v>2</v>
      </c>
      <c r="F88" t="inlineStr">
        <is>
          <t>SODECA</t>
        </is>
      </c>
      <c r="G88" s="1" t="n">
        <v>7066.18</v>
      </c>
      <c r="H88" t="n">
        <v>0</v>
      </c>
      <c r="I88" t="n">
        <v>2.4</v>
      </c>
      <c r="J88" t="n">
        <v>2</v>
      </c>
      <c r="K88" t="n">
        <v>5</v>
      </c>
      <c r="L88" t="n">
        <v>0</v>
      </c>
      <c r="M88" t="n">
        <v>0</v>
      </c>
      <c r="N88" t="n">
        <v>9</v>
      </c>
      <c r="O88" s="1">
        <f>IFERROR(L88*G88,0)</f>
        <v/>
      </c>
      <c r="P88">
        <f>IF(N88-L88-M88&gt;0,N88-L88-M88,0)</f>
        <v/>
      </c>
      <c r="Q88" s="1">
        <f>IFERROR(P88*G88,0)</f>
        <v/>
      </c>
    </row>
    <row r="89">
      <c r="A89" t="inlineStr">
        <is>
          <t>1008861</t>
        </is>
      </c>
      <c r="B89" t="inlineStr">
        <is>
          <t>CMA-527-2T</t>
        </is>
      </c>
      <c r="C89" t="inlineStr">
        <is>
          <t>FM - SODECA</t>
        </is>
      </c>
      <c r="D89" t="n">
        <v>30</v>
      </c>
      <c r="E89" t="n">
        <v>18</v>
      </c>
      <c r="F89" t="inlineStr">
        <is>
          <t>SODECA</t>
        </is>
      </c>
      <c r="G89" s="1" t="n">
        <v>6501.35</v>
      </c>
      <c r="H89" t="n">
        <v>20</v>
      </c>
      <c r="I89" t="n">
        <v>2.6</v>
      </c>
      <c r="J89" t="n">
        <v>1</v>
      </c>
      <c r="K89" t="n">
        <v>3</v>
      </c>
      <c r="L89" t="n">
        <v>0</v>
      </c>
      <c r="M89" t="n">
        <v>0</v>
      </c>
      <c r="N89" t="n">
        <v>5</v>
      </c>
      <c r="O89" s="1">
        <f>IFERROR(L89*G89,0)</f>
        <v/>
      </c>
      <c r="P89">
        <f>IF(N89-L89-M89&gt;0,N89-L89-M89,0)</f>
        <v/>
      </c>
      <c r="Q89" s="1">
        <f>IFERROR(P89*G89,0)</f>
        <v/>
      </c>
    </row>
    <row r="90">
      <c r="A90" t="inlineStr">
        <is>
          <t>1008864</t>
        </is>
      </c>
      <c r="B90" t="inlineStr">
        <is>
          <t>CMA-528-2M - 1.5</t>
        </is>
      </c>
      <c r="C90" t="inlineStr">
        <is>
          <t>FM - SODECA</t>
        </is>
      </c>
      <c r="D90" t="n">
        <v>31</v>
      </c>
      <c r="E90" t="n">
        <v>0</v>
      </c>
      <c r="F90" t="inlineStr"/>
      <c r="G90" s="1" t="n">
        <v>0</v>
      </c>
      <c r="H90" t="n">
        <v>1</v>
      </c>
      <c r="I90" t="n">
        <v>0.5</v>
      </c>
      <c r="J90" t="n">
        <v>1</v>
      </c>
      <c r="K90" t="n">
        <v>1</v>
      </c>
      <c r="L90" t="n">
        <v>0</v>
      </c>
      <c r="M90" t="n">
        <v>0</v>
      </c>
      <c r="N90" t="n">
        <v>2</v>
      </c>
      <c r="O90" s="1">
        <f>IFERROR(L90*G90,0)</f>
        <v/>
      </c>
      <c r="P90">
        <f>IF(N90-L90-M90&gt;0,N90-L90-M90,0)</f>
        <v/>
      </c>
      <c r="Q90" s="1">
        <f>IFERROR(P90*G90,0)</f>
        <v/>
      </c>
    </row>
    <row r="91">
      <c r="A91" t="inlineStr">
        <is>
          <t>1008867</t>
        </is>
      </c>
      <c r="B91" t="inlineStr">
        <is>
          <t>CMA-531-2M-2</t>
        </is>
      </c>
      <c r="C91" t="inlineStr">
        <is>
          <t>FM - SODECA</t>
        </is>
      </c>
      <c r="D91" t="n">
        <v>29</v>
      </c>
      <c r="E91" t="n">
        <v>0</v>
      </c>
      <c r="F91" t="inlineStr"/>
      <c r="G91" s="1" t="n">
        <v>0</v>
      </c>
      <c r="H91" t="n">
        <v>4</v>
      </c>
      <c r="I91" t="n">
        <v>0.5</v>
      </c>
      <c r="J91" t="n">
        <v>1</v>
      </c>
      <c r="K91" t="n">
        <v>1</v>
      </c>
      <c r="L91" t="n">
        <v>0</v>
      </c>
      <c r="M91" t="n">
        <v>0</v>
      </c>
      <c r="N91" t="n">
        <v>2</v>
      </c>
      <c r="O91" s="1">
        <f>IFERROR(L91*G91,0)</f>
        <v/>
      </c>
      <c r="P91">
        <f>IF(N91-L91-M91&gt;0,N91-L91-M91,0)</f>
        <v/>
      </c>
      <c r="Q91" s="1">
        <f>IFERROR(P91*G91,0)</f>
        <v/>
      </c>
    </row>
    <row r="92">
      <c r="A92" t="inlineStr">
        <is>
          <t>1008870</t>
        </is>
      </c>
      <c r="B92" t="inlineStr">
        <is>
          <t>CMA-528-2T-1.5 IE3</t>
        </is>
      </c>
      <c r="C92" t="inlineStr">
        <is>
          <t>FM - SODECA</t>
        </is>
      </c>
      <c r="D92" t="n">
        <v>29</v>
      </c>
      <c r="E92" t="n">
        <v>6</v>
      </c>
      <c r="F92" t="inlineStr">
        <is>
          <t>SODECA</t>
        </is>
      </c>
      <c r="G92" s="1" t="n">
        <v>8327.860000000001</v>
      </c>
      <c r="H92" t="n">
        <v>6</v>
      </c>
      <c r="I92" t="n">
        <v>2.7</v>
      </c>
      <c r="J92" t="n">
        <v>1</v>
      </c>
      <c r="K92" t="n">
        <v>3</v>
      </c>
      <c r="L92" t="n">
        <v>0</v>
      </c>
      <c r="M92" t="n">
        <v>0</v>
      </c>
      <c r="N92" t="n">
        <v>5</v>
      </c>
      <c r="O92" s="1">
        <f>IFERROR(L92*G92,0)</f>
        <v/>
      </c>
      <c r="P92">
        <f>IF(N92-L92-M92&gt;0,N92-L92-M92,0)</f>
        <v/>
      </c>
      <c r="Q92" s="1">
        <f>IFERROR(P92*G92,0)</f>
        <v/>
      </c>
    </row>
    <row r="93">
      <c r="A93" t="inlineStr">
        <is>
          <t>1008871</t>
        </is>
      </c>
      <c r="B93" t="inlineStr">
        <is>
          <t>CMA-528-2T-1 IE3</t>
        </is>
      </c>
      <c r="C93" t="inlineStr">
        <is>
          <t>FM - SODECA</t>
        </is>
      </c>
      <c r="D93" t="n">
        <v>17</v>
      </c>
      <c r="E93" t="n">
        <v>9</v>
      </c>
      <c r="F93" t="inlineStr">
        <is>
          <t>SODECA</t>
        </is>
      </c>
      <c r="G93" s="1" t="n">
        <v>7791.64</v>
      </c>
      <c r="H93" t="n">
        <v>11</v>
      </c>
      <c r="I93" t="n">
        <v>1.8</v>
      </c>
      <c r="J93" t="n">
        <v>1</v>
      </c>
      <c r="K93" t="n">
        <v>2</v>
      </c>
      <c r="L93" t="n">
        <v>0</v>
      </c>
      <c r="M93" t="n">
        <v>0</v>
      </c>
      <c r="N93" t="n">
        <v>4</v>
      </c>
      <c r="O93" s="1">
        <f>IFERROR(L93*G93,0)</f>
        <v/>
      </c>
      <c r="P93">
        <f>IF(N93-L93-M93&gt;0,N93-L93-M93,0)</f>
        <v/>
      </c>
      <c r="Q93" s="1">
        <f>IFERROR(P93*G93,0)</f>
        <v/>
      </c>
    </row>
    <row r="94">
      <c r="A94" t="inlineStr">
        <is>
          <t>1008873</t>
        </is>
      </c>
      <c r="B94" t="inlineStr">
        <is>
          <t>CMA-531-2T-1.5 IE3</t>
        </is>
      </c>
      <c r="C94" t="inlineStr">
        <is>
          <t>FM - SODECA</t>
        </is>
      </c>
      <c r="D94" t="n">
        <v>8</v>
      </c>
      <c r="E94" t="n">
        <v>0</v>
      </c>
      <c r="F94" t="inlineStr"/>
      <c r="G94" s="1" t="n">
        <v>0</v>
      </c>
      <c r="H94" t="n">
        <v>1</v>
      </c>
      <c r="I94" t="n">
        <v>0.5</v>
      </c>
      <c r="J94" t="n">
        <v>1</v>
      </c>
      <c r="K94" t="n">
        <v>1</v>
      </c>
      <c r="L94" t="n">
        <v>0</v>
      </c>
      <c r="M94" t="n">
        <v>0</v>
      </c>
      <c r="N94" t="n">
        <v>2</v>
      </c>
      <c r="O94" s="1">
        <f>IFERROR(L94*G94,0)</f>
        <v/>
      </c>
      <c r="P94">
        <f>IF(N94-L94-M94&gt;0,N94-L94-M94,0)</f>
        <v/>
      </c>
      <c r="Q94" s="1">
        <f>IFERROR(P94*G94,0)</f>
        <v/>
      </c>
    </row>
    <row r="95">
      <c r="A95" t="inlineStr">
        <is>
          <t>1008874</t>
        </is>
      </c>
      <c r="B95" t="inlineStr">
        <is>
          <t>CMA-531-2T-2 IE3</t>
        </is>
      </c>
      <c r="C95" t="inlineStr">
        <is>
          <t>FM - SODECA</t>
        </is>
      </c>
      <c r="D95" t="n">
        <v>5</v>
      </c>
      <c r="E95" t="n">
        <v>0</v>
      </c>
      <c r="F95" t="inlineStr"/>
      <c r="G95" s="1" t="n">
        <v>0</v>
      </c>
      <c r="H95" t="n">
        <v>2</v>
      </c>
      <c r="I95" t="n">
        <v>0.5</v>
      </c>
      <c r="J95" t="n">
        <v>1</v>
      </c>
      <c r="K95" t="n">
        <v>1</v>
      </c>
      <c r="L95" t="n">
        <v>0</v>
      </c>
      <c r="M95" t="n">
        <v>0</v>
      </c>
      <c r="N95" t="n">
        <v>2</v>
      </c>
      <c r="O95" s="1">
        <f>IFERROR(L95*G95,0)</f>
        <v/>
      </c>
      <c r="P95">
        <f>IF(N95-L95-M95&gt;0,N95-L95-M95,0)</f>
        <v/>
      </c>
      <c r="Q95" s="1">
        <f>IFERROR(P95*G95,0)</f>
        <v/>
      </c>
    </row>
    <row r="96">
      <c r="A96" t="inlineStr">
        <is>
          <t>1008875</t>
        </is>
      </c>
      <c r="B96" t="inlineStr">
        <is>
          <t>CMA-531-2T-3 IE3</t>
        </is>
      </c>
      <c r="C96" t="inlineStr">
        <is>
          <t>FM - SODECA</t>
        </is>
      </c>
      <c r="D96" t="n">
        <v>23</v>
      </c>
      <c r="E96" t="n">
        <v>8</v>
      </c>
      <c r="F96" t="inlineStr">
        <is>
          <t>SODECA</t>
        </is>
      </c>
      <c r="G96" s="1" t="n">
        <v>13272.68</v>
      </c>
      <c r="H96" t="n">
        <v>10</v>
      </c>
      <c r="I96" t="n">
        <v>2.8</v>
      </c>
      <c r="J96" t="n">
        <v>1</v>
      </c>
      <c r="K96" t="n">
        <v>3</v>
      </c>
      <c r="L96" t="n">
        <v>0</v>
      </c>
      <c r="M96" t="n">
        <v>0</v>
      </c>
      <c r="N96" t="n">
        <v>5</v>
      </c>
      <c r="O96" s="1">
        <f>IFERROR(L96*G96,0)</f>
        <v/>
      </c>
      <c r="P96">
        <f>IF(N96-L96-M96&gt;0,N96-L96-M96,0)</f>
        <v/>
      </c>
      <c r="Q96" s="1">
        <f>IFERROR(P96*G96,0)</f>
        <v/>
      </c>
    </row>
    <row r="97">
      <c r="A97" t="inlineStr">
        <is>
          <t>1009166</t>
        </is>
      </c>
      <c r="B97" t="inlineStr">
        <is>
          <t>CBD-2828-4M 3/4/HE</t>
        </is>
      </c>
      <c r="C97" t="inlineStr"/>
      <c r="D97" t="n">
        <v>1</v>
      </c>
      <c r="E97" t="n">
        <v>11</v>
      </c>
      <c r="F97" t="inlineStr">
        <is>
          <t>SODECA</t>
        </is>
      </c>
      <c r="G97" s="1" t="n">
        <v>3198.31</v>
      </c>
      <c r="H97" t="n">
        <v>0</v>
      </c>
      <c r="I97" t="n">
        <v>2</v>
      </c>
      <c r="J97" t="n">
        <v>11</v>
      </c>
      <c r="K97" t="n">
        <v>22</v>
      </c>
      <c r="L97" t="n">
        <v>0</v>
      </c>
      <c r="M97" t="n">
        <v>0</v>
      </c>
      <c r="N97" t="n">
        <v>44</v>
      </c>
      <c r="O97" s="1">
        <f>IFERROR(L97*G97,0)</f>
        <v/>
      </c>
      <c r="P97">
        <f>IF(N97-L97-M97&gt;0,N97-L97-M97,0)</f>
        <v/>
      </c>
      <c r="Q97" s="1">
        <f>IFERROR(P97*G97,0)</f>
        <v/>
      </c>
    </row>
    <row r="98">
      <c r="A98" t="inlineStr">
        <is>
          <t>100NB x 135mm</t>
        </is>
      </c>
      <c r="B98" t="inlineStr">
        <is>
          <t>100NB x 135mm Style 10 Linkflex 100% (Inner &amp; Outer Tube) EPDM rubber bellows c/w mild steel</t>
        </is>
      </c>
      <c r="C98" t="inlineStr"/>
      <c r="D98" t="n">
        <v>1</v>
      </c>
      <c r="E98" t="n">
        <v>17</v>
      </c>
      <c r="F98" t="inlineStr">
        <is>
          <t>Malcolm Arnot CC ( Linkflex)</t>
        </is>
      </c>
      <c r="G98" s="1" t="n">
        <v>2020</v>
      </c>
      <c r="H98" t="n">
        <v>17</v>
      </c>
      <c r="I98" t="n">
        <v>0.5</v>
      </c>
      <c r="J98" t="n">
        <v>17</v>
      </c>
      <c r="K98" t="n">
        <v>8</v>
      </c>
      <c r="L98" t="n">
        <v>0</v>
      </c>
      <c r="M98" t="n">
        <v>0</v>
      </c>
      <c r="N98" t="n">
        <v>42</v>
      </c>
      <c r="O98" s="1">
        <f>IFERROR(L98*G98,0)</f>
        <v/>
      </c>
      <c r="P98">
        <f>IF(N98-L98-M98&gt;0,N98-L98-M98,0)</f>
        <v/>
      </c>
      <c r="Q98" s="1">
        <f>IFERROR(P98*G98,0)</f>
        <v/>
      </c>
    </row>
    <row r="99">
      <c r="A99" t="inlineStr">
        <is>
          <t>100T600</t>
        </is>
      </c>
      <c r="B99" t="inlineStr">
        <is>
          <t>100 Diam Tube Silencer 600L</t>
        </is>
      </c>
      <c r="C99" t="inlineStr">
        <is>
          <t>FM - DONKIN</t>
        </is>
      </c>
      <c r="D99" t="n">
        <v>17</v>
      </c>
      <c r="E99" t="n">
        <v>53</v>
      </c>
      <c r="F99" t="inlineStr">
        <is>
          <t>Attenu-Tec</t>
        </is>
      </c>
      <c r="G99" s="1" t="n">
        <v>360</v>
      </c>
      <c r="H99" t="n">
        <v>55</v>
      </c>
      <c r="I99" t="n">
        <v>0.5</v>
      </c>
      <c r="J99" t="n">
        <v>3.5</v>
      </c>
      <c r="K99" t="n">
        <v>2</v>
      </c>
      <c r="L99" t="n">
        <v>0</v>
      </c>
      <c r="M99" t="n">
        <v>0</v>
      </c>
      <c r="N99" t="n">
        <v>9</v>
      </c>
      <c r="O99" s="1">
        <f>IFERROR(L99*G99,0)</f>
        <v/>
      </c>
      <c r="P99">
        <f>IF(N99-L99-M99&gt;0,N99-L99-M99,0)</f>
        <v/>
      </c>
      <c r="Q99" s="1">
        <f>IFERROR(P99*G99,0)</f>
        <v/>
      </c>
    </row>
    <row r="100">
      <c r="A100" t="inlineStr">
        <is>
          <t>1010396</t>
        </is>
      </c>
      <c r="B100" t="inlineStr">
        <is>
          <t>CAM 540 2T</t>
        </is>
      </c>
      <c r="C100" t="inlineStr">
        <is>
          <t>FM - SODECA</t>
        </is>
      </c>
      <c r="D100" t="n">
        <v>31</v>
      </c>
      <c r="E100" t="n">
        <v>0</v>
      </c>
      <c r="F100" t="inlineStr"/>
      <c r="G100" s="1" t="n">
        <v>0</v>
      </c>
      <c r="H100" t="n">
        <v>2</v>
      </c>
      <c r="I100" t="n">
        <v>0.5</v>
      </c>
      <c r="J100" t="n">
        <v>1</v>
      </c>
      <c r="K100" t="n">
        <v>1</v>
      </c>
      <c r="L100" t="n">
        <v>0</v>
      </c>
      <c r="M100" t="n">
        <v>0</v>
      </c>
      <c r="N100" t="n">
        <v>2</v>
      </c>
      <c r="O100" s="1">
        <f>IFERROR(L100*G100,0)</f>
        <v/>
      </c>
      <c r="P100">
        <f>IF(N100-L100-M100&gt;0,N100-L100-M100,0)</f>
        <v/>
      </c>
      <c r="Q100" s="1">
        <f>IFERROR(P100*G100,0)</f>
        <v/>
      </c>
    </row>
    <row r="101">
      <c r="A101" t="inlineStr">
        <is>
          <t>1010401</t>
        </is>
      </c>
      <c r="B101" t="inlineStr">
        <is>
          <t>CAM 545 2T 4 c/w 3.0kw 2P 400V</t>
        </is>
      </c>
      <c r="C101" t="inlineStr">
        <is>
          <t>FM - SODECA</t>
        </is>
      </c>
      <c r="D101" t="n">
        <v>33</v>
      </c>
      <c r="E101" t="n">
        <v>12</v>
      </c>
      <c r="F101" t="inlineStr">
        <is>
          <t>SODECA</t>
        </is>
      </c>
      <c r="G101" s="1" t="n">
        <v>14410.33</v>
      </c>
      <c r="H101" t="n">
        <v>11</v>
      </c>
      <c r="I101" t="n">
        <v>2</v>
      </c>
      <c r="J101" t="n">
        <v>1</v>
      </c>
      <c r="K101" t="n">
        <v>2</v>
      </c>
      <c r="L101" t="n">
        <v>0</v>
      </c>
      <c r="M101" t="n">
        <v>0</v>
      </c>
      <c r="N101" t="n">
        <v>4</v>
      </c>
      <c r="O101" s="1">
        <f>IFERROR(L101*G101,0)</f>
        <v/>
      </c>
      <c r="P101">
        <f>IF(N101-L101-M101&gt;0,N101-L101-M101,0)</f>
        <v/>
      </c>
      <c r="Q101" s="1">
        <f>IFERROR(P101*G101,0)</f>
        <v/>
      </c>
    </row>
    <row r="102">
      <c r="A102" t="inlineStr">
        <is>
          <t>1010405</t>
        </is>
      </c>
      <c r="B102" t="inlineStr">
        <is>
          <t>CAM 550-2T-5.5 230/400V. IE3</t>
        </is>
      </c>
      <c r="C102" t="inlineStr"/>
      <c r="D102" t="n">
        <v>1</v>
      </c>
      <c r="E102" t="n">
        <v>2</v>
      </c>
      <c r="F102" t="inlineStr">
        <is>
          <t>SODECA</t>
        </is>
      </c>
      <c r="G102" s="1" t="n">
        <v>20655.41</v>
      </c>
      <c r="H102" t="n">
        <v>0</v>
      </c>
      <c r="I102" t="n">
        <v>1.2</v>
      </c>
      <c r="J102" t="n">
        <v>2</v>
      </c>
      <c r="K102" t="n">
        <v>2</v>
      </c>
      <c r="L102" t="n">
        <v>0</v>
      </c>
      <c r="M102" t="n">
        <v>0</v>
      </c>
      <c r="N102" t="n">
        <v>6</v>
      </c>
      <c r="O102" s="1">
        <f>IFERROR(L102*G102,0)</f>
        <v/>
      </c>
      <c r="P102">
        <f>IF(N102-L102-M102&gt;0,N102-L102-M102,0)</f>
        <v/>
      </c>
      <c r="Q102" s="1">
        <f>IFERROR(P102*G102,0)</f>
        <v/>
      </c>
    </row>
    <row r="103">
      <c r="A103" t="inlineStr">
        <is>
          <t>1010407</t>
        </is>
      </c>
      <c r="B103" t="inlineStr">
        <is>
          <t>CAM 550 2T 7.5</t>
        </is>
      </c>
      <c r="C103" t="inlineStr">
        <is>
          <t>FM - SODECA</t>
        </is>
      </c>
      <c r="D103" t="n">
        <v>18</v>
      </c>
      <c r="E103" t="n">
        <v>5</v>
      </c>
      <c r="F103" t="inlineStr">
        <is>
          <t>SODECA</t>
        </is>
      </c>
      <c r="G103" s="1" t="n">
        <v>23609.05</v>
      </c>
      <c r="H103" t="n">
        <v>4</v>
      </c>
      <c r="I103" t="n">
        <v>1.9</v>
      </c>
      <c r="J103" t="n">
        <v>1</v>
      </c>
      <c r="K103" t="n">
        <v>2</v>
      </c>
      <c r="L103" t="n">
        <v>0</v>
      </c>
      <c r="M103" t="n">
        <v>0</v>
      </c>
      <c r="N103" t="n">
        <v>4</v>
      </c>
      <c r="O103" s="1">
        <f>IFERROR(L103*G103,0)</f>
        <v/>
      </c>
      <c r="P103">
        <f>IF(N103-L103-M103&gt;0,N103-L103-M103,0)</f>
        <v/>
      </c>
      <c r="Q103" s="1">
        <f>IFERROR(P103*G103,0)</f>
        <v/>
      </c>
    </row>
    <row r="104">
      <c r="A104" t="inlineStr">
        <is>
          <t>1010522</t>
        </is>
      </c>
      <c r="B104" t="inlineStr">
        <is>
          <t>AT 10/10 SC2 - Double Unit</t>
        </is>
      </c>
      <c r="C104" t="inlineStr">
        <is>
          <t>FM - NICOTRA</t>
        </is>
      </c>
      <c r="D104" t="n">
        <v>28</v>
      </c>
      <c r="E104" t="n">
        <v>0</v>
      </c>
      <c r="F104" t="inlineStr"/>
      <c r="G104" s="1" t="n">
        <v>0</v>
      </c>
      <c r="H104" t="n">
        <v>3</v>
      </c>
      <c r="I104" t="n">
        <v>0.5</v>
      </c>
      <c r="J104" t="n">
        <v>1</v>
      </c>
      <c r="K104" t="n">
        <v>1</v>
      </c>
      <c r="L104" t="n">
        <v>0</v>
      </c>
      <c r="M104" t="n">
        <v>0</v>
      </c>
      <c r="N104" t="n">
        <v>2</v>
      </c>
      <c r="O104" s="1">
        <f>IFERROR(L104*G104,0)</f>
        <v/>
      </c>
      <c r="P104">
        <f>IF(N104-L104-M104&gt;0,N104-L104-M104,0)</f>
        <v/>
      </c>
      <c r="Q104" s="1">
        <f>IFERROR(P104*G104,0)</f>
        <v/>
      </c>
    </row>
    <row r="105">
      <c r="A105" t="inlineStr">
        <is>
          <t>1010596</t>
        </is>
      </c>
      <c r="B105" t="inlineStr">
        <is>
          <t>CAS 254 - 2T - 3</t>
        </is>
      </c>
      <c r="C105" t="inlineStr">
        <is>
          <t>FM - SODECA</t>
        </is>
      </c>
      <c r="D105" t="n">
        <v>12</v>
      </c>
      <c r="E105" t="n">
        <v>0</v>
      </c>
      <c r="F105" t="inlineStr"/>
      <c r="G105" s="1" t="n">
        <v>0</v>
      </c>
      <c r="H105" t="n">
        <v>1</v>
      </c>
      <c r="I105" t="n">
        <v>0.5</v>
      </c>
      <c r="J105" t="n">
        <v>1</v>
      </c>
      <c r="K105" t="n">
        <v>1</v>
      </c>
      <c r="L105" t="n">
        <v>0</v>
      </c>
      <c r="M105" t="n">
        <v>0</v>
      </c>
      <c r="N105" t="n">
        <v>2</v>
      </c>
      <c r="O105" s="1">
        <f>IFERROR(L105*G105,0)</f>
        <v/>
      </c>
      <c r="P105">
        <f>IF(N105-L105-M105&gt;0,N105-L105-M105,0)</f>
        <v/>
      </c>
      <c r="Q105" s="1">
        <f>IFERROR(P105*G105,0)</f>
        <v/>
      </c>
    </row>
    <row r="106">
      <c r="A106" t="inlineStr">
        <is>
          <t>1010606</t>
        </is>
      </c>
      <c r="B106" t="inlineStr">
        <is>
          <t>CAS 463 - 2T - 7.5</t>
        </is>
      </c>
      <c r="C106" t="inlineStr">
        <is>
          <t>FM - SODECA</t>
        </is>
      </c>
      <c r="D106" t="n">
        <v>17</v>
      </c>
      <c r="E106" t="n">
        <v>0</v>
      </c>
      <c r="F106" t="inlineStr"/>
      <c r="G106" s="1" t="n">
        <v>0</v>
      </c>
      <c r="H106" t="n">
        <v>1</v>
      </c>
      <c r="I106" t="n">
        <v>0.5</v>
      </c>
      <c r="J106" t="n">
        <v>1</v>
      </c>
      <c r="K106" t="n">
        <v>1</v>
      </c>
      <c r="L106" t="n">
        <v>0</v>
      </c>
      <c r="M106" t="n">
        <v>0</v>
      </c>
      <c r="N106" t="n">
        <v>2</v>
      </c>
      <c r="O106" s="1">
        <f>IFERROR(L106*G106,0)</f>
        <v/>
      </c>
      <c r="P106">
        <f>IF(N106-L106-M106&gt;0,N106-L106-M106,0)</f>
        <v/>
      </c>
      <c r="Q106" s="1">
        <f>IFERROR(P106*G106,0)</f>
        <v/>
      </c>
    </row>
    <row r="107">
      <c r="A107" t="inlineStr">
        <is>
          <t>101065</t>
        </is>
      </c>
      <c r="B107" t="inlineStr">
        <is>
          <t>ER70S MILD STEEL MIG WIRE 1.0MM</t>
        </is>
      </c>
      <c r="C107" t="inlineStr"/>
      <c r="D107" t="n">
        <v>1</v>
      </c>
      <c r="E107" t="n">
        <v>90</v>
      </c>
      <c r="F107" t="inlineStr">
        <is>
          <t>INTROWELD CC</t>
        </is>
      </c>
      <c r="G107" s="1" t="n">
        <v>35</v>
      </c>
      <c r="H107" t="n">
        <v>0</v>
      </c>
      <c r="I107" t="n">
        <v>0.5</v>
      </c>
      <c r="J107" t="n">
        <v>90</v>
      </c>
      <c r="K107" t="n">
        <v>45</v>
      </c>
      <c r="L107" t="n">
        <v>0</v>
      </c>
      <c r="M107" t="n">
        <v>30</v>
      </c>
      <c r="N107" t="n">
        <v>225</v>
      </c>
      <c r="O107" s="1">
        <f>IFERROR(L107*G107,0)</f>
        <v/>
      </c>
      <c r="P107">
        <f>IF(N107-L107-M107&gt;0,N107-L107-M107,0)</f>
        <v/>
      </c>
      <c r="Q107" s="1">
        <f>IFERROR(P107*G107,0)</f>
        <v/>
      </c>
    </row>
    <row r="108">
      <c r="A108" t="inlineStr">
        <is>
          <t>1012-2010-A</t>
        </is>
      </c>
      <c r="B108" t="inlineStr">
        <is>
          <t>SQUARE COMBINATION SET 4PC DASQUA</t>
        </is>
      </c>
      <c r="C108" t="inlineStr"/>
      <c r="D108" t="n">
        <v>1</v>
      </c>
      <c r="E108" t="n">
        <v>1</v>
      </c>
      <c r="F108" t="inlineStr">
        <is>
          <t>SPARES 2000 CC t/a SHARP-RITE</t>
        </is>
      </c>
      <c r="G108" s="1" t="n">
        <v>1500</v>
      </c>
      <c r="H108" t="n">
        <v>0</v>
      </c>
      <c r="I108" t="n">
        <v>0.8</v>
      </c>
      <c r="J108" t="n">
        <v>1</v>
      </c>
      <c r="K108" t="n">
        <v>1</v>
      </c>
      <c r="L108" t="n">
        <v>0</v>
      </c>
      <c r="M108" t="n">
        <v>0</v>
      </c>
      <c r="N108" t="n">
        <v>3</v>
      </c>
      <c r="O108" s="1">
        <f>IFERROR(L108*G108,0)</f>
        <v/>
      </c>
      <c r="P108">
        <f>IF(N108-L108-M108&gt;0,N108-L108-M108,0)</f>
        <v/>
      </c>
      <c r="Q108" s="1">
        <f>IFERROR(P108*G108,0)</f>
        <v/>
      </c>
    </row>
    <row r="109">
      <c r="A109" t="inlineStr">
        <is>
          <t>1012391</t>
        </is>
      </c>
      <c r="B109" t="inlineStr">
        <is>
          <t>CMP 38 2M</t>
        </is>
      </c>
      <c r="C109" t="inlineStr">
        <is>
          <t>FM - SODECA</t>
        </is>
      </c>
      <c r="D109" t="n">
        <v>17</v>
      </c>
      <c r="E109" t="n">
        <v>0</v>
      </c>
      <c r="F109" t="inlineStr"/>
      <c r="G109" s="1" t="n">
        <v>0</v>
      </c>
      <c r="H109" t="n">
        <v>15</v>
      </c>
      <c r="I109" t="n">
        <v>0.5</v>
      </c>
      <c r="J109" t="n">
        <v>1</v>
      </c>
      <c r="K109" t="n">
        <v>1</v>
      </c>
      <c r="L109" t="n">
        <v>0</v>
      </c>
      <c r="M109" t="n">
        <v>0</v>
      </c>
      <c r="N109" t="n">
        <v>2</v>
      </c>
      <c r="O109" s="1">
        <f>IFERROR(L109*G109,0)</f>
        <v/>
      </c>
      <c r="P109">
        <f>IF(N109-L109-M109&gt;0,N109-L109-M109,0)</f>
        <v/>
      </c>
      <c r="Q109" s="1">
        <f>IFERROR(P109*G109,0)</f>
        <v/>
      </c>
    </row>
    <row r="110">
      <c r="A110" t="inlineStr">
        <is>
          <t>1012392</t>
        </is>
      </c>
      <c r="B110" t="inlineStr">
        <is>
          <t>CMP-38-2M/E 230V</t>
        </is>
      </c>
      <c r="C110" t="inlineStr"/>
      <c r="D110" t="n">
        <v>8</v>
      </c>
      <c r="E110" t="n">
        <v>12</v>
      </c>
      <c r="F110" t="inlineStr">
        <is>
          <t>SODECA</t>
        </is>
      </c>
      <c r="G110" s="1" t="n">
        <v>2093.91</v>
      </c>
      <c r="H110" t="n">
        <v>2</v>
      </c>
      <c r="I110" t="n">
        <v>2.4</v>
      </c>
      <c r="J110" t="n">
        <v>1.5</v>
      </c>
      <c r="K110" t="n">
        <v>4</v>
      </c>
      <c r="L110" t="n">
        <v>0</v>
      </c>
      <c r="M110" t="n">
        <v>0</v>
      </c>
      <c r="N110" t="n">
        <v>7</v>
      </c>
      <c r="O110" s="1">
        <f>IFERROR(L110*G110,0)</f>
        <v/>
      </c>
      <c r="P110">
        <f>IF(N110-L110-M110&gt;0,N110-L110-M110,0)</f>
        <v/>
      </c>
      <c r="Q110" s="1">
        <f>IFERROR(P110*G110,0)</f>
        <v/>
      </c>
    </row>
    <row r="111">
      <c r="A111" t="inlineStr">
        <is>
          <t>1012398</t>
        </is>
      </c>
      <c r="B111" t="inlineStr">
        <is>
          <t>CMP 512 2M</t>
        </is>
      </c>
      <c r="C111" t="inlineStr">
        <is>
          <t>FM - SODECA</t>
        </is>
      </c>
      <c r="D111" t="n">
        <v>32</v>
      </c>
      <c r="E111" t="n">
        <v>14</v>
      </c>
      <c r="F111" t="inlineStr">
        <is>
          <t>SODECA</t>
        </is>
      </c>
      <c r="G111" s="1" t="n">
        <v>735.24</v>
      </c>
      <c r="H111" t="n">
        <v>13</v>
      </c>
      <c r="I111" t="n">
        <v>1.5</v>
      </c>
      <c r="J111" t="n">
        <v>1</v>
      </c>
      <c r="K111" t="n">
        <v>2</v>
      </c>
      <c r="L111" t="n">
        <v>0</v>
      </c>
      <c r="M111" t="n">
        <v>0</v>
      </c>
      <c r="N111" t="n">
        <v>4</v>
      </c>
      <c r="O111" s="1">
        <f>IFERROR(L111*G111,0)</f>
        <v/>
      </c>
      <c r="P111">
        <f>IF(N111-L111-M111&gt;0,N111-L111-M111,0)</f>
        <v/>
      </c>
      <c r="Q111" s="1">
        <f>IFERROR(P111*G111,0)</f>
        <v/>
      </c>
    </row>
    <row r="112">
      <c r="A112" t="inlineStr">
        <is>
          <t>1012411</t>
        </is>
      </c>
      <c r="B112" t="inlineStr">
        <is>
          <t>CMP 512 2T</t>
        </is>
      </c>
      <c r="C112" t="inlineStr">
        <is>
          <t>FM - SODECA</t>
        </is>
      </c>
      <c r="D112" t="n">
        <v>25</v>
      </c>
      <c r="E112" t="n">
        <v>45</v>
      </c>
      <c r="F112" t="inlineStr">
        <is>
          <t>SODECA</t>
        </is>
      </c>
      <c r="G112" s="1" t="n">
        <v>1727.72</v>
      </c>
      <c r="H112" t="n">
        <v>43</v>
      </c>
      <c r="I112" t="n">
        <v>2.2</v>
      </c>
      <c r="J112" t="n">
        <v>2</v>
      </c>
      <c r="K112" t="n">
        <v>4</v>
      </c>
      <c r="L112" t="n">
        <v>0</v>
      </c>
      <c r="M112" t="n">
        <v>0</v>
      </c>
      <c r="N112" t="n">
        <v>8</v>
      </c>
      <c r="O112" s="1">
        <f>IFERROR(L112*G112,0)</f>
        <v/>
      </c>
      <c r="P112">
        <f>IF(N112-L112-M112&gt;0,N112-L112-M112,0)</f>
        <v/>
      </c>
      <c r="Q112" s="1">
        <f>IFERROR(P112*G112,0)</f>
        <v/>
      </c>
    </row>
    <row r="113">
      <c r="A113" t="inlineStr">
        <is>
          <t>1012446</t>
        </is>
      </c>
      <c r="B113" t="inlineStr">
        <is>
          <t>CMP 514 2M</t>
        </is>
      </c>
      <c r="C113" t="inlineStr">
        <is>
          <t>FM - SODECA</t>
        </is>
      </c>
      <c r="D113" t="n">
        <v>31</v>
      </c>
      <c r="E113" t="n">
        <v>51</v>
      </c>
      <c r="F113" t="inlineStr">
        <is>
          <t>SODECA</t>
        </is>
      </c>
      <c r="G113" s="1" t="n">
        <v>1993.97</v>
      </c>
      <c r="H113" t="n">
        <v>36</v>
      </c>
      <c r="I113" t="n">
        <v>1.8</v>
      </c>
      <c r="J113" t="n">
        <v>2</v>
      </c>
      <c r="K113" t="n">
        <v>4</v>
      </c>
      <c r="L113" t="n">
        <v>0</v>
      </c>
      <c r="M113" t="n">
        <v>0</v>
      </c>
      <c r="N113" t="n">
        <v>8</v>
      </c>
      <c r="O113" s="1">
        <f>IFERROR(L113*G113,0)</f>
        <v/>
      </c>
      <c r="P113">
        <f>IF(N113-L113-M113&gt;0,N113-L113-M113,0)</f>
        <v/>
      </c>
      <c r="Q113" s="1">
        <f>IFERROR(P113*G113,0)</f>
        <v/>
      </c>
    </row>
    <row r="114">
      <c r="A114" t="inlineStr">
        <is>
          <t>1012461</t>
        </is>
      </c>
      <c r="B114" t="inlineStr">
        <is>
          <t>CMP 514 2T</t>
        </is>
      </c>
      <c r="C114" t="inlineStr">
        <is>
          <t>FM - SODECA</t>
        </is>
      </c>
      <c r="D114" t="n">
        <v>28</v>
      </c>
      <c r="E114" t="n">
        <v>47</v>
      </c>
      <c r="F114" t="inlineStr">
        <is>
          <t>SODECA</t>
        </is>
      </c>
      <c r="G114" s="1" t="n">
        <v>2095.15</v>
      </c>
      <c r="H114" t="n">
        <v>35</v>
      </c>
      <c r="I114" t="n">
        <v>2</v>
      </c>
      <c r="J114" t="n">
        <v>2</v>
      </c>
      <c r="K114" t="n">
        <v>4</v>
      </c>
      <c r="L114" t="n">
        <v>0</v>
      </c>
      <c r="M114" t="n">
        <v>0</v>
      </c>
      <c r="N114" t="n">
        <v>8</v>
      </c>
      <c r="O114" s="1">
        <f>IFERROR(L114*G114,0)</f>
        <v/>
      </c>
      <c r="P114">
        <f>IF(N114-L114-M114&gt;0,N114-L114-M114,0)</f>
        <v/>
      </c>
      <c r="Q114" s="1">
        <f>IFERROR(P114*G114,0)</f>
        <v/>
      </c>
    </row>
    <row r="115">
      <c r="A115" t="inlineStr">
        <is>
          <t>1012504</t>
        </is>
      </c>
      <c r="B115" t="inlineStr">
        <is>
          <t>CMP 616 2M</t>
        </is>
      </c>
      <c r="C115" t="inlineStr">
        <is>
          <t>FM - SODECA</t>
        </is>
      </c>
      <c r="D115" t="n">
        <v>30</v>
      </c>
      <c r="E115" t="n">
        <v>11</v>
      </c>
      <c r="F115" t="inlineStr">
        <is>
          <t>SODECA</t>
        </is>
      </c>
      <c r="G115" s="1" t="n">
        <v>1429.71</v>
      </c>
      <c r="H115" t="n">
        <v>10</v>
      </c>
      <c r="I115" t="n">
        <v>2.1</v>
      </c>
      <c r="J115" t="n">
        <v>1</v>
      </c>
      <c r="K115" t="n">
        <v>2</v>
      </c>
      <c r="L115" t="n">
        <v>0</v>
      </c>
      <c r="M115" t="n">
        <v>0</v>
      </c>
      <c r="N115" t="n">
        <v>4</v>
      </c>
      <c r="O115" s="1">
        <f>IFERROR(L115*G115,0)</f>
        <v/>
      </c>
      <c r="P115">
        <f>IF(N115-L115-M115&gt;0,N115-L115-M115,0)</f>
        <v/>
      </c>
      <c r="Q115" s="1">
        <f>IFERROR(P115*G115,0)</f>
        <v/>
      </c>
    </row>
    <row r="116">
      <c r="A116" t="inlineStr">
        <is>
          <t>1012516</t>
        </is>
      </c>
      <c r="B116" t="inlineStr">
        <is>
          <t>CMP 616 2T</t>
        </is>
      </c>
      <c r="C116" t="inlineStr">
        <is>
          <t>FM - SODECA</t>
        </is>
      </c>
      <c r="D116" t="n">
        <v>33</v>
      </c>
      <c r="E116" t="n">
        <v>73</v>
      </c>
      <c r="F116" t="inlineStr">
        <is>
          <t>SODECA</t>
        </is>
      </c>
      <c r="G116" s="1" t="n">
        <v>2732.17</v>
      </c>
      <c r="H116" t="n">
        <v>53</v>
      </c>
      <c r="I116" t="n">
        <v>1.9</v>
      </c>
      <c r="J116" t="n">
        <v>2.5</v>
      </c>
      <c r="K116" t="n">
        <v>5</v>
      </c>
      <c r="L116" t="n">
        <v>0</v>
      </c>
      <c r="M116" t="n">
        <v>0</v>
      </c>
      <c r="N116" t="n">
        <v>10</v>
      </c>
      <c r="O116" s="1">
        <f>IFERROR(L116*G116,0)</f>
        <v/>
      </c>
      <c r="P116">
        <f>IF(N116-L116-M116&gt;0,N116-L116-M116,0)</f>
        <v/>
      </c>
      <c r="Q116" s="1">
        <f>IFERROR(P116*G116,0)</f>
        <v/>
      </c>
    </row>
    <row r="117">
      <c r="A117" t="inlineStr">
        <is>
          <t>1012571</t>
        </is>
      </c>
      <c r="B117" t="inlineStr">
        <is>
          <t>CMP 718 2M</t>
        </is>
      </c>
      <c r="C117" t="inlineStr">
        <is>
          <t>FM - SODECA</t>
        </is>
      </c>
      <c r="D117" t="n">
        <v>26</v>
      </c>
      <c r="E117" t="n">
        <v>0</v>
      </c>
      <c r="F117" t="inlineStr"/>
      <c r="G117" s="1" t="n">
        <v>0</v>
      </c>
      <c r="H117" t="n">
        <v>7</v>
      </c>
      <c r="I117" t="n">
        <v>0.5</v>
      </c>
      <c r="J117" t="n">
        <v>1</v>
      </c>
      <c r="K117" t="n">
        <v>1</v>
      </c>
      <c r="L117" t="n">
        <v>0</v>
      </c>
      <c r="M117" t="n">
        <v>0</v>
      </c>
      <c r="N117" t="n">
        <v>2</v>
      </c>
      <c r="O117" s="1">
        <f>IFERROR(L117*G117,0)</f>
        <v/>
      </c>
      <c r="P117">
        <f>IF(N117-L117-M117&gt;0,N117-L117-M117,0)</f>
        <v/>
      </c>
      <c r="Q117" s="1">
        <f>IFERROR(P117*G117,0)</f>
        <v/>
      </c>
    </row>
    <row r="118">
      <c r="A118" t="inlineStr">
        <is>
          <t>1012594</t>
        </is>
      </c>
      <c r="B118" t="inlineStr">
        <is>
          <t>CMP 820 2M</t>
        </is>
      </c>
      <c r="C118" t="inlineStr">
        <is>
          <t>FM - SODECA</t>
        </is>
      </c>
      <c r="D118" t="n">
        <v>28</v>
      </c>
      <c r="E118" t="n">
        <v>0</v>
      </c>
      <c r="F118" t="inlineStr"/>
      <c r="G118" s="1" t="n">
        <v>0</v>
      </c>
      <c r="H118" t="n">
        <v>7</v>
      </c>
      <c r="I118" t="n">
        <v>0.5</v>
      </c>
      <c r="J118" t="n">
        <v>1</v>
      </c>
      <c r="K118" t="n">
        <v>1</v>
      </c>
      <c r="L118" t="n">
        <v>0</v>
      </c>
      <c r="M118" t="n">
        <v>0</v>
      </c>
      <c r="N118" t="n">
        <v>2</v>
      </c>
      <c r="O118" s="1">
        <f>IFERROR(L118*G118,0)</f>
        <v/>
      </c>
      <c r="P118">
        <f>IF(N118-L118-M118&gt;0,N118-L118-M118,0)</f>
        <v/>
      </c>
      <c r="Q118" s="1">
        <f>IFERROR(P118*G118,0)</f>
        <v/>
      </c>
    </row>
    <row r="119">
      <c r="A119" t="inlineStr">
        <is>
          <t>1012607</t>
        </is>
      </c>
      <c r="B119" t="inlineStr">
        <is>
          <t>CMP 820 4T</t>
        </is>
      </c>
      <c r="C119" t="inlineStr">
        <is>
          <t>FM - SODECA</t>
        </is>
      </c>
      <c r="D119" t="n">
        <v>24</v>
      </c>
      <c r="E119" t="n">
        <v>5</v>
      </c>
      <c r="F119" t="inlineStr">
        <is>
          <t>SODECA</t>
        </is>
      </c>
      <c r="G119" s="1" t="n">
        <v>2967.12</v>
      </c>
      <c r="H119" t="n">
        <v>3</v>
      </c>
      <c r="I119" t="n">
        <v>2.6</v>
      </c>
      <c r="J119" t="n">
        <v>1</v>
      </c>
      <c r="K119" t="n">
        <v>3</v>
      </c>
      <c r="L119" t="n">
        <v>0</v>
      </c>
      <c r="M119" t="n">
        <v>0</v>
      </c>
      <c r="N119" t="n">
        <v>5</v>
      </c>
      <c r="O119" s="1">
        <f>IFERROR(L119*G119,0)</f>
        <v/>
      </c>
      <c r="P119">
        <f>IF(N119-L119-M119&gt;0,N119-L119-M119,0)</f>
        <v/>
      </c>
      <c r="Q119" s="1">
        <f>IFERROR(P119*G119,0)</f>
        <v/>
      </c>
    </row>
    <row r="120">
      <c r="A120" t="inlineStr">
        <is>
          <t>1012658</t>
        </is>
      </c>
      <c r="B120" t="inlineStr">
        <is>
          <t>CMP 718 2T</t>
        </is>
      </c>
      <c r="C120" t="inlineStr">
        <is>
          <t>FM - SODECA</t>
        </is>
      </c>
      <c r="D120" t="n">
        <v>27</v>
      </c>
      <c r="E120" t="n">
        <v>22</v>
      </c>
      <c r="F120" t="inlineStr">
        <is>
          <t>SODECA</t>
        </is>
      </c>
      <c r="G120" s="1" t="n">
        <v>4105.16</v>
      </c>
      <c r="H120" t="n">
        <v>21</v>
      </c>
      <c r="I120" t="n">
        <v>2.4</v>
      </c>
      <c r="J120" t="n">
        <v>1</v>
      </c>
      <c r="K120" t="n">
        <v>2</v>
      </c>
      <c r="L120" t="n">
        <v>0</v>
      </c>
      <c r="M120" t="n">
        <v>0</v>
      </c>
      <c r="N120" t="n">
        <v>4</v>
      </c>
      <c r="O120" s="1">
        <f>IFERROR(L120*G120,0)</f>
        <v/>
      </c>
      <c r="P120">
        <f>IF(N120-L120-M120&gt;0,N120-L120-M120,0)</f>
        <v/>
      </c>
      <c r="Q120" s="1">
        <f>IFERROR(P120*G120,0)</f>
        <v/>
      </c>
    </row>
    <row r="121">
      <c r="A121" t="inlineStr">
        <is>
          <t>1012671</t>
        </is>
      </c>
      <c r="B121" t="inlineStr">
        <is>
          <t>CMP 820 2T</t>
        </is>
      </c>
      <c r="C121" t="inlineStr">
        <is>
          <t>FM - SODECA</t>
        </is>
      </c>
      <c r="D121" t="n">
        <v>32</v>
      </c>
      <c r="E121" t="n">
        <v>10</v>
      </c>
      <c r="F121" t="inlineStr">
        <is>
          <t>SODECA</t>
        </is>
      </c>
      <c r="G121" s="1" t="n">
        <v>4679.14</v>
      </c>
      <c r="H121" t="n">
        <v>11</v>
      </c>
      <c r="I121" t="n">
        <v>2.3</v>
      </c>
      <c r="J121" t="n">
        <v>1</v>
      </c>
      <c r="K121" t="n">
        <v>2</v>
      </c>
      <c r="L121" t="n">
        <v>0</v>
      </c>
      <c r="M121" t="n">
        <v>0</v>
      </c>
      <c r="N121" t="n">
        <v>4</v>
      </c>
      <c r="O121" s="1">
        <f>IFERROR(L121*G121,0)</f>
        <v/>
      </c>
      <c r="P121">
        <f>IF(N121-L121-M121&gt;0,N121-L121-M121,0)</f>
        <v/>
      </c>
      <c r="Q121" s="1">
        <f>IFERROR(P121*G121,0)</f>
        <v/>
      </c>
    </row>
    <row r="122">
      <c r="A122" t="inlineStr">
        <is>
          <t>1012695</t>
        </is>
      </c>
      <c r="B122" t="inlineStr">
        <is>
          <t>CMP 1025 2T 3</t>
        </is>
      </c>
      <c r="C122" t="inlineStr">
        <is>
          <t>FM - SODECA</t>
        </is>
      </c>
      <c r="D122" t="n">
        <v>1</v>
      </c>
      <c r="E122" t="n">
        <v>2</v>
      </c>
      <c r="F122" t="inlineStr">
        <is>
          <t>SODECA</t>
        </is>
      </c>
      <c r="G122" s="1" t="n">
        <v>6886.04</v>
      </c>
      <c r="H122" t="n">
        <v>0</v>
      </c>
      <c r="I122" t="n">
        <v>2.2</v>
      </c>
      <c r="J122" t="n">
        <v>2</v>
      </c>
      <c r="K122" t="n">
        <v>4</v>
      </c>
      <c r="L122" t="n">
        <v>0</v>
      </c>
      <c r="M122" t="n">
        <v>0</v>
      </c>
      <c r="N122" t="n">
        <v>8</v>
      </c>
      <c r="O122" s="1">
        <f>IFERROR(L122*G122,0)</f>
        <v/>
      </c>
      <c r="P122">
        <f>IF(N122-L122-M122&gt;0,N122-L122-M122,0)</f>
        <v/>
      </c>
      <c r="Q122" s="1">
        <f>IFERROR(P122*G122,0)</f>
        <v/>
      </c>
    </row>
    <row r="123">
      <c r="A123" t="inlineStr">
        <is>
          <t>101397</t>
        </is>
      </c>
      <c r="B123" t="inlineStr">
        <is>
          <t>ANTI SPATTER 500ML</t>
        </is>
      </c>
      <c r="C123" t="inlineStr"/>
      <c r="D123" t="n">
        <v>1</v>
      </c>
      <c r="E123" t="n">
        <v>20</v>
      </c>
      <c r="F123" t="inlineStr">
        <is>
          <t>INTROWELD CC</t>
        </is>
      </c>
      <c r="G123" s="1" t="n">
        <v>75.06999999999999</v>
      </c>
      <c r="H123" t="n">
        <v>0</v>
      </c>
      <c r="I123" t="n">
        <v>0.5</v>
      </c>
      <c r="J123" t="n">
        <v>20</v>
      </c>
      <c r="K123" t="n">
        <v>10</v>
      </c>
      <c r="L123" t="n">
        <v>0</v>
      </c>
      <c r="M123" t="n">
        <v>0</v>
      </c>
      <c r="N123" t="n">
        <v>50</v>
      </c>
      <c r="O123" s="1">
        <f>IFERROR(L123*G123,0)</f>
        <v/>
      </c>
      <c r="P123">
        <f>IF(N123-L123-M123&gt;0,N123-L123-M123,0)</f>
        <v/>
      </c>
      <c r="Q123" s="1">
        <f>IFERROR(P123*G123,0)</f>
        <v/>
      </c>
    </row>
    <row r="124">
      <c r="A124" t="inlineStr">
        <is>
          <t>101430</t>
        </is>
      </c>
      <c r="B124" t="inlineStr">
        <is>
          <t>SOAP STONE (1 Box = 144 or ea)</t>
        </is>
      </c>
      <c r="C124" t="inlineStr">
        <is>
          <t>CONSUMABLES</t>
        </is>
      </c>
      <c r="D124" t="n">
        <v>1</v>
      </c>
      <c r="E124" t="n">
        <v>144</v>
      </c>
      <c r="F124" t="inlineStr">
        <is>
          <t>INTROWELD CC</t>
        </is>
      </c>
      <c r="G124" s="1" t="n">
        <v>2.85</v>
      </c>
      <c r="H124" t="n">
        <v>0</v>
      </c>
      <c r="I124" t="n">
        <v>0.6</v>
      </c>
      <c r="J124" t="n">
        <v>144</v>
      </c>
      <c r="K124" t="n">
        <v>86</v>
      </c>
      <c r="L124" t="n">
        <v>0</v>
      </c>
      <c r="M124" t="n">
        <v>0</v>
      </c>
      <c r="N124" t="n">
        <v>374</v>
      </c>
      <c r="O124" s="1">
        <f>IFERROR(L124*G124,0)</f>
        <v/>
      </c>
      <c r="P124">
        <f>IF(N124-L124-M124&gt;0,N124-L124-M124,0)</f>
        <v/>
      </c>
      <c r="Q124" s="1">
        <f>IFERROR(P124*G124,0)</f>
        <v/>
      </c>
    </row>
    <row r="125">
      <c r="A125" t="inlineStr">
        <is>
          <t>1016608</t>
        </is>
      </c>
      <c r="B125" t="inlineStr">
        <is>
          <t>HEP-25-2T/H 220-240/380-415V</t>
        </is>
      </c>
      <c r="C125" t="inlineStr"/>
      <c r="D125" t="n">
        <v>1</v>
      </c>
      <c r="E125" t="n">
        <v>3</v>
      </c>
      <c r="F125" t="inlineStr">
        <is>
          <t>SODECA</t>
        </is>
      </c>
      <c r="G125" s="1" t="n">
        <v>3617.41</v>
      </c>
      <c r="H125" t="n">
        <v>0</v>
      </c>
      <c r="I125" t="n">
        <v>2.7</v>
      </c>
      <c r="J125" t="n">
        <v>3</v>
      </c>
      <c r="K125" t="n">
        <v>8</v>
      </c>
      <c r="L125" t="n">
        <v>0</v>
      </c>
      <c r="M125" t="n">
        <v>0</v>
      </c>
      <c r="N125" t="n">
        <v>14</v>
      </c>
      <c r="O125" s="1">
        <f>IFERROR(L125*G125,0)</f>
        <v/>
      </c>
      <c r="P125">
        <f>IF(N125-L125-M125&gt;0,N125-L125-M125,0)</f>
        <v/>
      </c>
      <c r="Q125" s="1">
        <f>IFERROR(P125*G125,0)</f>
        <v/>
      </c>
    </row>
    <row r="126">
      <c r="A126" t="inlineStr">
        <is>
          <t>1016614</t>
        </is>
      </c>
      <c r="B126" t="inlineStr">
        <is>
          <t>HEP-31-2M/H 220-240V</t>
        </is>
      </c>
      <c r="C126" t="inlineStr">
        <is>
          <t>Sodeca</t>
        </is>
      </c>
      <c r="D126" t="n">
        <v>32</v>
      </c>
      <c r="E126" t="n">
        <v>6</v>
      </c>
      <c r="F126" t="inlineStr">
        <is>
          <t>SODECA</t>
        </is>
      </c>
      <c r="G126" s="1" t="n">
        <v>2971.02</v>
      </c>
      <c r="H126" t="n">
        <v>6</v>
      </c>
      <c r="I126" t="n">
        <v>1.5</v>
      </c>
      <c r="J126" t="n">
        <v>1</v>
      </c>
      <c r="K126" t="n">
        <v>2</v>
      </c>
      <c r="L126" t="n">
        <v>0</v>
      </c>
      <c r="M126" t="n">
        <v>0</v>
      </c>
      <c r="N126" t="n">
        <v>4</v>
      </c>
      <c r="O126" s="1">
        <f>IFERROR(L126*G126,0)</f>
        <v/>
      </c>
      <c r="P126">
        <f>IF(N126-L126-M126&gt;0,N126-L126-M126,0)</f>
        <v/>
      </c>
      <c r="Q126" s="1">
        <f>IFERROR(P126*G126,0)</f>
        <v/>
      </c>
    </row>
    <row r="127">
      <c r="A127" t="inlineStr">
        <is>
          <t>1017052</t>
        </is>
      </c>
      <c r="B127" t="inlineStr">
        <is>
          <t>HC-25-2M/H</t>
        </is>
      </c>
      <c r="C127" t="inlineStr">
        <is>
          <t>FM - SODECA</t>
        </is>
      </c>
      <c r="D127" t="n">
        <v>23</v>
      </c>
      <c r="E127" t="n">
        <v>0</v>
      </c>
      <c r="F127" t="inlineStr"/>
      <c r="G127" s="1" t="n">
        <v>0</v>
      </c>
      <c r="H127" t="n">
        <v>4</v>
      </c>
      <c r="I127" t="n">
        <v>0.5</v>
      </c>
      <c r="J127" t="n">
        <v>1</v>
      </c>
      <c r="K127" t="n">
        <v>1</v>
      </c>
      <c r="L127" t="n">
        <v>0</v>
      </c>
      <c r="M127" t="n">
        <v>0</v>
      </c>
      <c r="N127" t="n">
        <v>2</v>
      </c>
      <c r="O127" s="1">
        <f>IFERROR(L127*G127,0)</f>
        <v/>
      </c>
      <c r="P127">
        <f>IF(N127-L127-M127&gt;0,N127-L127-M127,0)</f>
        <v/>
      </c>
      <c r="Q127" s="1">
        <f>IFERROR(P127*G127,0)</f>
        <v/>
      </c>
    </row>
    <row r="128">
      <c r="A128" t="inlineStr">
        <is>
          <t>1017069</t>
        </is>
      </c>
      <c r="B128" t="inlineStr">
        <is>
          <t>HC-25-4M/H</t>
        </is>
      </c>
      <c r="C128" t="inlineStr">
        <is>
          <t>FM - SODECA</t>
        </is>
      </c>
      <c r="D128" t="n">
        <v>34</v>
      </c>
      <c r="E128" t="n">
        <v>4</v>
      </c>
      <c r="F128" t="inlineStr">
        <is>
          <t>SODECA</t>
        </is>
      </c>
      <c r="G128" s="1" t="n">
        <v>1464.39</v>
      </c>
      <c r="H128" t="n">
        <v>7</v>
      </c>
      <c r="I128" t="n">
        <v>2.8</v>
      </c>
      <c r="J128" t="n">
        <v>1</v>
      </c>
      <c r="K128" t="n">
        <v>3</v>
      </c>
      <c r="L128" t="n">
        <v>0</v>
      </c>
      <c r="M128" t="n">
        <v>0</v>
      </c>
      <c r="N128" t="n">
        <v>5</v>
      </c>
      <c r="O128" s="1">
        <f>IFERROR(L128*G128,0)</f>
        <v/>
      </c>
      <c r="P128">
        <f>IF(N128-L128-M128&gt;0,N128-L128-M128,0)</f>
        <v/>
      </c>
      <c r="Q128" s="1">
        <f>IFERROR(P128*G128,0)</f>
        <v/>
      </c>
    </row>
    <row r="129">
      <c r="A129" t="inlineStr">
        <is>
          <t>1017082</t>
        </is>
      </c>
      <c r="B129" t="inlineStr">
        <is>
          <t>HC-31-2M/H</t>
        </is>
      </c>
      <c r="C129" t="inlineStr">
        <is>
          <t>FM - SODECA</t>
        </is>
      </c>
      <c r="D129" t="n">
        <v>1</v>
      </c>
      <c r="E129" t="n">
        <v>0</v>
      </c>
      <c r="F129" t="inlineStr"/>
      <c r="G129" s="1" t="n">
        <v>0</v>
      </c>
      <c r="H129" t="n">
        <v>1</v>
      </c>
      <c r="I129" t="n">
        <v>0.5</v>
      </c>
      <c r="J129" t="n">
        <v>1</v>
      </c>
      <c r="K129" t="n">
        <v>1</v>
      </c>
      <c r="L129" t="n">
        <v>0</v>
      </c>
      <c r="M129" t="n">
        <v>0</v>
      </c>
      <c r="N129" t="n">
        <v>2</v>
      </c>
      <c r="O129" s="1">
        <f>IFERROR(L129*G129,0)</f>
        <v/>
      </c>
      <c r="P129">
        <f>IF(N129-L129-M129&gt;0,N129-L129-M129,0)</f>
        <v/>
      </c>
      <c r="Q129" s="1">
        <f>IFERROR(P129*G129,0)</f>
        <v/>
      </c>
    </row>
    <row r="130">
      <c r="A130" t="inlineStr">
        <is>
          <t>1017097</t>
        </is>
      </c>
      <c r="B130" t="inlineStr">
        <is>
          <t>HC-31-4M/H</t>
        </is>
      </c>
      <c r="C130" t="inlineStr">
        <is>
          <t>FM - SODECA</t>
        </is>
      </c>
      <c r="D130" t="n">
        <v>24</v>
      </c>
      <c r="E130" t="n">
        <v>1</v>
      </c>
      <c r="F130" t="inlineStr">
        <is>
          <t>Luft Industries Natal (Pty) Ltd</t>
        </is>
      </c>
      <c r="G130" s="1" t="n">
        <v>1340.63</v>
      </c>
      <c r="H130" t="n">
        <v>3</v>
      </c>
      <c r="I130" t="n">
        <v>0.5</v>
      </c>
      <c r="J130" t="n">
        <v>1</v>
      </c>
      <c r="K130" t="n">
        <v>1</v>
      </c>
      <c r="L130" t="n">
        <v>0</v>
      </c>
      <c r="M130" t="n">
        <v>0</v>
      </c>
      <c r="N130" t="n">
        <v>2</v>
      </c>
      <c r="O130" s="1">
        <f>IFERROR(L130*G130,0)</f>
        <v/>
      </c>
      <c r="P130">
        <f>IF(N130-L130-M130&gt;0,N130-L130-M130,0)</f>
        <v/>
      </c>
      <c r="Q130" s="1">
        <f>IFERROR(P130*G130,0)</f>
        <v/>
      </c>
    </row>
    <row r="131">
      <c r="A131" t="inlineStr">
        <is>
          <t>1017106</t>
        </is>
      </c>
      <c r="B131" t="inlineStr">
        <is>
          <t>HC-35-4M/H</t>
        </is>
      </c>
      <c r="C131" t="inlineStr">
        <is>
          <t>FM - SODECA</t>
        </is>
      </c>
      <c r="D131" t="n">
        <v>32</v>
      </c>
      <c r="E131" t="n">
        <v>0</v>
      </c>
      <c r="F131" t="inlineStr"/>
      <c r="G131" s="1" t="n">
        <v>0</v>
      </c>
      <c r="H131" t="n">
        <v>19</v>
      </c>
      <c r="I131" t="n">
        <v>0.5</v>
      </c>
      <c r="J131" t="n">
        <v>1</v>
      </c>
      <c r="K131" t="n">
        <v>1</v>
      </c>
      <c r="L131" t="n">
        <v>0</v>
      </c>
      <c r="M131" t="n">
        <v>0</v>
      </c>
      <c r="N131" t="n">
        <v>2</v>
      </c>
      <c r="O131" s="1">
        <f>IFERROR(L131*G131,0)</f>
        <v/>
      </c>
      <c r="P131">
        <f>IF(N131-L131-M131&gt;0,N131-L131-M131,0)</f>
        <v/>
      </c>
      <c r="Q131" s="1">
        <f>IFERROR(P131*G131,0)</f>
        <v/>
      </c>
    </row>
    <row r="132">
      <c r="A132" t="inlineStr">
        <is>
          <t>1017125</t>
        </is>
      </c>
      <c r="B132" t="inlineStr">
        <is>
          <t>HC-40-4M/H</t>
        </is>
      </c>
      <c r="C132" t="inlineStr">
        <is>
          <t>FM - SODECA</t>
        </is>
      </c>
      <c r="D132" t="n">
        <v>30</v>
      </c>
      <c r="E132" t="n">
        <v>0</v>
      </c>
      <c r="F132" t="inlineStr"/>
      <c r="G132" s="1" t="n">
        <v>0</v>
      </c>
      <c r="H132" t="n">
        <v>2</v>
      </c>
      <c r="I132" t="n">
        <v>0.5</v>
      </c>
      <c r="J132" t="n">
        <v>1</v>
      </c>
      <c r="K132" t="n">
        <v>1</v>
      </c>
      <c r="L132" t="n">
        <v>0</v>
      </c>
      <c r="M132" t="n">
        <v>0</v>
      </c>
      <c r="N132" t="n">
        <v>2</v>
      </c>
      <c r="O132" s="1">
        <f>IFERROR(L132*G132,0)</f>
        <v/>
      </c>
      <c r="P132">
        <f>IF(N132-L132-M132&gt;0,N132-L132-M132,0)</f>
        <v/>
      </c>
      <c r="Q132" s="1">
        <f>IFERROR(P132*G132,0)</f>
        <v/>
      </c>
    </row>
    <row r="133">
      <c r="A133" t="inlineStr">
        <is>
          <t>1017127</t>
        </is>
      </c>
      <c r="B133" t="inlineStr">
        <is>
          <t>HC-40-4T/H</t>
        </is>
      </c>
      <c r="C133" t="inlineStr">
        <is>
          <t>FM - SODECA</t>
        </is>
      </c>
      <c r="D133" t="n">
        <v>7</v>
      </c>
      <c r="E133" t="n">
        <v>0</v>
      </c>
      <c r="F133" t="inlineStr"/>
      <c r="G133" s="1" t="n">
        <v>0</v>
      </c>
      <c r="H133" t="n">
        <v>4</v>
      </c>
      <c r="I133" t="n">
        <v>0.5</v>
      </c>
      <c r="J133" t="n">
        <v>1</v>
      </c>
      <c r="K133" t="n">
        <v>1</v>
      </c>
      <c r="L133" t="n">
        <v>0</v>
      </c>
      <c r="M133" t="n">
        <v>0</v>
      </c>
      <c r="N133" t="n">
        <v>2</v>
      </c>
      <c r="O133" s="1">
        <f>IFERROR(L133*G133,0)</f>
        <v/>
      </c>
      <c r="P133">
        <f>IF(N133-L133-M133&gt;0,N133-L133-M133,0)</f>
        <v/>
      </c>
      <c r="Q133" s="1">
        <f>IFERROR(P133*G133,0)</f>
        <v/>
      </c>
    </row>
    <row r="134">
      <c r="A134" t="inlineStr">
        <is>
          <t>1017130</t>
        </is>
      </c>
      <c r="B134" t="inlineStr">
        <is>
          <t>HC-40-6T/H</t>
        </is>
      </c>
      <c r="C134" t="inlineStr">
        <is>
          <t>FM - SODECA</t>
        </is>
      </c>
      <c r="D134" t="n">
        <v>19</v>
      </c>
      <c r="E134" t="n">
        <v>0</v>
      </c>
      <c r="F134" t="inlineStr"/>
      <c r="G134" s="1" t="n">
        <v>0</v>
      </c>
      <c r="H134" t="n">
        <v>2</v>
      </c>
      <c r="I134" t="n">
        <v>0.5</v>
      </c>
      <c r="J134" t="n">
        <v>1</v>
      </c>
      <c r="K134" t="n">
        <v>1</v>
      </c>
      <c r="L134" t="n">
        <v>0</v>
      </c>
      <c r="M134" t="n">
        <v>0</v>
      </c>
      <c r="N134" t="n">
        <v>2</v>
      </c>
      <c r="O134" s="1">
        <f>IFERROR(L134*G134,0)</f>
        <v/>
      </c>
      <c r="P134">
        <f>IF(N134-L134-M134&gt;0,N134-L134-M134,0)</f>
        <v/>
      </c>
      <c r="Q134" s="1">
        <f>IFERROR(P134*G134,0)</f>
        <v/>
      </c>
    </row>
    <row r="135">
      <c r="A135" t="inlineStr">
        <is>
          <t>1017131</t>
        </is>
      </c>
      <c r="B135" t="inlineStr">
        <is>
          <t>HC-45-4M/H</t>
        </is>
      </c>
      <c r="C135" t="inlineStr">
        <is>
          <t>FM - SODECA</t>
        </is>
      </c>
      <c r="D135" t="n">
        <v>31</v>
      </c>
      <c r="E135" t="n">
        <v>0</v>
      </c>
      <c r="F135" t="inlineStr"/>
      <c r="G135" s="1" t="n">
        <v>0</v>
      </c>
      <c r="H135" t="n">
        <v>5</v>
      </c>
      <c r="I135" t="n">
        <v>0.5</v>
      </c>
      <c r="J135" t="n">
        <v>1</v>
      </c>
      <c r="K135" t="n">
        <v>1</v>
      </c>
      <c r="L135" t="n">
        <v>0</v>
      </c>
      <c r="M135" t="n">
        <v>0</v>
      </c>
      <c r="N135" t="n">
        <v>2</v>
      </c>
      <c r="O135" s="1">
        <f>IFERROR(L135*G135,0)</f>
        <v/>
      </c>
      <c r="P135">
        <f>IF(N135-L135-M135&gt;0,N135-L135-M135,0)</f>
        <v/>
      </c>
      <c r="Q135" s="1">
        <f>IFERROR(P135*G135,0)</f>
        <v/>
      </c>
    </row>
    <row r="136">
      <c r="A136" t="inlineStr">
        <is>
          <t>1017138</t>
        </is>
      </c>
      <c r="B136" t="inlineStr">
        <is>
          <t>HC-45-6M/H</t>
        </is>
      </c>
      <c r="C136" t="inlineStr">
        <is>
          <t>FM - SODECA</t>
        </is>
      </c>
      <c r="D136" t="n">
        <v>1</v>
      </c>
      <c r="E136" t="n">
        <v>1</v>
      </c>
      <c r="F136" t="inlineStr">
        <is>
          <t>Luft Industries Natal (Pty) Ltd</t>
        </is>
      </c>
      <c r="G136" s="1" t="n">
        <v>2993.25</v>
      </c>
      <c r="H136" t="n">
        <v>0</v>
      </c>
      <c r="I136" t="n">
        <v>0.5</v>
      </c>
      <c r="J136" t="n">
        <v>1</v>
      </c>
      <c r="K136" t="n">
        <v>1</v>
      </c>
      <c r="L136" t="n">
        <v>0</v>
      </c>
      <c r="M136" t="n">
        <v>0</v>
      </c>
      <c r="N136" t="n">
        <v>2</v>
      </c>
      <c r="O136" s="1">
        <f>IFERROR(L136*G136,0)</f>
        <v/>
      </c>
      <c r="P136">
        <f>IF(N136-L136-M136&gt;0,N136-L136-M136,0)</f>
        <v/>
      </c>
      <c r="Q136" s="1">
        <f>IFERROR(P136*G136,0)</f>
        <v/>
      </c>
    </row>
    <row r="137">
      <c r="A137" t="inlineStr">
        <is>
          <t>1017139</t>
        </is>
      </c>
      <c r="B137" t="inlineStr">
        <is>
          <t>HC-45-6T/H</t>
        </is>
      </c>
      <c r="C137" t="inlineStr">
        <is>
          <t>FM - SODECA</t>
        </is>
      </c>
      <c r="D137" t="n">
        <v>21</v>
      </c>
      <c r="E137" t="n">
        <v>0</v>
      </c>
      <c r="F137" t="inlineStr"/>
      <c r="G137" s="1" t="n">
        <v>0</v>
      </c>
      <c r="H137" t="n">
        <v>2</v>
      </c>
      <c r="I137" t="n">
        <v>0.5</v>
      </c>
      <c r="J137" t="n">
        <v>1</v>
      </c>
      <c r="K137" t="n">
        <v>1</v>
      </c>
      <c r="L137" t="n">
        <v>0</v>
      </c>
      <c r="M137" t="n">
        <v>0</v>
      </c>
      <c r="N137" t="n">
        <v>2</v>
      </c>
      <c r="O137" s="1">
        <f>IFERROR(L137*G137,0)</f>
        <v/>
      </c>
      <c r="P137">
        <f>IF(N137-L137-M137&gt;0,N137-L137-M137,0)</f>
        <v/>
      </c>
      <c r="Q137" s="1">
        <f>IFERROR(P137*G137,0)</f>
        <v/>
      </c>
    </row>
    <row r="138">
      <c r="A138" t="inlineStr">
        <is>
          <t>1017140</t>
        </is>
      </c>
      <c r="B138" t="inlineStr">
        <is>
          <t>HC-50-4M/H</t>
        </is>
      </c>
      <c r="C138" t="inlineStr">
        <is>
          <t>FM - SODECA</t>
        </is>
      </c>
      <c r="D138" t="n">
        <v>20</v>
      </c>
      <c r="E138" t="n">
        <v>1</v>
      </c>
      <c r="F138" t="inlineStr">
        <is>
          <t>Luft Industries Natal (Pty) Ltd</t>
        </is>
      </c>
      <c r="G138" s="1" t="n">
        <v>2783.25</v>
      </c>
      <c r="H138" t="n">
        <v>5</v>
      </c>
      <c r="I138" t="n">
        <v>0.5</v>
      </c>
      <c r="J138" t="n">
        <v>1</v>
      </c>
      <c r="K138" t="n">
        <v>1</v>
      </c>
      <c r="L138" t="n">
        <v>0</v>
      </c>
      <c r="M138" t="n">
        <v>0</v>
      </c>
      <c r="N138" t="n">
        <v>2</v>
      </c>
      <c r="O138" s="1">
        <f>IFERROR(L138*G138,0)</f>
        <v/>
      </c>
      <c r="P138">
        <f>IF(N138-L138-M138&gt;0,N138-L138-M138,0)</f>
        <v/>
      </c>
      <c r="Q138" s="1">
        <f>IFERROR(P138*G138,0)</f>
        <v/>
      </c>
    </row>
    <row r="139">
      <c r="A139" t="inlineStr">
        <is>
          <t>1017142</t>
        </is>
      </c>
      <c r="B139" t="inlineStr">
        <is>
          <t>HC-50-4T/H</t>
        </is>
      </c>
      <c r="C139" t="inlineStr">
        <is>
          <t>FM - SODECA</t>
        </is>
      </c>
      <c r="D139" t="n">
        <v>10</v>
      </c>
      <c r="E139" t="n">
        <v>1</v>
      </c>
      <c r="F139" t="inlineStr">
        <is>
          <t>SODECA</t>
        </is>
      </c>
      <c r="G139" s="1" t="n">
        <v>5554.99</v>
      </c>
      <c r="H139" t="n">
        <v>2</v>
      </c>
      <c r="I139" t="n">
        <v>1.2</v>
      </c>
      <c r="J139" t="n">
        <v>1</v>
      </c>
      <c r="K139" t="n">
        <v>1</v>
      </c>
      <c r="L139" t="n">
        <v>0</v>
      </c>
      <c r="M139" t="n">
        <v>0</v>
      </c>
      <c r="N139" t="n">
        <v>3</v>
      </c>
      <c r="O139" s="1">
        <f>IFERROR(L139*G139,0)</f>
        <v/>
      </c>
      <c r="P139">
        <f>IF(N139-L139-M139&gt;0,N139-L139-M139,0)</f>
        <v/>
      </c>
      <c r="Q139" s="1">
        <f>IFERROR(P139*G139,0)</f>
        <v/>
      </c>
    </row>
    <row r="140">
      <c r="A140" t="inlineStr">
        <is>
          <t>1017147</t>
        </is>
      </c>
      <c r="B140" t="inlineStr">
        <is>
          <t>HC-50-6M/H</t>
        </is>
      </c>
      <c r="C140" t="inlineStr">
        <is>
          <t>FM - SODECA</t>
        </is>
      </c>
      <c r="D140" t="n">
        <v>18</v>
      </c>
      <c r="E140" t="n">
        <v>0</v>
      </c>
      <c r="F140" t="inlineStr"/>
      <c r="G140" s="1" t="n">
        <v>0</v>
      </c>
      <c r="H140" t="n">
        <v>1</v>
      </c>
      <c r="I140" t="n">
        <v>0.5</v>
      </c>
      <c r="J140" t="n">
        <v>1</v>
      </c>
      <c r="K140" t="n">
        <v>1</v>
      </c>
      <c r="L140" t="n">
        <v>0</v>
      </c>
      <c r="M140" t="n">
        <v>0</v>
      </c>
      <c r="N140" t="n">
        <v>2</v>
      </c>
      <c r="O140" s="1">
        <f>IFERROR(L140*G140,0)</f>
        <v/>
      </c>
      <c r="P140">
        <f>IF(N140-L140-M140&gt;0,N140-L140-M140,0)</f>
        <v/>
      </c>
      <c r="Q140" s="1">
        <f>IFERROR(P140*G140,0)</f>
        <v/>
      </c>
    </row>
    <row r="141">
      <c r="A141" t="inlineStr">
        <is>
          <t>1017148</t>
        </is>
      </c>
      <c r="B141" t="inlineStr">
        <is>
          <t>HC-50-6T/H</t>
        </is>
      </c>
      <c r="C141" t="inlineStr">
        <is>
          <t>FM - SODECA</t>
        </is>
      </c>
      <c r="D141" t="n">
        <v>19</v>
      </c>
      <c r="E141" t="n">
        <v>0</v>
      </c>
      <c r="F141" t="inlineStr"/>
      <c r="G141" s="1" t="n">
        <v>0</v>
      </c>
      <c r="H141" t="n">
        <v>2</v>
      </c>
      <c r="I141" t="n">
        <v>0.5</v>
      </c>
      <c r="J141" t="n">
        <v>1</v>
      </c>
      <c r="K141" t="n">
        <v>1</v>
      </c>
      <c r="L141" t="n">
        <v>0</v>
      </c>
      <c r="M141" t="n">
        <v>0</v>
      </c>
      <c r="N141" t="n">
        <v>2</v>
      </c>
      <c r="O141" s="1">
        <f>IFERROR(L141*G141,0)</f>
        <v/>
      </c>
      <c r="P141">
        <f>IF(N141-L141-M141&gt;0,N141-L141-M141,0)</f>
        <v/>
      </c>
      <c r="Q141" s="1">
        <f>IFERROR(P141*G141,0)</f>
        <v/>
      </c>
    </row>
    <row r="142">
      <c r="A142" t="inlineStr">
        <is>
          <t>1017177</t>
        </is>
      </c>
      <c r="B142" t="inlineStr">
        <is>
          <t>HC-56-4T/H IE3</t>
        </is>
      </c>
      <c r="C142" t="inlineStr">
        <is>
          <t>FM - SODECA</t>
        </is>
      </c>
      <c r="D142" t="n">
        <v>1</v>
      </c>
      <c r="E142" t="n">
        <v>2</v>
      </c>
      <c r="F142" t="inlineStr">
        <is>
          <t>Luft Industries Natal (Pty) Ltd</t>
        </is>
      </c>
      <c r="G142" s="1" t="n">
        <v>2428.5</v>
      </c>
      <c r="H142" t="n">
        <v>0</v>
      </c>
      <c r="I142" t="n">
        <v>0.5</v>
      </c>
      <c r="J142" t="n">
        <v>2</v>
      </c>
      <c r="K142" t="n">
        <v>1</v>
      </c>
      <c r="L142" t="n">
        <v>0</v>
      </c>
      <c r="M142" t="n">
        <v>0</v>
      </c>
      <c r="N142" t="n">
        <v>5</v>
      </c>
      <c r="O142" s="1">
        <f>IFERROR(L142*G142,0)</f>
        <v/>
      </c>
      <c r="P142">
        <f>IF(N142-L142-M142&gt;0,N142-L142-M142,0)</f>
        <v/>
      </c>
      <c r="Q142" s="1">
        <f>IFERROR(P142*G142,0)</f>
        <v/>
      </c>
    </row>
    <row r="143">
      <c r="A143" t="inlineStr">
        <is>
          <t>1030701</t>
        </is>
      </c>
      <c r="B143" t="inlineStr">
        <is>
          <t>TIRACANO</t>
        </is>
      </c>
      <c r="C143" t="inlineStr"/>
      <c r="D143" t="n">
        <v>1</v>
      </c>
      <c r="E143" t="n">
        <v>5</v>
      </c>
      <c r="F143" t="inlineStr">
        <is>
          <t>SODECA</t>
        </is>
      </c>
      <c r="G143" s="1" t="n">
        <v>4831.25</v>
      </c>
      <c r="H143" t="n">
        <v>1</v>
      </c>
      <c r="I143" t="n">
        <v>1.4</v>
      </c>
      <c r="J143" t="n">
        <v>5</v>
      </c>
      <c r="K143" t="n">
        <v>7</v>
      </c>
      <c r="L143" t="n">
        <v>0</v>
      </c>
      <c r="M143" t="n">
        <v>20</v>
      </c>
      <c r="N143" t="n">
        <v>17</v>
      </c>
      <c r="O143" s="1">
        <f>IFERROR(L143*G143,0)</f>
        <v/>
      </c>
      <c r="P143">
        <f>IF(N143-L143-M143&gt;0,N143-L143-M143,0)</f>
        <v/>
      </c>
      <c r="Q143" s="1">
        <f>IFERROR(P143*G143,0)</f>
        <v/>
      </c>
    </row>
    <row r="144">
      <c r="A144" t="inlineStr">
        <is>
          <t>1034783</t>
        </is>
      </c>
      <c r="B144" t="inlineStr">
        <is>
          <t>NEOLINEO-125/V</t>
        </is>
      </c>
      <c r="C144" t="inlineStr"/>
      <c r="D144" t="n">
        <v>1</v>
      </c>
      <c r="E144" t="n">
        <v>26</v>
      </c>
      <c r="F144" t="inlineStr">
        <is>
          <t>SODECA</t>
        </is>
      </c>
      <c r="G144" s="1" t="n">
        <v>357.27</v>
      </c>
      <c r="H144" t="n">
        <v>0</v>
      </c>
      <c r="I144" t="n">
        <v>2</v>
      </c>
      <c r="J144" t="n">
        <v>26</v>
      </c>
      <c r="K144" t="n">
        <v>52</v>
      </c>
      <c r="L144" t="n">
        <v>0</v>
      </c>
      <c r="M144" t="n">
        <v>0</v>
      </c>
      <c r="N144" t="n">
        <v>104</v>
      </c>
      <c r="O144" s="1">
        <f>IFERROR(L144*G144,0)</f>
        <v/>
      </c>
      <c r="P144">
        <f>IF(N144-L144-M144&gt;0,N144-L144-M144,0)</f>
        <v/>
      </c>
      <c r="Q144" s="1">
        <f>IFERROR(P144*G144,0)</f>
        <v/>
      </c>
    </row>
    <row r="145">
      <c r="A145" t="inlineStr">
        <is>
          <t>1034784</t>
        </is>
      </c>
      <c r="B145" t="inlineStr">
        <is>
          <t>NEOLINEO-150/V</t>
        </is>
      </c>
      <c r="C145" t="inlineStr">
        <is>
          <t>FM - SODECA</t>
        </is>
      </c>
      <c r="D145" t="n">
        <v>1</v>
      </c>
      <c r="E145" t="n">
        <v>26</v>
      </c>
      <c r="F145" t="inlineStr">
        <is>
          <t>SODECA</t>
        </is>
      </c>
      <c r="G145" s="1" t="n">
        <v>657.41</v>
      </c>
      <c r="H145" t="n">
        <v>0</v>
      </c>
      <c r="I145" t="n">
        <v>2</v>
      </c>
      <c r="J145" t="n">
        <v>26</v>
      </c>
      <c r="K145" t="n">
        <v>52</v>
      </c>
      <c r="L145" t="n">
        <v>0</v>
      </c>
      <c r="M145" t="n">
        <v>0</v>
      </c>
      <c r="N145" t="n">
        <v>104</v>
      </c>
      <c r="O145" s="1">
        <f>IFERROR(L145*G145,0)</f>
        <v/>
      </c>
      <c r="P145">
        <f>IF(N145-L145-M145&gt;0,N145-L145-M145,0)</f>
        <v/>
      </c>
      <c r="Q145" s="1">
        <f>IFERROR(P145*G145,0)</f>
        <v/>
      </c>
    </row>
    <row r="146">
      <c r="A146" t="inlineStr">
        <is>
          <t>1034786</t>
        </is>
      </c>
      <c r="B146" t="inlineStr">
        <is>
          <t>NEOLINEO-200/V</t>
        </is>
      </c>
      <c r="C146" t="inlineStr">
        <is>
          <t>FM - SODECA</t>
        </is>
      </c>
      <c r="D146" t="n">
        <v>1</v>
      </c>
      <c r="E146" t="n">
        <v>26</v>
      </c>
      <c r="F146" t="inlineStr">
        <is>
          <t>SODECA</t>
        </is>
      </c>
      <c r="G146" s="1" t="n">
        <v>1004.27</v>
      </c>
      <c r="H146" t="n">
        <v>0</v>
      </c>
      <c r="I146" t="n">
        <v>2</v>
      </c>
      <c r="J146" t="n">
        <v>26</v>
      </c>
      <c r="K146" t="n">
        <v>52</v>
      </c>
      <c r="L146" t="n">
        <v>0</v>
      </c>
      <c r="M146" t="n">
        <v>0</v>
      </c>
      <c r="N146" t="n">
        <v>104</v>
      </c>
      <c r="O146" s="1">
        <f>IFERROR(L146*G146,0)</f>
        <v/>
      </c>
      <c r="P146">
        <f>IF(N146-L146-M146&gt;0,N146-L146-M146,0)</f>
        <v/>
      </c>
      <c r="Q146" s="1">
        <f>IFERROR(P146*G146,0)</f>
        <v/>
      </c>
    </row>
    <row r="147">
      <c r="A147" t="inlineStr">
        <is>
          <t>1034787</t>
        </is>
      </c>
      <c r="B147" t="inlineStr">
        <is>
          <t>NEOLINEO-250/V</t>
        </is>
      </c>
      <c r="C147" t="inlineStr">
        <is>
          <t>FM - SODECA</t>
        </is>
      </c>
      <c r="D147" t="n">
        <v>1</v>
      </c>
      <c r="E147" t="n">
        <v>26</v>
      </c>
      <c r="F147" t="inlineStr">
        <is>
          <t>SODECA</t>
        </is>
      </c>
      <c r="G147" s="1" t="n">
        <v>1887.42</v>
      </c>
      <c r="H147" t="n">
        <v>0</v>
      </c>
      <c r="I147" t="n">
        <v>2</v>
      </c>
      <c r="J147" t="n">
        <v>26</v>
      </c>
      <c r="K147" t="n">
        <v>52</v>
      </c>
      <c r="L147" t="n">
        <v>0</v>
      </c>
      <c r="M147" t="n">
        <v>0</v>
      </c>
      <c r="N147" t="n">
        <v>104</v>
      </c>
      <c r="O147" s="1">
        <f>IFERROR(L147*G147,0)</f>
        <v/>
      </c>
      <c r="P147">
        <f>IF(N147-L147-M147&gt;0,N147-L147-M147,0)</f>
        <v/>
      </c>
      <c r="Q147" s="1">
        <f>IFERROR(P147*G147,0)</f>
        <v/>
      </c>
    </row>
    <row r="148">
      <c r="A148" t="inlineStr">
        <is>
          <t>1034788</t>
        </is>
      </c>
      <c r="B148" t="inlineStr">
        <is>
          <t>NEOLINEO-315/V</t>
        </is>
      </c>
      <c r="C148" t="inlineStr">
        <is>
          <t>FM - SODECA</t>
        </is>
      </c>
      <c r="D148" t="n">
        <v>4</v>
      </c>
      <c r="E148" t="n">
        <v>22</v>
      </c>
      <c r="F148" t="inlineStr">
        <is>
          <t>SODECA</t>
        </is>
      </c>
      <c r="G148" s="1" t="n">
        <v>2583.6</v>
      </c>
      <c r="H148" t="n">
        <v>6</v>
      </c>
      <c r="I148" t="n">
        <v>2</v>
      </c>
      <c r="J148" t="n">
        <v>5.5</v>
      </c>
      <c r="K148" t="n">
        <v>11</v>
      </c>
      <c r="L148" t="n">
        <v>0</v>
      </c>
      <c r="M148" t="n">
        <v>0</v>
      </c>
      <c r="N148" t="n">
        <v>22</v>
      </c>
      <c r="O148" s="1">
        <f>IFERROR(L148*G148,0)</f>
        <v/>
      </c>
      <c r="P148">
        <f>IF(N148-L148-M148&gt;0,N148-L148-M148,0)</f>
        <v/>
      </c>
      <c r="Q148" s="1">
        <f>IFERROR(P148*G148,0)</f>
        <v/>
      </c>
    </row>
    <row r="149">
      <c r="A149" t="inlineStr">
        <is>
          <t>106X3SPA</t>
        </is>
      </c>
      <c r="B149" t="inlineStr">
        <is>
          <t>PULLEY FRICTION BELT V-WEDGE 3 GROOVE SPA 1610 TAPER 106MM FENNER</t>
        </is>
      </c>
      <c r="C149" t="inlineStr"/>
      <c r="D149" t="n">
        <v>2</v>
      </c>
      <c r="E149" t="n">
        <v>4</v>
      </c>
      <c r="F149" t="inlineStr">
        <is>
          <t>Bearing Man Group</t>
        </is>
      </c>
      <c r="G149" s="1" t="n">
        <v>232.51</v>
      </c>
      <c r="H149" t="n">
        <v>0</v>
      </c>
      <c r="I149" t="n">
        <v>0.5</v>
      </c>
      <c r="J149" t="n">
        <v>2</v>
      </c>
      <c r="K149" t="n">
        <v>1</v>
      </c>
      <c r="L149" t="n">
        <v>0</v>
      </c>
      <c r="M149" t="n">
        <v>0</v>
      </c>
      <c r="N149" t="n">
        <v>5</v>
      </c>
      <c r="O149" s="1">
        <f>IFERROR(L149*G149,0)</f>
        <v/>
      </c>
      <c r="P149">
        <f>IF(N149-L149-M149&gt;0,N149-L149-M149,0)</f>
        <v/>
      </c>
      <c r="Q149" s="1">
        <f>IFERROR(P149*G149,0)</f>
        <v/>
      </c>
    </row>
    <row r="150">
      <c r="A150" t="inlineStr">
        <is>
          <t>1100999</t>
        </is>
      </c>
      <c r="B150" t="inlineStr">
        <is>
          <t>Rental Sharp BP 30C25 Copier</t>
        </is>
      </c>
      <c r="C150" t="inlineStr"/>
      <c r="D150" t="n">
        <v>1</v>
      </c>
      <c r="E150" t="n">
        <v>1</v>
      </c>
      <c r="F150" t="inlineStr">
        <is>
          <t>CRS Corporate Rental Solutions (Pty) Ltd</t>
        </is>
      </c>
      <c r="G150" s="1" t="n">
        <v>1388.54</v>
      </c>
      <c r="H150" t="n">
        <v>0</v>
      </c>
      <c r="I150" t="n">
        <v>0.5</v>
      </c>
      <c r="J150" t="n">
        <v>1</v>
      </c>
      <c r="K150" t="n">
        <v>1</v>
      </c>
      <c r="L150" t="n">
        <v>0</v>
      </c>
      <c r="M150" t="n">
        <v>0</v>
      </c>
      <c r="N150" t="n">
        <v>2</v>
      </c>
      <c r="O150" s="1">
        <f>IFERROR(L150*G150,0)</f>
        <v/>
      </c>
      <c r="P150">
        <f>IF(N150-L150-M150&gt;0,N150-L150-M150,0)</f>
        <v/>
      </c>
      <c r="Q150" s="1">
        <f>IFERROR(P150*G150,0)</f>
        <v/>
      </c>
    </row>
    <row r="151">
      <c r="A151" t="inlineStr">
        <is>
          <t>1105306</t>
        </is>
      </c>
      <c r="B151" t="inlineStr">
        <is>
          <t>CMP-1128-2T-5.5/S/PIE RD 230/400V. IE3</t>
        </is>
      </c>
      <c r="C151" t="inlineStr">
        <is>
          <t>FM - SODECA</t>
        </is>
      </c>
      <c r="D151" t="n">
        <v>23</v>
      </c>
      <c r="E151" t="n">
        <v>12</v>
      </c>
      <c r="F151" t="inlineStr">
        <is>
          <t>SODECA</t>
        </is>
      </c>
      <c r="G151" s="1" t="n">
        <v>7659.2</v>
      </c>
      <c r="H151" t="n">
        <v>8</v>
      </c>
      <c r="I151" t="n">
        <v>2.6</v>
      </c>
      <c r="J151" t="n">
        <v>1</v>
      </c>
      <c r="K151" t="n">
        <v>3</v>
      </c>
      <c r="L151" t="n">
        <v>0</v>
      </c>
      <c r="M151" t="n">
        <v>0</v>
      </c>
      <c r="N151" t="n">
        <v>5</v>
      </c>
      <c r="O151" s="1">
        <f>IFERROR(L151*G151,0)</f>
        <v/>
      </c>
      <c r="P151">
        <f>IF(N151-L151-M151&gt;0,N151-L151-M151,0)</f>
        <v/>
      </c>
      <c r="Q151" s="1">
        <f>IFERROR(P151*G151,0)</f>
        <v/>
      </c>
    </row>
    <row r="152">
      <c r="A152" t="inlineStr">
        <is>
          <t>11102</t>
        </is>
      </c>
      <c r="B152" t="inlineStr">
        <is>
          <t>MG 120/5 LL</t>
        </is>
      </c>
      <c r="C152" t="inlineStr">
        <is>
          <t>FM - VORTICE</t>
        </is>
      </c>
      <c r="D152" t="n">
        <v>18</v>
      </c>
      <c r="E152" t="n">
        <v>0</v>
      </c>
      <c r="F152" t="inlineStr"/>
      <c r="G152" s="1" t="n">
        <v>0</v>
      </c>
      <c r="H152" t="n">
        <v>14</v>
      </c>
      <c r="I152" t="n">
        <v>0.5</v>
      </c>
      <c r="J152" t="n">
        <v>1</v>
      </c>
      <c r="K152" t="n">
        <v>1</v>
      </c>
      <c r="L152" t="n">
        <v>0</v>
      </c>
      <c r="M152" t="n">
        <v>0</v>
      </c>
      <c r="N152" t="n">
        <v>2</v>
      </c>
      <c r="O152" s="1">
        <f>IFERROR(L152*G152,0)</f>
        <v/>
      </c>
      <c r="P152">
        <f>IF(N152-L152-M152&gt;0,N152-L152-M152,0)</f>
        <v/>
      </c>
      <c r="Q152" s="1">
        <f>IFERROR(P152*G152,0)</f>
        <v/>
      </c>
    </row>
    <row r="153">
      <c r="A153" t="inlineStr">
        <is>
          <t>11103</t>
        </is>
      </c>
      <c r="B153" t="inlineStr">
        <is>
          <t>MG 120/5 LL T</t>
        </is>
      </c>
      <c r="C153" t="inlineStr">
        <is>
          <t>FM - VORTICE</t>
        </is>
      </c>
      <c r="D153" t="n">
        <v>34</v>
      </c>
      <c r="E153" t="n">
        <v>0</v>
      </c>
      <c r="F153" t="inlineStr"/>
      <c r="G153" s="1" t="n">
        <v>0</v>
      </c>
      <c r="H153" t="n">
        <v>1</v>
      </c>
      <c r="I153" t="n">
        <v>0.5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s="1">
        <f>IFERROR(L153*G153,0)</f>
        <v/>
      </c>
      <c r="P153">
        <f>IF(N153-L153-M153&gt;0,N153-L153-M153,0)</f>
        <v/>
      </c>
      <c r="Q153" s="1">
        <f>IFERROR(P153*G153,0)</f>
        <v/>
      </c>
    </row>
    <row r="154">
      <c r="A154" t="inlineStr">
        <is>
          <t>11125</t>
        </is>
      </c>
      <c r="B154" t="inlineStr">
        <is>
          <t>MF 150</t>
        </is>
      </c>
      <c r="C154" t="inlineStr">
        <is>
          <t>FM - VORTICE</t>
        </is>
      </c>
      <c r="D154" t="n">
        <v>17</v>
      </c>
      <c r="E154" t="n">
        <v>15</v>
      </c>
      <c r="F154" t="inlineStr">
        <is>
          <t>Vortice Elettrosociali SpA</t>
        </is>
      </c>
      <c r="G154" s="1" t="n">
        <v>129.55</v>
      </c>
      <c r="H154" t="n">
        <v>6</v>
      </c>
      <c r="I154" t="n">
        <v>0.5</v>
      </c>
      <c r="J154" t="n">
        <v>1</v>
      </c>
      <c r="K154" t="n">
        <v>1</v>
      </c>
      <c r="L154" t="n">
        <v>0</v>
      </c>
      <c r="M154" t="n">
        <v>0</v>
      </c>
      <c r="N154" t="n">
        <v>2</v>
      </c>
      <c r="O154" s="1">
        <f>IFERROR(L154*G154,0)</f>
        <v/>
      </c>
      <c r="P154">
        <f>IF(N154-L154-M154&gt;0,N154-L154-M154,0)</f>
        <v/>
      </c>
      <c r="Q154" s="1">
        <f>IFERROR(P154*G154,0)</f>
        <v/>
      </c>
    </row>
    <row r="155">
      <c r="A155" t="inlineStr">
        <is>
          <t>11128</t>
        </is>
      </c>
      <c r="B155" t="inlineStr">
        <is>
          <t>MF 120 T</t>
        </is>
      </c>
      <c r="C155" t="inlineStr">
        <is>
          <t>FM - VORTICE</t>
        </is>
      </c>
      <c r="D155" t="n">
        <v>33</v>
      </c>
      <c r="E155" t="n">
        <v>0</v>
      </c>
      <c r="F155" t="inlineStr"/>
      <c r="G155" s="1" t="n">
        <v>0</v>
      </c>
      <c r="H155" t="n">
        <v>7</v>
      </c>
      <c r="I155" t="n">
        <v>0.5</v>
      </c>
      <c r="J155" t="n">
        <v>1</v>
      </c>
      <c r="K155" t="n">
        <v>1</v>
      </c>
      <c r="L155" t="n">
        <v>0</v>
      </c>
      <c r="M155" t="n">
        <v>0</v>
      </c>
      <c r="N155" t="n">
        <v>2</v>
      </c>
      <c r="O155" s="1">
        <f>IFERROR(L155*G155,0)</f>
        <v/>
      </c>
      <c r="P155">
        <f>IF(N155-L155-M155&gt;0,N155-L155-M155,0)</f>
        <v/>
      </c>
      <c r="Q155" s="1">
        <f>IFERROR(P155*G155,0)</f>
        <v/>
      </c>
    </row>
    <row r="156">
      <c r="A156" t="inlineStr">
        <is>
          <t>11133</t>
        </is>
      </c>
      <c r="B156" t="inlineStr">
        <is>
          <t>MF 150 LL</t>
        </is>
      </c>
      <c r="C156" t="inlineStr">
        <is>
          <t>FM - VORTICE</t>
        </is>
      </c>
      <c r="D156" t="n">
        <v>19</v>
      </c>
      <c r="E156" t="n">
        <v>15</v>
      </c>
      <c r="F156" t="inlineStr">
        <is>
          <t>Vortice Elettrosociali SpA</t>
        </is>
      </c>
      <c r="G156" s="1" t="n">
        <v>887.76</v>
      </c>
      <c r="H156" t="n">
        <v>27</v>
      </c>
      <c r="I156" t="n">
        <v>1.1</v>
      </c>
      <c r="J156" t="n">
        <v>1.5</v>
      </c>
      <c r="K156" t="n">
        <v>2</v>
      </c>
      <c r="L156" t="n">
        <v>0</v>
      </c>
      <c r="M156" t="n">
        <v>0</v>
      </c>
      <c r="N156" t="n">
        <v>5</v>
      </c>
      <c r="O156" s="1">
        <f>IFERROR(L156*G156,0)</f>
        <v/>
      </c>
      <c r="P156">
        <f>IF(N156-L156-M156&gt;0,N156-L156-M156,0)</f>
        <v/>
      </c>
      <c r="Q156" s="1">
        <f>IFERROR(P156*G156,0)</f>
        <v/>
      </c>
    </row>
    <row r="157">
      <c r="A157" t="inlineStr">
        <is>
          <t>11145</t>
        </is>
      </c>
      <c r="B157" t="inlineStr">
        <is>
          <t>MFO 100/4</t>
        </is>
      </c>
      <c r="C157" t="inlineStr">
        <is>
          <t>FM - VORTICE</t>
        </is>
      </c>
      <c r="D157" t="n">
        <v>19</v>
      </c>
      <c r="E157" t="n">
        <v>0</v>
      </c>
      <c r="F157" t="inlineStr"/>
      <c r="G157" s="1" t="n">
        <v>0</v>
      </c>
      <c r="H157" t="n">
        <v>3</v>
      </c>
      <c r="I157" t="n">
        <v>0.5</v>
      </c>
      <c r="J157" t="n">
        <v>1</v>
      </c>
      <c r="K157" t="n">
        <v>1</v>
      </c>
      <c r="L157" t="n">
        <v>0</v>
      </c>
      <c r="M157" t="n">
        <v>0</v>
      </c>
      <c r="N157" t="n">
        <v>2</v>
      </c>
      <c r="O157" s="1">
        <f>IFERROR(L157*G157,0)</f>
        <v/>
      </c>
      <c r="P157">
        <f>IF(N157-L157-M157&gt;0,N157-L157-M157,0)</f>
        <v/>
      </c>
      <c r="Q157" s="1">
        <f>IFERROR(P157*G157,0)</f>
        <v/>
      </c>
    </row>
    <row r="158">
      <c r="A158" t="inlineStr">
        <is>
          <t>11147</t>
        </is>
      </c>
      <c r="B158" t="inlineStr">
        <is>
          <t>MFO 120/5</t>
        </is>
      </c>
      <c r="C158" t="inlineStr">
        <is>
          <t>FM - VORTICE</t>
        </is>
      </c>
      <c r="D158" t="n">
        <v>30</v>
      </c>
      <c r="E158" t="n">
        <v>0</v>
      </c>
      <c r="F158" t="inlineStr"/>
      <c r="G158" s="1" t="n">
        <v>0</v>
      </c>
      <c r="H158" t="n">
        <v>5</v>
      </c>
      <c r="I158" t="n">
        <v>0.5</v>
      </c>
      <c r="J158" t="n">
        <v>1</v>
      </c>
      <c r="K158" t="n">
        <v>1</v>
      </c>
      <c r="L158" t="n">
        <v>0</v>
      </c>
      <c r="M158" t="n">
        <v>0</v>
      </c>
      <c r="N158" t="n">
        <v>2</v>
      </c>
      <c r="O158" s="1">
        <f>IFERROR(L158*G158,0)</f>
        <v/>
      </c>
      <c r="P158">
        <f>IF(N158-L158-M158&gt;0,N158-L158-M158,0)</f>
        <v/>
      </c>
      <c r="Q158" s="1">
        <f>IFERROR(P158*G158,0)</f>
        <v/>
      </c>
    </row>
    <row r="159">
      <c r="A159" t="inlineStr">
        <is>
          <t>112 TBLOCK AL F</t>
        </is>
      </c>
      <c r="B159" t="inlineStr">
        <is>
          <t>BMG MOTORLINE SPARES</t>
        </is>
      </c>
      <c r="C159" t="inlineStr"/>
      <c r="D159" t="n">
        <v>1</v>
      </c>
      <c r="E159" t="n">
        <v>1</v>
      </c>
      <c r="F159" t="inlineStr">
        <is>
          <t>Bearing Man Group</t>
        </is>
      </c>
      <c r="G159" s="1" t="n">
        <v>83.2</v>
      </c>
      <c r="H159" t="n">
        <v>0</v>
      </c>
      <c r="I159" t="n">
        <v>2</v>
      </c>
      <c r="J159" t="n">
        <v>1</v>
      </c>
      <c r="K159" t="n">
        <v>2</v>
      </c>
      <c r="L159" t="n">
        <v>0</v>
      </c>
      <c r="M159" t="n">
        <v>0</v>
      </c>
      <c r="N159" t="n">
        <v>4</v>
      </c>
      <c r="O159" s="1">
        <f>IFERROR(L159*G159,0)</f>
        <v/>
      </c>
      <c r="P159">
        <f>IF(N159-L159-M159&gt;0,N159-L159-M159,0)</f>
        <v/>
      </c>
      <c r="Q159" s="1">
        <f>IFERROR(P159*G159,0)</f>
        <v/>
      </c>
    </row>
    <row r="160">
      <c r="A160" t="inlineStr">
        <is>
          <t>11201</t>
        </is>
      </c>
      <c r="B160" t="inlineStr">
        <is>
          <t>M 100 / 4</t>
        </is>
      </c>
      <c r="C160" t="inlineStr">
        <is>
          <t>FM - VORTICE</t>
        </is>
      </c>
      <c r="D160" t="n">
        <v>28</v>
      </c>
      <c r="E160" t="n">
        <v>0</v>
      </c>
      <c r="F160" t="inlineStr"/>
      <c r="G160" s="1" t="n">
        <v>0</v>
      </c>
      <c r="H160" t="n">
        <v>19</v>
      </c>
      <c r="I160" t="n">
        <v>0.5</v>
      </c>
      <c r="J160" t="n">
        <v>1</v>
      </c>
      <c r="K160" t="n">
        <v>1</v>
      </c>
      <c r="L160" t="n">
        <v>0</v>
      </c>
      <c r="M160" t="n">
        <v>0</v>
      </c>
      <c r="N160" t="n">
        <v>2</v>
      </c>
      <c r="O160" s="1">
        <f>IFERROR(L160*G160,0)</f>
        <v/>
      </c>
      <c r="P160">
        <f>IF(N160-L160-M160&gt;0,N160-L160-M160,0)</f>
        <v/>
      </c>
      <c r="Q160" s="1">
        <f>IFERROR(P160*G160,0)</f>
        <v/>
      </c>
    </row>
    <row r="161">
      <c r="A161" t="inlineStr">
        <is>
          <t>112525</t>
        </is>
      </c>
      <c r="B161" t="inlineStr">
        <is>
          <t>11Kw 2P 525V motor to suit 630 Fans</t>
        </is>
      </c>
      <c r="C161" t="inlineStr"/>
      <c r="D161" t="n">
        <v>2</v>
      </c>
      <c r="E161" t="n">
        <v>5</v>
      </c>
      <c r="F161" t="inlineStr">
        <is>
          <t>ACTOM</t>
        </is>
      </c>
      <c r="G161" s="1" t="n">
        <v>11439</v>
      </c>
      <c r="H161" t="n">
        <v>2</v>
      </c>
      <c r="I161" t="n">
        <v>0.6</v>
      </c>
      <c r="J161" t="n">
        <v>2.5</v>
      </c>
      <c r="K161" t="n">
        <v>2</v>
      </c>
      <c r="L161" t="n">
        <v>0</v>
      </c>
      <c r="M161" t="n">
        <v>0</v>
      </c>
      <c r="N161" t="n">
        <v>7</v>
      </c>
      <c r="O161" s="1">
        <f>IFERROR(L161*G161,0)</f>
        <v/>
      </c>
      <c r="P161">
        <f>IF(N161-L161-M161&gt;0,N161-L161-M161,0)</f>
        <v/>
      </c>
      <c r="Q161" s="1">
        <f>IFERROR(P161*G161,0)</f>
        <v/>
      </c>
    </row>
    <row r="162">
      <c r="A162" t="inlineStr">
        <is>
          <t>11270</t>
        </is>
      </c>
      <c r="B162" t="inlineStr">
        <is>
          <t>ME 120/5 LL</t>
        </is>
      </c>
      <c r="C162" t="inlineStr">
        <is>
          <t>FM - VORTICE</t>
        </is>
      </c>
      <c r="D162" t="n">
        <v>23</v>
      </c>
      <c r="E162" t="n">
        <v>0</v>
      </c>
      <c r="F162" t="inlineStr"/>
      <c r="G162" s="1" t="n">
        <v>0</v>
      </c>
      <c r="H162" t="n">
        <v>3</v>
      </c>
      <c r="I162" t="n">
        <v>0.5</v>
      </c>
      <c r="J162" t="n">
        <v>1</v>
      </c>
      <c r="K162" t="n">
        <v>1</v>
      </c>
      <c r="L162" t="n">
        <v>0</v>
      </c>
      <c r="M162" t="n">
        <v>0</v>
      </c>
      <c r="N162" t="n">
        <v>2</v>
      </c>
      <c r="O162" s="1">
        <f>IFERROR(L162*G162,0)</f>
        <v/>
      </c>
      <c r="P162">
        <f>IF(N162-L162-M162&gt;0,N162-L162-M162,0)</f>
        <v/>
      </c>
      <c r="Q162" s="1">
        <f>IFERROR(P162*G162,0)</f>
        <v/>
      </c>
    </row>
    <row r="163">
      <c r="A163" t="inlineStr">
        <is>
          <t>112X3SPA</t>
        </is>
      </c>
      <c r="B163" t="inlineStr">
        <is>
          <t>PULLEY FRICTION BELT V-WEDGE 3 GROOVE SPA 2012 TAPER 112MM FENNER</t>
        </is>
      </c>
      <c r="C163" t="inlineStr"/>
      <c r="D163" t="n">
        <v>12</v>
      </c>
      <c r="E163" t="n">
        <v>8</v>
      </c>
      <c r="F163" t="inlineStr">
        <is>
          <t>Bearing Man Group</t>
        </is>
      </c>
      <c r="G163" s="1" t="n">
        <v>243.11</v>
      </c>
      <c r="H163" t="n">
        <v>0</v>
      </c>
      <c r="I163" t="n">
        <v>0.7</v>
      </c>
      <c r="J163" t="n">
        <v>1</v>
      </c>
      <c r="K163" t="n">
        <v>1</v>
      </c>
      <c r="L163" t="n">
        <v>0</v>
      </c>
      <c r="M163" t="n">
        <v>0</v>
      </c>
      <c r="N163" t="n">
        <v>3</v>
      </c>
      <c r="O163" s="1">
        <f>IFERROR(L163*G163,0)</f>
        <v/>
      </c>
      <c r="P163">
        <f>IF(N163-L163-M163&gt;0,N163-L163-M163,0)</f>
        <v/>
      </c>
      <c r="Q163" s="1">
        <f>IFERROR(P163*G163,0)</f>
        <v/>
      </c>
    </row>
    <row r="164">
      <c r="A164" t="inlineStr">
        <is>
          <t>11301</t>
        </is>
      </c>
      <c r="B164" t="inlineStr">
        <is>
          <t>M 120 / 5</t>
        </is>
      </c>
      <c r="C164" t="inlineStr">
        <is>
          <t>FM - VORTICE</t>
        </is>
      </c>
      <c r="D164" t="n">
        <v>24</v>
      </c>
      <c r="E164" t="n">
        <v>0</v>
      </c>
      <c r="F164" t="inlineStr"/>
      <c r="G164" s="1" t="n">
        <v>0</v>
      </c>
      <c r="H164" t="n">
        <v>15</v>
      </c>
      <c r="I164" t="n">
        <v>0.5</v>
      </c>
      <c r="J164" t="n">
        <v>1</v>
      </c>
      <c r="K164" t="n">
        <v>1</v>
      </c>
      <c r="L164" t="n">
        <v>0</v>
      </c>
      <c r="M164" t="n">
        <v>0</v>
      </c>
      <c r="N164" t="n">
        <v>2</v>
      </c>
      <c r="O164" s="1">
        <f>IFERROR(L164*G164,0)</f>
        <v/>
      </c>
      <c r="P164">
        <f>IF(N164-L164-M164&gt;0,N164-L164-M164,0)</f>
        <v/>
      </c>
      <c r="Q164" s="1">
        <f>IFERROR(P164*G164,0)</f>
        <v/>
      </c>
    </row>
    <row r="165">
      <c r="A165" t="inlineStr">
        <is>
          <t>11302</t>
        </is>
      </c>
      <c r="B165" t="inlineStr">
        <is>
          <t>M 120 / 5 LL</t>
        </is>
      </c>
      <c r="C165" t="inlineStr">
        <is>
          <t>FM - VORTICE</t>
        </is>
      </c>
      <c r="D165" t="n">
        <v>35</v>
      </c>
      <c r="E165" t="n">
        <v>0</v>
      </c>
      <c r="F165" t="inlineStr"/>
      <c r="G165" s="1" t="n">
        <v>0</v>
      </c>
      <c r="H165" t="n">
        <v>1</v>
      </c>
      <c r="I165" t="n">
        <v>0.5</v>
      </c>
      <c r="J165" t="n">
        <v>1</v>
      </c>
      <c r="K165" t="n">
        <v>1</v>
      </c>
      <c r="L165" t="n">
        <v>0</v>
      </c>
      <c r="M165" t="n">
        <v>0</v>
      </c>
      <c r="N165" t="n">
        <v>2</v>
      </c>
      <c r="O165" s="1">
        <f>IFERROR(L165*G165,0)</f>
        <v/>
      </c>
      <c r="P165">
        <f>IF(N165-L165-M165&gt;0,N165-L165-M165,0)</f>
        <v/>
      </c>
      <c r="Q165" s="1">
        <f>IFERROR(P165*G165,0)</f>
        <v/>
      </c>
    </row>
    <row r="166">
      <c r="A166" t="inlineStr">
        <is>
          <t>11311</t>
        </is>
      </c>
      <c r="B166" t="inlineStr">
        <is>
          <t>M 120 / 5 T</t>
        </is>
      </c>
      <c r="C166" t="inlineStr">
        <is>
          <t>FM - VORTICE</t>
        </is>
      </c>
      <c r="D166" t="n">
        <v>33</v>
      </c>
      <c r="E166" t="n">
        <v>0</v>
      </c>
      <c r="F166" t="inlineStr"/>
      <c r="G166" s="1" t="n">
        <v>0</v>
      </c>
      <c r="H166" t="n">
        <v>4</v>
      </c>
      <c r="I166" t="n">
        <v>0.5</v>
      </c>
      <c r="J166" t="n">
        <v>1</v>
      </c>
      <c r="K166" t="n">
        <v>1</v>
      </c>
      <c r="L166" t="n">
        <v>0</v>
      </c>
      <c r="M166" t="n">
        <v>0</v>
      </c>
      <c r="N166" t="n">
        <v>2</v>
      </c>
      <c r="O166" s="1">
        <f>IFERROR(L166*G166,0)</f>
        <v/>
      </c>
      <c r="P166">
        <f>IF(N166-L166-M166&gt;0,N166-L166-M166,0)</f>
        <v/>
      </c>
      <c r="Q166" s="1">
        <f>IFERROR(P166*G166,0)</f>
        <v/>
      </c>
    </row>
    <row r="167">
      <c r="A167" t="inlineStr">
        <is>
          <t>11313</t>
        </is>
      </c>
      <c r="B167" t="inlineStr">
        <is>
          <t>MEX 100/4 LL 1S</t>
        </is>
      </c>
      <c r="C167" t="inlineStr">
        <is>
          <t>FM - VORTICE</t>
        </is>
      </c>
      <c r="D167" t="n">
        <v>27</v>
      </c>
      <c r="E167" t="n">
        <v>0</v>
      </c>
      <c r="F167" t="inlineStr"/>
      <c r="G167" s="1" t="n">
        <v>0</v>
      </c>
      <c r="H167" t="n">
        <v>6</v>
      </c>
      <c r="I167" t="n">
        <v>0.5</v>
      </c>
      <c r="J167" t="n">
        <v>1</v>
      </c>
      <c r="K167" t="n">
        <v>1</v>
      </c>
      <c r="L167" t="n">
        <v>0</v>
      </c>
      <c r="M167" t="n">
        <v>0</v>
      </c>
      <c r="N167" t="n">
        <v>2</v>
      </c>
      <c r="O167" s="1">
        <f>IFERROR(L167*G167,0)</f>
        <v/>
      </c>
      <c r="P167">
        <f>IF(N167-L167-M167&gt;0,N167-L167-M167,0)</f>
        <v/>
      </c>
      <c r="Q167" s="1">
        <f>IFERROR(P167*G167,0)</f>
        <v/>
      </c>
    </row>
    <row r="168">
      <c r="A168" t="inlineStr">
        <is>
          <t>11322</t>
        </is>
      </c>
      <c r="B168" t="inlineStr">
        <is>
          <t>M 120 / 5 A LL</t>
        </is>
      </c>
      <c r="C168" t="inlineStr">
        <is>
          <t>FM - VORTICE</t>
        </is>
      </c>
      <c r="D168" t="n">
        <v>18</v>
      </c>
      <c r="E168" t="n">
        <v>0</v>
      </c>
      <c r="F168" t="inlineStr"/>
      <c r="G168" s="1" t="n">
        <v>0</v>
      </c>
      <c r="H168" t="n">
        <v>2</v>
      </c>
      <c r="I168" t="n">
        <v>0.5</v>
      </c>
      <c r="J168" t="n">
        <v>1</v>
      </c>
      <c r="K168" t="n">
        <v>1</v>
      </c>
      <c r="L168" t="n">
        <v>0</v>
      </c>
      <c r="M168" t="n">
        <v>0</v>
      </c>
      <c r="N168" t="n">
        <v>2</v>
      </c>
      <c r="O168" s="1">
        <f>IFERROR(L168*G168,0)</f>
        <v/>
      </c>
      <c r="P168">
        <f>IF(N168-L168-M168&gt;0,N168-L168-M168,0)</f>
        <v/>
      </c>
      <c r="Q168" s="1">
        <f>IFERROR(P168*G168,0)</f>
        <v/>
      </c>
    </row>
    <row r="169">
      <c r="A169" t="inlineStr">
        <is>
          <t>11333</t>
        </is>
      </c>
      <c r="B169" t="inlineStr">
        <is>
          <t>MEX 120/5 LL IS</t>
        </is>
      </c>
      <c r="C169" t="inlineStr">
        <is>
          <t>FM - VORTICE</t>
        </is>
      </c>
      <c r="D169" t="n">
        <v>14</v>
      </c>
      <c r="E169" t="n">
        <v>0</v>
      </c>
      <c r="F169" t="inlineStr"/>
      <c r="G169" s="1" t="n">
        <v>0</v>
      </c>
      <c r="H169" t="n">
        <v>4</v>
      </c>
      <c r="I169" t="n">
        <v>0.5</v>
      </c>
      <c r="J169" t="n">
        <v>1</v>
      </c>
      <c r="K169" t="n">
        <v>1</v>
      </c>
      <c r="L169" t="n">
        <v>0</v>
      </c>
      <c r="M169" t="n">
        <v>0</v>
      </c>
      <c r="N169" t="n">
        <v>2</v>
      </c>
      <c r="O169" s="1">
        <f>IFERROR(L169*G169,0)</f>
        <v/>
      </c>
      <c r="P169">
        <f>IF(N169-L169-M169&gt;0,N169-L169-M169,0)</f>
        <v/>
      </c>
      <c r="Q169" s="1">
        <f>IFERROR(P169*G169,0)</f>
        <v/>
      </c>
    </row>
    <row r="170">
      <c r="A170" t="inlineStr">
        <is>
          <t>11334</t>
        </is>
      </c>
      <c r="B170" t="inlineStr">
        <is>
          <t>MEX 120/5 1S LLT</t>
        </is>
      </c>
      <c r="C170" t="inlineStr">
        <is>
          <t>FM - VORTICE</t>
        </is>
      </c>
      <c r="D170" t="n">
        <v>14</v>
      </c>
      <c r="E170" t="n">
        <v>0</v>
      </c>
      <c r="F170" t="inlineStr"/>
      <c r="G170" s="1" t="n">
        <v>0</v>
      </c>
      <c r="H170" t="n">
        <v>3</v>
      </c>
      <c r="I170" t="n">
        <v>0.5</v>
      </c>
      <c r="J170" t="n">
        <v>1</v>
      </c>
      <c r="K170" t="n">
        <v>1</v>
      </c>
      <c r="L170" t="n">
        <v>0</v>
      </c>
      <c r="M170" t="n">
        <v>0</v>
      </c>
      <c r="N170" t="n">
        <v>2</v>
      </c>
      <c r="O170" s="1">
        <f>IFERROR(L170*G170,0)</f>
        <v/>
      </c>
      <c r="P170">
        <f>IF(N170-L170-M170&gt;0,N170-L170-M170,0)</f>
        <v/>
      </c>
      <c r="Q170" s="1">
        <f>IFERROR(P170*G170,0)</f>
        <v/>
      </c>
    </row>
    <row r="171">
      <c r="A171" t="inlineStr">
        <is>
          <t>11401</t>
        </is>
      </c>
      <c r="B171" t="inlineStr">
        <is>
          <t>M 150 / 6</t>
        </is>
      </c>
      <c r="C171" t="inlineStr">
        <is>
          <t>FM - VORTICE</t>
        </is>
      </c>
      <c r="D171" t="n">
        <v>24</v>
      </c>
      <c r="E171" t="n">
        <v>60</v>
      </c>
      <c r="F171" t="inlineStr">
        <is>
          <t>Vortice Elettrosociali SpA</t>
        </is>
      </c>
      <c r="G171" s="1" t="n">
        <v>623.03</v>
      </c>
      <c r="H171" t="n">
        <v>108</v>
      </c>
      <c r="I171" t="n">
        <v>0.7</v>
      </c>
      <c r="J171" t="n">
        <v>4.5</v>
      </c>
      <c r="K171" t="n">
        <v>3</v>
      </c>
      <c r="L171" t="n">
        <v>0</v>
      </c>
      <c r="M171" t="n">
        <v>0</v>
      </c>
      <c r="N171" t="n">
        <v>12</v>
      </c>
      <c r="O171" s="1">
        <f>IFERROR(L171*G171,0)</f>
        <v/>
      </c>
      <c r="P171">
        <f>IF(N171-L171-M171&gt;0,N171-L171-M171,0)</f>
        <v/>
      </c>
      <c r="Q171" s="1">
        <f>IFERROR(P171*G171,0)</f>
        <v/>
      </c>
    </row>
    <row r="172">
      <c r="A172" t="inlineStr">
        <is>
          <t>11402</t>
        </is>
      </c>
      <c r="B172" t="inlineStr">
        <is>
          <t>M 150 / 6 LL</t>
        </is>
      </c>
      <c r="C172" t="inlineStr">
        <is>
          <t>FM - VORTICE</t>
        </is>
      </c>
      <c r="D172" t="n">
        <v>6</v>
      </c>
      <c r="E172" t="n">
        <v>18</v>
      </c>
      <c r="F172" t="inlineStr">
        <is>
          <t>Vortice Elettrosociali SpA</t>
        </is>
      </c>
      <c r="G172" s="1" t="n">
        <v>788.55</v>
      </c>
      <c r="H172" t="n">
        <v>0</v>
      </c>
      <c r="I172" t="n">
        <v>0.5</v>
      </c>
      <c r="J172" t="n">
        <v>3</v>
      </c>
      <c r="K172" t="n">
        <v>2</v>
      </c>
      <c r="L172" t="n">
        <v>0</v>
      </c>
      <c r="M172" t="n">
        <v>0</v>
      </c>
      <c r="N172" t="n">
        <v>8</v>
      </c>
      <c r="O172" s="1">
        <f>IFERROR(L172*G172,0)</f>
        <v/>
      </c>
      <c r="P172">
        <f>IF(N172-L172-M172&gt;0,N172-L172-M172,0)</f>
        <v/>
      </c>
      <c r="Q172" s="1">
        <f>IFERROR(P172*G172,0)</f>
        <v/>
      </c>
    </row>
    <row r="173">
      <c r="A173" t="inlineStr">
        <is>
          <t>11411</t>
        </is>
      </c>
      <c r="B173" t="inlineStr">
        <is>
          <t>M 150 / 6 T</t>
        </is>
      </c>
      <c r="C173" t="inlineStr">
        <is>
          <t>FM - VORTICE</t>
        </is>
      </c>
      <c r="D173" t="n">
        <v>18</v>
      </c>
      <c r="E173" t="n">
        <v>0</v>
      </c>
      <c r="F173" t="inlineStr"/>
      <c r="G173" s="1" t="n">
        <v>0</v>
      </c>
      <c r="H173" t="n">
        <v>1</v>
      </c>
      <c r="I173" t="n">
        <v>0.5</v>
      </c>
      <c r="J173" t="n">
        <v>1</v>
      </c>
      <c r="K173" t="n">
        <v>1</v>
      </c>
      <c r="L173" t="n">
        <v>0</v>
      </c>
      <c r="M173" t="n">
        <v>0</v>
      </c>
      <c r="N173" t="n">
        <v>2</v>
      </c>
      <c r="O173" s="1">
        <f>IFERROR(L173*G173,0)</f>
        <v/>
      </c>
      <c r="P173">
        <f>IF(N173-L173-M173&gt;0,N173-L173-M173,0)</f>
        <v/>
      </c>
      <c r="Q173" s="1">
        <f>IFERROR(P173*G173,0)</f>
        <v/>
      </c>
    </row>
    <row r="174">
      <c r="A174" t="inlineStr">
        <is>
          <t>11421</t>
        </is>
      </c>
      <c r="B174" t="inlineStr">
        <is>
          <t>M 150 / 6 A</t>
        </is>
      </c>
      <c r="C174" t="inlineStr">
        <is>
          <t>FM - VORTICE</t>
        </is>
      </c>
      <c r="D174" t="n">
        <v>15</v>
      </c>
      <c r="E174" t="n">
        <v>0</v>
      </c>
      <c r="F174" t="inlineStr"/>
      <c r="G174" s="1" t="n">
        <v>0</v>
      </c>
      <c r="H174" t="n">
        <v>4</v>
      </c>
      <c r="I174" t="n">
        <v>0.5</v>
      </c>
      <c r="J174" t="n">
        <v>1</v>
      </c>
      <c r="K174" t="n">
        <v>1</v>
      </c>
      <c r="L174" t="n">
        <v>0</v>
      </c>
      <c r="M174" t="n">
        <v>0</v>
      </c>
      <c r="N174" t="n">
        <v>2</v>
      </c>
      <c r="O174" s="1">
        <f>IFERROR(L174*G174,0)</f>
        <v/>
      </c>
      <c r="P174">
        <f>IF(N174-L174-M174&gt;0,N174-L174-M174,0)</f>
        <v/>
      </c>
      <c r="Q174" s="1">
        <f>IFERROR(P174*G174,0)</f>
        <v/>
      </c>
    </row>
    <row r="175">
      <c r="A175" t="inlineStr">
        <is>
          <t>1143.</t>
        </is>
      </c>
      <c r="B175" t="inlineStr">
        <is>
          <t>11kW 4Pole 525V B3 NV3 IE1 Cast Iron</t>
        </is>
      </c>
      <c r="C175" t="inlineStr"/>
      <c r="D175" t="n">
        <v>1</v>
      </c>
      <c r="E175" t="n">
        <v>2</v>
      </c>
      <c r="F175" t="inlineStr">
        <is>
          <t>ACTOM</t>
        </is>
      </c>
      <c r="G175" s="1" t="n">
        <v>8185</v>
      </c>
      <c r="H175" t="n">
        <v>0</v>
      </c>
      <c r="I175" t="n">
        <v>0.5</v>
      </c>
      <c r="J175" t="n">
        <v>2</v>
      </c>
      <c r="K175" t="n">
        <v>1</v>
      </c>
      <c r="L175" t="n">
        <v>0</v>
      </c>
      <c r="M175" t="n">
        <v>0</v>
      </c>
      <c r="N175" t="n">
        <v>5</v>
      </c>
      <c r="O175" s="1">
        <f>IFERROR(L175*G175,0)</f>
        <v/>
      </c>
      <c r="P175">
        <f>IF(N175-L175-M175&gt;0,N175-L175-M175,0)</f>
        <v/>
      </c>
      <c r="Q175" s="1">
        <f>IFERROR(P175*G175,0)</f>
        <v/>
      </c>
    </row>
    <row r="176">
      <c r="A176" t="inlineStr">
        <is>
          <t>1143PM</t>
        </is>
      </c>
      <c r="B176" t="inlineStr">
        <is>
          <t>11KW 4 POLE 380V Pad Mount Motor</t>
        </is>
      </c>
      <c r="C176" t="inlineStr"/>
      <c r="D176" t="n">
        <v>1</v>
      </c>
      <c r="E176" t="n">
        <v>3</v>
      </c>
      <c r="F176" t="inlineStr">
        <is>
          <t>WEG South Africa</t>
        </is>
      </c>
      <c r="G176" s="1" t="n">
        <v>7897.17</v>
      </c>
      <c r="H176" t="n">
        <v>0</v>
      </c>
      <c r="I176" t="n">
        <v>0.8</v>
      </c>
      <c r="J176" t="n">
        <v>3</v>
      </c>
      <c r="K176" t="n">
        <v>2</v>
      </c>
      <c r="L176" t="n">
        <v>0</v>
      </c>
      <c r="M176" t="n">
        <v>0</v>
      </c>
      <c r="N176" t="n">
        <v>8</v>
      </c>
      <c r="O176" s="1">
        <f>IFERROR(L176*G176,0)</f>
        <v/>
      </c>
      <c r="P176">
        <f>IF(N176-L176-M176&gt;0,N176-L176-M176,0)</f>
        <v/>
      </c>
      <c r="Q176" s="1">
        <f>IFERROR(P176*G176,0)</f>
        <v/>
      </c>
    </row>
    <row r="177">
      <c r="A177" t="inlineStr">
        <is>
          <t>11741</t>
        </is>
      </c>
      <c r="B177" t="inlineStr">
        <is>
          <t>M120/5 P</t>
        </is>
      </c>
      <c r="C177" t="inlineStr">
        <is>
          <t>FM - VORTICE</t>
        </is>
      </c>
      <c r="D177" t="n">
        <v>8</v>
      </c>
      <c r="E177" t="n">
        <v>0</v>
      </c>
      <c r="F177" t="inlineStr"/>
      <c r="G177" s="1" t="n">
        <v>0</v>
      </c>
      <c r="H177" t="n">
        <v>1</v>
      </c>
      <c r="I177" t="n">
        <v>0.5</v>
      </c>
      <c r="J177" t="n">
        <v>1</v>
      </c>
      <c r="K177" t="n">
        <v>1</v>
      </c>
      <c r="L177" t="n">
        <v>0</v>
      </c>
      <c r="M177" t="n">
        <v>0</v>
      </c>
      <c r="N177" t="n">
        <v>2</v>
      </c>
      <c r="O177" s="1">
        <f>IFERROR(L177*G177,0)</f>
        <v/>
      </c>
      <c r="P177">
        <f>IF(N177-L177-M177&gt;0,N177-L177-M177,0)</f>
        <v/>
      </c>
      <c r="Q177" s="1">
        <f>IFERROR(P177*G177,0)</f>
        <v/>
      </c>
    </row>
    <row r="178">
      <c r="A178" t="inlineStr">
        <is>
          <t>118X2SPA.</t>
        </is>
      </c>
      <c r="B178" t="inlineStr">
        <is>
          <t>PULLEY FRICTION BELT V-WEDGE 2 GROOVESPA 1610 TAPER 118MM FENNER</t>
        </is>
      </c>
      <c r="C178" t="inlineStr"/>
      <c r="D178" t="n">
        <v>1</v>
      </c>
      <c r="E178" t="n">
        <v>2</v>
      </c>
      <c r="F178" t="inlineStr">
        <is>
          <t>Bearing Man Group</t>
        </is>
      </c>
      <c r="G178" s="1" t="n">
        <v>220.95</v>
      </c>
      <c r="H178" t="n">
        <v>0</v>
      </c>
      <c r="I178" t="n">
        <v>0.7</v>
      </c>
      <c r="J178" t="n">
        <v>2</v>
      </c>
      <c r="K178" t="n">
        <v>1</v>
      </c>
      <c r="L178" t="n">
        <v>0</v>
      </c>
      <c r="M178" t="n">
        <v>0</v>
      </c>
      <c r="N178" t="n">
        <v>5</v>
      </c>
      <c r="O178" s="1">
        <f>IFERROR(L178*G178,0)</f>
        <v/>
      </c>
      <c r="P178">
        <f>IF(N178-L178-M178&gt;0,N178-L178-M178,0)</f>
        <v/>
      </c>
      <c r="Q178" s="1">
        <f>IFERROR(P178*G178,0)</f>
        <v/>
      </c>
    </row>
    <row r="179">
      <c r="A179" t="inlineStr">
        <is>
          <t>118X3SPA</t>
        </is>
      </c>
      <c r="B179" t="inlineStr">
        <is>
          <t>PULLEY FRICTION BELT V-WEDGE 3 GROOVE SPA 2012 TAPER 118MM FENNER</t>
        </is>
      </c>
      <c r="C179" t="inlineStr"/>
      <c r="D179" t="n">
        <v>1</v>
      </c>
      <c r="E179" t="n">
        <v>1</v>
      </c>
      <c r="F179" t="inlineStr">
        <is>
          <t>Bearing Man Group</t>
        </is>
      </c>
      <c r="G179" s="1" t="n">
        <v>309.09</v>
      </c>
      <c r="H179" t="n">
        <v>0</v>
      </c>
      <c r="I179" t="n">
        <v>0.5</v>
      </c>
      <c r="J179" t="n">
        <v>1</v>
      </c>
      <c r="K179" t="n">
        <v>1</v>
      </c>
      <c r="L179" t="n">
        <v>0</v>
      </c>
      <c r="M179" t="n">
        <v>0</v>
      </c>
      <c r="N179" t="n">
        <v>2</v>
      </c>
      <c r="O179" s="1">
        <f>IFERROR(L179*G179,0)</f>
        <v/>
      </c>
      <c r="P179">
        <f>IF(N179-L179-M179&gt;0,N179-L179-M179,0)</f>
        <v/>
      </c>
      <c r="Q179" s="1">
        <f>IFERROR(P179*G179,0)</f>
        <v/>
      </c>
    </row>
    <row r="180">
      <c r="A180" t="inlineStr">
        <is>
          <t>1200000</t>
        </is>
      </c>
      <c r="B180" t="inlineStr">
        <is>
          <t>Insurance</t>
        </is>
      </c>
      <c r="C180" t="inlineStr"/>
      <c r="D180" t="n">
        <v>1</v>
      </c>
      <c r="E180" t="n">
        <v>1</v>
      </c>
      <c r="F180" t="inlineStr">
        <is>
          <t>CRS Corporate Rental Solutions (Pty) Ltd</t>
        </is>
      </c>
      <c r="G180" s="1" t="n">
        <v>252.53</v>
      </c>
      <c r="H180" t="n">
        <v>0</v>
      </c>
      <c r="I180" t="n">
        <v>0.5</v>
      </c>
      <c r="J180" t="n">
        <v>1</v>
      </c>
      <c r="K180" t="n">
        <v>1</v>
      </c>
      <c r="L180" t="n">
        <v>0</v>
      </c>
      <c r="M180" t="n">
        <v>0</v>
      </c>
      <c r="N180" t="n">
        <v>2</v>
      </c>
      <c r="O180" s="1">
        <f>IFERROR(L180*G180,0)</f>
        <v/>
      </c>
      <c r="P180">
        <f>IF(N180-L180-M180&gt;0,N180-L180-M180,0)</f>
        <v/>
      </c>
      <c r="Q180" s="1">
        <f>IFERROR(P180*G180,0)</f>
        <v/>
      </c>
    </row>
    <row r="181">
      <c r="A181" t="inlineStr">
        <is>
          <t>12020</t>
        </is>
      </c>
      <c r="B181" t="inlineStr">
        <is>
          <t>MEDIO I</t>
        </is>
      </c>
      <c r="C181" t="inlineStr">
        <is>
          <t>FM - VORTICE</t>
        </is>
      </c>
      <c r="D181" t="n">
        <v>33</v>
      </c>
      <c r="E181" t="n">
        <v>1</v>
      </c>
      <c r="F181" t="inlineStr">
        <is>
          <t>Vortice Elettrosociali SpA</t>
        </is>
      </c>
      <c r="G181" s="1" t="n">
        <v>1500.14</v>
      </c>
      <c r="H181" t="n">
        <v>2</v>
      </c>
      <c r="I181" t="n">
        <v>1.5</v>
      </c>
      <c r="J181" t="n">
        <v>1</v>
      </c>
      <c r="K181" t="n">
        <v>2</v>
      </c>
      <c r="L181" t="n">
        <v>0</v>
      </c>
      <c r="M181" t="n">
        <v>0</v>
      </c>
      <c r="N181" t="n">
        <v>4</v>
      </c>
      <c r="O181" s="1">
        <f>IFERROR(L181*G181,0)</f>
        <v/>
      </c>
      <c r="P181">
        <f>IF(N181-L181-M181&gt;0,N181-L181-M181,0)</f>
        <v/>
      </c>
      <c r="Q181" s="1">
        <f>IFERROR(P181*G181,0)</f>
        <v/>
      </c>
    </row>
    <row r="182">
      <c r="A182" t="inlineStr">
        <is>
          <t>12023</t>
        </is>
      </c>
      <c r="B182" t="inlineStr">
        <is>
          <t>SUPER I</t>
        </is>
      </c>
      <c r="C182" t="inlineStr">
        <is>
          <t>FM - VORTICE</t>
        </is>
      </c>
      <c r="D182" t="n">
        <v>1</v>
      </c>
      <c r="E182" t="n">
        <v>1</v>
      </c>
      <c r="F182" t="inlineStr">
        <is>
          <t>Vortice Elettrosociali SpA</t>
        </is>
      </c>
      <c r="G182" s="1" t="n">
        <v>1932.21</v>
      </c>
      <c r="H182" t="n">
        <v>1</v>
      </c>
      <c r="I182" t="n">
        <v>1.4</v>
      </c>
      <c r="J182" t="n">
        <v>1</v>
      </c>
      <c r="K182" t="n">
        <v>1</v>
      </c>
      <c r="L182" t="n">
        <v>0</v>
      </c>
      <c r="M182" t="n">
        <v>0</v>
      </c>
      <c r="N182" t="n">
        <v>3</v>
      </c>
      <c r="O182" s="1">
        <f>IFERROR(L182*G182,0)</f>
        <v/>
      </c>
      <c r="P182">
        <f>IF(N182-L182-M182&gt;0,N182-L182-M182,0)</f>
        <v/>
      </c>
      <c r="Q182" s="1">
        <f>IFERROR(P182*G182,0)</f>
        <v/>
      </c>
    </row>
    <row r="183">
      <c r="A183" t="inlineStr">
        <is>
          <t>1210X28MM</t>
        </is>
      </c>
      <c r="B183" t="inlineStr">
        <is>
          <t>TAPER LOCK BUSH METRIC 1210 28MM FENNER</t>
        </is>
      </c>
      <c r="C183" t="inlineStr"/>
      <c r="D183" t="n">
        <v>1</v>
      </c>
      <c r="E183" t="n">
        <v>2</v>
      </c>
      <c r="F183" t="inlineStr">
        <is>
          <t>Bearing Man Group</t>
        </is>
      </c>
      <c r="G183" s="1" t="n">
        <v>62.04</v>
      </c>
      <c r="H183" t="n">
        <v>0</v>
      </c>
      <c r="I183" t="n">
        <v>0.5</v>
      </c>
      <c r="J183" t="n">
        <v>2</v>
      </c>
      <c r="K183" t="n">
        <v>1</v>
      </c>
      <c r="L183" t="n">
        <v>0</v>
      </c>
      <c r="M183" t="n">
        <v>0</v>
      </c>
      <c r="N183" t="n">
        <v>5</v>
      </c>
      <c r="O183" s="1">
        <f>IFERROR(L183*G183,0)</f>
        <v/>
      </c>
      <c r="P183">
        <f>IF(N183-L183-M183&gt;0,N183-L183-M183,0)</f>
        <v/>
      </c>
      <c r="Q183" s="1">
        <f>IFERROR(P183*G183,0)</f>
        <v/>
      </c>
    </row>
    <row r="184">
      <c r="A184" t="inlineStr">
        <is>
          <t>1212521</t>
        </is>
      </c>
      <c r="B184" t="inlineStr">
        <is>
          <t>AT 12/12 SC - Single Unit</t>
        </is>
      </c>
      <c r="C184" t="inlineStr">
        <is>
          <t>FM - NICOTRA</t>
        </is>
      </c>
      <c r="D184" t="n">
        <v>27</v>
      </c>
      <c r="E184" t="n">
        <v>0</v>
      </c>
      <c r="F184" t="inlineStr"/>
      <c r="G184" s="1" t="n">
        <v>0</v>
      </c>
      <c r="H184" t="n">
        <v>6</v>
      </c>
      <c r="I184" t="n">
        <v>0.5</v>
      </c>
      <c r="J184" t="n">
        <v>1</v>
      </c>
      <c r="K184" t="n">
        <v>1</v>
      </c>
      <c r="L184" t="n">
        <v>0</v>
      </c>
      <c r="M184" t="n">
        <v>0</v>
      </c>
      <c r="N184" t="n">
        <v>2</v>
      </c>
      <c r="O184" s="1">
        <f>IFERROR(L184*G184,0)</f>
        <v/>
      </c>
      <c r="P184">
        <f>IF(N184-L184-M184&gt;0,N184-L184-M184,0)</f>
        <v/>
      </c>
      <c r="Q184" s="1">
        <f>IFERROR(P184*G184,0)</f>
        <v/>
      </c>
    </row>
    <row r="185">
      <c r="A185" t="inlineStr">
        <is>
          <t>12412</t>
        </is>
      </c>
      <c r="B185" t="inlineStr">
        <is>
          <t>V 300/12 AR</t>
        </is>
      </c>
      <c r="C185" t="inlineStr">
        <is>
          <t>FM - VORTICE</t>
        </is>
      </c>
      <c r="D185" t="n">
        <v>31</v>
      </c>
      <c r="E185" t="n">
        <v>30</v>
      </c>
      <c r="F185" t="inlineStr">
        <is>
          <t>Vortice Elettrosociali SpA</t>
        </is>
      </c>
      <c r="G185" s="1" t="n">
        <v>2151.51</v>
      </c>
      <c r="H185" t="n">
        <v>41</v>
      </c>
      <c r="I185" t="n">
        <v>1.3</v>
      </c>
      <c r="J185" t="n">
        <v>1.5</v>
      </c>
      <c r="K185" t="n">
        <v>2</v>
      </c>
      <c r="L185" t="n">
        <v>0</v>
      </c>
      <c r="M185" t="n">
        <v>0</v>
      </c>
      <c r="N185" t="n">
        <v>5</v>
      </c>
      <c r="O185" s="1">
        <f>IFERROR(L185*G185,0)</f>
        <v/>
      </c>
      <c r="P185">
        <f>IF(N185-L185-M185&gt;0,N185-L185-M185,0)</f>
        <v/>
      </c>
      <c r="Q185" s="1">
        <f>IFERROR(P185*G185,0)</f>
        <v/>
      </c>
    </row>
    <row r="186">
      <c r="A186" t="inlineStr">
        <is>
          <t>12413</t>
        </is>
      </c>
      <c r="B186" t="inlineStr">
        <is>
          <t>V 300/12 ARI</t>
        </is>
      </c>
      <c r="C186" t="inlineStr">
        <is>
          <t>FM - VORTICE</t>
        </is>
      </c>
      <c r="D186" t="n">
        <v>25</v>
      </c>
      <c r="E186" t="n">
        <v>0</v>
      </c>
      <c r="F186" t="inlineStr"/>
      <c r="G186" s="1" t="n">
        <v>0</v>
      </c>
      <c r="H186" t="n">
        <v>3</v>
      </c>
      <c r="I186" t="n">
        <v>0.5</v>
      </c>
      <c r="J186" t="n">
        <v>1</v>
      </c>
      <c r="K186" t="n">
        <v>1</v>
      </c>
      <c r="L186" t="n">
        <v>0</v>
      </c>
      <c r="M186" t="n">
        <v>0</v>
      </c>
      <c r="N186" t="n">
        <v>2</v>
      </c>
      <c r="O186" s="1">
        <f>IFERROR(L186*G186,0)</f>
        <v/>
      </c>
      <c r="P186">
        <f>IF(N186-L186-M186&gt;0,N186-L186-M186,0)</f>
        <v/>
      </c>
      <c r="Q186" s="1">
        <f>IFERROR(P186*G186,0)</f>
        <v/>
      </c>
    </row>
    <row r="187">
      <c r="A187" t="inlineStr">
        <is>
          <t>12415</t>
        </is>
      </c>
      <c r="B187" t="inlineStr">
        <is>
          <t>V 300/12 AR LL S</t>
        </is>
      </c>
      <c r="C187" t="inlineStr">
        <is>
          <t>FM - VORTICE</t>
        </is>
      </c>
      <c r="D187" t="n">
        <v>26</v>
      </c>
      <c r="E187" t="n">
        <v>0</v>
      </c>
      <c r="F187" t="inlineStr"/>
      <c r="G187" s="1" t="n">
        <v>0</v>
      </c>
      <c r="H187" t="n">
        <v>13</v>
      </c>
      <c r="I187" t="n">
        <v>0.5</v>
      </c>
      <c r="J187" t="n">
        <v>1</v>
      </c>
      <c r="K187" t="n">
        <v>1</v>
      </c>
      <c r="L187" t="n">
        <v>0</v>
      </c>
      <c r="M187" t="n">
        <v>0</v>
      </c>
      <c r="N187" t="n">
        <v>2</v>
      </c>
      <c r="O187" s="1">
        <f>IFERROR(L187*G187,0)</f>
        <v/>
      </c>
      <c r="P187">
        <f>IF(N187-L187-M187&gt;0,N187-L187-M187,0)</f>
        <v/>
      </c>
      <c r="Q187" s="1">
        <f>IFERROR(P187*G187,0)</f>
        <v/>
      </c>
    </row>
    <row r="188">
      <c r="A188" t="inlineStr">
        <is>
          <t>12416</t>
        </is>
      </c>
      <c r="B188" t="inlineStr">
        <is>
          <t>V 300/12 ARI LL S</t>
        </is>
      </c>
      <c r="C188" t="inlineStr">
        <is>
          <t>FM - VORTICE</t>
        </is>
      </c>
      <c r="D188" t="n">
        <v>21</v>
      </c>
      <c r="E188" t="n">
        <v>0</v>
      </c>
      <c r="F188" t="inlineStr"/>
      <c r="G188" s="1" t="n">
        <v>0</v>
      </c>
      <c r="H188" t="n">
        <v>6</v>
      </c>
      <c r="I188" t="n">
        <v>0.5</v>
      </c>
      <c r="J188" t="n">
        <v>1</v>
      </c>
      <c r="K188" t="n">
        <v>1</v>
      </c>
      <c r="L188" t="n">
        <v>0</v>
      </c>
      <c r="M188" t="n">
        <v>0</v>
      </c>
      <c r="N188" t="n">
        <v>2</v>
      </c>
      <c r="O188" s="1">
        <f>IFERROR(L188*G188,0)</f>
        <v/>
      </c>
      <c r="P188">
        <f>IF(N188-L188-M188&gt;0,N188-L188-M188,0)</f>
        <v/>
      </c>
      <c r="Q188" s="1">
        <f>IFERROR(P188*G188,0)</f>
        <v/>
      </c>
    </row>
    <row r="189">
      <c r="A189" t="inlineStr">
        <is>
          <t>12452</t>
        </is>
      </c>
      <c r="B189" t="inlineStr">
        <is>
          <t>V 230/9 AR</t>
        </is>
      </c>
      <c r="C189" t="inlineStr">
        <is>
          <t>FM - VORTICE</t>
        </is>
      </c>
      <c r="D189" t="n">
        <v>30</v>
      </c>
      <c r="E189" t="n">
        <v>80</v>
      </c>
      <c r="F189" t="inlineStr">
        <is>
          <t>Vortice Elettrosociali SpA</t>
        </is>
      </c>
      <c r="G189" s="1" t="n">
        <v>1730.79</v>
      </c>
      <c r="H189" t="n">
        <v>86</v>
      </c>
      <c r="I189" t="n">
        <v>1.2</v>
      </c>
      <c r="J189" t="n">
        <v>3</v>
      </c>
      <c r="K189" t="n">
        <v>4</v>
      </c>
      <c r="L189" t="n">
        <v>0</v>
      </c>
      <c r="M189" t="n">
        <v>0</v>
      </c>
      <c r="N189" t="n">
        <v>10</v>
      </c>
      <c r="O189" s="1">
        <f>IFERROR(L189*G189,0)</f>
        <v/>
      </c>
      <c r="P189">
        <f>IF(N189-L189-M189&gt;0,N189-L189-M189,0)</f>
        <v/>
      </c>
      <c r="Q189" s="1">
        <f>IFERROR(P189*G189,0)</f>
        <v/>
      </c>
    </row>
    <row r="190">
      <c r="A190" t="inlineStr">
        <is>
          <t>12453</t>
        </is>
      </c>
      <c r="B190" t="inlineStr">
        <is>
          <t>V 230/9 ARI</t>
        </is>
      </c>
      <c r="C190" t="inlineStr">
        <is>
          <t>FM - VORTICE</t>
        </is>
      </c>
      <c r="D190" t="n">
        <v>32</v>
      </c>
      <c r="E190" t="n">
        <v>0</v>
      </c>
      <c r="F190" t="inlineStr"/>
      <c r="G190" s="1" t="n">
        <v>0</v>
      </c>
      <c r="H190" t="n">
        <v>27</v>
      </c>
      <c r="I190" t="n">
        <v>0.5</v>
      </c>
      <c r="J190" t="n">
        <v>1</v>
      </c>
      <c r="K190" t="n">
        <v>1</v>
      </c>
      <c r="L190" t="n">
        <v>0</v>
      </c>
      <c r="M190" t="n">
        <v>0</v>
      </c>
      <c r="N190" t="n">
        <v>2</v>
      </c>
      <c r="O190" s="1">
        <f>IFERROR(L190*G190,0)</f>
        <v/>
      </c>
      <c r="P190">
        <f>IF(N190-L190-M190&gt;0,N190-L190-M190,0)</f>
        <v/>
      </c>
      <c r="Q190" s="1">
        <f>IFERROR(P190*G190,0)</f>
        <v/>
      </c>
    </row>
    <row r="191">
      <c r="A191" t="inlineStr">
        <is>
          <t>12454</t>
        </is>
      </c>
      <c r="B191" t="inlineStr">
        <is>
          <t>V 230/9 P LL S</t>
        </is>
      </c>
      <c r="C191" t="inlineStr">
        <is>
          <t>FM - VORTICE</t>
        </is>
      </c>
      <c r="D191" t="n">
        <v>32</v>
      </c>
      <c r="E191" t="n">
        <v>0</v>
      </c>
      <c r="F191" t="inlineStr"/>
      <c r="G191" s="1" t="n">
        <v>0</v>
      </c>
      <c r="H191" t="n">
        <v>8</v>
      </c>
      <c r="I191" t="n">
        <v>0.5</v>
      </c>
      <c r="J191" t="n">
        <v>1</v>
      </c>
      <c r="K191" t="n">
        <v>1</v>
      </c>
      <c r="L191" t="n">
        <v>0</v>
      </c>
      <c r="M191" t="n">
        <v>0</v>
      </c>
      <c r="N191" t="n">
        <v>2</v>
      </c>
      <c r="O191" s="1">
        <f>IFERROR(L191*G191,0)</f>
        <v/>
      </c>
      <c r="P191">
        <f>IF(N191-L191-M191&gt;0,N191-L191-M191,0)</f>
        <v/>
      </c>
      <c r="Q191" s="1">
        <f>IFERROR(P191*G191,0)</f>
        <v/>
      </c>
    </row>
    <row r="192">
      <c r="A192" t="inlineStr">
        <is>
          <t>12455</t>
        </is>
      </c>
      <c r="B192" t="inlineStr">
        <is>
          <t>V 230/9 AR LL S</t>
        </is>
      </c>
      <c r="C192" t="inlineStr">
        <is>
          <t>FM - VORTICE</t>
        </is>
      </c>
      <c r="D192" t="n">
        <v>22</v>
      </c>
      <c r="E192" t="n">
        <v>41</v>
      </c>
      <c r="F192" t="inlineStr">
        <is>
          <t>Vortice Elettrosociali SpA</t>
        </is>
      </c>
      <c r="G192" s="1" t="n">
        <v>1804.1</v>
      </c>
      <c r="H192" t="n">
        <v>41</v>
      </c>
      <c r="I192" t="n">
        <v>1.3</v>
      </c>
      <c r="J192" t="n">
        <v>2</v>
      </c>
      <c r="K192" t="n">
        <v>3</v>
      </c>
      <c r="L192" t="n">
        <v>0</v>
      </c>
      <c r="M192" t="n">
        <v>0</v>
      </c>
      <c r="N192" t="n">
        <v>7</v>
      </c>
      <c r="O192" s="1">
        <f>IFERROR(L192*G192,0)</f>
        <v/>
      </c>
      <c r="P192">
        <f>IF(N192-L192-M192&gt;0,N192-L192-M192,0)</f>
        <v/>
      </c>
      <c r="Q192" s="1">
        <f>IFERROR(P192*G192,0)</f>
        <v/>
      </c>
    </row>
    <row r="193">
      <c r="A193" t="inlineStr">
        <is>
          <t>12456</t>
        </is>
      </c>
      <c r="B193" t="inlineStr">
        <is>
          <t>V 230/9 ARI LL S</t>
        </is>
      </c>
      <c r="C193" t="inlineStr">
        <is>
          <t>FM - VORTICE</t>
        </is>
      </c>
      <c r="D193" t="n">
        <v>13</v>
      </c>
      <c r="E193" t="n">
        <v>0</v>
      </c>
      <c r="F193" t="inlineStr"/>
      <c r="G193" s="1" t="n">
        <v>0</v>
      </c>
      <c r="H193" t="n">
        <v>9</v>
      </c>
      <c r="I193" t="n">
        <v>0.5</v>
      </c>
      <c r="J193" t="n">
        <v>1</v>
      </c>
      <c r="K193" t="n">
        <v>1</v>
      </c>
      <c r="L193" t="n">
        <v>0</v>
      </c>
      <c r="M193" t="n">
        <v>0</v>
      </c>
      <c r="N193" t="n">
        <v>2</v>
      </c>
      <c r="O193" s="1">
        <f>IFERROR(L193*G193,0)</f>
        <v/>
      </c>
      <c r="P193">
        <f>IF(N193-L193-M193&gt;0,N193-L193-M193,0)</f>
        <v/>
      </c>
      <c r="Q193" s="1">
        <f>IFERROR(P193*G193,0)</f>
        <v/>
      </c>
    </row>
    <row r="194">
      <c r="A194" t="inlineStr">
        <is>
          <t>1250CF</t>
        </is>
      </c>
      <c r="B194" t="inlineStr">
        <is>
          <t>1250 Diam Counter Flange</t>
        </is>
      </c>
      <c r="C194" t="inlineStr">
        <is>
          <t>C/FLANGE</t>
        </is>
      </c>
      <c r="D194" t="n">
        <v>17</v>
      </c>
      <c r="E194" t="n">
        <v>2</v>
      </c>
      <c r="F194" t="inlineStr">
        <is>
          <t>Air Speration</t>
        </is>
      </c>
      <c r="G194" s="1" t="n">
        <v>534.83</v>
      </c>
      <c r="H194" t="n">
        <v>6</v>
      </c>
      <c r="I194" t="n">
        <v>1.3</v>
      </c>
      <c r="J194" t="n">
        <v>1</v>
      </c>
      <c r="K194" t="n">
        <v>1</v>
      </c>
      <c r="L194" t="n">
        <v>0</v>
      </c>
      <c r="M194" t="n">
        <v>0</v>
      </c>
      <c r="N194" t="n">
        <v>3</v>
      </c>
      <c r="O194" s="1">
        <f>IFERROR(L194*G194,0)</f>
        <v/>
      </c>
      <c r="P194">
        <f>IF(N194-L194-M194&gt;0,N194-L194-M194,0)</f>
        <v/>
      </c>
      <c r="Q194" s="1">
        <f>IFERROR(P194*G194,0)</f>
        <v/>
      </c>
    </row>
    <row r="195">
      <c r="A195" t="inlineStr">
        <is>
          <t>1250FC</t>
        </is>
      </c>
      <c r="B195" t="inlineStr">
        <is>
          <t>1250 Diam Flexible Connection</t>
        </is>
      </c>
      <c r="C195" t="inlineStr">
        <is>
          <t>FM - DONKIN</t>
        </is>
      </c>
      <c r="D195" t="n">
        <v>28</v>
      </c>
      <c r="E195" t="n">
        <v>8</v>
      </c>
      <c r="F195" t="inlineStr">
        <is>
          <t>Attenu-Tec HVAC Parts</t>
        </is>
      </c>
      <c r="G195" s="1" t="n">
        <v>2147.54</v>
      </c>
      <c r="H195" t="n">
        <v>8</v>
      </c>
      <c r="I195" t="n">
        <v>1.3</v>
      </c>
      <c r="J195" t="n">
        <v>1</v>
      </c>
      <c r="K195" t="n">
        <v>1</v>
      </c>
      <c r="L195" t="n">
        <v>0</v>
      </c>
      <c r="M195" t="n">
        <v>0</v>
      </c>
      <c r="N195" t="n">
        <v>3</v>
      </c>
      <c r="O195" s="1">
        <f>IFERROR(L195*G195,0)</f>
        <v/>
      </c>
      <c r="P195">
        <f>IF(N195-L195-M195&gt;0,N195-L195-M195,0)</f>
        <v/>
      </c>
      <c r="Q195" s="1">
        <f>IFERROR(P195*G195,0)</f>
        <v/>
      </c>
    </row>
    <row r="196">
      <c r="A196" t="inlineStr">
        <is>
          <t>1250MF</t>
        </is>
      </c>
      <c r="B196" t="inlineStr">
        <is>
          <t>1250 Diam Mounting Feet</t>
        </is>
      </c>
      <c r="C196" t="inlineStr">
        <is>
          <t>M/FEET</t>
        </is>
      </c>
      <c r="D196" t="n">
        <v>17</v>
      </c>
      <c r="E196" t="n">
        <v>3</v>
      </c>
      <c r="F196" t="inlineStr">
        <is>
          <t>Air Speration</t>
        </is>
      </c>
      <c r="G196" s="1" t="n">
        <v>1135.05</v>
      </c>
      <c r="H196" t="n">
        <v>16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3</v>
      </c>
      <c r="O196" s="1">
        <f>IFERROR(L196*G196,0)</f>
        <v/>
      </c>
      <c r="P196">
        <f>IF(N196-L196-M196&gt;0,N196-L196-M196,0)</f>
        <v/>
      </c>
      <c r="Q196" s="1">
        <f>IFERROR(P196*G196,0)</f>
        <v/>
      </c>
    </row>
    <row r="197">
      <c r="A197" t="inlineStr">
        <is>
          <t>125T600</t>
        </is>
      </c>
      <c r="B197" t="inlineStr">
        <is>
          <t>125 Diam Tube Silencer 600L</t>
        </is>
      </c>
      <c r="C197" t="inlineStr">
        <is>
          <t>FM - DONKIN</t>
        </is>
      </c>
      <c r="D197" t="n">
        <v>25</v>
      </c>
      <c r="E197" t="n">
        <v>12</v>
      </c>
      <c r="F197" t="inlineStr">
        <is>
          <t>Attenu-Tec</t>
        </is>
      </c>
      <c r="G197" s="1" t="n">
        <v>436.5</v>
      </c>
      <c r="H197" t="n">
        <v>8</v>
      </c>
      <c r="I197" t="n">
        <v>0.5</v>
      </c>
      <c r="J197" t="n">
        <v>1</v>
      </c>
      <c r="K197" t="n">
        <v>1</v>
      </c>
      <c r="L197" t="n">
        <v>0</v>
      </c>
      <c r="M197" t="n">
        <v>2</v>
      </c>
      <c r="N197" t="n">
        <v>2</v>
      </c>
      <c r="O197" s="1">
        <f>IFERROR(L197*G197,0)</f>
        <v/>
      </c>
      <c r="P197">
        <f>IF(N197-L197-M197&gt;0,N197-L197-M197,0)</f>
        <v/>
      </c>
      <c r="Q197" s="1">
        <f>IFERROR(P197*G197,0)</f>
        <v/>
      </c>
    </row>
    <row r="198">
      <c r="A198" t="inlineStr">
        <is>
          <t>125TTSilentM</t>
        </is>
      </c>
      <c r="B198" t="inlineStr">
        <is>
          <t>125 TT Silent M Fan</t>
        </is>
      </c>
      <c r="C198" t="inlineStr">
        <is>
          <t>FM - DONKIN</t>
        </is>
      </c>
      <c r="D198" t="n">
        <v>2</v>
      </c>
      <c r="E198" t="n">
        <v>0</v>
      </c>
      <c r="F198" t="inlineStr"/>
      <c r="G198" s="1" t="n">
        <v>0</v>
      </c>
      <c r="H198" t="n">
        <v>50</v>
      </c>
      <c r="I198" t="n">
        <v>0.5</v>
      </c>
      <c r="J198" t="n">
        <v>25</v>
      </c>
      <c r="K198" t="n">
        <v>12</v>
      </c>
      <c r="L198" t="n">
        <v>0</v>
      </c>
      <c r="M198" t="n">
        <v>0</v>
      </c>
      <c r="N198" t="n">
        <v>62</v>
      </c>
      <c r="O198" s="1">
        <f>IFERROR(L198*G198,0)</f>
        <v/>
      </c>
      <c r="P198">
        <f>IF(N198-L198-M198&gt;0,N198-L198-M198,0)</f>
        <v/>
      </c>
      <c r="Q198" s="1">
        <f>IFERROR(P198*G198,0)</f>
        <v/>
      </c>
    </row>
    <row r="199">
      <c r="A199" t="inlineStr">
        <is>
          <t>12611</t>
        </is>
      </c>
      <c r="B199" t="inlineStr">
        <is>
          <t>V 150/6 P</t>
        </is>
      </c>
      <c r="C199" t="inlineStr">
        <is>
          <t>FM - VORTICE</t>
        </is>
      </c>
      <c r="D199" t="n">
        <v>14</v>
      </c>
      <c r="E199" t="n">
        <v>0</v>
      </c>
      <c r="F199" t="inlineStr"/>
      <c r="G199" s="1" t="n">
        <v>0</v>
      </c>
      <c r="H199" t="n">
        <v>4</v>
      </c>
      <c r="I199" t="n">
        <v>0.5</v>
      </c>
      <c r="J199" t="n">
        <v>1</v>
      </c>
      <c r="K199" t="n">
        <v>1</v>
      </c>
      <c r="L199" t="n">
        <v>0</v>
      </c>
      <c r="M199" t="n">
        <v>0</v>
      </c>
      <c r="N199" t="n">
        <v>2</v>
      </c>
      <c r="O199" s="1">
        <f>IFERROR(L199*G199,0)</f>
        <v/>
      </c>
      <c r="P199">
        <f>IF(N199-L199-M199&gt;0,N199-L199-M199,0)</f>
        <v/>
      </c>
      <c r="Q199" s="1">
        <f>IFERROR(P199*G199,0)</f>
        <v/>
      </c>
    </row>
    <row r="200">
      <c r="A200" t="inlineStr">
        <is>
          <t>12612</t>
        </is>
      </c>
      <c r="B200" t="inlineStr">
        <is>
          <t>V 150/6 AR</t>
        </is>
      </c>
      <c r="C200" t="inlineStr">
        <is>
          <t>FM - VORTICE</t>
        </is>
      </c>
      <c r="D200" t="n">
        <v>31</v>
      </c>
      <c r="E200" t="n">
        <v>72</v>
      </c>
      <c r="F200" t="inlineStr">
        <is>
          <t>Vortice Elettrosociali SpA</t>
        </is>
      </c>
      <c r="G200" s="1" t="n">
        <v>887.29</v>
      </c>
      <c r="H200" t="n">
        <v>108</v>
      </c>
      <c r="I200" t="n">
        <v>1.1</v>
      </c>
      <c r="J200" t="n">
        <v>3.5</v>
      </c>
      <c r="K200" t="n">
        <v>4</v>
      </c>
      <c r="L200" t="n">
        <v>0</v>
      </c>
      <c r="M200" t="n">
        <v>0</v>
      </c>
      <c r="N200" t="n">
        <v>11</v>
      </c>
      <c r="O200" s="1">
        <f>IFERROR(L200*G200,0)</f>
        <v/>
      </c>
      <c r="P200">
        <f>IF(N200-L200-M200&gt;0,N200-L200-M200,0)</f>
        <v/>
      </c>
      <c r="Q200" s="1">
        <f>IFERROR(P200*G200,0)</f>
        <v/>
      </c>
    </row>
    <row r="201">
      <c r="A201" t="inlineStr">
        <is>
          <t>12613</t>
        </is>
      </c>
      <c r="B201" t="inlineStr">
        <is>
          <t>V 150/6 ARI</t>
        </is>
      </c>
      <c r="C201" t="inlineStr">
        <is>
          <t>FM - VORTICE</t>
        </is>
      </c>
      <c r="D201" t="n">
        <v>31</v>
      </c>
      <c r="E201" t="n">
        <v>20</v>
      </c>
      <c r="F201" t="inlineStr">
        <is>
          <t>Vortice Elettrosociali SpA</t>
        </is>
      </c>
      <c r="G201" s="1" t="n">
        <v>667.21</v>
      </c>
      <c r="H201" t="n">
        <v>16</v>
      </c>
      <c r="I201" t="n">
        <v>1.4</v>
      </c>
      <c r="J201" t="n">
        <v>1</v>
      </c>
      <c r="K201" t="n">
        <v>1</v>
      </c>
      <c r="L201" t="n">
        <v>0</v>
      </c>
      <c r="M201" t="n">
        <v>0</v>
      </c>
      <c r="N201" t="n">
        <v>3</v>
      </c>
      <c r="O201" s="1">
        <f>IFERROR(L201*G201,0)</f>
        <v/>
      </c>
      <c r="P201">
        <f>IF(N201-L201-M201&gt;0,N201-L201-M201,0)</f>
        <v/>
      </c>
      <c r="Q201" s="1">
        <f>IFERROR(P201*G201,0)</f>
        <v/>
      </c>
    </row>
    <row r="202">
      <c r="A202" t="inlineStr">
        <is>
          <t>12615</t>
        </is>
      </c>
      <c r="B202" t="inlineStr">
        <is>
          <t>V 150/6 AR LL S</t>
        </is>
      </c>
      <c r="C202" t="inlineStr">
        <is>
          <t>FM - VORTICE</t>
        </is>
      </c>
      <c r="D202" t="n">
        <v>34</v>
      </c>
      <c r="E202" t="n">
        <v>120</v>
      </c>
      <c r="F202" t="inlineStr">
        <is>
          <t>Vortice Elettrosociali SpA</t>
        </is>
      </c>
      <c r="G202" s="1" t="n">
        <v>994.12</v>
      </c>
      <c r="H202" t="n">
        <v>96</v>
      </c>
      <c r="I202" t="n">
        <v>0.9</v>
      </c>
      <c r="J202" t="n">
        <v>4</v>
      </c>
      <c r="K202" t="n">
        <v>4</v>
      </c>
      <c r="L202" t="n">
        <v>0</v>
      </c>
      <c r="M202" t="n">
        <v>0</v>
      </c>
      <c r="N202" t="n">
        <v>12</v>
      </c>
      <c r="O202" s="1">
        <f>IFERROR(L202*G202,0)</f>
        <v/>
      </c>
      <c r="P202">
        <f>IF(N202-L202-M202&gt;0,N202-L202-M202,0)</f>
        <v/>
      </c>
      <c r="Q202" s="1">
        <f>IFERROR(P202*G202,0)</f>
        <v/>
      </c>
    </row>
    <row r="203">
      <c r="A203" t="inlineStr">
        <is>
          <t>12616</t>
        </is>
      </c>
      <c r="B203" t="inlineStr">
        <is>
          <t>V 150/6 ARI LL S</t>
        </is>
      </c>
      <c r="C203" t="inlineStr">
        <is>
          <t>FM - VORTICE</t>
        </is>
      </c>
      <c r="D203" t="n">
        <v>19</v>
      </c>
      <c r="E203" t="n">
        <v>0</v>
      </c>
      <c r="F203" t="inlineStr"/>
      <c r="G203" s="1" t="n">
        <v>0</v>
      </c>
      <c r="H203" t="n">
        <v>10</v>
      </c>
      <c r="I203" t="n">
        <v>0.5</v>
      </c>
      <c r="J203" t="n">
        <v>1</v>
      </c>
      <c r="K203" t="n">
        <v>1</v>
      </c>
      <c r="L203" t="n">
        <v>0</v>
      </c>
      <c r="M203" t="n">
        <v>0</v>
      </c>
      <c r="N203" t="n">
        <v>2</v>
      </c>
      <c r="O203" s="1">
        <f>IFERROR(L203*G203,0)</f>
        <v/>
      </c>
      <c r="P203">
        <f>IF(N203-L203-M203&gt;0,N203-L203-M203,0)</f>
        <v/>
      </c>
      <c r="Q203" s="1">
        <f>IFERROR(P203*G203,0)</f>
        <v/>
      </c>
    </row>
    <row r="204">
      <c r="A204" t="inlineStr">
        <is>
          <t>12943</t>
        </is>
      </c>
      <c r="B204" t="inlineStr">
        <is>
          <t>CR5 Speed Controller</t>
        </is>
      </c>
      <c r="C204" t="inlineStr">
        <is>
          <t>FM - VORTICE</t>
        </is>
      </c>
      <c r="D204" t="n">
        <v>31</v>
      </c>
      <c r="E204" t="n">
        <v>0</v>
      </c>
      <c r="F204" t="inlineStr"/>
      <c r="G204" s="1" t="n">
        <v>0</v>
      </c>
      <c r="H204" t="n">
        <v>8</v>
      </c>
      <c r="I204" t="n">
        <v>0.5</v>
      </c>
      <c r="J204" t="n">
        <v>1</v>
      </c>
      <c r="K204" t="n">
        <v>1</v>
      </c>
      <c r="L204" t="n">
        <v>0</v>
      </c>
      <c r="M204" t="n">
        <v>0</v>
      </c>
      <c r="N204" t="n">
        <v>2</v>
      </c>
      <c r="O204" s="1">
        <f>IFERROR(L204*G204,0)</f>
        <v/>
      </c>
      <c r="P204">
        <f>IF(N204-L204-M204&gt;0,N204-L204-M204,0)</f>
        <v/>
      </c>
      <c r="Q204" s="1">
        <f>IFERROR(P204*G204,0)</f>
        <v/>
      </c>
    </row>
    <row r="205">
      <c r="A205" t="inlineStr">
        <is>
          <t>129521</t>
        </is>
      </c>
      <c r="B205" t="inlineStr">
        <is>
          <t>AT 12/9 SC - Single Unit</t>
        </is>
      </c>
      <c r="C205" t="inlineStr">
        <is>
          <t>FM - NICOTRA</t>
        </is>
      </c>
      <c r="D205" t="n">
        <v>31</v>
      </c>
      <c r="E205" t="n">
        <v>0</v>
      </c>
      <c r="F205" t="inlineStr"/>
      <c r="G205" s="1" t="n">
        <v>0</v>
      </c>
      <c r="H205" t="n">
        <v>4</v>
      </c>
      <c r="I205" t="n">
        <v>0.5</v>
      </c>
      <c r="J205" t="n">
        <v>1</v>
      </c>
      <c r="K205" t="n">
        <v>1</v>
      </c>
      <c r="L205" t="n">
        <v>0</v>
      </c>
      <c r="M205" t="n">
        <v>0</v>
      </c>
      <c r="N205" t="n">
        <v>2</v>
      </c>
      <c r="O205" s="1">
        <f>IFERROR(L205*G205,0)</f>
        <v/>
      </c>
      <c r="P205">
        <f>IF(N205-L205-M205&gt;0,N205-L205-M205,0)</f>
        <v/>
      </c>
      <c r="Q205" s="1">
        <f>IFERROR(P205*G205,0)</f>
        <v/>
      </c>
    </row>
    <row r="206">
      <c r="A206" t="inlineStr">
        <is>
          <t>12966</t>
        </is>
      </c>
      <c r="B206" t="inlineStr">
        <is>
          <t>C1.5 Speed Controller (to suit Lineo 100 to 200)</t>
        </is>
      </c>
      <c r="C206" t="inlineStr">
        <is>
          <t>FM - VORTICE</t>
        </is>
      </c>
      <c r="D206" t="n">
        <v>30</v>
      </c>
      <c r="E206" t="n">
        <v>30</v>
      </c>
      <c r="F206" t="inlineStr">
        <is>
          <t>Vortice Elettrosociali SpA</t>
        </is>
      </c>
      <c r="G206" s="1" t="n">
        <v>514.79</v>
      </c>
      <c r="H206" t="n">
        <v>46</v>
      </c>
      <c r="I206" t="n">
        <v>1.2</v>
      </c>
      <c r="J206" t="n">
        <v>2</v>
      </c>
      <c r="K206" t="n">
        <v>2</v>
      </c>
      <c r="L206" t="n">
        <v>0</v>
      </c>
      <c r="M206" t="n">
        <v>0</v>
      </c>
      <c r="N206" t="n">
        <v>6</v>
      </c>
      <c r="O206" s="1">
        <f>IFERROR(L206*G206,0)</f>
        <v/>
      </c>
      <c r="P206">
        <f>IF(N206-L206-M206&gt;0,N206-L206-M206,0)</f>
        <v/>
      </c>
      <c r="Q206" s="1">
        <f>IFERROR(P206*G206,0)</f>
        <v/>
      </c>
    </row>
    <row r="207">
      <c r="A207" t="inlineStr">
        <is>
          <t>12967</t>
        </is>
      </c>
      <c r="B207" t="inlineStr">
        <is>
          <t>C2.5 Speed Controller (to suit Lineo 250 to 315)</t>
        </is>
      </c>
      <c r="C207" t="inlineStr">
        <is>
          <t>FM - VORTICE</t>
        </is>
      </c>
      <c r="D207" t="n">
        <v>35</v>
      </c>
      <c r="E207" t="n">
        <v>0</v>
      </c>
      <c r="F207" t="inlineStr"/>
      <c r="G207" s="1" t="n">
        <v>0</v>
      </c>
      <c r="H207" t="n">
        <v>19</v>
      </c>
      <c r="I207" t="n">
        <v>0.5</v>
      </c>
      <c r="J207" t="n">
        <v>1</v>
      </c>
      <c r="K207" t="n">
        <v>1</v>
      </c>
      <c r="L207" t="n">
        <v>0</v>
      </c>
      <c r="M207" t="n">
        <v>0</v>
      </c>
      <c r="N207" t="n">
        <v>2</v>
      </c>
      <c r="O207" s="1">
        <f>IFERROR(L207*G207,0)</f>
        <v/>
      </c>
      <c r="P207">
        <f>IF(N207-L207-M207&gt;0,N207-L207-M207,0)</f>
        <v/>
      </c>
      <c r="Q207" s="1">
        <f>IFERROR(P207*G207,0)</f>
        <v/>
      </c>
    </row>
    <row r="208">
      <c r="A208" t="inlineStr">
        <is>
          <t>12998</t>
        </is>
      </c>
      <c r="B208" t="inlineStr">
        <is>
          <t>PIR Sensor</t>
        </is>
      </c>
      <c r="C208" t="inlineStr">
        <is>
          <t>FM - VORTICE</t>
        </is>
      </c>
      <c r="D208" t="n">
        <v>27</v>
      </c>
      <c r="E208" t="n">
        <v>0</v>
      </c>
      <c r="F208" t="inlineStr"/>
      <c r="G208" s="1" t="n">
        <v>0</v>
      </c>
      <c r="H208" t="n">
        <v>7</v>
      </c>
      <c r="I208" t="n">
        <v>0.5</v>
      </c>
      <c r="J208" t="n">
        <v>1</v>
      </c>
      <c r="K208" t="n">
        <v>1</v>
      </c>
      <c r="L208" t="n">
        <v>0</v>
      </c>
      <c r="M208" t="n">
        <v>0</v>
      </c>
      <c r="N208" t="n">
        <v>2</v>
      </c>
      <c r="O208" s="1">
        <f>IFERROR(L208*G208,0)</f>
        <v/>
      </c>
      <c r="P208">
        <f>IF(N208-L208-M208&gt;0,N208-L208-M208,0)</f>
        <v/>
      </c>
      <c r="Q208" s="1">
        <f>IFERROR(P208*G208,0)</f>
        <v/>
      </c>
    </row>
    <row r="209">
      <c r="A209" t="inlineStr">
        <is>
          <t>13-11</t>
        </is>
      </c>
      <c r="B209" t="inlineStr">
        <is>
          <t>CABTYRE - 6MM X 6 LUGS 10PKT</t>
        </is>
      </c>
      <c r="C209" t="inlineStr"/>
      <c r="D209" t="n">
        <v>1</v>
      </c>
      <c r="E209" t="n">
        <v>8</v>
      </c>
      <c r="F209" t="inlineStr">
        <is>
          <t>Alpha Electrical</t>
        </is>
      </c>
      <c r="G209" s="1" t="n">
        <v>32</v>
      </c>
      <c r="H209" t="n">
        <v>0</v>
      </c>
      <c r="I209" t="n">
        <v>0.5</v>
      </c>
      <c r="J209" t="n">
        <v>8</v>
      </c>
      <c r="K209" t="n">
        <v>4</v>
      </c>
      <c r="L209" t="n">
        <v>0</v>
      </c>
      <c r="M209" t="n">
        <v>0</v>
      </c>
      <c r="N209" t="n">
        <v>20</v>
      </c>
      <c r="O209" s="1">
        <f>IFERROR(L209*G209,0)</f>
        <v/>
      </c>
      <c r="P209">
        <f>IF(N209-L209-M209&gt;0,N209-L209-M209,0)</f>
        <v/>
      </c>
      <c r="Q209" s="1">
        <f>IFERROR(P209*G209,0)</f>
        <v/>
      </c>
    </row>
    <row r="210">
      <c r="A210" t="inlineStr">
        <is>
          <t>13-12</t>
        </is>
      </c>
      <c r="B210" t="inlineStr">
        <is>
          <t>CABTYRE - 6MM X 8 LUGS 10PKT</t>
        </is>
      </c>
      <c r="C210" t="inlineStr"/>
      <c r="D210" t="n">
        <v>1</v>
      </c>
      <c r="E210" t="n">
        <v>8</v>
      </c>
      <c r="F210" t="inlineStr">
        <is>
          <t>Alpha Electrical</t>
        </is>
      </c>
      <c r="G210" s="1" t="n">
        <v>52</v>
      </c>
      <c r="H210" t="n">
        <v>0</v>
      </c>
      <c r="I210" t="n">
        <v>0.5</v>
      </c>
      <c r="J210" t="n">
        <v>8</v>
      </c>
      <c r="K210" t="n">
        <v>4</v>
      </c>
      <c r="L210" t="n">
        <v>0</v>
      </c>
      <c r="M210" t="n">
        <v>0</v>
      </c>
      <c r="N210" t="n">
        <v>20</v>
      </c>
      <c r="O210" s="1">
        <f>IFERROR(L210*G210,0)</f>
        <v/>
      </c>
      <c r="P210">
        <f>IF(N210-L210-M210&gt;0,N210-L210-M210,0)</f>
        <v/>
      </c>
      <c r="Q210" s="1">
        <f>IFERROR(P210*G210,0)</f>
        <v/>
      </c>
    </row>
    <row r="211">
      <c r="A211" t="inlineStr">
        <is>
          <t>13001</t>
        </is>
      </c>
      <c r="B211" t="inlineStr">
        <is>
          <t>KIT TE 150/6 Roof Mounting</t>
        </is>
      </c>
      <c r="C211" t="inlineStr">
        <is>
          <t>FM - VORTICE</t>
        </is>
      </c>
      <c r="D211" t="n">
        <v>12</v>
      </c>
      <c r="E211" t="n">
        <v>0</v>
      </c>
      <c r="F211" t="inlineStr"/>
      <c r="G211" s="1" t="n">
        <v>0</v>
      </c>
      <c r="H211" t="n">
        <v>1</v>
      </c>
      <c r="I211" t="n">
        <v>0.5</v>
      </c>
      <c r="J211" t="n">
        <v>1</v>
      </c>
      <c r="K211" t="n">
        <v>1</v>
      </c>
      <c r="L211" t="n">
        <v>0</v>
      </c>
      <c r="M211" t="n">
        <v>0</v>
      </c>
      <c r="N211" t="n">
        <v>2</v>
      </c>
      <c r="O211" s="1">
        <f>IFERROR(L211*G211,0)</f>
        <v/>
      </c>
      <c r="P211">
        <f>IF(N211-L211-M211&gt;0,N211-L211-M211,0)</f>
        <v/>
      </c>
      <c r="Q211" s="1">
        <f>IFERROR(P211*G211,0)</f>
        <v/>
      </c>
    </row>
    <row r="212">
      <c r="A212" t="inlineStr">
        <is>
          <t>13028</t>
        </is>
      </c>
      <c r="B212" t="inlineStr">
        <is>
          <t>KIT TC 230/9</t>
        </is>
      </c>
      <c r="C212" t="inlineStr">
        <is>
          <t>FM - VORTICE</t>
        </is>
      </c>
      <c r="D212" t="n">
        <v>10</v>
      </c>
      <c r="E212" t="n">
        <v>14</v>
      </c>
      <c r="F212" t="inlineStr">
        <is>
          <t>Vortice Elettrosociali SpA</t>
        </is>
      </c>
      <c r="G212" s="1" t="n">
        <v>0</v>
      </c>
      <c r="H212" t="n">
        <v>0</v>
      </c>
      <c r="I212" t="n">
        <v>1.4</v>
      </c>
      <c r="J212" t="n">
        <v>1.5</v>
      </c>
      <c r="K212" t="n">
        <v>2</v>
      </c>
      <c r="L212" t="n">
        <v>0</v>
      </c>
      <c r="M212" t="n">
        <v>0</v>
      </c>
      <c r="N212" t="n">
        <v>5</v>
      </c>
      <c r="O212" s="1">
        <f>IFERROR(L212*G212,0)</f>
        <v/>
      </c>
      <c r="P212">
        <f>IF(N212-L212-M212&gt;0,N212-L212-M212,0)</f>
        <v/>
      </c>
      <c r="Q212" s="1">
        <f>IFERROR(P212*G212,0)</f>
        <v/>
      </c>
    </row>
    <row r="213">
      <c r="A213" t="inlineStr">
        <is>
          <t>132B0100</t>
        </is>
      </c>
      <c r="B213" t="inlineStr">
        <is>
          <t>OPT MICRO LCP DISPLAY W/O POTENTIOM</t>
        </is>
      </c>
      <c r="C213" t="inlineStr"/>
      <c r="D213" t="n">
        <v>1</v>
      </c>
      <c r="E213" t="n">
        <v>1</v>
      </c>
      <c r="F213" t="inlineStr">
        <is>
          <t>Bearing Man Group</t>
        </is>
      </c>
      <c r="G213" s="1" t="n">
        <v>597.3200000000001</v>
      </c>
      <c r="H213" t="n">
        <v>0</v>
      </c>
      <c r="I213" t="n">
        <v>1.5</v>
      </c>
      <c r="J213" t="n">
        <v>1</v>
      </c>
      <c r="K213" t="n">
        <v>2</v>
      </c>
      <c r="L213" t="n">
        <v>0</v>
      </c>
      <c r="M213" t="n">
        <v>0</v>
      </c>
      <c r="N213" t="n">
        <v>4</v>
      </c>
      <c r="O213" s="1">
        <f>IFERROR(L213*G213,0)</f>
        <v/>
      </c>
      <c r="P213">
        <f>IF(N213-L213-M213&gt;0,N213-L213-M213,0)</f>
        <v/>
      </c>
      <c r="Q213" s="1">
        <f>IFERROR(P213*G213,0)</f>
        <v/>
      </c>
    </row>
    <row r="214">
      <c r="A214" t="inlineStr">
        <is>
          <t>1373000218</t>
        </is>
      </c>
      <c r="B214" t="inlineStr">
        <is>
          <t>MOTORE GM-63A4 B143F TC10 - TIRACAMINO MOTOR</t>
        </is>
      </c>
      <c r="C214" t="inlineStr">
        <is>
          <t>FM - VORTICE</t>
        </is>
      </c>
      <c r="D214" t="n">
        <v>23</v>
      </c>
      <c r="E214" t="n">
        <v>58</v>
      </c>
      <c r="F214" t="inlineStr">
        <is>
          <t>Vortice Elettrosociali SpA</t>
        </is>
      </c>
      <c r="G214" s="1" t="n">
        <v>1330.13</v>
      </c>
      <c r="H214" t="n">
        <v>34</v>
      </c>
      <c r="I214" t="n">
        <v>0.9</v>
      </c>
      <c r="J214" t="n">
        <v>3</v>
      </c>
      <c r="K214" t="n">
        <v>3</v>
      </c>
      <c r="L214" t="n">
        <v>0</v>
      </c>
      <c r="M214" t="n">
        <v>0</v>
      </c>
      <c r="N214" t="n">
        <v>9</v>
      </c>
      <c r="O214" s="1">
        <f>IFERROR(L214*G214,0)</f>
        <v/>
      </c>
      <c r="P214">
        <f>IF(N214-L214-M214&gt;0,N214-L214-M214,0)</f>
        <v/>
      </c>
      <c r="Q214" s="1">
        <f>IFERROR(P214*G214,0)</f>
        <v/>
      </c>
    </row>
    <row r="215">
      <c r="A215" t="inlineStr">
        <is>
          <t>13mm X 8mm</t>
        </is>
      </c>
      <c r="B215" t="inlineStr">
        <is>
          <t>A 2100</t>
        </is>
      </c>
      <c r="C215" t="inlineStr"/>
      <c r="D215" t="n">
        <v>1</v>
      </c>
      <c r="E215" t="n">
        <v>10</v>
      </c>
      <c r="F215" t="inlineStr">
        <is>
          <t>Bluetech Fans (Pty) Ltd</t>
        </is>
      </c>
      <c r="G215" s="1" t="n">
        <v>250</v>
      </c>
      <c r="H215" t="n">
        <v>0</v>
      </c>
      <c r="I215" t="n">
        <v>1.2</v>
      </c>
      <c r="J215" t="n">
        <v>10</v>
      </c>
      <c r="K215" t="n">
        <v>12</v>
      </c>
      <c r="L215" t="n">
        <v>0</v>
      </c>
      <c r="M215" t="n">
        <v>0</v>
      </c>
      <c r="N215" t="n">
        <v>32</v>
      </c>
      <c r="O215" s="1">
        <f>IFERROR(L215*G215,0)</f>
        <v/>
      </c>
      <c r="P215">
        <f>IF(N215-L215-M215&gt;0,N215-L215-M215,0)</f>
        <v/>
      </c>
      <c r="Q215" s="1">
        <f>IFERROR(P215*G215,0)</f>
        <v/>
      </c>
    </row>
    <row r="216">
      <c r="A216" t="inlineStr">
        <is>
          <t>15-1</t>
        </is>
      </c>
      <c r="B216" t="inlineStr">
        <is>
          <t>TI8R BLK - T18R CABLE TIES BLACK 100MMX2</t>
        </is>
      </c>
      <c r="C216" t="inlineStr"/>
      <c r="D216" t="n">
        <v>1</v>
      </c>
      <c r="E216" t="n">
        <v>2</v>
      </c>
      <c r="F216" t="inlineStr">
        <is>
          <t>Atlantic Lighting &amp; Electrical distributors</t>
        </is>
      </c>
      <c r="G216" s="1" t="n">
        <v>14.85</v>
      </c>
      <c r="H216" t="n">
        <v>0</v>
      </c>
      <c r="I216" t="n">
        <v>0.5</v>
      </c>
      <c r="J216" t="n">
        <v>2</v>
      </c>
      <c r="K216" t="n">
        <v>1</v>
      </c>
      <c r="L216" t="n">
        <v>0</v>
      </c>
      <c r="M216" t="n">
        <v>0</v>
      </c>
      <c r="N216" t="n">
        <v>5</v>
      </c>
      <c r="O216" s="1">
        <f>IFERROR(L216*G216,0)</f>
        <v/>
      </c>
      <c r="P216">
        <f>IF(N216-L216-M216&gt;0,N216-L216-M216,0)</f>
        <v/>
      </c>
      <c r="Q216" s="1">
        <f>IFERROR(P216*G216,0)</f>
        <v/>
      </c>
    </row>
    <row r="217">
      <c r="A217" t="inlineStr">
        <is>
          <t>15-5</t>
        </is>
      </c>
      <c r="B217" t="inlineStr">
        <is>
          <t>T50R BLACK - T50R CABLE TIES BLACK 198MMX4</t>
        </is>
      </c>
      <c r="C217" t="inlineStr"/>
      <c r="D217" t="n">
        <v>1</v>
      </c>
      <c r="E217" t="n">
        <v>3</v>
      </c>
      <c r="F217" t="inlineStr">
        <is>
          <t>Atlantic Lighting &amp; Electrical distributors</t>
        </is>
      </c>
      <c r="G217" s="1" t="n">
        <v>48.51</v>
      </c>
      <c r="H217" t="n">
        <v>0</v>
      </c>
      <c r="I217" t="n">
        <v>0.5</v>
      </c>
      <c r="J217" t="n">
        <v>3</v>
      </c>
      <c r="K217" t="n">
        <v>2</v>
      </c>
      <c r="L217" t="n">
        <v>0</v>
      </c>
      <c r="M217" t="n">
        <v>0</v>
      </c>
      <c r="N217" t="n">
        <v>8</v>
      </c>
      <c r="O217" s="1">
        <f>IFERROR(L217*G217,0)</f>
        <v/>
      </c>
      <c r="P217">
        <f>IF(N217-L217-M217&gt;0,N217-L217-M217,0)</f>
        <v/>
      </c>
      <c r="Q217" s="1">
        <f>IFERROR(P217*G217,0)</f>
        <v/>
      </c>
    </row>
    <row r="218">
      <c r="A218" t="inlineStr">
        <is>
          <t>15000</t>
        </is>
      </c>
      <c r="B218" t="inlineStr">
        <is>
          <t>Tiracamino Chimney Fan for Chimney Tops</t>
        </is>
      </c>
      <c r="C218" t="inlineStr">
        <is>
          <t>FM - VORTICE</t>
        </is>
      </c>
      <c r="D218" t="n">
        <v>34</v>
      </c>
      <c r="E218" t="n">
        <v>138</v>
      </c>
      <c r="F218" t="inlineStr">
        <is>
          <t>Vortice Elettrosociali SpA</t>
        </is>
      </c>
      <c r="G218" s="1" t="n">
        <v>5798.62</v>
      </c>
      <c r="H218" t="n">
        <v>155</v>
      </c>
      <c r="I218" t="n">
        <v>0.8</v>
      </c>
      <c r="J218" t="n">
        <v>5</v>
      </c>
      <c r="K218" t="n">
        <v>4</v>
      </c>
      <c r="L218" t="n">
        <v>0</v>
      </c>
      <c r="M218" t="n">
        <v>0</v>
      </c>
      <c r="N218" t="n">
        <v>14</v>
      </c>
      <c r="O218" s="1">
        <f>IFERROR(L218*G218,0)</f>
        <v/>
      </c>
      <c r="P218">
        <f>IF(N218-L218-M218&gt;0,N218-L218-M218,0)</f>
        <v/>
      </c>
      <c r="Q218" s="1">
        <f>IFERROR(P218*G218,0)</f>
        <v/>
      </c>
    </row>
    <row r="219">
      <c r="A219" t="inlineStr">
        <is>
          <t>1500W</t>
        </is>
      </c>
      <c r="B219" t="inlineStr">
        <is>
          <t>TERAL 17.5KG</t>
        </is>
      </c>
      <c r="C219" t="inlineStr"/>
      <c r="D219" t="n">
        <v>1</v>
      </c>
      <c r="E219" t="n">
        <v>4</v>
      </c>
      <c r="F219" t="inlineStr">
        <is>
          <t>INTROWELD CC</t>
        </is>
      </c>
      <c r="G219" s="1" t="n">
        <v>1130.43</v>
      </c>
      <c r="H219" t="n">
        <v>0</v>
      </c>
      <c r="I219" t="n">
        <v>0.5</v>
      </c>
      <c r="J219" t="n">
        <v>4</v>
      </c>
      <c r="K219" t="n">
        <v>2</v>
      </c>
      <c r="L219" t="n">
        <v>0</v>
      </c>
      <c r="M219" t="n">
        <v>0</v>
      </c>
      <c r="N219" t="n">
        <v>10</v>
      </c>
      <c r="O219" s="1">
        <f>IFERROR(L219*G219,0)</f>
        <v/>
      </c>
      <c r="P219">
        <f>IF(N219-L219-M219&gt;0,N219-L219-M219,0)</f>
        <v/>
      </c>
      <c r="Q219" s="1">
        <f>IFERROR(P219*G219,0)</f>
        <v/>
      </c>
    </row>
    <row r="220">
      <c r="A220" t="inlineStr">
        <is>
          <t>1501</t>
        </is>
      </c>
      <c r="B220" t="inlineStr">
        <is>
          <t>ARCAL SPEED 50L CYLINDER 17.5KG</t>
        </is>
      </c>
      <c r="C220" t="inlineStr">
        <is>
          <t>FABRICATION</t>
        </is>
      </c>
      <c r="D220" t="n">
        <v>1</v>
      </c>
      <c r="E220" t="n">
        <v>2</v>
      </c>
      <c r="F220" t="inlineStr">
        <is>
          <t>INTROWELD CC</t>
        </is>
      </c>
      <c r="G220" s="1" t="n">
        <v>1130.43</v>
      </c>
      <c r="H220" t="n">
        <v>0</v>
      </c>
      <c r="I220" t="n">
        <v>0.5</v>
      </c>
      <c r="J220" t="n">
        <v>2</v>
      </c>
      <c r="K220" t="n">
        <v>1</v>
      </c>
      <c r="L220" t="n">
        <v>0</v>
      </c>
      <c r="M220" t="n">
        <v>0</v>
      </c>
      <c r="N220" t="n">
        <v>5</v>
      </c>
      <c r="O220" s="1">
        <f>IFERROR(L220*G220,0)</f>
        <v/>
      </c>
      <c r="P220">
        <f>IF(N220-L220-M220&gt;0,N220-L220-M220,0)</f>
        <v/>
      </c>
      <c r="Q220" s="1">
        <f>IFERROR(P220*G220,0)</f>
        <v/>
      </c>
    </row>
    <row r="221">
      <c r="A221" t="inlineStr">
        <is>
          <t>1502479</t>
        </is>
      </c>
      <c r="B221" t="inlineStr">
        <is>
          <t>HTMH-71-4T-4 220/380V. 60Hz IE3</t>
        </is>
      </c>
      <c r="C221" t="inlineStr"/>
      <c r="D221" t="n">
        <v>1</v>
      </c>
      <c r="E221" t="n">
        <v>20</v>
      </c>
      <c r="F221" t="inlineStr">
        <is>
          <t>SODECA</t>
        </is>
      </c>
      <c r="G221" s="1" t="n">
        <v>21774.6</v>
      </c>
      <c r="H221" t="n">
        <v>0</v>
      </c>
      <c r="I221" t="n">
        <v>2.7</v>
      </c>
      <c r="J221" t="n">
        <v>20</v>
      </c>
      <c r="K221" t="n">
        <v>54</v>
      </c>
      <c r="L221" t="n">
        <v>0</v>
      </c>
      <c r="M221" t="n">
        <v>0</v>
      </c>
      <c r="N221" t="n">
        <v>94</v>
      </c>
      <c r="O221" s="1">
        <f>IFERROR(L221*G221,0)</f>
        <v/>
      </c>
      <c r="P221">
        <f>IF(N221-L221-M221&gt;0,N221-L221-M221,0)</f>
        <v/>
      </c>
      <c r="Q221" s="1">
        <f>IFERROR(P221*G221,0)</f>
        <v/>
      </c>
    </row>
    <row r="222">
      <c r="A222" t="inlineStr">
        <is>
          <t>1503633</t>
        </is>
      </c>
      <c r="B222" t="inlineStr">
        <is>
          <t>CA/LINE/EC-31 50/60Hz.</t>
        </is>
      </c>
      <c r="C222" t="inlineStr"/>
      <c r="D222" t="n">
        <v>1</v>
      </c>
      <c r="E222" t="n">
        <v>1</v>
      </c>
      <c r="F222" t="inlineStr">
        <is>
          <t>SODECA</t>
        </is>
      </c>
      <c r="G222" s="1" t="n">
        <v>4281.64</v>
      </c>
      <c r="H222" t="n">
        <v>0</v>
      </c>
      <c r="I222" t="n">
        <v>0.9</v>
      </c>
      <c r="J222" t="n">
        <v>1</v>
      </c>
      <c r="K222" t="n">
        <v>1</v>
      </c>
      <c r="L222" t="n">
        <v>0</v>
      </c>
      <c r="M222" t="n">
        <v>0</v>
      </c>
      <c r="N222" t="n">
        <v>3</v>
      </c>
      <c r="O222" s="1">
        <f>IFERROR(L222*G222,0)</f>
        <v/>
      </c>
      <c r="P222">
        <f>IF(N222-L222-M222&gt;0,N222-L222-M222,0)</f>
        <v/>
      </c>
      <c r="Q222" s="1">
        <f>IFERROR(P222*G222,0)</f>
        <v/>
      </c>
    </row>
    <row r="223">
      <c r="A223" t="inlineStr">
        <is>
          <t>150T600</t>
        </is>
      </c>
      <c r="B223" t="inlineStr">
        <is>
          <t>150 Diam Tube Silencer 600L</t>
        </is>
      </c>
      <c r="C223" t="inlineStr">
        <is>
          <t>FM - DONKIN</t>
        </is>
      </c>
      <c r="D223" t="n">
        <v>31</v>
      </c>
      <c r="E223" t="n">
        <v>123</v>
      </c>
      <c r="F223" t="inlineStr">
        <is>
          <t>Attenu-Tec</t>
        </is>
      </c>
      <c r="G223" s="1" t="n">
        <v>474.88</v>
      </c>
      <c r="H223" t="n">
        <v>124</v>
      </c>
      <c r="I223" t="n">
        <v>0.5</v>
      </c>
      <c r="J223" t="n">
        <v>4</v>
      </c>
      <c r="K223" t="n">
        <v>2</v>
      </c>
      <c r="L223" t="n">
        <v>0</v>
      </c>
      <c r="M223" t="n">
        <v>0</v>
      </c>
      <c r="N223" t="n">
        <v>10</v>
      </c>
      <c r="O223" s="1">
        <f>IFERROR(L223*G223,0)</f>
        <v/>
      </c>
      <c r="P223">
        <f>IF(N223-L223-M223&gt;0,N223-L223-M223,0)</f>
        <v/>
      </c>
      <c r="Q223" s="1">
        <f>IFERROR(P223*G223,0)</f>
        <v/>
      </c>
    </row>
    <row r="224">
      <c r="A224" t="inlineStr">
        <is>
          <t>150T900</t>
        </is>
      </c>
      <c r="B224" t="inlineStr">
        <is>
          <t>150 Diam Tube Silencer 900L</t>
        </is>
      </c>
      <c r="C224" t="inlineStr"/>
      <c r="D224" t="n">
        <v>1</v>
      </c>
      <c r="E224" t="n">
        <v>9</v>
      </c>
      <c r="F224" t="inlineStr">
        <is>
          <t>Attenu-Tec</t>
        </is>
      </c>
      <c r="G224" s="1" t="n">
        <v>556</v>
      </c>
      <c r="H224" t="n">
        <v>9</v>
      </c>
      <c r="I224" t="n">
        <v>0.5</v>
      </c>
      <c r="J224" t="n">
        <v>9</v>
      </c>
      <c r="K224" t="n">
        <v>4</v>
      </c>
      <c r="L224" t="n">
        <v>0</v>
      </c>
      <c r="M224" t="n">
        <v>0</v>
      </c>
      <c r="N224" t="n">
        <v>22</v>
      </c>
      <c r="O224" s="1">
        <f>IFERROR(L224*G224,0)</f>
        <v/>
      </c>
      <c r="P224">
        <f>IF(N224-L224-M224&gt;0,N224-L224-M224,0)</f>
        <v/>
      </c>
      <c r="Q224" s="1">
        <f>IFERROR(P224*G224,0)</f>
        <v/>
      </c>
    </row>
    <row r="225">
      <c r="A225" t="inlineStr">
        <is>
          <t>1515521</t>
        </is>
      </c>
      <c r="B225" t="inlineStr">
        <is>
          <t>AT 15/15 SC - Single Unit</t>
        </is>
      </c>
      <c r="C225" t="inlineStr">
        <is>
          <t>FM - NICOTRA</t>
        </is>
      </c>
      <c r="D225" t="n">
        <v>35</v>
      </c>
      <c r="E225" t="n">
        <v>15</v>
      </c>
      <c r="F225" t="inlineStr">
        <is>
          <t>Regal Beloit Italy S.p.A - Nicotra .</t>
        </is>
      </c>
      <c r="G225" s="1" t="n">
        <v>3222</v>
      </c>
      <c r="H225" t="n">
        <v>18</v>
      </c>
      <c r="I225" t="n">
        <v>0.6</v>
      </c>
      <c r="J225" t="n">
        <v>1</v>
      </c>
      <c r="K225" t="n">
        <v>1</v>
      </c>
      <c r="L225" t="n">
        <v>0</v>
      </c>
      <c r="M225" t="n">
        <v>0</v>
      </c>
      <c r="N225" t="n">
        <v>3</v>
      </c>
      <c r="O225" s="1">
        <f>IFERROR(L225*G225,0)</f>
        <v/>
      </c>
      <c r="P225">
        <f>IF(N225-L225-M225&gt;0,N225-L225-M225,0)</f>
        <v/>
      </c>
      <c r="Q225" s="1">
        <f>IFERROR(P225*G225,0)</f>
        <v/>
      </c>
    </row>
    <row r="226">
      <c r="A226" t="inlineStr">
        <is>
          <t>1515522</t>
        </is>
      </c>
      <c r="B226" t="inlineStr">
        <is>
          <t>AT 15/15 SC2 - Double Unit</t>
        </is>
      </c>
      <c r="C226" t="inlineStr">
        <is>
          <t>FM - NICOTRA</t>
        </is>
      </c>
      <c r="D226" t="n">
        <v>1</v>
      </c>
      <c r="E226" t="n">
        <v>0</v>
      </c>
      <c r="F226" t="inlineStr"/>
      <c r="G226" s="1" t="n">
        <v>0</v>
      </c>
      <c r="H226" t="n">
        <v>1</v>
      </c>
      <c r="I226" t="n">
        <v>0.5</v>
      </c>
      <c r="J226" t="n">
        <v>1</v>
      </c>
      <c r="K226" t="n">
        <v>1</v>
      </c>
      <c r="L226" t="n">
        <v>0</v>
      </c>
      <c r="M226" t="n">
        <v>0</v>
      </c>
      <c r="N226" t="n">
        <v>2</v>
      </c>
      <c r="O226" s="1">
        <f>IFERROR(L226*G226,0)</f>
        <v/>
      </c>
      <c r="P226">
        <f>IF(N226-L226-M226&gt;0,N226-L226-M226,0)</f>
        <v/>
      </c>
      <c r="Q226" s="1">
        <f>IFERROR(P226*G226,0)</f>
        <v/>
      </c>
    </row>
    <row r="227">
      <c r="A227" t="inlineStr">
        <is>
          <t>15928</t>
        </is>
      </c>
      <c r="B227" t="inlineStr">
        <is>
          <t>Repair CMP-1025-2T-3 ( ROS Del Note 15928)</t>
        </is>
      </c>
      <c r="C227" t="inlineStr"/>
      <c r="D227" t="n">
        <v>1</v>
      </c>
      <c r="E227" t="n">
        <v>0</v>
      </c>
      <c r="F227" t="inlineStr"/>
      <c r="G227" s="1" t="n">
        <v>0</v>
      </c>
      <c r="H227" t="n">
        <v>1</v>
      </c>
      <c r="I227" t="n">
        <v>0.5</v>
      </c>
      <c r="J227" t="n">
        <v>1</v>
      </c>
      <c r="K227" t="n">
        <v>1</v>
      </c>
      <c r="L227" t="n">
        <v>0</v>
      </c>
      <c r="M227" t="n">
        <v>0</v>
      </c>
      <c r="N227" t="n">
        <v>2</v>
      </c>
      <c r="O227" s="1">
        <f>IFERROR(L227*G227,0)</f>
        <v/>
      </c>
      <c r="P227">
        <f>IF(N227-L227-M227&gt;0,N227-L227-M227,0)</f>
        <v/>
      </c>
      <c r="Q227" s="1">
        <f>IFERROR(P227*G227,0)</f>
        <v/>
      </c>
    </row>
    <row r="228">
      <c r="A228" t="inlineStr">
        <is>
          <t>16 SQ MED SPRING WASHER Z/BLUE 16 7980 SS ZB</t>
        </is>
      </c>
      <c r="B228" t="inlineStr">
        <is>
          <t>16 SQ MED SPRING WASHER Z/BLUE 16 7980 SS ZB</t>
        </is>
      </c>
      <c r="C228" t="inlineStr"/>
      <c r="D228" t="n">
        <v>1</v>
      </c>
      <c r="E228" t="n">
        <v>20</v>
      </c>
      <c r="F228" t="inlineStr">
        <is>
          <t>M&amp;D SPECIALISED FASTENERS (PTY) LTD</t>
        </is>
      </c>
      <c r="G228" s="1" t="n">
        <v>0.4</v>
      </c>
      <c r="H228" t="n">
        <v>0</v>
      </c>
      <c r="I228" t="n">
        <v>0.5</v>
      </c>
      <c r="J228" t="n">
        <v>20</v>
      </c>
      <c r="K228" t="n">
        <v>10</v>
      </c>
      <c r="L228" t="n">
        <v>0</v>
      </c>
      <c r="M228" t="n">
        <v>0</v>
      </c>
      <c r="N228" t="n">
        <v>50</v>
      </c>
      <c r="O228" s="1">
        <f>IFERROR(L228*G228,0)</f>
        <v/>
      </c>
      <c r="P228">
        <f>IF(N228-L228-M228&gt;0,N228-L228-M228,0)</f>
        <v/>
      </c>
      <c r="Q228" s="1">
        <f>IFERROR(P228*G228,0)</f>
        <v/>
      </c>
    </row>
    <row r="229">
      <c r="A229" t="inlineStr">
        <is>
          <t>1600CF</t>
        </is>
      </c>
      <c r="B229" t="inlineStr">
        <is>
          <t>1600 Diam Counter Flange</t>
        </is>
      </c>
      <c r="C229" t="inlineStr">
        <is>
          <t>C/FLANGE</t>
        </is>
      </c>
      <c r="D229" t="n">
        <v>13</v>
      </c>
      <c r="E229" t="n">
        <v>2</v>
      </c>
      <c r="F229" t="inlineStr">
        <is>
          <t>Air Speration</t>
        </is>
      </c>
      <c r="G229" s="1" t="n">
        <v>1358.93</v>
      </c>
      <c r="H229" t="n">
        <v>6</v>
      </c>
      <c r="I229" t="n">
        <v>0.9</v>
      </c>
      <c r="J229" t="n">
        <v>1</v>
      </c>
      <c r="K229" t="n">
        <v>1</v>
      </c>
      <c r="L229" t="n">
        <v>0</v>
      </c>
      <c r="M229" t="n">
        <v>0</v>
      </c>
      <c r="N229" t="n">
        <v>3</v>
      </c>
      <c r="O229" s="1">
        <f>IFERROR(L229*G229,0)</f>
        <v/>
      </c>
      <c r="P229">
        <f>IF(N229-L229-M229&gt;0,N229-L229-M229,0)</f>
        <v/>
      </c>
      <c r="Q229" s="1">
        <f>IFERROR(P229*G229,0)</f>
        <v/>
      </c>
    </row>
    <row r="230">
      <c r="A230" t="inlineStr">
        <is>
          <t>1600FC</t>
        </is>
      </c>
      <c r="B230" t="inlineStr">
        <is>
          <t>1600 Diam Flexible Connection</t>
        </is>
      </c>
      <c r="C230" t="inlineStr">
        <is>
          <t>FM - DONKIN</t>
        </is>
      </c>
      <c r="D230" t="n">
        <v>5</v>
      </c>
      <c r="E230" t="n">
        <v>2</v>
      </c>
      <c r="F230" t="inlineStr">
        <is>
          <t>Air Speration</t>
        </is>
      </c>
      <c r="G230" s="1" t="n">
        <v>12757.61</v>
      </c>
      <c r="H230" t="n">
        <v>4</v>
      </c>
      <c r="I230" t="n">
        <v>1.7</v>
      </c>
      <c r="J230" t="n">
        <v>1</v>
      </c>
      <c r="K230" t="n">
        <v>2</v>
      </c>
      <c r="L230" t="n">
        <v>0</v>
      </c>
      <c r="M230" t="n">
        <v>0</v>
      </c>
      <c r="N230" t="n">
        <v>4</v>
      </c>
      <c r="O230" s="1">
        <f>IFERROR(L230*G230,0)</f>
        <v/>
      </c>
      <c r="P230">
        <f>IF(N230-L230-M230&gt;0,N230-L230-M230,0)</f>
        <v/>
      </c>
      <c r="Q230" s="1">
        <f>IFERROR(P230*G230,0)</f>
        <v/>
      </c>
    </row>
    <row r="231">
      <c r="A231" t="inlineStr">
        <is>
          <t>1600IC</t>
        </is>
      </c>
      <c r="B231" t="inlineStr">
        <is>
          <t>1600 Dia Inlet Cone</t>
        </is>
      </c>
      <c r="C231" t="inlineStr">
        <is>
          <t>Accessories</t>
        </is>
      </c>
      <c r="D231" t="n">
        <v>1</v>
      </c>
      <c r="E231" t="n">
        <v>0</v>
      </c>
      <c r="F231" t="inlineStr"/>
      <c r="G231" s="1" t="n">
        <v>0</v>
      </c>
      <c r="H231" t="n">
        <v>2</v>
      </c>
      <c r="I231" t="n">
        <v>0.5</v>
      </c>
      <c r="J231" t="n">
        <v>2</v>
      </c>
      <c r="K231" t="n">
        <v>1</v>
      </c>
      <c r="L231" t="n">
        <v>0</v>
      </c>
      <c r="M231" t="n">
        <v>0</v>
      </c>
      <c r="N231" t="n">
        <v>5</v>
      </c>
      <c r="O231" s="1">
        <f>IFERROR(L231*G231,0)</f>
        <v/>
      </c>
      <c r="P231">
        <f>IF(N231-L231-M231&gt;0,N231-L231-M231,0)</f>
        <v/>
      </c>
      <c r="Q231" s="1">
        <f>IFERROR(P231*G231,0)</f>
        <v/>
      </c>
    </row>
    <row r="232">
      <c r="A232" t="inlineStr">
        <is>
          <t>1600MF</t>
        </is>
      </c>
      <c r="B232" t="inlineStr">
        <is>
          <t>1600 Diam Mounting Feet</t>
        </is>
      </c>
      <c r="C232" t="inlineStr">
        <is>
          <t>M/FEET</t>
        </is>
      </c>
      <c r="D232" t="n">
        <v>13</v>
      </c>
      <c r="E232" t="n">
        <v>0</v>
      </c>
      <c r="F232" t="inlineStr">
        <is>
          <t>Air Speration</t>
        </is>
      </c>
      <c r="G232" s="1" t="n">
        <v>1345.25</v>
      </c>
      <c r="H232" t="n">
        <v>14</v>
      </c>
      <c r="I232" t="n">
        <v>1.5</v>
      </c>
      <c r="J232" t="n">
        <v>1.5</v>
      </c>
      <c r="K232" t="n">
        <v>2</v>
      </c>
      <c r="L232" t="n">
        <v>0</v>
      </c>
      <c r="M232" t="n">
        <v>0</v>
      </c>
      <c r="N232" t="n">
        <v>5</v>
      </c>
      <c r="O232" s="1">
        <f>IFERROR(L232*G232,0)</f>
        <v/>
      </c>
      <c r="P232">
        <f>IF(N232-L232-M232&gt;0,N232-L232-M232,0)</f>
        <v/>
      </c>
      <c r="Q232" s="1">
        <f>IFERROR(P232*G232,0)</f>
        <v/>
      </c>
    </row>
    <row r="233">
      <c r="A233" t="inlineStr">
        <is>
          <t>16039</t>
        </is>
      </c>
      <c r="B233" t="inlineStr">
        <is>
          <t>CA 250 VO In-Line Tube Fan Plastic Casing</t>
        </is>
      </c>
      <c r="C233" t="inlineStr"/>
      <c r="D233" t="n">
        <v>1</v>
      </c>
      <c r="E233" t="n">
        <v>1</v>
      </c>
      <c r="F233" t="inlineStr">
        <is>
          <t>Vortice Elettrosociali SpA</t>
        </is>
      </c>
      <c r="G233" s="1" t="n">
        <v>2555.16</v>
      </c>
      <c r="H233" t="n">
        <v>0</v>
      </c>
      <c r="I233" t="n">
        <v>0.5</v>
      </c>
      <c r="J233" t="n">
        <v>1</v>
      </c>
      <c r="K233" t="n">
        <v>1</v>
      </c>
      <c r="L233" t="n">
        <v>0</v>
      </c>
      <c r="M233" t="n">
        <v>0</v>
      </c>
      <c r="N233" t="n">
        <v>2</v>
      </c>
      <c r="O233" s="1">
        <f>IFERROR(L233*G233,0)</f>
        <v/>
      </c>
      <c r="P233">
        <f>IF(N233-L233-M233&gt;0,N233-L233-M233,0)</f>
        <v/>
      </c>
      <c r="Q233" s="1">
        <f>IFERROR(P233*G233,0)</f>
        <v/>
      </c>
    </row>
    <row r="234">
      <c r="A234" t="inlineStr">
        <is>
          <t>1609CL</t>
        </is>
      </c>
      <c r="B234" t="inlineStr">
        <is>
          <t>160/9 Clamp - to suit, 14mm, 19mm, 24mm and 28mm bore hubs</t>
        </is>
      </c>
      <c r="C234" t="inlineStr">
        <is>
          <t>FM - IMPELLER</t>
        </is>
      </c>
      <c r="D234" t="n">
        <v>21</v>
      </c>
      <c r="E234" t="n">
        <v>330</v>
      </c>
      <c r="F234" t="inlineStr">
        <is>
          <t>CFW Fans (Pty) Ltd</t>
        </is>
      </c>
      <c r="G234" s="1" t="n">
        <v>235</v>
      </c>
      <c r="H234" t="n">
        <v>0</v>
      </c>
      <c r="I234" t="n">
        <v>0.5</v>
      </c>
      <c r="J234" t="n">
        <v>16</v>
      </c>
      <c r="K234" t="n">
        <v>8</v>
      </c>
      <c r="L234" t="n">
        <v>0</v>
      </c>
      <c r="M234" t="n">
        <v>24</v>
      </c>
      <c r="N234" t="n">
        <v>40</v>
      </c>
      <c r="O234" s="1">
        <f>IFERROR(L234*G234,0)</f>
        <v/>
      </c>
      <c r="P234">
        <f>IF(N234-L234-M234&gt;0,N234-L234-M234,0)</f>
        <v/>
      </c>
      <c r="Q234" s="1">
        <f>IFERROR(P234*G234,0)</f>
        <v/>
      </c>
    </row>
    <row r="235">
      <c r="A235" t="inlineStr">
        <is>
          <t>1609H14</t>
        </is>
      </c>
      <c r="B235" t="inlineStr">
        <is>
          <t>160/9 Hub - 14mm</t>
        </is>
      </c>
      <c r="C235" t="inlineStr">
        <is>
          <t>FM - IMPELLER</t>
        </is>
      </c>
      <c r="D235" t="n">
        <v>21</v>
      </c>
      <c r="E235" t="n">
        <v>112</v>
      </c>
      <c r="F235" t="inlineStr">
        <is>
          <t>CFW Fans (Pty) Ltd</t>
        </is>
      </c>
      <c r="G235" s="1" t="n">
        <v>270</v>
      </c>
      <c r="H235" t="n">
        <v>0</v>
      </c>
      <c r="I235" t="n">
        <v>0.5</v>
      </c>
      <c r="J235" t="n">
        <v>5.5</v>
      </c>
      <c r="K235" t="n">
        <v>3</v>
      </c>
      <c r="L235" t="n">
        <v>0</v>
      </c>
      <c r="M235" t="n">
        <v>6</v>
      </c>
      <c r="N235" t="n">
        <v>14</v>
      </c>
      <c r="O235" s="1">
        <f>IFERROR(L235*G235,0)</f>
        <v/>
      </c>
      <c r="P235">
        <f>IF(N235-L235-M235&gt;0,N235-L235-M235,0)</f>
        <v/>
      </c>
      <c r="Q235" s="1">
        <f>IFERROR(P235*G235,0)</f>
        <v/>
      </c>
    </row>
    <row r="236">
      <c r="A236" t="inlineStr">
        <is>
          <t>1609H19</t>
        </is>
      </c>
      <c r="B236" t="inlineStr">
        <is>
          <t>160/9 Hub - 19mm</t>
        </is>
      </c>
      <c r="C236" t="inlineStr">
        <is>
          <t>FM - IMPELLER</t>
        </is>
      </c>
      <c r="D236" t="n">
        <v>19</v>
      </c>
      <c r="E236" t="n">
        <v>91</v>
      </c>
      <c r="F236" t="inlineStr">
        <is>
          <t>CFW Fans (Pty) Ltd</t>
        </is>
      </c>
      <c r="G236" s="1" t="n">
        <v>270</v>
      </c>
      <c r="H236" t="n">
        <v>0</v>
      </c>
      <c r="I236" t="n">
        <v>0.5</v>
      </c>
      <c r="J236" t="n">
        <v>5</v>
      </c>
      <c r="K236" t="n">
        <v>2</v>
      </c>
      <c r="L236" t="n">
        <v>0</v>
      </c>
      <c r="M236" t="n">
        <v>12</v>
      </c>
      <c r="N236" t="n">
        <v>12</v>
      </c>
      <c r="O236" s="1">
        <f>IFERROR(L236*G236,0)</f>
        <v/>
      </c>
      <c r="P236">
        <f>IF(N236-L236-M236&gt;0,N236-L236-M236,0)</f>
        <v/>
      </c>
      <c r="Q236" s="1">
        <f>IFERROR(P236*G236,0)</f>
        <v/>
      </c>
    </row>
    <row r="237">
      <c r="A237" t="inlineStr">
        <is>
          <t>1609H24</t>
        </is>
      </c>
      <c r="B237" t="inlineStr">
        <is>
          <t>160/9 Hub - 24mm</t>
        </is>
      </c>
      <c r="C237" t="inlineStr">
        <is>
          <t>FM - IMPELLER</t>
        </is>
      </c>
      <c r="D237" t="n">
        <v>21</v>
      </c>
      <c r="E237" t="n">
        <v>82</v>
      </c>
      <c r="F237" t="inlineStr">
        <is>
          <t>CFW Fans (Pty) Ltd</t>
        </is>
      </c>
      <c r="G237" s="1" t="n">
        <v>270</v>
      </c>
      <c r="H237" t="n">
        <v>0</v>
      </c>
      <c r="I237" t="n">
        <v>0.5</v>
      </c>
      <c r="J237" t="n">
        <v>4</v>
      </c>
      <c r="K237" t="n">
        <v>2</v>
      </c>
      <c r="L237" t="n">
        <v>0</v>
      </c>
      <c r="M237" t="n">
        <v>0</v>
      </c>
      <c r="N237" t="n">
        <v>10</v>
      </c>
      <c r="O237" s="1">
        <f>IFERROR(L237*G237,0)</f>
        <v/>
      </c>
      <c r="P237">
        <f>IF(N237-L237-M237&gt;0,N237-L237-M237,0)</f>
        <v/>
      </c>
      <c r="Q237" s="1">
        <f>IFERROR(P237*G237,0)</f>
        <v/>
      </c>
    </row>
    <row r="238">
      <c r="A238" t="inlineStr">
        <is>
          <t>1609H28</t>
        </is>
      </c>
      <c r="B238" t="inlineStr">
        <is>
          <t>160/9 Hub - 28mm</t>
        </is>
      </c>
      <c r="C238" t="inlineStr">
        <is>
          <t>FM - IMPELLER</t>
        </is>
      </c>
      <c r="D238" t="n">
        <v>19</v>
      </c>
      <c r="E238" t="n">
        <v>49</v>
      </c>
      <c r="F238" t="inlineStr">
        <is>
          <t>CFW Fans (Pty) Ltd</t>
        </is>
      </c>
      <c r="G238" s="1" t="n">
        <v>270</v>
      </c>
      <c r="H238" t="n">
        <v>0</v>
      </c>
      <c r="I238" t="n">
        <v>0.5</v>
      </c>
      <c r="J238" t="n">
        <v>3</v>
      </c>
      <c r="K238" t="n">
        <v>2</v>
      </c>
      <c r="L238" t="n">
        <v>0</v>
      </c>
      <c r="M238" t="n">
        <v>6</v>
      </c>
      <c r="N238" t="n">
        <v>8</v>
      </c>
      <c r="O238" s="1">
        <f>IFERROR(L238*G238,0)</f>
        <v/>
      </c>
      <c r="P238">
        <f>IF(N238-L238-M238&gt;0,N238-L238-M238,0)</f>
        <v/>
      </c>
      <c r="Q238" s="1">
        <f>IFERROR(P238*G238,0)</f>
        <v/>
      </c>
    </row>
    <row r="239">
      <c r="A239" t="inlineStr">
        <is>
          <t>160X3SPA</t>
        </is>
      </c>
      <c r="B239" t="inlineStr">
        <is>
          <t>PULLEY FRICTION BELT V-WEDGE 3 GROOVE SPA 2517 TAPER 160MM FENNER</t>
        </is>
      </c>
      <c r="C239" t="inlineStr"/>
      <c r="D239" t="n">
        <v>12</v>
      </c>
      <c r="E239" t="n">
        <v>8</v>
      </c>
      <c r="F239" t="inlineStr">
        <is>
          <t>Bearing Man Group</t>
        </is>
      </c>
      <c r="G239" s="1" t="n">
        <v>474.51</v>
      </c>
      <c r="H239" t="n">
        <v>0</v>
      </c>
      <c r="I239" t="n">
        <v>0.7</v>
      </c>
      <c r="J239" t="n">
        <v>1</v>
      </c>
      <c r="K239" t="n">
        <v>1</v>
      </c>
      <c r="L239" t="n">
        <v>0</v>
      </c>
      <c r="M239" t="n">
        <v>0</v>
      </c>
      <c r="N239" t="n">
        <v>3</v>
      </c>
      <c r="O239" s="1">
        <f>IFERROR(L239*G239,0)</f>
        <v/>
      </c>
      <c r="P239">
        <f>IF(N239-L239-M239&gt;0,N239-L239-M239,0)</f>
        <v/>
      </c>
      <c r="Q239" s="1">
        <f>IFERROR(P239*G239,0)</f>
        <v/>
      </c>
    </row>
    <row r="240">
      <c r="A240" t="inlineStr">
        <is>
          <t>1610X25MM.</t>
        </is>
      </c>
      <c r="B240" t="inlineStr">
        <is>
          <t>TAPER LOCK BUSH METRIC 1610 25MM FENNER</t>
        </is>
      </c>
      <c r="C240" t="inlineStr"/>
      <c r="D240" t="n">
        <v>1</v>
      </c>
      <c r="E240" t="n">
        <v>2</v>
      </c>
      <c r="F240" t="inlineStr">
        <is>
          <t>Bearing Man Group</t>
        </is>
      </c>
      <c r="G240" s="1" t="n">
        <v>72.31</v>
      </c>
      <c r="H240" t="n">
        <v>0</v>
      </c>
      <c r="I240" t="n">
        <v>0.5</v>
      </c>
      <c r="J240" t="n">
        <v>2</v>
      </c>
      <c r="K240" t="n">
        <v>1</v>
      </c>
      <c r="L240" t="n">
        <v>0</v>
      </c>
      <c r="M240" t="n">
        <v>0</v>
      </c>
      <c r="N240" t="n">
        <v>5</v>
      </c>
      <c r="O240" s="1">
        <f>IFERROR(L240*G240,0)</f>
        <v/>
      </c>
      <c r="P240">
        <f>IF(N240-L240-M240&gt;0,N240-L240-M240,0)</f>
        <v/>
      </c>
      <c r="Q240" s="1">
        <f>IFERROR(P240*G240,0)</f>
        <v/>
      </c>
    </row>
    <row r="241">
      <c r="A241" t="inlineStr">
        <is>
          <t>1610X28MM.</t>
        </is>
      </c>
      <c r="B241" t="inlineStr">
        <is>
          <t>Taper Lock Bush Metric 1610 28mm FE</t>
        </is>
      </c>
      <c r="C241" t="inlineStr"/>
      <c r="D241" t="n">
        <v>7</v>
      </c>
      <c r="E241" t="n">
        <v>8</v>
      </c>
      <c r="F241" t="inlineStr">
        <is>
          <t>Bearing Man Group</t>
        </is>
      </c>
      <c r="G241" s="1" t="n">
        <v>74.83</v>
      </c>
      <c r="H241" t="n">
        <v>0</v>
      </c>
      <c r="I241" t="n">
        <v>0.5</v>
      </c>
      <c r="J241" t="n">
        <v>1.5</v>
      </c>
      <c r="K241" t="n">
        <v>1</v>
      </c>
      <c r="L241" t="n">
        <v>0</v>
      </c>
      <c r="M241" t="n">
        <v>0</v>
      </c>
      <c r="N241" t="n">
        <v>4</v>
      </c>
      <c r="O241" s="1">
        <f>IFERROR(L241*G241,0)</f>
        <v/>
      </c>
      <c r="P241">
        <f>IF(N241-L241-M241&gt;0,N241-L241-M241,0)</f>
        <v/>
      </c>
      <c r="Q241" s="1">
        <f>IFERROR(P241*G241,0)</f>
        <v/>
      </c>
    </row>
    <row r="242">
      <c r="A242" t="inlineStr">
        <is>
          <t>1610X38MM</t>
        </is>
      </c>
      <c r="B242" t="inlineStr">
        <is>
          <t>TAPER LOCK BUSH METRIC 1610 38MM FENNER</t>
        </is>
      </c>
      <c r="C242" t="inlineStr"/>
      <c r="D242" t="n">
        <v>6</v>
      </c>
      <c r="E242" t="n">
        <v>3</v>
      </c>
      <c r="F242" t="inlineStr">
        <is>
          <t>Bearing Man Group</t>
        </is>
      </c>
      <c r="G242" s="1" t="n">
        <v>77.68000000000001</v>
      </c>
      <c r="H242" t="n">
        <v>0</v>
      </c>
      <c r="I242" t="n">
        <v>0.5</v>
      </c>
      <c r="J242" t="n">
        <v>1</v>
      </c>
      <c r="K242" t="n">
        <v>1</v>
      </c>
      <c r="L242" t="n">
        <v>0</v>
      </c>
      <c r="M242" t="n">
        <v>0</v>
      </c>
      <c r="N242" t="n">
        <v>2</v>
      </c>
      <c r="O242" s="1">
        <f>IFERROR(L242*G242,0)</f>
        <v/>
      </c>
      <c r="P242">
        <f>IF(N242-L242-M242&gt;0,N242-L242-M242,0)</f>
        <v/>
      </c>
      <c r="Q242" s="1">
        <f>IFERROR(P242*G242,0)</f>
        <v/>
      </c>
    </row>
    <row r="243">
      <c r="A243" t="inlineStr">
        <is>
          <t>16183</t>
        </is>
      </c>
      <c r="B243" t="inlineStr">
        <is>
          <t>CA 150 MD E RF</t>
        </is>
      </c>
      <c r="C243" t="inlineStr"/>
      <c r="D243" t="n">
        <v>1</v>
      </c>
      <c r="E243" t="n">
        <v>2</v>
      </c>
      <c r="F243" t="inlineStr">
        <is>
          <t>Vortice Elettrosociali SpA</t>
        </is>
      </c>
      <c r="G243" s="1" t="n">
        <v>3263.14</v>
      </c>
      <c r="H243" t="n">
        <v>0</v>
      </c>
      <c r="I243" t="n">
        <v>1.1</v>
      </c>
      <c r="J243" t="n">
        <v>2</v>
      </c>
      <c r="K243" t="n">
        <v>2</v>
      </c>
      <c r="L243" t="n">
        <v>0</v>
      </c>
      <c r="M243" t="n">
        <v>0</v>
      </c>
      <c r="N243" t="n">
        <v>6</v>
      </c>
      <c r="O243" s="1">
        <f>IFERROR(L243*G243,0)</f>
        <v/>
      </c>
      <c r="P243">
        <f>IF(N243-L243-M243&gt;0,N243-L243-M243,0)</f>
        <v/>
      </c>
      <c r="Q243" s="1">
        <f>IFERROR(P243*G243,0)</f>
        <v/>
      </c>
    </row>
    <row r="244">
      <c r="A244" t="inlineStr">
        <is>
          <t>16702</t>
        </is>
      </c>
      <c r="B244" t="inlineStr">
        <is>
          <t>PRA GLD FLP TTECH SWA D/COMP NO1 M20</t>
        </is>
      </c>
      <c r="C244" t="inlineStr"/>
      <c r="D244" t="n">
        <v>1</v>
      </c>
      <c r="E244" t="n">
        <v>4</v>
      </c>
      <c r="F244" t="inlineStr">
        <is>
          <t>Pratley (Pty) Ltd</t>
        </is>
      </c>
      <c r="G244" s="1" t="n">
        <v>247.02</v>
      </c>
      <c r="H244" t="n">
        <v>0</v>
      </c>
      <c r="I244" t="n">
        <v>0.5</v>
      </c>
      <c r="J244" t="n">
        <v>4</v>
      </c>
      <c r="K244" t="n">
        <v>2</v>
      </c>
      <c r="L244" t="n">
        <v>0</v>
      </c>
      <c r="M244" t="n">
        <v>0</v>
      </c>
      <c r="N244" t="n">
        <v>10</v>
      </c>
      <c r="O244" s="1">
        <f>IFERROR(L244*G244,0)</f>
        <v/>
      </c>
      <c r="P244">
        <f>IF(N244-L244-M244&gt;0,N244-L244-M244,0)</f>
        <v/>
      </c>
      <c r="Q244" s="1">
        <f>IFERROR(P244*G244,0)</f>
        <v/>
      </c>
    </row>
    <row r="245">
      <c r="A245" t="inlineStr">
        <is>
          <t>168-37</t>
        </is>
      </c>
      <c r="B245" t="inlineStr">
        <is>
          <t>FAS3212LF RIVET FA - 3.2MMX12MM POP RIVETS</t>
        </is>
      </c>
      <c r="C245" t="inlineStr"/>
      <c r="D245" t="n">
        <v>1</v>
      </c>
      <c r="E245" t="n">
        <v>4</v>
      </c>
      <c r="F245" t="inlineStr">
        <is>
          <t>Atlantic Lighting &amp; Electrical distributors</t>
        </is>
      </c>
      <c r="G245" s="1" t="n">
        <v>47.03</v>
      </c>
      <c r="H245" t="n">
        <v>0</v>
      </c>
      <c r="I245" t="n">
        <v>0.5</v>
      </c>
      <c r="J245" t="n">
        <v>4</v>
      </c>
      <c r="K245" t="n">
        <v>2</v>
      </c>
      <c r="L245" t="n">
        <v>0</v>
      </c>
      <c r="M245" t="n">
        <v>0</v>
      </c>
      <c r="N245" t="n">
        <v>10</v>
      </c>
      <c r="O245" s="1">
        <f>IFERROR(L245*G245,0)</f>
        <v/>
      </c>
      <c r="P245">
        <f>IF(N245-L245-M245&gt;0,N245-L245-M245,0)</f>
        <v/>
      </c>
      <c r="Q245" s="1">
        <f>IFERROR(P245*G245,0)</f>
        <v/>
      </c>
    </row>
    <row r="246">
      <c r="A246" t="inlineStr">
        <is>
          <t>17005</t>
        </is>
      </c>
      <c r="B246" t="inlineStr">
        <is>
          <t>LINEO 1000 VO</t>
        </is>
      </c>
      <c r="C246" t="inlineStr">
        <is>
          <t>FM - VORTICE</t>
        </is>
      </c>
      <c r="D246" t="n">
        <v>18</v>
      </c>
      <c r="E246" t="n">
        <v>0</v>
      </c>
      <c r="F246" t="inlineStr"/>
      <c r="G246" s="1" t="n">
        <v>0</v>
      </c>
      <c r="H246" t="n">
        <v>1</v>
      </c>
      <c r="I246" t="n">
        <v>0.5</v>
      </c>
      <c r="J246" t="n">
        <v>1</v>
      </c>
      <c r="K246" t="n">
        <v>1</v>
      </c>
      <c r="L246" t="n">
        <v>0</v>
      </c>
      <c r="M246" t="n">
        <v>0</v>
      </c>
      <c r="N246" t="n">
        <v>2</v>
      </c>
      <c r="O246" s="1">
        <f>IFERROR(L246*G246,0)</f>
        <v/>
      </c>
      <c r="P246">
        <f>IF(N246-L246-M246&gt;0,N246-L246-M246,0)</f>
        <v/>
      </c>
      <c r="Q246" s="1">
        <f>IFERROR(P246*G246,0)</f>
        <v/>
      </c>
    </row>
    <row r="247">
      <c r="A247" t="inlineStr">
        <is>
          <t>17021</t>
        </is>
      </c>
      <c r="B247" t="inlineStr">
        <is>
          <t>LINEO 100 TVO</t>
        </is>
      </c>
      <c r="C247" t="inlineStr">
        <is>
          <t>FM - VORTICE</t>
        </is>
      </c>
      <c r="D247" t="n">
        <v>17</v>
      </c>
      <c r="E247" t="n">
        <v>0</v>
      </c>
      <c r="F247" t="inlineStr"/>
      <c r="G247" s="1" t="n">
        <v>0</v>
      </c>
      <c r="H247" t="n">
        <v>4</v>
      </c>
      <c r="I247" t="n">
        <v>0.5</v>
      </c>
      <c r="J247" t="n">
        <v>1</v>
      </c>
      <c r="K247" t="n">
        <v>1</v>
      </c>
      <c r="L247" t="n">
        <v>0</v>
      </c>
      <c r="M247" t="n">
        <v>0</v>
      </c>
      <c r="N247" t="n">
        <v>2</v>
      </c>
      <c r="O247" s="1">
        <f>IFERROR(L247*G247,0)</f>
        <v/>
      </c>
      <c r="P247">
        <f>IF(N247-L247-M247&gt;0,N247-L247-M247,0)</f>
        <v/>
      </c>
      <c r="Q247" s="1">
        <f>IFERROR(P247*G247,0)</f>
        <v/>
      </c>
    </row>
    <row r="248">
      <c r="A248" t="inlineStr">
        <is>
          <t>17143</t>
        </is>
      </c>
      <c r="B248" t="inlineStr">
        <is>
          <t>LINEO 100 Q</t>
        </is>
      </c>
      <c r="C248" t="inlineStr">
        <is>
          <t>FM - VORTICE</t>
        </is>
      </c>
      <c r="D248" t="n">
        <v>11</v>
      </c>
      <c r="E248" t="n">
        <v>0</v>
      </c>
      <c r="F248" t="inlineStr"/>
      <c r="G248" s="1" t="n">
        <v>0</v>
      </c>
      <c r="H248" t="n">
        <v>4</v>
      </c>
      <c r="I248" t="n">
        <v>0.5</v>
      </c>
      <c r="J248" t="n">
        <v>1</v>
      </c>
      <c r="K248" t="n">
        <v>1</v>
      </c>
      <c r="L248" t="n">
        <v>0</v>
      </c>
      <c r="M248" t="n">
        <v>0</v>
      </c>
      <c r="N248" t="n">
        <v>2</v>
      </c>
      <c r="O248" s="1">
        <f>IFERROR(L248*G248,0)</f>
        <v/>
      </c>
      <c r="P248">
        <f>IF(N248-L248-M248&gt;0,N248-L248-M248,0)</f>
        <v/>
      </c>
      <c r="Q248" s="1">
        <f>IFERROR(P248*G248,0)</f>
        <v/>
      </c>
    </row>
    <row r="249">
      <c r="A249" t="inlineStr">
        <is>
          <t>17144</t>
        </is>
      </c>
      <c r="B249" t="inlineStr">
        <is>
          <t>LINEO 100</t>
        </is>
      </c>
      <c r="C249" t="inlineStr">
        <is>
          <t>FM - VORTICE</t>
        </is>
      </c>
      <c r="D249" t="n">
        <v>10</v>
      </c>
      <c r="E249" t="n">
        <v>0</v>
      </c>
      <c r="F249" t="inlineStr"/>
      <c r="G249" s="1" t="n">
        <v>0</v>
      </c>
      <c r="H249" t="n">
        <v>13</v>
      </c>
      <c r="I249" t="n">
        <v>0.5</v>
      </c>
      <c r="J249" t="n">
        <v>1.5</v>
      </c>
      <c r="K249" t="n">
        <v>1</v>
      </c>
      <c r="L249" t="n">
        <v>0</v>
      </c>
      <c r="M249" t="n">
        <v>0</v>
      </c>
      <c r="N249" t="n">
        <v>4</v>
      </c>
      <c r="O249" s="1">
        <f>IFERROR(L249*G249,0)</f>
        <v/>
      </c>
      <c r="P249">
        <f>IF(N249-L249-M249&gt;0,N249-L249-M249,0)</f>
        <v/>
      </c>
      <c r="Q249" s="1">
        <f>IFERROR(P249*G249,0)</f>
        <v/>
      </c>
    </row>
    <row r="250">
      <c r="A250" t="inlineStr">
        <is>
          <t>17145</t>
        </is>
      </c>
      <c r="B250" t="inlineStr">
        <is>
          <t>LINEO 125</t>
        </is>
      </c>
      <c r="C250" t="inlineStr">
        <is>
          <t>FM - VORTICE</t>
        </is>
      </c>
      <c r="D250" t="n">
        <v>25</v>
      </c>
      <c r="E250" t="n">
        <v>10</v>
      </c>
      <c r="F250" t="inlineStr">
        <is>
          <t>Vortice Elettrosociali SpA</t>
        </is>
      </c>
      <c r="G250" s="1" t="n">
        <v>1177.92</v>
      </c>
      <c r="H250" t="n">
        <v>14</v>
      </c>
      <c r="I250" t="n">
        <v>1.2</v>
      </c>
      <c r="J250" t="n">
        <v>1</v>
      </c>
      <c r="K250" t="n">
        <v>1</v>
      </c>
      <c r="L250" t="n">
        <v>0</v>
      </c>
      <c r="M250" t="n">
        <v>0</v>
      </c>
      <c r="N250" t="n">
        <v>3</v>
      </c>
      <c r="O250" s="1">
        <f>IFERROR(L250*G250,0)</f>
        <v/>
      </c>
      <c r="P250">
        <f>IF(N250-L250-M250&gt;0,N250-L250-M250,0)</f>
        <v/>
      </c>
      <c r="Q250" s="1">
        <f>IFERROR(P250*G250,0)</f>
        <v/>
      </c>
    </row>
    <row r="251">
      <c r="A251" t="inlineStr">
        <is>
          <t>17146</t>
        </is>
      </c>
      <c r="B251" t="inlineStr">
        <is>
          <t>LINEO 150</t>
        </is>
      </c>
      <c r="C251" t="inlineStr">
        <is>
          <t>FM - VORTICE</t>
        </is>
      </c>
      <c r="D251" t="n">
        <v>35</v>
      </c>
      <c r="E251" t="n">
        <v>8</v>
      </c>
      <c r="F251" t="inlineStr">
        <is>
          <t>Vortice Elettrosociali SpA</t>
        </is>
      </c>
      <c r="G251" s="1" t="n">
        <v>1329.45</v>
      </c>
      <c r="H251" t="n">
        <v>73</v>
      </c>
      <c r="I251" t="n">
        <v>1</v>
      </c>
      <c r="J251" t="n">
        <v>2.5</v>
      </c>
      <c r="K251" t="n">
        <v>2</v>
      </c>
      <c r="L251" t="n">
        <v>0</v>
      </c>
      <c r="M251" t="n">
        <v>0</v>
      </c>
      <c r="N251" t="n">
        <v>7</v>
      </c>
      <c r="O251" s="1">
        <f>IFERROR(L251*G251,0)</f>
        <v/>
      </c>
      <c r="P251">
        <f>IF(N251-L251-M251&gt;0,N251-L251-M251,0)</f>
        <v/>
      </c>
      <c r="Q251" s="1">
        <f>IFERROR(P251*G251,0)</f>
        <v/>
      </c>
    </row>
    <row r="252">
      <c r="A252" t="inlineStr">
        <is>
          <t>17148</t>
        </is>
      </c>
      <c r="B252" t="inlineStr">
        <is>
          <t>LINEO 200 Q</t>
        </is>
      </c>
      <c r="C252" t="inlineStr">
        <is>
          <t>FM - VORTICE</t>
        </is>
      </c>
      <c r="D252" t="n">
        <v>1</v>
      </c>
      <c r="E252" t="n">
        <v>8</v>
      </c>
      <c r="F252" t="inlineStr">
        <is>
          <t>Vortice Elettrosociali SpA</t>
        </is>
      </c>
      <c r="G252" s="1" t="n">
        <v>1397.64</v>
      </c>
      <c r="H252" t="n">
        <v>4</v>
      </c>
      <c r="I252" t="n">
        <v>1.4</v>
      </c>
      <c r="J252" t="n">
        <v>8</v>
      </c>
      <c r="K252" t="n">
        <v>11</v>
      </c>
      <c r="L252" t="n">
        <v>0</v>
      </c>
      <c r="M252" t="n">
        <v>0</v>
      </c>
      <c r="N252" t="n">
        <v>27</v>
      </c>
      <c r="O252" s="1">
        <f>IFERROR(L252*G252,0)</f>
        <v/>
      </c>
      <c r="P252">
        <f>IF(N252-L252-M252&gt;0,N252-L252-M252,0)</f>
        <v/>
      </c>
      <c r="Q252" s="1">
        <f>IFERROR(P252*G252,0)</f>
        <v/>
      </c>
    </row>
    <row r="253">
      <c r="A253" t="inlineStr">
        <is>
          <t>17160</t>
        </is>
      </c>
      <c r="B253" t="inlineStr">
        <is>
          <t>LINEO 100 QUIET</t>
        </is>
      </c>
      <c r="C253" t="inlineStr">
        <is>
          <t>FM - VORTICE</t>
        </is>
      </c>
      <c r="D253" t="n">
        <v>30</v>
      </c>
      <c r="E253" t="n">
        <v>8</v>
      </c>
      <c r="F253" t="inlineStr">
        <is>
          <t>Vortice Elettrosociali SpA</t>
        </is>
      </c>
      <c r="G253" s="1" t="n">
        <v>442.78</v>
      </c>
      <c r="H253" t="n">
        <v>11</v>
      </c>
      <c r="I253" t="n">
        <v>1.1</v>
      </c>
      <c r="J253" t="n">
        <v>1</v>
      </c>
      <c r="K253" t="n">
        <v>1</v>
      </c>
      <c r="L253" t="n">
        <v>0</v>
      </c>
      <c r="M253" t="n">
        <v>0</v>
      </c>
      <c r="N253" t="n">
        <v>3</v>
      </c>
      <c r="O253" s="1">
        <f>IFERROR(L253*G253,0)</f>
        <v/>
      </c>
      <c r="P253">
        <f>IF(N253-L253-M253&gt;0,N253-L253-M253,0)</f>
        <v/>
      </c>
      <c r="Q253" s="1">
        <f>IFERROR(P253*G253,0)</f>
        <v/>
      </c>
    </row>
    <row r="254">
      <c r="A254" t="inlineStr">
        <is>
          <t>17161</t>
        </is>
      </c>
      <c r="B254" t="inlineStr">
        <is>
          <t>LINEO 125 QUIET</t>
        </is>
      </c>
      <c r="C254" t="inlineStr">
        <is>
          <t>FM - VORTICE</t>
        </is>
      </c>
      <c r="D254" t="n">
        <v>20</v>
      </c>
      <c r="E254" t="n">
        <v>30</v>
      </c>
      <c r="F254" t="inlineStr">
        <is>
          <t>Vortice Elettrosociali SpA</t>
        </is>
      </c>
      <c r="G254" s="1" t="n">
        <v>1513.62</v>
      </c>
      <c r="H254" t="n">
        <v>15</v>
      </c>
      <c r="I254" t="n">
        <v>1.2</v>
      </c>
      <c r="J254" t="n">
        <v>1.5</v>
      </c>
      <c r="K254" t="n">
        <v>2</v>
      </c>
      <c r="L254" t="n">
        <v>0</v>
      </c>
      <c r="M254" t="n">
        <v>0</v>
      </c>
      <c r="N254" t="n">
        <v>5</v>
      </c>
      <c r="O254" s="1">
        <f>IFERROR(L254*G254,0)</f>
        <v/>
      </c>
      <c r="P254">
        <f>IF(N254-L254-M254&gt;0,N254-L254-M254,0)</f>
        <v/>
      </c>
      <c r="Q254" s="1">
        <f>IFERROR(P254*G254,0)</f>
        <v/>
      </c>
    </row>
    <row r="255">
      <c r="A255" t="inlineStr">
        <is>
          <t>17162</t>
        </is>
      </c>
      <c r="B255" t="inlineStr">
        <is>
          <t>LINEO 150 QUIET</t>
        </is>
      </c>
      <c r="C255" t="inlineStr">
        <is>
          <t>FM - VORTICE</t>
        </is>
      </c>
      <c r="D255" t="n">
        <v>45</v>
      </c>
      <c r="E255" t="n">
        <v>103</v>
      </c>
      <c r="F255" t="inlineStr">
        <is>
          <t>Vortice Elettrosociali SpA</t>
        </is>
      </c>
      <c r="G255" s="1" t="n">
        <v>1762.95</v>
      </c>
      <c r="H255" t="n">
        <v>87</v>
      </c>
      <c r="I255" t="n">
        <v>1</v>
      </c>
      <c r="J255" t="n">
        <v>2.5</v>
      </c>
      <c r="K255" t="n">
        <v>2</v>
      </c>
      <c r="L255" t="n">
        <v>0</v>
      </c>
      <c r="M255" t="n">
        <v>0</v>
      </c>
      <c r="N255" t="n">
        <v>7</v>
      </c>
      <c r="O255" s="1">
        <f>IFERROR(L255*G255,0)</f>
        <v/>
      </c>
      <c r="P255">
        <f>IF(N255-L255-M255&gt;0,N255-L255-M255,0)</f>
        <v/>
      </c>
      <c r="Q255" s="1">
        <f>IFERROR(P255*G255,0)</f>
        <v/>
      </c>
    </row>
    <row r="256">
      <c r="A256" t="inlineStr">
        <is>
          <t>17164</t>
        </is>
      </c>
      <c r="B256" t="inlineStr">
        <is>
          <t>LINEO 200 QUIET</t>
        </is>
      </c>
      <c r="C256" t="inlineStr">
        <is>
          <t>FM - VORTICE</t>
        </is>
      </c>
      <c r="D256" t="n">
        <v>46</v>
      </c>
      <c r="E256" t="n">
        <v>96</v>
      </c>
      <c r="F256" t="inlineStr">
        <is>
          <t>Vortice Elettrosociali SpA</t>
        </is>
      </c>
      <c r="G256" s="1" t="n">
        <v>2488.4</v>
      </c>
      <c r="H256" t="n">
        <v>97</v>
      </c>
      <c r="I256" t="n">
        <v>1</v>
      </c>
      <c r="J256" t="n">
        <v>2.5</v>
      </c>
      <c r="K256" t="n">
        <v>2</v>
      </c>
      <c r="L256" t="n">
        <v>0</v>
      </c>
      <c r="M256" t="n">
        <v>0</v>
      </c>
      <c r="N256" t="n">
        <v>7</v>
      </c>
      <c r="O256" s="1">
        <f>IFERROR(L256*G256,0)</f>
        <v/>
      </c>
      <c r="P256">
        <f>IF(N256-L256-M256&gt;0,N256-L256-M256,0)</f>
        <v/>
      </c>
      <c r="Q256" s="1">
        <f>IFERROR(P256*G256,0)</f>
        <v/>
      </c>
    </row>
    <row r="257">
      <c r="A257" t="inlineStr">
        <is>
          <t>17165</t>
        </is>
      </c>
      <c r="B257" t="inlineStr">
        <is>
          <t>LINEO 250 QUIET</t>
        </is>
      </c>
      <c r="C257" t="inlineStr">
        <is>
          <t>FM - VORTICE</t>
        </is>
      </c>
      <c r="D257" t="n">
        <v>45</v>
      </c>
      <c r="E257" t="n">
        <v>128</v>
      </c>
      <c r="F257" t="inlineStr">
        <is>
          <t>Vortice Elettrosociali SpA</t>
        </is>
      </c>
      <c r="G257" s="1" t="n">
        <v>5043.15</v>
      </c>
      <c r="H257" t="n">
        <v>128</v>
      </c>
      <c r="I257" t="n">
        <v>0.7</v>
      </c>
      <c r="J257" t="n">
        <v>3</v>
      </c>
      <c r="K257" t="n">
        <v>2</v>
      </c>
      <c r="L257" t="n">
        <v>0</v>
      </c>
      <c r="M257" t="n">
        <v>0</v>
      </c>
      <c r="N257" t="n">
        <v>8</v>
      </c>
      <c r="O257" s="1">
        <f>IFERROR(L257*G257,0)</f>
        <v/>
      </c>
      <c r="P257">
        <f>IF(N257-L257-M257&gt;0,N257-L257-M257,0)</f>
        <v/>
      </c>
      <c r="Q257" s="1">
        <f>IFERROR(P257*G257,0)</f>
        <v/>
      </c>
    </row>
    <row r="258">
      <c r="A258" t="inlineStr">
        <is>
          <t>17166</t>
        </is>
      </c>
      <c r="B258" t="inlineStr">
        <is>
          <t>LINEO 315 QUIET</t>
        </is>
      </c>
      <c r="C258" t="inlineStr">
        <is>
          <t>FM - VORTICE</t>
        </is>
      </c>
      <c r="D258" t="n">
        <v>45</v>
      </c>
      <c r="E258" t="n">
        <v>71</v>
      </c>
      <c r="F258" t="inlineStr">
        <is>
          <t>Vortice Elettrosociali SpA</t>
        </is>
      </c>
      <c r="G258" s="1" t="n">
        <v>6627.02</v>
      </c>
      <c r="H258" t="n">
        <v>69</v>
      </c>
      <c r="I258" t="n">
        <v>0.6</v>
      </c>
      <c r="J258" t="n">
        <v>2</v>
      </c>
      <c r="K258" t="n">
        <v>1</v>
      </c>
      <c r="L258" t="n">
        <v>0</v>
      </c>
      <c r="M258" t="n">
        <v>0</v>
      </c>
      <c r="N258" t="n">
        <v>5</v>
      </c>
      <c r="O258" s="1">
        <f>IFERROR(L258*G258,0)</f>
        <v/>
      </c>
      <c r="P258">
        <f>IF(N258-L258-M258&gt;0,N258-L258-M258,0)</f>
        <v/>
      </c>
      <c r="Q258" s="1">
        <f>IFERROR(P258*G258,0)</f>
        <v/>
      </c>
    </row>
    <row r="259">
      <c r="A259" t="inlineStr">
        <is>
          <t>17180</t>
        </is>
      </c>
      <c r="B259" t="inlineStr">
        <is>
          <t>LINEO 200</t>
        </is>
      </c>
      <c r="C259" t="inlineStr">
        <is>
          <t>FM - VORTICE</t>
        </is>
      </c>
      <c r="D259" t="n">
        <v>33</v>
      </c>
      <c r="E259" t="n">
        <v>38</v>
      </c>
      <c r="F259" t="inlineStr">
        <is>
          <t>Vortice Elettrosociali SpA</t>
        </is>
      </c>
      <c r="G259" s="1" t="n">
        <v>1644.45</v>
      </c>
      <c r="H259" t="n">
        <v>51</v>
      </c>
      <c r="I259" t="n">
        <v>1</v>
      </c>
      <c r="J259" t="n">
        <v>2</v>
      </c>
      <c r="K259" t="n">
        <v>2</v>
      </c>
      <c r="L259" t="n">
        <v>0</v>
      </c>
      <c r="M259" t="n">
        <v>0</v>
      </c>
      <c r="N259" t="n">
        <v>6</v>
      </c>
      <c r="O259" s="1">
        <f>IFERROR(L259*G259,0)</f>
        <v/>
      </c>
      <c r="P259">
        <f>IF(N259-L259-M259&gt;0,N259-L259-M259,0)</f>
        <v/>
      </c>
      <c r="Q259" s="1">
        <f>IFERROR(P259*G259,0)</f>
        <v/>
      </c>
    </row>
    <row r="260">
      <c r="A260" t="inlineStr">
        <is>
          <t>17181</t>
        </is>
      </c>
      <c r="B260" t="inlineStr">
        <is>
          <t>LINEO 250</t>
        </is>
      </c>
      <c r="C260" t="inlineStr">
        <is>
          <t>FM - VORTICE</t>
        </is>
      </c>
      <c r="D260" t="n">
        <v>33</v>
      </c>
      <c r="E260" t="n">
        <v>30</v>
      </c>
      <c r="F260" t="inlineStr">
        <is>
          <t>Vortice Elettrosociali SpA</t>
        </is>
      </c>
      <c r="G260" s="1" t="n">
        <v>2207.34</v>
      </c>
      <c r="H260" t="n">
        <v>31</v>
      </c>
      <c r="I260" t="n">
        <v>0.5</v>
      </c>
      <c r="J260" t="n">
        <v>1</v>
      </c>
      <c r="K260" t="n">
        <v>1</v>
      </c>
      <c r="L260" t="n">
        <v>0</v>
      </c>
      <c r="M260" t="n">
        <v>0</v>
      </c>
      <c r="N260" t="n">
        <v>2</v>
      </c>
      <c r="O260" s="1">
        <f>IFERROR(L260*G260,0)</f>
        <v/>
      </c>
      <c r="P260">
        <f>IF(N260-L260-M260&gt;0,N260-L260-M260,0)</f>
        <v/>
      </c>
      <c r="Q260" s="1">
        <f>IFERROR(P260*G260,0)</f>
        <v/>
      </c>
    </row>
    <row r="261">
      <c r="A261" t="inlineStr">
        <is>
          <t>17182</t>
        </is>
      </c>
      <c r="B261" t="inlineStr">
        <is>
          <t>LINEO 315</t>
        </is>
      </c>
      <c r="C261" t="inlineStr">
        <is>
          <t>FM - VORTICE</t>
        </is>
      </c>
      <c r="D261" t="n">
        <v>33</v>
      </c>
      <c r="E261" t="n">
        <v>72</v>
      </c>
      <c r="F261" t="inlineStr">
        <is>
          <t>Vortice Elettrosociali SpA</t>
        </is>
      </c>
      <c r="G261" s="1" t="n">
        <v>3058.29</v>
      </c>
      <c r="H261" t="n">
        <v>101</v>
      </c>
      <c r="I261" t="n">
        <v>0.9</v>
      </c>
      <c r="J261" t="n">
        <v>3.5</v>
      </c>
      <c r="K261" t="n">
        <v>3</v>
      </c>
      <c r="L261" t="n">
        <v>0</v>
      </c>
      <c r="M261" t="n">
        <v>0</v>
      </c>
      <c r="N261" t="n">
        <v>10</v>
      </c>
      <c r="O261" s="1">
        <f>IFERROR(L261*G261,0)</f>
        <v/>
      </c>
      <c r="P261">
        <f>IF(N261-L261-M261&gt;0,N261-L261-M261,0)</f>
        <v/>
      </c>
      <c r="Q261" s="1">
        <f>IFERROR(P261*G261,0)</f>
        <v/>
      </c>
    </row>
    <row r="262">
      <c r="A262" t="inlineStr">
        <is>
          <t>17185</t>
        </is>
      </c>
      <c r="B262" t="inlineStr">
        <is>
          <t>LINEO 100 T</t>
        </is>
      </c>
      <c r="C262" t="inlineStr">
        <is>
          <t>FM - VORTICE</t>
        </is>
      </c>
      <c r="D262" t="n">
        <v>1</v>
      </c>
      <c r="E262" t="n">
        <v>0</v>
      </c>
      <c r="F262" t="inlineStr"/>
      <c r="G262" s="1" t="n">
        <v>0</v>
      </c>
      <c r="H262" t="n">
        <v>4</v>
      </c>
      <c r="I262" t="n">
        <v>0.5</v>
      </c>
      <c r="J262" t="n">
        <v>4</v>
      </c>
      <c r="K262" t="n">
        <v>2</v>
      </c>
      <c r="L262" t="n">
        <v>0</v>
      </c>
      <c r="M262" t="n">
        <v>0</v>
      </c>
      <c r="N262" t="n">
        <v>10</v>
      </c>
      <c r="O262" s="1">
        <f>IFERROR(L262*G262,0)</f>
        <v/>
      </c>
      <c r="P262">
        <f>IF(N262-L262-M262&gt;0,N262-L262-M262,0)</f>
        <v/>
      </c>
      <c r="Q262" s="1">
        <f>IFERROR(P262*G262,0)</f>
        <v/>
      </c>
    </row>
    <row r="263">
      <c r="A263" t="inlineStr">
        <is>
          <t>18.5KW 4P 380V IP55 300 C/2HR</t>
        </is>
      </c>
      <c r="B263" t="inlineStr">
        <is>
          <t>WEG SMOKEX PAD W22 MOTOR</t>
        </is>
      </c>
      <c r="C263" t="inlineStr"/>
      <c r="D263" t="n">
        <v>1</v>
      </c>
      <c r="E263" t="n">
        <v>1</v>
      </c>
      <c r="F263" t="inlineStr">
        <is>
          <t>WEG South Africa</t>
        </is>
      </c>
      <c r="G263" s="1" t="n">
        <v>26234</v>
      </c>
      <c r="H263" t="n">
        <v>0</v>
      </c>
      <c r="I263" t="n">
        <v>0.5</v>
      </c>
      <c r="J263" t="n">
        <v>1</v>
      </c>
      <c r="K263" t="n">
        <v>1</v>
      </c>
      <c r="L263" t="n">
        <v>0</v>
      </c>
      <c r="M263" t="n">
        <v>0</v>
      </c>
      <c r="N263" t="n">
        <v>2</v>
      </c>
      <c r="O263" s="1">
        <f>IFERROR(L263*G263,0)</f>
        <v/>
      </c>
      <c r="P263">
        <f>IF(N263-L263-M263&gt;0,N263-L263-M263,0)</f>
        <v/>
      </c>
      <c r="Q263" s="1">
        <f>IFERROR(P263*G263,0)</f>
        <v/>
      </c>
    </row>
    <row r="264">
      <c r="A264" t="inlineStr">
        <is>
          <t>1813521</t>
        </is>
      </c>
      <c r="B264" t="inlineStr">
        <is>
          <t>AT 18/13 SC - Single Unit</t>
        </is>
      </c>
      <c r="C264" t="inlineStr">
        <is>
          <t>FM - NICOTRA</t>
        </is>
      </c>
      <c r="D264" t="n">
        <v>1</v>
      </c>
      <c r="E264" t="n">
        <v>1</v>
      </c>
      <c r="F264" t="inlineStr">
        <is>
          <t>Regal Beloit Italy S.p.A - Nicotra .</t>
        </is>
      </c>
      <c r="G264" s="1" t="n">
        <v>2705.32</v>
      </c>
      <c r="H264" t="n">
        <v>0</v>
      </c>
      <c r="I264" t="n">
        <v>0.5</v>
      </c>
      <c r="J264" t="n">
        <v>1</v>
      </c>
      <c r="K264" t="n">
        <v>1</v>
      </c>
      <c r="L264" t="n">
        <v>0</v>
      </c>
      <c r="M264" t="n">
        <v>0</v>
      </c>
      <c r="N264" t="n">
        <v>2</v>
      </c>
      <c r="O264" s="1">
        <f>IFERROR(L264*G264,0)</f>
        <v/>
      </c>
      <c r="P264">
        <f>IF(N264-L264-M264&gt;0,N264-L264-M264,0)</f>
        <v/>
      </c>
      <c r="Q264" s="1">
        <f>IFERROR(P264*G264,0)</f>
        <v/>
      </c>
    </row>
    <row r="265">
      <c r="A265" t="inlineStr">
        <is>
          <t>1818521</t>
        </is>
      </c>
      <c r="B265" t="inlineStr">
        <is>
          <t>AT 18/18 SC - Single Unit</t>
        </is>
      </c>
      <c r="C265" t="inlineStr">
        <is>
          <t>FM - NICOTRA</t>
        </is>
      </c>
      <c r="D265" t="n">
        <v>32</v>
      </c>
      <c r="E265" t="n">
        <v>11</v>
      </c>
      <c r="F265" t="inlineStr">
        <is>
          <t>Apache Manufacturing CC</t>
        </is>
      </c>
      <c r="G265" s="1" t="n">
        <v>4085.58</v>
      </c>
      <c r="H265" t="n">
        <v>29</v>
      </c>
      <c r="I265" t="n">
        <v>0.5</v>
      </c>
      <c r="J265" t="n">
        <v>1</v>
      </c>
      <c r="K265" t="n">
        <v>1</v>
      </c>
      <c r="L265" t="n">
        <v>0</v>
      </c>
      <c r="M265" t="n">
        <v>0</v>
      </c>
      <c r="N265" t="n">
        <v>2</v>
      </c>
      <c r="O265" s="1">
        <f>IFERROR(L265*G265,0)</f>
        <v/>
      </c>
      <c r="P265">
        <f>IF(N265-L265-M265&gt;0,N265-L265-M265,0)</f>
        <v/>
      </c>
      <c r="Q265" s="1">
        <f>IFERROR(P265*G265,0)</f>
        <v/>
      </c>
    </row>
    <row r="266">
      <c r="A266" t="inlineStr">
        <is>
          <t>1818522</t>
        </is>
      </c>
      <c r="B266" t="inlineStr">
        <is>
          <t>AT 18/18 SC2 - Double Unit</t>
        </is>
      </c>
      <c r="C266" t="inlineStr">
        <is>
          <t>FM - NICOTRA</t>
        </is>
      </c>
      <c r="D266" t="n">
        <v>1</v>
      </c>
      <c r="E266" t="n">
        <v>0</v>
      </c>
      <c r="F266" t="inlineStr"/>
      <c r="G266" s="1" t="n">
        <v>0</v>
      </c>
      <c r="H266" t="n">
        <v>1</v>
      </c>
      <c r="I266" t="n">
        <v>0.5</v>
      </c>
      <c r="J266" t="n">
        <v>1</v>
      </c>
      <c r="K266" t="n">
        <v>1</v>
      </c>
      <c r="L266" t="n">
        <v>0</v>
      </c>
      <c r="M266" t="n">
        <v>0</v>
      </c>
      <c r="N266" t="n">
        <v>2</v>
      </c>
      <c r="O266" s="1">
        <f>IFERROR(L266*G266,0)</f>
        <v/>
      </c>
      <c r="P266">
        <f>IF(N266-L266-M266&gt;0,N266-L266-M266,0)</f>
        <v/>
      </c>
      <c r="Q266" s="1">
        <f>IFERROR(P266*G266,0)</f>
        <v/>
      </c>
    </row>
    <row r="267">
      <c r="A267" t="inlineStr">
        <is>
          <t>18INLET-CONE</t>
        </is>
      </c>
      <c r="B267" t="inlineStr">
        <is>
          <t>18 Inch Inlet Cone</t>
        </is>
      </c>
      <c r="C267" t="inlineStr"/>
      <c r="D267" t="n">
        <v>1</v>
      </c>
      <c r="E267" t="n">
        <v>1</v>
      </c>
      <c r="F267" t="inlineStr">
        <is>
          <t>Centrifab (Pty) Ltd</t>
        </is>
      </c>
      <c r="G267" s="1" t="n">
        <v>630</v>
      </c>
      <c r="H267" t="n">
        <v>0</v>
      </c>
      <c r="I267" t="n">
        <v>0.5</v>
      </c>
      <c r="J267" t="n">
        <v>1</v>
      </c>
      <c r="K267" t="n">
        <v>1</v>
      </c>
      <c r="L267" t="n">
        <v>0</v>
      </c>
      <c r="M267" t="n">
        <v>0</v>
      </c>
      <c r="N267" t="n">
        <v>2</v>
      </c>
      <c r="O267" s="1">
        <f>IFERROR(L267*G267,0)</f>
        <v/>
      </c>
      <c r="P267">
        <f>IF(N267-L267-M267&gt;0,N267-L267-M267,0)</f>
        <v/>
      </c>
      <c r="Q267" s="1">
        <f>IFERROR(P267*G267,0)</f>
        <v/>
      </c>
    </row>
    <row r="268">
      <c r="A268" t="inlineStr">
        <is>
          <t>1920</t>
        </is>
      </c>
      <c r="B268" t="inlineStr">
        <is>
          <t>RENTAL MONTHLY</t>
        </is>
      </c>
      <c r="C268" t="inlineStr"/>
      <c r="D268" t="n">
        <v>1</v>
      </c>
      <c r="E268" t="n">
        <v>6</v>
      </c>
      <c r="F268" t="inlineStr">
        <is>
          <t>INTROWELD CC</t>
        </is>
      </c>
      <c r="G268" s="1" t="n">
        <v>208.69</v>
      </c>
      <c r="H268" t="n">
        <v>0</v>
      </c>
      <c r="I268" t="n">
        <v>0.5</v>
      </c>
      <c r="J268" t="n">
        <v>6</v>
      </c>
      <c r="K268" t="n">
        <v>3</v>
      </c>
      <c r="L268" t="n">
        <v>0</v>
      </c>
      <c r="M268" t="n">
        <v>0</v>
      </c>
      <c r="N268" t="n">
        <v>15</v>
      </c>
      <c r="O268" s="1">
        <f>IFERROR(L268*G268,0)</f>
        <v/>
      </c>
      <c r="P268">
        <f>IF(N268-L268-M268&gt;0,N268-L268-M268,0)</f>
        <v/>
      </c>
      <c r="Q268" s="1">
        <f>IFERROR(P268*G268,0)</f>
        <v/>
      </c>
    </row>
    <row r="269">
      <c r="A269" t="inlineStr">
        <is>
          <t>194832</t>
        </is>
      </c>
      <c r="B269" t="inlineStr">
        <is>
          <t>M10 FLAT WASHER DIN 125A ZINC BLUE (10 .5i/dx20o/dX2thk)</t>
        </is>
      </c>
      <c r="C269" t="inlineStr"/>
      <c r="D269" t="n">
        <v>3</v>
      </c>
      <c r="E269" t="n">
        <v>260</v>
      </c>
      <c r="F269" t="inlineStr">
        <is>
          <t>M&amp;D SPECIALISED FASTENERS (PTY) LTD</t>
        </is>
      </c>
      <c r="G269" s="1" t="n">
        <v>0.2</v>
      </c>
      <c r="H269" t="n">
        <v>0</v>
      </c>
      <c r="I269" t="n">
        <v>0.5</v>
      </c>
      <c r="J269" t="n">
        <v>87</v>
      </c>
      <c r="K269" t="n">
        <v>44</v>
      </c>
      <c r="L269" t="n">
        <v>0</v>
      </c>
      <c r="M269" t="n">
        <v>0</v>
      </c>
      <c r="N269" t="n">
        <v>218</v>
      </c>
      <c r="O269" s="1">
        <f>IFERROR(L269*G269,0)</f>
        <v/>
      </c>
      <c r="P269">
        <f>IF(N269-L269-M269&gt;0,N269-L269-M269,0)</f>
        <v/>
      </c>
      <c r="Q269" s="1">
        <f>IFERROR(P269*G269,0)</f>
        <v/>
      </c>
    </row>
    <row r="270">
      <c r="A270" t="inlineStr">
        <is>
          <t>194843</t>
        </is>
      </c>
      <c r="B270" t="inlineStr">
        <is>
          <t>M12 FLAT WASHER DIN 125A ZINC BLUE (13i/d x 24o/d x 2 .5 thk)</t>
        </is>
      </c>
      <c r="C270" t="inlineStr"/>
      <c r="D270" t="n">
        <v>3</v>
      </c>
      <c r="E270" t="n">
        <v>932</v>
      </c>
      <c r="F270" t="inlineStr">
        <is>
          <t>M&amp;D SPECIALISED FASTENERS (PTY) LTD</t>
        </is>
      </c>
      <c r="G270" s="1" t="n">
        <v>0.4</v>
      </c>
      <c r="H270" t="n">
        <v>0</v>
      </c>
      <c r="I270" t="n">
        <v>0.5</v>
      </c>
      <c r="J270" t="n">
        <v>311</v>
      </c>
      <c r="K270" t="n">
        <v>156</v>
      </c>
      <c r="L270" t="n">
        <v>0</v>
      </c>
      <c r="M270" t="n">
        <v>0</v>
      </c>
      <c r="N270" t="n">
        <v>778</v>
      </c>
      <c r="O270" s="1">
        <f>IFERROR(L270*G270,0)</f>
        <v/>
      </c>
      <c r="P270">
        <f>IF(N270-L270-M270&gt;0,N270-L270-M270,0)</f>
        <v/>
      </c>
      <c r="Q270" s="1">
        <f>IFERROR(P270*G270,0)</f>
        <v/>
      </c>
    </row>
    <row r="271">
      <c r="A271" t="inlineStr">
        <is>
          <t>194856</t>
        </is>
      </c>
      <c r="B271" t="inlineStr">
        <is>
          <t>M16 FLAT WASHER DIN 125A ZINC BLUE (17i/d x 30o/d X 3thk)</t>
        </is>
      </c>
      <c r="C271" t="inlineStr"/>
      <c r="D271" t="n">
        <v>1</v>
      </c>
      <c r="E271" t="n">
        <v>800</v>
      </c>
      <c r="F271" t="inlineStr">
        <is>
          <t>M&amp;D SPECIALISED FASTENERS (PTY) LTD</t>
        </is>
      </c>
      <c r="G271" s="1" t="n">
        <v>0.8</v>
      </c>
      <c r="H271" t="n">
        <v>0</v>
      </c>
      <c r="I271" t="n">
        <v>0.5</v>
      </c>
      <c r="J271" t="n">
        <v>800</v>
      </c>
      <c r="K271" t="n">
        <v>400</v>
      </c>
      <c r="L271" t="n">
        <v>0</v>
      </c>
      <c r="M271" t="n">
        <v>0</v>
      </c>
      <c r="N271" t="n">
        <v>2000</v>
      </c>
      <c r="O271" s="1">
        <f>IFERROR(L271*G271,0)</f>
        <v/>
      </c>
      <c r="P271">
        <f>IF(N271-L271-M271&gt;0,N271-L271-M271,0)</f>
        <v/>
      </c>
      <c r="Q271" s="1">
        <f>IFERROR(P271*G271,0)</f>
        <v/>
      </c>
    </row>
    <row r="272">
      <c r="A272" t="inlineStr">
        <is>
          <t>194916</t>
        </is>
      </c>
      <c r="B272" t="inlineStr">
        <is>
          <t>M6 (6.4 X12X1.6) FLAT WASHER DIN 125A ZINC BLUE</t>
        </is>
      </c>
      <c r="C272" t="inlineStr"/>
      <c r="D272" t="n">
        <v>1</v>
      </c>
      <c r="E272" t="n">
        <v>300</v>
      </c>
      <c r="F272" t="inlineStr">
        <is>
          <t>M&amp;D SPECIALISED FASTENERS (PTY) LTD</t>
        </is>
      </c>
      <c r="G272" s="1" t="n">
        <v>0.08</v>
      </c>
      <c r="H272" t="n">
        <v>0</v>
      </c>
      <c r="I272" t="n">
        <v>0.5</v>
      </c>
      <c r="J272" t="n">
        <v>300</v>
      </c>
      <c r="K272" t="n">
        <v>150</v>
      </c>
      <c r="L272" t="n">
        <v>0</v>
      </c>
      <c r="M272" t="n">
        <v>0</v>
      </c>
      <c r="N272" t="n">
        <v>750</v>
      </c>
      <c r="O272" s="1">
        <f>IFERROR(L272*G272,0)</f>
        <v/>
      </c>
      <c r="P272">
        <f>IF(N272-L272-M272&gt;0,N272-L272-M272,0)</f>
        <v/>
      </c>
      <c r="Q272" s="1">
        <f>IFERROR(P272*G272,0)</f>
        <v/>
      </c>
    </row>
    <row r="273">
      <c r="A273" t="inlineStr">
        <is>
          <t>194925</t>
        </is>
      </c>
      <c r="B273" t="inlineStr">
        <is>
          <t>M8 FLAT WASHER DIN 125A ZINC BLUE (8 . 4ID*16OD*1 . 6THICK)</t>
        </is>
      </c>
      <c r="C273" t="inlineStr"/>
      <c r="D273" t="n">
        <v>1</v>
      </c>
      <c r="E273" t="n">
        <v>160</v>
      </c>
      <c r="F273" t="inlineStr">
        <is>
          <t>M&amp;D SPECIALISED FASTENERS (PTY) LTD</t>
        </is>
      </c>
      <c r="G273" s="1" t="n">
        <v>0.12</v>
      </c>
      <c r="H273" t="n">
        <v>0</v>
      </c>
      <c r="I273" t="n">
        <v>0.5</v>
      </c>
      <c r="J273" t="n">
        <v>160</v>
      </c>
      <c r="K273" t="n">
        <v>80</v>
      </c>
      <c r="L273" t="n">
        <v>0</v>
      </c>
      <c r="M273" t="n">
        <v>0</v>
      </c>
      <c r="N273" t="n">
        <v>400</v>
      </c>
      <c r="O273" s="1">
        <f>IFERROR(L273*G273,0)</f>
        <v/>
      </c>
      <c r="P273">
        <f>IF(N273-L273-M273&gt;0,N273-L273-M273,0)</f>
        <v/>
      </c>
      <c r="Q273" s="1">
        <f>IFERROR(P273*G273,0)</f>
        <v/>
      </c>
    </row>
    <row r="274">
      <c r="A274" t="inlineStr">
        <is>
          <t>2.2 kw VSD</t>
        </is>
      </c>
      <c r="B274" t="inlineStr">
        <is>
          <t>Speed controller</t>
        </is>
      </c>
      <c r="C274" t="inlineStr"/>
      <c r="D274" t="n">
        <v>1</v>
      </c>
      <c r="E274" t="n">
        <v>0</v>
      </c>
      <c r="F274" t="inlineStr">
        <is>
          <t>AM SYSTEMS INTEGRATIONS (PTY) LTD</t>
        </is>
      </c>
      <c r="G274" s="1" t="n">
        <v>0</v>
      </c>
      <c r="H274" t="n">
        <v>3</v>
      </c>
      <c r="I274" t="n">
        <v>0.9</v>
      </c>
      <c r="J274" t="n">
        <v>3</v>
      </c>
      <c r="K274" t="n">
        <v>3</v>
      </c>
      <c r="L274" t="n">
        <v>0</v>
      </c>
      <c r="M274" t="n">
        <v>1</v>
      </c>
      <c r="N274" t="n">
        <v>9</v>
      </c>
      <c r="O274" s="1">
        <f>IFERROR(L274*G274,0)</f>
        <v/>
      </c>
      <c r="P274">
        <f>IF(N274-L274-M274&gt;0,N274-L274-M274,0)</f>
        <v/>
      </c>
      <c r="Q274" s="1">
        <f>IFERROR(P274*G274,0)</f>
        <v/>
      </c>
    </row>
    <row r="275">
      <c r="A275" t="inlineStr">
        <is>
          <t>2.223PM</t>
        </is>
      </c>
      <c r="B275" t="inlineStr">
        <is>
          <t>2.2kW 2P 380V Pad Mount Motor</t>
        </is>
      </c>
      <c r="C275" t="inlineStr">
        <is>
          <t>FM - MOTOR</t>
        </is>
      </c>
      <c r="D275" t="n">
        <v>12</v>
      </c>
      <c r="E275" t="n">
        <v>16</v>
      </c>
      <c r="F275" t="inlineStr">
        <is>
          <t>ACTOM</t>
        </is>
      </c>
      <c r="G275" s="1" t="n">
        <v>2225.53</v>
      </c>
      <c r="H275" t="n">
        <v>1</v>
      </c>
      <c r="I275" t="n">
        <v>1.3</v>
      </c>
      <c r="J275" t="n">
        <v>1.5</v>
      </c>
      <c r="K275" t="n">
        <v>2</v>
      </c>
      <c r="L275" t="n">
        <v>0</v>
      </c>
      <c r="M275" t="n">
        <v>8</v>
      </c>
      <c r="N275" t="n">
        <v>5</v>
      </c>
      <c r="O275" s="1">
        <f>IFERROR(L275*G275,0)</f>
        <v/>
      </c>
      <c r="P275">
        <f>IF(N275-L275-M275&gt;0,N275-L275-M275,0)</f>
        <v/>
      </c>
      <c r="Q275" s="1">
        <f>IFERROR(P275*G275,0)</f>
        <v/>
      </c>
    </row>
    <row r="276">
      <c r="A276" t="inlineStr">
        <is>
          <t>2.243FM</t>
        </is>
      </c>
      <c r="B276" t="inlineStr">
        <is>
          <t>2.2kW 4P 380V Foot Mount Motor</t>
        </is>
      </c>
      <c r="C276" t="inlineStr"/>
      <c r="D276" t="n">
        <v>4</v>
      </c>
      <c r="E276" t="n">
        <v>4</v>
      </c>
      <c r="F276" t="inlineStr">
        <is>
          <t>ACTOM</t>
        </is>
      </c>
      <c r="G276" s="1" t="n">
        <v>2509.5</v>
      </c>
      <c r="H276" t="n">
        <v>0</v>
      </c>
      <c r="I276" t="n">
        <v>0.5</v>
      </c>
      <c r="J276" t="n">
        <v>1</v>
      </c>
      <c r="K276" t="n">
        <v>1</v>
      </c>
      <c r="L276" t="n">
        <v>0</v>
      </c>
      <c r="M276" t="n">
        <v>0</v>
      </c>
      <c r="N276" t="n">
        <v>2</v>
      </c>
      <c r="O276" s="1">
        <f>IFERROR(L276*G276,0)</f>
        <v/>
      </c>
      <c r="P276">
        <f>IF(N276-L276-M276&gt;0,N276-L276-M276,0)</f>
        <v/>
      </c>
      <c r="Q276" s="1">
        <f>IFERROR(P276*G276,0)</f>
        <v/>
      </c>
    </row>
    <row r="277">
      <c r="A277" t="inlineStr">
        <is>
          <t>2.243PM</t>
        </is>
      </c>
      <c r="B277" t="inlineStr">
        <is>
          <t>2.2kW 4P 380V Pad Mount Motor</t>
        </is>
      </c>
      <c r="C277" t="inlineStr">
        <is>
          <t>FM - MOTOR</t>
        </is>
      </c>
      <c r="D277" t="n">
        <v>21</v>
      </c>
      <c r="E277" t="n">
        <v>71</v>
      </c>
      <c r="F277" t="inlineStr">
        <is>
          <t>ACTOM</t>
        </is>
      </c>
      <c r="G277" s="1" t="n">
        <v>2632.89</v>
      </c>
      <c r="H277" t="n">
        <v>14</v>
      </c>
      <c r="I277" t="n">
        <v>0.9</v>
      </c>
      <c r="J277" t="n">
        <v>3.5</v>
      </c>
      <c r="K277" t="n">
        <v>3</v>
      </c>
      <c r="L277" t="n">
        <v>0</v>
      </c>
      <c r="M277" t="n">
        <v>20</v>
      </c>
      <c r="N277" t="n">
        <v>10</v>
      </c>
      <c r="O277" s="1">
        <f>IFERROR(L277*G277,0)</f>
        <v/>
      </c>
      <c r="P277">
        <f>IF(N277-L277-M277&gt;0,N277-L277-M277,0)</f>
        <v/>
      </c>
      <c r="Q277" s="1">
        <f>IFERROR(P277*G277,0)</f>
        <v/>
      </c>
    </row>
    <row r="278">
      <c r="A278" t="inlineStr">
        <is>
          <t>200LS</t>
        </is>
      </c>
      <c r="B278" t="inlineStr">
        <is>
          <t>Louvre Shutter</t>
        </is>
      </c>
      <c r="C278" t="inlineStr"/>
      <c r="D278" t="n">
        <v>1</v>
      </c>
      <c r="E278" t="n">
        <v>0</v>
      </c>
      <c r="F278" t="inlineStr"/>
      <c r="G278" s="1" t="n">
        <v>0</v>
      </c>
      <c r="H278" t="n">
        <v>6</v>
      </c>
      <c r="I278" t="n">
        <v>0.5</v>
      </c>
      <c r="J278" t="n">
        <v>6</v>
      </c>
      <c r="K278" t="n">
        <v>3</v>
      </c>
      <c r="L278" t="n">
        <v>0</v>
      </c>
      <c r="M278" t="n">
        <v>0</v>
      </c>
      <c r="N278" t="n">
        <v>15</v>
      </c>
      <c r="O278" s="1">
        <f>IFERROR(L278*G278,0)</f>
        <v/>
      </c>
      <c r="P278">
        <f>IF(N278-L278-M278&gt;0,N278-L278-M278,0)</f>
        <v/>
      </c>
      <c r="Q278" s="1">
        <f>IFERROR(P278*G278,0)</f>
        <v/>
      </c>
    </row>
    <row r="279">
      <c r="A279" t="inlineStr">
        <is>
          <t>200T1200</t>
        </is>
      </c>
      <c r="B279" t="inlineStr">
        <is>
          <t>200 Diam Tube Silencer 1200L</t>
        </is>
      </c>
      <c r="C279" t="inlineStr"/>
      <c r="D279" t="n">
        <v>1</v>
      </c>
      <c r="E279" t="n">
        <v>16</v>
      </c>
      <c r="F279" t="inlineStr">
        <is>
          <t>Attenu-Tec</t>
        </is>
      </c>
      <c r="G279" s="1" t="n">
        <v>727</v>
      </c>
      <c r="H279" t="n">
        <v>16</v>
      </c>
      <c r="I279" t="n">
        <v>0.5</v>
      </c>
      <c r="J279" t="n">
        <v>16</v>
      </c>
      <c r="K279" t="n">
        <v>8</v>
      </c>
      <c r="L279" t="n">
        <v>0</v>
      </c>
      <c r="M279" t="n">
        <v>0</v>
      </c>
      <c r="N279" t="n">
        <v>40</v>
      </c>
      <c r="O279" s="1">
        <f>IFERROR(L279*G279,0)</f>
        <v/>
      </c>
      <c r="P279">
        <f>IF(N279-L279-M279&gt;0,N279-L279-M279,0)</f>
        <v/>
      </c>
      <c r="Q279" s="1">
        <f>IFERROR(P279*G279,0)</f>
        <v/>
      </c>
    </row>
    <row r="280">
      <c r="A280" t="inlineStr">
        <is>
          <t>200T600</t>
        </is>
      </c>
      <c r="B280" t="inlineStr">
        <is>
          <t>200 Diam Tube Silencer 600L</t>
        </is>
      </c>
      <c r="C280" t="inlineStr">
        <is>
          <t>FM - DONKIN</t>
        </is>
      </c>
      <c r="D280" t="n">
        <v>33</v>
      </c>
      <c r="E280" t="n">
        <v>200</v>
      </c>
      <c r="F280" t="inlineStr">
        <is>
          <t>Attenu-Tec</t>
        </is>
      </c>
      <c r="G280" s="1" t="n">
        <v>533</v>
      </c>
      <c r="H280" t="n">
        <v>217</v>
      </c>
      <c r="I280" t="n">
        <v>0.6</v>
      </c>
      <c r="J280" t="n">
        <v>7</v>
      </c>
      <c r="K280" t="n">
        <v>4</v>
      </c>
      <c r="L280" t="n">
        <v>0</v>
      </c>
      <c r="M280" t="n">
        <v>0</v>
      </c>
      <c r="N280" t="n">
        <v>18</v>
      </c>
      <c r="O280" s="1">
        <f>IFERROR(L280*G280,0)</f>
        <v/>
      </c>
      <c r="P280">
        <f>IF(N280-L280-M280&gt;0,N280-L280-M280,0)</f>
        <v/>
      </c>
      <c r="Q280" s="1">
        <f>IFERROR(P280*G280,0)</f>
        <v/>
      </c>
    </row>
    <row r="281">
      <c r="A281" t="inlineStr">
        <is>
          <t>200T900</t>
        </is>
      </c>
      <c r="B281" t="inlineStr">
        <is>
          <t>200 Diam Tube Silencer 900L</t>
        </is>
      </c>
      <c r="C281" t="inlineStr">
        <is>
          <t>FM - DONKIN</t>
        </is>
      </c>
      <c r="D281" t="n">
        <v>1</v>
      </c>
      <c r="E281" t="n">
        <v>4</v>
      </c>
      <c r="F281" t="inlineStr">
        <is>
          <t>Attenu-Tec</t>
        </is>
      </c>
      <c r="G281" s="1" t="n">
        <v>623</v>
      </c>
      <c r="H281" t="n">
        <v>4</v>
      </c>
      <c r="I281" t="n">
        <v>0.5</v>
      </c>
      <c r="J281" t="n">
        <v>4</v>
      </c>
      <c r="K281" t="n">
        <v>2</v>
      </c>
      <c r="L281" t="n">
        <v>0</v>
      </c>
      <c r="M281" t="n">
        <v>0</v>
      </c>
      <c r="N281" t="n">
        <v>10</v>
      </c>
      <c r="O281" s="1">
        <f>IFERROR(L281*G281,0)</f>
        <v/>
      </c>
      <c r="P281">
        <f>IF(N281-L281-M281&gt;0,N281-L281-M281,0)</f>
        <v/>
      </c>
      <c r="Q281" s="1">
        <f>IFERROR(P281*G281,0)</f>
        <v/>
      </c>
    </row>
    <row r="282">
      <c r="A282" t="inlineStr">
        <is>
          <t>2012X25MM.</t>
        </is>
      </c>
      <c r="B282" t="inlineStr">
        <is>
          <t>TAPER LOCK BUSH METRIC 2012 25MM FENNER</t>
        </is>
      </c>
      <c r="C282" t="inlineStr"/>
      <c r="D282" t="n">
        <v>1</v>
      </c>
      <c r="E282" t="n">
        <v>1</v>
      </c>
      <c r="F282" t="inlineStr">
        <is>
          <t>Bearing Man Group</t>
        </is>
      </c>
      <c r="G282" s="1" t="n">
        <v>100.65</v>
      </c>
      <c r="H282" t="n">
        <v>0</v>
      </c>
      <c r="I282" t="n">
        <v>0.5</v>
      </c>
      <c r="J282" t="n">
        <v>1</v>
      </c>
      <c r="K282" t="n">
        <v>1</v>
      </c>
      <c r="L282" t="n">
        <v>0</v>
      </c>
      <c r="M282" t="n">
        <v>0</v>
      </c>
      <c r="N282" t="n">
        <v>2</v>
      </c>
      <c r="O282" s="1">
        <f>IFERROR(L282*G282,0)</f>
        <v/>
      </c>
      <c r="P282">
        <f>IF(N282-L282-M282&gt;0,N282-L282-M282,0)</f>
        <v/>
      </c>
      <c r="Q282" s="1">
        <f>IFERROR(P282*G282,0)</f>
        <v/>
      </c>
    </row>
    <row r="283">
      <c r="A283" t="inlineStr">
        <is>
          <t>2012X38MM</t>
        </is>
      </c>
      <c r="B283" t="inlineStr">
        <is>
          <t>TAPER LOCK BUSH METRIC 2012 38MM FENNER</t>
        </is>
      </c>
      <c r="C283" t="inlineStr"/>
      <c r="D283" t="n">
        <v>42</v>
      </c>
      <c r="E283" t="n">
        <v>11</v>
      </c>
      <c r="F283" t="inlineStr">
        <is>
          <t>Bearing Man Group</t>
        </is>
      </c>
      <c r="G283" s="1" t="n">
        <v>102.04</v>
      </c>
      <c r="H283" t="n">
        <v>0</v>
      </c>
      <c r="I283" t="n">
        <v>0.9</v>
      </c>
      <c r="J283" t="n">
        <v>1</v>
      </c>
      <c r="K283" t="n">
        <v>1</v>
      </c>
      <c r="L283" t="n">
        <v>0</v>
      </c>
      <c r="M283" t="n">
        <v>0</v>
      </c>
      <c r="N283" t="n">
        <v>3</v>
      </c>
      <c r="O283" s="1">
        <f>IFERROR(L283*G283,0)</f>
        <v/>
      </c>
      <c r="P283">
        <f>IF(N283-L283-M283&gt;0,N283-L283-M283,0)</f>
        <v/>
      </c>
      <c r="Q283" s="1">
        <f>IFERROR(P283*G283,0)</f>
        <v/>
      </c>
    </row>
    <row r="284">
      <c r="A284" t="inlineStr">
        <is>
          <t>214165</t>
        </is>
      </c>
      <c r="B284" t="inlineStr">
        <is>
          <t>M10X25X2 FLAT WASHER Z/BLUE</t>
        </is>
      </c>
      <c r="C284" t="inlineStr"/>
      <c r="D284" t="n">
        <v>1</v>
      </c>
      <c r="E284" t="n">
        <v>100</v>
      </c>
      <c r="F284" t="inlineStr">
        <is>
          <t>M&amp;D SPECIALISED FASTENERS (PTY) LTD</t>
        </is>
      </c>
      <c r="G284" s="1" t="n">
        <v>0.5</v>
      </c>
      <c r="H284" t="n">
        <v>0</v>
      </c>
      <c r="I284" t="n">
        <v>0.5</v>
      </c>
      <c r="J284" t="n">
        <v>100</v>
      </c>
      <c r="K284" t="n">
        <v>50</v>
      </c>
      <c r="L284" t="n">
        <v>0</v>
      </c>
      <c r="M284" t="n">
        <v>0</v>
      </c>
      <c r="N284" t="n">
        <v>250</v>
      </c>
      <c r="O284" s="1">
        <f>IFERROR(L284*G284,0)</f>
        <v/>
      </c>
      <c r="P284">
        <f>IF(N284-L284-M284&gt;0,N284-L284-M284,0)</f>
        <v/>
      </c>
      <c r="Q284" s="1">
        <f>IFERROR(P284*G284,0)</f>
        <v/>
      </c>
    </row>
    <row r="285">
      <c r="A285" t="inlineStr">
        <is>
          <t>214899</t>
        </is>
      </c>
      <c r="B285" t="inlineStr">
        <is>
          <t>M12X30X3 FLAT WASHER Z/BLUE</t>
        </is>
      </c>
      <c r="C285" t="inlineStr"/>
      <c r="D285" t="n">
        <v>1</v>
      </c>
      <c r="E285" t="n">
        <v>100</v>
      </c>
      <c r="F285" t="inlineStr">
        <is>
          <t>M&amp;D SPECIALISED FASTENERS (PTY) LTD</t>
        </is>
      </c>
      <c r="G285" s="1" t="n">
        <v>0.8</v>
      </c>
      <c r="H285" t="n">
        <v>0</v>
      </c>
      <c r="I285" t="n">
        <v>0.5</v>
      </c>
      <c r="J285" t="n">
        <v>100</v>
      </c>
      <c r="K285" t="n">
        <v>50</v>
      </c>
      <c r="L285" t="n">
        <v>0</v>
      </c>
      <c r="M285" t="n">
        <v>0</v>
      </c>
      <c r="N285" t="n">
        <v>250</v>
      </c>
      <c r="O285" s="1">
        <f>IFERROR(L285*G285,0)</f>
        <v/>
      </c>
      <c r="P285">
        <f>IF(N285-L285-M285&gt;0,N285-L285-M285,0)</f>
        <v/>
      </c>
      <c r="Q285" s="1">
        <f>IFERROR(P285*G285,0)</f>
        <v/>
      </c>
    </row>
    <row r="286">
      <c r="A286" t="inlineStr">
        <is>
          <t>220025</t>
        </is>
      </c>
      <c r="B286" t="inlineStr">
        <is>
          <t>M8 . 4*20*3 FLAT WASHER Z/BLUE</t>
        </is>
      </c>
      <c r="C286" t="inlineStr"/>
      <c r="D286" t="n">
        <v>1</v>
      </c>
      <c r="E286" t="n">
        <v>100</v>
      </c>
      <c r="F286" t="inlineStr">
        <is>
          <t>M&amp;D SPECIALISED FASTENERS (PTY) LTD</t>
        </is>
      </c>
      <c r="G286" s="1" t="n">
        <v>1.8</v>
      </c>
      <c r="H286" t="n">
        <v>0</v>
      </c>
      <c r="I286" t="n">
        <v>0.5</v>
      </c>
      <c r="J286" t="n">
        <v>100</v>
      </c>
      <c r="K286" t="n">
        <v>50</v>
      </c>
      <c r="L286" t="n">
        <v>0</v>
      </c>
      <c r="M286" t="n">
        <v>0</v>
      </c>
      <c r="N286" t="n">
        <v>250</v>
      </c>
      <c r="O286" s="1">
        <f>IFERROR(L286*G286,0)</f>
        <v/>
      </c>
      <c r="P286">
        <f>IF(N286-L286-M286&gt;0,N286-L286-M286,0)</f>
        <v/>
      </c>
      <c r="Q286" s="1">
        <f>IFERROR(P286*G286,0)</f>
        <v/>
      </c>
    </row>
    <row r="287">
      <c r="A287" t="inlineStr">
        <is>
          <t>22010</t>
        </is>
      </c>
      <c r="B287" t="inlineStr">
        <is>
          <t>100 Wall Fans</t>
        </is>
      </c>
      <c r="C287" t="inlineStr">
        <is>
          <t>FM - VORTICE</t>
        </is>
      </c>
      <c r="D287" t="n">
        <v>27</v>
      </c>
      <c r="E287" t="n">
        <v>0</v>
      </c>
      <c r="F287" t="inlineStr"/>
      <c r="G287" s="1" t="n">
        <v>0</v>
      </c>
      <c r="H287" t="n">
        <v>33</v>
      </c>
      <c r="I287" t="n">
        <v>0.5</v>
      </c>
      <c r="J287" t="n">
        <v>1.5</v>
      </c>
      <c r="K287" t="n">
        <v>1</v>
      </c>
      <c r="L287" t="n">
        <v>0</v>
      </c>
      <c r="M287" t="n">
        <v>0</v>
      </c>
      <c r="N287" t="n">
        <v>4</v>
      </c>
      <c r="O287" s="1">
        <f>IFERROR(L287*G287,0)</f>
        <v/>
      </c>
      <c r="P287">
        <f>IF(N287-L287-M287&gt;0,N287-L287-M287,0)</f>
        <v/>
      </c>
      <c r="Q287" s="1">
        <f>IFERROR(P287*G287,0)</f>
        <v/>
      </c>
    </row>
    <row r="288">
      <c r="A288" t="inlineStr">
        <is>
          <t>22020</t>
        </is>
      </c>
      <c r="B288" t="inlineStr">
        <is>
          <t>120/150 Wall Fixed Grills</t>
        </is>
      </c>
      <c r="C288" t="inlineStr">
        <is>
          <t>FM - VORTICE</t>
        </is>
      </c>
      <c r="D288" t="n">
        <v>28</v>
      </c>
      <c r="E288" t="n">
        <v>144</v>
      </c>
      <c r="F288" t="inlineStr">
        <is>
          <t>Vortice Elettrosociali SpA</t>
        </is>
      </c>
      <c r="G288" s="1" t="n">
        <v>35.35</v>
      </c>
      <c r="H288" t="n">
        <v>128</v>
      </c>
      <c r="I288" t="n">
        <v>0.7</v>
      </c>
      <c r="J288" t="n">
        <v>5.5</v>
      </c>
      <c r="K288" t="n">
        <v>4</v>
      </c>
      <c r="L288" t="n">
        <v>0</v>
      </c>
      <c r="M288" t="n">
        <v>0</v>
      </c>
      <c r="N288" t="n">
        <v>15</v>
      </c>
      <c r="O288" s="1">
        <f>IFERROR(L288*G288,0)</f>
        <v/>
      </c>
      <c r="P288">
        <f>IF(N288-L288-M288&gt;0,N288-L288-M288,0)</f>
        <v/>
      </c>
      <c r="Q288" s="1">
        <f>IFERROR(P288*G288,0)</f>
        <v/>
      </c>
    </row>
    <row r="289">
      <c r="A289" t="inlineStr">
        <is>
          <t>22131</t>
        </is>
      </c>
      <c r="B289" t="inlineStr">
        <is>
          <t>F 100 / 4 WINDOW KIT</t>
        </is>
      </c>
      <c r="C289" t="inlineStr">
        <is>
          <t>FM - VORTICE</t>
        </is>
      </c>
      <c r="D289" t="n">
        <v>28</v>
      </c>
      <c r="E289" t="n">
        <v>0</v>
      </c>
      <c r="F289" t="inlineStr"/>
      <c r="G289" s="1" t="n">
        <v>0</v>
      </c>
      <c r="H289" t="n">
        <v>3</v>
      </c>
      <c r="I289" t="n">
        <v>0.5</v>
      </c>
      <c r="J289" t="n">
        <v>1</v>
      </c>
      <c r="K289" t="n">
        <v>1</v>
      </c>
      <c r="L289" t="n">
        <v>0</v>
      </c>
      <c r="M289" t="n">
        <v>0</v>
      </c>
      <c r="N289" t="n">
        <v>2</v>
      </c>
      <c r="O289" s="1">
        <f>IFERROR(L289*G289,0)</f>
        <v/>
      </c>
      <c r="P289">
        <f>IF(N289-L289-M289&gt;0,N289-L289-M289,0)</f>
        <v/>
      </c>
      <c r="Q289" s="1">
        <f>IFERROR(P289*G289,0)</f>
        <v/>
      </c>
    </row>
    <row r="290">
      <c r="A290" t="inlineStr">
        <is>
          <t>22132</t>
        </is>
      </c>
      <c r="B290" t="inlineStr">
        <is>
          <t>F 120 / 5 WINDOW KIT</t>
        </is>
      </c>
      <c r="C290" t="inlineStr">
        <is>
          <t>FM - VORTICE</t>
        </is>
      </c>
      <c r="D290" t="n">
        <v>33</v>
      </c>
      <c r="E290" t="n">
        <v>0</v>
      </c>
      <c r="F290" t="inlineStr"/>
      <c r="G290" s="1" t="n">
        <v>0</v>
      </c>
      <c r="H290" t="n">
        <v>4</v>
      </c>
      <c r="I290" t="n">
        <v>0.5</v>
      </c>
      <c r="J290" t="n">
        <v>1</v>
      </c>
      <c r="K290" t="n">
        <v>1</v>
      </c>
      <c r="L290" t="n">
        <v>0</v>
      </c>
      <c r="M290" t="n">
        <v>0</v>
      </c>
      <c r="N290" t="n">
        <v>2</v>
      </c>
      <c r="O290" s="1">
        <f>IFERROR(L290*G290,0)</f>
        <v/>
      </c>
      <c r="P290">
        <f>IF(N290-L290-M290&gt;0,N290-L290-M290,0)</f>
        <v/>
      </c>
      <c r="Q290" s="1">
        <f>IFERROR(P290*G290,0)</f>
        <v/>
      </c>
    </row>
    <row r="291">
      <c r="A291" t="inlineStr">
        <is>
          <t>22133</t>
        </is>
      </c>
      <c r="B291" t="inlineStr">
        <is>
          <t>F 150 / 6 WINDOW KIT</t>
        </is>
      </c>
      <c r="C291" t="inlineStr">
        <is>
          <t>FM - VORTICE</t>
        </is>
      </c>
      <c r="D291" t="n">
        <v>5</v>
      </c>
      <c r="E291" t="n">
        <v>0</v>
      </c>
      <c r="F291" t="inlineStr"/>
      <c r="G291" s="1" t="n">
        <v>0</v>
      </c>
      <c r="H291" t="n">
        <v>3</v>
      </c>
      <c r="I291" t="n">
        <v>0.5</v>
      </c>
      <c r="J291" t="n">
        <v>1</v>
      </c>
      <c r="K291" t="n">
        <v>1</v>
      </c>
      <c r="L291" t="n">
        <v>0</v>
      </c>
      <c r="M291" t="n">
        <v>0</v>
      </c>
      <c r="N291" t="n">
        <v>2</v>
      </c>
      <c r="O291" s="1">
        <f>IFERROR(L291*G291,0)</f>
        <v/>
      </c>
      <c r="P291">
        <f>IF(N291-L291-M291&gt;0,N291-L291-M291,0)</f>
        <v/>
      </c>
      <c r="Q291" s="1">
        <f>IFERROR(P291*G291,0)</f>
        <v/>
      </c>
    </row>
    <row r="292">
      <c r="A292" t="inlineStr">
        <is>
          <t>221331</t>
        </is>
      </c>
      <c r="B292" t="inlineStr">
        <is>
          <t>M150/6 Spare Motor</t>
        </is>
      </c>
      <c r="C292" t="inlineStr"/>
      <c r="D292" t="n">
        <v>1</v>
      </c>
      <c r="E292" t="n">
        <v>0</v>
      </c>
      <c r="F292" t="inlineStr"/>
      <c r="G292" s="1" t="n">
        <v>0</v>
      </c>
      <c r="H292" t="n">
        <v>1</v>
      </c>
      <c r="I292" t="n">
        <v>0.5</v>
      </c>
      <c r="J292" t="n">
        <v>1</v>
      </c>
      <c r="K292" t="n">
        <v>1</v>
      </c>
      <c r="L292" t="n">
        <v>0</v>
      </c>
      <c r="M292" t="n">
        <v>0</v>
      </c>
      <c r="N292" t="n">
        <v>2</v>
      </c>
      <c r="O292" s="1">
        <f>IFERROR(L292*G292,0)</f>
        <v/>
      </c>
      <c r="P292">
        <f>IF(N292-L292-M292&gt;0,N292-L292-M292,0)</f>
        <v/>
      </c>
      <c r="Q292" s="1">
        <f>IFERROR(P292*G292,0)</f>
        <v/>
      </c>
    </row>
    <row r="293">
      <c r="A293" t="inlineStr">
        <is>
          <t>22165</t>
        </is>
      </c>
      <c r="B293" t="inlineStr">
        <is>
          <t>FG 100 FIXED GRILLE (VOR 22165)</t>
        </is>
      </c>
      <c r="C293" t="inlineStr">
        <is>
          <t>FM - VORTICE</t>
        </is>
      </c>
      <c r="D293" t="n">
        <v>16</v>
      </c>
      <c r="E293" t="n">
        <v>0</v>
      </c>
      <c r="F293" t="inlineStr"/>
      <c r="G293" s="1" t="n">
        <v>47.94</v>
      </c>
      <c r="H293" t="n">
        <v>6</v>
      </c>
      <c r="I293" t="n">
        <v>0.5</v>
      </c>
      <c r="J293" t="n">
        <v>1</v>
      </c>
      <c r="K293" t="n">
        <v>1</v>
      </c>
      <c r="L293" t="n">
        <v>0</v>
      </c>
      <c r="M293" t="n">
        <v>0</v>
      </c>
      <c r="N293" t="n">
        <v>2</v>
      </c>
      <c r="O293" s="1">
        <f>IFERROR(L293*G293,0)</f>
        <v/>
      </c>
      <c r="P293">
        <f>IF(N293-L293-M293&gt;0,N293-L293-M293,0)</f>
        <v/>
      </c>
      <c r="Q293" s="1">
        <f>IFERROR(P293*G293,0)</f>
        <v/>
      </c>
    </row>
    <row r="294">
      <c r="A294" t="inlineStr">
        <is>
          <t>22167</t>
        </is>
      </c>
      <c r="B294" t="inlineStr">
        <is>
          <t>FG 150 FIXED GRILLE (VOR 22167)</t>
        </is>
      </c>
      <c r="C294" t="inlineStr">
        <is>
          <t>FM - VORTICE</t>
        </is>
      </c>
      <c r="D294" t="n">
        <v>16</v>
      </c>
      <c r="E294" t="n">
        <v>0</v>
      </c>
      <c r="F294" t="inlineStr"/>
      <c r="G294" s="1" t="n">
        <v>31.15</v>
      </c>
      <c r="H294" t="n">
        <v>11</v>
      </c>
      <c r="I294" t="n">
        <v>0.5</v>
      </c>
      <c r="J294" t="n">
        <v>1</v>
      </c>
      <c r="K294" t="n">
        <v>1</v>
      </c>
      <c r="L294" t="n">
        <v>0</v>
      </c>
      <c r="M294" t="n">
        <v>0</v>
      </c>
      <c r="N294" t="n">
        <v>2</v>
      </c>
      <c r="O294" s="1">
        <f>IFERROR(L294*G294,0)</f>
        <v/>
      </c>
      <c r="P294">
        <f>IF(N294-L294-M294&gt;0,N294-L294-M294,0)</f>
        <v/>
      </c>
      <c r="Q294" s="1">
        <f>IFERROR(P294*G294,0)</f>
        <v/>
      </c>
    </row>
    <row r="295">
      <c r="A295" t="inlineStr">
        <is>
          <t>2243FM</t>
        </is>
      </c>
      <c r="B295" t="inlineStr">
        <is>
          <t>22kW 4P 380V Foot Mount Motor</t>
        </is>
      </c>
      <c r="C295" t="inlineStr">
        <is>
          <t>FM - DONKIN</t>
        </is>
      </c>
      <c r="D295" t="n">
        <v>1</v>
      </c>
      <c r="E295" t="n">
        <v>2</v>
      </c>
      <c r="F295" t="inlineStr">
        <is>
          <t>ACTOM</t>
        </is>
      </c>
      <c r="G295" s="1" t="n">
        <v>16260</v>
      </c>
      <c r="H295" t="n">
        <v>0</v>
      </c>
      <c r="I295" t="n">
        <v>0.9</v>
      </c>
      <c r="J295" t="n">
        <v>2</v>
      </c>
      <c r="K295" t="n">
        <v>2</v>
      </c>
      <c r="L295" t="n">
        <v>0</v>
      </c>
      <c r="M295" t="n">
        <v>0</v>
      </c>
      <c r="N295" t="n">
        <v>6</v>
      </c>
      <c r="O295" s="1">
        <f>IFERROR(L295*G295,0)</f>
        <v/>
      </c>
      <c r="P295">
        <f>IF(N295-L295-M295&gt;0,N295-L295-M295,0)</f>
        <v/>
      </c>
      <c r="Q295" s="1">
        <f>IFERROR(P295*G295,0)</f>
        <v/>
      </c>
    </row>
    <row r="296">
      <c r="A296" t="inlineStr">
        <is>
          <t>22M16X150</t>
        </is>
      </c>
      <c r="B296" t="inlineStr">
        <is>
          <t>M16 X 150 HT Setscrews</t>
        </is>
      </c>
      <c r="C296" t="inlineStr"/>
      <c r="D296" t="n">
        <v>1</v>
      </c>
      <c r="E296" t="n">
        <v>8</v>
      </c>
      <c r="F296" t="inlineStr">
        <is>
          <t>MADAN Engineering cc</t>
        </is>
      </c>
      <c r="G296" s="1" t="n">
        <v>26</v>
      </c>
      <c r="H296" t="n">
        <v>0</v>
      </c>
      <c r="I296" t="n">
        <v>0.7</v>
      </c>
      <c r="J296" t="n">
        <v>8</v>
      </c>
      <c r="K296" t="n">
        <v>6</v>
      </c>
      <c r="L296" t="n">
        <v>0</v>
      </c>
      <c r="M296" t="n">
        <v>0</v>
      </c>
      <c r="N296" t="n">
        <v>22</v>
      </c>
      <c r="O296" s="1">
        <f>IFERROR(L296*G296,0)</f>
        <v/>
      </c>
      <c r="P296">
        <f>IF(N296-L296-M296&gt;0,N296-L296-M296,0)</f>
        <v/>
      </c>
      <c r="Q296" s="1">
        <f>IFERROR(P296*G296,0)</f>
        <v/>
      </c>
    </row>
    <row r="297">
      <c r="A297" t="inlineStr">
        <is>
          <t>235829</t>
        </is>
      </c>
      <c r="B297" t="inlineStr">
        <is>
          <t>M16*120 HT HEX BOLT Z/BLUE</t>
        </is>
      </c>
      <c r="C297" t="inlineStr"/>
      <c r="D297" t="n">
        <v>1</v>
      </c>
      <c r="E297" t="n">
        <v>4</v>
      </c>
      <c r="F297" t="inlineStr">
        <is>
          <t>M&amp;D SPECIALISED FASTENERS (PTY) LTD</t>
        </is>
      </c>
      <c r="G297" s="1" t="n">
        <v>16</v>
      </c>
      <c r="H297" t="n">
        <v>0</v>
      </c>
      <c r="I297" t="n">
        <v>0.5</v>
      </c>
      <c r="J297" t="n">
        <v>4</v>
      </c>
      <c r="K297" t="n">
        <v>2</v>
      </c>
      <c r="L297" t="n">
        <v>0</v>
      </c>
      <c r="M297" t="n">
        <v>0</v>
      </c>
      <c r="N297" t="n">
        <v>10</v>
      </c>
      <c r="O297" s="1">
        <f>IFERROR(L297*G297,0)</f>
        <v/>
      </c>
      <c r="P297">
        <f>IF(N297-L297-M297&gt;0,N297-L297-M297,0)</f>
        <v/>
      </c>
      <c r="Q297" s="1">
        <f>IFERROR(P297*G297,0)</f>
        <v/>
      </c>
    </row>
    <row r="298">
      <c r="A298" t="inlineStr">
        <is>
          <t>237756</t>
        </is>
      </c>
      <c r="B298" t="inlineStr">
        <is>
          <t>M10*16 HT HEX SET SCREW Z/BLUE</t>
        </is>
      </c>
      <c r="C298" t="inlineStr"/>
      <c r="D298" t="n">
        <v>20</v>
      </c>
      <c r="E298" t="n">
        <v>360</v>
      </c>
      <c r="F298" t="inlineStr">
        <is>
          <t>M&amp;D SPECIALISED FASTENERS (PTY) LTD</t>
        </is>
      </c>
      <c r="G298" s="1" t="n">
        <v>1.8</v>
      </c>
      <c r="H298" t="n">
        <v>0</v>
      </c>
      <c r="I298" t="n">
        <v>0.5</v>
      </c>
      <c r="J298" t="n">
        <v>18</v>
      </c>
      <c r="K298" t="n">
        <v>9</v>
      </c>
      <c r="L298" t="n">
        <v>0</v>
      </c>
      <c r="M298" t="n">
        <v>0</v>
      </c>
      <c r="N298" t="n">
        <v>45</v>
      </c>
      <c r="O298" s="1">
        <f>IFERROR(L298*G298,0)</f>
        <v/>
      </c>
      <c r="P298">
        <f>IF(N298-L298-M298&gt;0,N298-L298-M298,0)</f>
        <v/>
      </c>
      <c r="Q298" s="1">
        <f>IFERROR(P298*G298,0)</f>
        <v/>
      </c>
    </row>
    <row r="299">
      <c r="A299" t="inlineStr">
        <is>
          <t>237939</t>
        </is>
      </c>
      <c r="B299" t="inlineStr">
        <is>
          <t>M12*20 HT HEX SET SCREW Z/BLUE 12X20 933 8.8 ZB</t>
        </is>
      </c>
      <c r="C299" t="inlineStr"/>
      <c r="D299" t="n">
        <v>1</v>
      </c>
      <c r="E299" t="n">
        <v>160</v>
      </c>
      <c r="F299" t="inlineStr">
        <is>
          <t>M&amp;D SPECIALISED FASTENERS (PTY) LTD</t>
        </is>
      </c>
      <c r="G299" s="1" t="n">
        <v>3</v>
      </c>
      <c r="H299" t="n">
        <v>0</v>
      </c>
      <c r="I299" t="n">
        <v>0.5</v>
      </c>
      <c r="J299" t="n">
        <v>160</v>
      </c>
      <c r="K299" t="n">
        <v>80</v>
      </c>
      <c r="L299" t="n">
        <v>0</v>
      </c>
      <c r="M299" t="n">
        <v>0</v>
      </c>
      <c r="N299" t="n">
        <v>400</v>
      </c>
      <c r="O299" s="1">
        <f>IFERROR(L299*G299,0)</f>
        <v/>
      </c>
      <c r="P299">
        <f>IF(N299-L299-M299&gt;0,N299-L299-M299,0)</f>
        <v/>
      </c>
      <c r="Q299" s="1">
        <f>IFERROR(P299*G299,0)</f>
        <v/>
      </c>
    </row>
    <row r="300">
      <c r="A300" t="inlineStr">
        <is>
          <t>238028</t>
        </is>
      </c>
      <c r="B300" t="inlineStr">
        <is>
          <t>M12*60 HT HEX SET SCREW Z/BLUE</t>
        </is>
      </c>
      <c r="C300" t="inlineStr"/>
      <c r="D300" t="n">
        <v>20</v>
      </c>
      <c r="E300" t="n">
        <v>288</v>
      </c>
      <c r="F300" t="inlineStr">
        <is>
          <t>M&amp;D SPECIALISED FASTENERS (PTY) LTD</t>
        </is>
      </c>
      <c r="G300" s="1" t="n">
        <v>4.4</v>
      </c>
      <c r="H300" t="n">
        <v>0</v>
      </c>
      <c r="I300" t="n">
        <v>0.5</v>
      </c>
      <c r="J300" t="n">
        <v>14.5</v>
      </c>
      <c r="K300" t="n">
        <v>7</v>
      </c>
      <c r="L300" t="n">
        <v>0</v>
      </c>
      <c r="M300" t="n">
        <v>0</v>
      </c>
      <c r="N300" t="n">
        <v>36</v>
      </c>
      <c r="O300" s="1">
        <f>IFERROR(L300*G300,0)</f>
        <v/>
      </c>
      <c r="P300">
        <f>IF(N300-L300-M300&gt;0,N300-L300-M300,0)</f>
        <v/>
      </c>
      <c r="Q300" s="1">
        <f>IFERROR(P300*G300,0)</f>
        <v/>
      </c>
    </row>
    <row r="301">
      <c r="A301" t="inlineStr">
        <is>
          <t>238062</t>
        </is>
      </c>
      <c r="B301" t="inlineStr">
        <is>
          <t>M12*90 HT HEX SET SCREW Z/BLUE</t>
        </is>
      </c>
      <c r="C301" t="inlineStr"/>
      <c r="D301" t="n">
        <v>20</v>
      </c>
      <c r="E301" t="n">
        <v>280</v>
      </c>
      <c r="F301" t="inlineStr">
        <is>
          <t>M&amp;D SPECIALISED FASTENERS (PTY) LTD</t>
        </is>
      </c>
      <c r="G301" s="1" t="n">
        <v>5.9</v>
      </c>
      <c r="H301" t="n">
        <v>0</v>
      </c>
      <c r="I301" t="n">
        <v>0.5</v>
      </c>
      <c r="J301" t="n">
        <v>14</v>
      </c>
      <c r="K301" t="n">
        <v>7</v>
      </c>
      <c r="L301" t="n">
        <v>0</v>
      </c>
      <c r="M301" t="n">
        <v>0</v>
      </c>
      <c r="N301" t="n">
        <v>35</v>
      </c>
      <c r="O301" s="1">
        <f>IFERROR(L301*G301,0)</f>
        <v/>
      </c>
      <c r="P301">
        <f>IF(N301-L301-M301&gt;0,N301-L301-M301,0)</f>
        <v/>
      </c>
      <c r="Q301" s="1">
        <f>IFERROR(P301*G301,0)</f>
        <v/>
      </c>
    </row>
    <row r="302">
      <c r="A302" t="inlineStr">
        <is>
          <t>238152</t>
        </is>
      </c>
      <c r="B302" t="inlineStr">
        <is>
          <t>M16*100 HT HEX SET SCREW Z/BLUE</t>
        </is>
      </c>
      <c r="C302" t="inlineStr"/>
      <c r="D302" t="n">
        <v>21</v>
      </c>
      <c r="E302" t="n">
        <v>200</v>
      </c>
      <c r="F302" t="inlineStr">
        <is>
          <t>M&amp;D SPECIALISED FASTENERS (PTY) LTD</t>
        </is>
      </c>
      <c r="G302" s="1" t="n">
        <v>12.5</v>
      </c>
      <c r="H302" t="n">
        <v>0</v>
      </c>
      <c r="I302" t="n">
        <v>0.5</v>
      </c>
      <c r="J302" t="n">
        <v>10</v>
      </c>
      <c r="K302" t="n">
        <v>5</v>
      </c>
      <c r="L302" t="n">
        <v>0</v>
      </c>
      <c r="M302" t="n">
        <v>0</v>
      </c>
      <c r="N302" t="n">
        <v>25</v>
      </c>
      <c r="O302" s="1">
        <f>IFERROR(L302*G302,0)</f>
        <v/>
      </c>
      <c r="P302">
        <f>IF(N302-L302-M302&gt;0,N302-L302-M302,0)</f>
        <v/>
      </c>
      <c r="Q302" s="1">
        <f>IFERROR(P302*G302,0)</f>
        <v/>
      </c>
    </row>
    <row r="303">
      <c r="A303" t="inlineStr">
        <is>
          <t>238166</t>
        </is>
      </c>
      <c r="B303" t="inlineStr">
        <is>
          <t>M16*120 HT HEX SET SCREW Z/BLUE</t>
        </is>
      </c>
      <c r="C303" t="inlineStr"/>
      <c r="D303" t="n">
        <v>3</v>
      </c>
      <c r="E303" t="n">
        <v>100</v>
      </c>
      <c r="F303" t="inlineStr">
        <is>
          <t>M&amp;D SPECIALISED FASTENERS (PTY) LTD</t>
        </is>
      </c>
      <c r="G303" s="1" t="n">
        <v>18</v>
      </c>
      <c r="H303" t="n">
        <v>0</v>
      </c>
      <c r="I303" t="n">
        <v>0.5</v>
      </c>
      <c r="J303" t="n">
        <v>33.5</v>
      </c>
      <c r="K303" t="n">
        <v>17</v>
      </c>
      <c r="L303" t="n">
        <v>0</v>
      </c>
      <c r="M303" t="n">
        <v>0</v>
      </c>
      <c r="N303" t="n">
        <v>84</v>
      </c>
      <c r="O303" s="1">
        <f>IFERROR(L303*G303,0)</f>
        <v/>
      </c>
      <c r="P303">
        <f>IF(N303-L303-M303&gt;0,N303-L303-M303,0)</f>
        <v/>
      </c>
      <c r="Q303" s="1">
        <f>IFERROR(P303*G303,0)</f>
        <v/>
      </c>
    </row>
    <row r="304">
      <c r="A304" t="inlineStr">
        <is>
          <t>238185</t>
        </is>
      </c>
      <c r="B304" t="inlineStr">
        <is>
          <t>M16*150 HT HEX SET SCREW ZINC BLUE</t>
        </is>
      </c>
      <c r="C304" t="inlineStr"/>
      <c r="D304" t="n">
        <v>1</v>
      </c>
      <c r="E304" t="n">
        <v>60</v>
      </c>
      <c r="F304" t="inlineStr">
        <is>
          <t>M&amp;D SPECIALISED FASTENERS (PTY) LTD</t>
        </is>
      </c>
      <c r="G304" s="1" t="n">
        <v>20</v>
      </c>
      <c r="H304" t="n">
        <v>0</v>
      </c>
      <c r="I304" t="n">
        <v>0.5</v>
      </c>
      <c r="J304" t="n">
        <v>60</v>
      </c>
      <c r="K304" t="n">
        <v>30</v>
      </c>
      <c r="L304" t="n">
        <v>0</v>
      </c>
      <c r="M304" t="n">
        <v>0</v>
      </c>
      <c r="N304" t="n">
        <v>150</v>
      </c>
      <c r="O304" s="1">
        <f>IFERROR(L304*G304,0)</f>
        <v/>
      </c>
      <c r="P304">
        <f>IF(N304-L304-M304&gt;0,N304-L304-M304,0)</f>
        <v/>
      </c>
      <c r="Q304" s="1">
        <f>IFERROR(P304*G304,0)</f>
        <v/>
      </c>
    </row>
    <row r="305">
      <c r="A305" t="inlineStr">
        <is>
          <t>238307</t>
        </is>
      </c>
      <c r="B305" t="inlineStr">
        <is>
          <t>M16*80 HT HEX SET SCREW Z/BLUE</t>
        </is>
      </c>
      <c r="C305" t="inlineStr"/>
      <c r="D305" t="n">
        <v>1</v>
      </c>
      <c r="E305" t="n">
        <v>20</v>
      </c>
      <c r="F305" t="inlineStr">
        <is>
          <t>M&amp;D SPECIALISED FASTENERS (PTY) LTD</t>
        </is>
      </c>
      <c r="G305" s="1" t="n">
        <v>11</v>
      </c>
      <c r="H305" t="n">
        <v>0</v>
      </c>
      <c r="I305" t="n">
        <v>0.7</v>
      </c>
      <c r="J305" t="n">
        <v>20</v>
      </c>
      <c r="K305" t="n">
        <v>14</v>
      </c>
      <c r="L305" t="n">
        <v>0</v>
      </c>
      <c r="M305" t="n">
        <v>0</v>
      </c>
      <c r="N305" t="n">
        <v>54</v>
      </c>
      <c r="O305" s="1">
        <f>IFERROR(L305*G305,0)</f>
        <v/>
      </c>
      <c r="P305">
        <f>IF(N305-L305-M305&gt;0,N305-L305-M305,0)</f>
        <v/>
      </c>
      <c r="Q305" s="1">
        <f>IFERROR(P305*G305,0)</f>
        <v/>
      </c>
    </row>
    <row r="306">
      <c r="A306" t="inlineStr">
        <is>
          <t>239044</t>
        </is>
      </c>
      <c r="B306" t="inlineStr">
        <is>
          <t>M5*16 HT HEX SET SCREW Z/BLUE</t>
        </is>
      </c>
      <c r="C306" t="inlineStr"/>
      <c r="D306" t="n">
        <v>1</v>
      </c>
      <c r="E306" t="n">
        <v>200</v>
      </c>
      <c r="F306" t="inlineStr">
        <is>
          <t>M&amp;D SPECIALISED FASTENERS (PTY) LTD</t>
        </is>
      </c>
      <c r="G306" s="1" t="n">
        <v>0.4</v>
      </c>
      <c r="H306" t="n">
        <v>0</v>
      </c>
      <c r="I306" t="n">
        <v>0.5</v>
      </c>
      <c r="J306" t="n">
        <v>200</v>
      </c>
      <c r="K306" t="n">
        <v>100</v>
      </c>
      <c r="L306" t="n">
        <v>0</v>
      </c>
      <c r="M306" t="n">
        <v>0</v>
      </c>
      <c r="N306" t="n">
        <v>500</v>
      </c>
      <c r="O306" s="1">
        <f>IFERROR(L306*G306,0)</f>
        <v/>
      </c>
      <c r="P306">
        <f>IF(N306-L306-M306&gt;0,N306-L306-M306,0)</f>
        <v/>
      </c>
      <c r="Q306" s="1">
        <f>IFERROR(P306*G306,0)</f>
        <v/>
      </c>
    </row>
    <row r="307">
      <c r="A307" t="inlineStr">
        <is>
          <t>239158</t>
        </is>
      </c>
      <c r="B307" t="inlineStr">
        <is>
          <t>M6*25 HT HEX SET SCREW Z/BLUE</t>
        </is>
      </c>
      <c r="C307" t="inlineStr"/>
      <c r="D307" t="n">
        <v>1</v>
      </c>
      <c r="E307" t="n">
        <v>300</v>
      </c>
      <c r="F307" t="inlineStr">
        <is>
          <t>M&amp;D SPECIALISED FASTENERS (PTY) LTD</t>
        </is>
      </c>
      <c r="G307" s="1" t="n">
        <v>0.65</v>
      </c>
      <c r="H307" t="n">
        <v>0</v>
      </c>
      <c r="I307" t="n">
        <v>0.5</v>
      </c>
      <c r="J307" t="n">
        <v>300</v>
      </c>
      <c r="K307" t="n">
        <v>150</v>
      </c>
      <c r="L307" t="n">
        <v>0</v>
      </c>
      <c r="M307" t="n">
        <v>0</v>
      </c>
      <c r="N307" t="n">
        <v>750</v>
      </c>
      <c r="O307" s="1">
        <f>IFERROR(L307*G307,0)</f>
        <v/>
      </c>
      <c r="P307">
        <f>IF(N307-L307-M307&gt;0,N307-L307-M307,0)</f>
        <v/>
      </c>
      <c r="Q307" s="1">
        <f>IFERROR(P307*G307,0)</f>
        <v/>
      </c>
    </row>
    <row r="308">
      <c r="A308" t="inlineStr">
        <is>
          <t>239281</t>
        </is>
      </c>
      <c r="B308" t="inlineStr">
        <is>
          <t>M8*16 HT SET SCREW Z/BLUE</t>
        </is>
      </c>
      <c r="C308" t="inlineStr"/>
      <c r="D308" t="n">
        <v>1</v>
      </c>
      <c r="E308" t="n">
        <v>160</v>
      </c>
      <c r="F308" t="inlineStr">
        <is>
          <t>M&amp;D SPECIALISED FASTENERS (PTY) LTD</t>
        </is>
      </c>
      <c r="G308" s="1" t="n">
        <v>0.9</v>
      </c>
      <c r="H308" t="n">
        <v>0</v>
      </c>
      <c r="I308" t="n">
        <v>0.5</v>
      </c>
      <c r="J308" t="n">
        <v>160</v>
      </c>
      <c r="K308" t="n">
        <v>80</v>
      </c>
      <c r="L308" t="n">
        <v>0</v>
      </c>
      <c r="M308" t="n">
        <v>0</v>
      </c>
      <c r="N308" t="n">
        <v>400</v>
      </c>
      <c r="O308" s="1">
        <f>IFERROR(L308*G308,0)</f>
        <v/>
      </c>
      <c r="P308">
        <f>IF(N308-L308-M308&gt;0,N308-L308-M308,0)</f>
        <v/>
      </c>
      <c r="Q308" s="1">
        <f>IFERROR(P308*G308,0)</f>
        <v/>
      </c>
    </row>
    <row r="309">
      <c r="A309" t="inlineStr">
        <is>
          <t>241419</t>
        </is>
      </c>
      <c r="B309" t="inlineStr">
        <is>
          <t>M10 (10.5X20X2) DIN 125 FLAT WASHER S/S 304 - A2</t>
        </is>
      </c>
      <c r="C309" t="inlineStr"/>
      <c r="D309" t="n">
        <v>1</v>
      </c>
      <c r="E309" t="n">
        <v>120</v>
      </c>
      <c r="F309" t="inlineStr">
        <is>
          <t>M&amp;D SPECIALISED FASTENERS (PTY) LTD</t>
        </is>
      </c>
      <c r="G309" s="1" t="n">
        <v>0.4</v>
      </c>
      <c r="H309" t="n">
        <v>0</v>
      </c>
      <c r="I309" t="n">
        <v>0.5</v>
      </c>
      <c r="J309" t="n">
        <v>120</v>
      </c>
      <c r="K309" t="n">
        <v>60</v>
      </c>
      <c r="L309" t="n">
        <v>0</v>
      </c>
      <c r="M309" t="n">
        <v>0</v>
      </c>
      <c r="N309" t="n">
        <v>300</v>
      </c>
      <c r="O309" s="1">
        <f>IFERROR(L309*G309,0)</f>
        <v/>
      </c>
      <c r="P309">
        <f>IF(N309-L309-M309&gt;0,N309-L309-M309,0)</f>
        <v/>
      </c>
      <c r="Q309" s="1">
        <f>IFERROR(P309*G309,0)</f>
        <v/>
      </c>
    </row>
    <row r="310">
      <c r="A310" t="inlineStr">
        <is>
          <t>241420</t>
        </is>
      </c>
      <c r="B310" t="inlineStr">
        <is>
          <t>M12 FLAT WASHER DIN 125A - (13i/dX24o/dX2.5thk) S/S 304 - A2</t>
        </is>
      </c>
      <c r="C310" t="inlineStr"/>
      <c r="D310" t="n">
        <v>1</v>
      </c>
      <c r="E310" t="n">
        <v>332</v>
      </c>
      <c r="F310" t="inlineStr">
        <is>
          <t>M&amp;D SPECIALISED FASTENERS (PTY) LTD</t>
        </is>
      </c>
      <c r="G310" s="1" t="n">
        <v>0.8</v>
      </c>
      <c r="H310" t="n">
        <v>0</v>
      </c>
      <c r="I310" t="n">
        <v>0.5</v>
      </c>
      <c r="J310" t="n">
        <v>332</v>
      </c>
      <c r="K310" t="n">
        <v>166</v>
      </c>
      <c r="L310" t="n">
        <v>0</v>
      </c>
      <c r="M310" t="n">
        <v>0</v>
      </c>
      <c r="N310" t="n">
        <v>830</v>
      </c>
      <c r="O310" s="1">
        <f>IFERROR(L310*G310,0)</f>
        <v/>
      </c>
      <c r="P310">
        <f>IF(N310-L310-M310&gt;0,N310-L310-M310,0)</f>
        <v/>
      </c>
      <c r="Q310" s="1">
        <f>IFERROR(P310*G310,0)</f>
        <v/>
      </c>
    </row>
    <row r="311">
      <c r="A311" t="inlineStr">
        <is>
          <t>241421</t>
        </is>
      </c>
      <c r="B311" t="inlineStr">
        <is>
          <t>M16 (17X30X3) FLAT WASHER DIN 125A S/S 304 - A2</t>
        </is>
      </c>
      <c r="C311" t="inlineStr"/>
      <c r="D311" t="n">
        <v>1</v>
      </c>
      <c r="E311" t="n">
        <v>280</v>
      </c>
      <c r="F311" t="inlineStr">
        <is>
          <t>M&amp;D SPECIALISED FASTENERS (PTY) LTD</t>
        </is>
      </c>
      <c r="G311" s="1" t="n">
        <v>1.3</v>
      </c>
      <c r="H311" t="n">
        <v>0</v>
      </c>
      <c r="I311" t="n">
        <v>0.5</v>
      </c>
      <c r="J311" t="n">
        <v>280</v>
      </c>
      <c r="K311" t="n">
        <v>140</v>
      </c>
      <c r="L311" t="n">
        <v>0</v>
      </c>
      <c r="M311" t="n">
        <v>0</v>
      </c>
      <c r="N311" t="n">
        <v>700</v>
      </c>
      <c r="O311" s="1">
        <f>IFERROR(L311*G311,0)</f>
        <v/>
      </c>
      <c r="P311">
        <f>IF(N311-L311-M311&gt;0,N311-L311-M311,0)</f>
        <v/>
      </c>
      <c r="Q311" s="1">
        <f>IFERROR(P311*G311,0)</f>
        <v/>
      </c>
    </row>
    <row r="312">
      <c r="A312" t="inlineStr">
        <is>
          <t>241440</t>
        </is>
      </c>
      <c r="B312" t="inlineStr">
        <is>
          <t>M5 FLAT WASHER DIN 125A S/S 304 - A2 -(5.3i/d X 10o/d X 1thk)</t>
        </is>
      </c>
      <c r="C312" t="inlineStr"/>
      <c r="D312" t="n">
        <v>1</v>
      </c>
      <c r="E312" t="n">
        <v>120</v>
      </c>
      <c r="F312" t="inlineStr">
        <is>
          <t>M&amp;D SPECIALISED FASTENERS (PTY) LTD</t>
        </is>
      </c>
      <c r="G312" s="1" t="n">
        <v>0.06</v>
      </c>
      <c r="H312" t="n">
        <v>0</v>
      </c>
      <c r="I312" t="n">
        <v>0.5</v>
      </c>
      <c r="J312" t="n">
        <v>120</v>
      </c>
      <c r="K312" t="n">
        <v>60</v>
      </c>
      <c r="L312" t="n">
        <v>0</v>
      </c>
      <c r="M312" t="n">
        <v>0</v>
      </c>
      <c r="N312" t="n">
        <v>300</v>
      </c>
      <c r="O312" s="1">
        <f>IFERROR(L312*G312,0)</f>
        <v/>
      </c>
      <c r="P312">
        <f>IF(N312-L312-M312&gt;0,N312-L312-M312,0)</f>
        <v/>
      </c>
      <c r="Q312" s="1">
        <f>IFERROR(P312*G312,0)</f>
        <v/>
      </c>
    </row>
    <row r="313">
      <c r="A313" t="inlineStr">
        <is>
          <t>241442</t>
        </is>
      </c>
      <c r="B313" t="inlineStr">
        <is>
          <t>M6 FLAT WASHER DIN 125A S/S 304 - A2 - (6.4X12.5X1.6)</t>
        </is>
      </c>
      <c r="C313" t="inlineStr"/>
      <c r="D313" t="n">
        <v>1</v>
      </c>
      <c r="E313" t="n">
        <v>120</v>
      </c>
      <c r="F313" t="inlineStr">
        <is>
          <t>M&amp;D SPECIALISED FASTENERS (PTY) LTD</t>
        </is>
      </c>
      <c r="G313" s="1" t="n">
        <v>0.15</v>
      </c>
      <c r="H313" t="n">
        <v>0</v>
      </c>
      <c r="I313" t="n">
        <v>0.5</v>
      </c>
      <c r="J313" t="n">
        <v>120</v>
      </c>
      <c r="K313" t="n">
        <v>60</v>
      </c>
      <c r="L313" t="n">
        <v>0</v>
      </c>
      <c r="M313" t="n">
        <v>0</v>
      </c>
      <c r="N313" t="n">
        <v>300</v>
      </c>
      <c r="O313" s="1">
        <f>IFERROR(L313*G313,0)</f>
        <v/>
      </c>
      <c r="P313">
        <f>IF(N313-L313-M313&gt;0,N313-L313-M313,0)</f>
        <v/>
      </c>
      <c r="Q313" s="1">
        <f>IFERROR(P313*G313,0)</f>
        <v/>
      </c>
    </row>
    <row r="314">
      <c r="A314" t="inlineStr">
        <is>
          <t>244896</t>
        </is>
      </c>
      <c r="B314" t="inlineStr">
        <is>
          <t>M10*25 HEX SET SCREW S/S 304 - A2</t>
        </is>
      </c>
      <c r="C314" t="inlineStr"/>
      <c r="D314" t="n">
        <v>1</v>
      </c>
      <c r="E314" t="n">
        <v>120</v>
      </c>
      <c r="F314" t="inlineStr">
        <is>
          <t>M&amp;D SPECIALISED FASTENERS (PTY) LTD</t>
        </is>
      </c>
      <c r="G314" s="1" t="n">
        <v>3</v>
      </c>
      <c r="H314" t="n">
        <v>0</v>
      </c>
      <c r="I314" t="n">
        <v>0.5</v>
      </c>
      <c r="J314" t="n">
        <v>120</v>
      </c>
      <c r="K314" t="n">
        <v>60</v>
      </c>
      <c r="L314" t="n">
        <v>0</v>
      </c>
      <c r="M314" t="n">
        <v>0</v>
      </c>
      <c r="N314" t="n">
        <v>300</v>
      </c>
      <c r="O314" s="1">
        <f>IFERROR(L314*G314,0)</f>
        <v/>
      </c>
      <c r="P314">
        <f>IF(N314-L314-M314&gt;0,N314-L314-M314,0)</f>
        <v/>
      </c>
      <c r="Q314" s="1">
        <f>IFERROR(P314*G314,0)</f>
        <v/>
      </c>
    </row>
    <row r="315">
      <c r="A315" t="inlineStr">
        <is>
          <t>244949</t>
        </is>
      </c>
      <c r="B315" t="inlineStr">
        <is>
          <t>M12*25 HEX SET SCREW S/S A2 - 304</t>
        </is>
      </c>
      <c r="C315" t="inlineStr"/>
      <c r="D315" t="n">
        <v>1</v>
      </c>
      <c r="E315" t="n">
        <v>120</v>
      </c>
      <c r="F315" t="inlineStr">
        <is>
          <t>M&amp;D SPECIALISED FASTENERS (PTY) LTD</t>
        </is>
      </c>
      <c r="G315" s="1" t="n">
        <v>4.5</v>
      </c>
      <c r="H315" t="n">
        <v>0</v>
      </c>
      <c r="I315" t="n">
        <v>0.5</v>
      </c>
      <c r="J315" t="n">
        <v>120</v>
      </c>
      <c r="K315" t="n">
        <v>60</v>
      </c>
      <c r="L315" t="n">
        <v>0</v>
      </c>
      <c r="M315" t="n">
        <v>0</v>
      </c>
      <c r="N315" t="n">
        <v>300</v>
      </c>
      <c r="O315" s="1">
        <f>IFERROR(L315*G315,0)</f>
        <v/>
      </c>
      <c r="P315">
        <f>IF(N315-L315-M315&gt;0,N315-L315-M315,0)</f>
        <v/>
      </c>
      <c r="Q315" s="1">
        <f>IFERROR(P315*G315,0)</f>
        <v/>
      </c>
    </row>
    <row r="316">
      <c r="A316" t="inlineStr">
        <is>
          <t>244999</t>
        </is>
      </c>
      <c r="B316" t="inlineStr">
        <is>
          <t>M16X120 A2 HEX SET SCREW</t>
        </is>
      </c>
      <c r="C316" t="inlineStr"/>
      <c r="D316" t="n">
        <v>1</v>
      </c>
      <c r="E316" t="n">
        <v>80</v>
      </c>
      <c r="F316" t="inlineStr">
        <is>
          <t>M&amp;D SPECIALISED FASTENERS (PTY) LTD</t>
        </is>
      </c>
      <c r="G316" s="1" t="n">
        <v>45</v>
      </c>
      <c r="H316" t="n">
        <v>0</v>
      </c>
      <c r="I316" t="n">
        <v>0.5</v>
      </c>
      <c r="J316" t="n">
        <v>80</v>
      </c>
      <c r="K316" t="n">
        <v>40</v>
      </c>
      <c r="L316" t="n">
        <v>0</v>
      </c>
      <c r="M316" t="n">
        <v>0</v>
      </c>
      <c r="N316" t="n">
        <v>200</v>
      </c>
      <c r="O316" s="1">
        <f>IFERROR(L316*G316,0)</f>
        <v/>
      </c>
      <c r="P316">
        <f>IF(N316-L316-M316&gt;0,N316-L316-M316,0)</f>
        <v/>
      </c>
      <c r="Q316" s="1">
        <f>IFERROR(P316*G316,0)</f>
        <v/>
      </c>
    </row>
    <row r="317">
      <c r="A317" t="inlineStr">
        <is>
          <t>245022</t>
        </is>
      </c>
      <c r="B317" t="inlineStr">
        <is>
          <t>M16*60 HEX SET SCREW S/S A2 - 304</t>
        </is>
      </c>
      <c r="C317" t="inlineStr"/>
      <c r="D317" t="n">
        <v>1</v>
      </c>
      <c r="E317" t="n">
        <v>8</v>
      </c>
      <c r="F317" t="inlineStr">
        <is>
          <t>M&amp;D SPECIALISED FASTENERS (PTY) LTD</t>
        </is>
      </c>
      <c r="G317" s="1" t="n">
        <v>15</v>
      </c>
      <c r="H317" t="n">
        <v>0</v>
      </c>
      <c r="I317" t="n">
        <v>0.5</v>
      </c>
      <c r="J317" t="n">
        <v>8</v>
      </c>
      <c r="K317" t="n">
        <v>4</v>
      </c>
      <c r="L317" t="n">
        <v>0</v>
      </c>
      <c r="M317" t="n">
        <v>0</v>
      </c>
      <c r="N317" t="n">
        <v>20</v>
      </c>
      <c r="O317" s="1">
        <f>IFERROR(L317*G317,0)</f>
        <v/>
      </c>
      <c r="P317">
        <f>IF(N317-L317-M317&gt;0,N317-L317-M317,0)</f>
        <v/>
      </c>
      <c r="Q317" s="1">
        <f>IFERROR(P317*G317,0)</f>
        <v/>
      </c>
    </row>
    <row r="318">
      <c r="A318" t="inlineStr">
        <is>
          <t>245035</t>
        </is>
      </c>
      <c r="B318" t="inlineStr">
        <is>
          <t>M16*90 A2 HEX SET SCREW</t>
        </is>
      </c>
      <c r="C318" t="inlineStr"/>
      <c r="D318" t="n">
        <v>1</v>
      </c>
      <c r="E318" t="n">
        <v>8</v>
      </c>
      <c r="F318" t="inlineStr">
        <is>
          <t>M&amp;D SPECIALISED FASTENERS (PTY) LTD</t>
        </is>
      </c>
      <c r="G318" s="1" t="n">
        <v>20</v>
      </c>
      <c r="H318" t="n">
        <v>0</v>
      </c>
      <c r="I318" t="n">
        <v>0.5</v>
      </c>
      <c r="J318" t="n">
        <v>8</v>
      </c>
      <c r="K318" t="n">
        <v>4</v>
      </c>
      <c r="L318" t="n">
        <v>0</v>
      </c>
      <c r="M318" t="n">
        <v>0</v>
      </c>
      <c r="N318" t="n">
        <v>20</v>
      </c>
      <c r="O318" s="1">
        <f>IFERROR(L318*G318,0)</f>
        <v/>
      </c>
      <c r="P318">
        <f>IF(N318-L318-M318&gt;0,N318-L318-M318,0)</f>
        <v/>
      </c>
      <c r="Q318" s="1">
        <f>IFERROR(P318*G318,0)</f>
        <v/>
      </c>
    </row>
    <row r="319">
      <c r="A319" t="inlineStr">
        <is>
          <t>2450x1225x2mm</t>
        </is>
      </c>
      <c r="B319" t="inlineStr">
        <is>
          <t>HR Sheet CQ 2450x1225x2mm</t>
        </is>
      </c>
      <c r="C319" t="inlineStr">
        <is>
          <t>FABRICATION</t>
        </is>
      </c>
      <c r="D319" t="n">
        <v>1</v>
      </c>
      <c r="E319" t="n">
        <v>4</v>
      </c>
      <c r="F319" t="inlineStr">
        <is>
          <t>NJR STEEL - ALRODE (PTY) LTD</t>
        </is>
      </c>
      <c r="G319" s="1" t="n">
        <v>701.4400000000001</v>
      </c>
      <c r="H319" t="n">
        <v>0</v>
      </c>
      <c r="I319" t="n">
        <v>0.5</v>
      </c>
      <c r="J319" t="n">
        <v>4</v>
      </c>
      <c r="K319" t="n">
        <v>2</v>
      </c>
      <c r="L319" t="n">
        <v>0</v>
      </c>
      <c r="M319" t="n">
        <v>0</v>
      </c>
      <c r="N319" t="n">
        <v>10</v>
      </c>
      <c r="O319" s="1">
        <f>IFERROR(L319*G319,0)</f>
        <v/>
      </c>
      <c r="P319">
        <f>IF(N319-L319-M319&gt;0,N319-L319-M319,0)</f>
        <v/>
      </c>
      <c r="Q319" s="1">
        <f>IFERROR(P319*G319,0)</f>
        <v/>
      </c>
    </row>
    <row r="320">
      <c r="A320" t="inlineStr">
        <is>
          <t>2450x1225x3mm</t>
        </is>
      </c>
      <c r="B320" t="inlineStr">
        <is>
          <t>HR Sheet SAE1008 2450x1225x3</t>
        </is>
      </c>
      <c r="C320" t="inlineStr">
        <is>
          <t>CASING</t>
        </is>
      </c>
      <c r="D320" t="n">
        <v>1</v>
      </c>
      <c r="E320" t="n">
        <v>1</v>
      </c>
      <c r="F320" t="inlineStr">
        <is>
          <t>NJR STEEL - ALRODE (PTY) LTD</t>
        </is>
      </c>
      <c r="G320" s="1" t="n">
        <v>1067.28</v>
      </c>
      <c r="H320" t="n">
        <v>0</v>
      </c>
      <c r="I320" t="n">
        <v>0.5</v>
      </c>
      <c r="J320" t="n">
        <v>1</v>
      </c>
      <c r="K320" t="n">
        <v>1</v>
      </c>
      <c r="L320" t="n">
        <v>0</v>
      </c>
      <c r="M320" t="n">
        <v>0</v>
      </c>
      <c r="N320" t="n">
        <v>2</v>
      </c>
      <c r="O320" s="1">
        <f>IFERROR(L320*G320,0)</f>
        <v/>
      </c>
      <c r="P320">
        <f>IF(N320-L320-M320&gt;0,N320-L320-M320,0)</f>
        <v/>
      </c>
      <c r="Q320" s="1">
        <f>IFERROR(P320*G320,0)</f>
        <v/>
      </c>
    </row>
    <row r="321">
      <c r="A321" t="inlineStr">
        <is>
          <t>2450x1225x4mm</t>
        </is>
      </c>
      <c r="B321" t="inlineStr">
        <is>
          <t>HR Sheet CQ 2450x1225x4 mm</t>
        </is>
      </c>
      <c r="C321" t="inlineStr">
        <is>
          <t>FM - FABRICATION</t>
        </is>
      </c>
      <c r="D321" t="n">
        <v>1</v>
      </c>
      <c r="E321" t="n">
        <v>2</v>
      </c>
      <c r="F321" t="inlineStr">
        <is>
          <t>NJR STEEL - ALRODE (PTY) LTD</t>
        </is>
      </c>
      <c r="G321" s="1" t="n">
        <v>1418.1</v>
      </c>
      <c r="H321" t="n">
        <v>0</v>
      </c>
      <c r="I321" t="n">
        <v>0.5</v>
      </c>
      <c r="J321" t="n">
        <v>2</v>
      </c>
      <c r="K321" t="n">
        <v>1</v>
      </c>
      <c r="L321" t="n">
        <v>0</v>
      </c>
      <c r="M321" t="n">
        <v>0</v>
      </c>
      <c r="N321" t="n">
        <v>5</v>
      </c>
      <c r="O321" s="1">
        <f>IFERROR(L321*G321,0)</f>
        <v/>
      </c>
      <c r="P321">
        <f>IF(N321-L321-M321&gt;0,N321-L321-M321,0)</f>
        <v/>
      </c>
      <c r="Q321" s="1">
        <f>IFERROR(P321*G321,0)</f>
        <v/>
      </c>
    </row>
    <row r="322">
      <c r="A322" t="inlineStr">
        <is>
          <t>245199</t>
        </is>
      </c>
      <c r="B322" t="inlineStr">
        <is>
          <t>M5*16 HEX SET SCREW S/S 304 - A2</t>
        </is>
      </c>
      <c r="C322" t="inlineStr"/>
      <c r="D322" t="n">
        <v>1</v>
      </c>
      <c r="E322" t="n">
        <v>420</v>
      </c>
      <c r="F322" t="inlineStr">
        <is>
          <t>M&amp;D SPECIALISED FASTENERS (PTY) LTD</t>
        </is>
      </c>
      <c r="G322" s="1" t="n">
        <v>0.65</v>
      </c>
      <c r="H322" t="n">
        <v>0</v>
      </c>
      <c r="I322" t="n">
        <v>0.5</v>
      </c>
      <c r="J322" t="n">
        <v>420</v>
      </c>
      <c r="K322" t="n">
        <v>210</v>
      </c>
      <c r="L322" t="n">
        <v>0</v>
      </c>
      <c r="M322" t="n">
        <v>0</v>
      </c>
      <c r="N322" t="n">
        <v>1050</v>
      </c>
      <c r="O322" s="1">
        <f>IFERROR(L322*G322,0)</f>
        <v/>
      </c>
      <c r="P322">
        <f>IF(N322-L322-M322&gt;0,N322-L322-M322,0)</f>
        <v/>
      </c>
      <c r="Q322" s="1">
        <f>IFERROR(P322*G322,0)</f>
        <v/>
      </c>
    </row>
    <row r="323">
      <c r="A323" t="inlineStr">
        <is>
          <t>245232</t>
        </is>
      </c>
      <c r="B323" t="inlineStr">
        <is>
          <t>M6*16 A2 HEX SET SCREW</t>
        </is>
      </c>
      <c r="C323" t="inlineStr"/>
      <c r="D323" t="n">
        <v>1</v>
      </c>
      <c r="E323" t="n">
        <v>420</v>
      </c>
      <c r="F323" t="inlineStr">
        <is>
          <t>M&amp;D SPECIALISED FASTENERS (PTY) LTD</t>
        </is>
      </c>
      <c r="G323" s="1" t="n">
        <v>0.8</v>
      </c>
      <c r="H323" t="n">
        <v>0</v>
      </c>
      <c r="I323" t="n">
        <v>0.5</v>
      </c>
      <c r="J323" t="n">
        <v>420</v>
      </c>
      <c r="K323" t="n">
        <v>210</v>
      </c>
      <c r="L323" t="n">
        <v>0</v>
      </c>
      <c r="M323" t="n">
        <v>0</v>
      </c>
      <c r="N323" t="n">
        <v>1050</v>
      </c>
      <c r="O323" s="1">
        <f>IFERROR(L323*G323,0)</f>
        <v/>
      </c>
      <c r="P323">
        <f>IF(N323-L323-M323&gt;0,N323-L323-M323,0)</f>
        <v/>
      </c>
      <c r="Q323" s="1">
        <f>IFERROR(P323*G323,0)</f>
        <v/>
      </c>
    </row>
    <row r="324">
      <c r="A324" t="inlineStr">
        <is>
          <t>245328</t>
        </is>
      </c>
      <c r="B324" t="inlineStr">
        <is>
          <t>M12 HEX NUT S/S 304 - A2</t>
        </is>
      </c>
      <c r="C324" t="inlineStr"/>
      <c r="D324" t="n">
        <v>1</v>
      </c>
      <c r="E324" t="n">
        <v>144</v>
      </c>
      <c r="F324" t="inlineStr">
        <is>
          <t>M&amp;D SPECIALISED FASTENERS (PTY) LTD</t>
        </is>
      </c>
      <c r="G324" s="1" t="n">
        <v>1.8</v>
      </c>
      <c r="H324" t="n">
        <v>0</v>
      </c>
      <c r="I324" t="n">
        <v>0.5</v>
      </c>
      <c r="J324" t="n">
        <v>144</v>
      </c>
      <c r="K324" t="n">
        <v>72</v>
      </c>
      <c r="L324" t="n">
        <v>0</v>
      </c>
      <c r="M324" t="n">
        <v>0</v>
      </c>
      <c r="N324" t="n">
        <v>360</v>
      </c>
      <c r="O324" s="1">
        <f>IFERROR(L324*G324,0)</f>
        <v/>
      </c>
      <c r="P324">
        <f>IF(N324-L324-M324&gt;0,N324-L324-M324,0)</f>
        <v/>
      </c>
      <c r="Q324" s="1">
        <f>IFERROR(P324*G324,0)</f>
        <v/>
      </c>
    </row>
    <row r="325">
      <c r="A325" t="inlineStr">
        <is>
          <t>245333</t>
        </is>
      </c>
      <c r="B325" t="inlineStr">
        <is>
          <t>M16 HEX NUT S/S A2 304</t>
        </is>
      </c>
      <c r="C325" t="inlineStr"/>
      <c r="D325" t="n">
        <v>1</v>
      </c>
      <c r="E325" t="n">
        <v>240</v>
      </c>
      <c r="F325" t="inlineStr">
        <is>
          <t>M&amp;D SPECIALISED FASTENERS (PTY) LTD</t>
        </is>
      </c>
      <c r="G325" s="1" t="n">
        <v>3.5</v>
      </c>
      <c r="H325" t="n">
        <v>0</v>
      </c>
      <c r="I325" t="n">
        <v>0.5</v>
      </c>
      <c r="J325" t="n">
        <v>240</v>
      </c>
      <c r="K325" t="n">
        <v>120</v>
      </c>
      <c r="L325" t="n">
        <v>0</v>
      </c>
      <c r="M325" t="n">
        <v>0</v>
      </c>
      <c r="N325" t="n">
        <v>600</v>
      </c>
      <c r="O325" s="1">
        <f>IFERROR(L325*G325,0)</f>
        <v/>
      </c>
      <c r="P325">
        <f>IF(N325-L325-M325&gt;0,N325-L325-M325,0)</f>
        <v/>
      </c>
      <c r="Q325" s="1">
        <f>IFERROR(P325*G325,0)</f>
        <v/>
      </c>
    </row>
    <row r="326">
      <c r="A326" t="inlineStr">
        <is>
          <t>245381</t>
        </is>
      </c>
      <c r="B326" t="inlineStr">
        <is>
          <t>M5 HEX NUTS S/S 304 - A2</t>
        </is>
      </c>
      <c r="C326" t="inlineStr"/>
      <c r="D326" t="n">
        <v>1</v>
      </c>
      <c r="E326" t="n">
        <v>300</v>
      </c>
      <c r="F326" t="inlineStr">
        <is>
          <t>M&amp;D SPECIALISED FASTENERS (PTY) LTD</t>
        </is>
      </c>
      <c r="G326" s="1" t="n">
        <v>0.2</v>
      </c>
      <c r="H326" t="n">
        <v>0</v>
      </c>
      <c r="I326" t="n">
        <v>0.5</v>
      </c>
      <c r="J326" t="n">
        <v>300</v>
      </c>
      <c r="K326" t="n">
        <v>150</v>
      </c>
      <c r="L326" t="n">
        <v>0</v>
      </c>
      <c r="M326" t="n">
        <v>0</v>
      </c>
      <c r="N326" t="n">
        <v>750</v>
      </c>
      <c r="O326" s="1">
        <f>IFERROR(L326*G326,0)</f>
        <v/>
      </c>
      <c r="P326">
        <f>IF(N326-L326-M326&gt;0,N326-L326-M326,0)</f>
        <v/>
      </c>
      <c r="Q326" s="1">
        <f>IFERROR(P326*G326,0)</f>
        <v/>
      </c>
    </row>
    <row r="327">
      <c r="A327" t="inlineStr">
        <is>
          <t>245388</t>
        </is>
      </c>
      <c r="B327" t="inlineStr">
        <is>
          <t>M6 HEX NUT S/S 304 - A2</t>
        </is>
      </c>
      <c r="C327" t="inlineStr"/>
      <c r="D327" t="n">
        <v>1</v>
      </c>
      <c r="E327" t="n">
        <v>300</v>
      </c>
      <c r="F327" t="inlineStr">
        <is>
          <t>M&amp;D SPECIALISED FASTENERS (PTY) LTD</t>
        </is>
      </c>
      <c r="G327" s="1" t="n">
        <v>0.3</v>
      </c>
      <c r="H327" t="n">
        <v>0</v>
      </c>
      <c r="I327" t="n">
        <v>0.5</v>
      </c>
      <c r="J327" t="n">
        <v>300</v>
      </c>
      <c r="K327" t="n">
        <v>150</v>
      </c>
      <c r="L327" t="n">
        <v>0</v>
      </c>
      <c r="M327" t="n">
        <v>0</v>
      </c>
      <c r="N327" t="n">
        <v>750</v>
      </c>
      <c r="O327" s="1">
        <f>IFERROR(L327*G327,0)</f>
        <v/>
      </c>
      <c r="P327">
        <f>IF(N327-L327-M327&gt;0,N327-L327-M327,0)</f>
        <v/>
      </c>
      <c r="Q327" s="1">
        <f>IFERROR(P327*G327,0)</f>
        <v/>
      </c>
    </row>
    <row r="328">
      <c r="A328" t="inlineStr">
        <is>
          <t>25.4*6-2RTUBE</t>
        </is>
      </c>
      <c r="B328" t="inlineStr">
        <is>
          <t>25,4*1.6-2mm Round Tube Die Set (Die CLR 93mm)</t>
        </is>
      </c>
      <c r="C328" t="inlineStr">
        <is>
          <t>FM - FABRICATION</t>
        </is>
      </c>
      <c r="D328" t="n">
        <v>1</v>
      </c>
      <c r="E328" t="n">
        <v>1</v>
      </c>
      <c r="F328" t="inlineStr">
        <is>
          <t>Strongman Metal Tools CC</t>
        </is>
      </c>
      <c r="G328" s="1" t="n">
        <v>2699</v>
      </c>
      <c r="H328" t="n">
        <v>0</v>
      </c>
      <c r="I328" t="n">
        <v>0.5</v>
      </c>
      <c r="J328" t="n">
        <v>1</v>
      </c>
      <c r="K328" t="n">
        <v>1</v>
      </c>
      <c r="L328" t="n">
        <v>0</v>
      </c>
      <c r="M328" t="n">
        <v>0</v>
      </c>
      <c r="N328" t="n">
        <v>2</v>
      </c>
      <c r="O328" s="1">
        <f>IFERROR(L328*G328,0)</f>
        <v/>
      </c>
      <c r="P328">
        <f>IF(N328-L328-M328&gt;0,N328-L328-M328,0)</f>
        <v/>
      </c>
      <c r="Q328" s="1">
        <f>IFERROR(P328*G328,0)</f>
        <v/>
      </c>
    </row>
    <row r="329">
      <c r="A329" t="inlineStr">
        <is>
          <t>250/355 WC</t>
        </is>
      </c>
      <c r="B329" t="inlineStr">
        <is>
          <t>Wall Cowl Galvanized</t>
        </is>
      </c>
      <c r="C329" t="inlineStr"/>
      <c r="D329" t="n">
        <v>1</v>
      </c>
      <c r="E329" t="n">
        <v>3</v>
      </c>
      <c r="F329" t="inlineStr">
        <is>
          <t>Attenu-Tec HVAC Parts</t>
        </is>
      </c>
      <c r="G329" s="1" t="n">
        <v>653</v>
      </c>
      <c r="H329" t="n">
        <v>0</v>
      </c>
      <c r="I329" t="n">
        <v>0.5</v>
      </c>
      <c r="J329" t="n">
        <v>3</v>
      </c>
      <c r="K329" t="n">
        <v>2</v>
      </c>
      <c r="L329" t="n">
        <v>0</v>
      </c>
      <c r="M329" t="n">
        <v>0</v>
      </c>
      <c r="N329" t="n">
        <v>8</v>
      </c>
      <c r="O329" s="1">
        <f>IFERROR(L329*G329,0)</f>
        <v/>
      </c>
      <c r="P329">
        <f>IF(N329-L329-M329&gt;0,N329-L329-M329,0)</f>
        <v/>
      </c>
      <c r="Q329" s="1">
        <f>IFERROR(P329*G329,0)</f>
        <v/>
      </c>
    </row>
    <row r="330">
      <c r="A330" t="inlineStr">
        <is>
          <t>25001</t>
        </is>
      </c>
      <c r="B330" t="inlineStr">
        <is>
          <t>PRA BLANKING PLUG FLP Exd 20mm</t>
        </is>
      </c>
      <c r="C330" t="inlineStr"/>
      <c r="D330" t="n">
        <v>1</v>
      </c>
      <c r="E330" t="n">
        <v>2</v>
      </c>
      <c r="F330" t="inlineStr">
        <is>
          <t>Pratley (Pty) Ltd</t>
        </is>
      </c>
      <c r="G330" s="1" t="n">
        <v>54.56</v>
      </c>
      <c r="H330" t="n">
        <v>0</v>
      </c>
      <c r="I330" t="n">
        <v>0.5</v>
      </c>
      <c r="J330" t="n">
        <v>2</v>
      </c>
      <c r="K330" t="n">
        <v>1</v>
      </c>
      <c r="L330" t="n">
        <v>0</v>
      </c>
      <c r="M330" t="n">
        <v>0</v>
      </c>
      <c r="N330" t="n">
        <v>5</v>
      </c>
      <c r="O330" s="1">
        <f>IFERROR(L330*G330,0)</f>
        <v/>
      </c>
      <c r="P330">
        <f>IF(N330-L330-M330&gt;0,N330-L330-M330,0)</f>
        <v/>
      </c>
      <c r="Q330" s="1">
        <f>IFERROR(P330*G330,0)</f>
        <v/>
      </c>
    </row>
    <row r="331">
      <c r="A331" t="inlineStr">
        <is>
          <t>25012CL</t>
        </is>
      </c>
      <c r="B331" t="inlineStr">
        <is>
          <t>250/12 Clamp - to suit, 38mm and 42mm bore hubs</t>
        </is>
      </c>
      <c r="C331" t="inlineStr">
        <is>
          <t>FM - IMPELLER</t>
        </is>
      </c>
      <c r="D331" t="n">
        <v>20</v>
      </c>
      <c r="E331" t="n">
        <v>69</v>
      </c>
      <c r="F331" t="inlineStr">
        <is>
          <t>CFW Fans (Pty) Ltd</t>
        </is>
      </c>
      <c r="G331" s="1" t="n">
        <v>297</v>
      </c>
      <c r="H331" t="n">
        <v>0</v>
      </c>
      <c r="I331" t="n">
        <v>0.5</v>
      </c>
      <c r="J331" t="n">
        <v>3.5</v>
      </c>
      <c r="K331" t="n">
        <v>2</v>
      </c>
      <c r="L331" t="n">
        <v>0</v>
      </c>
      <c r="M331" t="n">
        <v>6</v>
      </c>
      <c r="N331" t="n">
        <v>9</v>
      </c>
      <c r="O331" s="1">
        <f>IFERROR(L331*G331,0)</f>
        <v/>
      </c>
      <c r="P331">
        <f>IF(N331-L331-M331&gt;0,N331-L331-M331,0)</f>
        <v/>
      </c>
      <c r="Q331" s="1">
        <f>IFERROR(P331*G331,0)</f>
        <v/>
      </c>
    </row>
    <row r="332">
      <c r="A332" t="inlineStr">
        <is>
          <t>25012H19</t>
        </is>
      </c>
      <c r="B332" t="inlineStr">
        <is>
          <t>250/12 Hub - 19mm</t>
        </is>
      </c>
      <c r="C332" t="inlineStr">
        <is>
          <t>FM - IMPELLER</t>
        </is>
      </c>
      <c r="D332" t="n">
        <v>1</v>
      </c>
      <c r="E332" t="n">
        <v>4</v>
      </c>
      <c r="F332" t="inlineStr">
        <is>
          <t>CFW Fans (Pty) Ltd</t>
        </is>
      </c>
      <c r="G332" s="1" t="n">
        <v>384</v>
      </c>
      <c r="H332" t="n">
        <v>0</v>
      </c>
      <c r="I332" t="n">
        <v>0.5</v>
      </c>
      <c r="J332" t="n">
        <v>4</v>
      </c>
      <c r="K332" t="n">
        <v>2</v>
      </c>
      <c r="L332" t="n">
        <v>0</v>
      </c>
      <c r="M332" t="n">
        <v>0</v>
      </c>
      <c r="N332" t="n">
        <v>10</v>
      </c>
      <c r="O332" s="1">
        <f>IFERROR(L332*G332,0)</f>
        <v/>
      </c>
      <c r="P332">
        <f>IF(N332-L332-M332&gt;0,N332-L332-M332,0)</f>
        <v/>
      </c>
      <c r="Q332" s="1">
        <f>IFERROR(P332*G332,0)</f>
        <v/>
      </c>
    </row>
    <row r="333">
      <c r="A333" t="inlineStr">
        <is>
          <t>25012H24</t>
        </is>
      </c>
      <c r="B333" t="inlineStr">
        <is>
          <t>250/12 Hub - 24mm bore</t>
        </is>
      </c>
      <c r="C333" t="inlineStr">
        <is>
          <t>FM - IMPELLER</t>
        </is>
      </c>
      <c r="D333" t="n">
        <v>17</v>
      </c>
      <c r="E333" t="n">
        <v>30</v>
      </c>
      <c r="F333" t="inlineStr">
        <is>
          <t>CFW Fans (Pty) Ltd</t>
        </is>
      </c>
      <c r="G333" s="1" t="n">
        <v>384</v>
      </c>
      <c r="H333" t="n">
        <v>0</v>
      </c>
      <c r="I333" t="n">
        <v>0.5</v>
      </c>
      <c r="J333" t="n">
        <v>2</v>
      </c>
      <c r="K333" t="n">
        <v>1</v>
      </c>
      <c r="L333" t="n">
        <v>0</v>
      </c>
      <c r="M333" t="n">
        <v>0</v>
      </c>
      <c r="N333" t="n">
        <v>5</v>
      </c>
      <c r="O333" s="1">
        <f>IFERROR(L333*G333,0)</f>
        <v/>
      </c>
      <c r="P333">
        <f>IF(N333-L333-M333&gt;0,N333-L333-M333,0)</f>
        <v/>
      </c>
      <c r="Q333" s="1">
        <f>IFERROR(P333*G333,0)</f>
        <v/>
      </c>
    </row>
    <row r="334">
      <c r="A334" t="inlineStr">
        <is>
          <t>25012H28</t>
        </is>
      </c>
      <c r="B334" t="inlineStr">
        <is>
          <t>250/12 Hub - 28mm bore</t>
        </is>
      </c>
      <c r="C334" t="inlineStr">
        <is>
          <t>FM - IMPELLER</t>
        </is>
      </c>
      <c r="D334" t="n">
        <v>7</v>
      </c>
      <c r="E334" t="n">
        <v>18</v>
      </c>
      <c r="F334" t="inlineStr">
        <is>
          <t>CFW Fans (Pty) Ltd</t>
        </is>
      </c>
      <c r="G334" s="1" t="n">
        <v>384</v>
      </c>
      <c r="H334" t="n">
        <v>0</v>
      </c>
      <c r="I334" t="n">
        <v>0.5</v>
      </c>
      <c r="J334" t="n">
        <v>3</v>
      </c>
      <c r="K334" t="n">
        <v>2</v>
      </c>
      <c r="L334" t="n">
        <v>0</v>
      </c>
      <c r="M334" t="n">
        <v>6</v>
      </c>
      <c r="N334" t="n">
        <v>8</v>
      </c>
      <c r="O334" s="1">
        <f>IFERROR(L334*G334,0)</f>
        <v/>
      </c>
      <c r="P334">
        <f>IF(N334-L334-M334&gt;0,N334-L334-M334,0)</f>
        <v/>
      </c>
      <c r="Q334" s="1">
        <f>IFERROR(P334*G334,0)</f>
        <v/>
      </c>
    </row>
    <row r="335">
      <c r="A335" t="inlineStr">
        <is>
          <t>25012H38</t>
        </is>
      </c>
      <c r="B335" t="inlineStr">
        <is>
          <t>250/12 Hub - 38mm</t>
        </is>
      </c>
      <c r="C335" t="inlineStr">
        <is>
          <t>FM - IMPELLER</t>
        </is>
      </c>
      <c r="D335" t="n">
        <v>20</v>
      </c>
      <c r="E335" t="n">
        <v>12</v>
      </c>
      <c r="F335" t="inlineStr">
        <is>
          <t>CFW Fans (Pty) Ltd</t>
        </is>
      </c>
      <c r="G335" s="1" t="n">
        <v>384</v>
      </c>
      <c r="H335" t="n">
        <v>0</v>
      </c>
      <c r="I335" t="n">
        <v>0.5</v>
      </c>
      <c r="J335" t="n">
        <v>1</v>
      </c>
      <c r="K335" t="n">
        <v>1</v>
      </c>
      <c r="L335" t="n">
        <v>0</v>
      </c>
      <c r="M335" t="n">
        <v>0</v>
      </c>
      <c r="N335" t="n">
        <v>2</v>
      </c>
      <c r="O335" s="1">
        <f>IFERROR(L335*G335,0)</f>
        <v/>
      </c>
      <c r="P335">
        <f>IF(N335-L335-M335&gt;0,N335-L335-M335,0)</f>
        <v/>
      </c>
      <c r="Q335" s="1">
        <f>IFERROR(P335*G335,0)</f>
        <v/>
      </c>
    </row>
    <row r="336">
      <c r="A336" t="inlineStr">
        <is>
          <t>25012H42</t>
        </is>
      </c>
      <c r="B336" t="inlineStr">
        <is>
          <t>250/12 Hub - 42mm</t>
        </is>
      </c>
      <c r="C336" t="inlineStr">
        <is>
          <t>FM - IMPELLER</t>
        </is>
      </c>
      <c r="D336" t="n">
        <v>1</v>
      </c>
      <c r="E336" t="n">
        <v>6</v>
      </c>
      <c r="F336" t="inlineStr">
        <is>
          <t>CFW Fans (Pty) Ltd</t>
        </is>
      </c>
      <c r="G336" s="1" t="n">
        <v>384</v>
      </c>
      <c r="H336" t="n">
        <v>0</v>
      </c>
      <c r="I336" t="n">
        <v>0.5</v>
      </c>
      <c r="J336" t="n">
        <v>6</v>
      </c>
      <c r="K336" t="n">
        <v>3</v>
      </c>
      <c r="L336" t="n">
        <v>0</v>
      </c>
      <c r="M336" t="n">
        <v>0</v>
      </c>
      <c r="N336" t="n">
        <v>15</v>
      </c>
      <c r="O336" s="1">
        <f>IFERROR(L336*G336,0)</f>
        <v/>
      </c>
      <c r="P336">
        <f>IF(N336-L336-M336&gt;0,N336-L336-M336,0)</f>
        <v/>
      </c>
      <c r="Q336" s="1">
        <f>IFERROR(P336*G336,0)</f>
        <v/>
      </c>
    </row>
    <row r="337">
      <c r="A337" t="inlineStr">
        <is>
          <t>250LS</t>
        </is>
      </c>
      <c r="B337" t="inlineStr">
        <is>
          <t>Louvre Shutter</t>
        </is>
      </c>
      <c r="C337" t="inlineStr"/>
      <c r="D337" t="n">
        <v>12</v>
      </c>
      <c r="E337" t="n">
        <v>0</v>
      </c>
      <c r="F337" t="inlineStr"/>
      <c r="G337" s="1" t="n">
        <v>0</v>
      </c>
      <c r="H337" t="n">
        <v>2</v>
      </c>
      <c r="I337" t="n">
        <v>0.5</v>
      </c>
      <c r="J337" t="n">
        <v>1</v>
      </c>
      <c r="K337" t="n">
        <v>1</v>
      </c>
      <c r="L337" t="n">
        <v>0</v>
      </c>
      <c r="M337" t="n">
        <v>0</v>
      </c>
      <c r="N337" t="n">
        <v>2</v>
      </c>
      <c r="O337" s="1">
        <f>IFERROR(L337*G337,0)</f>
        <v/>
      </c>
      <c r="P337">
        <f>IF(N337-L337-M337&gt;0,N337-L337-M337,0)</f>
        <v/>
      </c>
      <c r="Q337" s="1">
        <f>IFERROR(P337*G337,0)</f>
        <v/>
      </c>
    </row>
    <row r="338">
      <c r="A338" t="inlineStr">
        <is>
          <t>250T1200</t>
        </is>
      </c>
      <c r="B338" t="inlineStr">
        <is>
          <t>250 Diam Tube Silencer 1200L</t>
        </is>
      </c>
      <c r="C338" t="inlineStr"/>
      <c r="D338" t="n">
        <v>1</v>
      </c>
      <c r="E338" t="n">
        <v>3</v>
      </c>
      <c r="F338" t="inlineStr">
        <is>
          <t>Attenu-Tec</t>
        </is>
      </c>
      <c r="G338" s="1" t="n">
        <v>818</v>
      </c>
      <c r="H338" t="n">
        <v>3</v>
      </c>
      <c r="I338" t="n">
        <v>0.5</v>
      </c>
      <c r="J338" t="n">
        <v>3</v>
      </c>
      <c r="K338" t="n">
        <v>2</v>
      </c>
      <c r="L338" t="n">
        <v>0</v>
      </c>
      <c r="M338" t="n">
        <v>0</v>
      </c>
      <c r="N338" t="n">
        <v>8</v>
      </c>
      <c r="O338" s="1">
        <f>IFERROR(L338*G338,0)</f>
        <v/>
      </c>
      <c r="P338">
        <f>IF(N338-L338-M338&gt;0,N338-L338-M338,0)</f>
        <v/>
      </c>
      <c r="Q338" s="1">
        <f>IFERROR(P338*G338,0)</f>
        <v/>
      </c>
    </row>
    <row r="339">
      <c r="A339" t="inlineStr">
        <is>
          <t>250T600</t>
        </is>
      </c>
      <c r="B339" t="inlineStr">
        <is>
          <t>250 Diam Tube Silencer 600L</t>
        </is>
      </c>
      <c r="C339" t="inlineStr">
        <is>
          <t>FM - DONKIN</t>
        </is>
      </c>
      <c r="D339" t="n">
        <v>33</v>
      </c>
      <c r="E339" t="n">
        <v>149</v>
      </c>
      <c r="F339" t="inlineStr">
        <is>
          <t>Attenu-Tec</t>
        </is>
      </c>
      <c r="G339" s="1" t="n">
        <v>595</v>
      </c>
      <c r="H339" t="n">
        <v>149</v>
      </c>
      <c r="I339" t="n">
        <v>0.5</v>
      </c>
      <c r="J339" t="n">
        <v>5</v>
      </c>
      <c r="K339" t="n">
        <v>2</v>
      </c>
      <c r="L339" t="n">
        <v>0</v>
      </c>
      <c r="M339" t="n">
        <v>0</v>
      </c>
      <c r="N339" t="n">
        <v>12</v>
      </c>
      <c r="O339" s="1">
        <f>IFERROR(L339*G339,0)</f>
        <v/>
      </c>
      <c r="P339">
        <f>IF(N339-L339-M339&gt;0,N339-L339-M339,0)</f>
        <v/>
      </c>
      <c r="Q339" s="1">
        <f>IFERROR(P339*G339,0)</f>
        <v/>
      </c>
    </row>
    <row r="340">
      <c r="A340" t="inlineStr">
        <is>
          <t>2517X25MM.</t>
        </is>
      </c>
      <c r="B340" t="inlineStr">
        <is>
          <t>TAPER LOCK BUSH METRIC 2517 25MM FENNER</t>
        </is>
      </c>
      <c r="C340" t="inlineStr"/>
      <c r="D340" t="n">
        <v>1</v>
      </c>
      <c r="E340" t="n">
        <v>5</v>
      </c>
      <c r="F340" t="inlineStr">
        <is>
          <t>Bearing Man Group</t>
        </is>
      </c>
      <c r="G340" s="1" t="n">
        <v>159.27</v>
      </c>
      <c r="H340" t="n">
        <v>0</v>
      </c>
      <c r="I340" t="n">
        <v>1.9</v>
      </c>
      <c r="J340" t="n">
        <v>5</v>
      </c>
      <c r="K340" t="n">
        <v>10</v>
      </c>
      <c r="L340" t="n">
        <v>0</v>
      </c>
      <c r="M340" t="n">
        <v>0</v>
      </c>
      <c r="N340" t="n">
        <v>20</v>
      </c>
      <c r="O340" s="1">
        <f>IFERROR(L340*G340,0)</f>
        <v/>
      </c>
      <c r="P340">
        <f>IF(N340-L340-M340&gt;0,N340-L340-M340,0)</f>
        <v/>
      </c>
      <c r="Q340" s="1">
        <f>IFERROR(P340*G340,0)</f>
        <v/>
      </c>
    </row>
    <row r="341">
      <c r="A341" t="inlineStr">
        <is>
          <t>2517X28MM</t>
        </is>
      </c>
      <c r="B341" t="inlineStr">
        <is>
          <t>TAPER LOCK BUSH METRIC 2517 28MM FENNER</t>
        </is>
      </c>
      <c r="C341" t="inlineStr"/>
      <c r="D341" t="n">
        <v>1</v>
      </c>
      <c r="E341" t="n">
        <v>1</v>
      </c>
      <c r="F341" t="inlineStr">
        <is>
          <t>Bearing Man Group</t>
        </is>
      </c>
      <c r="G341" s="1" t="n">
        <v>154.81</v>
      </c>
      <c r="H341" t="n">
        <v>0</v>
      </c>
      <c r="I341" t="n">
        <v>0.5</v>
      </c>
      <c r="J341" t="n">
        <v>1</v>
      </c>
      <c r="K341" t="n">
        <v>1</v>
      </c>
      <c r="L341" t="n">
        <v>0</v>
      </c>
      <c r="M341" t="n">
        <v>0</v>
      </c>
      <c r="N341" t="n">
        <v>2</v>
      </c>
      <c r="O341" s="1">
        <f>IFERROR(L341*G341,0)</f>
        <v/>
      </c>
      <c r="P341">
        <f>IF(N341-L341-M341&gt;0,N341-L341-M341,0)</f>
        <v/>
      </c>
      <c r="Q341" s="1">
        <f>IFERROR(P341*G341,0)</f>
        <v/>
      </c>
    </row>
    <row r="342">
      <c r="A342" t="inlineStr">
        <is>
          <t>2517X35MM</t>
        </is>
      </c>
      <c r="B342" t="inlineStr">
        <is>
          <t>TAPER LOCK BUSH METRIC 2517 35MM FENNER</t>
        </is>
      </c>
      <c r="C342" t="inlineStr"/>
      <c r="D342" t="n">
        <v>1</v>
      </c>
      <c r="E342" t="n">
        <v>2</v>
      </c>
      <c r="F342" t="inlineStr">
        <is>
          <t>Bearing Man Group</t>
        </is>
      </c>
      <c r="G342" s="1" t="n">
        <v>170.11</v>
      </c>
      <c r="H342" t="n">
        <v>0</v>
      </c>
      <c r="I342" t="n">
        <v>0.5</v>
      </c>
      <c r="J342" t="n">
        <v>2</v>
      </c>
      <c r="K342" t="n">
        <v>1</v>
      </c>
      <c r="L342" t="n">
        <v>0</v>
      </c>
      <c r="M342" t="n">
        <v>0</v>
      </c>
      <c r="N342" t="n">
        <v>5</v>
      </c>
      <c r="O342" s="1">
        <f>IFERROR(L342*G342,0)</f>
        <v/>
      </c>
      <c r="P342">
        <f>IF(N342-L342-M342&gt;0,N342-L342-M342,0)</f>
        <v/>
      </c>
      <c r="Q342" s="1">
        <f>IFERROR(P342*G342,0)</f>
        <v/>
      </c>
    </row>
    <row r="343">
      <c r="A343" t="inlineStr">
        <is>
          <t>257799</t>
        </is>
      </c>
      <c r="B343" t="inlineStr">
        <is>
          <t>M10 DIN 934 GRADE 8.8 HEX NUT - Satinless Steel</t>
        </is>
      </c>
      <c r="C343" t="inlineStr"/>
      <c r="D343" t="n">
        <v>1</v>
      </c>
      <c r="E343" t="n">
        <v>120</v>
      </c>
      <c r="F343" t="inlineStr">
        <is>
          <t>M&amp;D SPECIALISED FASTENERS (PTY) LTD</t>
        </is>
      </c>
      <c r="G343" s="1" t="n">
        <v>1.5</v>
      </c>
      <c r="H343" t="n">
        <v>0</v>
      </c>
      <c r="I343" t="n">
        <v>0.5</v>
      </c>
      <c r="J343" t="n">
        <v>120</v>
      </c>
      <c r="K343" t="n">
        <v>60</v>
      </c>
      <c r="L343" t="n">
        <v>0</v>
      </c>
      <c r="M343" t="n">
        <v>0</v>
      </c>
      <c r="N343" t="n">
        <v>300</v>
      </c>
      <c r="O343" s="1">
        <f>IFERROR(L343*G343,0)</f>
        <v/>
      </c>
      <c r="P343">
        <f>IF(N343-L343-M343&gt;0,N343-L343-M343,0)</f>
        <v/>
      </c>
      <c r="Q343" s="1">
        <f>IFERROR(P343*G343,0)</f>
        <v/>
      </c>
    </row>
    <row r="344">
      <c r="A344" t="inlineStr">
        <is>
          <t>257855</t>
        </is>
      </c>
      <c r="B344" t="inlineStr">
        <is>
          <t>M16 GR8 HEX NUT Z/BLUE</t>
        </is>
      </c>
      <c r="C344" t="inlineStr"/>
      <c r="D344" t="n">
        <v>9</v>
      </c>
      <c r="E344" t="n">
        <v>610</v>
      </c>
      <c r="F344" t="inlineStr">
        <is>
          <t>M&amp;D SPECIALISED FASTENERS (PTY) LTD</t>
        </is>
      </c>
      <c r="G344" s="1" t="n">
        <v>1.88</v>
      </c>
      <c r="H344" t="n">
        <v>0</v>
      </c>
      <c r="I344" t="n">
        <v>0.5</v>
      </c>
      <c r="J344" t="n">
        <v>68</v>
      </c>
      <c r="K344" t="n">
        <v>34</v>
      </c>
      <c r="L344" t="n">
        <v>0</v>
      </c>
      <c r="M344" t="n">
        <v>0</v>
      </c>
      <c r="N344" t="n">
        <v>170</v>
      </c>
      <c r="O344" s="1">
        <f>IFERROR(L344*G344,0)</f>
        <v/>
      </c>
      <c r="P344">
        <f>IF(N344-L344-M344&gt;0,N344-L344-M344,0)</f>
        <v/>
      </c>
      <c r="Q344" s="1">
        <f>IFERROR(P344*G344,0)</f>
        <v/>
      </c>
    </row>
    <row r="345">
      <c r="A345" t="inlineStr">
        <is>
          <t>258032</t>
        </is>
      </c>
      <c r="B345" t="inlineStr">
        <is>
          <t>M5 HT HEX NUT Z/BLUE</t>
        </is>
      </c>
      <c r="C345" t="inlineStr"/>
      <c r="D345" t="n">
        <v>1</v>
      </c>
      <c r="E345" t="n">
        <v>200</v>
      </c>
      <c r="F345" t="inlineStr">
        <is>
          <t>M&amp;D SPECIALISED FASTENERS (PTY) LTD</t>
        </is>
      </c>
      <c r="G345" s="1" t="n">
        <v>0.15</v>
      </c>
      <c r="H345" t="n">
        <v>0</v>
      </c>
      <c r="I345" t="n">
        <v>0.5</v>
      </c>
      <c r="J345" t="n">
        <v>200</v>
      </c>
      <c r="K345" t="n">
        <v>100</v>
      </c>
      <c r="L345" t="n">
        <v>0</v>
      </c>
      <c r="M345" t="n">
        <v>0</v>
      </c>
      <c r="N345" t="n">
        <v>500</v>
      </c>
      <c r="O345" s="1">
        <f>IFERROR(L345*G345,0)</f>
        <v/>
      </c>
      <c r="P345">
        <f>IF(N345-L345-M345&gt;0,N345-L345-M345,0)</f>
        <v/>
      </c>
      <c r="Q345" s="1">
        <f>IFERROR(P345*G345,0)</f>
        <v/>
      </c>
    </row>
    <row r="346">
      <c r="A346" t="inlineStr">
        <is>
          <t>258205</t>
        </is>
      </c>
      <c r="B346" t="inlineStr">
        <is>
          <t>M12 HT NYLOCK NUT</t>
        </is>
      </c>
      <c r="C346" t="inlineStr"/>
      <c r="D346" t="n">
        <v>1</v>
      </c>
      <c r="E346" t="n">
        <v>40</v>
      </c>
      <c r="F346" t="inlineStr">
        <is>
          <t>M&amp;D SPECIALISED FASTENERS (PTY) LTD</t>
        </is>
      </c>
      <c r="G346" s="1" t="n">
        <v>0.9</v>
      </c>
      <c r="H346" t="n">
        <v>0</v>
      </c>
      <c r="I346" t="n">
        <v>0.5</v>
      </c>
      <c r="J346" t="n">
        <v>40</v>
      </c>
      <c r="K346" t="n">
        <v>20</v>
      </c>
      <c r="L346" t="n">
        <v>0</v>
      </c>
      <c r="M346" t="n">
        <v>0</v>
      </c>
      <c r="N346" t="n">
        <v>100</v>
      </c>
      <c r="O346" s="1">
        <f>IFERROR(L346*G346,0)</f>
        <v/>
      </c>
      <c r="P346">
        <f>IF(N346-L346-M346&gt;0,N346-L346-M346,0)</f>
        <v/>
      </c>
      <c r="Q346" s="1">
        <f>IFERROR(P346*G346,0)</f>
        <v/>
      </c>
    </row>
    <row r="347">
      <c r="A347" t="inlineStr">
        <is>
          <t>258306</t>
        </is>
      </c>
      <c r="B347" t="inlineStr">
        <is>
          <t>M6 HT NYLOCK NUT</t>
        </is>
      </c>
      <c r="C347" t="inlineStr"/>
      <c r="D347" t="n">
        <v>17</v>
      </c>
      <c r="E347" t="n">
        <v>500</v>
      </c>
      <c r="F347" t="inlineStr">
        <is>
          <t>M&amp;D SPECIALISED FASTENERS (PTY) LTD</t>
        </is>
      </c>
      <c r="G347" s="1" t="n">
        <v>0.2</v>
      </c>
      <c r="H347" t="n">
        <v>0</v>
      </c>
      <c r="I347" t="n">
        <v>0.5</v>
      </c>
      <c r="J347" t="n">
        <v>29.5</v>
      </c>
      <c r="K347" t="n">
        <v>15</v>
      </c>
      <c r="L347" t="n">
        <v>0</v>
      </c>
      <c r="M347" t="n">
        <v>0</v>
      </c>
      <c r="N347" t="n">
        <v>74</v>
      </c>
      <c r="O347" s="1">
        <f>IFERROR(L347*G347,0)</f>
        <v/>
      </c>
      <c r="P347">
        <f>IF(N347-L347-M347&gt;0,N347-L347-M347,0)</f>
        <v/>
      </c>
      <c r="Q347" s="1">
        <f>IFERROR(P347*G347,0)</f>
        <v/>
      </c>
    </row>
    <row r="348">
      <c r="A348" t="inlineStr">
        <is>
          <t>26-29</t>
        </is>
      </c>
      <c r="B348" t="inlineStr">
        <is>
          <t>4MM RED RING LUGS</t>
        </is>
      </c>
      <c r="C348" t="inlineStr"/>
      <c r="D348" t="n">
        <v>1</v>
      </c>
      <c r="E348" t="n">
        <v>4</v>
      </c>
      <c r="F348" t="inlineStr">
        <is>
          <t>Atlantic Lighting &amp; Electrical distributors</t>
        </is>
      </c>
      <c r="G348" s="1" t="n">
        <v>83.34</v>
      </c>
      <c r="H348" t="n">
        <v>0</v>
      </c>
      <c r="I348" t="n">
        <v>0.5</v>
      </c>
      <c r="J348" t="n">
        <v>4</v>
      </c>
      <c r="K348" t="n">
        <v>2</v>
      </c>
      <c r="L348" t="n">
        <v>0</v>
      </c>
      <c r="M348" t="n">
        <v>0</v>
      </c>
      <c r="N348" t="n">
        <v>10</v>
      </c>
      <c r="O348" s="1">
        <f>IFERROR(L348*G348,0)</f>
        <v/>
      </c>
      <c r="P348">
        <f>IF(N348-L348-M348&gt;0,N348-L348-M348,0)</f>
        <v/>
      </c>
      <c r="Q348" s="1">
        <f>IFERROR(P348*G348,0)</f>
        <v/>
      </c>
    </row>
    <row r="349">
      <c r="A349" t="inlineStr">
        <is>
          <t>26-30</t>
        </is>
      </c>
      <c r="B349" t="inlineStr">
        <is>
          <t>5MM RED RING LUGS</t>
        </is>
      </c>
      <c r="C349" t="inlineStr"/>
      <c r="D349" t="n">
        <v>1</v>
      </c>
      <c r="E349" t="n">
        <v>4</v>
      </c>
      <c r="F349" t="inlineStr">
        <is>
          <t>Atlantic Lighting &amp; Electrical distributors</t>
        </is>
      </c>
      <c r="G349" s="1" t="n">
        <v>86.31</v>
      </c>
      <c r="H349" t="n">
        <v>0</v>
      </c>
      <c r="I349" t="n">
        <v>0.5</v>
      </c>
      <c r="J349" t="n">
        <v>4</v>
      </c>
      <c r="K349" t="n">
        <v>2</v>
      </c>
      <c r="L349" t="n">
        <v>0</v>
      </c>
      <c r="M349" t="n">
        <v>0</v>
      </c>
      <c r="N349" t="n">
        <v>10</v>
      </c>
      <c r="O349" s="1">
        <f>IFERROR(L349*G349,0)</f>
        <v/>
      </c>
      <c r="P349">
        <f>IF(N349-L349-M349&gt;0,N349-L349-M349,0)</f>
        <v/>
      </c>
      <c r="Q349" s="1">
        <f>IFERROR(P349*G349,0)</f>
        <v/>
      </c>
    </row>
    <row r="350">
      <c r="A350" t="inlineStr">
        <is>
          <t>26027</t>
        </is>
      </c>
      <c r="B350" t="inlineStr">
        <is>
          <t>DEUMIDO 20</t>
        </is>
      </c>
      <c r="C350" t="inlineStr">
        <is>
          <t>FM - VORTICE</t>
        </is>
      </c>
      <c r="D350" t="n">
        <v>13</v>
      </c>
      <c r="E350" t="n">
        <v>0</v>
      </c>
      <c r="F350" t="inlineStr"/>
      <c r="G350" s="1" t="n">
        <v>0</v>
      </c>
      <c r="H350" t="n">
        <v>4</v>
      </c>
      <c r="I350" t="n">
        <v>0.5</v>
      </c>
      <c r="J350" t="n">
        <v>1</v>
      </c>
      <c r="K350" t="n">
        <v>1</v>
      </c>
      <c r="L350" t="n">
        <v>0</v>
      </c>
      <c r="M350" t="n">
        <v>0</v>
      </c>
      <c r="N350" t="n">
        <v>2</v>
      </c>
      <c r="O350" s="1">
        <f>IFERROR(L350*G350,0)</f>
        <v/>
      </c>
      <c r="P350">
        <f>IF(N350-L350-M350&gt;0,N350-L350-M350,0)</f>
        <v/>
      </c>
      <c r="Q350" s="1">
        <f>IFERROR(P350*G350,0)</f>
        <v/>
      </c>
    </row>
    <row r="351">
      <c r="A351" t="inlineStr">
        <is>
          <t>267215</t>
        </is>
      </c>
      <c r="B351" t="inlineStr">
        <is>
          <t>M12 HEX NUT ZINC BLUE</t>
        </is>
      </c>
      <c r="C351" t="inlineStr"/>
      <c r="D351" t="n">
        <v>20</v>
      </c>
      <c r="E351" t="n">
        <v>904</v>
      </c>
      <c r="F351" t="inlineStr">
        <is>
          <t>M&amp;D SPECIALISED FASTENERS (PTY) LTD</t>
        </is>
      </c>
      <c r="G351" s="1" t="n">
        <v>1</v>
      </c>
      <c r="H351" t="n">
        <v>0</v>
      </c>
      <c r="I351" t="n">
        <v>0.5</v>
      </c>
      <c r="J351" t="n">
        <v>45.5</v>
      </c>
      <c r="K351" t="n">
        <v>23</v>
      </c>
      <c r="L351" t="n">
        <v>0</v>
      </c>
      <c r="M351" t="n">
        <v>0</v>
      </c>
      <c r="N351" t="n">
        <v>114</v>
      </c>
      <c r="O351" s="1">
        <f>IFERROR(L351*G351,0)</f>
        <v/>
      </c>
      <c r="P351">
        <f>IF(N351-L351-M351&gt;0,N351-L351-M351,0)</f>
        <v/>
      </c>
      <c r="Q351" s="1">
        <f>IFERROR(P351*G351,0)</f>
        <v/>
      </c>
    </row>
    <row r="352">
      <c r="A352" t="inlineStr">
        <is>
          <t>3 MM PLT</t>
        </is>
      </c>
      <c r="B352" t="inlineStr">
        <is>
          <t>Bending</t>
        </is>
      </c>
      <c r="C352" t="inlineStr"/>
      <c r="D352" t="n">
        <v>1</v>
      </c>
      <c r="E352" t="n">
        <v>160</v>
      </c>
      <c r="F352" t="inlineStr">
        <is>
          <t>Kart Shop TA Ultimate Laser Cutting</t>
        </is>
      </c>
      <c r="G352" s="1" t="n">
        <v>5</v>
      </c>
      <c r="H352" t="n">
        <v>0</v>
      </c>
      <c r="I352" t="n">
        <v>0.7</v>
      </c>
      <c r="J352" t="n">
        <v>160</v>
      </c>
      <c r="K352" t="n">
        <v>112</v>
      </c>
      <c r="L352" t="n">
        <v>0</v>
      </c>
      <c r="M352" t="n">
        <v>0</v>
      </c>
      <c r="N352" t="n">
        <v>432</v>
      </c>
      <c r="O352" s="1">
        <f>IFERROR(L352*G352,0)</f>
        <v/>
      </c>
      <c r="P352">
        <f>IF(N352-L352-M352&gt;0,N352-L352-M352,0)</f>
        <v/>
      </c>
      <c r="Q352" s="1">
        <f>IFERROR(P352*G352,0)</f>
        <v/>
      </c>
    </row>
    <row r="353">
      <c r="A353" t="inlineStr">
        <is>
          <t>3000x1500x1.9mm</t>
        </is>
      </c>
      <c r="B353" t="inlineStr">
        <is>
          <t>HR Sheet CQ 3000x1500x1.9mm</t>
        </is>
      </c>
      <c r="C353" t="inlineStr">
        <is>
          <t>FM - SHEET</t>
        </is>
      </c>
      <c r="D353" t="n">
        <v>1</v>
      </c>
      <c r="E353" t="n">
        <v>1</v>
      </c>
      <c r="F353" t="inlineStr">
        <is>
          <t>NJR STEEL - ALRODE (PTY) LTD</t>
        </is>
      </c>
      <c r="G353" s="1" t="n">
        <v>1052.26</v>
      </c>
      <c r="H353" t="n">
        <v>0</v>
      </c>
      <c r="I353" t="n">
        <v>0.5</v>
      </c>
      <c r="J353" t="n">
        <v>1</v>
      </c>
      <c r="K353" t="n">
        <v>1</v>
      </c>
      <c r="L353" t="n">
        <v>0</v>
      </c>
      <c r="M353" t="n">
        <v>0</v>
      </c>
      <c r="N353" t="n">
        <v>2</v>
      </c>
      <c r="O353" s="1">
        <f>IFERROR(L353*G353,0)</f>
        <v/>
      </c>
      <c r="P353">
        <f>IF(N353-L353-M353&gt;0,N353-L353-M353,0)</f>
        <v/>
      </c>
      <c r="Q353" s="1">
        <f>IFERROR(P353*G353,0)</f>
        <v/>
      </c>
    </row>
    <row r="354">
      <c r="A354" t="inlineStr">
        <is>
          <t>3000x1500x3mm</t>
        </is>
      </c>
      <c r="B354" t="inlineStr">
        <is>
          <t>HR Sheet CQ 3000x1500x3mm</t>
        </is>
      </c>
      <c r="C354" t="inlineStr"/>
      <c r="D354" t="n">
        <v>1</v>
      </c>
      <c r="E354" t="n">
        <v>3</v>
      </c>
      <c r="F354" t="inlineStr">
        <is>
          <t>NJR STEEL - ALRODE (PTY) LTD</t>
        </is>
      </c>
      <c r="G354" s="1" t="n">
        <v>1536.76</v>
      </c>
      <c r="H354" t="n">
        <v>0</v>
      </c>
      <c r="I354" t="n">
        <v>0.5</v>
      </c>
      <c r="J354" t="n">
        <v>3</v>
      </c>
      <c r="K354" t="n">
        <v>2</v>
      </c>
      <c r="L354" t="n">
        <v>0</v>
      </c>
      <c r="M354" t="n">
        <v>0</v>
      </c>
      <c r="N354" t="n">
        <v>8</v>
      </c>
      <c r="O354" s="1">
        <f>IFERROR(L354*G354,0)</f>
        <v/>
      </c>
      <c r="P354">
        <f>IF(N354-L354-M354&gt;0,N354-L354-M354,0)</f>
        <v/>
      </c>
      <c r="Q354" s="1">
        <f>IFERROR(P354*G354,0)</f>
        <v/>
      </c>
    </row>
    <row r="355">
      <c r="A355" t="inlineStr">
        <is>
          <t>3000x1500x4mm</t>
        </is>
      </c>
      <c r="B355" t="inlineStr">
        <is>
          <t>HR Sheet CQ 3000x1500x4mm</t>
        </is>
      </c>
      <c r="C355" t="inlineStr">
        <is>
          <t>FM - FABRICATION</t>
        </is>
      </c>
      <c r="D355" t="n">
        <v>1</v>
      </c>
      <c r="E355" t="n">
        <v>2</v>
      </c>
      <c r="F355" t="inlineStr">
        <is>
          <t>NJR STEEL - ALRODE (PTY) LTD</t>
        </is>
      </c>
      <c r="G355" s="1" t="n">
        <v>2024.6</v>
      </c>
      <c r="H355" t="n">
        <v>0</v>
      </c>
      <c r="I355" t="n">
        <v>0.5</v>
      </c>
      <c r="J355" t="n">
        <v>2</v>
      </c>
      <c r="K355" t="n">
        <v>1</v>
      </c>
      <c r="L355" t="n">
        <v>0</v>
      </c>
      <c r="M355" t="n">
        <v>0</v>
      </c>
      <c r="N355" t="n">
        <v>5</v>
      </c>
      <c r="O355" s="1">
        <f>IFERROR(L355*G355,0)</f>
        <v/>
      </c>
      <c r="P355">
        <f>IF(N355-L355-M355&gt;0,N355-L355-M355,0)</f>
        <v/>
      </c>
      <c r="Q355" s="1">
        <f>IFERROR(P355*G355,0)</f>
        <v/>
      </c>
    </row>
    <row r="356">
      <c r="A356" t="inlineStr">
        <is>
          <t>300WL</t>
        </is>
      </c>
      <c r="B356" t="inlineStr">
        <is>
          <t>Weather Louvre</t>
        </is>
      </c>
      <c r="C356" t="inlineStr"/>
      <c r="D356" t="n">
        <v>1</v>
      </c>
      <c r="E356" t="n">
        <v>0</v>
      </c>
      <c r="F356" t="inlineStr"/>
      <c r="G356" s="1" t="n">
        <v>0</v>
      </c>
      <c r="H356" t="n">
        <v>1</v>
      </c>
      <c r="I356" t="n">
        <v>0.5</v>
      </c>
      <c r="J356" t="n">
        <v>1</v>
      </c>
      <c r="K356" t="n">
        <v>1</v>
      </c>
      <c r="L356" t="n">
        <v>0</v>
      </c>
      <c r="M356" t="n">
        <v>0</v>
      </c>
      <c r="N356" t="n">
        <v>2</v>
      </c>
      <c r="O356" s="1">
        <f>IFERROR(L356*G356,0)</f>
        <v/>
      </c>
      <c r="P356">
        <f>IF(N356-L356-M356&gt;0,N356-L356-M356,0)</f>
        <v/>
      </c>
      <c r="Q356" s="1">
        <f>IFERROR(P356*G356,0)</f>
        <v/>
      </c>
    </row>
    <row r="357">
      <c r="A357" t="inlineStr">
        <is>
          <t>30301</t>
        </is>
      </c>
      <c r="B357" t="inlineStr">
        <is>
          <t>C 10/2 T ATEX II 2G/D h T3/125 X Gb/Db</t>
        </is>
      </c>
      <c r="C357" t="inlineStr">
        <is>
          <t>FM - VORTICE</t>
        </is>
      </c>
      <c r="D357" t="n">
        <v>15</v>
      </c>
      <c r="E357" t="n">
        <v>0</v>
      </c>
      <c r="F357" t="inlineStr"/>
      <c r="G357" s="1" t="n">
        <v>0</v>
      </c>
      <c r="H357" t="n">
        <v>1</v>
      </c>
      <c r="I357" t="n">
        <v>0.5</v>
      </c>
      <c r="J357" t="n">
        <v>1</v>
      </c>
      <c r="K357" t="n">
        <v>1</v>
      </c>
      <c r="L357" t="n">
        <v>0</v>
      </c>
      <c r="M357" t="n">
        <v>0</v>
      </c>
      <c r="N357" t="n">
        <v>2</v>
      </c>
      <c r="O357" s="1">
        <f>IFERROR(L357*G357,0)</f>
        <v/>
      </c>
      <c r="P357">
        <f>IF(N357-L357-M357&gt;0,N357-L357-M357,0)</f>
        <v/>
      </c>
      <c r="Q357" s="1">
        <f>IFERROR(P357*G357,0)</f>
        <v/>
      </c>
    </row>
    <row r="358">
      <c r="A358" t="inlineStr">
        <is>
          <t>30305</t>
        </is>
      </c>
      <c r="B358" t="inlineStr">
        <is>
          <t>C 20/2 T ATEX II 2G/D h T3/125 X Gb/Db</t>
        </is>
      </c>
      <c r="C358" t="inlineStr">
        <is>
          <t>FM - VORTICE</t>
        </is>
      </c>
      <c r="D358" t="n">
        <v>29</v>
      </c>
      <c r="E358" t="n">
        <v>0</v>
      </c>
      <c r="F358" t="inlineStr"/>
      <c r="G358" s="1" t="n">
        <v>0</v>
      </c>
      <c r="H358" t="n">
        <v>1</v>
      </c>
      <c r="I358" t="n">
        <v>0.5</v>
      </c>
      <c r="J358" t="n">
        <v>1</v>
      </c>
      <c r="K358" t="n">
        <v>1</v>
      </c>
      <c r="L358" t="n">
        <v>0</v>
      </c>
      <c r="M358" t="n">
        <v>0</v>
      </c>
      <c r="N358" t="n">
        <v>2</v>
      </c>
      <c r="O358" s="1">
        <f>IFERROR(L358*G358,0)</f>
        <v/>
      </c>
      <c r="P358">
        <f>IF(N358-L358-M358&gt;0,N358-L358-M358,0)</f>
        <v/>
      </c>
      <c r="Q358" s="1">
        <f>IFERROR(P358*G358,0)</f>
        <v/>
      </c>
    </row>
    <row r="359">
      <c r="A359" t="inlineStr">
        <is>
          <t>30311</t>
        </is>
      </c>
      <c r="B359" t="inlineStr">
        <is>
          <t>C 37/4 T ATEX II 2G/D h T3/125 X Gb/Db</t>
        </is>
      </c>
      <c r="C359" t="inlineStr">
        <is>
          <t>FM - VORTICE</t>
        </is>
      </c>
      <c r="D359" t="n">
        <v>1</v>
      </c>
      <c r="E359" t="n">
        <v>0</v>
      </c>
      <c r="F359" t="inlineStr"/>
      <c r="G359" s="1" t="n">
        <v>0</v>
      </c>
      <c r="H359" t="n">
        <v>1</v>
      </c>
      <c r="I359" t="n">
        <v>0.5</v>
      </c>
      <c r="J359" t="n">
        <v>1</v>
      </c>
      <c r="K359" t="n">
        <v>1</v>
      </c>
      <c r="L359" t="n">
        <v>0</v>
      </c>
      <c r="M359" t="n">
        <v>0</v>
      </c>
      <c r="N359" t="n">
        <v>2</v>
      </c>
      <c r="O359" s="1">
        <f>IFERROR(L359*G359,0)</f>
        <v/>
      </c>
      <c r="P359">
        <f>IF(N359-L359-M359&gt;0,N359-L359-M359,0)</f>
        <v/>
      </c>
      <c r="Q359" s="1">
        <f>IFERROR(P359*G359,0)</f>
        <v/>
      </c>
    </row>
    <row r="360">
      <c r="A360" t="inlineStr">
        <is>
          <t>315 LS</t>
        </is>
      </c>
      <c r="B360" t="inlineStr">
        <is>
          <t>Louvre Shutter</t>
        </is>
      </c>
      <c r="C360" t="inlineStr"/>
      <c r="D360" t="n">
        <v>1</v>
      </c>
      <c r="E360" t="n">
        <v>0</v>
      </c>
      <c r="F360" t="inlineStr"/>
      <c r="G360" s="1" t="n">
        <v>0</v>
      </c>
      <c r="H360" t="n">
        <v>1</v>
      </c>
      <c r="I360" t="n">
        <v>0.5</v>
      </c>
      <c r="J360" t="n">
        <v>1</v>
      </c>
      <c r="K360" t="n">
        <v>1</v>
      </c>
      <c r="L360" t="n">
        <v>0</v>
      </c>
      <c r="M360" t="n">
        <v>0</v>
      </c>
      <c r="N360" t="n">
        <v>2</v>
      </c>
      <c r="O360" s="1">
        <f>IFERROR(L360*G360,0)</f>
        <v/>
      </c>
      <c r="P360">
        <f>IF(N360-L360-M360&gt;0,N360-L360-M360,0)</f>
        <v/>
      </c>
      <c r="Q360" s="1">
        <f>IFERROR(P360*G360,0)</f>
        <v/>
      </c>
    </row>
    <row r="361">
      <c r="A361" t="inlineStr">
        <is>
          <t>315-560AVMS</t>
        </is>
      </c>
      <c r="B361" t="inlineStr">
        <is>
          <t>315 to 560 NDA RED ANeoprene Floor Mounts</t>
        </is>
      </c>
      <c r="C361" t="inlineStr">
        <is>
          <t>FM - DONKIN</t>
        </is>
      </c>
      <c r="D361" t="n">
        <v>33</v>
      </c>
      <c r="E361" t="n">
        <v>1538</v>
      </c>
      <c r="F361" t="inlineStr">
        <is>
          <t>Seal 'N Devices (Pty) Ltd</t>
        </is>
      </c>
      <c r="G361" s="1" t="n">
        <v>42.94</v>
      </c>
      <c r="H361" t="n">
        <v>1092</v>
      </c>
      <c r="I361" t="n">
        <v>0.5</v>
      </c>
      <c r="J361" t="n">
        <v>47</v>
      </c>
      <c r="K361" t="n">
        <v>24</v>
      </c>
      <c r="L361" t="n">
        <v>0</v>
      </c>
      <c r="M361" t="n">
        <v>0</v>
      </c>
      <c r="N361" t="n">
        <v>118</v>
      </c>
      <c r="O361" s="1">
        <f>IFERROR(L361*G361,0)</f>
        <v/>
      </c>
      <c r="P361">
        <f>IF(N361-L361-M361&gt;0,N361-L361-M361,0)</f>
        <v/>
      </c>
      <c r="Q361" s="1">
        <f>IFERROR(P361*G361,0)</f>
        <v/>
      </c>
    </row>
    <row r="362">
      <c r="A362" t="inlineStr">
        <is>
          <t>315CF</t>
        </is>
      </c>
      <c r="B362" t="inlineStr">
        <is>
          <t>315 Diam Counter Flange</t>
        </is>
      </c>
      <c r="C362" t="inlineStr">
        <is>
          <t>FM - C/FLANGE</t>
        </is>
      </c>
      <c r="D362" t="n">
        <v>32</v>
      </c>
      <c r="E362" t="n">
        <v>333</v>
      </c>
      <c r="F362" t="inlineStr">
        <is>
          <t>Attenu-Tec HVAC Parts</t>
        </is>
      </c>
      <c r="G362" s="1" t="n">
        <v>76.19</v>
      </c>
      <c r="H362" t="n">
        <v>261</v>
      </c>
      <c r="I362" t="n">
        <v>0.7</v>
      </c>
      <c r="J362" t="n">
        <v>10.5</v>
      </c>
      <c r="K362" t="n">
        <v>7</v>
      </c>
      <c r="L362" t="n">
        <v>0</v>
      </c>
      <c r="M362" t="n">
        <v>0</v>
      </c>
      <c r="N362" t="n">
        <v>28</v>
      </c>
      <c r="O362" s="1">
        <f>IFERROR(L362*G362,0)</f>
        <v/>
      </c>
      <c r="P362">
        <f>IF(N362-L362-M362&gt;0,N362-L362-M362,0)</f>
        <v/>
      </c>
      <c r="Q362" s="1">
        <f>IFERROR(P362*G362,0)</f>
        <v/>
      </c>
    </row>
    <row r="363">
      <c r="A363" t="inlineStr">
        <is>
          <t>315FC</t>
        </is>
      </c>
      <c r="B363" t="inlineStr">
        <is>
          <t>315 Diam Flexible Connection</t>
        </is>
      </c>
      <c r="C363" t="inlineStr">
        <is>
          <t>FM - DONKIN</t>
        </is>
      </c>
      <c r="D363" t="n">
        <v>13</v>
      </c>
      <c r="E363" t="n">
        <v>6</v>
      </c>
      <c r="F363" t="inlineStr">
        <is>
          <t>Attenu-Tec</t>
        </is>
      </c>
      <c r="G363" s="1" t="n">
        <v>142.96</v>
      </c>
      <c r="H363" t="n">
        <v>4</v>
      </c>
      <c r="I363" t="n">
        <v>0.5</v>
      </c>
      <c r="J363" t="n">
        <v>1</v>
      </c>
      <c r="K363" t="n">
        <v>1</v>
      </c>
      <c r="L363" t="n">
        <v>0</v>
      </c>
      <c r="M363" t="n">
        <v>0</v>
      </c>
      <c r="N363" t="n">
        <v>2</v>
      </c>
      <c r="O363" s="1">
        <f>IFERROR(L363*G363,0)</f>
        <v/>
      </c>
      <c r="P363">
        <f>IF(N363-L363-M363&gt;0,N363-L363-M363,0)</f>
        <v/>
      </c>
      <c r="Q363" s="1">
        <f>IFERROR(P363*G363,0)</f>
        <v/>
      </c>
    </row>
    <row r="364">
      <c r="A364" t="inlineStr">
        <is>
          <t>315MBP01</t>
        </is>
      </c>
      <c r="B364" t="inlineStr">
        <is>
          <t>1-0350-240-P01 - 315 Motor Bracket</t>
        </is>
      </c>
      <c r="C364" t="inlineStr"/>
      <c r="D364" t="n">
        <v>20</v>
      </c>
      <c r="E364" t="n">
        <v>372</v>
      </c>
      <c r="F364" t="inlineStr">
        <is>
          <t>Mafilisti Trading and Projects (Pty) Ltd</t>
        </is>
      </c>
      <c r="G364" s="1" t="n">
        <v>28.55</v>
      </c>
      <c r="H364" t="n">
        <v>0</v>
      </c>
      <c r="I364" t="n">
        <v>0.5</v>
      </c>
      <c r="J364" t="n">
        <v>19</v>
      </c>
      <c r="K364" t="n">
        <v>10</v>
      </c>
      <c r="L364" t="n">
        <v>0</v>
      </c>
      <c r="M364" t="n">
        <v>0</v>
      </c>
      <c r="N364" t="n">
        <v>48</v>
      </c>
      <c r="O364" s="1">
        <f>IFERROR(L364*G364,0)</f>
        <v/>
      </c>
      <c r="P364">
        <f>IF(N364-L364-M364&gt;0,N364-L364-M364,0)</f>
        <v/>
      </c>
      <c r="Q364" s="1">
        <f>IFERROR(P364*G364,0)</f>
        <v/>
      </c>
    </row>
    <row r="365">
      <c r="A365" t="inlineStr">
        <is>
          <t>315MF</t>
        </is>
      </c>
      <c r="B365" t="inlineStr">
        <is>
          <t>315 Diam Mounting Feet</t>
        </is>
      </c>
      <c r="C365" t="inlineStr">
        <is>
          <t>FM - M/FEET</t>
        </is>
      </c>
      <c r="D365" t="n">
        <v>32</v>
      </c>
      <c r="E365" t="n">
        <v>269</v>
      </c>
      <c r="F365" t="inlineStr">
        <is>
          <t>Attenu-Tec HVAC Parts</t>
        </is>
      </c>
      <c r="G365" s="1" t="n">
        <v>22.51</v>
      </c>
      <c r="H365" t="n">
        <v>353</v>
      </c>
      <c r="I365" t="n">
        <v>0.7</v>
      </c>
      <c r="J365" t="n">
        <v>11.5</v>
      </c>
      <c r="K365" t="n">
        <v>8</v>
      </c>
      <c r="L365" t="n">
        <v>0</v>
      </c>
      <c r="M365" t="n">
        <v>0</v>
      </c>
      <c r="N365" t="n">
        <v>31</v>
      </c>
      <c r="O365" s="1">
        <f>IFERROR(L365*G365,0)</f>
        <v/>
      </c>
      <c r="P365">
        <f>IF(N365-L365-M365&gt;0,N365-L365-M365,0)</f>
        <v/>
      </c>
      <c r="Q365" s="1">
        <f>IFERROR(P365*G365,0)</f>
        <v/>
      </c>
    </row>
    <row r="366">
      <c r="A366" t="inlineStr">
        <is>
          <t>315PLT315-2MM</t>
        </is>
      </c>
      <c r="B366" t="inlineStr">
        <is>
          <t>315 Casing Sheet - 995 x 315 - 2mm</t>
        </is>
      </c>
      <c r="C366" t="inlineStr">
        <is>
          <t>FM - FABRICATION</t>
        </is>
      </c>
      <c r="D366" t="n">
        <v>1</v>
      </c>
      <c r="E366" t="n">
        <v>10</v>
      </c>
      <c r="F366" t="inlineStr">
        <is>
          <t>NJR STEEL - ALRODE (PTY) LTD</t>
        </is>
      </c>
      <c r="G366" s="1" t="n">
        <v>133</v>
      </c>
      <c r="H366" t="n">
        <v>0</v>
      </c>
      <c r="I366" t="n">
        <v>0.5</v>
      </c>
      <c r="J366" t="n">
        <v>10</v>
      </c>
      <c r="K366" t="n">
        <v>5</v>
      </c>
      <c r="L366" t="n">
        <v>0</v>
      </c>
      <c r="M366" t="n">
        <v>0</v>
      </c>
      <c r="N366" t="n">
        <v>25</v>
      </c>
      <c r="O366" s="1">
        <f>IFERROR(L366*G366,0)</f>
        <v/>
      </c>
      <c r="P366">
        <f>IF(N366-L366-M366&gt;0,N366-L366-M366,0)</f>
        <v/>
      </c>
      <c r="Q366" s="1">
        <f>IFERROR(P366*G366,0)</f>
        <v/>
      </c>
    </row>
    <row r="367">
      <c r="A367" t="inlineStr">
        <is>
          <t>315S1.0DP</t>
        </is>
      </c>
      <c r="B367" t="inlineStr">
        <is>
          <t>315 Diam Silencer 1.0D Podded</t>
        </is>
      </c>
      <c r="C367" t="inlineStr">
        <is>
          <t>FM - DONKIN</t>
        </is>
      </c>
      <c r="D367" t="n">
        <v>23</v>
      </c>
      <c r="E367" t="n">
        <v>4</v>
      </c>
      <c r="F367" t="inlineStr">
        <is>
          <t>Attenu-Tec</t>
        </is>
      </c>
      <c r="G367" s="1" t="n">
        <v>1425</v>
      </c>
      <c r="H367" t="n">
        <v>3</v>
      </c>
      <c r="I367" t="n">
        <v>0.5</v>
      </c>
      <c r="J367" t="n">
        <v>1</v>
      </c>
      <c r="K367" t="n">
        <v>1</v>
      </c>
      <c r="L367" t="n">
        <v>0</v>
      </c>
      <c r="M367" t="n">
        <v>0</v>
      </c>
      <c r="N367" t="n">
        <v>2</v>
      </c>
      <c r="O367" s="1">
        <f>IFERROR(L367*G367,0)</f>
        <v/>
      </c>
      <c r="P367">
        <f>IF(N367-L367-M367&gt;0,N367-L367-M367,0)</f>
        <v/>
      </c>
      <c r="Q367" s="1">
        <f>IFERROR(P367*G367,0)</f>
        <v/>
      </c>
    </row>
    <row r="368">
      <c r="A368" t="inlineStr">
        <is>
          <t>315S1.5DP</t>
        </is>
      </c>
      <c r="B368" t="inlineStr">
        <is>
          <t>315 Diam Silencer 1.5D Podded</t>
        </is>
      </c>
      <c r="C368" t="inlineStr">
        <is>
          <t>FM - DONKIN</t>
        </is>
      </c>
      <c r="D368" t="n">
        <v>31</v>
      </c>
      <c r="E368" t="n">
        <v>150</v>
      </c>
      <c r="F368" t="inlineStr">
        <is>
          <t>Attenu-Tec</t>
        </is>
      </c>
      <c r="G368" s="1" t="n">
        <v>1340</v>
      </c>
      <c r="H368" t="n">
        <v>147</v>
      </c>
      <c r="I368" t="n">
        <v>0.7</v>
      </c>
      <c r="J368" t="n">
        <v>5</v>
      </c>
      <c r="K368" t="n">
        <v>4</v>
      </c>
      <c r="L368" t="n">
        <v>0</v>
      </c>
      <c r="M368" t="n">
        <v>0</v>
      </c>
      <c r="N368" t="n">
        <v>14</v>
      </c>
      <c r="O368" s="1">
        <f>IFERROR(L368*G368,0)</f>
        <v/>
      </c>
      <c r="P368">
        <f>IF(N368-L368-M368&gt;0,N368-L368-M368,0)</f>
        <v/>
      </c>
      <c r="Q368" s="1">
        <f>IFERROR(P368*G368,0)</f>
        <v/>
      </c>
    </row>
    <row r="369">
      <c r="A369" t="inlineStr">
        <is>
          <t>315S2.0DP</t>
        </is>
      </c>
      <c r="B369" t="inlineStr">
        <is>
          <t>315 Diam Silencer 2.0D Podded</t>
        </is>
      </c>
      <c r="C369" t="inlineStr">
        <is>
          <t>FM - DONKIN</t>
        </is>
      </c>
      <c r="D369" t="n">
        <v>20</v>
      </c>
      <c r="E369" t="n">
        <v>17</v>
      </c>
      <c r="F369" t="inlineStr">
        <is>
          <t>Attenu-Tec</t>
        </is>
      </c>
      <c r="G369" s="1" t="n">
        <v>1695</v>
      </c>
      <c r="H369" t="n">
        <v>19</v>
      </c>
      <c r="I369" t="n">
        <v>0.9</v>
      </c>
      <c r="J369" t="n">
        <v>1</v>
      </c>
      <c r="K369" t="n">
        <v>1</v>
      </c>
      <c r="L369" t="n">
        <v>0</v>
      </c>
      <c r="M369" t="n">
        <v>0</v>
      </c>
      <c r="N369" t="n">
        <v>3</v>
      </c>
      <c r="O369" s="1">
        <f>IFERROR(L369*G369,0)</f>
        <v/>
      </c>
      <c r="P369">
        <f>IF(N369-L369-M369&gt;0,N369-L369-M369,0)</f>
        <v/>
      </c>
      <c r="Q369" s="1">
        <f>IFERROR(P369*G369,0)</f>
        <v/>
      </c>
    </row>
    <row r="370">
      <c r="A370" t="inlineStr">
        <is>
          <t>315SM1.5DP</t>
        </is>
      </c>
      <c r="B370" t="inlineStr">
        <is>
          <t>315 Diam Melinex Silencer 1.5D Podded</t>
        </is>
      </c>
      <c r="C370" t="inlineStr">
        <is>
          <t>FM - DONKIN</t>
        </is>
      </c>
      <c r="D370" t="n">
        <v>1</v>
      </c>
      <c r="E370" t="n">
        <v>2</v>
      </c>
      <c r="F370" t="inlineStr">
        <is>
          <t>Attenu-Tec</t>
        </is>
      </c>
      <c r="G370" s="1" t="n">
        <v>1270</v>
      </c>
      <c r="H370" t="n">
        <v>2</v>
      </c>
      <c r="I370" t="n">
        <v>1.4</v>
      </c>
      <c r="J370" t="n">
        <v>2</v>
      </c>
      <c r="K370" t="n">
        <v>3</v>
      </c>
      <c r="L370" t="n">
        <v>0</v>
      </c>
      <c r="M370" t="n">
        <v>0</v>
      </c>
      <c r="N370" t="n">
        <v>7</v>
      </c>
      <c r="O370" s="1">
        <f>IFERROR(L370*G370,0)</f>
        <v/>
      </c>
      <c r="P370">
        <f>IF(N370-L370-M370&gt;0,N370-L370-M370,0)</f>
        <v/>
      </c>
      <c r="Q370" s="1">
        <f>IFERROR(P370*G370,0)</f>
        <v/>
      </c>
    </row>
    <row r="371">
      <c r="A371" t="inlineStr">
        <is>
          <t>315T300</t>
        </is>
      </c>
      <c r="B371" t="inlineStr">
        <is>
          <t>315 Diam Tube Silencer 300L</t>
        </is>
      </c>
      <c r="C371" t="inlineStr">
        <is>
          <t>FM - DONKIN</t>
        </is>
      </c>
      <c r="D371" t="n">
        <v>1</v>
      </c>
      <c r="E371" t="n">
        <v>10</v>
      </c>
      <c r="F371" t="inlineStr">
        <is>
          <t>Attenu-Tec</t>
        </is>
      </c>
      <c r="G371" s="1" t="n">
        <v>414</v>
      </c>
      <c r="H371" t="n">
        <v>10</v>
      </c>
      <c r="I371" t="n">
        <v>0.5</v>
      </c>
      <c r="J371" t="n">
        <v>10</v>
      </c>
      <c r="K371" t="n">
        <v>5</v>
      </c>
      <c r="L371" t="n">
        <v>0</v>
      </c>
      <c r="M371" t="n">
        <v>0</v>
      </c>
      <c r="N371" t="n">
        <v>25</v>
      </c>
      <c r="O371" s="1">
        <f>IFERROR(L371*G371,0)</f>
        <v/>
      </c>
      <c r="P371">
        <f>IF(N371-L371-M371&gt;0,N371-L371-M371,0)</f>
        <v/>
      </c>
      <c r="Q371" s="1">
        <f>IFERROR(P371*G371,0)</f>
        <v/>
      </c>
    </row>
    <row r="372">
      <c r="A372" t="inlineStr">
        <is>
          <t>315T600</t>
        </is>
      </c>
      <c r="B372" t="inlineStr">
        <is>
          <t>315 Diam Tube Silencer 600L</t>
        </is>
      </c>
      <c r="C372" t="inlineStr">
        <is>
          <t>FM - DONKIN</t>
        </is>
      </c>
      <c r="D372" t="n">
        <v>33</v>
      </c>
      <c r="E372" t="n">
        <v>349</v>
      </c>
      <c r="F372" t="inlineStr">
        <is>
          <t>Attenu-Tec</t>
        </is>
      </c>
      <c r="G372" s="1" t="n">
        <v>679</v>
      </c>
      <c r="H372" t="n">
        <v>370</v>
      </c>
      <c r="I372" t="n">
        <v>0.6</v>
      </c>
      <c r="J372" t="n">
        <v>11.5</v>
      </c>
      <c r="K372" t="n">
        <v>7</v>
      </c>
      <c r="L372" t="n">
        <v>0</v>
      </c>
      <c r="M372" t="n">
        <v>0</v>
      </c>
      <c r="N372" t="n">
        <v>30</v>
      </c>
      <c r="O372" s="1">
        <f>IFERROR(L372*G372,0)</f>
        <v/>
      </c>
      <c r="P372">
        <f>IF(N372-L372-M372&gt;0,N372-L372-M372,0)</f>
        <v/>
      </c>
      <c r="Q372" s="1">
        <f>IFERROR(P372*G372,0)</f>
        <v/>
      </c>
    </row>
    <row r="373">
      <c r="A373" t="inlineStr">
        <is>
          <t>315T900</t>
        </is>
      </c>
      <c r="B373" t="inlineStr">
        <is>
          <t>315 Diam Tube Silencer 900L</t>
        </is>
      </c>
      <c r="C373" t="inlineStr">
        <is>
          <t>FM - DONKIN</t>
        </is>
      </c>
      <c r="D373" t="n">
        <v>1</v>
      </c>
      <c r="E373" t="n">
        <v>1</v>
      </c>
      <c r="F373" t="inlineStr">
        <is>
          <t>Attenu-Tec</t>
        </is>
      </c>
      <c r="G373" s="1" t="n">
        <v>793</v>
      </c>
      <c r="H373" t="n">
        <v>1</v>
      </c>
      <c r="I373" t="n">
        <v>0.5</v>
      </c>
      <c r="J373" t="n">
        <v>1</v>
      </c>
      <c r="K373" t="n">
        <v>1</v>
      </c>
      <c r="L373" t="n">
        <v>0</v>
      </c>
      <c r="M373" t="n">
        <v>0</v>
      </c>
      <c r="N373" t="n">
        <v>2</v>
      </c>
      <c r="O373" s="1">
        <f>IFERROR(L373*G373,0)</f>
        <v/>
      </c>
      <c r="P373">
        <f>IF(N373-L373-M373&gt;0,N373-L373-M373,0)</f>
        <v/>
      </c>
      <c r="Q373" s="1">
        <f>IFERROR(P373*G373,0)</f>
        <v/>
      </c>
    </row>
    <row r="374">
      <c r="A374" t="inlineStr">
        <is>
          <t>32*2-RTUBE</t>
        </is>
      </c>
      <c r="B374" t="inlineStr">
        <is>
          <t>32*2 mm Round Tube Die Set (Die CLR 125mm)</t>
        </is>
      </c>
      <c r="C374" t="inlineStr">
        <is>
          <t>FM - FABRICATION</t>
        </is>
      </c>
      <c r="D374" t="n">
        <v>1</v>
      </c>
      <c r="E374" t="n">
        <v>1</v>
      </c>
      <c r="F374" t="inlineStr">
        <is>
          <t>Strongman Metal Tools CC</t>
        </is>
      </c>
      <c r="G374" s="1" t="n">
        <v>4799</v>
      </c>
      <c r="H374" t="n">
        <v>0</v>
      </c>
      <c r="I374" t="n">
        <v>0.5</v>
      </c>
      <c r="J374" t="n">
        <v>1</v>
      </c>
      <c r="K374" t="n">
        <v>1</v>
      </c>
      <c r="L374" t="n">
        <v>0</v>
      </c>
      <c r="M374" t="n">
        <v>0</v>
      </c>
      <c r="N374" t="n">
        <v>2</v>
      </c>
      <c r="O374" s="1">
        <f>IFERROR(L374*G374,0)</f>
        <v/>
      </c>
      <c r="P374">
        <f>IF(N374-L374-M374&gt;0,N374-L374-M374,0)</f>
        <v/>
      </c>
      <c r="Q374" s="1">
        <f>IFERROR(P374*G374,0)</f>
        <v/>
      </c>
    </row>
    <row r="375">
      <c r="A375" t="inlineStr">
        <is>
          <t>323PM</t>
        </is>
      </c>
      <c r="B375" t="inlineStr">
        <is>
          <t>3kW 2P 380V Pad Mount Motor</t>
        </is>
      </c>
      <c r="C375" t="inlineStr">
        <is>
          <t>FM - MOTOR</t>
        </is>
      </c>
      <c r="D375" t="n">
        <v>20</v>
      </c>
      <c r="E375" t="n">
        <v>13</v>
      </c>
      <c r="F375" t="inlineStr">
        <is>
          <t>ACTOM</t>
        </is>
      </c>
      <c r="G375" s="1" t="n">
        <v>3047.61</v>
      </c>
      <c r="H375" t="n">
        <v>0</v>
      </c>
      <c r="I375" t="n">
        <v>1.3</v>
      </c>
      <c r="J375" t="n">
        <v>1</v>
      </c>
      <c r="K375" t="n">
        <v>1</v>
      </c>
      <c r="L375" t="n">
        <v>0</v>
      </c>
      <c r="M375" t="n">
        <v>3</v>
      </c>
      <c r="N375" t="n">
        <v>3</v>
      </c>
      <c r="O375" s="1">
        <f>IFERROR(L375*G375,0)</f>
        <v/>
      </c>
      <c r="P375">
        <f>IF(N375-L375-M375&gt;0,N375-L375-M375,0)</f>
        <v/>
      </c>
      <c r="Q375" s="1">
        <f>IFERROR(P375*G375,0)</f>
        <v/>
      </c>
    </row>
    <row r="376">
      <c r="A376" t="inlineStr">
        <is>
          <t>343FM</t>
        </is>
      </c>
      <c r="B376" t="inlineStr">
        <is>
          <t>3kW 4P 380V Foot Mount Motor</t>
        </is>
      </c>
      <c r="C376" t="inlineStr"/>
      <c r="D376" t="n">
        <v>1</v>
      </c>
      <c r="E376" t="n">
        <v>6</v>
      </c>
      <c r="F376" t="inlineStr">
        <is>
          <t>ACTOM</t>
        </is>
      </c>
      <c r="G376" s="1" t="n">
        <v>3406</v>
      </c>
      <c r="H376" t="n">
        <v>0</v>
      </c>
      <c r="I376" t="n">
        <v>1</v>
      </c>
      <c r="J376" t="n">
        <v>6</v>
      </c>
      <c r="K376" t="n">
        <v>6</v>
      </c>
      <c r="L376" t="n">
        <v>0</v>
      </c>
      <c r="M376" t="n">
        <v>0</v>
      </c>
      <c r="N376" t="n">
        <v>18</v>
      </c>
      <c r="O376" s="1">
        <f>IFERROR(L376*G376,0)</f>
        <v/>
      </c>
      <c r="P376">
        <f>IF(N376-L376-M376&gt;0,N376-L376-M376,0)</f>
        <v/>
      </c>
      <c r="Q376" s="1">
        <f>IFERROR(P376*G376,0)</f>
        <v/>
      </c>
    </row>
    <row r="377">
      <c r="A377" t="inlineStr">
        <is>
          <t>343PM</t>
        </is>
      </c>
      <c r="B377" t="inlineStr">
        <is>
          <t>3kW 4P 380V Pad Mount Motor</t>
        </is>
      </c>
      <c r="C377" t="inlineStr">
        <is>
          <t>FM - MOTOR</t>
        </is>
      </c>
      <c r="D377" t="n">
        <v>21</v>
      </c>
      <c r="E377" t="n">
        <v>51</v>
      </c>
      <c r="F377" t="inlineStr">
        <is>
          <t>ACTOM</t>
        </is>
      </c>
      <c r="G377" s="1" t="n">
        <v>2917.16</v>
      </c>
      <c r="H377" t="n">
        <v>2</v>
      </c>
      <c r="I377" t="n">
        <v>0.9</v>
      </c>
      <c r="J377" t="n">
        <v>2.5</v>
      </c>
      <c r="K377" t="n">
        <v>2</v>
      </c>
      <c r="L377" t="n">
        <v>0</v>
      </c>
      <c r="M377" t="n">
        <v>6</v>
      </c>
      <c r="N377" t="n">
        <v>7</v>
      </c>
      <c r="O377" s="1">
        <f>IFERROR(L377*G377,0)</f>
        <v/>
      </c>
      <c r="P377">
        <f>IF(N377-L377-M377&gt;0,N377-L377-M377,0)</f>
        <v/>
      </c>
      <c r="Q377" s="1">
        <f>IFERROR(P377*G377,0)</f>
        <v/>
      </c>
    </row>
    <row r="378">
      <c r="A378" t="inlineStr">
        <is>
          <t>350 LV</t>
        </is>
      </c>
      <c r="B378" t="inlineStr">
        <is>
          <t>Louvre Shutter</t>
        </is>
      </c>
      <c r="C378" t="inlineStr"/>
      <c r="D378" t="n">
        <v>2</v>
      </c>
      <c r="E378" t="n">
        <v>0</v>
      </c>
      <c r="F378" t="inlineStr"/>
      <c r="G378" s="1" t="n">
        <v>0</v>
      </c>
      <c r="H378" t="n">
        <v>3</v>
      </c>
      <c r="I378" t="n">
        <v>0.5</v>
      </c>
      <c r="J378" t="n">
        <v>1.5</v>
      </c>
      <c r="K378" t="n">
        <v>1</v>
      </c>
      <c r="L378" t="n">
        <v>0</v>
      </c>
      <c r="M378" t="n">
        <v>0</v>
      </c>
      <c r="N378" t="n">
        <v>4</v>
      </c>
      <c r="O378" s="1">
        <f>IFERROR(L378*G378,0)</f>
        <v/>
      </c>
      <c r="P378">
        <f>IF(N378-L378-M378&gt;0,N378-L378-M378,0)</f>
        <v/>
      </c>
      <c r="Q378" s="1">
        <f>IFERROR(P378*G378,0)</f>
        <v/>
      </c>
    </row>
    <row r="379">
      <c r="A379" t="inlineStr">
        <is>
          <t>355MF</t>
        </is>
      </c>
      <c r="B379" t="inlineStr">
        <is>
          <t>355 Diam Mounting Feet</t>
        </is>
      </c>
      <c r="C379" t="inlineStr">
        <is>
          <t>M/FEET</t>
        </is>
      </c>
      <c r="D379" t="n">
        <v>1</v>
      </c>
      <c r="E379" t="n">
        <v>4</v>
      </c>
      <c r="F379" t="inlineStr">
        <is>
          <t>Attenu-Tec HVAC Parts</t>
        </is>
      </c>
      <c r="G379" s="1" t="n">
        <v>90.15000000000001</v>
      </c>
      <c r="H379" t="n">
        <v>0</v>
      </c>
      <c r="I379" t="n">
        <v>1.5</v>
      </c>
      <c r="J379" t="n">
        <v>4</v>
      </c>
      <c r="K379" t="n">
        <v>6</v>
      </c>
      <c r="L379" t="n">
        <v>0</v>
      </c>
      <c r="M379" t="n">
        <v>0</v>
      </c>
      <c r="N379" t="n">
        <v>14</v>
      </c>
      <c r="O379" s="1">
        <f>IFERROR(L379*G379,0)</f>
        <v/>
      </c>
      <c r="P379">
        <f>IF(N379-L379-M379&gt;0,N379-L379-M379,0)</f>
        <v/>
      </c>
      <c r="Q379" s="1">
        <f>IFERROR(P379*G379,0)</f>
        <v/>
      </c>
    </row>
    <row r="380">
      <c r="A380" t="inlineStr">
        <is>
          <t>355T600.</t>
        </is>
      </c>
      <c r="B380" t="inlineStr">
        <is>
          <t>355 Diam Tube Silencer 600L</t>
        </is>
      </c>
      <c r="C380" t="inlineStr">
        <is>
          <t>FM - DONKIN</t>
        </is>
      </c>
      <c r="D380" t="n">
        <v>31</v>
      </c>
      <c r="E380" t="n">
        <v>57</v>
      </c>
      <c r="F380" t="inlineStr">
        <is>
          <t>Attenu-Tec</t>
        </is>
      </c>
      <c r="G380" s="1" t="n">
        <v>731</v>
      </c>
      <c r="H380" t="n">
        <v>59</v>
      </c>
      <c r="I380" t="n">
        <v>0.7</v>
      </c>
      <c r="J380" t="n">
        <v>2</v>
      </c>
      <c r="K380" t="n">
        <v>1</v>
      </c>
      <c r="L380" t="n">
        <v>0</v>
      </c>
      <c r="M380" t="n">
        <v>6</v>
      </c>
      <c r="N380" t="n">
        <v>5</v>
      </c>
      <c r="O380" s="1">
        <f>IFERROR(L380*G380,0)</f>
        <v/>
      </c>
      <c r="P380">
        <f>IF(N380-L380-M380&gt;0,N380-L380-M380,0)</f>
        <v/>
      </c>
      <c r="Q380" s="1">
        <f>IFERROR(P380*G380,0)</f>
        <v/>
      </c>
    </row>
    <row r="381">
      <c r="A381" t="inlineStr">
        <is>
          <t>363PM</t>
        </is>
      </c>
      <c r="B381" t="inlineStr">
        <is>
          <t>3kW 6P 380V Pad Mount Motor</t>
        </is>
      </c>
      <c r="C381" t="inlineStr"/>
      <c r="D381" t="n">
        <v>1</v>
      </c>
      <c r="E381" t="n">
        <v>0</v>
      </c>
      <c r="F381" t="inlineStr"/>
      <c r="G381" s="1" t="n">
        <v>0</v>
      </c>
      <c r="H381" t="n">
        <v>1</v>
      </c>
      <c r="I381" t="n">
        <v>0.5</v>
      </c>
      <c r="J381" t="n">
        <v>1</v>
      </c>
      <c r="K381" t="n">
        <v>1</v>
      </c>
      <c r="L381" t="n">
        <v>0</v>
      </c>
      <c r="M381" t="n">
        <v>0</v>
      </c>
      <c r="N381" t="n">
        <v>2</v>
      </c>
      <c r="O381" s="1">
        <f>IFERROR(L381*G381,0)</f>
        <v/>
      </c>
      <c r="P381">
        <f>IF(N381-L381-M381&gt;0,N381-L381-M381,0)</f>
        <v/>
      </c>
      <c r="Q381" s="1">
        <f>IFERROR(P381*G381,0)</f>
        <v/>
      </c>
    </row>
    <row r="382">
      <c r="A382" t="inlineStr">
        <is>
          <t>380W, 230V, 800m3/hr, 75lt</t>
        </is>
      </c>
      <c r="B382" t="inlineStr">
        <is>
          <t>Evaporative Air Cooler: 3 Speed</t>
        </is>
      </c>
      <c r="C382" t="inlineStr"/>
      <c r="D382" t="n">
        <v>1</v>
      </c>
      <c r="E382" t="n">
        <v>0</v>
      </c>
      <c r="F382" t="inlineStr"/>
      <c r="G382" s="1" t="n">
        <v>0</v>
      </c>
      <c r="H382" t="n">
        <v>4</v>
      </c>
      <c r="I382" t="n">
        <v>0.5</v>
      </c>
      <c r="J382" t="n">
        <v>4</v>
      </c>
      <c r="K382" t="n">
        <v>2</v>
      </c>
      <c r="L382" t="n">
        <v>0</v>
      </c>
      <c r="M382" t="n">
        <v>0</v>
      </c>
      <c r="N382" t="n">
        <v>10</v>
      </c>
      <c r="O382" s="1">
        <f>IFERROR(L382*G382,0)</f>
        <v/>
      </c>
      <c r="P382">
        <f>IF(N382-L382-M382&gt;0,N382-L382-M382,0)</f>
        <v/>
      </c>
      <c r="Q382" s="1">
        <f>IFERROR(P382*G382,0)</f>
        <v/>
      </c>
    </row>
    <row r="383">
      <c r="A383" t="inlineStr">
        <is>
          <t>3kW VSD</t>
        </is>
      </c>
      <c r="B383" t="inlineStr">
        <is>
          <t>3kW Variable Speed Controller</t>
        </is>
      </c>
      <c r="C383" t="inlineStr">
        <is>
          <t>VSD</t>
        </is>
      </c>
      <c r="D383" t="n">
        <v>1</v>
      </c>
      <c r="E383" t="n">
        <v>0</v>
      </c>
      <c r="F383" t="inlineStr">
        <is>
          <t>AM SYSTEMS INTEGRATIONS (PTY) LTD</t>
        </is>
      </c>
      <c r="G383" s="1" t="n">
        <v>6674.85</v>
      </c>
      <c r="H383" t="n">
        <v>5</v>
      </c>
      <c r="I383" t="n">
        <v>0.9</v>
      </c>
      <c r="J383" t="n">
        <v>5</v>
      </c>
      <c r="K383" t="n">
        <v>4</v>
      </c>
      <c r="L383" t="n">
        <v>0</v>
      </c>
      <c r="M383" t="n">
        <v>3</v>
      </c>
      <c r="N383" t="n">
        <v>14</v>
      </c>
      <c r="O383" s="1">
        <f>IFERROR(L383*G383,0)</f>
        <v/>
      </c>
      <c r="P383">
        <f>IF(N383-L383-M383&gt;0,N383-L383-M383,0)</f>
        <v/>
      </c>
      <c r="Q383" s="1">
        <f>IFERROR(P383*G383,0)</f>
        <v/>
      </c>
    </row>
    <row r="384">
      <c r="A384" t="inlineStr">
        <is>
          <t>3mm gal plt</t>
        </is>
      </c>
      <c r="B384" t="inlineStr">
        <is>
          <t>Program 1 - program 1</t>
        </is>
      </c>
      <c r="C384" t="inlineStr"/>
      <c r="D384" t="n">
        <v>1</v>
      </c>
      <c r="E384" t="n">
        <v>4</v>
      </c>
      <c r="F384" t="inlineStr">
        <is>
          <t>Kart Shop TA Ultimate Laser Cutting</t>
        </is>
      </c>
      <c r="G384" s="1" t="n">
        <v>0</v>
      </c>
      <c r="H384" t="n">
        <v>0</v>
      </c>
      <c r="I384" t="n">
        <v>0.5</v>
      </c>
      <c r="J384" t="n">
        <v>4</v>
      </c>
      <c r="K384" t="n">
        <v>2</v>
      </c>
      <c r="L384" t="n">
        <v>0</v>
      </c>
      <c r="M384" t="n">
        <v>0</v>
      </c>
      <c r="N384" t="n">
        <v>10</v>
      </c>
      <c r="O384" s="1">
        <f>IFERROR(L384*G384,0)</f>
        <v/>
      </c>
      <c r="P384">
        <f>IF(N384-L384-M384&gt;0,N384-L384-M384,0)</f>
        <v/>
      </c>
      <c r="Q384" s="1">
        <f>IFERROR(P384*G384,0)</f>
        <v/>
      </c>
    </row>
    <row r="385">
      <c r="A385" t="inlineStr">
        <is>
          <t>3mm galv plt</t>
        </is>
      </c>
      <c r="B385" t="inlineStr">
        <is>
          <t>Bracket - Bracket</t>
        </is>
      </c>
      <c r="C385" t="inlineStr"/>
      <c r="D385" t="n">
        <v>1</v>
      </c>
      <c r="E385" t="n">
        <v>2</v>
      </c>
      <c r="F385" t="inlineStr">
        <is>
          <t>Kart Shop TA Ultimate Laser Cutting</t>
        </is>
      </c>
      <c r="G385" s="1" t="n">
        <v>0</v>
      </c>
      <c r="H385" t="n">
        <v>0</v>
      </c>
      <c r="I385" t="n">
        <v>0.5</v>
      </c>
      <c r="J385" t="n">
        <v>2</v>
      </c>
      <c r="K385" t="n">
        <v>1</v>
      </c>
      <c r="L385" t="n">
        <v>0</v>
      </c>
      <c r="M385" t="n">
        <v>0</v>
      </c>
      <c r="N385" t="n">
        <v>5</v>
      </c>
      <c r="O385" s="1">
        <f>IFERROR(L385*G385,0)</f>
        <v/>
      </c>
      <c r="P385">
        <f>IF(N385-L385-M385&gt;0,N385-L385-M385,0)</f>
        <v/>
      </c>
      <c r="Q385" s="1">
        <f>IFERROR(P385*G385,0)</f>
        <v/>
      </c>
    </row>
    <row r="386">
      <c r="A386" t="inlineStr">
        <is>
          <t>3mm plt</t>
        </is>
      </c>
      <c r="B386" t="inlineStr">
        <is>
          <t>program 2 - Program 2</t>
        </is>
      </c>
      <c r="C386" t="inlineStr"/>
      <c r="D386" t="n">
        <v>1</v>
      </c>
      <c r="E386" t="n">
        <v>4</v>
      </c>
      <c r="F386" t="inlineStr">
        <is>
          <t>Kart Shop TA Ultimate Laser Cutting</t>
        </is>
      </c>
      <c r="G386" s="1" t="n">
        <v>0</v>
      </c>
      <c r="H386" t="n">
        <v>0</v>
      </c>
      <c r="I386" t="n">
        <v>0.5</v>
      </c>
      <c r="J386" t="n">
        <v>4</v>
      </c>
      <c r="K386" t="n">
        <v>2</v>
      </c>
      <c r="L386" t="n">
        <v>0</v>
      </c>
      <c r="M386" t="n">
        <v>0</v>
      </c>
      <c r="N386" t="n">
        <v>10</v>
      </c>
      <c r="O386" s="1">
        <f>IFERROR(L386*G386,0)</f>
        <v/>
      </c>
      <c r="P386">
        <f>IF(N386-L386-M386&gt;0,N386-L386-M386,0)</f>
        <v/>
      </c>
      <c r="Q386" s="1">
        <f>IFERROR(P386*G386,0)</f>
        <v/>
      </c>
    </row>
    <row r="387">
      <c r="A387" t="inlineStr">
        <is>
          <t>4 kW 2P 112M</t>
        </is>
      </c>
      <c r="B387" t="inlineStr">
        <is>
          <t>3Ph 380-400-415 Standard Efficiency IC418 - TEAO - B30L(D)</t>
        </is>
      </c>
      <c r="C387" t="inlineStr"/>
      <c r="D387" t="n">
        <v>1</v>
      </c>
      <c r="E387" t="n">
        <v>1</v>
      </c>
      <c r="F387" t="inlineStr">
        <is>
          <t>WEG South Africa</t>
        </is>
      </c>
      <c r="G387" s="1" t="n">
        <v>4071</v>
      </c>
      <c r="H387" t="n">
        <v>0</v>
      </c>
      <c r="I387" t="n">
        <v>1.8</v>
      </c>
      <c r="J387" t="n">
        <v>1</v>
      </c>
      <c r="K387" t="n">
        <v>2</v>
      </c>
      <c r="L387" t="n">
        <v>0</v>
      </c>
      <c r="M387" t="n">
        <v>0</v>
      </c>
      <c r="N387" t="n">
        <v>4</v>
      </c>
      <c r="O387" s="1">
        <f>IFERROR(L387*G387,0)</f>
        <v/>
      </c>
      <c r="P387">
        <f>IF(N387-L387-M387&gt;0,N387-L387-M387,0)</f>
        <v/>
      </c>
      <c r="Q387" s="1">
        <f>IFERROR(P387*G387,0)</f>
        <v/>
      </c>
    </row>
    <row r="388">
      <c r="A388" t="inlineStr">
        <is>
          <t>400053</t>
        </is>
      </c>
      <c r="B388" t="inlineStr">
        <is>
          <t>25A TIP HOLDER M6</t>
        </is>
      </c>
      <c r="C388" t="inlineStr"/>
      <c r="D388" t="n">
        <v>1</v>
      </c>
      <c r="E388" t="n">
        <v>20</v>
      </c>
      <c r="F388" t="inlineStr">
        <is>
          <t>INTROWELD CC</t>
        </is>
      </c>
      <c r="G388" s="1" t="n">
        <v>15</v>
      </c>
      <c r="H388" t="n">
        <v>0</v>
      </c>
      <c r="I388" t="n">
        <v>0.5</v>
      </c>
      <c r="J388" t="n">
        <v>20</v>
      </c>
      <c r="K388" t="n">
        <v>10</v>
      </c>
      <c r="L388" t="n">
        <v>0</v>
      </c>
      <c r="M388" t="n">
        <v>0</v>
      </c>
      <c r="N388" t="n">
        <v>50</v>
      </c>
      <c r="O388" s="1">
        <f>IFERROR(L388*G388,0)</f>
        <v/>
      </c>
      <c r="P388">
        <f>IF(N388-L388-M388&gt;0,N388-L388-M388,0)</f>
        <v/>
      </c>
      <c r="Q388" s="1">
        <f>IFERROR(P388*G388,0)</f>
        <v/>
      </c>
    </row>
    <row r="389">
      <c r="A389" t="inlineStr">
        <is>
          <t>400080</t>
        </is>
      </c>
      <c r="B389" t="inlineStr">
        <is>
          <t>TB 250 SHROUD</t>
        </is>
      </c>
      <c r="C389" t="inlineStr"/>
      <c r="D389" t="n">
        <v>1</v>
      </c>
      <c r="E389" t="n">
        <v>20</v>
      </c>
      <c r="F389" t="inlineStr">
        <is>
          <t>INTROWELD CC</t>
        </is>
      </c>
      <c r="G389" s="1" t="n">
        <v>29.65</v>
      </c>
      <c r="H389" t="n">
        <v>0</v>
      </c>
      <c r="I389" t="n">
        <v>0.5</v>
      </c>
      <c r="J389" t="n">
        <v>20</v>
      </c>
      <c r="K389" t="n">
        <v>10</v>
      </c>
      <c r="L389" t="n">
        <v>0</v>
      </c>
      <c r="M389" t="n">
        <v>0</v>
      </c>
      <c r="N389" t="n">
        <v>50</v>
      </c>
      <c r="O389" s="1">
        <f>IFERROR(L389*G389,0)</f>
        <v/>
      </c>
      <c r="P389">
        <f>IF(N389-L389-M389&gt;0,N389-L389-M389,0)</f>
        <v/>
      </c>
      <c r="Q389" s="1">
        <f>IFERROR(P389*G389,0)</f>
        <v/>
      </c>
    </row>
    <row r="390">
      <c r="A390" t="inlineStr">
        <is>
          <t>400184</t>
        </is>
      </c>
      <c r="B390" t="inlineStr">
        <is>
          <t>LINER 1.00MM AND 1.2MM 4 METRE</t>
        </is>
      </c>
      <c r="C390" t="inlineStr"/>
      <c r="D390" t="n">
        <v>1</v>
      </c>
      <c r="E390" t="n">
        <v>4</v>
      </c>
      <c r="F390" t="inlineStr">
        <is>
          <t>INTROWELD CC</t>
        </is>
      </c>
      <c r="G390" s="1" t="n">
        <v>95</v>
      </c>
      <c r="H390" t="n">
        <v>0</v>
      </c>
      <c r="I390" t="n">
        <v>0.5</v>
      </c>
      <c r="J390" t="n">
        <v>4</v>
      </c>
      <c r="K390" t="n">
        <v>2</v>
      </c>
      <c r="L390" t="n">
        <v>0</v>
      </c>
      <c r="M390" t="n">
        <v>0</v>
      </c>
      <c r="N390" t="n">
        <v>10</v>
      </c>
      <c r="O390" s="1">
        <f>IFERROR(L390*G390,0)</f>
        <v/>
      </c>
      <c r="P390">
        <f>IF(N390-L390-M390&gt;0,N390-L390-M390,0)</f>
        <v/>
      </c>
      <c r="Q390" s="1">
        <f>IFERROR(P390*G390,0)</f>
        <v/>
      </c>
    </row>
    <row r="391">
      <c r="A391" t="inlineStr">
        <is>
          <t>400238</t>
        </is>
      </c>
      <c r="B391" t="inlineStr">
        <is>
          <t>CONTACT TIP BNZ STYLE M6 1.0MM</t>
        </is>
      </c>
      <c r="C391" t="inlineStr"/>
      <c r="D391" t="n">
        <v>1</v>
      </c>
      <c r="E391" t="n">
        <v>20</v>
      </c>
      <c r="F391" t="inlineStr">
        <is>
          <t>INTROWELD CC</t>
        </is>
      </c>
      <c r="G391" s="1" t="n">
        <v>13.67</v>
      </c>
      <c r="H391" t="n">
        <v>0</v>
      </c>
      <c r="I391" t="n">
        <v>0.5</v>
      </c>
      <c r="J391" t="n">
        <v>20</v>
      </c>
      <c r="K391" t="n">
        <v>10</v>
      </c>
      <c r="L391" t="n">
        <v>0</v>
      </c>
      <c r="M391" t="n">
        <v>0</v>
      </c>
      <c r="N391" t="n">
        <v>50</v>
      </c>
      <c r="O391" s="1">
        <f>IFERROR(L391*G391,0)</f>
        <v/>
      </c>
      <c r="P391">
        <f>IF(N391-L391-M391&gt;0,N391-L391-M391,0)</f>
        <v/>
      </c>
      <c r="Q391" s="1">
        <f>IFERROR(P391*G391,0)</f>
        <v/>
      </c>
    </row>
    <row r="392">
      <c r="A392" t="inlineStr">
        <is>
          <t>400C400</t>
        </is>
      </c>
      <c r="B392" t="inlineStr">
        <is>
          <t>400 Casing x 400mm Long - DO NOT DRILL MOTOR AND BRACKET HOLES</t>
        </is>
      </c>
      <c r="C392" t="inlineStr">
        <is>
          <t>FM - CFW FANS</t>
        </is>
      </c>
      <c r="D392" t="n">
        <v>2</v>
      </c>
      <c r="E392" t="n">
        <v>6</v>
      </c>
      <c r="F392" t="inlineStr">
        <is>
          <t>CFW Fans (Pty) Ltd</t>
        </is>
      </c>
      <c r="G392" s="1" t="n">
        <v>1195</v>
      </c>
      <c r="H392" t="n">
        <v>0</v>
      </c>
      <c r="I392" t="n">
        <v>0.5</v>
      </c>
      <c r="J392" t="n">
        <v>3</v>
      </c>
      <c r="K392" t="n">
        <v>2</v>
      </c>
      <c r="L392" t="n">
        <v>0</v>
      </c>
      <c r="M392" t="n">
        <v>0</v>
      </c>
      <c r="N392" t="n">
        <v>8</v>
      </c>
      <c r="O392" s="1">
        <f>IFERROR(L392*G392,0)</f>
        <v/>
      </c>
      <c r="P392">
        <f>IF(N392-L392-M392&gt;0,N392-L392-M392,0)</f>
        <v/>
      </c>
      <c r="Q392" s="1">
        <f>IFERROR(P392*G392,0)</f>
        <v/>
      </c>
    </row>
    <row r="393">
      <c r="A393" t="inlineStr">
        <is>
          <t>400CF</t>
        </is>
      </c>
      <c r="B393" t="inlineStr">
        <is>
          <t>400 Diam Counter Flange</t>
        </is>
      </c>
      <c r="C393" t="inlineStr">
        <is>
          <t>FM - C/FLANGE</t>
        </is>
      </c>
      <c r="D393" t="n">
        <v>35</v>
      </c>
      <c r="E393" t="n">
        <v>331</v>
      </c>
      <c r="F393" t="inlineStr">
        <is>
          <t>Attenu-Tec HVAC Parts</t>
        </is>
      </c>
      <c r="G393" s="1" t="n">
        <v>85</v>
      </c>
      <c r="H393" t="n">
        <v>288</v>
      </c>
      <c r="I393" t="n">
        <v>0.5</v>
      </c>
      <c r="J393" t="n">
        <v>9.5</v>
      </c>
      <c r="K393" t="n">
        <v>5</v>
      </c>
      <c r="L393" t="n">
        <v>0</v>
      </c>
      <c r="M393" t="n">
        <v>0</v>
      </c>
      <c r="N393" t="n">
        <v>24</v>
      </c>
      <c r="O393" s="1">
        <f>IFERROR(L393*G393,0)</f>
        <v/>
      </c>
      <c r="P393">
        <f>IF(N393-L393-M393&gt;0,N393-L393-M393,0)</f>
        <v/>
      </c>
      <c r="Q393" s="1">
        <f>IFERROR(P393*G393,0)</f>
        <v/>
      </c>
    </row>
    <row r="394">
      <c r="A394" t="inlineStr">
        <is>
          <t>400FC</t>
        </is>
      </c>
      <c r="B394" t="inlineStr">
        <is>
          <t>400 Diam Flexible Connection</t>
        </is>
      </c>
      <c r="C394" t="inlineStr">
        <is>
          <t>FM - DONKIN</t>
        </is>
      </c>
      <c r="D394" t="n">
        <v>47</v>
      </c>
      <c r="E394" t="n">
        <v>17</v>
      </c>
      <c r="F394" t="inlineStr">
        <is>
          <t>Attenu-Tec HVAC Parts</t>
        </is>
      </c>
      <c r="G394" s="1" t="n">
        <v>325.84</v>
      </c>
      <c r="H394" t="n">
        <v>11</v>
      </c>
      <c r="I394" t="n">
        <v>0.9</v>
      </c>
      <c r="J394" t="n">
        <v>1</v>
      </c>
      <c r="K394" t="n">
        <v>1</v>
      </c>
      <c r="L394" t="n">
        <v>0</v>
      </c>
      <c r="M394" t="n">
        <v>0</v>
      </c>
      <c r="N394" t="n">
        <v>3</v>
      </c>
      <c r="O394" s="1">
        <f>IFERROR(L394*G394,0)</f>
        <v/>
      </c>
      <c r="P394">
        <f>IF(N394-L394-M394&gt;0,N394-L394-M394,0)</f>
        <v/>
      </c>
      <c r="Q394" s="1">
        <f>IFERROR(P394*G394,0)</f>
        <v/>
      </c>
    </row>
    <row r="395">
      <c r="A395" t="inlineStr">
        <is>
          <t>400HVJ-2S</t>
        </is>
      </c>
      <c r="B395" t="inlineStr">
        <is>
          <t>400 Diam Vertical Discharge Unit</t>
        </is>
      </c>
      <c r="C395" t="inlineStr">
        <is>
          <t>FM - DONKIN</t>
        </is>
      </c>
      <c r="D395" t="n">
        <v>2</v>
      </c>
      <c r="E395" t="n">
        <v>1</v>
      </c>
      <c r="F395" t="inlineStr">
        <is>
          <t>Attenu-Tec HVAC Parts</t>
        </is>
      </c>
      <c r="G395" s="1" t="n">
        <v>840</v>
      </c>
      <c r="H395" t="n">
        <v>1</v>
      </c>
      <c r="I395" t="n">
        <v>1.1</v>
      </c>
      <c r="J395" t="n">
        <v>1</v>
      </c>
      <c r="K395" t="n">
        <v>1</v>
      </c>
      <c r="L395" t="n">
        <v>0</v>
      </c>
      <c r="M395" t="n">
        <v>0</v>
      </c>
      <c r="N395" t="n">
        <v>3</v>
      </c>
      <c r="O395" s="1">
        <f>IFERROR(L395*G395,0)</f>
        <v/>
      </c>
      <c r="P395">
        <f>IF(N395-L395-M395&gt;0,N395-L395-M395,0)</f>
        <v/>
      </c>
      <c r="Q395" s="1">
        <f>IFERROR(P395*G395,0)</f>
        <v/>
      </c>
    </row>
    <row r="396">
      <c r="A396" t="inlineStr">
        <is>
          <t>400MBP02</t>
        </is>
      </c>
      <c r="B396" t="inlineStr">
        <is>
          <t>1-0350-240 P02 - 400 Motor Bracket</t>
        </is>
      </c>
      <c r="C396" t="inlineStr"/>
      <c r="D396" t="n">
        <v>20</v>
      </c>
      <c r="E396" t="n">
        <v>312</v>
      </c>
      <c r="F396" t="inlineStr">
        <is>
          <t>Kart Shop TA Ultimate Laser Cutting</t>
        </is>
      </c>
      <c r="G396" s="1" t="n">
        <v>26.34</v>
      </c>
      <c r="H396" t="n">
        <v>0</v>
      </c>
      <c r="I396" t="n">
        <v>0.5</v>
      </c>
      <c r="J396" t="n">
        <v>16</v>
      </c>
      <c r="K396" t="n">
        <v>8</v>
      </c>
      <c r="L396" t="n">
        <v>0</v>
      </c>
      <c r="M396" t="n">
        <v>0</v>
      </c>
      <c r="N396" t="n">
        <v>40</v>
      </c>
      <c r="O396" s="1">
        <f>IFERROR(L396*G396,0)</f>
        <v/>
      </c>
      <c r="P396">
        <f>IF(N396-L396-M396&gt;0,N396-L396-M396,0)</f>
        <v/>
      </c>
      <c r="Q396" s="1">
        <f>IFERROR(P396*G396,0)</f>
        <v/>
      </c>
    </row>
    <row r="397">
      <c r="A397" t="inlineStr">
        <is>
          <t>400MF</t>
        </is>
      </c>
      <c r="B397" t="inlineStr">
        <is>
          <t>400 Diam Mounting Feet</t>
        </is>
      </c>
      <c r="C397" t="inlineStr">
        <is>
          <t>FM - M/FEET</t>
        </is>
      </c>
      <c r="D397" t="n">
        <v>34</v>
      </c>
      <c r="E397" t="n">
        <v>230</v>
      </c>
      <c r="F397" t="inlineStr">
        <is>
          <t>Air Speration</t>
        </is>
      </c>
      <c r="G397" s="1" t="n">
        <v>36.68</v>
      </c>
      <c r="H397" t="n">
        <v>373</v>
      </c>
      <c r="I397" t="n">
        <v>0.6</v>
      </c>
      <c r="J397" t="n">
        <v>11</v>
      </c>
      <c r="K397" t="n">
        <v>7</v>
      </c>
      <c r="L397" t="n">
        <v>0</v>
      </c>
      <c r="M397" t="n">
        <v>0</v>
      </c>
      <c r="N397" t="n">
        <v>29</v>
      </c>
      <c r="O397" s="1">
        <f>IFERROR(L397*G397,0)</f>
        <v/>
      </c>
      <c r="P397">
        <f>IF(N397-L397-M397&gt;0,N397-L397-M397,0)</f>
        <v/>
      </c>
      <c r="Q397" s="1">
        <f>IFERROR(P397*G397,0)</f>
        <v/>
      </c>
    </row>
    <row r="398">
      <c r="A398" t="inlineStr">
        <is>
          <t>400PLT400-2MM</t>
        </is>
      </c>
      <c r="B398" t="inlineStr">
        <is>
          <t>400 Casing Sheet - 1262 x 400 - 2mm</t>
        </is>
      </c>
      <c r="C398" t="inlineStr">
        <is>
          <t>FM - FABRICATION</t>
        </is>
      </c>
      <c r="D398" t="n">
        <v>1</v>
      </c>
      <c r="E398" t="n">
        <v>10</v>
      </c>
      <c r="F398" t="inlineStr">
        <is>
          <t>NJR STEEL - ALRODE (PTY) LTD</t>
        </is>
      </c>
      <c r="G398" s="1" t="n">
        <v>213</v>
      </c>
      <c r="H398" t="n">
        <v>0</v>
      </c>
      <c r="I398" t="n">
        <v>0.5</v>
      </c>
      <c r="J398" t="n">
        <v>10</v>
      </c>
      <c r="K398" t="n">
        <v>5</v>
      </c>
      <c r="L398" t="n">
        <v>0</v>
      </c>
      <c r="M398" t="n">
        <v>0</v>
      </c>
      <c r="N398" t="n">
        <v>25</v>
      </c>
      <c r="O398" s="1">
        <f>IFERROR(L398*G398,0)</f>
        <v/>
      </c>
      <c r="P398">
        <f>IF(N398-L398-M398&gt;0,N398-L398-M398,0)</f>
        <v/>
      </c>
      <c r="Q398" s="1">
        <f>IFERROR(P398*G398,0)</f>
        <v/>
      </c>
    </row>
    <row r="399">
      <c r="A399" t="inlineStr">
        <is>
          <t>400S1.0D</t>
        </is>
      </c>
      <c r="B399" t="inlineStr">
        <is>
          <t>400 Diam Silencer 1.0D</t>
        </is>
      </c>
      <c r="C399" t="inlineStr">
        <is>
          <t>FM - DONKIN</t>
        </is>
      </c>
      <c r="D399" t="n">
        <v>1</v>
      </c>
      <c r="E399" t="n">
        <v>0</v>
      </c>
      <c r="F399" t="inlineStr"/>
      <c r="G399" s="1" t="n">
        <v>0</v>
      </c>
      <c r="H399" t="n">
        <v>2</v>
      </c>
      <c r="I399" t="n">
        <v>0.5</v>
      </c>
      <c r="J399" t="n">
        <v>2</v>
      </c>
      <c r="K399" t="n">
        <v>1</v>
      </c>
      <c r="L399" t="n">
        <v>0</v>
      </c>
      <c r="M399" t="n">
        <v>0</v>
      </c>
      <c r="N399" t="n">
        <v>5</v>
      </c>
      <c r="O399" s="1">
        <f>IFERROR(L399*G399,0)</f>
        <v/>
      </c>
      <c r="P399">
        <f>IF(N399-L399-M399&gt;0,N399-L399-M399,0)</f>
        <v/>
      </c>
      <c r="Q399" s="1">
        <f>IFERROR(P399*G399,0)</f>
        <v/>
      </c>
    </row>
    <row r="400">
      <c r="A400" t="inlineStr">
        <is>
          <t>400S1.0DP</t>
        </is>
      </c>
      <c r="B400" t="inlineStr">
        <is>
          <t>400 Diam Silencer 1.0D Podded</t>
        </is>
      </c>
      <c r="C400" t="inlineStr">
        <is>
          <t>FM - DONKIN</t>
        </is>
      </c>
      <c r="D400" t="n">
        <v>1</v>
      </c>
      <c r="E400" t="n">
        <v>1</v>
      </c>
      <c r="F400" t="inlineStr">
        <is>
          <t>Attenu-Tec</t>
        </is>
      </c>
      <c r="G400" s="1" t="n">
        <v>1456</v>
      </c>
      <c r="H400" t="n">
        <v>1</v>
      </c>
      <c r="I400" t="n">
        <v>0.5</v>
      </c>
      <c r="J400" t="n">
        <v>1</v>
      </c>
      <c r="K400" t="n">
        <v>1</v>
      </c>
      <c r="L400" t="n">
        <v>0</v>
      </c>
      <c r="M400" t="n">
        <v>0</v>
      </c>
      <c r="N400" t="n">
        <v>2</v>
      </c>
      <c r="O400" s="1">
        <f>IFERROR(L400*G400,0)</f>
        <v/>
      </c>
      <c r="P400">
        <f>IF(N400-L400-M400&gt;0,N400-L400-M400,0)</f>
        <v/>
      </c>
      <c r="Q400" s="1">
        <f>IFERROR(P400*G400,0)</f>
        <v/>
      </c>
    </row>
    <row r="401">
      <c r="A401" t="inlineStr">
        <is>
          <t>400S1.5D</t>
        </is>
      </c>
      <c r="B401" t="inlineStr">
        <is>
          <t>400 Diam Silencer 1.5D</t>
        </is>
      </c>
      <c r="C401" t="inlineStr">
        <is>
          <t>FM - DONKIN</t>
        </is>
      </c>
      <c r="D401" t="n">
        <v>5</v>
      </c>
      <c r="E401" t="n">
        <v>3</v>
      </c>
      <c r="F401" t="inlineStr">
        <is>
          <t>Attenu-Tec</t>
        </is>
      </c>
      <c r="G401" s="1" t="n">
        <v>1164</v>
      </c>
      <c r="H401" t="n">
        <v>5</v>
      </c>
      <c r="I401" t="n">
        <v>0.5</v>
      </c>
      <c r="J401" t="n">
        <v>1</v>
      </c>
      <c r="K401" t="n">
        <v>1</v>
      </c>
      <c r="L401" t="n">
        <v>0</v>
      </c>
      <c r="M401" t="n">
        <v>0</v>
      </c>
      <c r="N401" t="n">
        <v>2</v>
      </c>
      <c r="O401" s="1">
        <f>IFERROR(L401*G401,0)</f>
        <v/>
      </c>
      <c r="P401">
        <f>IF(N401-L401-M401&gt;0,N401-L401-M401,0)</f>
        <v/>
      </c>
      <c r="Q401" s="1">
        <f>IFERROR(P401*G401,0)</f>
        <v/>
      </c>
    </row>
    <row r="402">
      <c r="A402" t="inlineStr">
        <is>
          <t>400S1.5DP</t>
        </is>
      </c>
      <c r="B402" t="inlineStr">
        <is>
          <t>400 Diam Silencer 1.5D Podded</t>
        </is>
      </c>
      <c r="C402" t="inlineStr">
        <is>
          <t>FM - DONKIN</t>
        </is>
      </c>
      <c r="D402" t="n">
        <v>34</v>
      </c>
      <c r="E402" t="n">
        <v>121</v>
      </c>
      <c r="F402" t="inlineStr">
        <is>
          <t>Attenu-Tec</t>
        </is>
      </c>
      <c r="G402" s="1" t="n">
        <v>1632</v>
      </c>
      <c r="H402" t="n">
        <v>127</v>
      </c>
      <c r="I402" t="n">
        <v>0.6</v>
      </c>
      <c r="J402" t="n">
        <v>4</v>
      </c>
      <c r="K402" t="n">
        <v>2</v>
      </c>
      <c r="L402" t="n">
        <v>0</v>
      </c>
      <c r="M402" t="n">
        <v>6</v>
      </c>
      <c r="N402" t="n">
        <v>10</v>
      </c>
      <c r="O402" s="1">
        <f>IFERROR(L402*G402,0)</f>
        <v/>
      </c>
      <c r="P402">
        <f>IF(N402-L402-M402&gt;0,N402-L402-M402,0)</f>
        <v/>
      </c>
      <c r="Q402" s="1">
        <f>IFERROR(P402*G402,0)</f>
        <v/>
      </c>
    </row>
    <row r="403">
      <c r="A403" t="inlineStr">
        <is>
          <t>400S2.0DP</t>
        </is>
      </c>
      <c r="B403" t="inlineStr">
        <is>
          <t>400 Diam Silencer 2.0D Podded</t>
        </is>
      </c>
      <c r="C403" t="inlineStr">
        <is>
          <t>FM - DONKIN</t>
        </is>
      </c>
      <c r="D403" t="n">
        <v>27</v>
      </c>
      <c r="E403" t="n">
        <v>46</v>
      </c>
      <c r="F403" t="inlineStr">
        <is>
          <t>Attenu-Tec</t>
        </is>
      </c>
      <c r="G403" s="1" t="n">
        <v>2015.29</v>
      </c>
      <c r="H403" t="n">
        <v>45</v>
      </c>
      <c r="I403" t="n">
        <v>0.6</v>
      </c>
      <c r="J403" t="n">
        <v>2</v>
      </c>
      <c r="K403" t="n">
        <v>1</v>
      </c>
      <c r="L403" t="n">
        <v>0</v>
      </c>
      <c r="M403" t="n">
        <v>0</v>
      </c>
      <c r="N403" t="n">
        <v>5</v>
      </c>
      <c r="O403" s="1">
        <f>IFERROR(L403*G403,0)</f>
        <v/>
      </c>
      <c r="P403">
        <f>IF(N403-L403-M403&gt;0,N403-L403-M403,0)</f>
        <v/>
      </c>
      <c r="Q403" s="1">
        <f>IFERROR(P403*G403,0)</f>
        <v/>
      </c>
    </row>
    <row r="404">
      <c r="A404" t="inlineStr">
        <is>
          <t>400SC</t>
        </is>
      </c>
      <c r="B404" t="inlineStr">
        <is>
          <t>400 Diam Side Screen</t>
        </is>
      </c>
      <c r="C404" t="inlineStr"/>
      <c r="D404" t="n">
        <v>26</v>
      </c>
      <c r="E404" t="n">
        <v>12</v>
      </c>
      <c r="F404" t="inlineStr">
        <is>
          <t>Luft Industries Natal (Pty) Ltd</t>
        </is>
      </c>
      <c r="G404" s="1" t="n">
        <v>291.5</v>
      </c>
      <c r="H404" t="n">
        <v>8</v>
      </c>
      <c r="I404" t="n">
        <v>0.5</v>
      </c>
      <c r="J404" t="n">
        <v>1</v>
      </c>
      <c r="K404" t="n">
        <v>1</v>
      </c>
      <c r="L404" t="n">
        <v>0</v>
      </c>
      <c r="M404" t="n">
        <v>0</v>
      </c>
      <c r="N404" t="n">
        <v>2</v>
      </c>
      <c r="O404" s="1">
        <f>IFERROR(L404*G404,0)</f>
        <v/>
      </c>
      <c r="P404">
        <f>IF(N404-L404-M404&gt;0,N404-L404-M404,0)</f>
        <v/>
      </c>
      <c r="Q404" s="1">
        <f>IFERROR(P404*G404,0)</f>
        <v/>
      </c>
    </row>
    <row r="405">
      <c r="A405" t="inlineStr">
        <is>
          <t>400SM1.5DP</t>
        </is>
      </c>
      <c r="B405" t="inlineStr">
        <is>
          <t>400 Diam Melinex Silencer 1.5D Podded</t>
        </is>
      </c>
      <c r="C405" t="inlineStr">
        <is>
          <t>FM - DONKIN</t>
        </is>
      </c>
      <c r="D405" t="n">
        <v>14</v>
      </c>
      <c r="E405" t="n">
        <v>14</v>
      </c>
      <c r="F405" t="inlineStr">
        <is>
          <t>Attenu-Tec</t>
        </is>
      </c>
      <c r="G405" s="1" t="n">
        <v>1506.5</v>
      </c>
      <c r="H405" t="n">
        <v>12</v>
      </c>
      <c r="I405" t="n">
        <v>0.5</v>
      </c>
      <c r="J405" t="n">
        <v>1</v>
      </c>
      <c r="K405" t="n">
        <v>1</v>
      </c>
      <c r="L405" t="n">
        <v>0</v>
      </c>
      <c r="M405" t="n">
        <v>0</v>
      </c>
      <c r="N405" t="n">
        <v>2</v>
      </c>
      <c r="O405" s="1">
        <f>IFERROR(L405*G405,0)</f>
        <v/>
      </c>
      <c r="P405">
        <f>IF(N405-L405-M405&gt;0,N405-L405-M405,0)</f>
        <v/>
      </c>
      <c r="Q405" s="1">
        <f>IFERROR(P405*G405,0)</f>
        <v/>
      </c>
    </row>
    <row r="406">
      <c r="A406" t="inlineStr">
        <is>
          <t>400WL</t>
        </is>
      </c>
      <c r="B406" t="inlineStr">
        <is>
          <t>Weather Louvre</t>
        </is>
      </c>
      <c r="C406" t="inlineStr"/>
      <c r="D406" t="n">
        <v>1</v>
      </c>
      <c r="E406" t="n">
        <v>0</v>
      </c>
      <c r="F406" t="inlineStr"/>
      <c r="G406" s="1" t="n">
        <v>0</v>
      </c>
      <c r="H406" t="n">
        <v>2</v>
      </c>
      <c r="I406" t="n">
        <v>0.5</v>
      </c>
      <c r="J406" t="n">
        <v>2</v>
      </c>
      <c r="K406" t="n">
        <v>1</v>
      </c>
      <c r="L406" t="n">
        <v>0</v>
      </c>
      <c r="M406" t="n">
        <v>0</v>
      </c>
      <c r="N406" t="n">
        <v>5</v>
      </c>
      <c r="O406" s="1">
        <f>IFERROR(L406*G406,0)</f>
        <v/>
      </c>
      <c r="P406">
        <f>IF(N406-L406-M406&gt;0,N406-L406-M406,0)</f>
        <v/>
      </c>
      <c r="Q406" s="1">
        <f>IFERROR(P406*G406,0)</f>
        <v/>
      </c>
    </row>
    <row r="407">
      <c r="A407" t="inlineStr">
        <is>
          <t>40302</t>
        </is>
      </c>
      <c r="B407" t="inlineStr">
        <is>
          <t>E 304 M ATEX II 2G/D h T3/125 X Gb/Db</t>
        </is>
      </c>
      <c r="C407" t="inlineStr">
        <is>
          <t>FM - VORTICE</t>
        </is>
      </c>
      <c r="D407" t="n">
        <v>12</v>
      </c>
      <c r="E407" t="n">
        <v>2</v>
      </c>
      <c r="F407" t="inlineStr">
        <is>
          <t>Vortice Elettrosociali SpA</t>
        </is>
      </c>
      <c r="G407" s="1" t="n">
        <v>4791.06</v>
      </c>
      <c r="H407" t="n">
        <v>5</v>
      </c>
      <c r="I407" t="n">
        <v>1.1</v>
      </c>
      <c r="J407" t="n">
        <v>1</v>
      </c>
      <c r="K407" t="n">
        <v>1</v>
      </c>
      <c r="L407" t="n">
        <v>0</v>
      </c>
      <c r="M407" t="n">
        <v>0</v>
      </c>
      <c r="N407" t="n">
        <v>3</v>
      </c>
      <c r="O407" s="1">
        <f>IFERROR(L407*G407,0)</f>
        <v/>
      </c>
      <c r="P407">
        <f>IF(N407-L407-M407&gt;0,N407-L407-M407,0)</f>
        <v/>
      </c>
      <c r="Q407" s="1">
        <f>IFERROR(P407*G407,0)</f>
        <v/>
      </c>
    </row>
    <row r="408">
      <c r="A408" t="inlineStr">
        <is>
          <t>40304</t>
        </is>
      </c>
      <c r="B408" t="inlineStr">
        <is>
          <t>E 354 M ATEX II 2G/D h T3/125 X Gb/Db</t>
        </is>
      </c>
      <c r="C408" t="inlineStr">
        <is>
          <t>FM - VORTICE</t>
        </is>
      </c>
      <c r="D408" t="n">
        <v>14</v>
      </c>
      <c r="E408" t="n">
        <v>2</v>
      </c>
      <c r="F408" t="inlineStr">
        <is>
          <t>Vortice Elettrosociali SpA</t>
        </is>
      </c>
      <c r="G408" s="1" t="n">
        <v>7004.13</v>
      </c>
      <c r="H408" t="n">
        <v>3</v>
      </c>
      <c r="I408" t="n">
        <v>1.2</v>
      </c>
      <c r="J408" t="n">
        <v>1</v>
      </c>
      <c r="K408" t="n">
        <v>1</v>
      </c>
      <c r="L408" t="n">
        <v>0</v>
      </c>
      <c r="M408" t="n">
        <v>0</v>
      </c>
      <c r="N408" t="n">
        <v>3</v>
      </c>
      <c r="O408" s="1">
        <f>IFERROR(L408*G408,0)</f>
        <v/>
      </c>
      <c r="P408">
        <f>IF(N408-L408-M408&gt;0,N408-L408-M408,0)</f>
        <v/>
      </c>
      <c r="Q408" s="1">
        <f>IFERROR(P408*G408,0)</f>
        <v/>
      </c>
    </row>
    <row r="409">
      <c r="A409" t="inlineStr">
        <is>
          <t>40306</t>
        </is>
      </c>
      <c r="B409" t="inlineStr">
        <is>
          <t>E 404 M ATEX II 2G/D h T3/125 X Gb/Db</t>
        </is>
      </c>
      <c r="C409" t="inlineStr">
        <is>
          <t>FM - VORTICE</t>
        </is>
      </c>
      <c r="D409" t="n">
        <v>6</v>
      </c>
      <c r="E409" t="n">
        <v>4</v>
      </c>
      <c r="F409" t="inlineStr">
        <is>
          <t>Vortice Elettrosociali SpA</t>
        </is>
      </c>
      <c r="G409" s="1" t="n">
        <v>7909.61</v>
      </c>
      <c r="H409" t="n">
        <v>2</v>
      </c>
      <c r="I409" t="n">
        <v>0.5</v>
      </c>
      <c r="J409" t="n">
        <v>1</v>
      </c>
      <c r="K409" t="n">
        <v>1</v>
      </c>
      <c r="L409" t="n">
        <v>0</v>
      </c>
      <c r="M409" t="n">
        <v>0</v>
      </c>
      <c r="N409" t="n">
        <v>2</v>
      </c>
      <c r="O409" s="1">
        <f>IFERROR(L409*G409,0)</f>
        <v/>
      </c>
      <c r="P409">
        <f>IF(N409-L409-M409&gt;0,N409-L409-M409,0)</f>
        <v/>
      </c>
      <c r="Q409" s="1">
        <f>IFERROR(P409*G409,0)</f>
        <v/>
      </c>
    </row>
    <row r="410">
      <c r="A410" t="inlineStr">
        <is>
          <t>40308</t>
        </is>
      </c>
      <c r="B410" t="inlineStr">
        <is>
          <t>E 454 M ATEX II 2G/D h T3/125 X Gb/Db</t>
        </is>
      </c>
      <c r="C410" t="inlineStr">
        <is>
          <t>FM - VORTICE</t>
        </is>
      </c>
      <c r="D410" t="n">
        <v>9</v>
      </c>
      <c r="E410" t="n">
        <v>0</v>
      </c>
      <c r="F410" t="inlineStr"/>
      <c r="G410" s="1" t="n">
        <v>0</v>
      </c>
      <c r="H410" t="n">
        <v>1</v>
      </c>
      <c r="I410" t="n">
        <v>0.5</v>
      </c>
      <c r="J410" t="n">
        <v>1</v>
      </c>
      <c r="K410" t="n">
        <v>1</v>
      </c>
      <c r="L410" t="n">
        <v>0</v>
      </c>
      <c r="M410" t="n">
        <v>0</v>
      </c>
      <c r="N410" t="n">
        <v>2</v>
      </c>
      <c r="O410" s="1">
        <f>IFERROR(L410*G410,0)</f>
        <v/>
      </c>
      <c r="P410">
        <f>IF(N410-L410-M410&gt;0,N410-L410-M410,0)</f>
        <v/>
      </c>
      <c r="Q410" s="1">
        <f>IFERROR(P410*G410,0)</f>
        <v/>
      </c>
    </row>
    <row r="411">
      <c r="A411" t="inlineStr">
        <is>
          <t>40309</t>
        </is>
      </c>
      <c r="B411" t="inlineStr">
        <is>
          <t>E 254 T ATEX II 2G/D h T3/125 X Gb/Db</t>
        </is>
      </c>
      <c r="C411" t="inlineStr">
        <is>
          <t>FM - VORTICE</t>
        </is>
      </c>
      <c r="D411" t="n">
        <v>7</v>
      </c>
      <c r="E411" t="n">
        <v>0</v>
      </c>
      <c r="F411" t="inlineStr"/>
      <c r="G411" s="1" t="n">
        <v>0</v>
      </c>
      <c r="H411" t="n">
        <v>1</v>
      </c>
      <c r="I411" t="n">
        <v>0.5</v>
      </c>
      <c r="J411" t="n">
        <v>1</v>
      </c>
      <c r="K411" t="n">
        <v>1</v>
      </c>
      <c r="L411" t="n">
        <v>0</v>
      </c>
      <c r="M411" t="n">
        <v>0</v>
      </c>
      <c r="N411" t="n">
        <v>2</v>
      </c>
      <c r="O411" s="1">
        <f>IFERROR(L411*G411,0)</f>
        <v/>
      </c>
      <c r="P411">
        <f>IF(N411-L411-M411&gt;0,N411-L411-M411,0)</f>
        <v/>
      </c>
      <c r="Q411" s="1">
        <f>IFERROR(P411*G411,0)</f>
        <v/>
      </c>
    </row>
    <row r="412">
      <c r="A412" t="inlineStr">
        <is>
          <t>40310</t>
        </is>
      </c>
      <c r="B412" t="inlineStr">
        <is>
          <t>E 304 T ATEX II 2G/D h T3/125 X Gb/Db</t>
        </is>
      </c>
      <c r="C412" t="inlineStr">
        <is>
          <t>FM - VORTICE</t>
        </is>
      </c>
      <c r="D412" t="n">
        <v>34</v>
      </c>
      <c r="E412" t="n">
        <v>0</v>
      </c>
      <c r="F412" t="inlineStr"/>
      <c r="G412" s="1" t="n">
        <v>0</v>
      </c>
      <c r="H412" t="n">
        <v>4</v>
      </c>
      <c r="I412" t="n">
        <v>0.5</v>
      </c>
      <c r="J412" t="n">
        <v>1</v>
      </c>
      <c r="K412" t="n">
        <v>1</v>
      </c>
      <c r="L412" t="n">
        <v>0</v>
      </c>
      <c r="M412" t="n">
        <v>0</v>
      </c>
      <c r="N412" t="n">
        <v>2</v>
      </c>
      <c r="O412" s="1">
        <f>IFERROR(L412*G412,0)</f>
        <v/>
      </c>
      <c r="P412">
        <f>IF(N412-L412-M412&gt;0,N412-L412-M412,0)</f>
        <v/>
      </c>
      <c r="Q412" s="1">
        <f>IFERROR(P412*G412,0)</f>
        <v/>
      </c>
    </row>
    <row r="413">
      <c r="A413" t="inlineStr">
        <is>
          <t>40313</t>
        </is>
      </c>
      <c r="B413" t="inlineStr">
        <is>
          <t>E 354 T ATEX II 2G/D h T3/125 X Gb/Db</t>
        </is>
      </c>
      <c r="C413" t="inlineStr">
        <is>
          <t>FM - VORTICE</t>
        </is>
      </c>
      <c r="D413" t="n">
        <v>8</v>
      </c>
      <c r="E413" t="n">
        <v>2</v>
      </c>
      <c r="F413" t="inlineStr">
        <is>
          <t>Vortice Elettrosociali SpA</t>
        </is>
      </c>
      <c r="G413" s="1" t="n">
        <v>5930.81</v>
      </c>
      <c r="H413" t="n">
        <v>1</v>
      </c>
      <c r="I413" t="n">
        <v>1.4</v>
      </c>
      <c r="J413" t="n">
        <v>1</v>
      </c>
      <c r="K413" t="n">
        <v>1</v>
      </c>
      <c r="L413" t="n">
        <v>0</v>
      </c>
      <c r="M413" t="n">
        <v>0</v>
      </c>
      <c r="N413" t="n">
        <v>3</v>
      </c>
      <c r="O413" s="1">
        <f>IFERROR(L413*G413,0)</f>
        <v/>
      </c>
      <c r="P413">
        <f>IF(N413-L413-M413&gt;0,N413-L413-M413,0)</f>
        <v/>
      </c>
      <c r="Q413" s="1">
        <f>IFERROR(P413*G413,0)</f>
        <v/>
      </c>
    </row>
    <row r="414">
      <c r="A414" t="inlineStr">
        <is>
          <t>40314</t>
        </is>
      </c>
      <c r="B414" t="inlineStr">
        <is>
          <t>E404 T ATEX</t>
        </is>
      </c>
      <c r="C414" t="inlineStr">
        <is>
          <t>FM - VORTICE</t>
        </is>
      </c>
      <c r="D414" t="n">
        <v>29</v>
      </c>
      <c r="E414" t="n">
        <v>0</v>
      </c>
      <c r="F414" t="inlineStr">
        <is>
          <t>Vortice Elettrosociali SpA</t>
        </is>
      </c>
      <c r="G414" s="1" t="n">
        <v>0</v>
      </c>
      <c r="H414" t="n">
        <v>3</v>
      </c>
      <c r="I414" t="n">
        <v>0.9</v>
      </c>
      <c r="J414" t="n">
        <v>1</v>
      </c>
      <c r="K414" t="n">
        <v>1</v>
      </c>
      <c r="L414" t="n">
        <v>0</v>
      </c>
      <c r="M414" t="n">
        <v>0</v>
      </c>
      <c r="N414" t="n">
        <v>3</v>
      </c>
      <c r="O414" s="1">
        <f>IFERROR(L414*G414,0)</f>
        <v/>
      </c>
      <c r="P414">
        <f>IF(N414-L414-M414&gt;0,N414-L414-M414,0)</f>
        <v/>
      </c>
      <c r="Q414" s="1">
        <f>IFERROR(P414*G414,0)</f>
        <v/>
      </c>
    </row>
    <row r="415">
      <c r="A415" t="inlineStr">
        <is>
          <t>40315</t>
        </is>
      </c>
      <c r="B415" t="inlineStr">
        <is>
          <t>E 454 T ATEX II 2G/D h T3/125 X Gb/Db</t>
        </is>
      </c>
      <c r="C415" t="inlineStr">
        <is>
          <t>FM - VORTICE</t>
        </is>
      </c>
      <c r="D415" t="n">
        <v>7</v>
      </c>
      <c r="E415" t="n">
        <v>0</v>
      </c>
      <c r="F415" t="inlineStr"/>
      <c r="G415" s="1" t="n">
        <v>0</v>
      </c>
      <c r="H415" t="n">
        <v>2</v>
      </c>
      <c r="I415" t="n">
        <v>0.5</v>
      </c>
      <c r="J415" t="n">
        <v>1</v>
      </c>
      <c r="K415" t="n">
        <v>1</v>
      </c>
      <c r="L415" t="n">
        <v>0</v>
      </c>
      <c r="M415" t="n">
        <v>0</v>
      </c>
      <c r="N415" t="n">
        <v>2</v>
      </c>
      <c r="O415" s="1">
        <f>IFERROR(L415*G415,0)</f>
        <v/>
      </c>
      <c r="P415">
        <f>IF(N415-L415-M415&gt;0,N415-L415-M415,0)</f>
        <v/>
      </c>
      <c r="Q415" s="1">
        <f>IFERROR(P415*G415,0)</f>
        <v/>
      </c>
    </row>
    <row r="416">
      <c r="A416" t="inlineStr">
        <is>
          <t>40322</t>
        </is>
      </c>
      <c r="B416" t="inlineStr">
        <is>
          <t>E 354 M ATEX II 2G/D h T3/125 X Gb/Db</t>
        </is>
      </c>
      <c r="C416" t="inlineStr"/>
      <c r="D416" t="n">
        <v>1</v>
      </c>
      <c r="E416" t="n">
        <v>1</v>
      </c>
      <c r="F416" t="inlineStr">
        <is>
          <t>Vortice Elettrosociali SpA</t>
        </is>
      </c>
      <c r="G416" s="1" t="n">
        <v>7245.65</v>
      </c>
      <c r="H416" t="n">
        <v>0</v>
      </c>
      <c r="I416" t="n">
        <v>1.4</v>
      </c>
      <c r="J416" t="n">
        <v>1</v>
      </c>
      <c r="K416" t="n">
        <v>1</v>
      </c>
      <c r="L416" t="n">
        <v>0</v>
      </c>
      <c r="M416" t="n">
        <v>0</v>
      </c>
      <c r="N416" t="n">
        <v>3</v>
      </c>
      <c r="O416" s="1">
        <f>IFERROR(L416*G416,0)</f>
        <v/>
      </c>
      <c r="P416">
        <f>IF(N416-L416-M416&gt;0,N416-L416-M416,0)</f>
        <v/>
      </c>
      <c r="Q416" s="1">
        <f>IFERROR(P416*G416,0)</f>
        <v/>
      </c>
    </row>
    <row r="417">
      <c r="A417" t="inlineStr">
        <is>
          <t>40324</t>
        </is>
      </c>
      <c r="B417" t="inlineStr">
        <is>
          <t>E 454 M ATEX II 2G/D h T3/125 X Gb/Db</t>
        </is>
      </c>
      <c r="C417" t="inlineStr"/>
      <c r="D417" t="n">
        <v>1</v>
      </c>
      <c r="E417" t="n">
        <v>1</v>
      </c>
      <c r="F417" t="inlineStr">
        <is>
          <t>Vortice Elettrosociali SpA</t>
        </is>
      </c>
      <c r="G417" s="1" t="n">
        <v>7797.41</v>
      </c>
      <c r="H417" t="n">
        <v>0</v>
      </c>
      <c r="I417" t="n">
        <v>1.4</v>
      </c>
      <c r="J417" t="n">
        <v>1</v>
      </c>
      <c r="K417" t="n">
        <v>1</v>
      </c>
      <c r="L417" t="n">
        <v>0</v>
      </c>
      <c r="M417" t="n">
        <v>0</v>
      </c>
      <c r="N417" t="n">
        <v>3</v>
      </c>
      <c r="O417" s="1">
        <f>IFERROR(L417*G417,0)</f>
        <v/>
      </c>
      <c r="P417">
        <f>IF(N417-L417-M417&gt;0,N417-L417-M417,0)</f>
        <v/>
      </c>
      <c r="Q417" s="1">
        <f>IFERROR(P417*G417,0)</f>
        <v/>
      </c>
    </row>
    <row r="418">
      <c r="A418" t="inlineStr">
        <is>
          <t>40329</t>
        </is>
      </c>
      <c r="B418" t="inlineStr">
        <is>
          <t>E 454 T ATEX II 2G/D h T3/125 X Gb/Db</t>
        </is>
      </c>
      <c r="C418" t="inlineStr"/>
      <c r="D418" t="n">
        <v>1</v>
      </c>
      <c r="E418" t="n">
        <v>2</v>
      </c>
      <c r="F418" t="inlineStr">
        <is>
          <t>Vortice Elettrosociali SpA</t>
        </is>
      </c>
      <c r="G418" s="1" t="n">
        <v>7098.6</v>
      </c>
      <c r="H418" t="n">
        <v>0</v>
      </c>
      <c r="I418" t="n">
        <v>1.4</v>
      </c>
      <c r="J418" t="n">
        <v>2</v>
      </c>
      <c r="K418" t="n">
        <v>3</v>
      </c>
      <c r="L418" t="n">
        <v>0</v>
      </c>
      <c r="M418" t="n">
        <v>0</v>
      </c>
      <c r="N418" t="n">
        <v>7</v>
      </c>
      <c r="O418" s="1">
        <f>IFERROR(L418*G418,0)</f>
        <v/>
      </c>
      <c r="P418">
        <f>IF(N418-L418-M418&gt;0,N418-L418-M418,0)</f>
        <v/>
      </c>
      <c r="Q418" s="1">
        <f>IFERROR(P418*G418,0)</f>
        <v/>
      </c>
    </row>
    <row r="419">
      <c r="A419" t="inlineStr">
        <is>
          <t>42116</t>
        </is>
      </c>
      <c r="B419" t="inlineStr">
        <is>
          <t>BD 12/12 T6 1.1KW 251520160</t>
        </is>
      </c>
      <c r="C419" t="inlineStr"/>
      <c r="D419" t="n">
        <v>13</v>
      </c>
      <c r="E419" t="n">
        <v>10</v>
      </c>
      <c r="F419" t="inlineStr">
        <is>
          <t>Vortice Elettrosociali SpA</t>
        </is>
      </c>
      <c r="G419" s="1" t="n">
        <v>4363.48</v>
      </c>
      <c r="H419" t="n">
        <v>2</v>
      </c>
      <c r="I419" t="n">
        <v>1.1</v>
      </c>
      <c r="J419" t="n">
        <v>1</v>
      </c>
      <c r="K419" t="n">
        <v>1</v>
      </c>
      <c r="L419" t="n">
        <v>0</v>
      </c>
      <c r="M419" t="n">
        <v>0</v>
      </c>
      <c r="N419" t="n">
        <v>3</v>
      </c>
      <c r="O419" s="1">
        <f>IFERROR(L419*G419,0)</f>
        <v/>
      </c>
      <c r="P419">
        <f>IF(N419-L419-M419&gt;0,N419-L419-M419,0)</f>
        <v/>
      </c>
      <c r="Q419" s="1">
        <f>IFERROR(P419*G419,0)</f>
        <v/>
      </c>
    </row>
    <row r="420">
      <c r="A420" t="inlineStr">
        <is>
          <t>42227</t>
        </is>
      </c>
      <c r="B420" t="inlineStr">
        <is>
          <t>A-E 304 T</t>
        </is>
      </c>
      <c r="C420" t="inlineStr">
        <is>
          <t>FM - VORTICE</t>
        </is>
      </c>
      <c r="D420" t="n">
        <v>1</v>
      </c>
      <c r="E420" t="n">
        <v>1</v>
      </c>
      <c r="F420" t="inlineStr">
        <is>
          <t>Vortice Elettrosociali SpA</t>
        </is>
      </c>
      <c r="G420" s="1" t="n">
        <v>2758.05</v>
      </c>
      <c r="H420" t="n">
        <v>0</v>
      </c>
      <c r="I420" t="n">
        <v>1.1</v>
      </c>
      <c r="J420" t="n">
        <v>1</v>
      </c>
      <c r="K420" t="n">
        <v>1</v>
      </c>
      <c r="L420" t="n">
        <v>0</v>
      </c>
      <c r="M420" t="n">
        <v>0</v>
      </c>
      <c r="N420" t="n">
        <v>3</v>
      </c>
      <c r="O420" s="1">
        <f>IFERROR(L420*G420,0)</f>
        <v/>
      </c>
      <c r="P420">
        <f>IF(N420-L420-M420&gt;0,N420-L420-M420,0)</f>
        <v/>
      </c>
      <c r="Q420" s="1">
        <f>IFERROR(P420*G420,0)</f>
        <v/>
      </c>
    </row>
    <row r="421">
      <c r="A421" t="inlineStr">
        <is>
          <t>42259</t>
        </is>
      </c>
      <c r="B421" t="inlineStr">
        <is>
          <t>A-E 354 T</t>
        </is>
      </c>
      <c r="C421" t="inlineStr">
        <is>
          <t>FM - VORTICE</t>
        </is>
      </c>
      <c r="D421" t="n">
        <v>1</v>
      </c>
      <c r="E421" t="n">
        <v>1</v>
      </c>
      <c r="F421" t="inlineStr">
        <is>
          <t>Vortice Elettrosociali SpA</t>
        </is>
      </c>
      <c r="G421" s="1" t="n">
        <v>3107.62</v>
      </c>
      <c r="H421" t="n">
        <v>0</v>
      </c>
      <c r="I421" t="n">
        <v>1.1</v>
      </c>
      <c r="J421" t="n">
        <v>1</v>
      </c>
      <c r="K421" t="n">
        <v>1</v>
      </c>
      <c r="L421" t="n">
        <v>0</v>
      </c>
      <c r="M421" t="n">
        <v>0</v>
      </c>
      <c r="N421" t="n">
        <v>3</v>
      </c>
      <c r="O421" s="1">
        <f>IFERROR(L421*G421,0)</f>
        <v/>
      </c>
      <c r="P421">
        <f>IF(N421-L421-M421&gt;0,N421-L421-M421,0)</f>
        <v/>
      </c>
      <c r="Q421" s="1">
        <f>IFERROR(P421*G421,0)</f>
        <v/>
      </c>
    </row>
    <row r="422">
      <c r="A422" t="inlineStr">
        <is>
          <t>423PM</t>
        </is>
      </c>
      <c r="B422" t="inlineStr">
        <is>
          <t>4kW 2P 380V Pad Mount Motor</t>
        </is>
      </c>
      <c r="C422" t="inlineStr">
        <is>
          <t>FM - MOTOR</t>
        </is>
      </c>
      <c r="D422" t="n">
        <v>15</v>
      </c>
      <c r="E422" t="n">
        <v>24</v>
      </c>
      <c r="F422" t="inlineStr">
        <is>
          <t>ACTOM</t>
        </is>
      </c>
      <c r="G422" s="1" t="n">
        <v>3644.75</v>
      </c>
      <c r="H422" t="n">
        <v>0</v>
      </c>
      <c r="I422" t="n">
        <v>0.7</v>
      </c>
      <c r="J422" t="n">
        <v>2</v>
      </c>
      <c r="K422" t="n">
        <v>1</v>
      </c>
      <c r="L422" t="n">
        <v>0</v>
      </c>
      <c r="M422" t="n">
        <v>12</v>
      </c>
      <c r="N422" t="n">
        <v>5</v>
      </c>
      <c r="O422" s="1">
        <f>IFERROR(L422*G422,0)</f>
        <v/>
      </c>
      <c r="P422">
        <f>IF(N422-L422-M422&gt;0,N422-L422-M422,0)</f>
        <v/>
      </c>
      <c r="Q422" s="1">
        <f>IFERROR(P422*G422,0)</f>
        <v/>
      </c>
    </row>
    <row r="423">
      <c r="A423" t="inlineStr">
        <is>
          <t>44.13.0010</t>
        </is>
      </c>
      <c r="B423" t="inlineStr">
        <is>
          <t>Round Terminal Block</t>
        </is>
      </c>
      <c r="C423" t="inlineStr"/>
      <c r="D423" t="n">
        <v>1</v>
      </c>
      <c r="E423" t="n">
        <v>50</v>
      </c>
      <c r="F423" t="inlineStr">
        <is>
          <t>ACTOM</t>
        </is>
      </c>
      <c r="G423" s="1" t="n">
        <v>39</v>
      </c>
      <c r="H423" t="n">
        <v>0</v>
      </c>
      <c r="I423" t="n">
        <v>0.8</v>
      </c>
      <c r="J423" t="n">
        <v>50</v>
      </c>
      <c r="K423" t="n">
        <v>40</v>
      </c>
      <c r="L423" t="n">
        <v>0</v>
      </c>
      <c r="M423" t="n">
        <v>0</v>
      </c>
      <c r="N423" t="n">
        <v>140</v>
      </c>
      <c r="O423" s="1">
        <f>IFERROR(L423*G423,0)</f>
        <v/>
      </c>
      <c r="P423">
        <f>IF(N423-L423-M423&gt;0,N423-L423-M423,0)</f>
        <v/>
      </c>
      <c r="Q423" s="1">
        <f>IFERROR(P423*G423,0)</f>
        <v/>
      </c>
    </row>
    <row r="424">
      <c r="A424" t="inlineStr">
        <is>
          <t>443FM</t>
        </is>
      </c>
      <c r="B424" t="inlineStr">
        <is>
          <t>4KW 4 D112 ALU Foot 400V IE1 SN:</t>
        </is>
      </c>
      <c r="C424" t="inlineStr"/>
      <c r="D424" t="n">
        <v>4</v>
      </c>
      <c r="E424" t="n">
        <v>2</v>
      </c>
      <c r="F424" t="inlineStr">
        <is>
          <t>Electromote (Pty) Ltd</t>
        </is>
      </c>
      <c r="G424" s="1" t="n">
        <v>3845.58</v>
      </c>
      <c r="H424" t="n">
        <v>0</v>
      </c>
      <c r="I424" t="n">
        <v>0.5</v>
      </c>
      <c r="J424" t="n">
        <v>1</v>
      </c>
      <c r="K424" t="n">
        <v>1</v>
      </c>
      <c r="L424" t="n">
        <v>0</v>
      </c>
      <c r="M424" t="n">
        <v>0</v>
      </c>
      <c r="N424" t="n">
        <v>2</v>
      </c>
      <c r="O424" s="1">
        <f>IFERROR(L424*G424,0)</f>
        <v/>
      </c>
      <c r="P424">
        <f>IF(N424-L424-M424&gt;0,N424-L424-M424,0)</f>
        <v/>
      </c>
      <c r="Q424" s="1">
        <f>IFERROR(P424*G424,0)</f>
        <v/>
      </c>
    </row>
    <row r="425">
      <c r="A425" t="inlineStr">
        <is>
          <t>443PM</t>
        </is>
      </c>
      <c r="B425" t="inlineStr">
        <is>
          <t>4kW 4P 380V Pad Mount Motor</t>
        </is>
      </c>
      <c r="C425" t="inlineStr">
        <is>
          <t>FM - MOTOR</t>
        </is>
      </c>
      <c r="D425" t="n">
        <v>15</v>
      </c>
      <c r="E425" t="n">
        <v>41</v>
      </c>
      <c r="F425" t="inlineStr">
        <is>
          <t>ACTOM</t>
        </is>
      </c>
      <c r="G425" s="1" t="n">
        <v>4017.1</v>
      </c>
      <c r="H425" t="n">
        <v>0</v>
      </c>
      <c r="I425" t="n">
        <v>1.1</v>
      </c>
      <c r="J425" t="n">
        <v>3</v>
      </c>
      <c r="K425" t="n">
        <v>3</v>
      </c>
      <c r="L425" t="n">
        <v>0</v>
      </c>
      <c r="M425" t="n">
        <v>8</v>
      </c>
      <c r="N425" t="n">
        <v>9</v>
      </c>
      <c r="O425" s="1">
        <f>IFERROR(L425*G425,0)</f>
        <v/>
      </c>
      <c r="P425">
        <f>IF(N425-L425-M425&gt;0,N425-L425-M425,0)</f>
        <v/>
      </c>
      <c r="Q425" s="1">
        <f>IFERROR(P425*G425,0)</f>
        <v/>
      </c>
    </row>
    <row r="426">
      <c r="A426" t="inlineStr">
        <is>
          <t>450CF</t>
        </is>
      </c>
      <c r="B426" t="inlineStr">
        <is>
          <t>450 Diam Counter Flange</t>
        </is>
      </c>
      <c r="C426" t="inlineStr">
        <is>
          <t>C/FLANGE</t>
        </is>
      </c>
      <c r="D426" t="n">
        <v>1</v>
      </c>
      <c r="E426" t="n">
        <v>0</v>
      </c>
      <c r="F426" t="inlineStr"/>
      <c r="G426" s="1" t="n">
        <v>0</v>
      </c>
      <c r="H426" t="n">
        <v>2</v>
      </c>
      <c r="I426" t="n">
        <v>0.5</v>
      </c>
      <c r="J426" t="n">
        <v>2</v>
      </c>
      <c r="K426" t="n">
        <v>1</v>
      </c>
      <c r="L426" t="n">
        <v>0</v>
      </c>
      <c r="M426" t="n">
        <v>0</v>
      </c>
      <c r="N426" t="n">
        <v>5</v>
      </c>
      <c r="O426" s="1">
        <f>IFERROR(L426*G426,0)</f>
        <v/>
      </c>
      <c r="P426">
        <f>IF(N426-L426-M426&gt;0,N426-L426-M426,0)</f>
        <v/>
      </c>
      <c r="Q426" s="1">
        <f>IFERROR(P426*G426,0)</f>
        <v/>
      </c>
    </row>
    <row r="427">
      <c r="A427" t="inlineStr">
        <is>
          <t>450MF</t>
        </is>
      </c>
      <c r="B427" t="inlineStr">
        <is>
          <t>450 Diam Mounting Feet</t>
        </is>
      </c>
      <c r="C427" t="inlineStr">
        <is>
          <t>M/FEET</t>
        </is>
      </c>
      <c r="D427" t="n">
        <v>1</v>
      </c>
      <c r="E427" t="n">
        <v>0</v>
      </c>
      <c r="F427" t="inlineStr"/>
      <c r="G427" s="1" t="n">
        <v>0</v>
      </c>
      <c r="H427" t="n">
        <v>4</v>
      </c>
      <c r="I427" t="n">
        <v>0.5</v>
      </c>
      <c r="J427" t="n">
        <v>4</v>
      </c>
      <c r="K427" t="n">
        <v>2</v>
      </c>
      <c r="L427" t="n">
        <v>0</v>
      </c>
      <c r="M427" t="n">
        <v>0</v>
      </c>
      <c r="N427" t="n">
        <v>10</v>
      </c>
      <c r="O427" s="1">
        <f>IFERROR(L427*G427,0)</f>
        <v/>
      </c>
      <c r="P427">
        <f>IF(N427-L427-M427&gt;0,N427-L427-M427,0)</f>
        <v/>
      </c>
      <c r="Q427" s="1">
        <f>IFERROR(P427*G427,0)</f>
        <v/>
      </c>
    </row>
    <row r="428">
      <c r="A428" t="inlineStr">
        <is>
          <t>46000</t>
        </is>
      </c>
      <c r="B428" t="inlineStr">
        <is>
          <t>PRA GLAND FLP Exde BRASS CPR N0S M20</t>
        </is>
      </c>
      <c r="C428" t="inlineStr"/>
      <c r="D428" t="n">
        <v>11</v>
      </c>
      <c r="E428" t="n">
        <v>8</v>
      </c>
      <c r="F428" t="inlineStr">
        <is>
          <t>Pratley (Pty) Ltd</t>
        </is>
      </c>
      <c r="G428" s="1" t="n">
        <v>196.3</v>
      </c>
      <c r="H428" t="n">
        <v>0</v>
      </c>
      <c r="I428" t="n">
        <v>0.5</v>
      </c>
      <c r="J428" t="n">
        <v>1</v>
      </c>
      <c r="K428" t="n">
        <v>1</v>
      </c>
      <c r="L428" t="n">
        <v>0</v>
      </c>
      <c r="M428" t="n">
        <v>0</v>
      </c>
      <c r="N428" t="n">
        <v>2</v>
      </c>
      <c r="O428" s="1">
        <f>IFERROR(L428*G428,0)</f>
        <v/>
      </c>
      <c r="P428">
        <f>IF(N428-L428-M428&gt;0,N428-L428-M428,0)</f>
        <v/>
      </c>
      <c r="Q428" s="1">
        <f>IFERROR(P428*G428,0)</f>
        <v/>
      </c>
    </row>
    <row r="429">
      <c r="A429" t="inlineStr">
        <is>
          <t>460CF</t>
        </is>
      </c>
      <c r="B429" t="inlineStr">
        <is>
          <t>460 Diam Counter Flanges</t>
        </is>
      </c>
      <c r="C429" t="inlineStr">
        <is>
          <t>C/FLANGE</t>
        </is>
      </c>
      <c r="D429" t="n">
        <v>1</v>
      </c>
      <c r="E429" t="n">
        <v>2</v>
      </c>
      <c r="F429" t="inlineStr">
        <is>
          <t>GALVAGLOW (PTY) LTD</t>
        </is>
      </c>
      <c r="G429" s="1" t="n">
        <v>0</v>
      </c>
      <c r="H429" t="n">
        <v>0</v>
      </c>
      <c r="I429" t="n">
        <v>0.5</v>
      </c>
      <c r="J429" t="n">
        <v>2</v>
      </c>
      <c r="K429" t="n">
        <v>1</v>
      </c>
      <c r="L429" t="n">
        <v>0</v>
      </c>
      <c r="M429" t="n">
        <v>0</v>
      </c>
      <c r="N429" t="n">
        <v>5</v>
      </c>
      <c r="O429" s="1">
        <f>IFERROR(L429*G429,0)</f>
        <v/>
      </c>
      <c r="P429">
        <f>IF(N429-L429-M429&gt;0,N429-L429-M429,0)</f>
        <v/>
      </c>
      <c r="Q429" s="1">
        <f>IFERROR(P429*G429,0)</f>
        <v/>
      </c>
    </row>
    <row r="430">
      <c r="A430" t="inlineStr">
        <is>
          <t>460MF</t>
        </is>
      </c>
      <c r="B430" t="inlineStr">
        <is>
          <t>460 Diam Mounting Feet</t>
        </is>
      </c>
      <c r="C430" t="inlineStr">
        <is>
          <t>M/FEET</t>
        </is>
      </c>
      <c r="D430" t="n">
        <v>1</v>
      </c>
      <c r="E430" t="n">
        <v>4</v>
      </c>
      <c r="F430" t="inlineStr">
        <is>
          <t>GALVAGLOW (PTY) LTD</t>
        </is>
      </c>
      <c r="G430" s="1" t="n">
        <v>0</v>
      </c>
      <c r="H430" t="n">
        <v>0</v>
      </c>
      <c r="I430" t="n">
        <v>0.5</v>
      </c>
      <c r="J430" t="n">
        <v>4</v>
      </c>
      <c r="K430" t="n">
        <v>2</v>
      </c>
      <c r="L430" t="n">
        <v>0</v>
      </c>
      <c r="M430" t="n">
        <v>0</v>
      </c>
      <c r="N430" t="n">
        <v>10</v>
      </c>
      <c r="O430" s="1">
        <f>IFERROR(L430*G430,0)</f>
        <v/>
      </c>
      <c r="P430">
        <f>IF(N430-L430-M430&gt;0,N430-L430-M430,0)</f>
        <v/>
      </c>
      <c r="Q430" s="1">
        <f>IFERROR(P430*G430,0)</f>
        <v/>
      </c>
    </row>
    <row r="431">
      <c r="A431" t="inlineStr">
        <is>
          <t>49111090</t>
        </is>
      </c>
      <c r="B431" t="inlineStr">
        <is>
          <t>CATALOGO</t>
        </is>
      </c>
      <c r="C431" t="inlineStr"/>
      <c r="D431" t="n">
        <v>1</v>
      </c>
      <c r="E431" t="n">
        <v>1</v>
      </c>
      <c r="F431" t="inlineStr">
        <is>
          <t>SODECA</t>
        </is>
      </c>
      <c r="G431" s="1" t="n">
        <v>453.03</v>
      </c>
      <c r="H431" t="n">
        <v>0</v>
      </c>
      <c r="I431" t="n">
        <v>2.1</v>
      </c>
      <c r="J431" t="n">
        <v>1</v>
      </c>
      <c r="K431" t="n">
        <v>2</v>
      </c>
      <c r="L431" t="n">
        <v>0</v>
      </c>
      <c r="M431" t="n">
        <v>0</v>
      </c>
      <c r="N431" t="n">
        <v>4</v>
      </c>
      <c r="O431" s="1">
        <f>IFERROR(L431*G431,0)</f>
        <v/>
      </c>
      <c r="P431">
        <f>IF(N431-L431-M431&gt;0,N431-L431-M431,0)</f>
        <v/>
      </c>
      <c r="Q431" s="1">
        <f>IFERROR(P431*G431,0)</f>
        <v/>
      </c>
    </row>
    <row r="432">
      <c r="A432" t="inlineStr">
        <is>
          <t>4kW VSD</t>
        </is>
      </c>
      <c r="B432" t="inlineStr">
        <is>
          <t>4kW Variable Speed Controller</t>
        </is>
      </c>
      <c r="C432" t="inlineStr">
        <is>
          <t>VSD</t>
        </is>
      </c>
      <c r="D432" t="n">
        <v>1</v>
      </c>
      <c r="E432" t="n">
        <v>0</v>
      </c>
      <c r="F432" t="inlineStr">
        <is>
          <t>AM SYSTEMS INTEGRATIONS (PTY) LTD</t>
        </is>
      </c>
      <c r="G432" s="1" t="n">
        <v>7011.65</v>
      </c>
      <c r="H432" t="n">
        <v>1</v>
      </c>
      <c r="I432" t="n">
        <v>0.9</v>
      </c>
      <c r="J432" t="n">
        <v>1</v>
      </c>
      <c r="K432" t="n">
        <v>1</v>
      </c>
      <c r="L432" t="n">
        <v>0</v>
      </c>
      <c r="M432" t="n">
        <v>1</v>
      </c>
      <c r="N432" t="n">
        <v>3</v>
      </c>
      <c r="O432" s="1">
        <f>IFERROR(L432*G432,0)</f>
        <v/>
      </c>
      <c r="P432">
        <f>IF(N432-L432-M432&gt;0,N432-L432-M432,0)</f>
        <v/>
      </c>
      <c r="Q432" s="1">
        <f>IFERROR(P432*G432,0)</f>
        <v/>
      </c>
    </row>
    <row r="433">
      <c r="A433" t="inlineStr">
        <is>
          <t>4mm Grub Screw</t>
        </is>
      </c>
      <c r="B433" t="inlineStr">
        <is>
          <t>4mm Grub Screw</t>
        </is>
      </c>
      <c r="C433" t="inlineStr"/>
      <c r="D433" t="n">
        <v>1</v>
      </c>
      <c r="E433" t="n">
        <v>10</v>
      </c>
      <c r="F433" t="inlineStr">
        <is>
          <t>M&amp;D SPECIALISED FASTENERS (PTY) LTD</t>
        </is>
      </c>
      <c r="G433" s="1" t="n">
        <v>0.6</v>
      </c>
      <c r="H433" t="n">
        <v>0</v>
      </c>
      <c r="I433" t="n">
        <v>0.5</v>
      </c>
      <c r="J433" t="n">
        <v>10</v>
      </c>
      <c r="K433" t="n">
        <v>5</v>
      </c>
      <c r="L433" t="n">
        <v>0</v>
      </c>
      <c r="M433" t="n">
        <v>0</v>
      </c>
      <c r="N433" t="n">
        <v>25</v>
      </c>
      <c r="O433" s="1">
        <f>IFERROR(L433*G433,0)</f>
        <v/>
      </c>
      <c r="P433">
        <f>IF(N433-L433-M433&gt;0,N433-L433-M433,0)</f>
        <v/>
      </c>
      <c r="Q433" s="1">
        <f>IFERROR(P433*G433,0)</f>
        <v/>
      </c>
    </row>
    <row r="434">
      <c r="A434" t="inlineStr">
        <is>
          <t>4mm plt</t>
        </is>
      </c>
      <c r="B434" t="inlineStr">
        <is>
          <t>1000 Flanges Special request</t>
        </is>
      </c>
      <c r="C434" t="inlineStr"/>
      <c r="D434" t="n">
        <v>3</v>
      </c>
      <c r="E434" t="n">
        <v>3</v>
      </c>
      <c r="F434" t="inlineStr">
        <is>
          <t>Kart Shop TA Ultimate Laser Cutting</t>
        </is>
      </c>
      <c r="G434" s="1" t="n">
        <v>2796.67</v>
      </c>
      <c r="H434" t="n">
        <v>0</v>
      </c>
      <c r="I434" t="n">
        <v>0.5</v>
      </c>
      <c r="J434" t="n">
        <v>1</v>
      </c>
      <c r="K434" t="n">
        <v>1</v>
      </c>
      <c r="L434" t="n">
        <v>0</v>
      </c>
      <c r="M434" t="n">
        <v>0</v>
      </c>
      <c r="N434" t="n">
        <v>2</v>
      </c>
      <c r="O434" s="1">
        <f>IFERROR(L434*G434,0)</f>
        <v/>
      </c>
      <c r="P434">
        <f>IF(N434-L434-M434&gt;0,N434-L434-M434,0)</f>
        <v/>
      </c>
      <c r="Q434" s="1">
        <f>IFERROR(P434*G434,0)</f>
        <v/>
      </c>
    </row>
    <row r="435">
      <c r="A435" t="inlineStr">
        <is>
          <t>5.523FM</t>
        </is>
      </c>
      <c r="B435" t="inlineStr">
        <is>
          <t>5.5KW 2P 400V FOOT MOUNT MOTOR</t>
        </is>
      </c>
      <c r="C435" t="inlineStr"/>
      <c r="D435" t="n">
        <v>1</v>
      </c>
      <c r="E435" t="n">
        <v>3</v>
      </c>
      <c r="F435" t="inlineStr">
        <is>
          <t>WEG South Africa</t>
        </is>
      </c>
      <c r="G435" s="1" t="n">
        <v>4393.13</v>
      </c>
      <c r="H435" t="n">
        <v>0</v>
      </c>
      <c r="I435" t="n">
        <v>0.5</v>
      </c>
      <c r="J435" t="n">
        <v>3</v>
      </c>
      <c r="K435" t="n">
        <v>2</v>
      </c>
      <c r="L435" t="n">
        <v>0</v>
      </c>
      <c r="M435" t="n">
        <v>0</v>
      </c>
      <c r="N435" t="n">
        <v>8</v>
      </c>
      <c r="O435" s="1">
        <f>IFERROR(L435*G435,0)</f>
        <v/>
      </c>
      <c r="P435">
        <f>IF(N435-L435-M435&gt;0,N435-L435-M435,0)</f>
        <v/>
      </c>
      <c r="Q435" s="1">
        <f>IFERROR(P435*G435,0)</f>
        <v/>
      </c>
    </row>
    <row r="436">
      <c r="A436" t="inlineStr">
        <is>
          <t>5.523PM</t>
        </is>
      </c>
      <c r="B436" t="inlineStr">
        <is>
          <t>5.5 kW 2P 380V Pad Mount Motor</t>
        </is>
      </c>
      <c r="C436" t="inlineStr">
        <is>
          <t>FM - MOTOR</t>
        </is>
      </c>
      <c r="D436" t="n">
        <v>12</v>
      </c>
      <c r="E436" t="n">
        <v>6</v>
      </c>
      <c r="F436" t="inlineStr">
        <is>
          <t>Luck and King</t>
        </is>
      </c>
      <c r="G436" s="1" t="n">
        <v>5386.44</v>
      </c>
      <c r="H436" t="n">
        <v>0</v>
      </c>
      <c r="I436" t="n">
        <v>0.9</v>
      </c>
      <c r="J436" t="n">
        <v>1</v>
      </c>
      <c r="K436" t="n">
        <v>1</v>
      </c>
      <c r="L436" t="n">
        <v>0</v>
      </c>
      <c r="M436" t="n">
        <v>0</v>
      </c>
      <c r="N436" t="n">
        <v>3</v>
      </c>
      <c r="O436" s="1">
        <f>IFERROR(L436*G436,0)</f>
        <v/>
      </c>
      <c r="P436">
        <f>IF(N436-L436-M436&gt;0,N436-L436-M436,0)</f>
        <v/>
      </c>
      <c r="Q436" s="1">
        <f>IFERROR(P436*G436,0)</f>
        <v/>
      </c>
    </row>
    <row r="437">
      <c r="A437" t="inlineStr">
        <is>
          <t>5.543PM</t>
        </is>
      </c>
      <c r="B437" t="inlineStr">
        <is>
          <t>5.5kW 4P 380V Pad Mount Motor</t>
        </is>
      </c>
      <c r="C437" t="inlineStr">
        <is>
          <t>FM - MOTOR</t>
        </is>
      </c>
      <c r="D437" t="n">
        <v>18</v>
      </c>
      <c r="E437" t="n">
        <v>17</v>
      </c>
      <c r="F437" t="inlineStr">
        <is>
          <t>ACTOM</t>
        </is>
      </c>
      <c r="G437" s="1" t="n">
        <v>4902.91</v>
      </c>
      <c r="H437" t="n">
        <v>4</v>
      </c>
      <c r="I437" t="n">
        <v>1.1</v>
      </c>
      <c r="J437" t="n">
        <v>1</v>
      </c>
      <c r="K437" t="n">
        <v>1</v>
      </c>
      <c r="L437" t="n">
        <v>0</v>
      </c>
      <c r="M437" t="n">
        <v>6</v>
      </c>
      <c r="N437" t="n">
        <v>3</v>
      </c>
      <c r="O437" s="1">
        <f>IFERROR(L437*G437,0)</f>
        <v/>
      </c>
      <c r="P437">
        <f>IF(N437-L437-M437&gt;0,N437-L437-M437,0)</f>
        <v/>
      </c>
      <c r="Q437" s="1">
        <f>IFERROR(P437*G437,0)</f>
        <v/>
      </c>
    </row>
    <row r="438">
      <c r="A438" t="inlineStr">
        <is>
          <t>5.5kW VSD</t>
        </is>
      </c>
      <c r="B438" t="inlineStr">
        <is>
          <t>5.5kW Variable Speed Controller</t>
        </is>
      </c>
      <c r="C438" t="inlineStr">
        <is>
          <t>VSD</t>
        </is>
      </c>
      <c r="D438" t="n">
        <v>1</v>
      </c>
      <c r="E438" t="n">
        <v>0</v>
      </c>
      <c r="F438" t="inlineStr">
        <is>
          <t>AM SYSTEMS INTEGRATIONS (PTY) LTD</t>
        </is>
      </c>
      <c r="G438" s="1" t="n">
        <v>7709.22</v>
      </c>
      <c r="H438" t="n">
        <v>2</v>
      </c>
      <c r="I438" t="n">
        <v>0.9</v>
      </c>
      <c r="J438" t="n">
        <v>2</v>
      </c>
      <c r="K438" t="n">
        <v>2</v>
      </c>
      <c r="L438" t="n">
        <v>0</v>
      </c>
      <c r="M438" t="n">
        <v>1</v>
      </c>
      <c r="N438" t="n">
        <v>6</v>
      </c>
      <c r="O438" s="1">
        <f>IFERROR(L438*G438,0)</f>
        <v/>
      </c>
      <c r="P438">
        <f>IF(N438-L438-M438&gt;0,N438-L438-M438,0)</f>
        <v/>
      </c>
      <c r="Q438" s="1">
        <f>IFERROR(P438*G438,0)</f>
        <v/>
      </c>
    </row>
    <row r="439">
      <c r="A439" t="inlineStr">
        <is>
          <t>500 SC</t>
        </is>
      </c>
      <c r="B439" t="inlineStr">
        <is>
          <t>500 Diam Side Screen (HOT DEEP GALV)</t>
        </is>
      </c>
      <c r="C439" t="inlineStr"/>
      <c r="D439" t="n">
        <v>1</v>
      </c>
      <c r="E439" t="n">
        <v>8</v>
      </c>
      <c r="F439" t="inlineStr">
        <is>
          <t>Heinmor Wire Products CC</t>
        </is>
      </c>
      <c r="G439" s="1" t="n">
        <v>281</v>
      </c>
      <c r="H439" t="n">
        <v>0</v>
      </c>
      <c r="I439" t="n">
        <v>0.5</v>
      </c>
      <c r="J439" t="n">
        <v>8</v>
      </c>
      <c r="K439" t="n">
        <v>4</v>
      </c>
      <c r="L439" t="n">
        <v>0</v>
      </c>
      <c r="M439" t="n">
        <v>0</v>
      </c>
      <c r="N439" t="n">
        <v>20</v>
      </c>
      <c r="O439" s="1">
        <f>IFERROR(L439*G439,0)</f>
        <v/>
      </c>
      <c r="P439">
        <f>IF(N439-L439-M439&gt;0,N439-L439-M439,0)</f>
        <v/>
      </c>
      <c r="Q439" s="1">
        <f>IFERROR(P439*G439,0)</f>
        <v/>
      </c>
    </row>
    <row r="440">
      <c r="A440" t="inlineStr">
        <is>
          <t>500C400</t>
        </is>
      </c>
      <c r="B440" t="inlineStr">
        <is>
          <t>500 Casing x 400mm Long - DO NOT DRILL MOTOR AND BRACKET HOLES</t>
        </is>
      </c>
      <c r="C440" t="inlineStr">
        <is>
          <t>FM - CFW FANS</t>
        </is>
      </c>
      <c r="D440" t="n">
        <v>2</v>
      </c>
      <c r="E440" t="n">
        <v>6</v>
      </c>
      <c r="F440" t="inlineStr">
        <is>
          <t>CFW Fans (Pty) Ltd</t>
        </is>
      </c>
      <c r="G440" s="1" t="n">
        <v>1438</v>
      </c>
      <c r="H440" t="n">
        <v>0</v>
      </c>
      <c r="I440" t="n">
        <v>0.5</v>
      </c>
      <c r="J440" t="n">
        <v>3</v>
      </c>
      <c r="K440" t="n">
        <v>2</v>
      </c>
      <c r="L440" t="n">
        <v>0</v>
      </c>
      <c r="M440" t="n">
        <v>0</v>
      </c>
      <c r="N440" t="n">
        <v>8</v>
      </c>
      <c r="O440" s="1">
        <f>IFERROR(L440*G440,0)</f>
        <v/>
      </c>
      <c r="P440">
        <f>IF(N440-L440-M440&gt;0,N440-L440-M440,0)</f>
        <v/>
      </c>
      <c r="Q440" s="1">
        <f>IFERROR(P440*G440,0)</f>
        <v/>
      </c>
    </row>
    <row r="441">
      <c r="A441" t="inlineStr">
        <is>
          <t>500CF</t>
        </is>
      </c>
      <c r="B441" t="inlineStr">
        <is>
          <t>500 Diam Counter Flange</t>
        </is>
      </c>
      <c r="C441" t="inlineStr">
        <is>
          <t>FM - C/FLANGE</t>
        </is>
      </c>
      <c r="D441" t="n">
        <v>34</v>
      </c>
      <c r="E441" t="n">
        <v>203</v>
      </c>
      <c r="F441" t="inlineStr">
        <is>
          <t>Attenu-Tec HVAC Parts</t>
        </is>
      </c>
      <c r="G441" s="1" t="n">
        <v>64.44</v>
      </c>
      <c r="H441" t="n">
        <v>207</v>
      </c>
      <c r="I441" t="n">
        <v>0.7</v>
      </c>
      <c r="J441" t="n">
        <v>6.5</v>
      </c>
      <c r="K441" t="n">
        <v>5</v>
      </c>
      <c r="L441" t="n">
        <v>0</v>
      </c>
      <c r="M441" t="n">
        <v>0</v>
      </c>
      <c r="N441" t="n">
        <v>18</v>
      </c>
      <c r="O441" s="1">
        <f>IFERROR(L441*G441,0)</f>
        <v/>
      </c>
      <c r="P441">
        <f>IF(N441-L441-M441&gt;0,N441-L441-M441,0)</f>
        <v/>
      </c>
      <c r="Q441" s="1">
        <f>IFERROR(P441*G441,0)</f>
        <v/>
      </c>
    </row>
    <row r="442">
      <c r="A442" t="inlineStr">
        <is>
          <t>500CFUG</t>
        </is>
      </c>
      <c r="B442" t="inlineStr">
        <is>
          <t>500 Diam Counter Flange Ungalvanised</t>
        </is>
      </c>
      <c r="C442" t="inlineStr">
        <is>
          <t>FM - C/FLANGE</t>
        </is>
      </c>
      <c r="D442" t="n">
        <v>1</v>
      </c>
      <c r="E442" t="n">
        <v>20</v>
      </c>
      <c r="F442" t="inlineStr">
        <is>
          <t>ULTIMATENG (PTY) LTD</t>
        </is>
      </c>
      <c r="G442" s="1" t="n">
        <v>0</v>
      </c>
      <c r="H442" t="n">
        <v>0</v>
      </c>
      <c r="I442" t="n">
        <v>0.5</v>
      </c>
      <c r="J442" t="n">
        <v>20</v>
      </c>
      <c r="K442" t="n">
        <v>10</v>
      </c>
      <c r="L442" t="n">
        <v>0</v>
      </c>
      <c r="M442" t="n">
        <v>0</v>
      </c>
      <c r="N442" t="n">
        <v>50</v>
      </c>
      <c r="O442" s="1">
        <f>IFERROR(L442*G442,0)</f>
        <v/>
      </c>
      <c r="P442">
        <f>IF(N442-L442-M442&gt;0,N442-L442-M442,0)</f>
        <v/>
      </c>
      <c r="Q442" s="1">
        <f>IFERROR(P442*G442,0)</f>
        <v/>
      </c>
    </row>
    <row r="443">
      <c r="A443" t="inlineStr">
        <is>
          <t>500FC</t>
        </is>
      </c>
      <c r="B443" t="inlineStr">
        <is>
          <t>500 Diam Flexible Connection</t>
        </is>
      </c>
      <c r="C443" t="inlineStr">
        <is>
          <t>FM - DONKIN</t>
        </is>
      </c>
      <c r="D443" t="n">
        <v>24</v>
      </c>
      <c r="E443" t="n">
        <v>12</v>
      </c>
      <c r="F443" t="inlineStr">
        <is>
          <t>Air Speration</t>
        </is>
      </c>
      <c r="G443" s="1" t="n">
        <v>537.5700000000001</v>
      </c>
      <c r="H443" t="n">
        <v>6</v>
      </c>
      <c r="I443" t="n">
        <v>1.4</v>
      </c>
      <c r="J443" t="n">
        <v>1</v>
      </c>
      <c r="K443" t="n">
        <v>1</v>
      </c>
      <c r="L443" t="n">
        <v>0</v>
      </c>
      <c r="M443" t="n">
        <v>0</v>
      </c>
      <c r="N443" t="n">
        <v>3</v>
      </c>
      <c r="O443" s="1">
        <f>IFERROR(L443*G443,0)</f>
        <v/>
      </c>
      <c r="P443">
        <f>IF(N443-L443-M443&gt;0,N443-L443-M443,0)</f>
        <v/>
      </c>
      <c r="Q443" s="1">
        <f>IFERROR(P443*G443,0)</f>
        <v/>
      </c>
    </row>
    <row r="444">
      <c r="A444" t="inlineStr">
        <is>
          <t>500HVJ-2S</t>
        </is>
      </c>
      <c r="B444" t="inlineStr">
        <is>
          <t>500 Diam Vertical Discharge Unit</t>
        </is>
      </c>
      <c r="C444" t="inlineStr">
        <is>
          <t>FM - DONKIN</t>
        </is>
      </c>
      <c r="D444" t="n">
        <v>2</v>
      </c>
      <c r="E444" t="n">
        <v>2</v>
      </c>
      <c r="F444" t="inlineStr">
        <is>
          <t>Attenu-Tec HVAC Parts</t>
        </is>
      </c>
      <c r="G444" s="1" t="n">
        <v>1025</v>
      </c>
      <c r="H444" t="n">
        <v>2</v>
      </c>
      <c r="I444" t="n">
        <v>1.1</v>
      </c>
      <c r="J444" t="n">
        <v>1</v>
      </c>
      <c r="K444" t="n">
        <v>1</v>
      </c>
      <c r="L444" t="n">
        <v>0</v>
      </c>
      <c r="M444" t="n">
        <v>0</v>
      </c>
      <c r="N444" t="n">
        <v>3</v>
      </c>
      <c r="O444" s="1">
        <f>IFERROR(L444*G444,0)</f>
        <v/>
      </c>
      <c r="P444">
        <f>IF(N444-L444-M444&gt;0,N444-L444-M444,0)</f>
        <v/>
      </c>
      <c r="Q444" s="1">
        <f>IFERROR(P444*G444,0)</f>
        <v/>
      </c>
    </row>
    <row r="445">
      <c r="A445" t="inlineStr">
        <is>
          <t>500IM</t>
        </is>
      </c>
      <c r="B445" t="inlineStr">
        <is>
          <t>Spare Impeller</t>
        </is>
      </c>
      <c r="C445" t="inlineStr"/>
      <c r="D445" t="n">
        <v>1</v>
      </c>
      <c r="E445" t="n">
        <v>3</v>
      </c>
      <c r="F445" t="inlineStr">
        <is>
          <t>Centrifab (Pty) Ltd</t>
        </is>
      </c>
      <c r="G445" s="1" t="n">
        <v>1630</v>
      </c>
      <c r="H445" t="n">
        <v>0</v>
      </c>
      <c r="I445" t="n">
        <v>1.7</v>
      </c>
      <c r="J445" t="n">
        <v>3</v>
      </c>
      <c r="K445" t="n">
        <v>5</v>
      </c>
      <c r="L445" t="n">
        <v>0</v>
      </c>
      <c r="M445" t="n">
        <v>0</v>
      </c>
      <c r="N445" t="n">
        <v>11</v>
      </c>
      <c r="O445" s="1">
        <f>IFERROR(L445*G445,0)</f>
        <v/>
      </c>
      <c r="P445">
        <f>IF(N445-L445-M445&gt;0,N445-L445-M445,0)</f>
        <v/>
      </c>
      <c r="Q445" s="1">
        <f>IFERROR(P445*G445,0)</f>
        <v/>
      </c>
    </row>
    <row r="446">
      <c r="A446" t="inlineStr">
        <is>
          <t>500MBP03</t>
        </is>
      </c>
      <c r="B446" t="inlineStr">
        <is>
          <t>1-0350-240 P03 - 500 Motor Bracket</t>
        </is>
      </c>
      <c r="C446" t="inlineStr"/>
      <c r="D446" t="n">
        <v>20</v>
      </c>
      <c r="E446" t="n">
        <v>248</v>
      </c>
      <c r="F446" t="inlineStr">
        <is>
          <t>Kart Shop TA Ultimate Laser Cutting</t>
        </is>
      </c>
      <c r="G446" s="1" t="n">
        <v>24.7</v>
      </c>
      <c r="H446" t="n">
        <v>0</v>
      </c>
      <c r="I446" t="n">
        <v>0.5</v>
      </c>
      <c r="J446" t="n">
        <v>12.5</v>
      </c>
      <c r="K446" t="n">
        <v>6</v>
      </c>
      <c r="L446" t="n">
        <v>0</v>
      </c>
      <c r="M446" t="n">
        <v>0</v>
      </c>
      <c r="N446" t="n">
        <v>31</v>
      </c>
      <c r="O446" s="1">
        <f>IFERROR(L446*G446,0)</f>
        <v/>
      </c>
      <c r="P446">
        <f>IF(N446-L446-M446&gt;0,N446-L446-M446,0)</f>
        <v/>
      </c>
      <c r="Q446" s="1">
        <f>IFERROR(P446*G446,0)</f>
        <v/>
      </c>
    </row>
    <row r="447">
      <c r="A447" t="inlineStr">
        <is>
          <t>500MF</t>
        </is>
      </c>
      <c r="B447" t="inlineStr">
        <is>
          <t>500 Diam Mounting Feet</t>
        </is>
      </c>
      <c r="C447" t="inlineStr">
        <is>
          <t>FM - M/FEET</t>
        </is>
      </c>
      <c r="D447" t="n">
        <v>34</v>
      </c>
      <c r="E447" t="n">
        <v>180</v>
      </c>
      <c r="F447" t="inlineStr">
        <is>
          <t>Attenu-Tec HVAC Parts</t>
        </is>
      </c>
      <c r="G447" s="1" t="n">
        <v>0</v>
      </c>
      <c r="H447" t="n">
        <v>305</v>
      </c>
      <c r="I447" t="n">
        <v>0.6</v>
      </c>
      <c r="J447" t="n">
        <v>9</v>
      </c>
      <c r="K447" t="n">
        <v>5</v>
      </c>
      <c r="L447" t="n">
        <v>0</v>
      </c>
      <c r="M447" t="n">
        <v>0</v>
      </c>
      <c r="N447" t="n">
        <v>23</v>
      </c>
      <c r="O447" s="1">
        <f>IFERROR(L447*G447,0)</f>
        <v/>
      </c>
      <c r="P447">
        <f>IF(N447-L447-M447&gt;0,N447-L447-M447,0)</f>
        <v/>
      </c>
      <c r="Q447" s="1">
        <f>IFERROR(P447*G447,0)</f>
        <v/>
      </c>
    </row>
    <row r="448">
      <c r="A448" t="inlineStr">
        <is>
          <t>500MFUG</t>
        </is>
      </c>
      <c r="B448" t="inlineStr">
        <is>
          <t>500 Diam Mounting Feet Ungalvanized</t>
        </is>
      </c>
      <c r="C448" t="inlineStr">
        <is>
          <t>FM - M/FEET</t>
        </is>
      </c>
      <c r="D448" t="n">
        <v>1</v>
      </c>
      <c r="E448" t="n">
        <v>18</v>
      </c>
      <c r="F448" t="inlineStr">
        <is>
          <t>ULTIMATENG (PTY) LTD</t>
        </is>
      </c>
      <c r="G448" s="1" t="n">
        <v>0</v>
      </c>
      <c r="H448" t="n">
        <v>0</v>
      </c>
      <c r="I448" t="n">
        <v>0.5</v>
      </c>
      <c r="J448" t="n">
        <v>18</v>
      </c>
      <c r="K448" t="n">
        <v>9</v>
      </c>
      <c r="L448" t="n">
        <v>0</v>
      </c>
      <c r="M448" t="n">
        <v>0</v>
      </c>
      <c r="N448" t="n">
        <v>45</v>
      </c>
      <c r="O448" s="1">
        <f>IFERROR(L448*G448,0)</f>
        <v/>
      </c>
      <c r="P448">
        <f>IF(N448-L448-M448&gt;0,N448-L448-M448,0)</f>
        <v/>
      </c>
      <c r="Q448" s="1">
        <f>IFERROR(P448*G448,0)</f>
        <v/>
      </c>
    </row>
    <row r="449">
      <c r="A449" t="inlineStr">
        <is>
          <t>500PLT400-2MM</t>
        </is>
      </c>
      <c r="B449" t="inlineStr">
        <is>
          <t>500 Casing Sheet - 1579 x 400 - 2mm</t>
        </is>
      </c>
      <c r="C449" t="inlineStr">
        <is>
          <t>FM - FABRICATION</t>
        </is>
      </c>
      <c r="D449" t="n">
        <v>1</v>
      </c>
      <c r="E449" t="n">
        <v>6</v>
      </c>
      <c r="F449" t="inlineStr">
        <is>
          <t>NJR STEEL - ALRODE (PTY) LTD</t>
        </is>
      </c>
      <c r="G449" s="1" t="n">
        <v>207.08</v>
      </c>
      <c r="H449" t="n">
        <v>0</v>
      </c>
      <c r="I449" t="n">
        <v>0.5</v>
      </c>
      <c r="J449" t="n">
        <v>6</v>
      </c>
      <c r="K449" t="n">
        <v>3</v>
      </c>
      <c r="L449" t="n">
        <v>0</v>
      </c>
      <c r="M449" t="n">
        <v>0</v>
      </c>
      <c r="N449" t="n">
        <v>15</v>
      </c>
      <c r="O449" s="1">
        <f>IFERROR(L449*G449,0)</f>
        <v/>
      </c>
      <c r="P449">
        <f>IF(N449-L449-M449&gt;0,N449-L449-M449,0)</f>
        <v/>
      </c>
      <c r="Q449" s="1">
        <f>IFERROR(P449*G449,0)</f>
        <v/>
      </c>
    </row>
    <row r="450">
      <c r="A450" t="inlineStr">
        <is>
          <t>500PLT400-3MM</t>
        </is>
      </c>
      <c r="B450" t="inlineStr">
        <is>
          <t>500 Casing Sheet - 1579 x 400 - 3mm</t>
        </is>
      </c>
      <c r="C450" t="inlineStr">
        <is>
          <t>FM - FABRICATION</t>
        </is>
      </c>
      <c r="D450" t="n">
        <v>1</v>
      </c>
      <c r="E450" t="n">
        <v>6</v>
      </c>
      <c r="F450" t="inlineStr">
        <is>
          <t>NJR STEEL - ALRODE (PTY) LTD</t>
        </is>
      </c>
      <c r="G450" s="1" t="n">
        <v>385.17</v>
      </c>
      <c r="H450" t="n">
        <v>0</v>
      </c>
      <c r="I450" t="n">
        <v>0.5</v>
      </c>
      <c r="J450" t="n">
        <v>6</v>
      </c>
      <c r="K450" t="n">
        <v>3</v>
      </c>
      <c r="L450" t="n">
        <v>0</v>
      </c>
      <c r="M450" t="n">
        <v>0</v>
      </c>
      <c r="N450" t="n">
        <v>15</v>
      </c>
      <c r="O450" s="1">
        <f>IFERROR(L450*G450,0)</f>
        <v/>
      </c>
      <c r="P450">
        <f>IF(N450-L450-M450&gt;0,N450-L450-M450,0)</f>
        <v/>
      </c>
      <c r="Q450" s="1">
        <f>IFERROR(P450*G450,0)</f>
        <v/>
      </c>
    </row>
    <row r="451">
      <c r="A451" t="inlineStr">
        <is>
          <t>500PLT500-3MM</t>
        </is>
      </c>
      <c r="B451" t="inlineStr">
        <is>
          <t>500 Casing Sheet - 1579 x 500 - 3mm</t>
        </is>
      </c>
      <c r="C451" t="inlineStr">
        <is>
          <t>FM - FABRICATION</t>
        </is>
      </c>
      <c r="D451" t="n">
        <v>1</v>
      </c>
      <c r="E451" t="n">
        <v>1</v>
      </c>
      <c r="F451" t="inlineStr">
        <is>
          <t>NJR STEEL - ALRODE (PTY) LTD</t>
        </is>
      </c>
      <c r="G451" s="1" t="n">
        <v>389</v>
      </c>
      <c r="H451" t="n">
        <v>0</v>
      </c>
      <c r="I451" t="n">
        <v>0.5</v>
      </c>
      <c r="J451" t="n">
        <v>1</v>
      </c>
      <c r="K451" t="n">
        <v>1</v>
      </c>
      <c r="L451" t="n">
        <v>0</v>
      </c>
      <c r="M451" t="n">
        <v>0</v>
      </c>
      <c r="N451" t="n">
        <v>2</v>
      </c>
      <c r="O451" s="1">
        <f>IFERROR(L451*G451,0)</f>
        <v/>
      </c>
      <c r="P451">
        <f>IF(N451-L451-M451&gt;0,N451-L451-M451,0)</f>
        <v/>
      </c>
      <c r="Q451" s="1">
        <f>IFERROR(P451*G451,0)</f>
        <v/>
      </c>
    </row>
    <row r="452">
      <c r="A452" t="inlineStr">
        <is>
          <t>500S1.0DP</t>
        </is>
      </c>
      <c r="B452" t="inlineStr">
        <is>
          <t>500 Diam Silencer 1.0D Podded</t>
        </is>
      </c>
      <c r="C452" t="inlineStr">
        <is>
          <t>FM - DONKIN</t>
        </is>
      </c>
      <c r="D452" t="n">
        <v>7</v>
      </c>
      <c r="E452" t="n">
        <v>3</v>
      </c>
      <c r="F452" t="inlineStr">
        <is>
          <t>Attenu-Tec</t>
        </is>
      </c>
      <c r="G452" s="1" t="n">
        <v>1575</v>
      </c>
      <c r="H452" t="n">
        <v>3</v>
      </c>
      <c r="I452" t="n">
        <v>0.5</v>
      </c>
      <c r="J452" t="n">
        <v>1</v>
      </c>
      <c r="K452" t="n">
        <v>1</v>
      </c>
      <c r="L452" t="n">
        <v>0</v>
      </c>
      <c r="M452" t="n">
        <v>0</v>
      </c>
      <c r="N452" t="n">
        <v>2</v>
      </c>
      <c r="O452" s="1">
        <f>IFERROR(L452*G452,0)</f>
        <v/>
      </c>
      <c r="P452">
        <f>IF(N452-L452-M452&gt;0,N452-L452-M452,0)</f>
        <v/>
      </c>
      <c r="Q452" s="1">
        <f>IFERROR(P452*G452,0)</f>
        <v/>
      </c>
    </row>
    <row r="453">
      <c r="A453" t="inlineStr">
        <is>
          <t>500S1.5D</t>
        </is>
      </c>
      <c r="B453" t="inlineStr">
        <is>
          <t>500 Diam Silencer 1.5D</t>
        </is>
      </c>
      <c r="C453" t="inlineStr">
        <is>
          <t>FM - DONKIN</t>
        </is>
      </c>
      <c r="D453" t="n">
        <v>1</v>
      </c>
      <c r="E453" t="n">
        <v>0</v>
      </c>
      <c r="F453" t="inlineStr"/>
      <c r="G453" s="1" t="n">
        <v>0</v>
      </c>
      <c r="H453" t="n">
        <v>2</v>
      </c>
      <c r="I453" t="n">
        <v>0.5</v>
      </c>
      <c r="J453" t="n">
        <v>2</v>
      </c>
      <c r="K453" t="n">
        <v>1</v>
      </c>
      <c r="L453" t="n">
        <v>0</v>
      </c>
      <c r="M453" t="n">
        <v>0</v>
      </c>
      <c r="N453" t="n">
        <v>5</v>
      </c>
      <c r="O453" s="1">
        <f>IFERROR(L453*G453,0)</f>
        <v/>
      </c>
      <c r="P453">
        <f>IF(N453-L453-M453&gt;0,N453-L453-M453,0)</f>
        <v/>
      </c>
      <c r="Q453" s="1">
        <f>IFERROR(P453*G453,0)</f>
        <v/>
      </c>
    </row>
    <row r="454">
      <c r="A454" t="inlineStr">
        <is>
          <t>500S1.5DP</t>
        </is>
      </c>
      <c r="B454" t="inlineStr">
        <is>
          <t>500 Diam Silencer 1.5D Podded</t>
        </is>
      </c>
      <c r="C454" t="inlineStr">
        <is>
          <t>FM - DONKIN</t>
        </is>
      </c>
      <c r="D454" t="n">
        <v>34</v>
      </c>
      <c r="E454" t="n">
        <v>83</v>
      </c>
      <c r="F454" t="inlineStr">
        <is>
          <t>Attenu-Tec</t>
        </is>
      </c>
      <c r="G454" s="1" t="n">
        <v>2025</v>
      </c>
      <c r="H454" t="n">
        <v>83</v>
      </c>
      <c r="I454" t="n">
        <v>0.6</v>
      </c>
      <c r="J454" t="n">
        <v>2.5</v>
      </c>
      <c r="K454" t="n">
        <v>2</v>
      </c>
      <c r="L454" t="n">
        <v>0</v>
      </c>
      <c r="M454" t="n">
        <v>4</v>
      </c>
      <c r="N454" t="n">
        <v>7</v>
      </c>
      <c r="O454" s="1">
        <f>IFERROR(L454*G454,0)</f>
        <v/>
      </c>
      <c r="P454">
        <f>IF(N454-L454-M454&gt;0,N454-L454-M454,0)</f>
        <v/>
      </c>
      <c r="Q454" s="1">
        <f>IFERROR(P454*G454,0)</f>
        <v/>
      </c>
    </row>
    <row r="455">
      <c r="A455" t="inlineStr">
        <is>
          <t>500S2.0DP</t>
        </is>
      </c>
      <c r="B455" t="inlineStr">
        <is>
          <t>500 Diam Silencer 2.0D Podded</t>
        </is>
      </c>
      <c r="C455" t="inlineStr">
        <is>
          <t>FM - DONKIN</t>
        </is>
      </c>
      <c r="D455" t="n">
        <v>15</v>
      </c>
      <c r="E455" t="n">
        <v>41</v>
      </c>
      <c r="F455" t="inlineStr">
        <is>
          <t>Attenu-Tec</t>
        </is>
      </c>
      <c r="G455" s="1" t="n">
        <v>2608</v>
      </c>
      <c r="H455" t="n">
        <v>61</v>
      </c>
      <c r="I455" t="n">
        <v>1</v>
      </c>
      <c r="J455" t="n">
        <v>4.5</v>
      </c>
      <c r="K455" t="n">
        <v>4</v>
      </c>
      <c r="L455" t="n">
        <v>0</v>
      </c>
      <c r="M455" t="n">
        <v>0</v>
      </c>
      <c r="N455" t="n">
        <v>13</v>
      </c>
      <c r="O455" s="1">
        <f>IFERROR(L455*G455,0)</f>
        <v/>
      </c>
      <c r="P455">
        <f>IF(N455-L455-M455&gt;0,N455-L455-M455,0)</f>
        <v/>
      </c>
      <c r="Q455" s="1">
        <f>IFERROR(P455*G455,0)</f>
        <v/>
      </c>
    </row>
    <row r="456">
      <c r="A456" t="inlineStr">
        <is>
          <t>500SC-</t>
        </is>
      </c>
      <c r="B456" t="inlineStr">
        <is>
          <t>Screen</t>
        </is>
      </c>
      <c r="C456" t="inlineStr"/>
      <c r="D456" t="n">
        <v>1</v>
      </c>
      <c r="E456" t="n">
        <v>3</v>
      </c>
      <c r="F456" t="inlineStr">
        <is>
          <t>Heinmor Wire Products CC</t>
        </is>
      </c>
      <c r="G456" s="1" t="n">
        <v>309</v>
      </c>
      <c r="H456" t="n">
        <v>3</v>
      </c>
      <c r="I456" t="n">
        <v>0.5</v>
      </c>
      <c r="J456" t="n">
        <v>3</v>
      </c>
      <c r="K456" t="n">
        <v>2</v>
      </c>
      <c r="L456" t="n">
        <v>0</v>
      </c>
      <c r="M456" t="n">
        <v>0</v>
      </c>
      <c r="N456" t="n">
        <v>8</v>
      </c>
      <c r="O456" s="1">
        <f>IFERROR(L456*G456,0)</f>
        <v/>
      </c>
      <c r="P456">
        <f>IF(N456-L456-M456&gt;0,N456-L456-M456,0)</f>
        <v/>
      </c>
      <c r="Q456" s="1">
        <f>IFERROR(P456*G456,0)</f>
        <v/>
      </c>
    </row>
    <row r="457">
      <c r="A457" t="inlineStr">
        <is>
          <t>500SM1.5D</t>
        </is>
      </c>
      <c r="B457" t="inlineStr">
        <is>
          <t>500 Diam Melinex Silencer 1.5D</t>
        </is>
      </c>
      <c r="C457" t="inlineStr">
        <is>
          <t>FM - DONKIN</t>
        </is>
      </c>
      <c r="D457" t="n">
        <v>1</v>
      </c>
      <c r="E457" t="n">
        <v>0</v>
      </c>
      <c r="F457" t="inlineStr"/>
      <c r="G457" s="1" t="n">
        <v>0</v>
      </c>
      <c r="H457" t="n">
        <v>2</v>
      </c>
      <c r="I457" t="n">
        <v>0.5</v>
      </c>
      <c r="J457" t="n">
        <v>2</v>
      </c>
      <c r="K457" t="n">
        <v>1</v>
      </c>
      <c r="L457" t="n">
        <v>0</v>
      </c>
      <c r="M457" t="n">
        <v>0</v>
      </c>
      <c r="N457" t="n">
        <v>5</v>
      </c>
      <c r="O457" s="1">
        <f>IFERROR(L457*G457,0)</f>
        <v/>
      </c>
      <c r="P457">
        <f>IF(N457-L457-M457&gt;0,N457-L457-M457,0)</f>
        <v/>
      </c>
      <c r="Q457" s="1">
        <f>IFERROR(P457*G457,0)</f>
        <v/>
      </c>
    </row>
    <row r="458">
      <c r="A458" t="inlineStr">
        <is>
          <t>500SM1.5DP</t>
        </is>
      </c>
      <c r="B458" t="inlineStr">
        <is>
          <t>500 Diam Melinex Silencer 1.5D Podded</t>
        </is>
      </c>
      <c r="C458" t="inlineStr">
        <is>
          <t>FM - DONKIN</t>
        </is>
      </c>
      <c r="D458" t="n">
        <v>2</v>
      </c>
      <c r="E458" t="n">
        <v>1</v>
      </c>
      <c r="F458" t="inlineStr">
        <is>
          <t>Attenu-Tec</t>
        </is>
      </c>
      <c r="G458" s="1" t="n">
        <v>1819</v>
      </c>
      <c r="H458" t="n">
        <v>2</v>
      </c>
      <c r="I458" t="n">
        <v>0.5</v>
      </c>
      <c r="J458" t="n">
        <v>1</v>
      </c>
      <c r="K458" t="n">
        <v>1</v>
      </c>
      <c r="L458" t="n">
        <v>0</v>
      </c>
      <c r="M458" t="n">
        <v>0</v>
      </c>
      <c r="N458" t="n">
        <v>2</v>
      </c>
      <c r="O458" s="1">
        <f>IFERROR(L458*G458,0)</f>
        <v/>
      </c>
      <c r="P458">
        <f>IF(N458-L458-M458&gt;0,N458-L458-M458,0)</f>
        <v/>
      </c>
      <c r="Q458" s="1">
        <f>IFERROR(P458*G458,0)</f>
        <v/>
      </c>
    </row>
    <row r="459">
      <c r="A459" t="inlineStr">
        <is>
          <t>500SM2.0DP</t>
        </is>
      </c>
      <c r="B459" t="inlineStr">
        <is>
          <t>500 Diam Melinex Silencer 2.0D Podded</t>
        </is>
      </c>
      <c r="C459" t="inlineStr">
        <is>
          <t>FM - DONKIN</t>
        </is>
      </c>
      <c r="D459" t="n">
        <v>9</v>
      </c>
      <c r="E459" t="n">
        <v>3</v>
      </c>
      <c r="F459" t="inlineStr">
        <is>
          <t>Attenu-Tec</t>
        </is>
      </c>
      <c r="G459" s="1" t="n">
        <v>2608</v>
      </c>
      <c r="H459" t="n">
        <v>2</v>
      </c>
      <c r="I459" t="n">
        <v>0.5</v>
      </c>
      <c r="J459" t="n">
        <v>1</v>
      </c>
      <c r="K459" t="n">
        <v>1</v>
      </c>
      <c r="L459" t="n">
        <v>0</v>
      </c>
      <c r="M459" t="n">
        <v>0</v>
      </c>
      <c r="N459" t="n">
        <v>2</v>
      </c>
      <c r="O459" s="1">
        <f>IFERROR(L459*G459,0)</f>
        <v/>
      </c>
      <c r="P459">
        <f>IF(N459-L459-M459&gt;0,N459-L459-M459,0)</f>
        <v/>
      </c>
      <c r="Q459" s="1">
        <f>IFERROR(P459*G459,0)</f>
        <v/>
      </c>
    </row>
    <row r="460">
      <c r="A460" t="inlineStr">
        <is>
          <t>500mm Zinc</t>
        </is>
      </c>
      <c r="B460" t="inlineStr">
        <is>
          <t>- Zinc Filter Clips</t>
        </is>
      </c>
      <c r="C460" t="inlineStr"/>
      <c r="D460" t="n">
        <v>1</v>
      </c>
      <c r="E460" t="n">
        <v>48</v>
      </c>
      <c r="F460" t="inlineStr">
        <is>
          <t>Airventfil (Pty) Ltd</t>
        </is>
      </c>
      <c r="G460" s="1" t="n">
        <v>0</v>
      </c>
      <c r="H460" t="n">
        <v>0</v>
      </c>
      <c r="I460" t="n">
        <v>0.5</v>
      </c>
      <c r="J460" t="n">
        <v>48</v>
      </c>
      <c r="K460" t="n">
        <v>24</v>
      </c>
      <c r="L460" t="n">
        <v>0</v>
      </c>
      <c r="M460" t="n">
        <v>0</v>
      </c>
      <c r="N460" t="n">
        <v>120</v>
      </c>
      <c r="O460" s="1">
        <f>IFERROR(L460*G460,0)</f>
        <v/>
      </c>
      <c r="P460">
        <f>IF(N460-L460-M460&gt;0,N460-L460-M460,0)</f>
        <v/>
      </c>
      <c r="Q460" s="1">
        <f>IFERROR(P460*G460,0)</f>
        <v/>
      </c>
    </row>
    <row r="461">
      <c r="A461" t="inlineStr">
        <is>
          <t>51070</t>
        </is>
      </c>
      <c r="B461" t="inlineStr">
        <is>
          <t>PRA REDUCER FLP Ex d/e 32M-25F</t>
        </is>
      </c>
      <c r="C461" t="inlineStr"/>
      <c r="D461" t="n">
        <v>1</v>
      </c>
      <c r="E461" t="n">
        <v>4</v>
      </c>
      <c r="F461" t="inlineStr">
        <is>
          <t>Pratley (Pty) Ltd</t>
        </is>
      </c>
      <c r="G461" s="1" t="n">
        <v>124.88</v>
      </c>
      <c r="H461" t="n">
        <v>0</v>
      </c>
      <c r="I461" t="n">
        <v>0.5</v>
      </c>
      <c r="J461" t="n">
        <v>4</v>
      </c>
      <c r="K461" t="n">
        <v>2</v>
      </c>
      <c r="L461" t="n">
        <v>0</v>
      </c>
      <c r="M461" t="n">
        <v>0</v>
      </c>
      <c r="N461" t="n">
        <v>10</v>
      </c>
      <c r="O461" s="1">
        <f>IFERROR(L461*G461,0)</f>
        <v/>
      </c>
      <c r="P461">
        <f>IF(N461-L461-M461&gt;0,N461-L461-M461,0)</f>
        <v/>
      </c>
      <c r="Q461" s="1">
        <f>IFERROR(P461*G461,0)</f>
        <v/>
      </c>
    </row>
    <row r="462">
      <c r="A462" t="inlineStr">
        <is>
          <t>549CFUG</t>
        </is>
      </c>
      <c r="B462" t="inlineStr">
        <is>
          <t>B - 549 Diam Counter Flange Ungalvanised - Buffalo</t>
        </is>
      </c>
      <c r="C462" t="inlineStr"/>
      <c r="D462" t="n">
        <v>1</v>
      </c>
      <c r="E462" t="n">
        <v>12</v>
      </c>
      <c r="F462" t="inlineStr">
        <is>
          <t>ULTIMATENG (PTY) LTD</t>
        </is>
      </c>
      <c r="G462" s="1" t="n">
        <v>0</v>
      </c>
      <c r="H462" t="n">
        <v>0</v>
      </c>
      <c r="I462" t="n">
        <v>0.5</v>
      </c>
      <c r="J462" t="n">
        <v>12</v>
      </c>
      <c r="K462" t="n">
        <v>6</v>
      </c>
      <c r="L462" t="n">
        <v>0</v>
      </c>
      <c r="M462" t="n">
        <v>0</v>
      </c>
      <c r="N462" t="n">
        <v>30</v>
      </c>
      <c r="O462" s="1">
        <f>IFERROR(L462*G462,0)</f>
        <v/>
      </c>
      <c r="P462">
        <f>IF(N462-L462-M462&gt;0,N462-L462-M462,0)</f>
        <v/>
      </c>
      <c r="Q462" s="1">
        <f>IFERROR(P462*G462,0)</f>
        <v/>
      </c>
    </row>
    <row r="463">
      <c r="A463" t="inlineStr">
        <is>
          <t>560 20.D.8</t>
        </is>
      </c>
      <c r="B463" t="inlineStr">
        <is>
          <t>Spare Impeller</t>
        </is>
      </c>
      <c r="C463" t="inlineStr"/>
      <c r="D463" t="n">
        <v>1</v>
      </c>
      <c r="E463" t="n">
        <v>1</v>
      </c>
      <c r="F463" t="inlineStr">
        <is>
          <t>Luft Industries Natal (Pty) Ltd</t>
        </is>
      </c>
      <c r="G463" s="1" t="n">
        <v>1751.25</v>
      </c>
      <c r="H463" t="n">
        <v>0</v>
      </c>
      <c r="I463" t="n">
        <v>0.5</v>
      </c>
      <c r="J463" t="n">
        <v>1</v>
      </c>
      <c r="K463" t="n">
        <v>1</v>
      </c>
      <c r="L463" t="n">
        <v>0</v>
      </c>
      <c r="M463" t="n">
        <v>0</v>
      </c>
      <c r="N463" t="n">
        <v>2</v>
      </c>
      <c r="O463" s="1">
        <f>IFERROR(L463*G463,0)</f>
        <v/>
      </c>
      <c r="P463">
        <f>IF(N463-L463-M463&gt;0,N463-L463-M463,0)</f>
        <v/>
      </c>
      <c r="Q463" s="1">
        <f>IFERROR(P463*G463,0)</f>
        <v/>
      </c>
    </row>
    <row r="464">
      <c r="A464" t="inlineStr">
        <is>
          <t>560 FB</t>
        </is>
      </c>
      <c r="B464" t="inlineStr">
        <is>
          <t>Filter Box</t>
        </is>
      </c>
      <c r="C464" t="inlineStr"/>
      <c r="D464" t="n">
        <v>1</v>
      </c>
      <c r="E464" t="n">
        <v>0</v>
      </c>
      <c r="F464" t="inlineStr"/>
      <c r="G464" s="1" t="n">
        <v>0</v>
      </c>
      <c r="H464" t="n">
        <v>3</v>
      </c>
      <c r="I464" t="n">
        <v>0.5</v>
      </c>
      <c r="J464" t="n">
        <v>3</v>
      </c>
      <c r="K464" t="n">
        <v>2</v>
      </c>
      <c r="L464" t="n">
        <v>0</v>
      </c>
      <c r="M464" t="n">
        <v>0</v>
      </c>
      <c r="N464" t="n">
        <v>8</v>
      </c>
      <c r="O464" s="1">
        <f>IFERROR(L464*G464,0)</f>
        <v/>
      </c>
      <c r="P464">
        <f>IF(N464-L464-M464&gt;0,N464-L464-M464,0)</f>
        <v/>
      </c>
      <c r="Q464" s="1">
        <f>IFERROR(P464*G464,0)</f>
        <v/>
      </c>
    </row>
    <row r="465">
      <c r="A465" t="inlineStr">
        <is>
          <t>560/150/10 SI</t>
        </is>
      </c>
      <c r="B465" t="inlineStr">
        <is>
          <t>Spare Impeller (560mm 'B' 150A10AR 19mm 080Frame Deg 21 DEG - FM3181)</t>
        </is>
      </c>
      <c r="C465" t="inlineStr"/>
      <c r="D465" t="n">
        <v>1</v>
      </c>
      <c r="E465" t="n">
        <v>1</v>
      </c>
      <c r="F465" t="inlineStr">
        <is>
          <t>Luft Industries Natal (Pty) Ltd</t>
        </is>
      </c>
      <c r="G465" s="1" t="n">
        <v>1766.25</v>
      </c>
      <c r="H465" t="n">
        <v>0</v>
      </c>
      <c r="I465" t="n">
        <v>0.9</v>
      </c>
      <c r="J465" t="n">
        <v>1</v>
      </c>
      <c r="K465" t="n">
        <v>1</v>
      </c>
      <c r="L465" t="n">
        <v>0</v>
      </c>
      <c r="M465" t="n">
        <v>0</v>
      </c>
      <c r="N465" t="n">
        <v>3</v>
      </c>
      <c r="O465" s="1">
        <f>IFERROR(L465*G465,0)</f>
        <v/>
      </c>
      <c r="P465">
        <f>IF(N465-L465-M465&gt;0,N465-L465-M465,0)</f>
        <v/>
      </c>
      <c r="Q465" s="1">
        <f>IFERROR(P465*G465,0)</f>
        <v/>
      </c>
    </row>
    <row r="466">
      <c r="A466" t="inlineStr">
        <is>
          <t>560CF</t>
        </is>
      </c>
      <c r="B466" t="inlineStr">
        <is>
          <t>560 Diam Counter Flange</t>
        </is>
      </c>
      <c r="C466" t="inlineStr">
        <is>
          <t>FM - C/FLANGE</t>
        </is>
      </c>
      <c r="D466" t="n">
        <v>34</v>
      </c>
      <c r="E466" t="n">
        <v>228</v>
      </c>
      <c r="F466" t="inlineStr">
        <is>
          <t>Attenu-Tec HVAC Parts</t>
        </is>
      </c>
      <c r="G466" s="1" t="n">
        <v>0</v>
      </c>
      <c r="H466" t="n">
        <v>243</v>
      </c>
      <c r="I466" t="n">
        <v>0.6</v>
      </c>
      <c r="J466" t="n">
        <v>7.5</v>
      </c>
      <c r="K466" t="n">
        <v>4</v>
      </c>
      <c r="L466" t="n">
        <v>0</v>
      </c>
      <c r="M466" t="n">
        <v>0</v>
      </c>
      <c r="N466" t="n">
        <v>19</v>
      </c>
      <c r="O466" s="1">
        <f>IFERROR(L466*G466,0)</f>
        <v/>
      </c>
      <c r="P466">
        <f>IF(N466-L466-M466&gt;0,N466-L466-M466,0)</f>
        <v/>
      </c>
      <c r="Q466" s="1">
        <f>IFERROR(P466*G466,0)</f>
        <v/>
      </c>
    </row>
    <row r="467">
      <c r="A467" t="inlineStr">
        <is>
          <t>560CFUG</t>
        </is>
      </c>
      <c r="B467" t="inlineStr">
        <is>
          <t>560 Diam Counter Flange Ungalvanised</t>
        </is>
      </c>
      <c r="C467" t="inlineStr">
        <is>
          <t>FM - C/FLANGE</t>
        </is>
      </c>
      <c r="D467" t="n">
        <v>1</v>
      </c>
      <c r="E467" t="n">
        <v>18</v>
      </c>
      <c r="F467" t="inlineStr">
        <is>
          <t>ULTIMATENG (PTY) LTD</t>
        </is>
      </c>
      <c r="G467" s="1" t="n">
        <v>0</v>
      </c>
      <c r="H467" t="n">
        <v>0</v>
      </c>
      <c r="I467" t="n">
        <v>0.5</v>
      </c>
      <c r="J467" t="n">
        <v>18</v>
      </c>
      <c r="K467" t="n">
        <v>9</v>
      </c>
      <c r="L467" t="n">
        <v>0</v>
      </c>
      <c r="M467" t="n">
        <v>0</v>
      </c>
      <c r="N467" t="n">
        <v>45</v>
      </c>
      <c r="O467" s="1">
        <f>IFERROR(L467*G467,0)</f>
        <v/>
      </c>
      <c r="P467">
        <f>IF(N467-L467-M467&gt;0,N467-L467-M467,0)</f>
        <v/>
      </c>
      <c r="Q467" s="1">
        <f>IFERROR(P467*G467,0)</f>
        <v/>
      </c>
    </row>
    <row r="468">
      <c r="A468" t="inlineStr">
        <is>
          <t>560FC</t>
        </is>
      </c>
      <c r="B468" t="inlineStr">
        <is>
          <t>560 Diam Flexible Connection</t>
        </is>
      </c>
      <c r="C468" t="inlineStr">
        <is>
          <t>FM - DONKIN</t>
        </is>
      </c>
      <c r="D468" t="n">
        <v>24</v>
      </c>
      <c r="E468" t="n">
        <v>17</v>
      </c>
      <c r="F468" t="inlineStr">
        <is>
          <t>Attenu-Tec HVAC Parts</t>
        </is>
      </c>
      <c r="G468" s="1" t="n">
        <v>733</v>
      </c>
      <c r="H468" t="n">
        <v>17</v>
      </c>
      <c r="I468" t="n">
        <v>1.7</v>
      </c>
      <c r="J468" t="n">
        <v>1</v>
      </c>
      <c r="K468" t="n">
        <v>2</v>
      </c>
      <c r="L468" t="n">
        <v>0</v>
      </c>
      <c r="M468" t="n">
        <v>0</v>
      </c>
      <c r="N468" t="n">
        <v>4</v>
      </c>
      <c r="O468" s="1">
        <f>IFERROR(L468*G468,0)</f>
        <v/>
      </c>
      <c r="P468">
        <f>IF(N468-L468-M468&gt;0,N468-L468-M468,0)</f>
        <v/>
      </c>
      <c r="Q468" s="1">
        <f>IFERROR(P468*G468,0)</f>
        <v/>
      </c>
    </row>
    <row r="469">
      <c r="A469" t="inlineStr">
        <is>
          <t>560HVJ-2S</t>
        </is>
      </c>
      <c r="B469" t="inlineStr">
        <is>
          <t>560 Diam Vertical Discharge Unit</t>
        </is>
      </c>
      <c r="C469" t="inlineStr">
        <is>
          <t>FM - DONKIN</t>
        </is>
      </c>
      <c r="D469" t="n">
        <v>15</v>
      </c>
      <c r="E469" t="n">
        <v>11</v>
      </c>
      <c r="F469" t="inlineStr">
        <is>
          <t>Attenu-Tec HVAC Parts</t>
        </is>
      </c>
      <c r="G469" s="1" t="n">
        <v>1201.86</v>
      </c>
      <c r="H469" t="n">
        <v>7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3</v>
      </c>
      <c r="O469" s="1">
        <f>IFERROR(L469*G469,0)</f>
        <v/>
      </c>
      <c r="P469">
        <f>IF(N469-L469-M469&gt;0,N469-L469-M469,0)</f>
        <v/>
      </c>
      <c r="Q469" s="1">
        <f>IFERROR(P469*G469,0)</f>
        <v/>
      </c>
    </row>
    <row r="470">
      <c r="A470" t="inlineStr">
        <is>
          <t>560IMP</t>
        </is>
      </c>
      <c r="B470" t="inlineStr">
        <is>
          <t>Impeller 560/250/14 Aluminum - 20 deg pitch, Form B, 24mm Bore</t>
        </is>
      </c>
      <c r="C470" t="inlineStr"/>
      <c r="D470" t="n">
        <v>1</v>
      </c>
      <c r="E470" t="n">
        <v>1</v>
      </c>
      <c r="F470" t="inlineStr">
        <is>
          <t>Luft Industries Natal (Pty) Ltd</t>
        </is>
      </c>
      <c r="G470" s="1" t="n">
        <v>2428</v>
      </c>
      <c r="H470" t="n">
        <v>0</v>
      </c>
      <c r="I470" t="n">
        <v>0.5</v>
      </c>
      <c r="J470" t="n">
        <v>1</v>
      </c>
      <c r="K470" t="n">
        <v>1</v>
      </c>
      <c r="L470" t="n">
        <v>0</v>
      </c>
      <c r="M470" t="n">
        <v>0</v>
      </c>
      <c r="N470" t="n">
        <v>2</v>
      </c>
      <c r="O470" s="1">
        <f>IFERROR(L470*G470,0)</f>
        <v/>
      </c>
      <c r="P470">
        <f>IF(N470-L470-M470&gt;0,N470-L470-M470,0)</f>
        <v/>
      </c>
      <c r="Q470" s="1">
        <f>IFERROR(P470*G470,0)</f>
        <v/>
      </c>
    </row>
    <row r="471">
      <c r="A471" t="inlineStr">
        <is>
          <t>560MBP04</t>
        </is>
      </c>
      <c r="B471" t="inlineStr">
        <is>
          <t>1-0350-240 P04 - 560 Motor Bracket</t>
        </is>
      </c>
      <c r="C471" t="inlineStr"/>
      <c r="D471" t="n">
        <v>20</v>
      </c>
      <c r="E471" t="n">
        <v>256</v>
      </c>
      <c r="F471" t="inlineStr">
        <is>
          <t>Kart Shop TA Ultimate Laser Cutting</t>
        </is>
      </c>
      <c r="G471" s="1" t="n">
        <v>26.38</v>
      </c>
      <c r="H471" t="n">
        <v>0</v>
      </c>
      <c r="I471" t="n">
        <v>0.5</v>
      </c>
      <c r="J471" t="n">
        <v>13</v>
      </c>
      <c r="K471" t="n">
        <v>6</v>
      </c>
      <c r="L471" t="n">
        <v>0</v>
      </c>
      <c r="M471" t="n">
        <v>0</v>
      </c>
      <c r="N471" t="n">
        <v>32</v>
      </c>
      <c r="O471" s="1">
        <f>IFERROR(L471*G471,0)</f>
        <v/>
      </c>
      <c r="P471">
        <f>IF(N471-L471-M471&gt;0,N471-L471-M471,0)</f>
        <v/>
      </c>
      <c r="Q471" s="1">
        <f>IFERROR(P471*G471,0)</f>
        <v/>
      </c>
    </row>
    <row r="472">
      <c r="A472" t="inlineStr">
        <is>
          <t>560MF</t>
        </is>
      </c>
      <c r="B472" t="inlineStr">
        <is>
          <t>560 Diam Mounting Feet</t>
        </is>
      </c>
      <c r="C472" t="inlineStr">
        <is>
          <t>FM - M/FEET</t>
        </is>
      </c>
      <c r="D472" t="n">
        <v>34</v>
      </c>
      <c r="E472" t="n">
        <v>233</v>
      </c>
      <c r="F472" t="inlineStr">
        <is>
          <t>Attenu-Tec HVAC Parts</t>
        </is>
      </c>
      <c r="G472" s="1" t="n">
        <v>202</v>
      </c>
      <c r="H472" t="n">
        <v>460</v>
      </c>
      <c r="I472" t="n">
        <v>0.5</v>
      </c>
      <c r="J472" t="n">
        <v>14</v>
      </c>
      <c r="K472" t="n">
        <v>7</v>
      </c>
      <c r="L472" t="n">
        <v>0</v>
      </c>
      <c r="M472" t="n">
        <v>0</v>
      </c>
      <c r="N472" t="n">
        <v>35</v>
      </c>
      <c r="O472" s="1">
        <f>IFERROR(L472*G472,0)</f>
        <v/>
      </c>
      <c r="P472">
        <f>IF(N472-L472-M472&gt;0,N472-L472-M472,0)</f>
        <v/>
      </c>
      <c r="Q472" s="1">
        <f>IFERROR(P472*G472,0)</f>
        <v/>
      </c>
    </row>
    <row r="473">
      <c r="A473" t="inlineStr">
        <is>
          <t>560PLT400-2MM</t>
        </is>
      </c>
      <c r="B473" t="inlineStr">
        <is>
          <t>560 Casing Sheet - 1767 x 400 - 2mm</t>
        </is>
      </c>
      <c r="C473" t="inlineStr">
        <is>
          <t>FM - FABRICATION</t>
        </is>
      </c>
      <c r="D473" t="n">
        <v>1</v>
      </c>
      <c r="E473" t="n">
        <v>6</v>
      </c>
      <c r="F473" t="inlineStr">
        <is>
          <t>NJR STEEL - ALRODE (PTY) LTD</t>
        </is>
      </c>
      <c r="G473" s="1" t="n">
        <v>232</v>
      </c>
      <c r="H473" t="n">
        <v>0</v>
      </c>
      <c r="I473" t="n">
        <v>0.5</v>
      </c>
      <c r="J473" t="n">
        <v>6</v>
      </c>
      <c r="K473" t="n">
        <v>3</v>
      </c>
      <c r="L473" t="n">
        <v>0</v>
      </c>
      <c r="M473" t="n">
        <v>0</v>
      </c>
      <c r="N473" t="n">
        <v>15</v>
      </c>
      <c r="O473" s="1">
        <f>IFERROR(L473*G473,0)</f>
        <v/>
      </c>
      <c r="P473">
        <f>IF(N473-L473-M473&gt;0,N473-L473-M473,0)</f>
        <v/>
      </c>
      <c r="Q473" s="1">
        <f>IFERROR(P473*G473,0)</f>
        <v/>
      </c>
    </row>
    <row r="474">
      <c r="A474" t="inlineStr">
        <is>
          <t>560PLT400-3MM</t>
        </is>
      </c>
      <c r="B474" t="inlineStr">
        <is>
          <t>560 Casing Sheet - 1767 x 400 - 3mm</t>
        </is>
      </c>
      <c r="C474" t="inlineStr">
        <is>
          <t>FM - FABRICATION</t>
        </is>
      </c>
      <c r="D474" t="n">
        <v>1</v>
      </c>
      <c r="E474" t="n">
        <v>7</v>
      </c>
      <c r="F474" t="inlineStr">
        <is>
          <t>NJR STEEL - ALRODE (PTY) LTD</t>
        </is>
      </c>
      <c r="G474" s="1" t="n">
        <v>418.71</v>
      </c>
      <c r="H474" t="n">
        <v>0</v>
      </c>
      <c r="I474" t="n">
        <v>0.5</v>
      </c>
      <c r="J474" t="n">
        <v>7</v>
      </c>
      <c r="K474" t="n">
        <v>4</v>
      </c>
      <c r="L474" t="n">
        <v>0</v>
      </c>
      <c r="M474" t="n">
        <v>0</v>
      </c>
      <c r="N474" t="n">
        <v>18</v>
      </c>
      <c r="O474" s="1">
        <f>IFERROR(L474*G474,0)</f>
        <v/>
      </c>
      <c r="P474">
        <f>IF(N474-L474-M474&gt;0,N474-L474-M474,0)</f>
        <v/>
      </c>
      <c r="Q474" s="1">
        <f>IFERROR(P474*G474,0)</f>
        <v/>
      </c>
    </row>
    <row r="475">
      <c r="A475" t="inlineStr">
        <is>
          <t>560S1.5D</t>
        </is>
      </c>
      <c r="B475" t="inlineStr">
        <is>
          <t>560 Diam Silencer 1.5D</t>
        </is>
      </c>
      <c r="C475" t="inlineStr">
        <is>
          <t>FM - DONKIN</t>
        </is>
      </c>
      <c r="D475" t="n">
        <v>1</v>
      </c>
      <c r="E475" t="n">
        <v>2</v>
      </c>
      <c r="F475" t="inlineStr">
        <is>
          <t>Attenu-Tec</t>
        </is>
      </c>
      <c r="G475" s="1" t="n">
        <v>2352</v>
      </c>
      <c r="H475" t="n">
        <v>0</v>
      </c>
      <c r="I475" t="n">
        <v>0.5</v>
      </c>
      <c r="J475" t="n">
        <v>2</v>
      </c>
      <c r="K475" t="n">
        <v>1</v>
      </c>
      <c r="L475" t="n">
        <v>0</v>
      </c>
      <c r="M475" t="n">
        <v>0</v>
      </c>
      <c r="N475" t="n">
        <v>5</v>
      </c>
      <c r="O475" s="1">
        <f>IFERROR(L475*G475,0)</f>
        <v/>
      </c>
      <c r="P475">
        <f>IF(N475-L475-M475&gt;0,N475-L475-M475,0)</f>
        <v/>
      </c>
      <c r="Q475" s="1">
        <f>IFERROR(P475*G475,0)</f>
        <v/>
      </c>
    </row>
    <row r="476">
      <c r="A476" t="inlineStr">
        <is>
          <t>560S1.5DP</t>
        </is>
      </c>
      <c r="B476" t="inlineStr">
        <is>
          <t>560 Diam Silencer 1.5D Podded</t>
        </is>
      </c>
      <c r="C476" t="inlineStr">
        <is>
          <t>FM - DONKIN</t>
        </is>
      </c>
      <c r="D476" t="n">
        <v>34</v>
      </c>
      <c r="E476" t="n">
        <v>102</v>
      </c>
      <c r="F476" t="inlineStr">
        <is>
          <t>Attenu-Tec</t>
        </is>
      </c>
      <c r="G476" s="1" t="n">
        <v>2617</v>
      </c>
      <c r="H476" t="n">
        <v>112</v>
      </c>
      <c r="I476" t="n">
        <v>0.8</v>
      </c>
      <c r="J476" t="n">
        <v>3.5</v>
      </c>
      <c r="K476" t="n">
        <v>3</v>
      </c>
      <c r="L476" t="n">
        <v>0</v>
      </c>
      <c r="M476" t="n">
        <v>2</v>
      </c>
      <c r="N476" t="n">
        <v>10</v>
      </c>
      <c r="O476" s="1">
        <f>IFERROR(L476*G476,0)</f>
        <v/>
      </c>
      <c r="P476">
        <f>IF(N476-L476-M476&gt;0,N476-L476-M476,0)</f>
        <v/>
      </c>
      <c r="Q476" s="1">
        <f>IFERROR(P476*G476,0)</f>
        <v/>
      </c>
    </row>
    <row r="477">
      <c r="A477" t="inlineStr">
        <is>
          <t>560S2.0DP</t>
        </is>
      </c>
      <c r="B477" t="inlineStr">
        <is>
          <t>560 Diam Silencer 2.0D Podded</t>
        </is>
      </c>
      <c r="C477" t="inlineStr">
        <is>
          <t>FM - DONKIN</t>
        </is>
      </c>
      <c r="D477" t="n">
        <v>30</v>
      </c>
      <c r="E477" t="n">
        <v>32</v>
      </c>
      <c r="F477" t="inlineStr">
        <is>
          <t>Attenu-Tec</t>
        </is>
      </c>
      <c r="G477" s="1" t="n">
        <v>3435</v>
      </c>
      <c r="H477" t="n">
        <v>40</v>
      </c>
      <c r="I477" t="n">
        <v>1</v>
      </c>
      <c r="J477" t="n">
        <v>1.5</v>
      </c>
      <c r="K477" t="n">
        <v>2</v>
      </c>
      <c r="L477" t="n">
        <v>0</v>
      </c>
      <c r="M477" t="n">
        <v>0</v>
      </c>
      <c r="N477" t="n">
        <v>5</v>
      </c>
      <c r="O477" s="1">
        <f>IFERROR(L477*G477,0)</f>
        <v/>
      </c>
      <c r="P477">
        <f>IF(N477-L477-M477&gt;0,N477-L477-M477,0)</f>
        <v/>
      </c>
      <c r="Q477" s="1">
        <f>IFERROR(P477*G477,0)</f>
        <v/>
      </c>
    </row>
    <row r="478">
      <c r="A478" t="inlineStr">
        <is>
          <t>560SC</t>
        </is>
      </c>
      <c r="B478" t="inlineStr">
        <is>
          <t>Screen</t>
        </is>
      </c>
      <c r="C478" t="inlineStr"/>
      <c r="D478" t="n">
        <v>23</v>
      </c>
      <c r="E478" t="n">
        <v>17</v>
      </c>
      <c r="F478" t="inlineStr">
        <is>
          <t>Heinmor Wire Products CC</t>
        </is>
      </c>
      <c r="G478" s="1" t="n">
        <v>386</v>
      </c>
      <c r="H478" t="n">
        <v>2</v>
      </c>
      <c r="I478" t="n">
        <v>0.5</v>
      </c>
      <c r="J478" t="n">
        <v>1</v>
      </c>
      <c r="K478" t="n">
        <v>1</v>
      </c>
      <c r="L478" t="n">
        <v>0</v>
      </c>
      <c r="M478" t="n">
        <v>0</v>
      </c>
      <c r="N478" t="n">
        <v>2</v>
      </c>
      <c r="O478" s="1">
        <f>IFERROR(L478*G478,0)</f>
        <v/>
      </c>
      <c r="P478">
        <f>IF(N478-L478-M478&gt;0,N478-L478-M478,0)</f>
        <v/>
      </c>
      <c r="Q478" s="1">
        <f>IFERROR(P478*G478,0)</f>
        <v/>
      </c>
    </row>
    <row r="479">
      <c r="A479" t="inlineStr">
        <is>
          <t>560SM1.0DP</t>
        </is>
      </c>
      <c r="B479" t="inlineStr">
        <is>
          <t>560 Diam Melinex Silencer 1.0D Podded</t>
        </is>
      </c>
      <c r="C479" t="inlineStr">
        <is>
          <t>FM - DONKIN</t>
        </is>
      </c>
      <c r="D479" t="n">
        <v>1</v>
      </c>
      <c r="E479" t="n">
        <v>1</v>
      </c>
      <c r="F479" t="inlineStr">
        <is>
          <t>Attenu-Tec</t>
        </is>
      </c>
      <c r="G479" s="1" t="n">
        <v>2138</v>
      </c>
      <c r="H479" t="n">
        <v>1</v>
      </c>
      <c r="I479" t="n">
        <v>0.5</v>
      </c>
      <c r="J479" t="n">
        <v>1</v>
      </c>
      <c r="K479" t="n">
        <v>1</v>
      </c>
      <c r="L479" t="n">
        <v>0</v>
      </c>
      <c r="M479" t="n">
        <v>0</v>
      </c>
      <c r="N479" t="n">
        <v>2</v>
      </c>
      <c r="O479" s="1">
        <f>IFERROR(L479*G479,0)</f>
        <v/>
      </c>
      <c r="P479">
        <f>IF(N479-L479-M479&gt;0,N479-L479-M479,0)</f>
        <v/>
      </c>
      <c r="Q479" s="1">
        <f>IFERROR(P479*G479,0)</f>
        <v/>
      </c>
    </row>
    <row r="480">
      <c r="A480" t="inlineStr">
        <is>
          <t>560SM1.5DP</t>
        </is>
      </c>
      <c r="B480" t="inlineStr">
        <is>
          <t>560 Diam Melinex Silencer 1.5D Podded</t>
        </is>
      </c>
      <c r="C480" t="inlineStr">
        <is>
          <t>FM - DONKIN</t>
        </is>
      </c>
      <c r="D480" t="n">
        <v>28</v>
      </c>
      <c r="E480" t="n">
        <v>16</v>
      </c>
      <c r="F480" t="inlineStr">
        <is>
          <t>Attenu-Tec</t>
        </is>
      </c>
      <c r="G480" s="1" t="n">
        <v>2486.15</v>
      </c>
      <c r="H480" t="n">
        <v>16</v>
      </c>
      <c r="I480" t="n">
        <v>0.5</v>
      </c>
      <c r="J480" t="n">
        <v>1</v>
      </c>
      <c r="K480" t="n">
        <v>1</v>
      </c>
      <c r="L480" t="n">
        <v>0</v>
      </c>
      <c r="M480" t="n">
        <v>0</v>
      </c>
      <c r="N480" t="n">
        <v>2</v>
      </c>
      <c r="O480" s="1">
        <f>IFERROR(L480*G480,0)</f>
        <v/>
      </c>
      <c r="P480">
        <f>IF(N480-L480-M480&gt;0,N480-L480-M480,0)</f>
        <v/>
      </c>
      <c r="Q480" s="1">
        <f>IFERROR(P480*G480,0)</f>
        <v/>
      </c>
    </row>
    <row r="481">
      <c r="A481" t="inlineStr">
        <is>
          <t>560SM2.0DP</t>
        </is>
      </c>
      <c r="B481" t="inlineStr">
        <is>
          <t>560 Diam Melinex Silencer 2.0D Podded</t>
        </is>
      </c>
      <c r="C481" t="inlineStr">
        <is>
          <t>FM - DONKIN</t>
        </is>
      </c>
      <c r="D481" t="n">
        <v>1</v>
      </c>
      <c r="E481" t="n">
        <v>4</v>
      </c>
      <c r="F481" t="inlineStr">
        <is>
          <t>Attenu-Tec</t>
        </is>
      </c>
      <c r="G481" s="1" t="n">
        <v>3435</v>
      </c>
      <c r="H481" t="n">
        <v>0</v>
      </c>
      <c r="I481" t="n">
        <v>1.8</v>
      </c>
      <c r="J481" t="n">
        <v>4</v>
      </c>
      <c r="K481" t="n">
        <v>7</v>
      </c>
      <c r="L481" t="n">
        <v>0</v>
      </c>
      <c r="M481" t="n">
        <v>0</v>
      </c>
      <c r="N481" t="n">
        <v>15</v>
      </c>
      <c r="O481" s="1">
        <f>IFERROR(L481*G481,0)</f>
        <v/>
      </c>
      <c r="P481">
        <f>IF(N481-L481-M481&gt;0,N481-L481-M481,0)</f>
        <v/>
      </c>
      <c r="Q481" s="1">
        <f>IFERROR(P481*G481,0)</f>
        <v/>
      </c>
    </row>
    <row r="482">
      <c r="A482" t="inlineStr">
        <is>
          <t>600 X 600</t>
        </is>
      </c>
      <c r="B482" t="inlineStr">
        <is>
          <t>Sand Trap Air Louver</t>
        </is>
      </c>
      <c r="C482" t="inlineStr"/>
      <c r="D482" t="n">
        <v>1</v>
      </c>
      <c r="E482" t="n">
        <v>0</v>
      </c>
      <c r="F482" t="inlineStr"/>
      <c r="G482" s="1" t="n">
        <v>0</v>
      </c>
      <c r="H482" t="n">
        <v>1</v>
      </c>
      <c r="I482" t="n">
        <v>0.5</v>
      </c>
      <c r="J482" t="n">
        <v>1</v>
      </c>
      <c r="K482" t="n">
        <v>1</v>
      </c>
      <c r="L482" t="n">
        <v>0</v>
      </c>
      <c r="M482" t="n">
        <v>0</v>
      </c>
      <c r="N482" t="n">
        <v>2</v>
      </c>
      <c r="O482" s="1">
        <f>IFERROR(L482*G482,0)</f>
        <v/>
      </c>
      <c r="P482">
        <f>IF(N482-L482-M482&gt;0,N482-L482-M482,0)</f>
        <v/>
      </c>
      <c r="Q482" s="1">
        <f>IFERROR(P482*G482,0)</f>
        <v/>
      </c>
    </row>
    <row r="483">
      <c r="A483" t="inlineStr">
        <is>
          <t>600/150</t>
        </is>
      </c>
      <c r="B483" t="inlineStr">
        <is>
          <t>150NB T600 RINGS CUT IN ORDER TO MACHINE FLANGES</t>
        </is>
      </c>
      <c r="C483" t="inlineStr"/>
      <c r="D483" t="n">
        <v>1</v>
      </c>
      <c r="E483" t="n">
        <v>6</v>
      </c>
      <c r="F483" t="inlineStr">
        <is>
          <t>Malcolm Arnot CC ( Linkflex)</t>
        </is>
      </c>
      <c r="G483" s="1" t="n">
        <v>407.5</v>
      </c>
      <c r="H483" t="n">
        <v>0</v>
      </c>
      <c r="I483" t="n">
        <v>0.5</v>
      </c>
      <c r="J483" t="n">
        <v>6</v>
      </c>
      <c r="K483" t="n">
        <v>3</v>
      </c>
      <c r="L483" t="n">
        <v>0</v>
      </c>
      <c r="M483" t="n">
        <v>0</v>
      </c>
      <c r="N483" t="n">
        <v>15</v>
      </c>
      <c r="O483" s="1">
        <f>IFERROR(L483*G483,0)</f>
        <v/>
      </c>
      <c r="P483">
        <f>IF(N483-L483-M483&gt;0,N483-L483-M483,0)</f>
        <v/>
      </c>
      <c r="Q483" s="1">
        <f>IFERROR(P483*G483,0)</f>
        <v/>
      </c>
    </row>
    <row r="484">
      <c r="A484" t="inlineStr">
        <is>
          <t>600WC</t>
        </is>
      </c>
      <c r="B484" t="inlineStr">
        <is>
          <t>Wall Cowl &amp; Screen</t>
        </is>
      </c>
      <c r="C484" t="inlineStr"/>
      <c r="D484" t="n">
        <v>1</v>
      </c>
      <c r="E484" t="n">
        <v>0</v>
      </c>
      <c r="F484" t="inlineStr"/>
      <c r="G484" s="1" t="n">
        <v>0</v>
      </c>
      <c r="H484" t="n">
        <v>1</v>
      </c>
      <c r="I484" t="n">
        <v>0.5</v>
      </c>
      <c r="J484" t="n">
        <v>1</v>
      </c>
      <c r="K484" t="n">
        <v>1</v>
      </c>
      <c r="L484" t="n">
        <v>0</v>
      </c>
      <c r="M484" t="n">
        <v>0</v>
      </c>
      <c r="N484" t="n">
        <v>2</v>
      </c>
      <c r="O484" s="1">
        <f>IFERROR(L484*G484,0)</f>
        <v/>
      </c>
      <c r="P484">
        <f>IF(N484-L484-M484&gt;0,N484-L484-M484,0)</f>
        <v/>
      </c>
      <c r="Q484" s="1">
        <f>IFERROR(P484*G484,0)</f>
        <v/>
      </c>
    </row>
    <row r="485">
      <c r="A485" t="inlineStr">
        <is>
          <t>600WL</t>
        </is>
      </c>
      <c r="B485" t="inlineStr">
        <is>
          <t>Weather Louvre</t>
        </is>
      </c>
      <c r="C485" t="inlineStr"/>
      <c r="D485" t="n">
        <v>1</v>
      </c>
      <c r="E485" t="n">
        <v>0</v>
      </c>
      <c r="F485" t="inlineStr"/>
      <c r="G485" s="1" t="n">
        <v>0</v>
      </c>
      <c r="H485" t="n">
        <v>3</v>
      </c>
      <c r="I485" t="n">
        <v>0.5</v>
      </c>
      <c r="J485" t="n">
        <v>3</v>
      </c>
      <c r="K485" t="n">
        <v>2</v>
      </c>
      <c r="L485" t="n">
        <v>0</v>
      </c>
      <c r="M485" t="n">
        <v>0</v>
      </c>
      <c r="N485" t="n">
        <v>8</v>
      </c>
      <c r="O485" s="1">
        <f>IFERROR(L485*G485,0)</f>
        <v/>
      </c>
      <c r="P485">
        <f>IF(N485-L485-M485&gt;0,N485-L485-M485,0)</f>
        <v/>
      </c>
      <c r="Q485" s="1">
        <f>IFERROR(P485*G485,0)</f>
        <v/>
      </c>
    </row>
    <row r="486">
      <c r="A486" t="inlineStr">
        <is>
          <t>6038M104</t>
        </is>
      </c>
      <c r="B486" t="inlineStr">
        <is>
          <t>AT18/18 AR 035 PHASE</t>
        </is>
      </c>
      <c r="C486" t="inlineStr">
        <is>
          <t>FM - NICOTRA</t>
        </is>
      </c>
      <c r="D486" t="n">
        <v>19</v>
      </c>
      <c r="E486" t="n">
        <v>5</v>
      </c>
      <c r="F486" t="inlineStr">
        <is>
          <t>Air Movement Supplies</t>
        </is>
      </c>
      <c r="G486" s="1" t="n">
        <v>3665</v>
      </c>
      <c r="H486" t="n">
        <v>3</v>
      </c>
      <c r="I486" t="n">
        <v>0.6</v>
      </c>
      <c r="J486" t="n">
        <v>1</v>
      </c>
      <c r="K486" t="n">
        <v>1</v>
      </c>
      <c r="L486" t="n">
        <v>0</v>
      </c>
      <c r="M486" t="n">
        <v>0</v>
      </c>
      <c r="N486" t="n">
        <v>3</v>
      </c>
      <c r="O486" s="1">
        <f>IFERROR(L486*G486,0)</f>
        <v/>
      </c>
      <c r="P486">
        <f>IF(N486-L486-M486&gt;0,N486-L486-M486,0)</f>
        <v/>
      </c>
      <c r="Q486" s="1">
        <f>IFERROR(P486*G486,0)</f>
        <v/>
      </c>
    </row>
    <row r="487">
      <c r="A487" t="inlineStr">
        <is>
          <t>610318</t>
        </is>
      </c>
      <c r="B487" t="inlineStr">
        <is>
          <t>DD 12/9 - 610318 - 1100W 6P 400V - 3Ph</t>
        </is>
      </c>
      <c r="C487" t="inlineStr">
        <is>
          <t>FM - NICOTRA</t>
        </is>
      </c>
      <c r="D487" t="n">
        <v>5</v>
      </c>
      <c r="E487" t="n">
        <v>0</v>
      </c>
      <c r="F487" t="inlineStr"/>
      <c r="G487" s="1" t="n">
        <v>0</v>
      </c>
      <c r="H487" t="n">
        <v>2</v>
      </c>
      <c r="I487" t="n">
        <v>0.5</v>
      </c>
      <c r="J487" t="n">
        <v>1</v>
      </c>
      <c r="K487" t="n">
        <v>1</v>
      </c>
      <c r="L487" t="n">
        <v>0</v>
      </c>
      <c r="M487" t="n">
        <v>0</v>
      </c>
      <c r="N487" t="n">
        <v>2</v>
      </c>
      <c r="O487" s="1">
        <f>IFERROR(L487*G487,0)</f>
        <v/>
      </c>
      <c r="P487">
        <f>IF(N487-L487-M487&gt;0,N487-L487-M487,0)</f>
        <v/>
      </c>
      <c r="Q487" s="1">
        <f>IFERROR(P487*G487,0)</f>
        <v/>
      </c>
    </row>
    <row r="488">
      <c r="A488" t="inlineStr">
        <is>
          <t>610633</t>
        </is>
      </c>
      <c r="B488" t="inlineStr">
        <is>
          <t>DD 7/7 - 610633 - 147W 4P 230V-1Ph</t>
        </is>
      </c>
      <c r="C488" t="inlineStr">
        <is>
          <t>FM - NICOTRA</t>
        </is>
      </c>
      <c r="D488" t="n">
        <v>29</v>
      </c>
      <c r="E488" t="n">
        <v>0</v>
      </c>
      <c r="F488" t="inlineStr"/>
      <c r="G488" s="1" t="n">
        <v>0</v>
      </c>
      <c r="H488" t="n">
        <v>6</v>
      </c>
      <c r="I488" t="n">
        <v>0.5</v>
      </c>
      <c r="J488" t="n">
        <v>1</v>
      </c>
      <c r="K488" t="n">
        <v>1</v>
      </c>
      <c r="L488" t="n">
        <v>0</v>
      </c>
      <c r="M488" t="n">
        <v>0</v>
      </c>
      <c r="N488" t="n">
        <v>2</v>
      </c>
      <c r="O488" s="1">
        <f>IFERROR(L488*G488,0)</f>
        <v/>
      </c>
      <c r="P488">
        <f>IF(N488-L488-M488&gt;0,N488-L488-M488,0)</f>
        <v/>
      </c>
      <c r="Q488" s="1">
        <f>IFERROR(P488*G488,0)</f>
        <v/>
      </c>
    </row>
    <row r="489">
      <c r="A489" t="inlineStr">
        <is>
          <t>630-1000AVMS</t>
        </is>
      </c>
      <c r="B489" t="inlineStr">
        <is>
          <t>630 to 1000 NDB GREEN Neoprene Floor Mounts</t>
        </is>
      </c>
      <c r="C489" t="inlineStr">
        <is>
          <t>FM - DONKIN</t>
        </is>
      </c>
      <c r="D489" t="n">
        <v>33</v>
      </c>
      <c r="E489" t="n">
        <v>1284</v>
      </c>
      <c r="F489" t="inlineStr">
        <is>
          <t>Seal 'N Devices (Pty) Ltd</t>
        </is>
      </c>
      <c r="G489" s="1" t="n">
        <v>57.37</v>
      </c>
      <c r="H489" t="n">
        <v>936</v>
      </c>
      <c r="I489" t="n">
        <v>0.5</v>
      </c>
      <c r="J489" t="n">
        <v>39</v>
      </c>
      <c r="K489" t="n">
        <v>20</v>
      </c>
      <c r="L489" t="n">
        <v>0</v>
      </c>
      <c r="M489" t="n">
        <v>0</v>
      </c>
      <c r="N489" t="n">
        <v>98</v>
      </c>
      <c r="O489" s="1">
        <f>IFERROR(L489*G489,0)</f>
        <v/>
      </c>
      <c r="P489">
        <f>IF(N489-L489-M489&gt;0,N489-L489-M489,0)</f>
        <v/>
      </c>
      <c r="Q489" s="1">
        <f>IFERROR(P489*G489,0)</f>
        <v/>
      </c>
    </row>
    <row r="490">
      <c r="A490" t="inlineStr">
        <is>
          <t>630.20.D.4</t>
        </is>
      </c>
      <c r="B490" t="inlineStr">
        <is>
          <t>Spare Impeller</t>
        </is>
      </c>
      <c r="C490" t="inlineStr"/>
      <c r="D490" t="n">
        <v>1</v>
      </c>
      <c r="E490" t="n">
        <v>1</v>
      </c>
      <c r="F490" t="inlineStr">
        <is>
          <t>Centrifab (Pty) Ltd</t>
        </is>
      </c>
      <c r="G490" s="1" t="n">
        <v>2200</v>
      </c>
      <c r="H490" t="n">
        <v>0</v>
      </c>
      <c r="I490" t="n">
        <v>0.5</v>
      </c>
      <c r="J490" t="n">
        <v>1</v>
      </c>
      <c r="K490" t="n">
        <v>1</v>
      </c>
      <c r="L490" t="n">
        <v>0</v>
      </c>
      <c r="M490" t="n">
        <v>0</v>
      </c>
      <c r="N490" t="n">
        <v>2</v>
      </c>
      <c r="O490" s="1">
        <f>IFERROR(L490*G490,0)</f>
        <v/>
      </c>
      <c r="P490">
        <f>IF(N490-L490-M490&gt;0,N490-L490-M490,0)</f>
        <v/>
      </c>
      <c r="Q490" s="1">
        <f>IFERROR(P490*G490,0)</f>
        <v/>
      </c>
    </row>
    <row r="491">
      <c r="A491" t="inlineStr">
        <is>
          <t>630/150/10 SI</t>
        </is>
      </c>
      <c r="B491" t="inlineStr">
        <is>
          <t>Spare Impeller (0630mm 'B' 150A10AR 24mm 090Frame Deg 35 DEG - FM3180)</t>
        </is>
      </c>
      <c r="C491" t="inlineStr"/>
      <c r="D491" t="n">
        <v>1</v>
      </c>
      <c r="E491" t="n">
        <v>1</v>
      </c>
      <c r="F491" t="inlineStr">
        <is>
          <t>Luft Industries Natal (Pty) Ltd</t>
        </is>
      </c>
      <c r="G491" s="1" t="n">
        <v>1766.25</v>
      </c>
      <c r="H491" t="n">
        <v>0</v>
      </c>
      <c r="I491" t="n">
        <v>0.9</v>
      </c>
      <c r="J491" t="n">
        <v>1</v>
      </c>
      <c r="K491" t="n">
        <v>1</v>
      </c>
      <c r="L491" t="n">
        <v>0</v>
      </c>
      <c r="M491" t="n">
        <v>0</v>
      </c>
      <c r="N491" t="n">
        <v>3</v>
      </c>
      <c r="O491" s="1">
        <f>IFERROR(L491*G491,0)</f>
        <v/>
      </c>
      <c r="P491">
        <f>IF(N491-L491-M491&gt;0,N491-L491-M491,0)</f>
        <v/>
      </c>
      <c r="Q491" s="1">
        <f>IFERROR(P491*G491,0)</f>
        <v/>
      </c>
    </row>
    <row r="492">
      <c r="A492" t="inlineStr">
        <is>
          <t>630/150/5 SI</t>
        </is>
      </c>
      <c r="B492" t="inlineStr">
        <is>
          <t>Spare Impeller</t>
        </is>
      </c>
      <c r="C492" t="inlineStr"/>
      <c r="D492" t="n">
        <v>14</v>
      </c>
      <c r="E492" t="n">
        <v>6</v>
      </c>
      <c r="F492" t="inlineStr">
        <is>
          <t>Luft Industries Natal (Pty) Ltd</t>
        </is>
      </c>
      <c r="G492" s="1" t="n">
        <v>1382.5</v>
      </c>
      <c r="H492" t="n">
        <v>2</v>
      </c>
      <c r="I492" t="n">
        <v>0.9</v>
      </c>
      <c r="J492" t="n">
        <v>1</v>
      </c>
      <c r="K492" t="n">
        <v>1</v>
      </c>
      <c r="L492" t="n">
        <v>0</v>
      </c>
      <c r="M492" t="n">
        <v>0</v>
      </c>
      <c r="N492" t="n">
        <v>3</v>
      </c>
      <c r="O492" s="1">
        <f>IFERROR(L492*G492,0)</f>
        <v/>
      </c>
      <c r="P492">
        <f>IF(N492-L492-M492&gt;0,N492-L492-M492,0)</f>
        <v/>
      </c>
      <c r="Q492" s="1">
        <f>IFERROR(P492*G492,0)</f>
        <v/>
      </c>
    </row>
    <row r="493">
      <c r="A493" t="inlineStr">
        <is>
          <t>630/250/7SI</t>
        </is>
      </c>
      <c r="B493" t="inlineStr">
        <is>
          <t>Spare Impeller</t>
        </is>
      </c>
      <c r="C493" t="inlineStr"/>
      <c r="D493" t="n">
        <v>1</v>
      </c>
      <c r="E493" t="n">
        <v>1</v>
      </c>
      <c r="F493" t="inlineStr">
        <is>
          <t>Luft Industries Natal (Pty) Ltd</t>
        </is>
      </c>
      <c r="G493" s="1" t="n">
        <v>1837.5</v>
      </c>
      <c r="H493" t="n">
        <v>1</v>
      </c>
      <c r="I493" t="n">
        <v>0.5</v>
      </c>
      <c r="J493" t="n">
        <v>1</v>
      </c>
      <c r="K493" t="n">
        <v>1</v>
      </c>
      <c r="L493" t="n">
        <v>0</v>
      </c>
      <c r="M493" t="n">
        <v>0</v>
      </c>
      <c r="N493" t="n">
        <v>2</v>
      </c>
      <c r="O493" s="1">
        <f>IFERROR(L493*G493,0)</f>
        <v/>
      </c>
      <c r="P493">
        <f>IF(N493-L493-M493&gt;0,N493-L493-M493,0)</f>
        <v/>
      </c>
      <c r="Q493" s="1">
        <f>IFERROR(P493*G493,0)</f>
        <v/>
      </c>
    </row>
    <row r="494">
      <c r="A494" t="inlineStr">
        <is>
          <t>630/3/6</t>
        </is>
      </c>
      <c r="B494" t="inlineStr">
        <is>
          <t>UV 630/3/6 c/w 1.5 kW 6 Pole 380V</t>
        </is>
      </c>
      <c r="C494" t="inlineStr"/>
      <c r="D494" t="n">
        <v>1</v>
      </c>
      <c r="E494" t="n">
        <v>4</v>
      </c>
      <c r="F494" t="inlineStr">
        <is>
          <t>Air Speration</t>
        </is>
      </c>
      <c r="G494" s="1" t="n">
        <v>10527.25</v>
      </c>
      <c r="H494" t="n">
        <v>3</v>
      </c>
      <c r="I494" t="n">
        <v>1.6</v>
      </c>
      <c r="J494" t="n">
        <v>4</v>
      </c>
      <c r="K494" t="n">
        <v>6</v>
      </c>
      <c r="L494" t="n">
        <v>0</v>
      </c>
      <c r="M494" t="n">
        <v>0</v>
      </c>
      <c r="N494" t="n">
        <v>14</v>
      </c>
      <c r="O494" s="1">
        <f>IFERROR(L494*G494,0)</f>
        <v/>
      </c>
      <c r="P494">
        <f>IF(N494-L494-M494&gt;0,N494-L494-M494,0)</f>
        <v/>
      </c>
      <c r="Q494" s="1">
        <f>IFERROR(P494*G494,0)</f>
        <v/>
      </c>
    </row>
    <row r="495">
      <c r="A495" t="inlineStr">
        <is>
          <t>630CF</t>
        </is>
      </c>
      <c r="B495" t="inlineStr">
        <is>
          <t>630 Diam Counter Flange</t>
        </is>
      </c>
      <c r="C495" t="inlineStr">
        <is>
          <t>FM - C/FLANGE</t>
        </is>
      </c>
      <c r="D495" t="n">
        <v>55</v>
      </c>
      <c r="E495" t="n">
        <v>236</v>
      </c>
      <c r="F495" t="inlineStr">
        <is>
          <t>Attenu-Tec HVAC Parts</t>
        </is>
      </c>
      <c r="G495" s="1" t="n">
        <v>0</v>
      </c>
      <c r="H495" t="n">
        <v>275</v>
      </c>
      <c r="I495" t="n">
        <v>0.6</v>
      </c>
      <c r="J495" t="n">
        <v>5</v>
      </c>
      <c r="K495" t="n">
        <v>3</v>
      </c>
      <c r="L495" t="n">
        <v>0</v>
      </c>
      <c r="M495" t="n">
        <v>0</v>
      </c>
      <c r="N495" t="n">
        <v>13</v>
      </c>
      <c r="O495" s="1">
        <f>IFERROR(L495*G495,0)</f>
        <v/>
      </c>
      <c r="P495">
        <f>IF(N495-L495-M495&gt;0,N495-L495-M495,0)</f>
        <v/>
      </c>
      <c r="Q495" s="1">
        <f>IFERROR(P495*G495,0)</f>
        <v/>
      </c>
    </row>
    <row r="496">
      <c r="A496" t="inlineStr">
        <is>
          <t>630CFUG</t>
        </is>
      </c>
      <c r="B496" t="inlineStr">
        <is>
          <t>630 Diam Counter Flange Ungalvanised</t>
        </is>
      </c>
      <c r="C496" t="inlineStr">
        <is>
          <t>FM - C/FLANGE</t>
        </is>
      </c>
      <c r="D496" t="n">
        <v>1</v>
      </c>
      <c r="E496" t="n">
        <v>32</v>
      </c>
      <c r="F496" t="inlineStr">
        <is>
          <t>ULTIMATENG (PTY) LTD</t>
        </is>
      </c>
      <c r="G496" s="1" t="n">
        <v>0</v>
      </c>
      <c r="H496" t="n">
        <v>0</v>
      </c>
      <c r="I496" t="n">
        <v>0.5</v>
      </c>
      <c r="J496" t="n">
        <v>32</v>
      </c>
      <c r="K496" t="n">
        <v>16</v>
      </c>
      <c r="L496" t="n">
        <v>0</v>
      </c>
      <c r="M496" t="n">
        <v>0</v>
      </c>
      <c r="N496" t="n">
        <v>80</v>
      </c>
      <c r="O496" s="1">
        <f>IFERROR(L496*G496,0)</f>
        <v/>
      </c>
      <c r="P496">
        <f>IF(N496-L496-M496&gt;0,N496-L496-M496,0)</f>
        <v/>
      </c>
      <c r="Q496" s="1">
        <f>IFERROR(P496*G496,0)</f>
        <v/>
      </c>
    </row>
    <row r="497">
      <c r="A497" t="inlineStr">
        <is>
          <t>630FC</t>
        </is>
      </c>
      <c r="B497" t="inlineStr">
        <is>
          <t>630 Diam Flexible Connection</t>
        </is>
      </c>
      <c r="C497" t="inlineStr">
        <is>
          <t>FM - DONKIN</t>
        </is>
      </c>
      <c r="D497" t="n">
        <v>41</v>
      </c>
      <c r="E497" t="n">
        <v>20</v>
      </c>
      <c r="F497" t="inlineStr">
        <is>
          <t>Attenu-Tec HVAC Parts</t>
        </is>
      </c>
      <c r="G497" s="1" t="n">
        <v>663.63</v>
      </c>
      <c r="H497" t="n">
        <v>18</v>
      </c>
      <c r="I497" t="n">
        <v>0.8</v>
      </c>
      <c r="J497" t="n">
        <v>1</v>
      </c>
      <c r="K497" t="n">
        <v>1</v>
      </c>
      <c r="L497" t="n">
        <v>0</v>
      </c>
      <c r="M497" t="n">
        <v>0</v>
      </c>
      <c r="N497" t="n">
        <v>3</v>
      </c>
      <c r="O497" s="1">
        <f>IFERROR(L497*G497,0)</f>
        <v/>
      </c>
      <c r="P497">
        <f>IF(N497-L497-M497&gt;0,N497-L497-M497,0)</f>
        <v/>
      </c>
      <c r="Q497" s="1">
        <f>IFERROR(P497*G497,0)</f>
        <v/>
      </c>
    </row>
    <row r="498">
      <c r="A498" t="inlineStr">
        <is>
          <t>630HD</t>
        </is>
      </c>
      <c r="B498" t="inlineStr">
        <is>
          <t>630mm Horizontal Discharge Unit with flange and mesh</t>
        </is>
      </c>
      <c r="C498" t="inlineStr"/>
      <c r="D498" t="n">
        <v>1</v>
      </c>
      <c r="E498" t="n">
        <v>1</v>
      </c>
      <c r="F498" t="inlineStr">
        <is>
          <t>Attenu-Tec HVAC Parts</t>
        </is>
      </c>
      <c r="G498" s="1" t="n">
        <v>1203</v>
      </c>
      <c r="H498" t="n">
        <v>0</v>
      </c>
      <c r="I498" t="n">
        <v>0.5</v>
      </c>
      <c r="J498" t="n">
        <v>1</v>
      </c>
      <c r="K498" t="n">
        <v>1</v>
      </c>
      <c r="L498" t="n">
        <v>0</v>
      </c>
      <c r="M498" t="n">
        <v>0</v>
      </c>
      <c r="N498" t="n">
        <v>2</v>
      </c>
      <c r="O498" s="1">
        <f>IFERROR(L498*G498,0)</f>
        <v/>
      </c>
      <c r="P498">
        <f>IF(N498-L498-M498&gt;0,N498-L498-M498,0)</f>
        <v/>
      </c>
      <c r="Q498" s="1">
        <f>IFERROR(P498*G498,0)</f>
        <v/>
      </c>
    </row>
    <row r="499">
      <c r="A499" t="inlineStr">
        <is>
          <t>630HVJ-2S</t>
        </is>
      </c>
      <c r="B499" t="inlineStr">
        <is>
          <t>630 Diam Vertical Discharge Unit</t>
        </is>
      </c>
      <c r="C499" t="inlineStr">
        <is>
          <t>FM - DONKIN</t>
        </is>
      </c>
      <c r="D499" t="n">
        <v>19</v>
      </c>
      <c r="E499" t="n">
        <v>16</v>
      </c>
      <c r="F499" t="inlineStr">
        <is>
          <t>Attenu-Tec HVAC Parts</t>
        </is>
      </c>
      <c r="G499" s="1" t="n">
        <v>1437</v>
      </c>
      <c r="H499" t="n">
        <v>16</v>
      </c>
      <c r="I499" t="n">
        <v>0.5</v>
      </c>
      <c r="J499" t="n">
        <v>1</v>
      </c>
      <c r="K499" t="n">
        <v>1</v>
      </c>
      <c r="L499" t="n">
        <v>0</v>
      </c>
      <c r="M499" t="n">
        <v>0</v>
      </c>
      <c r="N499" t="n">
        <v>2</v>
      </c>
      <c r="O499" s="1">
        <f>IFERROR(L499*G499,0)</f>
        <v/>
      </c>
      <c r="P499">
        <f>IF(N499-L499-M499&gt;0,N499-L499-M499,0)</f>
        <v/>
      </c>
      <c r="Q499" s="1">
        <f>IFERROR(P499*G499,0)</f>
        <v/>
      </c>
    </row>
    <row r="500">
      <c r="A500" t="inlineStr">
        <is>
          <t>630MBP05</t>
        </is>
      </c>
      <c r="B500" t="inlineStr">
        <is>
          <t>1-0350-240 P05 - 630 Motor Bracket</t>
        </is>
      </c>
      <c r="C500" t="inlineStr"/>
      <c r="D500" t="n">
        <v>16</v>
      </c>
      <c r="E500" t="n">
        <v>184</v>
      </c>
      <c r="F500" t="inlineStr">
        <is>
          <t>Kart Shop TA Ultimate Laser Cutting</t>
        </is>
      </c>
      <c r="G500" s="1" t="n">
        <v>39.82</v>
      </c>
      <c r="H500" t="n">
        <v>0</v>
      </c>
      <c r="I500" t="n">
        <v>0.5</v>
      </c>
      <c r="J500" t="n">
        <v>11.5</v>
      </c>
      <c r="K500" t="n">
        <v>6</v>
      </c>
      <c r="L500" t="n">
        <v>0</v>
      </c>
      <c r="M500" t="n">
        <v>0</v>
      </c>
      <c r="N500" t="n">
        <v>29</v>
      </c>
      <c r="O500" s="1">
        <f>IFERROR(L500*G500,0)</f>
        <v/>
      </c>
      <c r="P500">
        <f>IF(N500-L500-M500&gt;0,N500-L500-M500,0)</f>
        <v/>
      </c>
      <c r="Q500" s="1">
        <f>IFERROR(P500*G500,0)</f>
        <v/>
      </c>
    </row>
    <row r="501">
      <c r="A501" t="inlineStr">
        <is>
          <t>630MF</t>
        </is>
      </c>
      <c r="B501" t="inlineStr">
        <is>
          <t>630 Diam Mounting Feet</t>
        </is>
      </c>
      <c r="C501" t="inlineStr">
        <is>
          <t>FM - M/FEET</t>
        </is>
      </c>
      <c r="D501" t="n">
        <v>55</v>
      </c>
      <c r="E501" t="n">
        <v>317</v>
      </c>
      <c r="F501" t="inlineStr">
        <is>
          <t>Air Speration</t>
        </is>
      </c>
      <c r="G501" s="1" t="n">
        <v>0</v>
      </c>
      <c r="H501" t="n">
        <v>480</v>
      </c>
      <c r="I501" t="n">
        <v>0.7</v>
      </c>
      <c r="J501" t="n">
        <v>9</v>
      </c>
      <c r="K501" t="n">
        <v>6</v>
      </c>
      <c r="L501" t="n">
        <v>0</v>
      </c>
      <c r="M501" t="n">
        <v>0</v>
      </c>
      <c r="N501" t="n">
        <v>24</v>
      </c>
      <c r="O501" s="1">
        <f>IFERROR(L501*G501,0)</f>
        <v/>
      </c>
      <c r="P501">
        <f>IF(N501-L501-M501&gt;0,N501-L501-M501,0)</f>
        <v/>
      </c>
      <c r="Q501" s="1">
        <f>IFERROR(P501*G501,0)</f>
        <v/>
      </c>
    </row>
    <row r="502">
      <c r="A502" t="inlineStr">
        <is>
          <t>630MFUG</t>
        </is>
      </c>
      <c r="B502" t="inlineStr">
        <is>
          <t>630 Diam Mounting Feet Ungalvanized</t>
        </is>
      </c>
      <c r="C502" t="inlineStr">
        <is>
          <t>FM - M/FEET</t>
        </is>
      </c>
      <c r="D502" t="n">
        <v>1</v>
      </c>
      <c r="E502" t="n">
        <v>27</v>
      </c>
      <c r="F502" t="inlineStr">
        <is>
          <t>ULTIMATENG (PTY) LTD</t>
        </is>
      </c>
      <c r="G502" s="1" t="n">
        <v>0</v>
      </c>
      <c r="H502" t="n">
        <v>0</v>
      </c>
      <c r="I502" t="n">
        <v>0.5</v>
      </c>
      <c r="J502" t="n">
        <v>27</v>
      </c>
      <c r="K502" t="n">
        <v>14</v>
      </c>
      <c r="L502" t="n">
        <v>0</v>
      </c>
      <c r="M502" t="n">
        <v>0</v>
      </c>
      <c r="N502" t="n">
        <v>68</v>
      </c>
      <c r="O502" s="1">
        <f>IFERROR(L502*G502,0)</f>
        <v/>
      </c>
      <c r="P502">
        <f>IF(N502-L502-M502&gt;0,N502-L502-M502,0)</f>
        <v/>
      </c>
      <c r="Q502" s="1">
        <f>IFERROR(P502*G502,0)</f>
        <v/>
      </c>
    </row>
    <row r="503">
      <c r="A503" t="inlineStr">
        <is>
          <t>630PLT400-3MM</t>
        </is>
      </c>
      <c r="B503" t="inlineStr">
        <is>
          <t>630 Casing Sheet - 1987 x 400 - 3mm</t>
        </is>
      </c>
      <c r="C503" t="inlineStr">
        <is>
          <t>FM - FABRICATION</t>
        </is>
      </c>
      <c r="D503" t="n">
        <v>1</v>
      </c>
      <c r="E503" t="n">
        <v>8</v>
      </c>
      <c r="F503" t="inlineStr">
        <is>
          <t>NJR STEEL - ALRODE (PTY) LTD</t>
        </is>
      </c>
      <c r="G503" s="1" t="n">
        <v>461</v>
      </c>
      <c r="H503" t="n">
        <v>0</v>
      </c>
      <c r="I503" t="n">
        <v>0.5</v>
      </c>
      <c r="J503" t="n">
        <v>8</v>
      </c>
      <c r="K503" t="n">
        <v>4</v>
      </c>
      <c r="L503" t="n">
        <v>0</v>
      </c>
      <c r="M503" t="n">
        <v>0</v>
      </c>
      <c r="N503" t="n">
        <v>20</v>
      </c>
      <c r="O503" s="1">
        <f>IFERROR(L503*G503,0)</f>
        <v/>
      </c>
      <c r="P503">
        <f>IF(N503-L503-M503&gt;0,N503-L503-M503,0)</f>
        <v/>
      </c>
      <c r="Q503" s="1">
        <f>IFERROR(P503*G503,0)</f>
        <v/>
      </c>
    </row>
    <row r="504">
      <c r="A504" t="inlineStr">
        <is>
          <t>630S1.5DP</t>
        </is>
      </c>
      <c r="B504" t="inlineStr">
        <is>
          <t>630 Diam Silencer 1.5D Podded</t>
        </is>
      </c>
      <c r="C504" t="inlineStr">
        <is>
          <t>FM - DONKIN</t>
        </is>
      </c>
      <c r="D504" t="n">
        <v>31</v>
      </c>
      <c r="E504" t="n">
        <v>85</v>
      </c>
      <c r="F504" t="inlineStr">
        <is>
          <t>Attenu-Tec</t>
        </is>
      </c>
      <c r="G504" s="1" t="n">
        <v>3010</v>
      </c>
      <c r="H504" t="n">
        <v>95</v>
      </c>
      <c r="I504" t="n">
        <v>0.8</v>
      </c>
      <c r="J504" t="n">
        <v>3.5</v>
      </c>
      <c r="K504" t="n">
        <v>3</v>
      </c>
      <c r="L504" t="n">
        <v>0</v>
      </c>
      <c r="M504" t="n">
        <v>5</v>
      </c>
      <c r="N504" t="n">
        <v>10</v>
      </c>
      <c r="O504" s="1">
        <f>IFERROR(L504*G504,0)</f>
        <v/>
      </c>
      <c r="P504">
        <f>IF(N504-L504-M504&gt;0,N504-L504-M504,0)</f>
        <v/>
      </c>
      <c r="Q504" s="1">
        <f>IFERROR(P504*G504,0)</f>
        <v/>
      </c>
    </row>
    <row r="505">
      <c r="A505" t="inlineStr">
        <is>
          <t>630S2.0D</t>
        </is>
      </c>
      <c r="B505" t="inlineStr">
        <is>
          <t>630 Diam Silencer 2.0D</t>
        </is>
      </c>
      <c r="C505" t="inlineStr">
        <is>
          <t>FM - DONKIN</t>
        </is>
      </c>
      <c r="D505" t="n">
        <v>1</v>
      </c>
      <c r="E505" t="n">
        <v>1</v>
      </c>
      <c r="F505" t="inlineStr">
        <is>
          <t>Attenu-Tec</t>
        </is>
      </c>
      <c r="G505" s="1" t="n">
        <v>3075</v>
      </c>
      <c r="H505" t="n">
        <v>1</v>
      </c>
      <c r="I505" t="n">
        <v>1.1</v>
      </c>
      <c r="J505" t="n">
        <v>1</v>
      </c>
      <c r="K505" t="n">
        <v>1</v>
      </c>
      <c r="L505" t="n">
        <v>0</v>
      </c>
      <c r="M505" t="n">
        <v>0</v>
      </c>
      <c r="N505" t="n">
        <v>3</v>
      </c>
      <c r="O505" s="1">
        <f>IFERROR(L505*G505,0)</f>
        <v/>
      </c>
      <c r="P505">
        <f>IF(N505-L505-M505&gt;0,N505-L505-M505,0)</f>
        <v/>
      </c>
      <c r="Q505" s="1">
        <f>IFERROR(P505*G505,0)</f>
        <v/>
      </c>
    </row>
    <row r="506">
      <c r="A506" t="inlineStr">
        <is>
          <t>630S2.0DP</t>
        </is>
      </c>
      <c r="B506" t="inlineStr">
        <is>
          <t>630 Diam Silencer 2.0D Podded</t>
        </is>
      </c>
      <c r="C506" t="inlineStr">
        <is>
          <t>FM - DONKIN</t>
        </is>
      </c>
      <c r="D506" t="n">
        <v>21</v>
      </c>
      <c r="E506" t="n">
        <v>23</v>
      </c>
      <c r="F506" t="inlineStr">
        <is>
          <t>Attenu-Tec</t>
        </is>
      </c>
      <c r="G506" s="1" t="n">
        <v>3896</v>
      </c>
      <c r="H506" t="n">
        <v>34</v>
      </c>
      <c r="I506" t="n">
        <v>1</v>
      </c>
      <c r="J506" t="n">
        <v>2</v>
      </c>
      <c r="K506" t="n">
        <v>2</v>
      </c>
      <c r="L506" t="n">
        <v>0</v>
      </c>
      <c r="M506" t="n">
        <v>0</v>
      </c>
      <c r="N506" t="n">
        <v>6</v>
      </c>
      <c r="O506" s="1">
        <f>IFERROR(L506*G506,0)</f>
        <v/>
      </c>
      <c r="P506">
        <f>IF(N506-L506-M506&gt;0,N506-L506-M506,0)</f>
        <v/>
      </c>
      <c r="Q506" s="1">
        <f>IFERROR(P506*G506,0)</f>
        <v/>
      </c>
    </row>
    <row r="507">
      <c r="A507" t="inlineStr">
        <is>
          <t>630SC</t>
        </is>
      </c>
      <c r="B507" t="inlineStr">
        <is>
          <t>Screen</t>
        </is>
      </c>
      <c r="C507" t="inlineStr"/>
      <c r="D507" t="n">
        <v>2</v>
      </c>
      <c r="E507" t="n">
        <v>2</v>
      </c>
      <c r="F507" t="inlineStr">
        <is>
          <t>Heinmor Wire Products CC</t>
        </is>
      </c>
      <c r="G507" s="1" t="n">
        <v>455</v>
      </c>
      <c r="H507" t="n">
        <v>0</v>
      </c>
      <c r="I507" t="n">
        <v>0.5</v>
      </c>
      <c r="J507" t="n">
        <v>1</v>
      </c>
      <c r="K507" t="n">
        <v>1</v>
      </c>
      <c r="L507" t="n">
        <v>0</v>
      </c>
      <c r="M507" t="n">
        <v>0</v>
      </c>
      <c r="N507" t="n">
        <v>2</v>
      </c>
      <c r="O507" s="1">
        <f>IFERROR(L507*G507,0)</f>
        <v/>
      </c>
      <c r="P507">
        <f>IF(N507-L507-M507&gt;0,N507-L507-M507,0)</f>
        <v/>
      </c>
      <c r="Q507" s="1">
        <f>IFERROR(P507*G507,0)</f>
        <v/>
      </c>
    </row>
    <row r="508">
      <c r="A508" t="inlineStr">
        <is>
          <t>630SM1.0DP</t>
        </is>
      </c>
      <c r="B508" t="inlineStr">
        <is>
          <t>630 Diam Melinex Silencer 1.0D Podded</t>
        </is>
      </c>
      <c r="C508" t="inlineStr">
        <is>
          <t>FM - DONKIN</t>
        </is>
      </c>
      <c r="D508" t="n">
        <v>1</v>
      </c>
      <c r="E508" t="n">
        <v>2</v>
      </c>
      <c r="F508" t="inlineStr">
        <is>
          <t>Attenu-Tec</t>
        </is>
      </c>
      <c r="G508" s="1" t="n">
        <v>2400</v>
      </c>
      <c r="H508" t="n">
        <v>2</v>
      </c>
      <c r="I508" t="n">
        <v>0.5</v>
      </c>
      <c r="J508" t="n">
        <v>2</v>
      </c>
      <c r="K508" t="n">
        <v>1</v>
      </c>
      <c r="L508" t="n">
        <v>0</v>
      </c>
      <c r="M508" t="n">
        <v>0</v>
      </c>
      <c r="N508" t="n">
        <v>5</v>
      </c>
      <c r="O508" s="1">
        <f>IFERROR(L508*G508,0)</f>
        <v/>
      </c>
      <c r="P508">
        <f>IF(N508-L508-M508&gt;0,N508-L508-M508,0)</f>
        <v/>
      </c>
      <c r="Q508" s="1">
        <f>IFERROR(P508*G508,0)</f>
        <v/>
      </c>
    </row>
    <row r="509">
      <c r="A509" t="inlineStr">
        <is>
          <t>630SM1.5D</t>
        </is>
      </c>
      <c r="B509" t="inlineStr">
        <is>
          <t>630 Diam Melinex Silencer 1.5D</t>
        </is>
      </c>
      <c r="C509" t="inlineStr">
        <is>
          <t>FM - DONKIN</t>
        </is>
      </c>
      <c r="D509" t="n">
        <v>1</v>
      </c>
      <c r="E509" t="n">
        <v>2</v>
      </c>
      <c r="F509" t="inlineStr">
        <is>
          <t>Attenu-Tec</t>
        </is>
      </c>
      <c r="G509" s="1" t="n">
        <v>2175</v>
      </c>
      <c r="H509" t="n">
        <v>0</v>
      </c>
      <c r="I509" t="n">
        <v>0.5</v>
      </c>
      <c r="J509" t="n">
        <v>2</v>
      </c>
      <c r="K509" t="n">
        <v>1</v>
      </c>
      <c r="L509" t="n">
        <v>0</v>
      </c>
      <c r="M509" t="n">
        <v>0</v>
      </c>
      <c r="N509" t="n">
        <v>5</v>
      </c>
      <c r="O509" s="1">
        <f>IFERROR(L509*G509,0)</f>
        <v/>
      </c>
      <c r="P509">
        <f>IF(N509-L509-M509&gt;0,N509-L509-M509,0)</f>
        <v/>
      </c>
      <c r="Q509" s="1">
        <f>IFERROR(P509*G509,0)</f>
        <v/>
      </c>
    </row>
    <row r="510">
      <c r="A510" t="inlineStr">
        <is>
          <t>630SM1.5DP</t>
        </is>
      </c>
      <c r="B510" t="inlineStr">
        <is>
          <t>630 Diam Melinex Silencer 1.5D Podded</t>
        </is>
      </c>
      <c r="C510" t="inlineStr">
        <is>
          <t>FM - DONKIN</t>
        </is>
      </c>
      <c r="D510" t="n">
        <v>32</v>
      </c>
      <c r="E510" t="n">
        <v>36</v>
      </c>
      <c r="F510" t="inlineStr">
        <is>
          <t>Attenu-Tec</t>
        </is>
      </c>
      <c r="G510" s="1" t="n">
        <v>2916.38</v>
      </c>
      <c r="H510" t="n">
        <v>33</v>
      </c>
      <c r="I510" t="n">
        <v>0.7</v>
      </c>
      <c r="J510" t="n">
        <v>1.5</v>
      </c>
      <c r="K510" t="n">
        <v>1</v>
      </c>
      <c r="L510" t="n">
        <v>0</v>
      </c>
      <c r="M510" t="n">
        <v>0</v>
      </c>
      <c r="N510" t="n">
        <v>4</v>
      </c>
      <c r="O510" s="1">
        <f>IFERROR(L510*G510,0)</f>
        <v/>
      </c>
      <c r="P510">
        <f>IF(N510-L510-M510&gt;0,N510-L510-M510,0)</f>
        <v/>
      </c>
      <c r="Q510" s="1">
        <f>IFERROR(P510*G510,0)</f>
        <v/>
      </c>
    </row>
    <row r="511">
      <c r="A511" t="inlineStr">
        <is>
          <t>630SM2.0DP</t>
        </is>
      </c>
      <c r="B511" t="inlineStr">
        <is>
          <t>630 Diam Melinex Silencer 2.0D Podded</t>
        </is>
      </c>
      <c r="C511" t="inlineStr">
        <is>
          <t>FM - DONKIN</t>
        </is>
      </c>
      <c r="D511" t="n">
        <v>1</v>
      </c>
      <c r="E511" t="n">
        <v>4</v>
      </c>
      <c r="F511" t="inlineStr">
        <is>
          <t>Attenu-Tec</t>
        </is>
      </c>
      <c r="G511" s="1" t="n">
        <v>3693</v>
      </c>
      <c r="H511" t="n">
        <v>0</v>
      </c>
      <c r="I511" t="n">
        <v>1.5</v>
      </c>
      <c r="J511" t="n">
        <v>4</v>
      </c>
      <c r="K511" t="n">
        <v>6</v>
      </c>
      <c r="L511" t="n">
        <v>0</v>
      </c>
      <c r="M511" t="n">
        <v>0</v>
      </c>
      <c r="N511" t="n">
        <v>14</v>
      </c>
      <c r="O511" s="1">
        <f>IFERROR(L511*G511,0)</f>
        <v/>
      </c>
      <c r="P511">
        <f>IF(N511-L511-M511&gt;0,N511-L511-M511,0)</f>
        <v/>
      </c>
      <c r="Q511" s="1">
        <f>IFERROR(P511*G511,0)</f>
        <v/>
      </c>
    </row>
    <row r="512">
      <c r="A512" t="inlineStr">
        <is>
          <t>630WC</t>
        </is>
      </c>
      <c r="B512" t="inlineStr">
        <is>
          <t>Wall Cowl &amp; Screen</t>
        </is>
      </c>
      <c r="C512" t="inlineStr"/>
      <c r="D512" t="n">
        <v>1</v>
      </c>
      <c r="E512" t="n">
        <v>1</v>
      </c>
      <c r="F512" t="inlineStr">
        <is>
          <t>Attenu-Tec HVAC Parts</t>
        </is>
      </c>
      <c r="G512" s="1" t="n">
        <v>1110</v>
      </c>
      <c r="H512" t="n">
        <v>0</v>
      </c>
      <c r="I512" t="n">
        <v>1.6</v>
      </c>
      <c r="J512" t="n">
        <v>1</v>
      </c>
      <c r="K512" t="n">
        <v>2</v>
      </c>
      <c r="L512" t="n">
        <v>0</v>
      </c>
      <c r="M512" t="n">
        <v>0</v>
      </c>
      <c r="N512" t="n">
        <v>4</v>
      </c>
      <c r="O512" s="1">
        <f>IFERROR(L512*G512,0)</f>
        <v/>
      </c>
      <c r="P512">
        <f>IF(N512-L512-M512&gt;0,N512-L512-M512,0)</f>
        <v/>
      </c>
      <c r="Q512" s="1">
        <f>IFERROR(P512*G512,0)</f>
        <v/>
      </c>
    </row>
    <row r="513">
      <c r="A513" t="inlineStr">
        <is>
          <t>6M020K</t>
        </is>
      </c>
      <c r="B513" t="inlineStr">
        <is>
          <t>DDM 9/7 6M020K - 300W 4P 400V-3Ph</t>
        </is>
      </c>
      <c r="C513" t="inlineStr">
        <is>
          <t>FM - NICOTRA</t>
        </is>
      </c>
      <c r="D513" t="n">
        <v>1</v>
      </c>
      <c r="E513" t="n">
        <v>0</v>
      </c>
      <c r="F513" t="inlineStr"/>
      <c r="G513" s="1" t="n">
        <v>0</v>
      </c>
      <c r="H513" t="n">
        <v>1</v>
      </c>
      <c r="I513" t="n">
        <v>0.5</v>
      </c>
      <c r="J513" t="n">
        <v>1</v>
      </c>
      <c r="K513" t="n">
        <v>1</v>
      </c>
      <c r="L513" t="n">
        <v>0</v>
      </c>
      <c r="M513" t="n">
        <v>0</v>
      </c>
      <c r="N513" t="n">
        <v>2</v>
      </c>
      <c r="O513" s="1">
        <f>IFERROR(L513*G513,0)</f>
        <v/>
      </c>
      <c r="P513">
        <f>IF(N513-L513-M513&gt;0,N513-L513-M513,0)</f>
        <v/>
      </c>
      <c r="Q513" s="1">
        <f>IFERROR(P513*G513,0)</f>
        <v/>
      </c>
    </row>
    <row r="514">
      <c r="A514" t="inlineStr">
        <is>
          <t>6M020M</t>
        </is>
      </c>
      <c r="B514" t="inlineStr">
        <is>
          <t>DDM 9/7 - 6M020M - 550W 4P 230V-1Ph</t>
        </is>
      </c>
      <c r="C514" t="inlineStr">
        <is>
          <t>FM - NICOTRA</t>
        </is>
      </c>
      <c r="D514" t="n">
        <v>21</v>
      </c>
      <c r="E514" t="n">
        <v>0</v>
      </c>
      <c r="F514" t="inlineStr"/>
      <c r="G514" s="1" t="n">
        <v>0</v>
      </c>
      <c r="H514" t="n">
        <v>5</v>
      </c>
      <c r="I514" t="n">
        <v>0.5</v>
      </c>
      <c r="J514" t="n">
        <v>1</v>
      </c>
      <c r="K514" t="n">
        <v>1</v>
      </c>
      <c r="L514" t="n">
        <v>0</v>
      </c>
      <c r="M514" t="n">
        <v>0</v>
      </c>
      <c r="N514" t="n">
        <v>2</v>
      </c>
      <c r="O514" s="1">
        <f>IFERROR(L514*G514,0)</f>
        <v/>
      </c>
      <c r="P514">
        <f>IF(N514-L514-M514&gt;0,N514-L514-M514,0)</f>
        <v/>
      </c>
      <c r="Q514" s="1">
        <f>IFERROR(P514*G514,0)</f>
        <v/>
      </c>
    </row>
    <row r="515">
      <c r="A515" t="inlineStr">
        <is>
          <t>6M02149B</t>
        </is>
      </c>
      <c r="B515" t="inlineStr">
        <is>
          <t>DDM 10/10 3F 6P 550W</t>
        </is>
      </c>
      <c r="C515" t="inlineStr"/>
      <c r="D515" t="n">
        <v>1</v>
      </c>
      <c r="E515" t="n">
        <v>3</v>
      </c>
      <c r="F515" t="inlineStr">
        <is>
          <t>Regal Beloit Italy S.p.A - Nicotra .</t>
        </is>
      </c>
      <c r="G515" s="1" t="n">
        <v>5313.2</v>
      </c>
      <c r="H515" t="n">
        <v>3</v>
      </c>
      <c r="I515" t="n">
        <v>0.9</v>
      </c>
      <c r="J515" t="n">
        <v>3</v>
      </c>
      <c r="K515" t="n">
        <v>3</v>
      </c>
      <c r="L515" t="n">
        <v>0</v>
      </c>
      <c r="M515" t="n">
        <v>0</v>
      </c>
      <c r="N515" t="n">
        <v>9</v>
      </c>
      <c r="O515" s="1">
        <f>IFERROR(L515*G515,0)</f>
        <v/>
      </c>
      <c r="P515">
        <f>IF(N515-L515-M515&gt;0,N515-L515-M515,0)</f>
        <v/>
      </c>
      <c r="Q515" s="1">
        <f>IFERROR(P515*G515,0)</f>
        <v/>
      </c>
    </row>
    <row r="516">
      <c r="A516" t="inlineStr">
        <is>
          <t>6M0299</t>
        </is>
      </c>
      <c r="B516" t="inlineStr">
        <is>
          <t>DDM 7/7 - 6M0299 - 300W 4P 230V-1Ph</t>
        </is>
      </c>
      <c r="C516" t="inlineStr">
        <is>
          <t>FM - NICOTRA</t>
        </is>
      </c>
      <c r="D516" t="n">
        <v>30</v>
      </c>
      <c r="E516" t="n">
        <v>0</v>
      </c>
      <c r="F516" t="inlineStr"/>
      <c r="G516" s="1" t="n">
        <v>0</v>
      </c>
      <c r="H516" t="n">
        <v>8</v>
      </c>
      <c r="I516" t="n">
        <v>0.5</v>
      </c>
      <c r="J516" t="n">
        <v>1</v>
      </c>
      <c r="K516" t="n">
        <v>1</v>
      </c>
      <c r="L516" t="n">
        <v>0</v>
      </c>
      <c r="M516" t="n">
        <v>0</v>
      </c>
      <c r="N516" t="n">
        <v>2</v>
      </c>
      <c r="O516" s="1">
        <f>IFERROR(L516*G516,0)</f>
        <v/>
      </c>
      <c r="P516">
        <f>IF(N516-L516-M516&gt;0,N516-L516-M516,0)</f>
        <v/>
      </c>
      <c r="Q516" s="1">
        <f>IFERROR(P516*G516,0)</f>
        <v/>
      </c>
    </row>
    <row r="517">
      <c r="A517" t="inlineStr">
        <is>
          <t>6M02H0</t>
        </is>
      </c>
      <c r="B517" t="inlineStr">
        <is>
          <t>DDM 10/10 - 6M02H0 - 600W 4P 220V-1Ph</t>
        </is>
      </c>
      <c r="C517" t="inlineStr">
        <is>
          <t>FM - NICOTRA</t>
        </is>
      </c>
      <c r="D517" t="n">
        <v>33</v>
      </c>
      <c r="E517" t="n">
        <v>0</v>
      </c>
      <c r="F517" t="inlineStr"/>
      <c r="G517" s="1" t="n">
        <v>0</v>
      </c>
      <c r="H517" t="n">
        <v>2</v>
      </c>
      <c r="I517" t="n">
        <v>0.5</v>
      </c>
      <c r="J517" t="n">
        <v>1</v>
      </c>
      <c r="K517" t="n">
        <v>1</v>
      </c>
      <c r="L517" t="n">
        <v>0</v>
      </c>
      <c r="M517" t="n">
        <v>0</v>
      </c>
      <c r="N517" t="n">
        <v>2</v>
      </c>
      <c r="O517" s="1">
        <f>IFERROR(L517*G517,0)</f>
        <v/>
      </c>
      <c r="P517">
        <f>IF(N517-L517-M517&gt;0,N517-L517-M517,0)</f>
        <v/>
      </c>
      <c r="Q517" s="1">
        <f>IFERROR(P517*G517,0)</f>
        <v/>
      </c>
    </row>
    <row r="518">
      <c r="A518" t="inlineStr">
        <is>
          <t>6M02H4</t>
        </is>
      </c>
      <c r="B518" t="inlineStr">
        <is>
          <t>DDM 10/8 - 6M02H4 - 550W 4P 230V-1Ph</t>
        </is>
      </c>
      <c r="C518" t="inlineStr">
        <is>
          <t>FM - NICOTRA</t>
        </is>
      </c>
      <c r="D518" t="n">
        <v>2</v>
      </c>
      <c r="E518" t="n">
        <v>0</v>
      </c>
      <c r="F518" t="inlineStr"/>
      <c r="G518" s="1" t="n">
        <v>0</v>
      </c>
      <c r="H518" t="n">
        <v>2</v>
      </c>
      <c r="I518" t="n">
        <v>0.5</v>
      </c>
      <c r="J518" t="n">
        <v>1</v>
      </c>
      <c r="K518" t="n">
        <v>1</v>
      </c>
      <c r="L518" t="n">
        <v>0</v>
      </c>
      <c r="M518" t="n">
        <v>0</v>
      </c>
      <c r="N518" t="n">
        <v>2</v>
      </c>
      <c r="O518" s="1">
        <f>IFERROR(L518*G518,0)</f>
        <v/>
      </c>
      <c r="P518">
        <f>IF(N518-L518-M518&gt;0,N518-L518-M518,0)</f>
        <v/>
      </c>
      <c r="Q518" s="1">
        <f>IFERROR(P518*G518,0)</f>
        <v/>
      </c>
    </row>
    <row r="519">
      <c r="A519" t="inlineStr">
        <is>
          <t>6M02H5</t>
        </is>
      </c>
      <c r="B519" t="inlineStr">
        <is>
          <t>DDM 10/8 - 6M02H5 - 600W 4P 380V</t>
        </is>
      </c>
      <c r="C519" t="inlineStr">
        <is>
          <t>FM - NICOTRA</t>
        </is>
      </c>
      <c r="D519" t="n">
        <v>1</v>
      </c>
      <c r="E519" t="n">
        <v>0</v>
      </c>
      <c r="F519" t="inlineStr"/>
      <c r="G519" s="1" t="n">
        <v>0</v>
      </c>
      <c r="H519" t="n">
        <v>1</v>
      </c>
      <c r="I519" t="n">
        <v>0.5</v>
      </c>
      <c r="J519" t="n">
        <v>1</v>
      </c>
      <c r="K519" t="n">
        <v>1</v>
      </c>
      <c r="L519" t="n">
        <v>0</v>
      </c>
      <c r="M519" t="n">
        <v>0</v>
      </c>
      <c r="N519" t="n">
        <v>2</v>
      </c>
      <c r="O519" s="1">
        <f>IFERROR(L519*G519,0)</f>
        <v/>
      </c>
      <c r="P519">
        <f>IF(N519-L519-M519&gt;0,N519-L519-M519,0)</f>
        <v/>
      </c>
      <c r="Q519" s="1">
        <f>IFERROR(P519*G519,0)</f>
        <v/>
      </c>
    </row>
    <row r="520">
      <c r="A520" t="inlineStr">
        <is>
          <t>6M02P4</t>
        </is>
      </c>
      <c r="B520" t="inlineStr">
        <is>
          <t>DDM 10/10 - 6M02P4 - 550W 4P 230V-1Ph</t>
        </is>
      </c>
      <c r="C520" t="inlineStr">
        <is>
          <t>FM - NICOTRA</t>
        </is>
      </c>
      <c r="D520" t="n">
        <v>26</v>
      </c>
      <c r="E520" t="n">
        <v>0</v>
      </c>
      <c r="F520" t="inlineStr"/>
      <c r="G520" s="1" t="n">
        <v>0</v>
      </c>
      <c r="H520" t="n">
        <v>20</v>
      </c>
      <c r="I520" t="n">
        <v>0.5</v>
      </c>
      <c r="J520" t="n">
        <v>1</v>
      </c>
      <c r="K520" t="n">
        <v>1</v>
      </c>
      <c r="L520" t="n">
        <v>0</v>
      </c>
      <c r="M520" t="n">
        <v>0</v>
      </c>
      <c r="N520" t="n">
        <v>2</v>
      </c>
      <c r="O520" s="1">
        <f>IFERROR(L520*G520,0)</f>
        <v/>
      </c>
      <c r="P520">
        <f>IF(N520-L520-M520&gt;0,N520-L520-M520,0)</f>
        <v/>
      </c>
      <c r="Q520" s="1">
        <f>IFERROR(P520*G520,0)</f>
        <v/>
      </c>
    </row>
    <row r="521">
      <c r="A521" t="inlineStr">
        <is>
          <t>6M02R7</t>
        </is>
      </c>
      <c r="B521" t="inlineStr">
        <is>
          <t>DDM 10/10 - 6M02R7 - 500W 6P 230V-1Ph</t>
        </is>
      </c>
      <c r="C521" t="inlineStr">
        <is>
          <t>FM - NICOTRA</t>
        </is>
      </c>
      <c r="D521" t="n">
        <v>30</v>
      </c>
      <c r="E521" t="n">
        <v>0</v>
      </c>
      <c r="F521" t="inlineStr"/>
      <c r="G521" s="1" t="n">
        <v>0</v>
      </c>
      <c r="H521" t="n">
        <v>1</v>
      </c>
      <c r="I521" t="n">
        <v>0.5</v>
      </c>
      <c r="J521" t="n">
        <v>1</v>
      </c>
      <c r="K521" t="n">
        <v>1</v>
      </c>
      <c r="L521" t="n">
        <v>0</v>
      </c>
      <c r="M521" t="n">
        <v>0</v>
      </c>
      <c r="N521" t="n">
        <v>2</v>
      </c>
      <c r="O521" s="1">
        <f>IFERROR(L521*G521,0)</f>
        <v/>
      </c>
      <c r="P521">
        <f>IF(N521-L521-M521&gt;0,N521-L521-M521,0)</f>
        <v/>
      </c>
      <c r="Q521" s="1">
        <f>IFERROR(P521*G521,0)</f>
        <v/>
      </c>
    </row>
    <row r="522">
      <c r="A522" t="inlineStr">
        <is>
          <t>6M02R9</t>
        </is>
      </c>
      <c r="B522" t="inlineStr">
        <is>
          <t>DDM 9/9 - 6M02R9 - 550W 4P 220V-1Ph</t>
        </is>
      </c>
      <c r="C522" t="inlineStr">
        <is>
          <t>FM - NICOTRA</t>
        </is>
      </c>
      <c r="D522" t="n">
        <v>26</v>
      </c>
      <c r="E522" t="n">
        <v>6</v>
      </c>
      <c r="F522" t="inlineStr">
        <is>
          <t>Regal Beloit Italy S.p.A - Nicotra .</t>
        </is>
      </c>
      <c r="G522" s="1" t="n">
        <v>2986.83</v>
      </c>
      <c r="H522" t="n">
        <v>7</v>
      </c>
      <c r="I522" t="n">
        <v>0.5</v>
      </c>
      <c r="J522" t="n">
        <v>1</v>
      </c>
      <c r="K522" t="n">
        <v>1</v>
      </c>
      <c r="L522" t="n">
        <v>0</v>
      </c>
      <c r="M522" t="n">
        <v>0</v>
      </c>
      <c r="N522" t="n">
        <v>2</v>
      </c>
      <c r="O522" s="1">
        <f>IFERROR(L522*G522,0)</f>
        <v/>
      </c>
      <c r="P522">
        <f>IF(N522-L522-M522&gt;0,N522-L522-M522,0)</f>
        <v/>
      </c>
      <c r="Q522" s="1">
        <f>IFERROR(P522*G522,0)</f>
        <v/>
      </c>
    </row>
    <row r="523">
      <c r="A523" t="inlineStr">
        <is>
          <t>6M0629</t>
        </is>
      </c>
      <c r="B523" t="inlineStr">
        <is>
          <t>DD 9/7 - 6M0629 - 373W 4P 220V - 13Ph</t>
        </is>
      </c>
      <c r="C523" t="inlineStr">
        <is>
          <t>FM - NICOTRA</t>
        </is>
      </c>
      <c r="D523" t="n">
        <v>32</v>
      </c>
      <c r="E523" t="n">
        <v>0</v>
      </c>
      <c r="F523" t="inlineStr"/>
      <c r="G523" s="1" t="n">
        <v>0</v>
      </c>
      <c r="H523" t="n">
        <v>3</v>
      </c>
      <c r="I523" t="n">
        <v>0.5</v>
      </c>
      <c r="J523" t="n">
        <v>1</v>
      </c>
      <c r="K523" t="n">
        <v>1</v>
      </c>
      <c r="L523" t="n">
        <v>0</v>
      </c>
      <c r="M523" t="n">
        <v>0</v>
      </c>
      <c r="N523" t="n">
        <v>2</v>
      </c>
      <c r="O523" s="1">
        <f>IFERROR(L523*G523,0)</f>
        <v/>
      </c>
      <c r="P523">
        <f>IF(N523-L523-M523&gt;0,N523-L523-M523,0)</f>
        <v/>
      </c>
      <c r="Q523" s="1">
        <f>IFERROR(P523*G523,0)</f>
        <v/>
      </c>
    </row>
    <row r="524">
      <c r="A524" t="inlineStr">
        <is>
          <t>6M0631</t>
        </is>
      </c>
      <c r="B524" t="inlineStr">
        <is>
          <t>DD 10/8 - 6M0631 - 373W 4P 220V - 1Ph</t>
        </is>
      </c>
      <c r="C524" t="inlineStr">
        <is>
          <t>FM - NICOTRA</t>
        </is>
      </c>
      <c r="D524" t="n">
        <v>10</v>
      </c>
      <c r="E524" t="n">
        <v>0</v>
      </c>
      <c r="F524" t="inlineStr"/>
      <c r="G524" s="1" t="n">
        <v>0</v>
      </c>
      <c r="H524" t="n">
        <v>2</v>
      </c>
      <c r="I524" t="n">
        <v>0.5</v>
      </c>
      <c r="J524" t="n">
        <v>1</v>
      </c>
      <c r="K524" t="n">
        <v>1</v>
      </c>
      <c r="L524" t="n">
        <v>0</v>
      </c>
      <c r="M524" t="n">
        <v>0</v>
      </c>
      <c r="N524" t="n">
        <v>2</v>
      </c>
      <c r="O524" s="1">
        <f>IFERROR(L524*G524,0)</f>
        <v/>
      </c>
      <c r="P524">
        <f>IF(N524-L524-M524&gt;0,N524-L524-M524,0)</f>
        <v/>
      </c>
      <c r="Q524" s="1">
        <f>IFERROR(P524*G524,0)</f>
        <v/>
      </c>
    </row>
    <row r="525">
      <c r="A525" t="inlineStr">
        <is>
          <t>6M066N</t>
        </is>
      </c>
      <c r="B525" t="inlineStr">
        <is>
          <t>DD 9/9 - 6M066N - 550W 4P 220V - 1Ph</t>
        </is>
      </c>
      <c r="C525" t="inlineStr">
        <is>
          <t>FM - NICOTRA</t>
        </is>
      </c>
      <c r="D525" t="n">
        <v>15</v>
      </c>
      <c r="E525" t="n">
        <v>0</v>
      </c>
      <c r="F525" t="inlineStr"/>
      <c r="G525" s="1" t="n">
        <v>0</v>
      </c>
      <c r="H525" t="n">
        <v>9</v>
      </c>
      <c r="I525" t="n">
        <v>0.5</v>
      </c>
      <c r="J525" t="n">
        <v>1</v>
      </c>
      <c r="K525" t="n">
        <v>1</v>
      </c>
      <c r="L525" t="n">
        <v>0</v>
      </c>
      <c r="M525" t="n">
        <v>0</v>
      </c>
      <c r="N525" t="n">
        <v>2</v>
      </c>
      <c r="O525" s="1">
        <f>IFERROR(L525*G525,0)</f>
        <v/>
      </c>
      <c r="P525">
        <f>IF(N525-L525-M525&gt;0,N525-L525-M525,0)</f>
        <v/>
      </c>
      <c r="Q525" s="1">
        <f>IFERROR(P525*G525,0)</f>
        <v/>
      </c>
    </row>
    <row r="526">
      <c r="A526" t="inlineStr">
        <is>
          <t>6M0697</t>
        </is>
      </c>
      <c r="B526" t="inlineStr">
        <is>
          <t>DD 9/9 - 6M0697 - 300W 4P 220V - 1Ph</t>
        </is>
      </c>
      <c r="C526" t="inlineStr">
        <is>
          <t>FM - NICOTRA</t>
        </is>
      </c>
      <c r="D526" t="n">
        <v>29</v>
      </c>
      <c r="E526" t="n">
        <v>0</v>
      </c>
      <c r="F526" t="inlineStr"/>
      <c r="G526" s="1" t="n">
        <v>0</v>
      </c>
      <c r="H526" t="n">
        <v>13</v>
      </c>
      <c r="I526" t="n">
        <v>0.5</v>
      </c>
      <c r="J526" t="n">
        <v>1</v>
      </c>
      <c r="K526" t="n">
        <v>1</v>
      </c>
      <c r="L526" t="n">
        <v>0</v>
      </c>
      <c r="M526" t="n">
        <v>0</v>
      </c>
      <c r="N526" t="n">
        <v>2</v>
      </c>
      <c r="O526" s="1">
        <f>IFERROR(L526*G526,0)</f>
        <v/>
      </c>
      <c r="P526">
        <f>IF(N526-L526-M526&gt;0,N526-L526-M526,0)</f>
        <v/>
      </c>
      <c r="Q526" s="1">
        <f>IFERROR(P526*G526,0)</f>
        <v/>
      </c>
    </row>
    <row r="527">
      <c r="A527" t="inlineStr">
        <is>
          <t>6N02R9</t>
        </is>
      </c>
      <c r="B527" t="inlineStr">
        <is>
          <t>DDM 9/9 - 6N02R9 - 550W 4P 220V-1Ph</t>
        </is>
      </c>
      <c r="C527" t="inlineStr"/>
      <c r="D527" t="n">
        <v>1</v>
      </c>
      <c r="E527" t="n">
        <v>0</v>
      </c>
      <c r="F527" t="inlineStr"/>
      <c r="G527" s="1" t="n">
        <v>0</v>
      </c>
      <c r="H527" t="n">
        <v>4</v>
      </c>
      <c r="I527" t="n">
        <v>0.5</v>
      </c>
      <c r="J527" t="n">
        <v>4</v>
      </c>
      <c r="K527" t="n">
        <v>2</v>
      </c>
      <c r="L527" t="n">
        <v>0</v>
      </c>
      <c r="M527" t="n">
        <v>0</v>
      </c>
      <c r="N527" t="n">
        <v>10</v>
      </c>
      <c r="O527" s="1">
        <f>IFERROR(L527*G527,0)</f>
        <v/>
      </c>
      <c r="P527">
        <f>IF(N527-L527-M527&gt;0,N527-L527-M527,0)</f>
        <v/>
      </c>
      <c r="Q527" s="1">
        <f>IFERROR(P527*G527,0)</f>
        <v/>
      </c>
    </row>
    <row r="528">
      <c r="A528" t="inlineStr">
        <is>
          <t>6N02XF</t>
        </is>
      </c>
      <c r="B528" t="inlineStr">
        <is>
          <t>DDM 10/10 E6G2503 1F 4P 1V</t>
        </is>
      </c>
      <c r="C528" t="inlineStr"/>
      <c r="D528" t="n">
        <v>1</v>
      </c>
      <c r="E528" t="n">
        <v>10</v>
      </c>
      <c r="F528" t="inlineStr">
        <is>
          <t>Regal Beloit Italy S.p.A - Nicotra .</t>
        </is>
      </c>
      <c r="G528" s="1" t="n">
        <v>3763.11</v>
      </c>
      <c r="H528" t="n">
        <v>0</v>
      </c>
      <c r="I528" t="n">
        <v>0.9</v>
      </c>
      <c r="J528" t="n">
        <v>10</v>
      </c>
      <c r="K528" t="n">
        <v>9</v>
      </c>
      <c r="L528" t="n">
        <v>0</v>
      </c>
      <c r="M528" t="n">
        <v>0</v>
      </c>
      <c r="N528" t="n">
        <v>29</v>
      </c>
      <c r="O528" s="1">
        <f>IFERROR(L528*G528,0)</f>
        <v/>
      </c>
      <c r="P528">
        <f>IF(N528-L528-M528&gt;0,N528-L528-M528,0)</f>
        <v/>
      </c>
      <c r="Q528" s="1">
        <f>IFERROR(P528*G528,0)</f>
        <v/>
      </c>
    </row>
    <row r="529">
      <c r="A529" t="inlineStr">
        <is>
          <t>6N0320</t>
        </is>
      </c>
      <c r="B529" t="inlineStr">
        <is>
          <t>DD 12/12 - 6N0320 - 1100W 6P 400V 3Ph</t>
        </is>
      </c>
      <c r="C529" t="inlineStr">
        <is>
          <t>FM - NICOTRA</t>
        </is>
      </c>
      <c r="D529" t="n">
        <v>7</v>
      </c>
      <c r="E529" t="n">
        <v>0</v>
      </c>
      <c r="F529" t="inlineStr"/>
      <c r="G529" s="1" t="n">
        <v>0</v>
      </c>
      <c r="H529" t="n">
        <v>14</v>
      </c>
      <c r="I529" t="n">
        <v>0.5</v>
      </c>
      <c r="J529" t="n">
        <v>2</v>
      </c>
      <c r="K529" t="n">
        <v>1</v>
      </c>
      <c r="L529" t="n">
        <v>0</v>
      </c>
      <c r="M529" t="n">
        <v>0</v>
      </c>
      <c r="N529" t="n">
        <v>5</v>
      </c>
      <c r="O529" s="1">
        <f>IFERROR(L529*G529,0)</f>
        <v/>
      </c>
      <c r="P529">
        <f>IF(N529-L529-M529&gt;0,N529-L529-M529,0)</f>
        <v/>
      </c>
      <c r="Q529" s="1">
        <f>IFERROR(P529*G529,0)</f>
        <v/>
      </c>
    </row>
    <row r="530">
      <c r="A530" t="inlineStr">
        <is>
          <t>6X4 HOT RUBBER CBK</t>
        </is>
      </c>
      <c r="B530" t="inlineStr">
        <is>
          <t>6X4 HOT RUBBER CBK</t>
        </is>
      </c>
      <c r="C530" t="inlineStr"/>
      <c r="D530" t="n">
        <v>1</v>
      </c>
      <c r="E530" t="n">
        <v>10</v>
      </c>
      <c r="F530" t="inlineStr">
        <is>
          <t>ABNER ELECTRICAL WHOLESALERS (PTY) LTD</t>
        </is>
      </c>
      <c r="G530" s="1" t="n">
        <v>92.5</v>
      </c>
      <c r="H530" t="n">
        <v>0</v>
      </c>
      <c r="I530" t="n">
        <v>0.5</v>
      </c>
      <c r="J530" t="n">
        <v>10</v>
      </c>
      <c r="K530" t="n">
        <v>5</v>
      </c>
      <c r="L530" t="n">
        <v>0</v>
      </c>
      <c r="M530" t="n">
        <v>0</v>
      </c>
      <c r="N530" t="n">
        <v>25</v>
      </c>
      <c r="O530" s="1">
        <f>IFERROR(L530*G530,0)</f>
        <v/>
      </c>
      <c r="P530">
        <f>IF(N530-L530-M530&gt;0,N530-L530-M530,0)</f>
        <v/>
      </c>
      <c r="Q530" s="1">
        <f>IFERROR(P530*G530,0)</f>
        <v/>
      </c>
    </row>
    <row r="531">
      <c r="A531" t="inlineStr">
        <is>
          <t>6mmEW</t>
        </is>
      </c>
      <c r="B531" t="inlineStr">
        <is>
          <t>End Washer - 43mm OD and 6mm ID - Plated</t>
        </is>
      </c>
      <c r="C531" t="inlineStr"/>
      <c r="D531" t="n">
        <v>1</v>
      </c>
      <c r="E531" t="n">
        <v>16</v>
      </c>
      <c r="F531" t="inlineStr">
        <is>
          <t>Mafilisti Trading and Projects (Pty) Ltd</t>
        </is>
      </c>
      <c r="G531" s="1" t="n">
        <v>14</v>
      </c>
      <c r="H531" t="n">
        <v>0</v>
      </c>
      <c r="I531" t="n">
        <v>0.5</v>
      </c>
      <c r="J531" t="n">
        <v>16</v>
      </c>
      <c r="K531" t="n">
        <v>8</v>
      </c>
      <c r="L531" t="n">
        <v>0</v>
      </c>
      <c r="M531" t="n">
        <v>0</v>
      </c>
      <c r="N531" t="n">
        <v>40</v>
      </c>
      <c r="O531" s="1">
        <f>IFERROR(L531*G531,0)</f>
        <v/>
      </c>
      <c r="P531">
        <f>IF(N531-L531-M531&gt;0,N531-L531-M531,0)</f>
        <v/>
      </c>
      <c r="Q531" s="1">
        <f>IFERROR(P531*G531,0)</f>
        <v/>
      </c>
    </row>
    <row r="532">
      <c r="A532" t="inlineStr">
        <is>
          <t>7.523PM</t>
        </is>
      </c>
      <c r="B532" t="inlineStr">
        <is>
          <t>7.5kW 2P 380V Pad Mount Motor</t>
        </is>
      </c>
      <c r="C532" t="inlineStr">
        <is>
          <t>FM - MOTOR</t>
        </is>
      </c>
      <c r="D532" t="n">
        <v>1</v>
      </c>
      <c r="E532" t="n">
        <v>5</v>
      </c>
      <c r="F532" t="inlineStr">
        <is>
          <t>ACTOM</t>
        </is>
      </c>
      <c r="G532" s="1" t="n">
        <v>2722.8</v>
      </c>
      <c r="H532" t="n">
        <v>0</v>
      </c>
      <c r="I532" t="n">
        <v>0.9</v>
      </c>
      <c r="J532" t="n">
        <v>5</v>
      </c>
      <c r="K532" t="n">
        <v>4</v>
      </c>
      <c r="L532" t="n">
        <v>0</v>
      </c>
      <c r="M532" t="n">
        <v>0</v>
      </c>
      <c r="N532" t="n">
        <v>14</v>
      </c>
      <c r="O532" s="1">
        <f>IFERROR(L532*G532,0)</f>
        <v/>
      </c>
      <c r="P532">
        <f>IF(N532-L532-M532&gt;0,N532-L532-M532,0)</f>
        <v/>
      </c>
      <c r="Q532" s="1">
        <f>IFERROR(P532*G532,0)</f>
        <v/>
      </c>
    </row>
    <row r="533">
      <c r="A533" t="inlineStr">
        <is>
          <t>7.52FM</t>
        </is>
      </c>
      <c r="B533" t="inlineStr">
        <is>
          <t>7.5KW 2P 400V FOOT</t>
        </is>
      </c>
      <c r="C533" t="inlineStr"/>
      <c r="D533" t="n">
        <v>1</v>
      </c>
      <c r="E533" t="n">
        <v>1</v>
      </c>
      <c r="F533" t="inlineStr">
        <is>
          <t>ACTOM</t>
        </is>
      </c>
      <c r="G533" s="1" t="n">
        <v>5648</v>
      </c>
      <c r="H533" t="n">
        <v>0</v>
      </c>
      <c r="I533" t="n">
        <v>1.7</v>
      </c>
      <c r="J533" t="n">
        <v>1</v>
      </c>
      <c r="K533" t="n">
        <v>2</v>
      </c>
      <c r="L533" t="n">
        <v>0</v>
      </c>
      <c r="M533" t="n">
        <v>0</v>
      </c>
      <c r="N533" t="n">
        <v>4</v>
      </c>
      <c r="O533" s="1">
        <f>IFERROR(L533*G533,0)</f>
        <v/>
      </c>
      <c r="P533">
        <f>IF(N533-L533-M533&gt;0,N533-L533-M533,0)</f>
        <v/>
      </c>
      <c r="Q533" s="1">
        <f>IFERROR(P533*G533,0)</f>
        <v/>
      </c>
    </row>
    <row r="534">
      <c r="A534" t="inlineStr">
        <is>
          <t>7.543FM</t>
        </is>
      </c>
      <c r="B534" t="inlineStr">
        <is>
          <t>7.5kW 4P 400V B3 Alum QL3 Foot Mount</t>
        </is>
      </c>
      <c r="C534" t="inlineStr"/>
      <c r="D534" t="n">
        <v>7</v>
      </c>
      <c r="E534" t="n">
        <v>6</v>
      </c>
      <c r="F534" t="inlineStr">
        <is>
          <t>ACTOM</t>
        </is>
      </c>
      <c r="G534" s="1" t="n">
        <v>5973</v>
      </c>
      <c r="H534" t="n">
        <v>0</v>
      </c>
      <c r="I534" t="n">
        <v>1.4</v>
      </c>
      <c r="J534" t="n">
        <v>1</v>
      </c>
      <c r="K534" t="n">
        <v>1</v>
      </c>
      <c r="L534" t="n">
        <v>0</v>
      </c>
      <c r="M534" t="n">
        <v>0</v>
      </c>
      <c r="N534" t="n">
        <v>3</v>
      </c>
      <c r="O534" s="1">
        <f>IFERROR(L534*G534,0)</f>
        <v/>
      </c>
      <c r="P534">
        <f>IF(N534-L534-M534&gt;0,N534-L534-M534,0)</f>
        <v/>
      </c>
      <c r="Q534" s="1">
        <f>IFERROR(P534*G534,0)</f>
        <v/>
      </c>
    </row>
    <row r="535">
      <c r="A535" t="inlineStr">
        <is>
          <t>7.543PM</t>
        </is>
      </c>
      <c r="B535" t="inlineStr">
        <is>
          <t>7.5kW 4P 380V Pad Mount Motor</t>
        </is>
      </c>
      <c r="C535" t="inlineStr">
        <is>
          <t>FM - MOTOR</t>
        </is>
      </c>
      <c r="D535" t="n">
        <v>17</v>
      </c>
      <c r="E535" t="n">
        <v>12</v>
      </c>
      <c r="F535" t="inlineStr">
        <is>
          <t>ACTOM</t>
        </is>
      </c>
      <c r="G535" s="1" t="n">
        <v>5434.17</v>
      </c>
      <c r="H535" t="n">
        <v>0</v>
      </c>
      <c r="I535" t="n">
        <v>0.6</v>
      </c>
      <c r="J535" t="n">
        <v>1</v>
      </c>
      <c r="K535" t="n">
        <v>1</v>
      </c>
      <c r="L535" t="n">
        <v>0</v>
      </c>
      <c r="M535" t="n">
        <v>0</v>
      </c>
      <c r="N535" t="n">
        <v>3</v>
      </c>
      <c r="O535" s="1">
        <f>IFERROR(L535*G535,0)</f>
        <v/>
      </c>
      <c r="P535">
        <f>IF(N535-L535-M535&gt;0,N535-L535-M535,0)</f>
        <v/>
      </c>
      <c r="Q535" s="1">
        <f>IFERROR(P535*G535,0)</f>
        <v/>
      </c>
    </row>
    <row r="536">
      <c r="A536" t="inlineStr">
        <is>
          <t>7.5kW</t>
        </is>
      </c>
      <c r="B536" t="inlineStr">
        <is>
          <t>4Pole 380V IE1 B3 Cast Iron Foot Mount</t>
        </is>
      </c>
      <c r="C536" t="inlineStr"/>
      <c r="D536" t="n">
        <v>10</v>
      </c>
      <c r="E536" t="n">
        <v>1</v>
      </c>
      <c r="F536" t="inlineStr">
        <is>
          <t>ACTOM</t>
        </is>
      </c>
      <c r="G536" s="1" t="n">
        <v>6176</v>
      </c>
      <c r="H536" t="n">
        <v>1</v>
      </c>
      <c r="I536" t="n">
        <v>0.7</v>
      </c>
      <c r="J536" t="n">
        <v>1</v>
      </c>
      <c r="K536" t="n">
        <v>1</v>
      </c>
      <c r="L536" t="n">
        <v>0</v>
      </c>
      <c r="M536" t="n">
        <v>0</v>
      </c>
      <c r="N536" t="n">
        <v>3</v>
      </c>
      <c r="O536" s="1">
        <f>IFERROR(L536*G536,0)</f>
        <v/>
      </c>
      <c r="P536">
        <f>IF(N536-L536-M536&gt;0,N536-L536-M536,0)</f>
        <v/>
      </c>
      <c r="Q536" s="1">
        <f>IFERROR(P536*G536,0)</f>
        <v/>
      </c>
    </row>
    <row r="537">
      <c r="A537" t="inlineStr">
        <is>
          <t>7000034</t>
        </is>
      </c>
      <c r="B537" t="inlineStr">
        <is>
          <t>CDC 100 - 7000034 - CDC 100C</t>
        </is>
      </c>
      <c r="C537" t="inlineStr">
        <is>
          <t>FM - OSTBERG</t>
        </is>
      </c>
      <c r="D537" t="n">
        <v>18</v>
      </c>
      <c r="E537" t="n">
        <v>0</v>
      </c>
      <c r="F537" t="inlineStr"/>
      <c r="G537" s="1" t="n">
        <v>0</v>
      </c>
      <c r="H537" t="n">
        <v>10</v>
      </c>
      <c r="I537" t="n">
        <v>0.5</v>
      </c>
      <c r="J537" t="n">
        <v>1</v>
      </c>
      <c r="K537" t="n">
        <v>1</v>
      </c>
      <c r="L537" t="n">
        <v>0</v>
      </c>
      <c r="M537" t="n">
        <v>0</v>
      </c>
      <c r="N537" t="n">
        <v>2</v>
      </c>
      <c r="O537" s="1">
        <f>IFERROR(L537*G537,0)</f>
        <v/>
      </c>
      <c r="P537">
        <f>IF(N537-L537-M537&gt;0,N537-L537-M537,0)</f>
        <v/>
      </c>
      <c r="Q537" s="1">
        <f>IFERROR(P537*G537,0)</f>
        <v/>
      </c>
    </row>
    <row r="538">
      <c r="A538" t="inlineStr">
        <is>
          <t>7000037</t>
        </is>
      </c>
      <c r="B538" t="inlineStr">
        <is>
          <t>CDC 125 - 7000037 - CDC 125C</t>
        </is>
      </c>
      <c r="C538" t="inlineStr">
        <is>
          <t>FM - OSTBERG</t>
        </is>
      </c>
      <c r="D538" t="n">
        <v>16</v>
      </c>
      <c r="E538" t="n">
        <v>0</v>
      </c>
      <c r="F538" t="inlineStr"/>
      <c r="G538" s="1" t="n">
        <v>0</v>
      </c>
      <c r="H538" t="n">
        <v>17</v>
      </c>
      <c r="I538" t="n">
        <v>0.5</v>
      </c>
      <c r="J538" t="n">
        <v>1.5</v>
      </c>
      <c r="K538" t="n">
        <v>1</v>
      </c>
      <c r="L538" t="n">
        <v>0</v>
      </c>
      <c r="M538" t="n">
        <v>0</v>
      </c>
      <c r="N538" t="n">
        <v>4</v>
      </c>
      <c r="O538" s="1">
        <f>IFERROR(L538*G538,0)</f>
        <v/>
      </c>
      <c r="P538">
        <f>IF(N538-L538-M538&gt;0,N538-L538-M538,0)</f>
        <v/>
      </c>
      <c r="Q538" s="1">
        <f>IFERROR(P538*G538,0)</f>
        <v/>
      </c>
    </row>
    <row r="539">
      <c r="A539" t="inlineStr">
        <is>
          <t>7000043</t>
        </is>
      </c>
      <c r="B539" t="inlineStr">
        <is>
          <t>CDC 150 - 7000043 - CDC 150C</t>
        </is>
      </c>
      <c r="C539" t="inlineStr">
        <is>
          <t>FM - OSTBERG</t>
        </is>
      </c>
      <c r="D539" t="n">
        <v>9</v>
      </c>
      <c r="E539" t="n">
        <v>0</v>
      </c>
      <c r="F539" t="inlineStr"/>
      <c r="G539" s="1" t="n">
        <v>0</v>
      </c>
      <c r="H539" t="n">
        <v>20</v>
      </c>
      <c r="I539" t="n">
        <v>0.5</v>
      </c>
      <c r="J539" t="n">
        <v>2.5</v>
      </c>
      <c r="K539" t="n">
        <v>1</v>
      </c>
      <c r="L539" t="n">
        <v>0</v>
      </c>
      <c r="M539" t="n">
        <v>0</v>
      </c>
      <c r="N539" t="n">
        <v>6</v>
      </c>
      <c r="O539" s="1">
        <f>IFERROR(L539*G539,0)</f>
        <v/>
      </c>
      <c r="P539">
        <f>IF(N539-L539-M539&gt;0,N539-L539-M539,0)</f>
        <v/>
      </c>
      <c r="Q539" s="1">
        <f>IFERROR(P539*G539,0)</f>
        <v/>
      </c>
    </row>
    <row r="540">
      <c r="A540" t="inlineStr">
        <is>
          <t>7000048</t>
        </is>
      </c>
      <c r="B540" t="inlineStr">
        <is>
          <t>CDC 160 - 7000048 - CDC160B</t>
        </is>
      </c>
      <c r="C540" t="inlineStr">
        <is>
          <t>FM - OSTBERG</t>
        </is>
      </c>
      <c r="D540" t="n">
        <v>25</v>
      </c>
      <c r="E540" t="n">
        <v>0</v>
      </c>
      <c r="F540" t="inlineStr"/>
      <c r="G540" s="1" t="n">
        <v>0</v>
      </c>
      <c r="H540" t="n">
        <v>24</v>
      </c>
      <c r="I540" t="n">
        <v>0.5</v>
      </c>
      <c r="J540" t="n">
        <v>1</v>
      </c>
      <c r="K540" t="n">
        <v>1</v>
      </c>
      <c r="L540" t="n">
        <v>0</v>
      </c>
      <c r="M540" t="n">
        <v>0</v>
      </c>
      <c r="N540" t="n">
        <v>2</v>
      </c>
      <c r="O540" s="1">
        <f>IFERROR(L540*G540,0)</f>
        <v/>
      </c>
      <c r="P540">
        <f>IF(N540-L540-M540&gt;0,N540-L540-M540,0)</f>
        <v/>
      </c>
      <c r="Q540" s="1">
        <f>IFERROR(P540*G540,0)</f>
        <v/>
      </c>
    </row>
    <row r="541">
      <c r="A541" t="inlineStr">
        <is>
          <t>7000053</t>
        </is>
      </c>
      <c r="B541" t="inlineStr">
        <is>
          <t>CDC 200/0.8 - 7000053 - CDC200A</t>
        </is>
      </c>
      <c r="C541" t="inlineStr">
        <is>
          <t>FM - OSTBERG</t>
        </is>
      </c>
      <c r="D541" t="n">
        <v>3</v>
      </c>
      <c r="E541" t="n">
        <v>0</v>
      </c>
      <c r="F541" t="inlineStr"/>
      <c r="G541" s="1" t="n">
        <v>0</v>
      </c>
      <c r="H541" t="n">
        <v>14</v>
      </c>
      <c r="I541" t="n">
        <v>0.5</v>
      </c>
      <c r="J541" t="n">
        <v>5</v>
      </c>
      <c r="K541" t="n">
        <v>2</v>
      </c>
      <c r="L541" t="n">
        <v>0</v>
      </c>
      <c r="M541" t="n">
        <v>0</v>
      </c>
      <c r="N541" t="n">
        <v>12</v>
      </c>
      <c r="O541" s="1">
        <f>IFERROR(L541*G541,0)</f>
        <v/>
      </c>
      <c r="P541">
        <f>IF(N541-L541-M541&gt;0,N541-L541-M541,0)</f>
        <v/>
      </c>
      <c r="Q541" s="1">
        <f>IFERROR(P541*G541,0)</f>
        <v/>
      </c>
    </row>
    <row r="542">
      <c r="A542" t="inlineStr">
        <is>
          <t>7000057</t>
        </is>
      </c>
      <c r="B542" t="inlineStr">
        <is>
          <t>CDC 200/0.8 - 7000057 - CDC200B</t>
        </is>
      </c>
      <c r="C542" t="inlineStr">
        <is>
          <t>FM - OSTBERG</t>
        </is>
      </c>
      <c r="D542" t="n">
        <v>3</v>
      </c>
      <c r="E542" t="n">
        <v>0</v>
      </c>
      <c r="F542" t="inlineStr"/>
      <c r="G542" s="1" t="n">
        <v>0</v>
      </c>
      <c r="H542" t="n">
        <v>5</v>
      </c>
      <c r="I542" t="n">
        <v>0.5</v>
      </c>
      <c r="J542" t="n">
        <v>2</v>
      </c>
      <c r="K542" t="n">
        <v>1</v>
      </c>
      <c r="L542" t="n">
        <v>0</v>
      </c>
      <c r="M542" t="n">
        <v>0</v>
      </c>
      <c r="N542" t="n">
        <v>5</v>
      </c>
      <c r="O542" s="1">
        <f>IFERROR(L542*G542,0)</f>
        <v/>
      </c>
      <c r="P542">
        <f>IF(N542-L542-M542&gt;0,N542-L542-M542,0)</f>
        <v/>
      </c>
      <c r="Q542" s="1">
        <f>IFERROR(P542*G542,0)</f>
        <v/>
      </c>
    </row>
    <row r="543">
      <c r="A543" t="inlineStr">
        <is>
          <t>7000067</t>
        </is>
      </c>
      <c r="B543" t="inlineStr">
        <is>
          <t>CDC315 - 7000067 - CDC315B</t>
        </is>
      </c>
      <c r="C543" t="inlineStr">
        <is>
          <t>FM - OSTBERG</t>
        </is>
      </c>
      <c r="D543" t="n">
        <v>1</v>
      </c>
      <c r="E543" t="n">
        <v>3</v>
      </c>
      <c r="F543" t="inlineStr">
        <is>
          <t>Luft Industries Natal (Pty) Ltd</t>
        </is>
      </c>
      <c r="G543" s="1" t="n">
        <v>2024.25</v>
      </c>
      <c r="H543" t="n">
        <v>1</v>
      </c>
      <c r="I543" t="n">
        <v>0.5</v>
      </c>
      <c r="J543" t="n">
        <v>3</v>
      </c>
      <c r="K543" t="n">
        <v>2</v>
      </c>
      <c r="L543" t="n">
        <v>0</v>
      </c>
      <c r="M543" t="n">
        <v>0</v>
      </c>
      <c r="N543" t="n">
        <v>8</v>
      </c>
      <c r="O543" s="1">
        <f>IFERROR(L543*G543,0)</f>
        <v/>
      </c>
      <c r="P543">
        <f>IF(N543-L543-M543&gt;0,N543-L543-M543,0)</f>
        <v/>
      </c>
      <c r="Q543" s="1">
        <f>IFERROR(P543*G543,0)</f>
        <v/>
      </c>
    </row>
    <row r="544">
      <c r="A544" t="inlineStr">
        <is>
          <t>7000072</t>
        </is>
      </c>
      <c r="B544" t="inlineStr">
        <is>
          <t>CDC315 - 7000072 - CDC315C</t>
        </is>
      </c>
      <c r="C544" t="inlineStr">
        <is>
          <t>FM - OSTBERG</t>
        </is>
      </c>
      <c r="D544" t="n">
        <v>4</v>
      </c>
      <c r="E544" t="n">
        <v>0</v>
      </c>
      <c r="F544" t="inlineStr"/>
      <c r="G544" s="1" t="n">
        <v>0</v>
      </c>
      <c r="H544" t="n">
        <v>6</v>
      </c>
      <c r="I544" t="n">
        <v>0.5</v>
      </c>
      <c r="J544" t="n">
        <v>1.5</v>
      </c>
      <c r="K544" t="n">
        <v>1</v>
      </c>
      <c r="L544" t="n">
        <v>0</v>
      </c>
      <c r="M544" t="n">
        <v>0</v>
      </c>
      <c r="N544" t="n">
        <v>4</v>
      </c>
      <c r="O544" s="1">
        <f>IFERROR(L544*G544,0)</f>
        <v/>
      </c>
      <c r="P544">
        <f>IF(N544-L544-M544&gt;0,N544-L544-M544,0)</f>
        <v/>
      </c>
      <c r="Q544" s="1">
        <f>IFERROR(P544*G544,0)</f>
        <v/>
      </c>
    </row>
    <row r="545">
      <c r="A545" t="inlineStr">
        <is>
          <t>7000073</t>
        </is>
      </c>
      <c r="B545" t="inlineStr">
        <is>
          <t>LT6 - 6Amps</t>
        </is>
      </c>
      <c r="C545" t="inlineStr">
        <is>
          <t>FM - OSTBERG</t>
        </is>
      </c>
      <c r="D545" t="n">
        <v>31</v>
      </c>
      <c r="E545" t="n">
        <v>0</v>
      </c>
      <c r="F545" t="inlineStr"/>
      <c r="G545" s="1" t="n">
        <v>0</v>
      </c>
      <c r="H545" t="n">
        <v>20</v>
      </c>
      <c r="I545" t="n">
        <v>0.5</v>
      </c>
      <c r="J545" t="n">
        <v>1</v>
      </c>
      <c r="K545" t="n">
        <v>1</v>
      </c>
      <c r="L545" t="n">
        <v>0</v>
      </c>
      <c r="M545" t="n">
        <v>0</v>
      </c>
      <c r="N545" t="n">
        <v>2</v>
      </c>
      <c r="O545" s="1">
        <f>IFERROR(L545*G545,0)</f>
        <v/>
      </c>
      <c r="P545">
        <f>IF(N545-L545-M545&gt;0,N545-L545-M545,0)</f>
        <v/>
      </c>
      <c r="Q545" s="1">
        <f>IFERROR(P545*G545,0)</f>
        <v/>
      </c>
    </row>
    <row r="546">
      <c r="A546" t="inlineStr">
        <is>
          <t>7000074</t>
        </is>
      </c>
      <c r="B546" t="inlineStr">
        <is>
          <t>LT10 - 10 Amps</t>
        </is>
      </c>
      <c r="C546" t="inlineStr">
        <is>
          <t>FM - OSTBERG</t>
        </is>
      </c>
      <c r="D546" t="n">
        <v>1</v>
      </c>
      <c r="E546" t="n">
        <v>0</v>
      </c>
      <c r="F546" t="inlineStr"/>
      <c r="G546" s="1" t="n">
        <v>0</v>
      </c>
      <c r="H546" t="n">
        <v>1</v>
      </c>
      <c r="I546" t="n">
        <v>0.5</v>
      </c>
      <c r="J546" t="n">
        <v>1</v>
      </c>
      <c r="K546" t="n">
        <v>1</v>
      </c>
      <c r="L546" t="n">
        <v>0</v>
      </c>
      <c r="M546" t="n">
        <v>0</v>
      </c>
      <c r="N546" t="n">
        <v>2</v>
      </c>
      <c r="O546" s="1">
        <f>IFERROR(L546*G546,0)</f>
        <v/>
      </c>
      <c r="P546">
        <f>IF(N546-L546-M546&gt;0,N546-L546-M546,0)</f>
        <v/>
      </c>
      <c r="Q546" s="1">
        <f>IFERROR(P546*G546,0)</f>
        <v/>
      </c>
    </row>
    <row r="547">
      <c r="A547" t="inlineStr">
        <is>
          <t>71 FR 13.8</t>
        </is>
      </c>
      <c r="B547" t="inlineStr">
        <is>
          <t>71 Motor frame - 13.8 mm OD spacer</t>
        </is>
      </c>
      <c r="C547" t="inlineStr"/>
      <c r="D547" t="n">
        <v>3</v>
      </c>
      <c r="E547" t="n">
        <v>51</v>
      </c>
      <c r="F547" t="inlineStr">
        <is>
          <t>Hulmak Engineering cc</t>
        </is>
      </c>
      <c r="G547" s="1" t="n">
        <v>30</v>
      </c>
      <c r="H547" t="n">
        <v>0</v>
      </c>
      <c r="I547" t="n">
        <v>0.5</v>
      </c>
      <c r="J547" t="n">
        <v>17</v>
      </c>
      <c r="K547" t="n">
        <v>8</v>
      </c>
      <c r="L547" t="n">
        <v>0</v>
      </c>
      <c r="M547" t="n">
        <v>0</v>
      </c>
      <c r="N547" t="n">
        <v>42</v>
      </c>
      <c r="O547" s="1">
        <f>IFERROR(L547*G547,0)</f>
        <v/>
      </c>
      <c r="P547">
        <f>IF(N547-L547-M547&gt;0,N547-L547-M547,0)</f>
        <v/>
      </c>
      <c r="Q547" s="1">
        <f>IFERROR(P547*G547,0)</f>
        <v/>
      </c>
    </row>
    <row r="548">
      <c r="A548" t="inlineStr">
        <is>
          <t>710 B</t>
        </is>
      </c>
      <c r="B548" t="inlineStr">
        <is>
          <t>Blades</t>
        </is>
      </c>
      <c r="C548" t="inlineStr"/>
      <c r="D548" t="n">
        <v>1</v>
      </c>
      <c r="E548" t="n">
        <v>80</v>
      </c>
      <c r="F548" t="inlineStr">
        <is>
          <t>Centrifab (Pty) Ltd</t>
        </is>
      </c>
      <c r="G548" s="1" t="n">
        <v>310</v>
      </c>
      <c r="H548" t="n">
        <v>80</v>
      </c>
      <c r="I548" t="n">
        <v>0.5</v>
      </c>
      <c r="J548" t="n">
        <v>80</v>
      </c>
      <c r="K548" t="n">
        <v>40</v>
      </c>
      <c r="L548" t="n">
        <v>0</v>
      </c>
      <c r="M548" t="n">
        <v>0</v>
      </c>
      <c r="N548" t="n">
        <v>200</v>
      </c>
      <c r="O548" s="1">
        <f>IFERROR(L548*G548,0)</f>
        <v/>
      </c>
      <c r="P548">
        <f>IF(N548-L548-M548&gt;0,N548-L548-M548,0)</f>
        <v/>
      </c>
      <c r="Q548" s="1">
        <f>IFERROR(P548*G548,0)</f>
        <v/>
      </c>
    </row>
    <row r="549">
      <c r="A549" t="inlineStr">
        <is>
          <t>710 SI</t>
        </is>
      </c>
      <c r="B549" t="inlineStr">
        <is>
          <t>Spare Impeller</t>
        </is>
      </c>
      <c r="C549" t="inlineStr"/>
      <c r="D549" t="n">
        <v>1</v>
      </c>
      <c r="E549" t="n">
        <v>2</v>
      </c>
      <c r="F549" t="inlineStr">
        <is>
          <t>Luft Industries Natal (Pty) Ltd</t>
        </is>
      </c>
      <c r="G549" s="1" t="n">
        <v>2681.25</v>
      </c>
      <c r="H549" t="n">
        <v>0</v>
      </c>
      <c r="I549" t="n">
        <v>0.7</v>
      </c>
      <c r="J549" t="n">
        <v>2</v>
      </c>
      <c r="K549" t="n">
        <v>1</v>
      </c>
      <c r="L549" t="n">
        <v>0</v>
      </c>
      <c r="M549" t="n">
        <v>0</v>
      </c>
      <c r="N549" t="n">
        <v>5</v>
      </c>
      <c r="O549" s="1">
        <f>IFERROR(L549*G549,0)</f>
        <v/>
      </c>
      <c r="P549">
        <f>IF(N549-L549-M549&gt;0,N549-L549-M549,0)</f>
        <v/>
      </c>
      <c r="Q549" s="1">
        <f>IFERROR(P549*G549,0)</f>
        <v/>
      </c>
    </row>
    <row r="550">
      <c r="A550" t="inlineStr">
        <is>
          <t>710/150/10 SI</t>
        </is>
      </c>
      <c r="B550" t="inlineStr">
        <is>
          <t>Spare Impeller (710mm 'B' 150A10AR 28mm 100Frame 37 DEG - FM3173</t>
        </is>
      </c>
      <c r="C550" t="inlineStr"/>
      <c r="D550" t="n">
        <v>1</v>
      </c>
      <c r="E550" t="n">
        <v>5</v>
      </c>
      <c r="F550" t="inlineStr">
        <is>
          <t>Luft Industries Natal (Pty) Ltd</t>
        </is>
      </c>
      <c r="G550" s="1" t="n">
        <v>1522.65</v>
      </c>
      <c r="H550" t="n">
        <v>0</v>
      </c>
      <c r="I550" t="n">
        <v>0.8</v>
      </c>
      <c r="J550" t="n">
        <v>5</v>
      </c>
      <c r="K550" t="n">
        <v>4</v>
      </c>
      <c r="L550" t="n">
        <v>0</v>
      </c>
      <c r="M550" t="n">
        <v>0</v>
      </c>
      <c r="N550" t="n">
        <v>14</v>
      </c>
      <c r="O550" s="1">
        <f>IFERROR(L550*G550,0)</f>
        <v/>
      </c>
      <c r="P550">
        <f>IF(N550-L550-M550&gt;0,N550-L550-M550,0)</f>
        <v/>
      </c>
      <c r="Q550" s="1">
        <f>IFERROR(P550*G550,0)</f>
        <v/>
      </c>
    </row>
    <row r="551">
      <c r="A551" t="inlineStr">
        <is>
          <t>710CF</t>
        </is>
      </c>
      <c r="B551" t="inlineStr">
        <is>
          <t>710 Diam Counter Flange</t>
        </is>
      </c>
      <c r="C551" t="inlineStr">
        <is>
          <t>FM - C/FLANGE</t>
        </is>
      </c>
      <c r="D551" t="n">
        <v>55</v>
      </c>
      <c r="E551" t="n">
        <v>169</v>
      </c>
      <c r="F551" t="inlineStr">
        <is>
          <t>Attenu-Tec HVAC Parts</t>
        </is>
      </c>
      <c r="G551" s="1" t="n">
        <v>50.18</v>
      </c>
      <c r="H551" t="n">
        <v>134</v>
      </c>
      <c r="I551" t="n">
        <v>0.9</v>
      </c>
      <c r="J551" t="n">
        <v>3.5</v>
      </c>
      <c r="K551" t="n">
        <v>3</v>
      </c>
      <c r="L551" t="n">
        <v>0</v>
      </c>
      <c r="M551" t="n">
        <v>0</v>
      </c>
      <c r="N551" t="n">
        <v>10</v>
      </c>
      <c r="O551" s="1">
        <f>IFERROR(L551*G551,0)</f>
        <v/>
      </c>
      <c r="P551">
        <f>IF(N551-L551-M551&gt;0,N551-L551-M551,0)</f>
        <v/>
      </c>
      <c r="Q551" s="1">
        <f>IFERROR(P551*G551,0)</f>
        <v/>
      </c>
    </row>
    <row r="552">
      <c r="A552" t="inlineStr">
        <is>
          <t>710CFUG</t>
        </is>
      </c>
      <c r="B552" t="inlineStr">
        <is>
          <t>710 Diam Counter Flange Ungalvanised</t>
        </is>
      </c>
      <c r="C552" t="inlineStr">
        <is>
          <t>FM - C/FLANGE</t>
        </is>
      </c>
      <c r="D552" t="n">
        <v>1</v>
      </c>
      <c r="E552" t="n">
        <v>18</v>
      </c>
      <c r="F552" t="inlineStr">
        <is>
          <t>ULTIMATENG (PTY) LTD</t>
        </is>
      </c>
      <c r="G552" s="1" t="n">
        <v>0</v>
      </c>
      <c r="H552" t="n">
        <v>0</v>
      </c>
      <c r="I552" t="n">
        <v>0.5</v>
      </c>
      <c r="J552" t="n">
        <v>18</v>
      </c>
      <c r="K552" t="n">
        <v>9</v>
      </c>
      <c r="L552" t="n">
        <v>0</v>
      </c>
      <c r="M552" t="n">
        <v>0</v>
      </c>
      <c r="N552" t="n">
        <v>45</v>
      </c>
      <c r="O552" s="1">
        <f>IFERROR(L552*G552,0)</f>
        <v/>
      </c>
      <c r="P552">
        <f>IF(N552-L552-M552&gt;0,N552-L552-M552,0)</f>
        <v/>
      </c>
      <c r="Q552" s="1">
        <f>IFERROR(P552*G552,0)</f>
        <v/>
      </c>
    </row>
    <row r="553">
      <c r="A553" t="inlineStr">
        <is>
          <t>710FC</t>
        </is>
      </c>
      <c r="B553" t="inlineStr">
        <is>
          <t>710 Diam Flexible Connection</t>
        </is>
      </c>
      <c r="C553" t="inlineStr">
        <is>
          <t>FM - DONKIN</t>
        </is>
      </c>
      <c r="D553" t="n">
        <v>24</v>
      </c>
      <c r="E553" t="n">
        <v>10</v>
      </c>
      <c r="F553" t="inlineStr">
        <is>
          <t>Attenu-Tec HVAC Parts</t>
        </is>
      </c>
      <c r="G553" s="1" t="n">
        <v>860</v>
      </c>
      <c r="H553" t="n">
        <v>10</v>
      </c>
      <c r="I553" t="n">
        <v>1.7</v>
      </c>
      <c r="J553" t="n">
        <v>1</v>
      </c>
      <c r="K553" t="n">
        <v>2</v>
      </c>
      <c r="L553" t="n">
        <v>0</v>
      </c>
      <c r="M553" t="n">
        <v>0</v>
      </c>
      <c r="N553" t="n">
        <v>4</v>
      </c>
      <c r="O553" s="1">
        <f>IFERROR(L553*G553,0)</f>
        <v/>
      </c>
      <c r="P553">
        <f>IF(N553-L553-M553&gt;0,N553-L553-M553,0)</f>
        <v/>
      </c>
      <c r="Q553" s="1">
        <f>IFERROR(P553*G553,0)</f>
        <v/>
      </c>
    </row>
    <row r="554">
      <c r="A554" t="inlineStr">
        <is>
          <t>710HVJ-2S</t>
        </is>
      </c>
      <c r="B554" t="inlineStr">
        <is>
          <t>710 Diam Vertical Discharge Unit</t>
        </is>
      </c>
      <c r="C554" t="inlineStr">
        <is>
          <t>FM - DONKIN</t>
        </is>
      </c>
      <c r="D554" t="n">
        <v>6</v>
      </c>
      <c r="E554" t="n">
        <v>3</v>
      </c>
      <c r="F554" t="inlineStr">
        <is>
          <t>Attenu-Tec HVAC Parts</t>
        </is>
      </c>
      <c r="G554" s="1" t="n">
        <v>1592</v>
      </c>
      <c r="H554" t="n">
        <v>4</v>
      </c>
      <c r="I554" t="n">
        <v>1.1</v>
      </c>
      <c r="J554" t="n">
        <v>1</v>
      </c>
      <c r="K554" t="n">
        <v>1</v>
      </c>
      <c r="L554" t="n">
        <v>0</v>
      </c>
      <c r="M554" t="n">
        <v>0</v>
      </c>
      <c r="N554" t="n">
        <v>3</v>
      </c>
      <c r="O554" s="1">
        <f>IFERROR(L554*G554,0)</f>
        <v/>
      </c>
      <c r="P554">
        <f>IF(N554-L554-M554&gt;0,N554-L554-M554,0)</f>
        <v/>
      </c>
      <c r="Q554" s="1">
        <f>IFERROR(P554*G554,0)</f>
        <v/>
      </c>
    </row>
    <row r="555">
      <c r="A555" t="inlineStr">
        <is>
          <t>710MBP06</t>
        </is>
      </c>
      <c r="B555" t="inlineStr">
        <is>
          <t>1-0350-240 P06 - 710 Motor Bracket</t>
        </is>
      </c>
      <c r="C555" t="inlineStr"/>
      <c r="D555" t="n">
        <v>16</v>
      </c>
      <c r="E555" t="n">
        <v>132</v>
      </c>
      <c r="F555" t="inlineStr">
        <is>
          <t>Intervent-Universal (Pty) Ltd</t>
        </is>
      </c>
      <c r="G555" s="1" t="n">
        <v>47.37</v>
      </c>
      <c r="H555" t="n">
        <v>0</v>
      </c>
      <c r="I555" t="n">
        <v>0.5</v>
      </c>
      <c r="J555" t="n">
        <v>8.5</v>
      </c>
      <c r="K555" t="n">
        <v>4</v>
      </c>
      <c r="L555" t="n">
        <v>0</v>
      </c>
      <c r="M555" t="n">
        <v>0</v>
      </c>
      <c r="N555" t="n">
        <v>21</v>
      </c>
      <c r="O555" s="1">
        <f>IFERROR(L555*G555,0)</f>
        <v/>
      </c>
      <c r="P555">
        <f>IF(N555-L555-M555&gt;0,N555-L555-M555,0)</f>
        <v/>
      </c>
      <c r="Q555" s="1">
        <f>IFERROR(P555*G555,0)</f>
        <v/>
      </c>
    </row>
    <row r="556">
      <c r="A556" t="inlineStr">
        <is>
          <t>710MF</t>
        </is>
      </c>
      <c r="B556" t="inlineStr">
        <is>
          <t>710 Diam Mounting Feet</t>
        </is>
      </c>
      <c r="C556" t="inlineStr">
        <is>
          <t>FM - M/FEET</t>
        </is>
      </c>
      <c r="D556" t="n">
        <v>55</v>
      </c>
      <c r="E556" t="n">
        <v>223</v>
      </c>
      <c r="F556" t="inlineStr">
        <is>
          <t>Attenu-Tec HVAC Parts</t>
        </is>
      </c>
      <c r="G556" s="1" t="n">
        <v>0</v>
      </c>
      <c r="H556" t="n">
        <v>275</v>
      </c>
      <c r="I556" t="n">
        <v>0.9</v>
      </c>
      <c r="J556" t="n">
        <v>5</v>
      </c>
      <c r="K556" t="n">
        <v>4</v>
      </c>
      <c r="L556" t="n">
        <v>0</v>
      </c>
      <c r="M556" t="n">
        <v>0</v>
      </c>
      <c r="N556" t="n">
        <v>14</v>
      </c>
      <c r="O556" s="1">
        <f>IFERROR(L556*G556,0)</f>
        <v/>
      </c>
      <c r="P556">
        <f>IF(N556-L556-M556&gt;0,N556-L556-M556,0)</f>
        <v/>
      </c>
      <c r="Q556" s="1">
        <f>IFERROR(P556*G556,0)</f>
        <v/>
      </c>
    </row>
    <row r="557">
      <c r="A557" t="inlineStr">
        <is>
          <t>710MFUG</t>
        </is>
      </c>
      <c r="B557" t="inlineStr">
        <is>
          <t>710 Diam Mounting Feet Ungalvanised</t>
        </is>
      </c>
      <c r="C557" t="inlineStr">
        <is>
          <t>FM - M/FEET</t>
        </is>
      </c>
      <c r="D557" t="n">
        <v>1</v>
      </c>
      <c r="E557" t="n">
        <v>27</v>
      </c>
      <c r="F557" t="inlineStr">
        <is>
          <t>ULTIMATENG (PTY) LTD</t>
        </is>
      </c>
      <c r="G557" s="1" t="n">
        <v>0</v>
      </c>
      <c r="H557" t="n">
        <v>0</v>
      </c>
      <c r="I557" t="n">
        <v>0.5</v>
      </c>
      <c r="J557" t="n">
        <v>27</v>
      </c>
      <c r="K557" t="n">
        <v>14</v>
      </c>
      <c r="L557" t="n">
        <v>0</v>
      </c>
      <c r="M557" t="n">
        <v>0</v>
      </c>
      <c r="N557" t="n">
        <v>68</v>
      </c>
      <c r="O557" s="1">
        <f>IFERROR(L557*G557,0)</f>
        <v/>
      </c>
      <c r="P557">
        <f>IF(N557-L557-M557&gt;0,N557-L557-M557,0)</f>
        <v/>
      </c>
      <c r="Q557" s="1">
        <f>IFERROR(P557*G557,0)</f>
        <v/>
      </c>
    </row>
    <row r="558">
      <c r="A558" t="inlineStr">
        <is>
          <t>710PLT400-3MM</t>
        </is>
      </c>
      <c r="B558" t="inlineStr">
        <is>
          <t>710 Casing Sheet - 2238 x 400 - 3mm</t>
        </is>
      </c>
      <c r="C558" t="inlineStr">
        <is>
          <t>FM - FABRICATION</t>
        </is>
      </c>
      <c r="D558" t="n">
        <v>1</v>
      </c>
      <c r="E558" t="n">
        <v>7</v>
      </c>
      <c r="F558" t="inlineStr">
        <is>
          <t>NJR STEEL - ALRODE (PTY) LTD</t>
        </is>
      </c>
      <c r="G558" s="1" t="n">
        <v>530</v>
      </c>
      <c r="H558" t="n">
        <v>0</v>
      </c>
      <c r="I558" t="n">
        <v>0.5</v>
      </c>
      <c r="J558" t="n">
        <v>7</v>
      </c>
      <c r="K558" t="n">
        <v>4</v>
      </c>
      <c r="L558" t="n">
        <v>0</v>
      </c>
      <c r="M558" t="n">
        <v>0</v>
      </c>
      <c r="N558" t="n">
        <v>18</v>
      </c>
      <c r="O558" s="1">
        <f>IFERROR(L558*G558,0)</f>
        <v/>
      </c>
      <c r="P558">
        <f>IF(N558-L558-M558&gt;0,N558-L558-M558,0)</f>
        <v/>
      </c>
      <c r="Q558" s="1">
        <f>IFERROR(P558*G558,0)</f>
        <v/>
      </c>
    </row>
    <row r="559">
      <c r="A559" t="inlineStr">
        <is>
          <t>710S1.5DP</t>
        </is>
      </c>
      <c r="B559" t="inlineStr">
        <is>
          <t>710 Diam Silencer 1.5D Podded</t>
        </is>
      </c>
      <c r="C559" t="inlineStr">
        <is>
          <t>FM - DONKIN</t>
        </is>
      </c>
      <c r="D559" t="n">
        <v>27</v>
      </c>
      <c r="E559" t="n">
        <v>45</v>
      </c>
      <c r="F559" t="inlineStr">
        <is>
          <t>Attenu-Tec</t>
        </is>
      </c>
      <c r="G559" s="1" t="n">
        <v>3685</v>
      </c>
      <c r="H559" t="n">
        <v>54</v>
      </c>
      <c r="I559" t="n">
        <v>0.7</v>
      </c>
      <c r="J559" t="n">
        <v>2</v>
      </c>
      <c r="K559" t="n">
        <v>1</v>
      </c>
      <c r="L559" t="n">
        <v>0</v>
      </c>
      <c r="M559" t="n">
        <v>0</v>
      </c>
      <c r="N559" t="n">
        <v>5</v>
      </c>
      <c r="O559" s="1">
        <f>IFERROR(L559*G559,0)</f>
        <v/>
      </c>
      <c r="P559">
        <f>IF(N559-L559-M559&gt;0,N559-L559-M559,0)</f>
        <v/>
      </c>
      <c r="Q559" s="1">
        <f>IFERROR(P559*G559,0)</f>
        <v/>
      </c>
    </row>
    <row r="560">
      <c r="A560" t="inlineStr">
        <is>
          <t>710S2.0DP</t>
        </is>
      </c>
      <c r="B560" t="inlineStr">
        <is>
          <t>710 Diam Silencer 2.0D Podded</t>
        </is>
      </c>
      <c r="C560" t="inlineStr">
        <is>
          <t>FM - DONKIN</t>
        </is>
      </c>
      <c r="D560" t="n">
        <v>29</v>
      </c>
      <c r="E560" t="n">
        <v>22</v>
      </c>
      <c r="F560" t="inlineStr">
        <is>
          <t>Attenu-Tec</t>
        </is>
      </c>
      <c r="G560" s="1" t="n">
        <v>4720</v>
      </c>
      <c r="H560" t="n">
        <v>28</v>
      </c>
      <c r="I560" t="n">
        <v>0.9</v>
      </c>
      <c r="J560" t="n">
        <v>1</v>
      </c>
      <c r="K560" t="n">
        <v>1</v>
      </c>
      <c r="L560" t="n">
        <v>0</v>
      </c>
      <c r="M560" t="n">
        <v>0</v>
      </c>
      <c r="N560" t="n">
        <v>3</v>
      </c>
      <c r="O560" s="1">
        <f>IFERROR(L560*G560,0)</f>
        <v/>
      </c>
      <c r="P560">
        <f>IF(N560-L560-M560&gt;0,N560-L560-M560,0)</f>
        <v/>
      </c>
      <c r="Q560" s="1">
        <f>IFERROR(P560*G560,0)</f>
        <v/>
      </c>
    </row>
    <row r="561">
      <c r="A561" t="inlineStr">
        <is>
          <t>710SC</t>
        </is>
      </c>
      <c r="B561" t="inlineStr">
        <is>
          <t>Side Screen</t>
        </is>
      </c>
      <c r="C561" t="inlineStr"/>
      <c r="D561" t="n">
        <v>9</v>
      </c>
      <c r="E561" t="n">
        <v>13</v>
      </c>
      <c r="F561" t="inlineStr">
        <is>
          <t>Heinmor Wire Products CC</t>
        </is>
      </c>
      <c r="G561" s="1" t="n">
        <v>546.5</v>
      </c>
      <c r="H561" t="n">
        <v>1</v>
      </c>
      <c r="I561" t="n">
        <v>0.5</v>
      </c>
      <c r="J561" t="n">
        <v>1.5</v>
      </c>
      <c r="K561" t="n">
        <v>1</v>
      </c>
      <c r="L561" t="n">
        <v>0</v>
      </c>
      <c r="M561" t="n">
        <v>0</v>
      </c>
      <c r="N561" t="n">
        <v>4</v>
      </c>
      <c r="O561" s="1">
        <f>IFERROR(L561*G561,0)</f>
        <v/>
      </c>
      <c r="P561">
        <f>IF(N561-L561-M561&gt;0,N561-L561-M561,0)</f>
        <v/>
      </c>
      <c r="Q561" s="1">
        <f>IFERROR(P561*G561,0)</f>
        <v/>
      </c>
    </row>
    <row r="562">
      <c r="A562" t="inlineStr">
        <is>
          <t>710SM1.5D</t>
        </is>
      </c>
      <c r="B562" t="inlineStr">
        <is>
          <t>710 Diam Melinex Silencer 1.5D</t>
        </is>
      </c>
      <c r="C562" t="inlineStr">
        <is>
          <t>FM - DONKIN</t>
        </is>
      </c>
      <c r="D562" t="n">
        <v>11</v>
      </c>
      <c r="E562" t="n">
        <v>2</v>
      </c>
      <c r="F562" t="inlineStr">
        <is>
          <t>Attenu-Tec</t>
        </is>
      </c>
      <c r="G562" s="1" t="n">
        <v>3331</v>
      </c>
      <c r="H562" t="n">
        <v>7</v>
      </c>
      <c r="I562" t="n">
        <v>0.5</v>
      </c>
      <c r="J562" t="n">
        <v>1</v>
      </c>
      <c r="K562" t="n">
        <v>1</v>
      </c>
      <c r="L562" t="n">
        <v>0</v>
      </c>
      <c r="M562" t="n">
        <v>0</v>
      </c>
      <c r="N562" t="n">
        <v>2</v>
      </c>
      <c r="O562" s="1">
        <f>IFERROR(L562*G562,0)</f>
        <v/>
      </c>
      <c r="P562">
        <f>IF(N562-L562-M562&gt;0,N562-L562-M562,0)</f>
        <v/>
      </c>
      <c r="Q562" s="1">
        <f>IFERROR(P562*G562,0)</f>
        <v/>
      </c>
    </row>
    <row r="563">
      <c r="A563" t="inlineStr">
        <is>
          <t>710SM1.5DP</t>
        </is>
      </c>
      <c r="B563" t="inlineStr">
        <is>
          <t>710 Diam Melinex Silencer 1.5D Podded</t>
        </is>
      </c>
      <c r="C563" t="inlineStr">
        <is>
          <t>FM - DONKIN</t>
        </is>
      </c>
      <c r="D563" t="n">
        <v>31</v>
      </c>
      <c r="E563" t="n">
        <v>34</v>
      </c>
      <c r="F563" t="inlineStr">
        <is>
          <t>Attenu-Tec</t>
        </is>
      </c>
      <c r="G563" s="1" t="n">
        <v>3485.72</v>
      </c>
      <c r="H563" t="n">
        <v>19</v>
      </c>
      <c r="I563" t="n">
        <v>0.7</v>
      </c>
      <c r="J563" t="n">
        <v>1.5</v>
      </c>
      <c r="K563" t="n">
        <v>1</v>
      </c>
      <c r="L563" t="n">
        <v>0</v>
      </c>
      <c r="M563" t="n">
        <v>0</v>
      </c>
      <c r="N563" t="n">
        <v>4</v>
      </c>
      <c r="O563" s="1">
        <f>IFERROR(L563*G563,0)</f>
        <v/>
      </c>
      <c r="P563">
        <f>IF(N563-L563-M563&gt;0,N563-L563-M563,0)</f>
        <v/>
      </c>
      <c r="Q563" s="1">
        <f>IFERROR(P563*G563,0)</f>
        <v/>
      </c>
    </row>
    <row r="564">
      <c r="A564" t="inlineStr">
        <is>
          <t>710WC</t>
        </is>
      </c>
      <c r="B564" t="inlineStr">
        <is>
          <t>Wall Cowl &amp; Screen</t>
        </is>
      </c>
      <c r="C564" t="inlineStr"/>
      <c r="D564" t="n">
        <v>1</v>
      </c>
      <c r="E564" t="n">
        <v>6</v>
      </c>
      <c r="F564" t="inlineStr">
        <is>
          <t>Attenu-Tec HVAC Parts</t>
        </is>
      </c>
      <c r="G564" s="1" t="n">
        <v>1110</v>
      </c>
      <c r="H564" t="n">
        <v>0</v>
      </c>
      <c r="I564" t="n">
        <v>1.9</v>
      </c>
      <c r="J564" t="n">
        <v>6</v>
      </c>
      <c r="K564" t="n">
        <v>11</v>
      </c>
      <c r="L564" t="n">
        <v>0</v>
      </c>
      <c r="M564" t="n">
        <v>0</v>
      </c>
      <c r="N564" t="n">
        <v>23</v>
      </c>
      <c r="O564" s="1">
        <f>IFERROR(L564*G564,0)</f>
        <v/>
      </c>
      <c r="P564">
        <f>IF(N564-L564-M564&gt;0,N564-L564-M564,0)</f>
        <v/>
      </c>
      <c r="Q564" s="1">
        <f>IFERROR(P564*G564,0)</f>
        <v/>
      </c>
    </row>
    <row r="565">
      <c r="A565" t="inlineStr">
        <is>
          <t>71848</t>
        </is>
      </c>
      <c r="B565" t="inlineStr">
        <is>
          <t>PRA REDUCER STD BRASS 40M - 25F</t>
        </is>
      </c>
      <c r="C565" t="inlineStr"/>
      <c r="D565" t="n">
        <v>1</v>
      </c>
      <c r="E565" t="n">
        <v>4</v>
      </c>
      <c r="F565" t="inlineStr">
        <is>
          <t>Pratley (Pty) Ltd</t>
        </is>
      </c>
      <c r="G565" s="1" t="n">
        <v>112.71</v>
      </c>
      <c r="H565" t="n">
        <v>0</v>
      </c>
      <c r="I565" t="n">
        <v>0.5</v>
      </c>
      <c r="J565" t="n">
        <v>4</v>
      </c>
      <c r="K565" t="n">
        <v>2</v>
      </c>
      <c r="L565" t="n">
        <v>0</v>
      </c>
      <c r="M565" t="n">
        <v>0</v>
      </c>
      <c r="N565" t="n">
        <v>10</v>
      </c>
      <c r="O565" s="1">
        <f>IFERROR(L565*G565,0)</f>
        <v/>
      </c>
      <c r="P565">
        <f>IF(N565-L565-M565&gt;0,N565-L565-M565,0)</f>
        <v/>
      </c>
      <c r="Q565" s="1">
        <f>IFERROR(P565*G565,0)</f>
        <v/>
      </c>
    </row>
    <row r="566">
      <c r="A566" t="inlineStr">
        <is>
          <t>73-18</t>
        </is>
      </c>
      <c r="B566" t="inlineStr">
        <is>
          <t>YCI607A HELLEMON T : RED HANDLE WIRE STRIPPER</t>
        </is>
      </c>
      <c r="C566" t="inlineStr"/>
      <c r="D566" t="n">
        <v>1</v>
      </c>
      <c r="E566" t="n">
        <v>1</v>
      </c>
      <c r="F566" t="inlineStr">
        <is>
          <t>Atlantic Lighting &amp; Electrical distributors</t>
        </is>
      </c>
      <c r="G566" s="1" t="n">
        <v>238.5</v>
      </c>
      <c r="H566" t="n">
        <v>0</v>
      </c>
      <c r="I566" t="n">
        <v>0.5</v>
      </c>
      <c r="J566" t="n">
        <v>1</v>
      </c>
      <c r="K566" t="n">
        <v>1</v>
      </c>
      <c r="L566" t="n">
        <v>0</v>
      </c>
      <c r="M566" t="n">
        <v>0</v>
      </c>
      <c r="N566" t="n">
        <v>2</v>
      </c>
      <c r="O566" s="1">
        <f>IFERROR(L566*G566,0)</f>
        <v/>
      </c>
      <c r="P566">
        <f>IF(N566-L566-M566&gt;0,N566-L566-M566,0)</f>
        <v/>
      </c>
      <c r="Q566" s="1">
        <f>IFERROR(P566*G566,0)</f>
        <v/>
      </c>
    </row>
    <row r="567">
      <c r="A567" t="inlineStr">
        <is>
          <t>73-191</t>
        </is>
      </c>
      <c r="B567" t="inlineStr">
        <is>
          <t>HYAC5 CRIMP TOOL B : BOOTLACE CRIMPER</t>
        </is>
      </c>
      <c r="C567" t="inlineStr"/>
      <c r="D567" t="n">
        <v>1</v>
      </c>
      <c r="E567" t="n">
        <v>1</v>
      </c>
      <c r="F567" t="inlineStr">
        <is>
          <t>Atlantic Lighting &amp; Electrical distributors</t>
        </is>
      </c>
      <c r="G567" s="1" t="n">
        <v>973.3200000000001</v>
      </c>
      <c r="H567" t="n">
        <v>0</v>
      </c>
      <c r="I567" t="n">
        <v>0.5</v>
      </c>
      <c r="J567" t="n">
        <v>1</v>
      </c>
      <c r="K567" t="n">
        <v>1</v>
      </c>
      <c r="L567" t="n">
        <v>0</v>
      </c>
      <c r="M567" t="n">
        <v>0</v>
      </c>
      <c r="N567" t="n">
        <v>2</v>
      </c>
      <c r="O567" s="1">
        <f>IFERROR(L567*G567,0)</f>
        <v/>
      </c>
      <c r="P567">
        <f>IF(N567-L567-M567&gt;0,N567-L567-M567,0)</f>
        <v/>
      </c>
      <c r="Q567" s="1">
        <f>IFERROR(P567*G567,0)</f>
        <v/>
      </c>
    </row>
    <row r="568">
      <c r="A568" t="inlineStr">
        <is>
          <t>734SSC</t>
        </is>
      </c>
      <c r="B568" t="inlineStr">
        <is>
          <t>734 Special Screen - Hot Dip Galvinised</t>
        </is>
      </c>
      <c r="C568" t="inlineStr"/>
      <c r="D568" t="n">
        <v>1</v>
      </c>
      <c r="E568" t="n">
        <v>1</v>
      </c>
      <c r="F568" t="inlineStr">
        <is>
          <t>Heinmor Wire Products CC</t>
        </is>
      </c>
      <c r="G568" s="1" t="n">
        <v>541</v>
      </c>
      <c r="H568" t="n">
        <v>0</v>
      </c>
      <c r="I568" t="n">
        <v>0.5</v>
      </c>
      <c r="J568" t="n">
        <v>1</v>
      </c>
      <c r="K568" t="n">
        <v>1</v>
      </c>
      <c r="L568" t="n">
        <v>0</v>
      </c>
      <c r="M568" t="n">
        <v>0</v>
      </c>
      <c r="N568" t="n">
        <v>2</v>
      </c>
      <c r="O568" s="1">
        <f>IFERROR(L568*G568,0)</f>
        <v/>
      </c>
      <c r="P568">
        <f>IF(N568-L568-M568&gt;0,N568-L568-M568,0)</f>
        <v/>
      </c>
      <c r="Q568" s="1">
        <f>IFERROR(P568*G568,0)</f>
        <v/>
      </c>
    </row>
    <row r="569">
      <c r="A569" t="inlineStr">
        <is>
          <t>762Assembly</t>
        </is>
      </c>
      <c r="B569" t="inlineStr">
        <is>
          <t>762 Assembly, and Miscellaneous</t>
        </is>
      </c>
      <c r="C569" t="inlineStr"/>
      <c r="D569" t="n">
        <v>1</v>
      </c>
      <c r="E569" t="n">
        <v>0</v>
      </c>
      <c r="F569" t="inlineStr"/>
      <c r="G569" s="1" t="n">
        <v>0</v>
      </c>
      <c r="H569" t="n">
        <v>2</v>
      </c>
      <c r="I569" t="n">
        <v>0.5</v>
      </c>
      <c r="J569" t="n">
        <v>2</v>
      </c>
      <c r="K569" t="n">
        <v>1</v>
      </c>
      <c r="L569" t="n">
        <v>0</v>
      </c>
      <c r="M569" t="n">
        <v>0</v>
      </c>
      <c r="N569" t="n">
        <v>5</v>
      </c>
      <c r="O569" s="1">
        <f>IFERROR(L569*G569,0)</f>
        <v/>
      </c>
      <c r="P569">
        <f>IF(N569-L569-M569&gt;0,N569-L569-M569,0)</f>
        <v/>
      </c>
      <c r="Q569" s="1">
        <f>IFERROR(P569*G569,0)</f>
        <v/>
      </c>
    </row>
    <row r="570">
      <c r="A570" t="inlineStr">
        <is>
          <t>762Flame</t>
        </is>
      </c>
      <c r="B570" t="inlineStr">
        <is>
          <t>762 Flameproof Track</t>
        </is>
      </c>
      <c r="C570" t="inlineStr"/>
      <c r="D570" t="n">
        <v>1</v>
      </c>
      <c r="E570" t="n">
        <v>0</v>
      </c>
      <c r="F570" t="inlineStr"/>
      <c r="G570" s="1" t="n">
        <v>0</v>
      </c>
      <c r="H570" t="n">
        <v>2</v>
      </c>
      <c r="I570" t="n">
        <v>0.5</v>
      </c>
      <c r="J570" t="n">
        <v>2</v>
      </c>
      <c r="K570" t="n">
        <v>1</v>
      </c>
      <c r="L570" t="n">
        <v>0</v>
      </c>
      <c r="M570" t="n">
        <v>0</v>
      </c>
      <c r="N570" t="n">
        <v>5</v>
      </c>
      <c r="O570" s="1">
        <f>IFERROR(L570*G570,0)</f>
        <v/>
      </c>
      <c r="P570">
        <f>IF(N570-L570-M570&gt;0,N570-L570-M570,0)</f>
        <v/>
      </c>
      <c r="Q570" s="1">
        <f>IFERROR(P570*G570,0)</f>
        <v/>
      </c>
    </row>
    <row r="571">
      <c r="A571" t="inlineStr">
        <is>
          <t>762Grille</t>
        </is>
      </c>
      <c r="B571" t="inlineStr">
        <is>
          <t>762 Grille</t>
        </is>
      </c>
      <c r="C571" t="inlineStr"/>
      <c r="D571" t="n">
        <v>1</v>
      </c>
      <c r="E571" t="n">
        <v>0</v>
      </c>
      <c r="F571" t="inlineStr"/>
      <c r="G571" s="1" t="n">
        <v>0</v>
      </c>
      <c r="H571" t="n">
        <v>4</v>
      </c>
      <c r="I571" t="n">
        <v>0.5</v>
      </c>
      <c r="J571" t="n">
        <v>4</v>
      </c>
      <c r="K571" t="n">
        <v>2</v>
      </c>
      <c r="L571" t="n">
        <v>0</v>
      </c>
      <c r="M571" t="n">
        <v>0</v>
      </c>
      <c r="N571" t="n">
        <v>10</v>
      </c>
      <c r="O571" s="1">
        <f>IFERROR(L571*G571,0)</f>
        <v/>
      </c>
      <c r="P571">
        <f>IF(N571-L571-M571&gt;0,N571-L571-M571,0)</f>
        <v/>
      </c>
      <c r="Q571" s="1">
        <f>IFERROR(P571*G571,0)</f>
        <v/>
      </c>
    </row>
    <row r="572">
      <c r="A572" t="inlineStr">
        <is>
          <t>762IMP</t>
        </is>
      </c>
      <c r="B572" t="inlineStr">
        <is>
          <t>762 Impeller</t>
        </is>
      </c>
      <c r="C572" t="inlineStr"/>
      <c r="D572" t="n">
        <v>1</v>
      </c>
      <c r="E572" t="n">
        <v>0</v>
      </c>
      <c r="F572" t="inlineStr"/>
      <c r="G572" s="1" t="n">
        <v>0</v>
      </c>
      <c r="H572" t="n">
        <v>2</v>
      </c>
      <c r="I572" t="n">
        <v>0.5</v>
      </c>
      <c r="J572" t="n">
        <v>2</v>
      </c>
      <c r="K572" t="n">
        <v>1</v>
      </c>
      <c r="L572" t="n">
        <v>0</v>
      </c>
      <c r="M572" t="n">
        <v>0</v>
      </c>
      <c r="N572" t="n">
        <v>5</v>
      </c>
      <c r="O572" s="1">
        <f>IFERROR(L572*G572,0)</f>
        <v/>
      </c>
      <c r="P572">
        <f>IF(N572-L572-M572&gt;0,N572-L572-M572,0)</f>
        <v/>
      </c>
      <c r="Q572" s="1">
        <f>IFERROR(P572*G572,0)</f>
        <v/>
      </c>
    </row>
    <row r="573">
      <c r="A573" t="inlineStr">
        <is>
          <t>762Silenced- Motor</t>
        </is>
      </c>
      <c r="B573" t="inlineStr">
        <is>
          <t>762 Silenced Motor Barrel</t>
        </is>
      </c>
      <c r="C573" t="inlineStr"/>
      <c r="D573" t="n">
        <v>1</v>
      </c>
      <c r="E573" t="n">
        <v>0</v>
      </c>
      <c r="F573" t="inlineStr"/>
      <c r="G573" s="1" t="n">
        <v>0</v>
      </c>
      <c r="H573" t="n">
        <v>2</v>
      </c>
      <c r="I573" t="n">
        <v>0.5</v>
      </c>
      <c r="J573" t="n">
        <v>2</v>
      </c>
      <c r="K573" t="n">
        <v>1</v>
      </c>
      <c r="L573" t="n">
        <v>0</v>
      </c>
      <c r="M573" t="n">
        <v>0</v>
      </c>
      <c r="N573" t="n">
        <v>5</v>
      </c>
      <c r="O573" s="1">
        <f>IFERROR(L573*G573,0)</f>
        <v/>
      </c>
      <c r="P573">
        <f>IF(N573-L573-M573&gt;0,N573-L573-M573,0)</f>
        <v/>
      </c>
      <c r="Q573" s="1">
        <f>IFERROR(P573*G573,0)</f>
        <v/>
      </c>
    </row>
    <row r="574">
      <c r="A574" t="inlineStr">
        <is>
          <t>762Silenced-Stator</t>
        </is>
      </c>
      <c r="B574" t="inlineStr">
        <is>
          <t>762 Silenced Stator Barrel c/w Stator</t>
        </is>
      </c>
      <c r="C574" t="inlineStr"/>
      <c r="D574" t="n">
        <v>1</v>
      </c>
      <c r="E574" t="n">
        <v>0</v>
      </c>
      <c r="F574" t="inlineStr"/>
      <c r="G574" s="1" t="n">
        <v>0</v>
      </c>
      <c r="H574" t="n">
        <v>2</v>
      </c>
      <c r="I574" t="n">
        <v>0.5</v>
      </c>
      <c r="J574" t="n">
        <v>2</v>
      </c>
      <c r="K574" t="n">
        <v>1</v>
      </c>
      <c r="L574" t="n">
        <v>0</v>
      </c>
      <c r="M574" t="n">
        <v>0</v>
      </c>
      <c r="N574" t="n">
        <v>5</v>
      </c>
      <c r="O574" s="1">
        <f>IFERROR(L574*G574,0)</f>
        <v/>
      </c>
      <c r="P574">
        <f>IF(N574-L574-M574&gt;0,N574-L574-M574,0)</f>
        <v/>
      </c>
      <c r="Q574" s="1">
        <f>IFERROR(P574*G574,0)</f>
        <v/>
      </c>
    </row>
    <row r="575">
      <c r="A575" t="inlineStr">
        <is>
          <t>77521</t>
        </is>
      </c>
      <c r="B575" t="inlineStr">
        <is>
          <t>AT 7/7 SC - Single Unit</t>
        </is>
      </c>
      <c r="C575" t="inlineStr">
        <is>
          <t>FM - NICOTRA</t>
        </is>
      </c>
      <c r="D575" t="n">
        <v>23</v>
      </c>
      <c r="E575" t="n">
        <v>4</v>
      </c>
      <c r="F575" t="inlineStr">
        <is>
          <t>Regal Beloit Italy S.p.A - Nicotra .</t>
        </is>
      </c>
      <c r="G575" s="1" t="n">
        <v>1276.17</v>
      </c>
      <c r="H575" t="n">
        <v>1</v>
      </c>
      <c r="I575" t="n">
        <v>0.5</v>
      </c>
      <c r="J575" t="n">
        <v>1</v>
      </c>
      <c r="K575" t="n">
        <v>1</v>
      </c>
      <c r="L575" t="n">
        <v>0</v>
      </c>
      <c r="M575" t="n">
        <v>0</v>
      </c>
      <c r="N575" t="n">
        <v>2</v>
      </c>
      <c r="O575" s="1">
        <f>IFERROR(L575*G575,0)</f>
        <v/>
      </c>
      <c r="P575">
        <f>IF(N575-L575-M575&gt;0,N575-L575-M575,0)</f>
        <v/>
      </c>
      <c r="Q575" s="1">
        <f>IFERROR(P575*G575,0)</f>
        <v/>
      </c>
    </row>
    <row r="576">
      <c r="A576" t="inlineStr">
        <is>
          <t>7mmEW</t>
        </is>
      </c>
      <c r="B576" t="inlineStr">
        <is>
          <t>End Washer - 43mm OD and 7mm ID - Plated</t>
        </is>
      </c>
      <c r="C576" t="inlineStr"/>
      <c r="D576" t="n">
        <v>1</v>
      </c>
      <c r="E576" t="n">
        <v>14</v>
      </c>
      <c r="F576" t="inlineStr">
        <is>
          <t>Mafilisti Trading and Projects (Pty) Ltd</t>
        </is>
      </c>
      <c r="G576" s="1" t="n">
        <v>14</v>
      </c>
      <c r="H576" t="n">
        <v>0</v>
      </c>
      <c r="I576" t="n">
        <v>0.5</v>
      </c>
      <c r="J576" t="n">
        <v>14</v>
      </c>
      <c r="K576" t="n">
        <v>7</v>
      </c>
      <c r="L576" t="n">
        <v>0</v>
      </c>
      <c r="M576" t="n">
        <v>0</v>
      </c>
      <c r="N576" t="n">
        <v>35</v>
      </c>
      <c r="O576" s="1">
        <f>IFERROR(L576*G576,0)</f>
        <v/>
      </c>
      <c r="P576">
        <f>IF(N576-L576-M576&gt;0,N576-L576-M576,0)</f>
        <v/>
      </c>
      <c r="Q576" s="1">
        <f>IFERROR(P576*G576,0)</f>
        <v/>
      </c>
    </row>
    <row r="577">
      <c r="A577" t="inlineStr">
        <is>
          <t>8-188</t>
        </is>
      </c>
      <c r="B577" t="inlineStr">
        <is>
          <t>CABTYRE - 4MM X 4C CABTYRE CUT PE</t>
        </is>
      </c>
      <c r="C577" t="inlineStr"/>
      <c r="D577" t="n">
        <v>1</v>
      </c>
      <c r="E577" t="n">
        <v>10</v>
      </c>
      <c r="F577" t="inlineStr">
        <is>
          <t>Alpha Electrical</t>
        </is>
      </c>
      <c r="G577" s="1" t="n">
        <v>80</v>
      </c>
      <c r="H577" t="n">
        <v>0</v>
      </c>
      <c r="I577" t="n">
        <v>0.5</v>
      </c>
      <c r="J577" t="n">
        <v>10</v>
      </c>
      <c r="K577" t="n">
        <v>5</v>
      </c>
      <c r="L577" t="n">
        <v>0</v>
      </c>
      <c r="M577" t="n">
        <v>0</v>
      </c>
      <c r="N577" t="n">
        <v>25</v>
      </c>
      <c r="O577" s="1">
        <f>IFERROR(L577*G577,0)</f>
        <v/>
      </c>
      <c r="P577">
        <f>IF(N577-L577-M577&gt;0,N577-L577-M577,0)</f>
        <v/>
      </c>
      <c r="Q577" s="1">
        <f>IFERROR(P577*G577,0)</f>
        <v/>
      </c>
    </row>
    <row r="578">
      <c r="A578" t="inlineStr">
        <is>
          <t>80 FR 18.8</t>
        </is>
      </c>
      <c r="B578" t="inlineStr">
        <is>
          <t>80 Motor Frame - 18.8 mm OD Spacer</t>
        </is>
      </c>
      <c r="C578" t="inlineStr"/>
      <c r="D578" t="n">
        <v>3</v>
      </c>
      <c r="E578" t="n">
        <v>41</v>
      </c>
      <c r="F578" t="inlineStr">
        <is>
          <t>Hulmak Engineering cc</t>
        </is>
      </c>
      <c r="G578" s="1" t="n">
        <v>30</v>
      </c>
      <c r="H578" t="n">
        <v>0</v>
      </c>
      <c r="I578" t="n">
        <v>0.5</v>
      </c>
      <c r="J578" t="n">
        <v>14</v>
      </c>
      <c r="K578" t="n">
        <v>7</v>
      </c>
      <c r="L578" t="n">
        <v>0</v>
      </c>
      <c r="M578" t="n">
        <v>0</v>
      </c>
      <c r="N578" t="n">
        <v>35</v>
      </c>
      <c r="O578" s="1">
        <f>IFERROR(L578*G578,0)</f>
        <v/>
      </c>
      <c r="P578">
        <f>IF(N578-L578-M578&gt;0,N578-L578-M578,0)</f>
        <v/>
      </c>
      <c r="Q578" s="1">
        <f>IFERROR(P578*G578,0)</f>
        <v/>
      </c>
    </row>
    <row r="579">
      <c r="A579" t="inlineStr">
        <is>
          <t>800/150/10 SI</t>
        </is>
      </c>
      <c r="B579" t="inlineStr">
        <is>
          <t>Spare Impeller (800mm 'B' 150A10AR 28mm 100Frame 27 DEG - FM3176)</t>
        </is>
      </c>
      <c r="C579" t="inlineStr"/>
      <c r="D579" t="n">
        <v>1</v>
      </c>
      <c r="E579" t="n">
        <v>1</v>
      </c>
      <c r="F579" t="inlineStr">
        <is>
          <t>Luft Industries Natal (Pty) Ltd</t>
        </is>
      </c>
      <c r="G579" s="1" t="n">
        <v>1901.25</v>
      </c>
      <c r="H579" t="n">
        <v>0</v>
      </c>
      <c r="I579" t="n">
        <v>0.9</v>
      </c>
      <c r="J579" t="n">
        <v>1</v>
      </c>
      <c r="K579" t="n">
        <v>1</v>
      </c>
      <c r="L579" t="n">
        <v>0</v>
      </c>
      <c r="M579" t="n">
        <v>0</v>
      </c>
      <c r="N579" t="n">
        <v>3</v>
      </c>
      <c r="O579" s="1">
        <f>IFERROR(L579*G579,0)</f>
        <v/>
      </c>
      <c r="P579">
        <f>IF(N579-L579-M579&gt;0,N579-L579-M579,0)</f>
        <v/>
      </c>
      <c r="Q579" s="1">
        <f>IFERROR(P579*G579,0)</f>
        <v/>
      </c>
    </row>
    <row r="580">
      <c r="A580" t="inlineStr">
        <is>
          <t>8005LSW03000300</t>
        </is>
      </c>
      <c r="B580" t="inlineStr">
        <is>
          <t>Grille LS 0300x0300 White for fans 200-250-300</t>
        </is>
      </c>
      <c r="C580" t="inlineStr"/>
      <c r="D580" t="n">
        <v>1</v>
      </c>
      <c r="E580" t="n">
        <v>2</v>
      </c>
      <c r="F580" t="inlineStr">
        <is>
          <t>Luft Industries Natal (Pty) Ltd</t>
        </is>
      </c>
      <c r="G580" s="1" t="n">
        <v>607.14</v>
      </c>
      <c r="H580" t="n">
        <v>0</v>
      </c>
      <c r="I580" t="n">
        <v>0.9</v>
      </c>
      <c r="J580" t="n">
        <v>2</v>
      </c>
      <c r="K580" t="n">
        <v>2</v>
      </c>
      <c r="L580" t="n">
        <v>0</v>
      </c>
      <c r="M580" t="n">
        <v>0</v>
      </c>
      <c r="N580" t="n">
        <v>6</v>
      </c>
      <c r="O580" s="1">
        <f>IFERROR(L580*G580,0)</f>
        <v/>
      </c>
      <c r="P580">
        <f>IF(N580-L580-M580&gt;0,N580-L580-M580,0)</f>
        <v/>
      </c>
      <c r="Q580" s="1">
        <f>IFERROR(P580*G580,0)</f>
        <v/>
      </c>
    </row>
    <row r="581">
      <c r="A581" t="inlineStr">
        <is>
          <t>800CF</t>
        </is>
      </c>
      <c r="B581" t="inlineStr">
        <is>
          <t>800 Diam Counter Flange</t>
        </is>
      </c>
      <c r="C581" t="inlineStr">
        <is>
          <t>FM - C/FLANGE</t>
        </is>
      </c>
      <c r="D581" t="n">
        <v>54</v>
      </c>
      <c r="E581" t="n">
        <v>187</v>
      </c>
      <c r="F581" t="inlineStr">
        <is>
          <t>Attenu-Tec HVAC Parts</t>
        </is>
      </c>
      <c r="G581" s="1" t="n">
        <v>212.23</v>
      </c>
      <c r="H581" t="n">
        <v>121</v>
      </c>
      <c r="I581" t="n">
        <v>0.7</v>
      </c>
      <c r="J581" t="n">
        <v>3.5</v>
      </c>
      <c r="K581" t="n">
        <v>2</v>
      </c>
      <c r="L581" t="n">
        <v>0</v>
      </c>
      <c r="M581" t="n">
        <v>0</v>
      </c>
      <c r="N581" t="n">
        <v>9</v>
      </c>
      <c r="O581" s="1">
        <f>IFERROR(L581*G581,0)</f>
        <v/>
      </c>
      <c r="P581">
        <f>IF(N581-L581-M581&gt;0,N581-L581-M581,0)</f>
        <v/>
      </c>
      <c r="Q581" s="1">
        <f>IFERROR(P581*G581,0)</f>
        <v/>
      </c>
    </row>
    <row r="582">
      <c r="A582" t="inlineStr">
        <is>
          <t>800CFUG</t>
        </is>
      </c>
      <c r="B582" t="inlineStr">
        <is>
          <t>800 Diam Counter Flange Ungalvanised</t>
        </is>
      </c>
      <c r="C582" t="inlineStr">
        <is>
          <t>FM - C/FLANGE</t>
        </is>
      </c>
      <c r="D582" t="n">
        <v>1</v>
      </c>
      <c r="E582" t="n">
        <v>32</v>
      </c>
      <c r="F582" t="inlineStr">
        <is>
          <t>ULTIMATENG (PTY) LTD</t>
        </is>
      </c>
      <c r="G582" s="1" t="n">
        <v>0</v>
      </c>
      <c r="H582" t="n">
        <v>0</v>
      </c>
      <c r="I582" t="n">
        <v>0.5</v>
      </c>
      <c r="J582" t="n">
        <v>32</v>
      </c>
      <c r="K582" t="n">
        <v>16</v>
      </c>
      <c r="L582" t="n">
        <v>0</v>
      </c>
      <c r="M582" t="n">
        <v>0</v>
      </c>
      <c r="N582" t="n">
        <v>80</v>
      </c>
      <c r="O582" s="1">
        <f>IFERROR(L582*G582,0)</f>
        <v/>
      </c>
      <c r="P582">
        <f>IF(N582-L582-M582&gt;0,N582-L582-M582,0)</f>
        <v/>
      </c>
      <c r="Q582" s="1">
        <f>IFERROR(P582*G582,0)</f>
        <v/>
      </c>
    </row>
    <row r="583">
      <c r="A583" t="inlineStr">
        <is>
          <t>800FC</t>
        </is>
      </c>
      <c r="B583" t="inlineStr">
        <is>
          <t>800 Diam Flexible Connection</t>
        </is>
      </c>
      <c r="C583" t="inlineStr">
        <is>
          <t>FM - DONKIN</t>
        </is>
      </c>
      <c r="D583" t="n">
        <v>1</v>
      </c>
      <c r="E583" t="n">
        <v>0</v>
      </c>
      <c r="F583" t="inlineStr"/>
      <c r="G583" s="1" t="n">
        <v>0</v>
      </c>
      <c r="H583" t="n">
        <v>5</v>
      </c>
      <c r="I583" t="n">
        <v>0.5</v>
      </c>
      <c r="J583" t="n">
        <v>5</v>
      </c>
      <c r="K583" t="n">
        <v>2</v>
      </c>
      <c r="L583" t="n">
        <v>0</v>
      </c>
      <c r="M583" t="n">
        <v>0</v>
      </c>
      <c r="N583" t="n">
        <v>12</v>
      </c>
      <c r="O583" s="1">
        <f>IFERROR(L583*G583,0)</f>
        <v/>
      </c>
      <c r="P583">
        <f>IF(N583-L583-M583&gt;0,N583-L583-M583,0)</f>
        <v/>
      </c>
      <c r="Q583" s="1">
        <f>IFERROR(P583*G583,0)</f>
        <v/>
      </c>
    </row>
    <row r="584">
      <c r="A584" t="inlineStr">
        <is>
          <t>800HVJ-2S</t>
        </is>
      </c>
      <c r="B584" t="inlineStr">
        <is>
          <t>800 Diam Vertical Discharge Unit</t>
        </is>
      </c>
      <c r="C584" t="inlineStr">
        <is>
          <t>FM - DONKIN</t>
        </is>
      </c>
      <c r="D584" t="n">
        <v>3</v>
      </c>
      <c r="E584" t="n">
        <v>3</v>
      </c>
      <c r="F584" t="inlineStr">
        <is>
          <t>Attenu-Tec HVAC Parts</t>
        </is>
      </c>
      <c r="G584" s="1" t="n">
        <v>1699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3</v>
      </c>
      <c r="O584" s="1">
        <f>IFERROR(L584*G584,0)</f>
        <v/>
      </c>
      <c r="P584">
        <f>IF(N584-L584-M584&gt;0,N584-L584-M584,0)</f>
        <v/>
      </c>
      <c r="Q584" s="1">
        <f>IFERROR(P584*G584,0)</f>
        <v/>
      </c>
    </row>
    <row r="585">
      <c r="A585" t="inlineStr">
        <is>
          <t>800IC</t>
        </is>
      </c>
      <c r="B585" t="inlineStr">
        <is>
          <t>Inlet Cone</t>
        </is>
      </c>
      <c r="C585" t="inlineStr"/>
      <c r="D585" t="n">
        <v>1</v>
      </c>
      <c r="E585" t="n">
        <v>4</v>
      </c>
      <c r="F585" t="inlineStr">
        <is>
          <t>Attenu-Tec HVAC Parts</t>
        </is>
      </c>
      <c r="G585" s="1" t="n">
        <v>1014</v>
      </c>
      <c r="H585" t="n">
        <v>4</v>
      </c>
      <c r="I585" t="n">
        <v>0.5</v>
      </c>
      <c r="J585" t="n">
        <v>4</v>
      </c>
      <c r="K585" t="n">
        <v>2</v>
      </c>
      <c r="L585" t="n">
        <v>0</v>
      </c>
      <c r="M585" t="n">
        <v>0</v>
      </c>
      <c r="N585" t="n">
        <v>10</v>
      </c>
      <c r="O585" s="1">
        <f>IFERROR(L585*G585,0)</f>
        <v/>
      </c>
      <c r="P585">
        <f>IF(N585-L585-M585&gt;0,N585-L585-M585,0)</f>
        <v/>
      </c>
      <c r="Q585" s="1">
        <f>IFERROR(P585*G585,0)</f>
        <v/>
      </c>
    </row>
    <row r="586">
      <c r="A586" t="inlineStr">
        <is>
          <t>800IMP</t>
        </is>
      </c>
      <c r="B586" t="inlineStr">
        <is>
          <t>Spare Impeller</t>
        </is>
      </c>
      <c r="C586" t="inlineStr"/>
      <c r="D586" t="n">
        <v>18</v>
      </c>
      <c r="E586" t="n">
        <v>0</v>
      </c>
      <c r="F586" t="inlineStr">
        <is>
          <t>Phoenix Fans &amp; Engineering</t>
        </is>
      </c>
      <c r="G586" s="1" t="n">
        <v>0</v>
      </c>
      <c r="H586" t="n">
        <v>4</v>
      </c>
      <c r="I586" t="n">
        <v>0.7</v>
      </c>
      <c r="J586" t="n">
        <v>1</v>
      </c>
      <c r="K586" t="n">
        <v>1</v>
      </c>
      <c r="L586" t="n">
        <v>0</v>
      </c>
      <c r="M586" t="n">
        <v>0</v>
      </c>
      <c r="N586" t="n">
        <v>3</v>
      </c>
      <c r="O586" s="1">
        <f>IFERROR(L586*G586,0)</f>
        <v/>
      </c>
      <c r="P586">
        <f>IF(N586-L586-M586&gt;0,N586-L586-M586,0)</f>
        <v/>
      </c>
      <c r="Q586" s="1">
        <f>IFERROR(P586*G586,0)</f>
        <v/>
      </c>
    </row>
    <row r="587">
      <c r="A587" t="inlineStr">
        <is>
          <t>800MBP07</t>
        </is>
      </c>
      <c r="B587" t="inlineStr">
        <is>
          <t>1-0350-240 P07 - 800 Motor Bracket</t>
        </is>
      </c>
      <c r="C587" t="inlineStr"/>
      <c r="D587" t="n">
        <v>19</v>
      </c>
      <c r="E587" t="n">
        <v>111</v>
      </c>
      <c r="F587" t="inlineStr">
        <is>
          <t>Kart Shop TA Ultimate Laser Cutting</t>
        </is>
      </c>
      <c r="G587" s="1" t="n">
        <v>28.72</v>
      </c>
      <c r="H587" t="n">
        <v>0</v>
      </c>
      <c r="I587" t="n">
        <v>0.5</v>
      </c>
      <c r="J587" t="n">
        <v>6</v>
      </c>
      <c r="K587" t="n">
        <v>3</v>
      </c>
      <c r="L587" t="n">
        <v>0</v>
      </c>
      <c r="M587" t="n">
        <v>0</v>
      </c>
      <c r="N587" t="n">
        <v>15</v>
      </c>
      <c r="O587" s="1">
        <f>IFERROR(L587*G587,0)</f>
        <v/>
      </c>
      <c r="P587">
        <f>IF(N587-L587-M587&gt;0,N587-L587-M587,0)</f>
        <v/>
      </c>
      <c r="Q587" s="1">
        <f>IFERROR(P587*G587,0)</f>
        <v/>
      </c>
    </row>
    <row r="588">
      <c r="A588" t="inlineStr">
        <is>
          <t>800MF</t>
        </is>
      </c>
      <c r="B588" t="inlineStr">
        <is>
          <t>800 Diam Mounting Feet</t>
        </is>
      </c>
      <c r="C588" t="inlineStr">
        <is>
          <t>FM - M/FEET</t>
        </is>
      </c>
      <c r="D588" t="n">
        <v>54</v>
      </c>
      <c r="E588" t="n">
        <v>140</v>
      </c>
      <c r="F588" t="inlineStr">
        <is>
          <t>Air Speration</t>
        </is>
      </c>
      <c r="G588" s="1" t="n">
        <v>191.49</v>
      </c>
      <c r="H588" t="n">
        <v>208</v>
      </c>
      <c r="I588" t="n">
        <v>0.6</v>
      </c>
      <c r="J588" t="n">
        <v>4</v>
      </c>
      <c r="K588" t="n">
        <v>2</v>
      </c>
      <c r="L588" t="n">
        <v>0</v>
      </c>
      <c r="M588" t="n">
        <v>0</v>
      </c>
      <c r="N588" t="n">
        <v>10</v>
      </c>
      <c r="O588" s="1">
        <f>IFERROR(L588*G588,0)</f>
        <v/>
      </c>
      <c r="P588">
        <f>IF(N588-L588-M588&gt;0,N588-L588-M588,0)</f>
        <v/>
      </c>
      <c r="Q588" s="1">
        <f>IFERROR(P588*G588,0)</f>
        <v/>
      </c>
    </row>
    <row r="589">
      <c r="A589" t="inlineStr">
        <is>
          <t>800MFUG</t>
        </is>
      </c>
      <c r="B589" t="inlineStr">
        <is>
          <t>800 Diam Mounting Feet Ungalvanized</t>
        </is>
      </c>
      <c r="C589" t="inlineStr">
        <is>
          <t>FM - M/FEET</t>
        </is>
      </c>
      <c r="D589" t="n">
        <v>1</v>
      </c>
      <c r="E589" t="n">
        <v>22</v>
      </c>
      <c r="F589" t="inlineStr">
        <is>
          <t>ULTIMATENG (PTY) LTD</t>
        </is>
      </c>
      <c r="G589" s="1" t="n">
        <v>0</v>
      </c>
      <c r="H589" t="n">
        <v>0</v>
      </c>
      <c r="I589" t="n">
        <v>0.5</v>
      </c>
      <c r="J589" t="n">
        <v>22</v>
      </c>
      <c r="K589" t="n">
        <v>11</v>
      </c>
      <c r="L589" t="n">
        <v>0</v>
      </c>
      <c r="M589" t="n">
        <v>0</v>
      </c>
      <c r="N589" t="n">
        <v>55</v>
      </c>
      <c r="O589" s="1">
        <f>IFERROR(L589*G589,0)</f>
        <v/>
      </c>
      <c r="P589">
        <f>IF(N589-L589-M589&gt;0,N589-L589-M589,0)</f>
        <v/>
      </c>
      <c r="Q589" s="1">
        <f>IFERROR(P589*G589,0)</f>
        <v/>
      </c>
    </row>
    <row r="590">
      <c r="A590" t="inlineStr">
        <is>
          <t>800PLT400-2MM</t>
        </is>
      </c>
      <c r="B590" t="inlineStr">
        <is>
          <t>800 Casing Sheet - 2528 x 400 - 2mm</t>
        </is>
      </c>
      <c r="C590" t="inlineStr">
        <is>
          <t>FM - FABRICATION</t>
        </is>
      </c>
      <c r="D590" t="n">
        <v>1</v>
      </c>
      <c r="E590" t="n">
        <v>6</v>
      </c>
      <c r="F590" t="inlineStr">
        <is>
          <t>NJR STEEL - ALRODE (PTY) LTD</t>
        </is>
      </c>
      <c r="G590" s="1" t="n">
        <v>331</v>
      </c>
      <c r="H590" t="n">
        <v>0</v>
      </c>
      <c r="I590" t="n">
        <v>0.5</v>
      </c>
      <c r="J590" t="n">
        <v>6</v>
      </c>
      <c r="K590" t="n">
        <v>3</v>
      </c>
      <c r="L590" t="n">
        <v>0</v>
      </c>
      <c r="M590" t="n">
        <v>0</v>
      </c>
      <c r="N590" t="n">
        <v>15</v>
      </c>
      <c r="O590" s="1">
        <f>IFERROR(L590*G590,0)</f>
        <v/>
      </c>
      <c r="P590">
        <f>IF(N590-L590-M590&gt;0,N590-L590-M590,0)</f>
        <v/>
      </c>
      <c r="Q590" s="1">
        <f>IFERROR(P590*G590,0)</f>
        <v/>
      </c>
    </row>
    <row r="591">
      <c r="A591" t="inlineStr">
        <is>
          <t>800PLT400-3MM</t>
        </is>
      </c>
      <c r="B591" t="inlineStr">
        <is>
          <t>800 Casing Sheet - 2528 x 400 - 3mm</t>
        </is>
      </c>
      <c r="C591" t="inlineStr">
        <is>
          <t>FM - FABRICATION</t>
        </is>
      </c>
      <c r="D591" t="n">
        <v>1</v>
      </c>
      <c r="E591" t="n">
        <v>7</v>
      </c>
      <c r="F591" t="inlineStr">
        <is>
          <t>NJR STEEL - ALRODE (PTY) LTD</t>
        </is>
      </c>
      <c r="G591" s="1" t="n">
        <v>597</v>
      </c>
      <c r="H591" t="n">
        <v>0</v>
      </c>
      <c r="I591" t="n">
        <v>0.5</v>
      </c>
      <c r="J591" t="n">
        <v>7</v>
      </c>
      <c r="K591" t="n">
        <v>4</v>
      </c>
      <c r="L591" t="n">
        <v>0</v>
      </c>
      <c r="M591" t="n">
        <v>0</v>
      </c>
      <c r="N591" t="n">
        <v>18</v>
      </c>
      <c r="O591" s="1">
        <f>IFERROR(L591*G591,0)</f>
        <v/>
      </c>
      <c r="P591">
        <f>IF(N591-L591-M591&gt;0,N591-L591-M591,0)</f>
        <v/>
      </c>
      <c r="Q591" s="1">
        <f>IFERROR(P591*G591,0)</f>
        <v/>
      </c>
    </row>
    <row r="592">
      <c r="A592" t="inlineStr">
        <is>
          <t>800PLT400-3MM.</t>
        </is>
      </c>
      <c r="B592" t="inlineStr">
        <is>
          <t>800 Casing Sheet - 2528 x 400 - 3mm</t>
        </is>
      </c>
      <c r="C592" t="inlineStr">
        <is>
          <t>FM - FABRICATION</t>
        </is>
      </c>
      <c r="D592" t="n">
        <v>1</v>
      </c>
      <c r="E592" t="n">
        <v>10</v>
      </c>
      <c r="F592" t="inlineStr">
        <is>
          <t>ULTIMATENG (PTY) LTD</t>
        </is>
      </c>
      <c r="G592" s="1" t="n">
        <v>400</v>
      </c>
      <c r="H592" t="n">
        <v>0</v>
      </c>
      <c r="I592" t="n">
        <v>0.5</v>
      </c>
      <c r="J592" t="n">
        <v>10</v>
      </c>
      <c r="K592" t="n">
        <v>5</v>
      </c>
      <c r="L592" t="n">
        <v>0</v>
      </c>
      <c r="M592" t="n">
        <v>0</v>
      </c>
      <c r="N592" t="n">
        <v>25</v>
      </c>
      <c r="O592" s="1">
        <f>IFERROR(L592*G592,0)</f>
        <v/>
      </c>
      <c r="P592">
        <f>IF(N592-L592-M592&gt;0,N592-L592-M592,0)</f>
        <v/>
      </c>
      <c r="Q592" s="1">
        <f>IFERROR(P592*G592,0)</f>
        <v/>
      </c>
    </row>
    <row r="593">
      <c r="A593" t="inlineStr">
        <is>
          <t>800PLT500-3MM</t>
        </is>
      </c>
      <c r="B593" t="inlineStr">
        <is>
          <t>800 Casing Sheet - 2528 x 500 - 3mm</t>
        </is>
      </c>
      <c r="C593" t="inlineStr">
        <is>
          <t>FM - FABRICATION</t>
        </is>
      </c>
      <c r="D593" t="n">
        <v>1</v>
      </c>
      <c r="E593" t="n">
        <v>6</v>
      </c>
      <c r="F593" t="inlineStr">
        <is>
          <t>NJR STEEL - ALRODE (PTY) LTD</t>
        </is>
      </c>
      <c r="G593" s="1" t="n">
        <v>767.67</v>
      </c>
      <c r="H593" t="n">
        <v>0</v>
      </c>
      <c r="I593" t="n">
        <v>0.5</v>
      </c>
      <c r="J593" t="n">
        <v>6</v>
      </c>
      <c r="K593" t="n">
        <v>3</v>
      </c>
      <c r="L593" t="n">
        <v>0</v>
      </c>
      <c r="M593" t="n">
        <v>0</v>
      </c>
      <c r="N593" t="n">
        <v>15</v>
      </c>
      <c r="O593" s="1">
        <f>IFERROR(L593*G593,0)</f>
        <v/>
      </c>
      <c r="P593">
        <f>IF(N593-L593-M593&gt;0,N593-L593-M593,0)</f>
        <v/>
      </c>
      <c r="Q593" s="1">
        <f>IFERROR(P593*G593,0)</f>
        <v/>
      </c>
    </row>
    <row r="594">
      <c r="A594" t="inlineStr">
        <is>
          <t>800S</t>
        </is>
      </c>
      <c r="B594" t="inlineStr">
        <is>
          <t>800mm dia Fan Guard - Hot Dip Galvanised</t>
        </is>
      </c>
      <c r="C594" t="inlineStr"/>
      <c r="D594" t="n">
        <v>4</v>
      </c>
      <c r="E594" t="n">
        <v>12</v>
      </c>
      <c r="F594" t="inlineStr">
        <is>
          <t>Heinmor Wire Products CC</t>
        </is>
      </c>
      <c r="G594" s="1" t="n">
        <v>686.4</v>
      </c>
      <c r="H594" t="n">
        <v>2</v>
      </c>
      <c r="I594" t="n">
        <v>0.5</v>
      </c>
      <c r="J594" t="n">
        <v>3</v>
      </c>
      <c r="K594" t="n">
        <v>2</v>
      </c>
      <c r="L594" t="n">
        <v>0</v>
      </c>
      <c r="M594" t="n">
        <v>0</v>
      </c>
      <c r="N594" t="n">
        <v>8</v>
      </c>
      <c r="O594" s="1">
        <f>IFERROR(L594*G594,0)</f>
        <v/>
      </c>
      <c r="P594">
        <f>IF(N594-L594-M594&gt;0,N594-L594-M594,0)</f>
        <v/>
      </c>
      <c r="Q594" s="1">
        <f>IFERROR(P594*G594,0)</f>
        <v/>
      </c>
    </row>
    <row r="595">
      <c r="A595" t="inlineStr">
        <is>
          <t>800S1.0DP</t>
        </is>
      </c>
      <c r="B595" t="inlineStr">
        <is>
          <t>800 Diam Silencer 1.0D Podded</t>
        </is>
      </c>
      <c r="C595" t="inlineStr">
        <is>
          <t>FM - DONKIN</t>
        </is>
      </c>
      <c r="D595" t="n">
        <v>1</v>
      </c>
      <c r="E595" t="n">
        <v>16</v>
      </c>
      <c r="F595" t="inlineStr">
        <is>
          <t>Attenu-Tec</t>
        </is>
      </c>
      <c r="G595" s="1" t="n">
        <v>3395</v>
      </c>
      <c r="H595" t="n">
        <v>0</v>
      </c>
      <c r="I595" t="n">
        <v>1.8</v>
      </c>
      <c r="J595" t="n">
        <v>16</v>
      </c>
      <c r="K595" t="n">
        <v>29</v>
      </c>
      <c r="L595" t="n">
        <v>0</v>
      </c>
      <c r="M595" t="n">
        <v>0</v>
      </c>
      <c r="N595" t="n">
        <v>61</v>
      </c>
      <c r="O595" s="1">
        <f>IFERROR(L595*G595,0)</f>
        <v/>
      </c>
      <c r="P595">
        <f>IF(N595-L595-M595&gt;0,N595-L595-M595,0)</f>
        <v/>
      </c>
      <c r="Q595" s="1">
        <f>IFERROR(P595*G595,0)</f>
        <v/>
      </c>
    </row>
    <row r="596">
      <c r="A596" t="inlineStr">
        <is>
          <t>800S1.5D</t>
        </is>
      </c>
      <c r="B596" t="inlineStr">
        <is>
          <t>800 Diam Silencer 1.5D</t>
        </is>
      </c>
      <c r="C596" t="inlineStr">
        <is>
          <t>FM - DONKIN</t>
        </is>
      </c>
      <c r="D596" t="n">
        <v>1</v>
      </c>
      <c r="E596" t="n">
        <v>0</v>
      </c>
      <c r="F596" t="inlineStr"/>
      <c r="G596" s="1" t="n">
        <v>0</v>
      </c>
      <c r="H596" t="n">
        <v>1</v>
      </c>
      <c r="I596" t="n">
        <v>0.5</v>
      </c>
      <c r="J596" t="n">
        <v>1</v>
      </c>
      <c r="K596" t="n">
        <v>1</v>
      </c>
      <c r="L596" t="n">
        <v>0</v>
      </c>
      <c r="M596" t="n">
        <v>0</v>
      </c>
      <c r="N596" t="n">
        <v>2</v>
      </c>
      <c r="O596" s="1">
        <f>IFERROR(L596*G596,0)</f>
        <v/>
      </c>
      <c r="P596">
        <f>IF(N596-L596-M596&gt;0,N596-L596-M596,0)</f>
        <v/>
      </c>
      <c r="Q596" s="1">
        <f>IFERROR(P596*G596,0)</f>
        <v/>
      </c>
    </row>
    <row r="597">
      <c r="A597" t="inlineStr">
        <is>
          <t>800S1.5DP</t>
        </is>
      </c>
      <c r="B597" t="inlineStr">
        <is>
          <t>800 Diam Silencer 1.5D Podded</t>
        </is>
      </c>
      <c r="C597" t="inlineStr">
        <is>
          <t>FM - DONKIN</t>
        </is>
      </c>
      <c r="D597" t="n">
        <v>28</v>
      </c>
      <c r="E597" t="n">
        <v>33</v>
      </c>
      <c r="F597" t="inlineStr">
        <is>
          <t>Attenu-Tec</t>
        </is>
      </c>
      <c r="G597" s="1" t="n">
        <v>4423</v>
      </c>
      <c r="H597" t="n">
        <v>37</v>
      </c>
      <c r="I597" t="n">
        <v>0.8</v>
      </c>
      <c r="J597" t="n">
        <v>1.5</v>
      </c>
      <c r="K597" t="n">
        <v>1</v>
      </c>
      <c r="L597" t="n">
        <v>0</v>
      </c>
      <c r="M597" t="n">
        <v>0</v>
      </c>
      <c r="N597" t="n">
        <v>4</v>
      </c>
      <c r="O597" s="1">
        <f>IFERROR(L597*G597,0)</f>
        <v/>
      </c>
      <c r="P597">
        <f>IF(N597-L597-M597&gt;0,N597-L597-M597,0)</f>
        <v/>
      </c>
      <c r="Q597" s="1">
        <f>IFERROR(P597*G597,0)</f>
        <v/>
      </c>
    </row>
    <row r="598">
      <c r="A598" t="inlineStr">
        <is>
          <t>800S2.0DP</t>
        </is>
      </c>
      <c r="B598" t="inlineStr">
        <is>
          <t>800 Diam Silencer 2.0D Podded</t>
        </is>
      </c>
      <c r="C598" t="inlineStr">
        <is>
          <t>FM - DONKIN</t>
        </is>
      </c>
      <c r="D598" t="n">
        <v>19</v>
      </c>
      <c r="E598" t="n">
        <v>14</v>
      </c>
      <c r="F598" t="inlineStr">
        <is>
          <t>Attenu-Tec</t>
        </is>
      </c>
      <c r="G598" s="1" t="n">
        <v>5738</v>
      </c>
      <c r="H598" t="n">
        <v>14</v>
      </c>
      <c r="I598" t="n">
        <v>0.9</v>
      </c>
      <c r="J598" t="n">
        <v>1</v>
      </c>
      <c r="K598" t="n">
        <v>1</v>
      </c>
      <c r="L598" t="n">
        <v>0</v>
      </c>
      <c r="M598" t="n">
        <v>0</v>
      </c>
      <c r="N598" t="n">
        <v>3</v>
      </c>
      <c r="O598" s="1">
        <f>IFERROR(L598*G598,0)</f>
        <v/>
      </c>
      <c r="P598">
        <f>IF(N598-L598-M598&gt;0,N598-L598-M598,0)</f>
        <v/>
      </c>
      <c r="Q598" s="1">
        <f>IFERROR(P598*G598,0)</f>
        <v/>
      </c>
    </row>
    <row r="599">
      <c r="A599" t="inlineStr">
        <is>
          <t>800SC</t>
        </is>
      </c>
      <c r="B599" t="inlineStr">
        <is>
          <t>Screen</t>
        </is>
      </c>
      <c r="C599" t="inlineStr"/>
      <c r="D599" t="n">
        <v>1</v>
      </c>
      <c r="E599" t="n">
        <v>6</v>
      </c>
      <c r="F599" t="inlineStr">
        <is>
          <t>Systemair (Pty) Ltd</t>
        </is>
      </c>
      <c r="G599" s="1" t="n">
        <v>1092.5</v>
      </c>
      <c r="H599" t="n">
        <v>6</v>
      </c>
      <c r="I599" t="n">
        <v>0.5</v>
      </c>
      <c r="J599" t="n">
        <v>6</v>
      </c>
      <c r="K599" t="n">
        <v>3</v>
      </c>
      <c r="L599" t="n">
        <v>0</v>
      </c>
      <c r="M599" t="n">
        <v>0</v>
      </c>
      <c r="N599" t="n">
        <v>15</v>
      </c>
      <c r="O599" s="1">
        <f>IFERROR(L599*G599,0)</f>
        <v/>
      </c>
      <c r="P599">
        <f>IF(N599-L599-M599&gt;0,N599-L599-M599,0)</f>
        <v/>
      </c>
      <c r="Q599" s="1">
        <f>IFERROR(P599*G599,0)</f>
        <v/>
      </c>
    </row>
    <row r="600">
      <c r="A600" t="inlineStr">
        <is>
          <t>800SM1.0DP</t>
        </is>
      </c>
      <c r="B600" t="inlineStr">
        <is>
          <t>800 Diam Melinex Silencer 1.0D Podded</t>
        </is>
      </c>
      <c r="C600" t="inlineStr">
        <is>
          <t>FM - DONKIN</t>
        </is>
      </c>
      <c r="D600" t="n">
        <v>1</v>
      </c>
      <c r="E600" t="n">
        <v>0</v>
      </c>
      <c r="F600" t="inlineStr"/>
      <c r="G600" s="1" t="n">
        <v>0</v>
      </c>
      <c r="H600" t="n">
        <v>16</v>
      </c>
      <c r="I600" t="n">
        <v>0.5</v>
      </c>
      <c r="J600" t="n">
        <v>16</v>
      </c>
      <c r="K600" t="n">
        <v>8</v>
      </c>
      <c r="L600" t="n">
        <v>0</v>
      </c>
      <c r="M600" t="n">
        <v>0</v>
      </c>
      <c r="N600" t="n">
        <v>40</v>
      </c>
      <c r="O600" s="1">
        <f>IFERROR(L600*G600,0)</f>
        <v/>
      </c>
      <c r="P600">
        <f>IF(N600-L600-M600&gt;0,N600-L600-M600,0)</f>
        <v/>
      </c>
      <c r="Q600" s="1">
        <f>IFERROR(P600*G600,0)</f>
        <v/>
      </c>
    </row>
    <row r="601">
      <c r="A601" t="inlineStr">
        <is>
          <t>800SM1.5D</t>
        </is>
      </c>
      <c r="B601" t="inlineStr">
        <is>
          <t>800 Diam Melinex Silencer 1.5D</t>
        </is>
      </c>
      <c r="C601" t="inlineStr">
        <is>
          <t>FM - DONKIN</t>
        </is>
      </c>
      <c r="D601" t="n">
        <v>1</v>
      </c>
      <c r="E601" t="n">
        <v>1</v>
      </c>
      <c r="F601" t="inlineStr">
        <is>
          <t>Attenu-Tec</t>
        </is>
      </c>
      <c r="G601" s="1" t="n">
        <v>3582</v>
      </c>
      <c r="H601" t="n">
        <v>0</v>
      </c>
      <c r="I601" t="n">
        <v>0.5</v>
      </c>
      <c r="J601" t="n">
        <v>1</v>
      </c>
      <c r="K601" t="n">
        <v>1</v>
      </c>
      <c r="L601" t="n">
        <v>0</v>
      </c>
      <c r="M601" t="n">
        <v>0</v>
      </c>
      <c r="N601" t="n">
        <v>2</v>
      </c>
      <c r="O601" s="1">
        <f>IFERROR(L601*G601,0)</f>
        <v/>
      </c>
      <c r="P601">
        <f>IF(N601-L601-M601&gt;0,N601-L601-M601,0)</f>
        <v/>
      </c>
      <c r="Q601" s="1">
        <f>IFERROR(P601*G601,0)</f>
        <v/>
      </c>
    </row>
    <row r="602">
      <c r="A602" t="inlineStr">
        <is>
          <t>800SM1.5DP</t>
        </is>
      </c>
      <c r="B602" t="inlineStr">
        <is>
          <t>800 Diam Melinex Silencer 1.5D Podded</t>
        </is>
      </c>
      <c r="C602" t="inlineStr">
        <is>
          <t>FM - DONKIN</t>
        </is>
      </c>
      <c r="D602" t="n">
        <v>13</v>
      </c>
      <c r="E602" t="n">
        <v>11</v>
      </c>
      <c r="F602" t="inlineStr">
        <is>
          <t>Attenu-Tec</t>
        </is>
      </c>
      <c r="G602" s="1" t="n">
        <v>4192</v>
      </c>
      <c r="H602" t="n">
        <v>9</v>
      </c>
      <c r="I602" t="n">
        <v>1.5</v>
      </c>
      <c r="J602" t="n">
        <v>1</v>
      </c>
      <c r="K602" t="n">
        <v>2</v>
      </c>
      <c r="L602" t="n">
        <v>0</v>
      </c>
      <c r="M602" t="n">
        <v>0</v>
      </c>
      <c r="N602" t="n">
        <v>4</v>
      </c>
      <c r="O602" s="1">
        <f>IFERROR(L602*G602,0)</f>
        <v/>
      </c>
      <c r="P602">
        <f>IF(N602-L602-M602&gt;0,N602-L602-M602,0)</f>
        <v/>
      </c>
      <c r="Q602" s="1">
        <f>IFERROR(P602*G602,0)</f>
        <v/>
      </c>
    </row>
    <row r="603">
      <c r="A603" t="inlineStr">
        <is>
          <t>800WC</t>
        </is>
      </c>
      <c r="B603" t="inlineStr">
        <is>
          <t>800 Wall Cowl Galvanized</t>
        </is>
      </c>
      <c r="C603" t="inlineStr"/>
      <c r="D603" t="n">
        <v>1</v>
      </c>
      <c r="E603" t="n">
        <v>2</v>
      </c>
      <c r="F603" t="inlineStr">
        <is>
          <t>Attenu-Tec HVAC Parts</t>
        </is>
      </c>
      <c r="G603" s="1" t="n">
        <v>1598</v>
      </c>
      <c r="H603" t="n">
        <v>2</v>
      </c>
      <c r="I603" t="n">
        <v>0.5</v>
      </c>
      <c r="J603" t="n">
        <v>2</v>
      </c>
      <c r="K603" t="n">
        <v>1</v>
      </c>
      <c r="L603" t="n">
        <v>0</v>
      </c>
      <c r="M603" t="n">
        <v>0</v>
      </c>
      <c r="N603" t="n">
        <v>5</v>
      </c>
      <c r="O603" s="1">
        <f>IFERROR(L603*G603,0)</f>
        <v/>
      </c>
      <c r="P603">
        <f>IF(N603-L603-M603&gt;0,N603-L603-M603,0)</f>
        <v/>
      </c>
      <c r="Q603" s="1">
        <f>IFERROR(P603*G603,0)</f>
        <v/>
      </c>
    </row>
    <row r="604">
      <c r="A604" t="inlineStr">
        <is>
          <t>8220000263</t>
        </is>
      </c>
      <c r="B604" t="inlineStr">
        <is>
          <t>8UFAFCAP - Capacitor</t>
        </is>
      </c>
      <c r="C604" t="inlineStr"/>
      <c r="D604" t="n">
        <v>1</v>
      </c>
      <c r="E604" t="n">
        <v>12</v>
      </c>
      <c r="F604" t="inlineStr">
        <is>
          <t>Ebmpapst</t>
        </is>
      </c>
      <c r="G604" s="1" t="n">
        <v>50.22</v>
      </c>
      <c r="H604" t="n">
        <v>0</v>
      </c>
      <c r="I604" t="n">
        <v>0.5</v>
      </c>
      <c r="J604" t="n">
        <v>12</v>
      </c>
      <c r="K604" t="n">
        <v>6</v>
      </c>
      <c r="L604" t="n">
        <v>0</v>
      </c>
      <c r="M604" t="n">
        <v>0</v>
      </c>
      <c r="N604" t="n">
        <v>30</v>
      </c>
      <c r="O604" s="1">
        <f>IFERROR(L604*G604,0)</f>
        <v/>
      </c>
      <c r="P604">
        <f>IF(N604-L604-M604&gt;0,N604-L604-M604,0)</f>
        <v/>
      </c>
      <c r="Q604" s="1">
        <f>IFERROR(P604*G604,0)</f>
        <v/>
      </c>
    </row>
    <row r="605">
      <c r="A605" t="inlineStr">
        <is>
          <t>85X3SPA</t>
        </is>
      </c>
      <c r="B605" t="inlineStr">
        <is>
          <t>PULLEY FRICTION BELT V-WEDGE 3 GROOVE SPA 1210 TAPER 85MM FENNER</t>
        </is>
      </c>
      <c r="C605" t="inlineStr"/>
      <c r="D605" t="n">
        <v>1</v>
      </c>
      <c r="E605" t="n">
        <v>2</v>
      </c>
      <c r="F605" t="inlineStr">
        <is>
          <t>Bearing Man Group</t>
        </is>
      </c>
      <c r="G605" s="1" t="n">
        <v>174.26</v>
      </c>
      <c r="H605" t="n">
        <v>0</v>
      </c>
      <c r="I605" t="n">
        <v>0.5</v>
      </c>
      <c r="J605" t="n">
        <v>2</v>
      </c>
      <c r="K605" t="n">
        <v>1</v>
      </c>
      <c r="L605" t="n">
        <v>0</v>
      </c>
      <c r="M605" t="n">
        <v>0</v>
      </c>
      <c r="N605" t="n">
        <v>5</v>
      </c>
      <c r="O605" s="1">
        <f>IFERROR(L605*G605,0)</f>
        <v/>
      </c>
      <c r="P605">
        <f>IF(N605-L605-M605&gt;0,N605-L605-M605,0)</f>
        <v/>
      </c>
      <c r="Q605" s="1">
        <f>IFERROR(P605*G605,0)</f>
        <v/>
      </c>
    </row>
    <row r="606">
      <c r="A606" t="inlineStr">
        <is>
          <t>9.243PM</t>
        </is>
      </c>
      <c r="B606" t="inlineStr">
        <is>
          <t>9.2kW 4P 380V Pad Mount Motor</t>
        </is>
      </c>
      <c r="C606" t="inlineStr"/>
      <c r="D606" t="n">
        <v>1</v>
      </c>
      <c r="E606" t="n">
        <v>1</v>
      </c>
      <c r="F606" t="inlineStr">
        <is>
          <t>ACTOM</t>
        </is>
      </c>
      <c r="G606" s="1" t="n">
        <v>7076</v>
      </c>
      <c r="H606" t="n">
        <v>0</v>
      </c>
      <c r="I606" t="n">
        <v>1.9</v>
      </c>
      <c r="J606" t="n">
        <v>1</v>
      </c>
      <c r="K606" t="n">
        <v>2</v>
      </c>
      <c r="L606" t="n">
        <v>0</v>
      </c>
      <c r="M606" t="n">
        <v>0</v>
      </c>
      <c r="N606" t="n">
        <v>4</v>
      </c>
      <c r="O606" s="1">
        <f>IFERROR(L606*G606,0)</f>
        <v/>
      </c>
      <c r="P606">
        <f>IF(N606-L606-M606&gt;0,N606-L606-M606,0)</f>
        <v/>
      </c>
      <c r="Q606" s="1">
        <f>IFERROR(P606*G606,0)</f>
        <v/>
      </c>
    </row>
    <row r="607">
      <c r="A607" t="inlineStr">
        <is>
          <t>90 FR 23.8</t>
        </is>
      </c>
      <c r="B607" t="inlineStr">
        <is>
          <t>90 Motor Frame - 23.8 mm OD Spacer</t>
        </is>
      </c>
      <c r="C607" t="inlineStr"/>
      <c r="D607" t="n">
        <v>1</v>
      </c>
      <c r="E607" t="n">
        <v>25</v>
      </c>
      <c r="F607" t="inlineStr">
        <is>
          <t>Hulmak Engineering cc</t>
        </is>
      </c>
      <c r="G607" s="1" t="n">
        <v>30</v>
      </c>
      <c r="H607" t="n">
        <v>0</v>
      </c>
      <c r="I607" t="n">
        <v>0.5</v>
      </c>
      <c r="J607" t="n">
        <v>25</v>
      </c>
      <c r="K607" t="n">
        <v>12</v>
      </c>
      <c r="L607" t="n">
        <v>0</v>
      </c>
      <c r="M607" t="n">
        <v>0</v>
      </c>
      <c r="N607" t="n">
        <v>62</v>
      </c>
      <c r="O607" s="1">
        <f>IFERROR(L607*G607,0)</f>
        <v/>
      </c>
      <c r="P607">
        <f>IF(N607-L607-M607&gt;0,N607-L607-M607,0)</f>
        <v/>
      </c>
      <c r="Q607" s="1">
        <f>IFERROR(P607*G607,0)</f>
        <v/>
      </c>
    </row>
    <row r="608">
      <c r="A608" t="inlineStr">
        <is>
          <t>9000007</t>
        </is>
      </c>
      <c r="B608" t="inlineStr">
        <is>
          <t>EXTENDED WARRANTY</t>
        </is>
      </c>
      <c r="C608" t="inlineStr"/>
      <c r="D608" t="n">
        <v>1</v>
      </c>
      <c r="E608" t="n">
        <v>1</v>
      </c>
      <c r="F608" t="inlineStr">
        <is>
          <t>SODECA</t>
        </is>
      </c>
      <c r="G608" s="1" t="n">
        <v>1482.96</v>
      </c>
      <c r="H608" t="n">
        <v>0</v>
      </c>
      <c r="I608" t="n">
        <v>2.2</v>
      </c>
      <c r="J608" t="n">
        <v>1</v>
      </c>
      <c r="K608" t="n">
        <v>2</v>
      </c>
      <c r="L608" t="n">
        <v>0</v>
      </c>
      <c r="M608" t="n">
        <v>0</v>
      </c>
      <c r="N608" t="n">
        <v>4</v>
      </c>
      <c r="O608" s="1">
        <f>IFERROR(L608*G608,0)</f>
        <v/>
      </c>
      <c r="P608">
        <f>IF(N608-L608-M608&gt;0,N608-L608-M608,0)</f>
        <v/>
      </c>
      <c r="Q608" s="1">
        <f>IFERROR(P608*G608,0)</f>
        <v/>
      </c>
    </row>
    <row r="609">
      <c r="A609" t="inlineStr">
        <is>
          <t>900CF</t>
        </is>
      </c>
      <c r="B609" t="inlineStr">
        <is>
          <t>900 Diam Counter Flange</t>
        </is>
      </c>
      <c r="C609" t="inlineStr">
        <is>
          <t>FM - C/FLANGE</t>
        </is>
      </c>
      <c r="D609" t="n">
        <v>31</v>
      </c>
      <c r="E609" t="n">
        <v>48</v>
      </c>
      <c r="F609" t="inlineStr">
        <is>
          <t>Attenu-Tec HVAC Parts</t>
        </is>
      </c>
      <c r="G609" s="1" t="n">
        <v>403</v>
      </c>
      <c r="H609" t="n">
        <v>48</v>
      </c>
      <c r="I609" t="n">
        <v>0.7</v>
      </c>
      <c r="J609" t="n">
        <v>2</v>
      </c>
      <c r="K609" t="n">
        <v>1</v>
      </c>
      <c r="L609" t="n">
        <v>0</v>
      </c>
      <c r="M609" t="n">
        <v>0</v>
      </c>
      <c r="N609" t="n">
        <v>5</v>
      </c>
      <c r="O609" s="1">
        <f>IFERROR(L609*G609,0)</f>
        <v/>
      </c>
      <c r="P609">
        <f>IF(N609-L609-M609&gt;0,N609-L609-M609,0)</f>
        <v/>
      </c>
      <c r="Q609" s="1">
        <f>IFERROR(P609*G609,0)</f>
        <v/>
      </c>
    </row>
    <row r="610">
      <c r="A610" t="inlineStr">
        <is>
          <t>900CFUG</t>
        </is>
      </c>
      <c r="B610" t="inlineStr">
        <is>
          <t>900 Diam Counter Flange Ungalvanised</t>
        </is>
      </c>
      <c r="C610" t="inlineStr">
        <is>
          <t>FM - C/FLANGE</t>
        </is>
      </c>
      <c r="D610" t="n">
        <v>1</v>
      </c>
      <c r="E610" t="n">
        <v>9</v>
      </c>
      <c r="F610" t="inlineStr">
        <is>
          <t>ULTIMATENG (PTY) LTD</t>
        </is>
      </c>
      <c r="G610" s="1" t="n">
        <v>0</v>
      </c>
      <c r="H610" t="n">
        <v>0</v>
      </c>
      <c r="I610" t="n">
        <v>0.5</v>
      </c>
      <c r="J610" t="n">
        <v>9</v>
      </c>
      <c r="K610" t="n">
        <v>4</v>
      </c>
      <c r="L610" t="n">
        <v>0</v>
      </c>
      <c r="M610" t="n">
        <v>0</v>
      </c>
      <c r="N610" t="n">
        <v>22</v>
      </c>
      <c r="O610" s="1">
        <f>IFERROR(L610*G610,0)</f>
        <v/>
      </c>
      <c r="P610">
        <f>IF(N610-L610-M610&gt;0,N610-L610-M610,0)</f>
        <v/>
      </c>
      <c r="Q610" s="1">
        <f>IFERROR(P610*G610,0)</f>
        <v/>
      </c>
    </row>
    <row r="611">
      <c r="A611" t="inlineStr">
        <is>
          <t>900HVJ-2S</t>
        </is>
      </c>
      <c r="B611" t="inlineStr">
        <is>
          <t>900 Diam Vertical Discharge Unit</t>
        </is>
      </c>
      <c r="C611" t="inlineStr">
        <is>
          <t>FM - DONKIN</t>
        </is>
      </c>
      <c r="D611" t="n">
        <v>3</v>
      </c>
      <c r="E611" t="n">
        <v>10</v>
      </c>
      <c r="F611" t="inlineStr">
        <is>
          <t>Air Speration</t>
        </is>
      </c>
      <c r="G611" s="1" t="n">
        <v>4053.73</v>
      </c>
      <c r="H611" t="n">
        <v>10</v>
      </c>
      <c r="I611" t="n">
        <v>0.5</v>
      </c>
      <c r="J611" t="n">
        <v>3.5</v>
      </c>
      <c r="K611" t="n">
        <v>2</v>
      </c>
      <c r="L611" t="n">
        <v>0</v>
      </c>
      <c r="M611" t="n">
        <v>0</v>
      </c>
      <c r="N611" t="n">
        <v>9</v>
      </c>
      <c r="O611" s="1">
        <f>IFERROR(L611*G611,0)</f>
        <v/>
      </c>
      <c r="P611">
        <f>IF(N611-L611-M611&gt;0,N611-L611-M611,0)</f>
        <v/>
      </c>
      <c r="Q611" s="1">
        <f>IFERROR(P611*G611,0)</f>
        <v/>
      </c>
    </row>
    <row r="612">
      <c r="A612" t="inlineStr">
        <is>
          <t>900Impeller</t>
        </is>
      </c>
      <c r="B612" t="inlineStr">
        <is>
          <t>Majax-2 900.32.E.8 Spare Impeller</t>
        </is>
      </c>
      <c r="C612" t="inlineStr"/>
      <c r="D612" t="n">
        <v>2</v>
      </c>
      <c r="E612" t="n">
        <v>2</v>
      </c>
      <c r="F612" t="inlineStr">
        <is>
          <t>Air Speration</t>
        </is>
      </c>
      <c r="G612" s="1" t="n">
        <v>2911.14</v>
      </c>
      <c r="H612" t="n">
        <v>1</v>
      </c>
      <c r="I612" t="n">
        <v>0.5</v>
      </c>
      <c r="J612" t="n">
        <v>1</v>
      </c>
      <c r="K612" t="n">
        <v>1</v>
      </c>
      <c r="L612" t="n">
        <v>0</v>
      </c>
      <c r="M612" t="n">
        <v>0</v>
      </c>
      <c r="N612" t="n">
        <v>2</v>
      </c>
      <c r="O612" s="1">
        <f>IFERROR(L612*G612,0)</f>
        <v/>
      </c>
      <c r="P612">
        <f>IF(N612-L612-M612&gt;0,N612-L612-M612,0)</f>
        <v/>
      </c>
      <c r="Q612" s="1">
        <f>IFERROR(P612*G612,0)</f>
        <v/>
      </c>
    </row>
    <row r="613">
      <c r="A613" t="inlineStr">
        <is>
          <t>900MBP08</t>
        </is>
      </c>
      <c r="B613" t="inlineStr">
        <is>
          <t>1-0350-240 P08 - 900 Motor Bracket</t>
        </is>
      </c>
      <c r="C613" t="inlineStr"/>
      <c r="D613" t="n">
        <v>19</v>
      </c>
      <c r="E613" t="n">
        <v>36</v>
      </c>
      <c r="F613" t="inlineStr">
        <is>
          <t>Kart Shop TA Ultimate Laser Cutting</t>
        </is>
      </c>
      <c r="G613" s="1" t="n">
        <v>43.84</v>
      </c>
      <c r="H613" t="n">
        <v>0</v>
      </c>
      <c r="I613" t="n">
        <v>0.5</v>
      </c>
      <c r="J613" t="n">
        <v>2</v>
      </c>
      <c r="K613" t="n">
        <v>1</v>
      </c>
      <c r="L613" t="n">
        <v>0</v>
      </c>
      <c r="M613" t="n">
        <v>0</v>
      </c>
      <c r="N613" t="n">
        <v>5</v>
      </c>
      <c r="O613" s="1">
        <f>IFERROR(L613*G613,0)</f>
        <v/>
      </c>
      <c r="P613">
        <f>IF(N613-L613-M613&gt;0,N613-L613-M613,0)</f>
        <v/>
      </c>
      <c r="Q613" s="1">
        <f>IFERROR(P613*G613,0)</f>
        <v/>
      </c>
    </row>
    <row r="614">
      <c r="A614" t="inlineStr">
        <is>
          <t>900MF</t>
        </is>
      </c>
      <c r="B614" t="inlineStr">
        <is>
          <t>900 Diam Mounting Feet</t>
        </is>
      </c>
      <c r="C614" t="inlineStr">
        <is>
          <t>FM - M/FEET</t>
        </is>
      </c>
      <c r="D614" t="n">
        <v>29</v>
      </c>
      <c r="E614" t="n">
        <v>79</v>
      </c>
      <c r="F614" t="inlineStr">
        <is>
          <t>Attenu-Tec HVAC Parts</t>
        </is>
      </c>
      <c r="G614" s="1" t="n">
        <v>23.19</v>
      </c>
      <c r="H614" t="n">
        <v>83</v>
      </c>
      <c r="I614" t="n">
        <v>0.8</v>
      </c>
      <c r="J614" t="n">
        <v>3</v>
      </c>
      <c r="K614" t="n">
        <v>2</v>
      </c>
      <c r="L614" t="n">
        <v>0</v>
      </c>
      <c r="M614" t="n">
        <v>0</v>
      </c>
      <c r="N614" t="n">
        <v>8</v>
      </c>
      <c r="O614" s="1">
        <f>IFERROR(L614*G614,0)</f>
        <v/>
      </c>
      <c r="P614">
        <f>IF(N614-L614-M614&gt;0,N614-L614-M614,0)</f>
        <v/>
      </c>
      <c r="Q614" s="1">
        <f>IFERROR(P614*G614,0)</f>
        <v/>
      </c>
    </row>
    <row r="615">
      <c r="A615" t="inlineStr">
        <is>
          <t>900MFUG</t>
        </is>
      </c>
      <c r="B615" t="inlineStr">
        <is>
          <t>900 Diam Mounting Feet Ungalvanized</t>
        </is>
      </c>
      <c r="C615" t="inlineStr">
        <is>
          <t>FM - M/FEET</t>
        </is>
      </c>
      <c r="D615" t="n">
        <v>1</v>
      </c>
      <c r="E615" t="n">
        <v>15</v>
      </c>
      <c r="F615" t="inlineStr">
        <is>
          <t>ULTIMATENG (PTY) LTD</t>
        </is>
      </c>
      <c r="G615" s="1" t="n">
        <v>0</v>
      </c>
      <c r="H615" t="n">
        <v>0</v>
      </c>
      <c r="I615" t="n">
        <v>0.5</v>
      </c>
      <c r="J615" t="n">
        <v>15</v>
      </c>
      <c r="K615" t="n">
        <v>8</v>
      </c>
      <c r="L615" t="n">
        <v>0</v>
      </c>
      <c r="M615" t="n">
        <v>0</v>
      </c>
      <c r="N615" t="n">
        <v>38</v>
      </c>
      <c r="O615" s="1">
        <f>IFERROR(L615*G615,0)</f>
        <v/>
      </c>
      <c r="P615">
        <f>IF(N615-L615-M615&gt;0,N615-L615-M615,0)</f>
        <v/>
      </c>
      <c r="Q615" s="1">
        <f>IFERROR(P615*G615,0)</f>
        <v/>
      </c>
    </row>
    <row r="616">
      <c r="A616" t="inlineStr">
        <is>
          <t>900PLT500-3MM</t>
        </is>
      </c>
      <c r="B616" t="inlineStr">
        <is>
          <t>900 Casing Sheet - 2839 x 500 - 3mm</t>
        </is>
      </c>
      <c r="C616" t="inlineStr">
        <is>
          <t>FM - FABRICATION</t>
        </is>
      </c>
      <c r="D616" t="n">
        <v>1</v>
      </c>
      <c r="E616" t="n">
        <v>5</v>
      </c>
      <c r="F616" t="inlineStr">
        <is>
          <t>NJR STEEL - ALRODE (PTY) LTD</t>
        </is>
      </c>
      <c r="G616" s="1" t="n">
        <v>897</v>
      </c>
      <c r="H616" t="n">
        <v>0</v>
      </c>
      <c r="I616" t="n">
        <v>0.5</v>
      </c>
      <c r="J616" t="n">
        <v>5</v>
      </c>
      <c r="K616" t="n">
        <v>2</v>
      </c>
      <c r="L616" t="n">
        <v>0</v>
      </c>
      <c r="M616" t="n">
        <v>0</v>
      </c>
      <c r="N616" t="n">
        <v>12</v>
      </c>
      <c r="O616" s="1">
        <f>IFERROR(L616*G616,0)</f>
        <v/>
      </c>
      <c r="P616">
        <f>IF(N616-L616-M616&gt;0,N616-L616-M616,0)</f>
        <v/>
      </c>
      <c r="Q616" s="1">
        <f>IFERROR(P616*G616,0)</f>
        <v/>
      </c>
    </row>
    <row r="617">
      <c r="A617" t="inlineStr">
        <is>
          <t>900S1.5D</t>
        </is>
      </c>
      <c r="B617" t="inlineStr">
        <is>
          <t>900 Diam Silencer 1.5D</t>
        </is>
      </c>
      <c r="C617" t="inlineStr">
        <is>
          <t>FM - DONKIN</t>
        </is>
      </c>
      <c r="D617" t="n">
        <v>1</v>
      </c>
      <c r="E617" t="n">
        <v>4</v>
      </c>
      <c r="F617" t="inlineStr">
        <is>
          <t>Attenu-Tec</t>
        </is>
      </c>
      <c r="G617" s="1" t="n">
        <v>4272</v>
      </c>
      <c r="H617" t="n">
        <v>4</v>
      </c>
      <c r="I617" t="n">
        <v>0.5</v>
      </c>
      <c r="J617" t="n">
        <v>4</v>
      </c>
      <c r="K617" t="n">
        <v>2</v>
      </c>
      <c r="L617" t="n">
        <v>0</v>
      </c>
      <c r="M617" t="n">
        <v>0</v>
      </c>
      <c r="N617" t="n">
        <v>10</v>
      </c>
      <c r="O617" s="1">
        <f>IFERROR(L617*G617,0)</f>
        <v/>
      </c>
      <c r="P617">
        <f>IF(N617-L617-M617&gt;0,N617-L617-M617,0)</f>
        <v/>
      </c>
      <c r="Q617" s="1">
        <f>IFERROR(P617*G617,0)</f>
        <v/>
      </c>
    </row>
    <row r="618">
      <c r="A618" t="inlineStr">
        <is>
          <t>900S1.5DP</t>
        </is>
      </c>
      <c r="B618" t="inlineStr">
        <is>
          <t>900 Diam Silencer 1.5D Podded</t>
        </is>
      </c>
      <c r="C618" t="inlineStr">
        <is>
          <t>FM - DONKIN</t>
        </is>
      </c>
      <c r="D618" t="n">
        <v>1</v>
      </c>
      <c r="E618" t="n">
        <v>0</v>
      </c>
      <c r="F618" t="inlineStr"/>
      <c r="G618" s="1" t="n">
        <v>0</v>
      </c>
      <c r="H618" t="n">
        <v>2</v>
      </c>
      <c r="I618" t="n">
        <v>0.5</v>
      </c>
      <c r="J618" t="n">
        <v>2</v>
      </c>
      <c r="K618" t="n">
        <v>1</v>
      </c>
      <c r="L618" t="n">
        <v>0</v>
      </c>
      <c r="M618" t="n">
        <v>0</v>
      </c>
      <c r="N618" t="n">
        <v>5</v>
      </c>
      <c r="O618" s="1">
        <f>IFERROR(L618*G618,0)</f>
        <v/>
      </c>
      <c r="P618">
        <f>IF(N618-L618-M618&gt;0,N618-L618-M618,0)</f>
        <v/>
      </c>
      <c r="Q618" s="1">
        <f>IFERROR(P618*G618,0)</f>
        <v/>
      </c>
    </row>
    <row r="619">
      <c r="A619" t="inlineStr">
        <is>
          <t>900S2.0D</t>
        </is>
      </c>
      <c r="B619" t="inlineStr">
        <is>
          <t>900 Diam Silencer 2.0D</t>
        </is>
      </c>
      <c r="C619" t="inlineStr">
        <is>
          <t>FM - DONKIN</t>
        </is>
      </c>
      <c r="D619" t="n">
        <v>3</v>
      </c>
      <c r="E619" t="n">
        <v>3</v>
      </c>
      <c r="F619" t="inlineStr">
        <is>
          <t>Attenu-Tec</t>
        </is>
      </c>
      <c r="G619" s="1" t="n">
        <v>5661.5</v>
      </c>
      <c r="H619" t="n">
        <v>1</v>
      </c>
      <c r="I619" t="n">
        <v>1.4</v>
      </c>
      <c r="J619" t="n">
        <v>1</v>
      </c>
      <c r="K619" t="n">
        <v>1</v>
      </c>
      <c r="L619" t="n">
        <v>0</v>
      </c>
      <c r="M619" t="n">
        <v>0</v>
      </c>
      <c r="N619" t="n">
        <v>3</v>
      </c>
      <c r="O619" s="1">
        <f>IFERROR(L619*G619,0)</f>
        <v/>
      </c>
      <c r="P619">
        <f>IF(N619-L619-M619&gt;0,N619-L619-M619,0)</f>
        <v/>
      </c>
      <c r="Q619" s="1">
        <f>IFERROR(P619*G619,0)</f>
        <v/>
      </c>
    </row>
    <row r="620">
      <c r="A620" t="inlineStr">
        <is>
          <t>900S2.0DP</t>
        </is>
      </c>
      <c r="B620" t="inlineStr">
        <is>
          <t>900 Diam Silencer 2.0D Podded</t>
        </is>
      </c>
      <c r="C620" t="inlineStr">
        <is>
          <t>FM - DONKIN</t>
        </is>
      </c>
      <c r="D620" t="n">
        <v>9</v>
      </c>
      <c r="E620" t="n">
        <v>6</v>
      </c>
      <c r="F620" t="inlineStr">
        <is>
          <t>Attenu-Tec</t>
        </is>
      </c>
      <c r="G620" s="1" t="n">
        <v>6224</v>
      </c>
      <c r="H620" t="n">
        <v>9</v>
      </c>
      <c r="I620" t="n">
        <v>1.4</v>
      </c>
      <c r="J620" t="n">
        <v>1</v>
      </c>
      <c r="K620" t="n">
        <v>1</v>
      </c>
      <c r="L620" t="n">
        <v>0</v>
      </c>
      <c r="M620" t="n">
        <v>0</v>
      </c>
      <c r="N620" t="n">
        <v>3</v>
      </c>
      <c r="O620" s="1">
        <f>IFERROR(L620*G620,0)</f>
        <v/>
      </c>
      <c r="P620">
        <f>IF(N620-L620-M620&gt;0,N620-L620-M620,0)</f>
        <v/>
      </c>
      <c r="Q620" s="1">
        <f>IFERROR(P620*G620,0)</f>
        <v/>
      </c>
    </row>
    <row r="621">
      <c r="A621" t="inlineStr">
        <is>
          <t>900SC</t>
        </is>
      </c>
      <c r="B621" t="inlineStr">
        <is>
          <t>Screen</t>
        </is>
      </c>
      <c r="C621" t="inlineStr"/>
      <c r="D621" t="n">
        <v>1</v>
      </c>
      <c r="E621" t="n">
        <v>1</v>
      </c>
      <c r="F621" t="inlineStr">
        <is>
          <t>Centrifab (Pty) Ltd</t>
        </is>
      </c>
      <c r="G621" s="1" t="n">
        <v>1002.78</v>
      </c>
      <c r="H621" t="n">
        <v>0</v>
      </c>
      <c r="I621" t="n">
        <v>1.4</v>
      </c>
      <c r="J621" t="n">
        <v>1</v>
      </c>
      <c r="K621" t="n">
        <v>1</v>
      </c>
      <c r="L621" t="n">
        <v>0</v>
      </c>
      <c r="M621" t="n">
        <v>0</v>
      </c>
      <c r="N621" t="n">
        <v>3</v>
      </c>
      <c r="O621" s="1">
        <f>IFERROR(L621*G621,0)</f>
        <v/>
      </c>
      <c r="P621">
        <f>IF(N621-L621-M621&gt;0,N621-L621-M621,0)</f>
        <v/>
      </c>
      <c r="Q621" s="1">
        <f>IFERROR(P621*G621,0)</f>
        <v/>
      </c>
    </row>
    <row r="622">
      <c r="A622" t="inlineStr">
        <is>
          <t>900SM1.5DP</t>
        </is>
      </c>
      <c r="B622" t="inlineStr">
        <is>
          <t>900 Diam Melinex Silencer 1.5D Podded</t>
        </is>
      </c>
      <c r="C622" t="inlineStr">
        <is>
          <t>FM - DONKIN</t>
        </is>
      </c>
      <c r="D622" t="n">
        <v>1</v>
      </c>
      <c r="E622" t="n">
        <v>2</v>
      </c>
      <c r="F622" t="inlineStr">
        <is>
          <t>Attenu-Tec</t>
        </is>
      </c>
      <c r="G622" s="1" t="n">
        <v>4804</v>
      </c>
      <c r="H622" t="n">
        <v>0</v>
      </c>
      <c r="I622" t="n">
        <v>0.5</v>
      </c>
      <c r="J622" t="n">
        <v>2</v>
      </c>
      <c r="K622" t="n">
        <v>1</v>
      </c>
      <c r="L622" t="n">
        <v>0</v>
      </c>
      <c r="M622" t="n">
        <v>0</v>
      </c>
      <c r="N622" t="n">
        <v>5</v>
      </c>
      <c r="O622" s="1">
        <f>IFERROR(L622*G622,0)</f>
        <v/>
      </c>
      <c r="P622">
        <f>IF(N622-L622-M622&gt;0,N622-L622-M622,0)</f>
        <v/>
      </c>
      <c r="Q622" s="1">
        <f>IFERROR(P622*G622,0)</f>
        <v/>
      </c>
    </row>
    <row r="623">
      <c r="A623" t="inlineStr">
        <is>
          <t>900SM2.0DP</t>
        </is>
      </c>
      <c r="B623" t="inlineStr">
        <is>
          <t>900 Diam Melinex Silencer 2.0D Podded</t>
        </is>
      </c>
      <c r="C623" t="inlineStr">
        <is>
          <t>FM - DONKIN</t>
        </is>
      </c>
      <c r="D623" t="n">
        <v>19</v>
      </c>
      <c r="E623" t="n">
        <v>2</v>
      </c>
      <c r="F623" t="inlineStr">
        <is>
          <t>Attenu-Tec</t>
        </is>
      </c>
      <c r="G623" s="1" t="n">
        <v>6224</v>
      </c>
      <c r="H623" t="n">
        <v>7</v>
      </c>
      <c r="I623" t="n">
        <v>0.5</v>
      </c>
      <c r="J623" t="n">
        <v>1</v>
      </c>
      <c r="K623" t="n">
        <v>1</v>
      </c>
      <c r="L623" t="n">
        <v>0</v>
      </c>
      <c r="M623" t="n">
        <v>0</v>
      </c>
      <c r="N623" t="n">
        <v>2</v>
      </c>
      <c r="O623" s="1">
        <f>IFERROR(L623*G623,0)</f>
        <v/>
      </c>
      <c r="P623">
        <f>IF(N623-L623-M623&gt;0,N623-L623-M623,0)</f>
        <v/>
      </c>
      <c r="Q623" s="1">
        <f>IFERROR(P623*G623,0)</f>
        <v/>
      </c>
    </row>
    <row r="624">
      <c r="A624" t="inlineStr">
        <is>
          <t>90X2SPZ</t>
        </is>
      </c>
      <c r="B624" t="inlineStr">
        <is>
          <t>Pulley Friction Belt V-wedge 2 Groo</t>
        </is>
      </c>
      <c r="C624" t="inlineStr"/>
      <c r="D624" t="n">
        <v>1</v>
      </c>
      <c r="E624" t="n">
        <v>4</v>
      </c>
      <c r="F624" t="inlineStr">
        <is>
          <t>Bearing Man Group</t>
        </is>
      </c>
      <c r="G624" s="1" t="n">
        <v>134.3</v>
      </c>
      <c r="H624" t="n">
        <v>0</v>
      </c>
      <c r="I624" t="n">
        <v>0.5</v>
      </c>
      <c r="J624" t="n">
        <v>4</v>
      </c>
      <c r="K624" t="n">
        <v>2</v>
      </c>
      <c r="L624" t="n">
        <v>0</v>
      </c>
      <c r="M624" t="n">
        <v>0</v>
      </c>
      <c r="N624" t="n">
        <v>10</v>
      </c>
      <c r="O624" s="1">
        <f>IFERROR(L624*G624,0)</f>
        <v/>
      </c>
      <c r="P624">
        <f>IF(N624-L624-M624&gt;0,N624-L624-M624,0)</f>
        <v/>
      </c>
      <c r="Q624" s="1">
        <f>IFERROR(P624*G624,0)</f>
        <v/>
      </c>
    </row>
    <row r="625">
      <c r="A625" t="inlineStr">
        <is>
          <t>90X3SPA</t>
        </is>
      </c>
      <c r="B625" t="inlineStr">
        <is>
          <t>PULLEY FRICTION BELT V-WEDGE 3 GROOVE SPA 1610 TAPER 90MM FENNER</t>
        </is>
      </c>
      <c r="C625" t="inlineStr"/>
      <c r="D625" t="n">
        <v>1</v>
      </c>
      <c r="E625" t="n">
        <v>2</v>
      </c>
      <c r="F625" t="inlineStr">
        <is>
          <t>Bearing Man Group</t>
        </is>
      </c>
      <c r="G625" s="1" t="n">
        <v>186.29</v>
      </c>
      <c r="H625" t="n">
        <v>0</v>
      </c>
      <c r="I625" t="n">
        <v>0.5</v>
      </c>
      <c r="J625" t="n">
        <v>2</v>
      </c>
      <c r="K625" t="n">
        <v>1</v>
      </c>
      <c r="L625" t="n">
        <v>0</v>
      </c>
      <c r="M625" t="n">
        <v>0</v>
      </c>
      <c r="N625" t="n">
        <v>5</v>
      </c>
      <c r="O625" s="1">
        <f>IFERROR(L625*G625,0)</f>
        <v/>
      </c>
      <c r="P625">
        <f>IF(N625-L625-M625&gt;0,N625-L625-M625,0)</f>
        <v/>
      </c>
      <c r="Q625" s="1">
        <f>IFERROR(P625*G625,0)</f>
        <v/>
      </c>
    </row>
    <row r="626">
      <c r="A626" t="inlineStr">
        <is>
          <t>950x600x1200</t>
        </is>
      </c>
      <c r="B626" t="inlineStr">
        <is>
          <t>950 x 600 x 1200mm Silencer</t>
        </is>
      </c>
      <c r="C626" t="inlineStr"/>
      <c r="D626" t="n">
        <v>1</v>
      </c>
      <c r="E626" t="n">
        <v>0</v>
      </c>
      <c r="F626" t="inlineStr"/>
      <c r="G626" s="1" t="n">
        <v>0</v>
      </c>
      <c r="H626" t="n">
        <v>1</v>
      </c>
      <c r="I626" t="n">
        <v>0.5</v>
      </c>
      <c r="J626" t="n">
        <v>1</v>
      </c>
      <c r="K626" t="n">
        <v>1</v>
      </c>
      <c r="L626" t="n">
        <v>0</v>
      </c>
      <c r="M626" t="n">
        <v>0</v>
      </c>
      <c r="N626" t="n">
        <v>2</v>
      </c>
      <c r="O626" s="1">
        <f>IFERROR(L626*G626,0)</f>
        <v/>
      </c>
      <c r="P626">
        <f>IF(N626-L626-M626&gt;0,N626-L626-M626,0)</f>
        <v/>
      </c>
      <c r="Q626" s="1">
        <f>IFERROR(P626*G626,0)</f>
        <v/>
      </c>
    </row>
    <row r="627">
      <c r="A627" t="inlineStr">
        <is>
          <t>95X3SPA</t>
        </is>
      </c>
      <c r="B627" t="inlineStr">
        <is>
          <t>PULLEY FRICTION BELT V-WEDGE 3 GROOVE SPA 1610 TAPER 95MM FENNER</t>
        </is>
      </c>
      <c r="C627" t="inlineStr"/>
      <c r="D627" t="n">
        <v>1</v>
      </c>
      <c r="E627" t="n">
        <v>1</v>
      </c>
      <c r="F627" t="inlineStr">
        <is>
          <t>Bearing Man Group</t>
        </is>
      </c>
      <c r="G627" s="1" t="n">
        <v>223.66</v>
      </c>
      <c r="H627" t="n">
        <v>0</v>
      </c>
      <c r="I627" t="n">
        <v>0.5</v>
      </c>
      <c r="J627" t="n">
        <v>1</v>
      </c>
      <c r="K627" t="n">
        <v>1</v>
      </c>
      <c r="L627" t="n">
        <v>0</v>
      </c>
      <c r="M627" t="n">
        <v>0</v>
      </c>
      <c r="N627" t="n">
        <v>2</v>
      </c>
      <c r="O627" s="1">
        <f>IFERROR(L627*G627,0)</f>
        <v/>
      </c>
      <c r="P627">
        <f>IF(N627-L627-M627&gt;0,N627-L627-M627,0)</f>
        <v/>
      </c>
      <c r="Q627" s="1">
        <f>IFERROR(P627*G627,0)</f>
        <v/>
      </c>
    </row>
    <row r="628">
      <c r="A628" t="inlineStr">
        <is>
          <t>97-32</t>
        </is>
      </c>
      <c r="B628" t="inlineStr">
        <is>
          <t>PG-16 GLANDS : PG16 POLYMER CABLE GLAND GREY</t>
        </is>
      </c>
      <c r="C628" t="inlineStr"/>
      <c r="D628" t="n">
        <v>4</v>
      </c>
      <c r="E628" t="n">
        <v>300</v>
      </c>
      <c r="F628" t="inlineStr">
        <is>
          <t>Atlantic Lighting &amp; Electrical distributors</t>
        </is>
      </c>
      <c r="G628" s="1" t="n">
        <v>5.42</v>
      </c>
      <c r="H628" t="n">
        <v>0</v>
      </c>
      <c r="I628" t="n">
        <v>0.5</v>
      </c>
      <c r="J628" t="n">
        <v>75</v>
      </c>
      <c r="K628" t="n">
        <v>38</v>
      </c>
      <c r="L628" t="n">
        <v>0</v>
      </c>
      <c r="M628" t="n">
        <v>0</v>
      </c>
      <c r="N628" t="n">
        <v>188</v>
      </c>
      <c r="O628" s="1">
        <f>IFERROR(L628*G628,0)</f>
        <v/>
      </c>
      <c r="P628">
        <f>IF(N628-L628-M628&gt;0,N628-L628-M628,0)</f>
        <v/>
      </c>
      <c r="Q628" s="1">
        <f>IFERROR(P628*G628,0)</f>
        <v/>
      </c>
    </row>
    <row r="629">
      <c r="A629" t="inlineStr">
        <is>
          <t>99050-EMB-20-R40</t>
        </is>
      </c>
      <c r="B629" t="inlineStr">
        <is>
          <t>EMBROIDERY R40 R40</t>
        </is>
      </c>
      <c r="C629" t="inlineStr"/>
      <c r="D629" t="n">
        <v>1</v>
      </c>
      <c r="E629" t="n">
        <v>14</v>
      </c>
      <c r="F629" t="inlineStr">
        <is>
          <t>Workwear Depot (Pty)Ltd</t>
        </is>
      </c>
      <c r="G629" s="1" t="n">
        <v>34.78</v>
      </c>
      <c r="H629" t="n">
        <v>0</v>
      </c>
      <c r="I629" t="n">
        <v>0.5</v>
      </c>
      <c r="J629" t="n">
        <v>14</v>
      </c>
      <c r="K629" t="n">
        <v>7</v>
      </c>
      <c r="L629" t="n">
        <v>0</v>
      </c>
      <c r="M629" t="n">
        <v>0</v>
      </c>
      <c r="N629" t="n">
        <v>35</v>
      </c>
      <c r="O629" s="1">
        <f>IFERROR(L629*G629,0)</f>
        <v/>
      </c>
      <c r="P629">
        <f>IF(N629-L629-M629&gt;0,N629-L629-M629,0)</f>
        <v/>
      </c>
      <c r="Q629" s="1">
        <f>IFERROR(P629*G629,0)</f>
        <v/>
      </c>
    </row>
    <row r="630">
      <c r="A630" t="inlineStr">
        <is>
          <t>99050-EMB-22-R50</t>
        </is>
      </c>
      <c r="B630" t="inlineStr">
        <is>
          <t>EMBROIDERY R50 R50</t>
        </is>
      </c>
      <c r="C630" t="inlineStr">
        <is>
          <t>FM - UNIFORM</t>
        </is>
      </c>
      <c r="D630" t="n">
        <v>1</v>
      </c>
      <c r="E630" t="n">
        <v>8</v>
      </c>
      <c r="F630" t="inlineStr">
        <is>
          <t>Workwear Depot (Pty)Ltd</t>
        </is>
      </c>
      <c r="G630" s="1" t="n">
        <v>42.93</v>
      </c>
      <c r="H630" t="n">
        <v>0</v>
      </c>
      <c r="I630" t="n">
        <v>0.5</v>
      </c>
      <c r="J630" t="n">
        <v>8</v>
      </c>
      <c r="K630" t="n">
        <v>4</v>
      </c>
      <c r="L630" t="n">
        <v>0</v>
      </c>
      <c r="M630" t="n">
        <v>0</v>
      </c>
      <c r="N630" t="n">
        <v>20</v>
      </c>
      <c r="O630" s="1">
        <f>IFERROR(L630*G630,0)</f>
        <v/>
      </c>
      <c r="P630">
        <f>IF(N630-L630-M630&gt;0,N630-L630-M630,0)</f>
        <v/>
      </c>
      <c r="Q630" s="1">
        <f>IFERROR(P630*G630,0)</f>
        <v/>
      </c>
    </row>
    <row r="631">
      <c r="A631" t="inlineStr">
        <is>
          <t>A)</t>
        </is>
      </c>
      <c r="B631" t="inlineStr">
        <is>
          <t>LDP/400/6/15/B/19mm - 0.75kW 2P</t>
        </is>
      </c>
      <c r="C631" t="inlineStr"/>
      <c r="D631" t="n">
        <v>1</v>
      </c>
      <c r="E631" t="n">
        <v>3</v>
      </c>
      <c r="F631" t="inlineStr">
        <is>
          <t>CFW Fans (Pty) Ltd</t>
        </is>
      </c>
      <c r="G631" s="1" t="n">
        <v>1308</v>
      </c>
      <c r="H631" t="n">
        <v>0</v>
      </c>
      <c r="I631" t="n">
        <v>0.8</v>
      </c>
      <c r="J631" t="n">
        <v>3</v>
      </c>
      <c r="K631" t="n">
        <v>2</v>
      </c>
      <c r="L631" t="n">
        <v>0</v>
      </c>
      <c r="M631" t="n">
        <v>0</v>
      </c>
      <c r="N631" t="n">
        <v>8</v>
      </c>
      <c r="O631" s="1">
        <f>IFERROR(L631*G631,0)</f>
        <v/>
      </c>
      <c r="P631">
        <f>IF(N631-L631-M631&gt;0,N631-L631-M631,0)</f>
        <v/>
      </c>
      <c r="Q631" s="1">
        <f>IFERROR(P631*G631,0)</f>
        <v/>
      </c>
    </row>
    <row r="632">
      <c r="A632" t="inlineStr">
        <is>
          <t>A/01</t>
        </is>
      </c>
      <c r="B632" t="inlineStr">
        <is>
          <t>Volume Control Damper &amp; Quad 100mm</t>
        </is>
      </c>
      <c r="C632" t="inlineStr"/>
      <c r="D632" t="n">
        <v>1</v>
      </c>
      <c r="E632" t="n">
        <v>0</v>
      </c>
      <c r="F632" t="inlineStr"/>
      <c r="G632" s="1" t="n">
        <v>0</v>
      </c>
      <c r="H632" t="n">
        <v>24</v>
      </c>
      <c r="I632" t="n">
        <v>0.5</v>
      </c>
      <c r="J632" t="n">
        <v>24</v>
      </c>
      <c r="K632" t="n">
        <v>12</v>
      </c>
      <c r="L632" t="n">
        <v>0</v>
      </c>
      <c r="M632" t="n">
        <v>0</v>
      </c>
      <c r="N632" t="n">
        <v>60</v>
      </c>
      <c r="O632" s="1">
        <f>IFERROR(L632*G632,0)</f>
        <v/>
      </c>
      <c r="P632">
        <f>IF(N632-L632-M632&gt;0,N632-L632-M632,0)</f>
        <v/>
      </c>
      <c r="Q632" s="1">
        <f>IFERROR(P632*G632,0)</f>
        <v/>
      </c>
    </row>
    <row r="633">
      <c r="A633" t="inlineStr">
        <is>
          <t>A/02</t>
        </is>
      </c>
      <c r="B633" t="inlineStr">
        <is>
          <t>Fire Damper c/w Link &amp; Quad 100mm</t>
        </is>
      </c>
      <c r="C633" t="inlineStr"/>
      <c r="D633" t="n">
        <v>1</v>
      </c>
      <c r="E633" t="n">
        <v>0</v>
      </c>
      <c r="F633" t="inlineStr"/>
      <c r="G633" s="1" t="n">
        <v>0</v>
      </c>
      <c r="H633" t="n">
        <v>23</v>
      </c>
      <c r="I633" t="n">
        <v>0.5</v>
      </c>
      <c r="J633" t="n">
        <v>23</v>
      </c>
      <c r="K633" t="n">
        <v>12</v>
      </c>
      <c r="L633" t="n">
        <v>0</v>
      </c>
      <c r="M633" t="n">
        <v>0</v>
      </c>
      <c r="N633" t="n">
        <v>58</v>
      </c>
      <c r="O633" s="1">
        <f>IFERROR(L633*G633,0)</f>
        <v/>
      </c>
      <c r="P633">
        <f>IF(N633-L633-M633&gt;0,N633-L633-M633,0)</f>
        <v/>
      </c>
      <c r="Q633" s="1">
        <f>IFERROR(P633*G633,0)</f>
        <v/>
      </c>
    </row>
    <row r="634">
      <c r="A634" t="inlineStr">
        <is>
          <t>ADF-PVT30</t>
        </is>
      </c>
      <c r="B634" t="inlineStr">
        <is>
          <t>PVT 30</t>
        </is>
      </c>
      <c r="C634" t="inlineStr"/>
      <c r="D634" t="n">
        <v>1</v>
      </c>
      <c r="E634" t="n">
        <v>1</v>
      </c>
      <c r="F634" t="inlineStr">
        <is>
          <t>AF Fans CC</t>
        </is>
      </c>
      <c r="G634" s="1" t="n">
        <v>2560</v>
      </c>
      <c r="H634" t="n">
        <v>0</v>
      </c>
      <c r="I634" t="n">
        <v>0.5</v>
      </c>
      <c r="J634" t="n">
        <v>1</v>
      </c>
      <c r="K634" t="n">
        <v>1</v>
      </c>
      <c r="L634" t="n">
        <v>0</v>
      </c>
      <c r="M634" t="n">
        <v>0</v>
      </c>
      <c r="N634" t="n">
        <v>2</v>
      </c>
      <c r="O634" s="1">
        <f>IFERROR(L634*G634,0)</f>
        <v/>
      </c>
      <c r="P634">
        <f>IF(N634-L634-M634&gt;0,N634-L634-M634,0)</f>
        <v/>
      </c>
      <c r="Q634" s="1">
        <f>IFERROR(P634*G634,0)</f>
        <v/>
      </c>
    </row>
    <row r="635">
      <c r="A635" t="inlineStr">
        <is>
          <t>ADF-PVT30-DUCT</t>
        </is>
      </c>
      <c r="B635" t="inlineStr">
        <is>
          <t>Spiral Flex PVC ducting, 5m Length, 300mm Diameter</t>
        </is>
      </c>
      <c r="C635" t="inlineStr"/>
      <c r="D635" t="n">
        <v>1</v>
      </c>
      <c r="E635" t="n">
        <v>2</v>
      </c>
      <c r="F635" t="inlineStr">
        <is>
          <t>AF Fans CC</t>
        </is>
      </c>
      <c r="G635" s="1" t="n">
        <v>960</v>
      </c>
      <c r="H635" t="n">
        <v>0</v>
      </c>
      <c r="I635" t="n">
        <v>0.5</v>
      </c>
      <c r="J635" t="n">
        <v>2</v>
      </c>
      <c r="K635" t="n">
        <v>1</v>
      </c>
      <c r="L635" t="n">
        <v>0</v>
      </c>
      <c r="M635" t="n">
        <v>0</v>
      </c>
      <c r="N635" t="n">
        <v>5</v>
      </c>
      <c r="O635" s="1">
        <f>IFERROR(L635*G635,0)</f>
        <v/>
      </c>
      <c r="P635">
        <f>IF(N635-L635-M635&gt;0,N635-L635-M635,0)</f>
        <v/>
      </c>
      <c r="Q635" s="1">
        <f>IFERROR(P635*G635,0)</f>
        <v/>
      </c>
    </row>
    <row r="636">
      <c r="A636" t="inlineStr">
        <is>
          <t>ADRA-</t>
        </is>
      </c>
      <c r="B636" t="inlineStr">
        <is>
          <t>RA 1200(W)*600(H) NS PCW</t>
        </is>
      </c>
      <c r="C636" t="inlineStr"/>
      <c r="D636" t="n">
        <v>1</v>
      </c>
      <c r="E636" t="n">
        <v>200</v>
      </c>
      <c r="F636" t="inlineStr">
        <is>
          <t>Advantage Air Africa Pty Ltd</t>
        </is>
      </c>
      <c r="G636" s="1" t="n">
        <v>183.23</v>
      </c>
      <c r="H636" t="n">
        <v>0</v>
      </c>
      <c r="I636" t="n">
        <v>0.5</v>
      </c>
      <c r="J636" t="n">
        <v>200</v>
      </c>
      <c r="K636" t="n">
        <v>100</v>
      </c>
      <c r="L636" t="n">
        <v>0</v>
      </c>
      <c r="M636" t="n">
        <v>0</v>
      </c>
      <c r="N636" t="n">
        <v>500</v>
      </c>
      <c r="O636" s="1">
        <f>IFERROR(L636*G636,0)</f>
        <v/>
      </c>
      <c r="P636">
        <f>IF(N636-L636-M636&gt;0,N636-L636-M636,0)</f>
        <v/>
      </c>
      <c r="Q636" s="1">
        <f>IFERROR(P636*G636,0)</f>
        <v/>
      </c>
    </row>
    <row r="637">
      <c r="A637" t="inlineStr">
        <is>
          <t>ADSD</t>
        </is>
      </c>
      <c r="B637" t="inlineStr">
        <is>
          <t>SINGLE DEFLECTION GRILLE 625(W)*625(H) OVER FLANGE NATURAL</t>
        </is>
      </c>
      <c r="C637" t="inlineStr"/>
      <c r="D637" t="n">
        <v>1</v>
      </c>
      <c r="E637" t="n">
        <v>5</v>
      </c>
      <c r="F637" t="inlineStr">
        <is>
          <t>Advantage Air Africa Pty Ltd</t>
        </is>
      </c>
      <c r="G637" s="1" t="n">
        <v>776.58</v>
      </c>
      <c r="H637" t="n">
        <v>0</v>
      </c>
      <c r="I637" t="n">
        <v>0.5</v>
      </c>
      <c r="J637" t="n">
        <v>5</v>
      </c>
      <c r="K637" t="n">
        <v>2</v>
      </c>
      <c r="L637" t="n">
        <v>0</v>
      </c>
      <c r="M637" t="n">
        <v>0</v>
      </c>
      <c r="N637" t="n">
        <v>12</v>
      </c>
      <c r="O637" s="1">
        <f>IFERROR(L637*G637,0)</f>
        <v/>
      </c>
      <c r="P637">
        <f>IF(N637-L637-M637&gt;0,N637-L637-M637,0)</f>
        <v/>
      </c>
      <c r="Q637" s="1">
        <f>IFERROR(P637*G637,0)</f>
        <v/>
      </c>
    </row>
    <row r="638">
      <c r="A638" t="inlineStr">
        <is>
          <t>ADWL.</t>
        </is>
      </c>
      <c r="B638" t="inlineStr">
        <is>
          <t>WEATHER LOUVRE 520(W)*520(H) OPENING SIZE NATURALLY ANOD</t>
        </is>
      </c>
      <c r="C638" t="inlineStr"/>
      <c r="D638" t="n">
        <v>1</v>
      </c>
      <c r="E638" t="n">
        <v>7</v>
      </c>
      <c r="F638" t="inlineStr">
        <is>
          <t>Advantage Air Africa Pty Ltd</t>
        </is>
      </c>
      <c r="G638" s="1" t="n">
        <v>785.66</v>
      </c>
      <c r="H638" t="n">
        <v>0</v>
      </c>
      <c r="I638" t="n">
        <v>0.5</v>
      </c>
      <c r="J638" t="n">
        <v>7</v>
      </c>
      <c r="K638" t="n">
        <v>4</v>
      </c>
      <c r="L638" t="n">
        <v>0</v>
      </c>
      <c r="M638" t="n">
        <v>0</v>
      </c>
      <c r="N638" t="n">
        <v>18</v>
      </c>
      <c r="O638" s="1">
        <f>IFERROR(L638*G638,0)</f>
        <v/>
      </c>
      <c r="P638">
        <f>IF(N638-L638-M638&gt;0,N638-L638-M638,0)</f>
        <v/>
      </c>
      <c r="Q638" s="1">
        <f>IFERROR(P638*G638,0)</f>
        <v/>
      </c>
    </row>
    <row r="639">
      <c r="A639" t="inlineStr">
        <is>
          <t>AF4.0X4+EWHSL</t>
        </is>
      </c>
      <c r="B639" t="inlineStr">
        <is>
          <t>ALFIX 4.0MM2 4 CORE+E S/LENGHT</t>
        </is>
      </c>
      <c r="C639" t="inlineStr"/>
      <c r="D639" t="n">
        <v>1</v>
      </c>
      <c r="E639" t="n">
        <v>100</v>
      </c>
      <c r="F639" t="inlineStr">
        <is>
          <t>Alvern Cables (Pty) Ltd</t>
        </is>
      </c>
      <c r="G639" s="1" t="n">
        <v>47.06</v>
      </c>
      <c r="H639" t="n">
        <v>0</v>
      </c>
      <c r="I639" t="n">
        <v>0.5</v>
      </c>
      <c r="J639" t="n">
        <v>100</v>
      </c>
      <c r="K639" t="n">
        <v>50</v>
      </c>
      <c r="L639" t="n">
        <v>0</v>
      </c>
      <c r="M639" t="n">
        <v>0</v>
      </c>
      <c r="N639" t="n">
        <v>250</v>
      </c>
      <c r="O639" s="1">
        <f>IFERROR(L639*G639,0)</f>
        <v/>
      </c>
      <c r="P639">
        <f>IF(N639-L639-M639&gt;0,N639-L639-M639,0)</f>
        <v/>
      </c>
      <c r="Q639" s="1">
        <f>IFERROR(P639*G639,0)</f>
        <v/>
      </c>
    </row>
    <row r="640">
      <c r="A640" t="inlineStr">
        <is>
          <t>AIR HOSE 1M</t>
        </is>
      </c>
      <c r="B640" t="inlineStr">
        <is>
          <t>AIR HOSE 8MM</t>
        </is>
      </c>
      <c r="C640" t="inlineStr">
        <is>
          <t>CONSUMABLES</t>
        </is>
      </c>
      <c r="D640" t="n">
        <v>1</v>
      </c>
      <c r="E640" t="n">
        <v>10</v>
      </c>
      <c r="F640" t="inlineStr">
        <is>
          <t>MG AUTO PAINT (PTY) LTD</t>
        </is>
      </c>
      <c r="G640" s="1" t="n">
        <v>30.43</v>
      </c>
      <c r="H640" t="n">
        <v>0</v>
      </c>
      <c r="I640" t="n">
        <v>0.5</v>
      </c>
      <c r="J640" t="n">
        <v>10</v>
      </c>
      <c r="K640" t="n">
        <v>5</v>
      </c>
      <c r="L640" t="n">
        <v>0</v>
      </c>
      <c r="M640" t="n">
        <v>0</v>
      </c>
      <c r="N640" t="n">
        <v>25</v>
      </c>
      <c r="O640" s="1">
        <f>IFERROR(L640*G640,0)</f>
        <v/>
      </c>
      <c r="P640">
        <f>IF(N640-L640-M640&gt;0,N640-L640-M640,0)</f>
        <v/>
      </c>
      <c r="Q640" s="1">
        <f>IFERROR(P640*G640,0)</f>
        <v/>
      </c>
    </row>
    <row r="641">
      <c r="A641" t="inlineStr">
        <is>
          <t>AIRMAX2-500</t>
        </is>
      </c>
      <c r="B641" t="inlineStr">
        <is>
          <t>AIRMAX-2.500 W</t>
        </is>
      </c>
      <c r="C641" t="inlineStr">
        <is>
          <t>FM - DONKIN</t>
        </is>
      </c>
      <c r="D641" t="n">
        <v>23</v>
      </c>
      <c r="E641" t="n">
        <v>0</v>
      </c>
      <c r="F641" t="inlineStr"/>
      <c r="G641" s="1" t="n">
        <v>0</v>
      </c>
      <c r="H641" t="n">
        <v>2</v>
      </c>
      <c r="I641" t="n">
        <v>0.5</v>
      </c>
      <c r="J641" t="n">
        <v>1</v>
      </c>
      <c r="K641" t="n">
        <v>1</v>
      </c>
      <c r="L641" t="n">
        <v>0</v>
      </c>
      <c r="M641" t="n">
        <v>0</v>
      </c>
      <c r="N641" t="n">
        <v>2</v>
      </c>
      <c r="O641" s="1">
        <f>IFERROR(L641*G641,0)</f>
        <v/>
      </c>
      <c r="P641">
        <f>IF(N641-L641-M641&gt;0,N641-L641-M641,0)</f>
        <v/>
      </c>
      <c r="Q641" s="1">
        <f>IFERROR(P641*G641,0)</f>
        <v/>
      </c>
    </row>
    <row r="642">
      <c r="A642" t="inlineStr">
        <is>
          <t>AIRMAX2-500P</t>
        </is>
      </c>
      <c r="B642" t="inlineStr">
        <is>
          <t>AIRMAX-2.500 P</t>
        </is>
      </c>
      <c r="C642" t="inlineStr">
        <is>
          <t>FM - DONKIN</t>
        </is>
      </c>
      <c r="D642" t="n">
        <v>9</v>
      </c>
      <c r="E642" t="n">
        <v>0</v>
      </c>
      <c r="F642" t="inlineStr"/>
      <c r="G642" s="1" t="n">
        <v>0</v>
      </c>
      <c r="H642" t="n">
        <v>4</v>
      </c>
      <c r="I642" t="n">
        <v>0.5</v>
      </c>
      <c r="J642" t="n">
        <v>1</v>
      </c>
      <c r="K642" t="n">
        <v>1</v>
      </c>
      <c r="L642" t="n">
        <v>0</v>
      </c>
      <c r="M642" t="n">
        <v>0</v>
      </c>
      <c r="N642" t="n">
        <v>2</v>
      </c>
      <c r="O642" s="1">
        <f>IFERROR(L642*G642,0)</f>
        <v/>
      </c>
      <c r="P642">
        <f>IF(N642-L642-M642&gt;0,N642-L642-M642,0)</f>
        <v/>
      </c>
      <c r="Q642" s="1">
        <f>IFERROR(P642*G642,0)</f>
        <v/>
      </c>
    </row>
    <row r="643">
      <c r="A643" t="inlineStr">
        <is>
          <t>AIRMAX2-650</t>
        </is>
      </c>
      <c r="B643" t="inlineStr">
        <is>
          <t>AIRMAX-2.650 W</t>
        </is>
      </c>
      <c r="C643" t="inlineStr">
        <is>
          <t>FM - DONKIN</t>
        </is>
      </c>
      <c r="D643" t="n">
        <v>24</v>
      </c>
      <c r="E643" t="n">
        <v>0</v>
      </c>
      <c r="F643" t="inlineStr"/>
      <c r="G643" s="1" t="n">
        <v>0</v>
      </c>
      <c r="H643" t="n">
        <v>34</v>
      </c>
      <c r="I643" t="n">
        <v>0.5</v>
      </c>
      <c r="J643" t="n">
        <v>1.5</v>
      </c>
      <c r="K643" t="n">
        <v>1</v>
      </c>
      <c r="L643" t="n">
        <v>0</v>
      </c>
      <c r="M643" t="n">
        <v>0</v>
      </c>
      <c r="N643" t="n">
        <v>4</v>
      </c>
      <c r="O643" s="1">
        <f>IFERROR(L643*G643,0)</f>
        <v/>
      </c>
      <c r="P643">
        <f>IF(N643-L643-M643&gt;0,N643-L643-M643,0)</f>
        <v/>
      </c>
      <c r="Q643" s="1">
        <f>IFERROR(P643*G643,0)</f>
        <v/>
      </c>
    </row>
    <row r="644">
      <c r="A644" t="inlineStr">
        <is>
          <t>AIRMAX2-650P</t>
        </is>
      </c>
      <c r="B644" t="inlineStr">
        <is>
          <t>AIRMAX-2.650 P</t>
        </is>
      </c>
      <c r="C644" t="inlineStr">
        <is>
          <t>FM - DONKIN</t>
        </is>
      </c>
      <c r="D644" t="n">
        <v>1</v>
      </c>
      <c r="E644" t="n">
        <v>0</v>
      </c>
      <c r="F644" t="inlineStr"/>
      <c r="G644" s="1" t="n">
        <v>0</v>
      </c>
      <c r="H644" t="n">
        <v>1</v>
      </c>
      <c r="I644" t="n">
        <v>0.5</v>
      </c>
      <c r="J644" t="n">
        <v>1</v>
      </c>
      <c r="K644" t="n">
        <v>1</v>
      </c>
      <c r="L644" t="n">
        <v>0</v>
      </c>
      <c r="M644" t="n">
        <v>0</v>
      </c>
      <c r="N644" t="n">
        <v>2</v>
      </c>
      <c r="O644" s="1">
        <f>IFERROR(L644*G644,0)</f>
        <v/>
      </c>
      <c r="P644">
        <f>IF(N644-L644-M644&gt;0,N644-L644-M644,0)</f>
        <v/>
      </c>
      <c r="Q644" s="1">
        <f>IFERROR(P644*G644,0)</f>
        <v/>
      </c>
    </row>
    <row r="645">
      <c r="A645" t="inlineStr">
        <is>
          <t>AIRMAX2-650P.EC</t>
        </is>
      </c>
      <c r="B645" t="inlineStr">
        <is>
          <t>AIRMAX-2.650 P. EC</t>
        </is>
      </c>
      <c r="C645" t="inlineStr">
        <is>
          <t>FM - DONKIN</t>
        </is>
      </c>
      <c r="D645" t="n">
        <v>1</v>
      </c>
      <c r="E645" t="n">
        <v>0</v>
      </c>
      <c r="F645" t="inlineStr"/>
      <c r="G645" s="1" t="n">
        <v>0</v>
      </c>
      <c r="H645" t="n">
        <v>1</v>
      </c>
      <c r="I645" t="n">
        <v>0.5</v>
      </c>
      <c r="J645" t="n">
        <v>1</v>
      </c>
      <c r="K645" t="n">
        <v>1</v>
      </c>
      <c r="L645" t="n">
        <v>0</v>
      </c>
      <c r="M645" t="n">
        <v>0</v>
      </c>
      <c r="N645" t="n">
        <v>2</v>
      </c>
      <c r="O645" s="1">
        <f>IFERROR(L645*G645,0)</f>
        <v/>
      </c>
      <c r="P645">
        <f>IF(N645-L645-M645&gt;0,N645-L645-M645,0)</f>
        <v/>
      </c>
      <c r="Q645" s="1">
        <f>IFERROR(P645*G645,0)</f>
        <v/>
      </c>
    </row>
    <row r="646">
      <c r="A646" t="inlineStr">
        <is>
          <t>AIRMAX2-650W</t>
        </is>
      </c>
      <c r="B646" t="inlineStr">
        <is>
          <t>AIRMAX-2.650 W.EC</t>
        </is>
      </c>
      <c r="C646" t="inlineStr">
        <is>
          <t>FM - DONKIN</t>
        </is>
      </c>
      <c r="D646" t="n">
        <v>24</v>
      </c>
      <c r="E646" t="n">
        <v>0</v>
      </c>
      <c r="F646" t="inlineStr"/>
      <c r="G646" s="1" t="n">
        <v>0</v>
      </c>
      <c r="H646" t="n">
        <v>10</v>
      </c>
      <c r="I646" t="n">
        <v>0.5</v>
      </c>
      <c r="J646" t="n">
        <v>1</v>
      </c>
      <c r="K646" t="n">
        <v>1</v>
      </c>
      <c r="L646" t="n">
        <v>0</v>
      </c>
      <c r="M646" t="n">
        <v>0</v>
      </c>
      <c r="N646" t="n">
        <v>2</v>
      </c>
      <c r="O646" s="1">
        <f>IFERROR(L646*G646,0)</f>
        <v/>
      </c>
      <c r="P646">
        <f>IF(N646-L646-M646&gt;0,N646-L646-M646,0)</f>
        <v/>
      </c>
      <c r="Q646" s="1">
        <f>IFERROR(P646*G646,0)</f>
        <v/>
      </c>
    </row>
    <row r="647">
      <c r="A647" t="inlineStr">
        <is>
          <t>AIRMAX2-750</t>
        </is>
      </c>
      <c r="B647" t="inlineStr">
        <is>
          <t>AIRMAX-2.750 W</t>
        </is>
      </c>
      <c r="C647" t="inlineStr">
        <is>
          <t>FM - DONKIN</t>
        </is>
      </c>
      <c r="D647" t="n">
        <v>14</v>
      </c>
      <c r="E647" t="n">
        <v>0</v>
      </c>
      <c r="F647" t="inlineStr"/>
      <c r="G647" s="1" t="n">
        <v>0</v>
      </c>
      <c r="H647" t="n">
        <v>3</v>
      </c>
      <c r="I647" t="n">
        <v>0.5</v>
      </c>
      <c r="J647" t="n">
        <v>1</v>
      </c>
      <c r="K647" t="n">
        <v>1</v>
      </c>
      <c r="L647" t="n">
        <v>0</v>
      </c>
      <c r="M647" t="n">
        <v>0</v>
      </c>
      <c r="N647" t="n">
        <v>2</v>
      </c>
      <c r="O647" s="1">
        <f>IFERROR(L647*G647,0)</f>
        <v/>
      </c>
      <c r="P647">
        <f>IF(N647-L647-M647&gt;0,N647-L647-M647,0)</f>
        <v/>
      </c>
      <c r="Q647" s="1">
        <f>IFERROR(P647*G647,0)</f>
        <v/>
      </c>
    </row>
    <row r="648">
      <c r="A648" t="inlineStr">
        <is>
          <t>AIRMAX2-850</t>
        </is>
      </c>
      <c r="B648" t="inlineStr">
        <is>
          <t>AIRMAX-2.850 W</t>
        </is>
      </c>
      <c r="C648" t="inlineStr">
        <is>
          <t>FM - DONKIN</t>
        </is>
      </c>
      <c r="D648" t="n">
        <v>5</v>
      </c>
      <c r="E648" t="n">
        <v>0</v>
      </c>
      <c r="F648" t="inlineStr"/>
      <c r="G648" s="1" t="n">
        <v>0</v>
      </c>
      <c r="H648" t="n">
        <v>10</v>
      </c>
      <c r="I648" t="n">
        <v>0.5</v>
      </c>
      <c r="J648" t="n">
        <v>2</v>
      </c>
      <c r="K648" t="n">
        <v>1</v>
      </c>
      <c r="L648" t="n">
        <v>0</v>
      </c>
      <c r="M648" t="n">
        <v>0</v>
      </c>
      <c r="N648" t="n">
        <v>5</v>
      </c>
      <c r="O648" s="1">
        <f>IFERROR(L648*G648,0)</f>
        <v/>
      </c>
      <c r="P648">
        <f>IF(N648-L648-M648&gt;0,N648-L648-M648,0)</f>
        <v/>
      </c>
      <c r="Q648" s="1">
        <f>IFERROR(P648*G648,0)</f>
        <v/>
      </c>
    </row>
    <row r="649">
      <c r="A649" t="inlineStr">
        <is>
          <t>AT</t>
        </is>
      </c>
      <c r="B649" t="inlineStr">
        <is>
          <t>3001 ALU FOIL TAPE 48mm X 50m (30 micron)</t>
        </is>
      </c>
      <c r="C649" t="inlineStr"/>
      <c r="D649" t="n">
        <v>1</v>
      </c>
      <c r="E649" t="n">
        <v>3</v>
      </c>
      <c r="F649" t="inlineStr">
        <is>
          <t>Advantage Air Africa Pty Ltd</t>
        </is>
      </c>
      <c r="G649" s="1" t="n">
        <v>80.5</v>
      </c>
      <c r="H649" t="n">
        <v>0</v>
      </c>
      <c r="I649" t="n">
        <v>0.5</v>
      </c>
      <c r="J649" t="n">
        <v>3</v>
      </c>
      <c r="K649" t="n">
        <v>2</v>
      </c>
      <c r="L649" t="n">
        <v>0</v>
      </c>
      <c r="M649" t="n">
        <v>0</v>
      </c>
      <c r="N649" t="n">
        <v>8</v>
      </c>
      <c r="O649" s="1">
        <f>IFERROR(L649*G649,0)</f>
        <v/>
      </c>
      <c r="P649">
        <f>IF(N649-L649-M649&gt;0,N649-L649-M649,0)</f>
        <v/>
      </c>
      <c r="Q649" s="1">
        <f>IFERROR(P649*G649,0)</f>
        <v/>
      </c>
    </row>
    <row r="650">
      <c r="A650" t="inlineStr">
        <is>
          <t>AT 12/9 SC/BD</t>
        </is>
      </c>
      <c r="B650" t="inlineStr">
        <is>
          <t>AT 12/9 SC - Single Unit, Belt drive C/W 4kW 4P 380V FM</t>
        </is>
      </c>
      <c r="C650" t="inlineStr">
        <is>
          <t>FM - NICOTRA</t>
        </is>
      </c>
      <c r="D650" t="n">
        <v>1</v>
      </c>
      <c r="E650" t="n">
        <v>1</v>
      </c>
      <c r="F650" t="inlineStr">
        <is>
          <t>TS TELEKI T/A VENT SYSTEM AND PROJECTS</t>
        </is>
      </c>
      <c r="G650" s="1" t="n">
        <v>2000</v>
      </c>
      <c r="H650" t="n">
        <v>0</v>
      </c>
      <c r="I650" t="n">
        <v>0.5</v>
      </c>
      <c r="J650" t="n">
        <v>1</v>
      </c>
      <c r="K650" t="n">
        <v>1</v>
      </c>
      <c r="L650" t="n">
        <v>0</v>
      </c>
      <c r="M650" t="n">
        <v>0</v>
      </c>
      <c r="N650" t="n">
        <v>2</v>
      </c>
      <c r="O650" s="1">
        <f>IFERROR(L650*G650,0)</f>
        <v/>
      </c>
      <c r="P650">
        <f>IF(N650-L650-M650&gt;0,N650-L650-M650,0)</f>
        <v/>
      </c>
      <c r="Q650" s="1">
        <f>IFERROR(P650*G650,0)</f>
        <v/>
      </c>
    </row>
    <row r="651">
      <c r="A651" t="inlineStr">
        <is>
          <t>ATT/01</t>
        </is>
      </c>
      <c r="B651" t="inlineStr">
        <is>
          <t>Attenuator 200x600mm</t>
        </is>
      </c>
      <c r="C651" t="inlineStr"/>
      <c r="D651" t="n">
        <v>13</v>
      </c>
      <c r="E651" t="n">
        <v>0</v>
      </c>
      <c r="F651" t="inlineStr"/>
      <c r="G651" s="1" t="n">
        <v>813.27</v>
      </c>
      <c r="H651" t="n">
        <v>24</v>
      </c>
      <c r="I651" t="n">
        <v>0.5</v>
      </c>
      <c r="J651" t="n">
        <v>2</v>
      </c>
      <c r="K651" t="n">
        <v>1</v>
      </c>
      <c r="L651" t="n">
        <v>0</v>
      </c>
      <c r="M651" t="n">
        <v>0</v>
      </c>
      <c r="N651" t="n">
        <v>5</v>
      </c>
      <c r="O651" s="1">
        <f>IFERROR(L651*G651,0)</f>
        <v/>
      </c>
      <c r="P651">
        <f>IF(N651-L651-M651&gt;0,N651-L651-M651,0)</f>
        <v/>
      </c>
      <c r="Q651" s="1">
        <f>IFERROR(P651*G651,0)</f>
        <v/>
      </c>
    </row>
    <row r="652">
      <c r="A652" t="inlineStr">
        <is>
          <t>AVMs-</t>
        </is>
      </c>
      <c r="B652" t="inlineStr">
        <is>
          <t>Anti-Vibration Rubber Mounts</t>
        </is>
      </c>
      <c r="C652" t="inlineStr"/>
      <c r="D652" t="n">
        <v>29</v>
      </c>
      <c r="E652" t="n">
        <v>16</v>
      </c>
      <c r="F652" t="inlineStr">
        <is>
          <t>Seal 'N Devices (Pty) Ltd</t>
        </is>
      </c>
      <c r="G652" s="1" t="n">
        <v>53.46</v>
      </c>
      <c r="H652" t="n">
        <v>839</v>
      </c>
      <c r="I652" t="n">
        <v>0.5</v>
      </c>
      <c r="J652" t="n">
        <v>29</v>
      </c>
      <c r="K652" t="n">
        <v>14</v>
      </c>
      <c r="L652" t="n">
        <v>0</v>
      </c>
      <c r="M652" t="n">
        <v>0</v>
      </c>
      <c r="N652" t="n">
        <v>72</v>
      </c>
      <c r="O652" s="1">
        <f>IFERROR(L652*G652,0)</f>
        <v/>
      </c>
      <c r="P652">
        <f>IF(N652-L652-M652&gt;0,N652-L652-M652,0)</f>
        <v/>
      </c>
      <c r="Q652" s="1">
        <f>IFERROR(P652*G652,0)</f>
        <v/>
      </c>
    </row>
    <row r="653">
      <c r="A653" t="inlineStr">
        <is>
          <t>AWSL/1/ 600X600)P/0/P1/</t>
        </is>
      </c>
      <c r="B653" t="inlineStr">
        <is>
          <t>600 X 600</t>
        </is>
      </c>
      <c r="C653" t="inlineStr"/>
      <c r="D653" t="n">
        <v>1</v>
      </c>
      <c r="E653" t="n">
        <v>1</v>
      </c>
      <c r="F653" t="inlineStr">
        <is>
          <t>TROX South Africa (Pty) Ltd</t>
        </is>
      </c>
      <c r="G653" s="1" t="n">
        <v>2479</v>
      </c>
      <c r="H653" t="n">
        <v>0</v>
      </c>
      <c r="I653" t="n">
        <v>0.8</v>
      </c>
      <c r="J653" t="n">
        <v>1</v>
      </c>
      <c r="K653" t="n">
        <v>1</v>
      </c>
      <c r="L653" t="n">
        <v>0</v>
      </c>
      <c r="M653" t="n">
        <v>0</v>
      </c>
      <c r="N653" t="n">
        <v>3</v>
      </c>
      <c r="O653" s="1">
        <f>IFERROR(L653*G653,0)</f>
        <v/>
      </c>
      <c r="P653">
        <f>IF(N653-L653-M653&gt;0,N653-L653-M653,0)</f>
        <v/>
      </c>
      <c r="Q653" s="1">
        <f>IFERROR(P653*G653,0)</f>
        <v/>
      </c>
    </row>
    <row r="654">
      <c r="A654" t="inlineStr">
        <is>
          <t>AWSL/1/1000X500/OP/0/P1/</t>
        </is>
      </c>
      <c r="B654" t="inlineStr">
        <is>
          <t>1000 X 500</t>
        </is>
      </c>
      <c r="C654" t="inlineStr">
        <is>
          <t>Accessories</t>
        </is>
      </c>
      <c r="D654" t="n">
        <v>1</v>
      </c>
      <c r="E654" t="n">
        <v>2</v>
      </c>
      <c r="F654" t="inlineStr">
        <is>
          <t>TROX South Africa (Pty) Ltd</t>
        </is>
      </c>
      <c r="G654" s="1" t="n">
        <v>3264</v>
      </c>
      <c r="H654" t="n">
        <v>0</v>
      </c>
      <c r="I654" t="n">
        <v>0.8</v>
      </c>
      <c r="J654" t="n">
        <v>2</v>
      </c>
      <c r="K654" t="n">
        <v>2</v>
      </c>
      <c r="L654" t="n">
        <v>0</v>
      </c>
      <c r="M654" t="n">
        <v>0</v>
      </c>
      <c r="N654" t="n">
        <v>6</v>
      </c>
      <c r="O654" s="1">
        <f>IFERROR(L654*G654,0)</f>
        <v/>
      </c>
      <c r="P654">
        <f>IF(N654-L654-M654&gt;0,N654-L654-M654,0)</f>
        <v/>
      </c>
      <c r="Q654" s="1">
        <f>IFERROR(P654*G654,0)</f>
        <v/>
      </c>
    </row>
    <row r="655">
      <c r="A655" t="inlineStr">
        <is>
          <t>AXIP450</t>
        </is>
      </c>
      <c r="B655" t="inlineStr">
        <is>
          <t>TAXIP F300: 450-5-25</t>
        </is>
      </c>
      <c r="C655" t="inlineStr">
        <is>
          <t>FM - KAYITES</t>
        </is>
      </c>
      <c r="D655" t="n">
        <v>1</v>
      </c>
      <c r="E655" t="n">
        <v>2</v>
      </c>
      <c r="F655" t="inlineStr">
        <is>
          <t>Kayites</t>
        </is>
      </c>
      <c r="G655" s="1" t="n">
        <v>4520.64</v>
      </c>
      <c r="H655" t="n">
        <v>0</v>
      </c>
      <c r="I655" t="n">
        <v>1</v>
      </c>
      <c r="J655" t="n">
        <v>2</v>
      </c>
      <c r="K655" t="n">
        <v>2</v>
      </c>
      <c r="L655" t="n">
        <v>0</v>
      </c>
      <c r="M655" t="n">
        <v>0</v>
      </c>
      <c r="N655" t="n">
        <v>6</v>
      </c>
      <c r="O655" s="1">
        <f>IFERROR(L655*G655,0)</f>
        <v/>
      </c>
      <c r="P655">
        <f>IF(N655-L655-M655&gt;0,N655-L655-M655,0)</f>
        <v/>
      </c>
      <c r="Q655" s="1">
        <f>IFERROR(P655*G655,0)</f>
        <v/>
      </c>
    </row>
    <row r="656">
      <c r="A656" t="inlineStr">
        <is>
          <t>Accounting</t>
        </is>
      </c>
      <c r="B656" t="inlineStr">
        <is>
          <t>Subscription (Accounting)</t>
        </is>
      </c>
      <c r="C656" t="inlineStr"/>
      <c r="D656" t="n">
        <v>1</v>
      </c>
      <c r="E656" t="n">
        <v>1</v>
      </c>
      <c r="F656" t="inlineStr">
        <is>
          <t>Sage South Africa (Pty) Ltd</t>
        </is>
      </c>
      <c r="G656" s="1" t="n">
        <v>7252.17</v>
      </c>
      <c r="H656" t="n">
        <v>0</v>
      </c>
      <c r="I656" t="n">
        <v>0.5</v>
      </c>
      <c r="J656" t="n">
        <v>1</v>
      </c>
      <c r="K656" t="n">
        <v>1</v>
      </c>
      <c r="L656" t="n">
        <v>0</v>
      </c>
      <c r="M656" t="n">
        <v>0</v>
      </c>
      <c r="N656" t="n">
        <v>2</v>
      </c>
      <c r="O656" s="1">
        <f>IFERROR(L656*G656,0)</f>
        <v/>
      </c>
      <c r="P656">
        <f>IF(N656-L656-M656&gt;0,N656-L656-M656,0)</f>
        <v/>
      </c>
      <c r="Q656" s="1">
        <f>IFERROR(P656*G656,0)</f>
        <v/>
      </c>
    </row>
    <row r="657">
      <c r="A657" t="inlineStr">
        <is>
          <t>Additional Costs</t>
        </is>
      </c>
      <c r="B657" t="inlineStr">
        <is>
          <t>Material Cutting Cost</t>
        </is>
      </c>
      <c r="C657" t="inlineStr"/>
      <c r="D657" t="n">
        <v>1</v>
      </c>
      <c r="E657" t="n">
        <v>0</v>
      </c>
      <c r="F657" t="inlineStr"/>
      <c r="G657" s="1" t="n">
        <v>0</v>
      </c>
      <c r="H657" t="n">
        <v>6</v>
      </c>
      <c r="I657" t="n">
        <v>0.5</v>
      </c>
      <c r="J657" t="n">
        <v>6</v>
      </c>
      <c r="K657" t="n">
        <v>3</v>
      </c>
      <c r="L657" t="n">
        <v>0</v>
      </c>
      <c r="M657" t="n">
        <v>0</v>
      </c>
      <c r="N657" t="n">
        <v>15</v>
      </c>
      <c r="O657" s="1">
        <f>IFERROR(L657*G657,0)</f>
        <v/>
      </c>
      <c r="P657">
        <f>IF(N657-L657-M657&gt;0,N657-L657-M657,0)</f>
        <v/>
      </c>
      <c r="Q657" s="1">
        <f>IFERROR(P657*G657,0)</f>
        <v/>
      </c>
    </row>
    <row r="658">
      <c r="A658" t="inlineStr">
        <is>
          <t>Airfreight</t>
        </is>
      </c>
      <c r="B658" t="inlineStr">
        <is>
          <t>- Dar Es Salaam</t>
        </is>
      </c>
      <c r="C658" t="inlineStr"/>
      <c r="D658" t="n">
        <v>18</v>
      </c>
      <c r="E658" t="n">
        <v>3</v>
      </c>
      <c r="F658" t="inlineStr">
        <is>
          <t>Kayites</t>
        </is>
      </c>
      <c r="G658" s="1" t="n">
        <v>0</v>
      </c>
      <c r="H658" t="n">
        <v>4</v>
      </c>
      <c r="I658" t="n">
        <v>0.6</v>
      </c>
      <c r="J658" t="n">
        <v>1</v>
      </c>
      <c r="K658" t="n">
        <v>1</v>
      </c>
      <c r="L658" t="n">
        <v>0</v>
      </c>
      <c r="M658" t="n">
        <v>0</v>
      </c>
      <c r="N658" t="n">
        <v>3</v>
      </c>
      <c r="O658" s="1">
        <f>IFERROR(L658*G658,0)</f>
        <v/>
      </c>
      <c r="P658">
        <f>IF(N658-L658-M658&gt;0,N658-L658-M658,0)</f>
        <v/>
      </c>
      <c r="Q658" s="1">
        <f>IFERROR(P658*G658,0)</f>
        <v/>
      </c>
    </row>
    <row r="659">
      <c r="A659" t="inlineStr">
        <is>
          <t>Airmax PB</t>
        </is>
      </c>
      <c r="B659" t="inlineStr">
        <is>
          <t>Airmax Poles &amp; Brackets</t>
        </is>
      </c>
      <c r="C659" t="inlineStr"/>
      <c r="D659" t="n">
        <v>1</v>
      </c>
      <c r="E659" t="n">
        <v>100</v>
      </c>
      <c r="F659" t="inlineStr">
        <is>
          <t>Mafilisti Trading and Projects (Pty) Ltd</t>
        </is>
      </c>
      <c r="G659" s="1" t="n">
        <v>112</v>
      </c>
      <c r="H659" t="n">
        <v>0</v>
      </c>
      <c r="I659" t="n">
        <v>0.6</v>
      </c>
      <c r="J659" t="n">
        <v>100</v>
      </c>
      <c r="K659" t="n">
        <v>60</v>
      </c>
      <c r="L659" t="n">
        <v>0</v>
      </c>
      <c r="M659" t="n">
        <v>0</v>
      </c>
      <c r="N659" t="n">
        <v>260</v>
      </c>
      <c r="O659" s="1">
        <f>IFERROR(L659*G659,0)</f>
        <v/>
      </c>
      <c r="P659">
        <f>IF(N659-L659-M659&gt;0,N659-L659-M659,0)</f>
        <v/>
      </c>
      <c r="Q659" s="1">
        <f>IFERROR(P659*G659,0)</f>
        <v/>
      </c>
    </row>
    <row r="660">
      <c r="A660" t="inlineStr">
        <is>
          <t>Airmax-2.650.W.</t>
        </is>
      </c>
      <c r="B660" t="inlineStr">
        <is>
          <t>Airmax-2.650.W - Wall Fan - 187 Watts - 230/1/50 - Twin Blade - Black (Pull Cord)</t>
        </is>
      </c>
      <c r="C660" t="inlineStr"/>
      <c r="D660" t="n">
        <v>9</v>
      </c>
      <c r="E660" t="n">
        <v>0</v>
      </c>
      <c r="F660" t="inlineStr"/>
      <c r="G660" s="1" t="n">
        <v>0</v>
      </c>
      <c r="H660" t="n">
        <v>11</v>
      </c>
      <c r="I660" t="n">
        <v>0.5</v>
      </c>
      <c r="J660" t="n">
        <v>1.5</v>
      </c>
      <c r="K660" t="n">
        <v>1</v>
      </c>
      <c r="L660" t="n">
        <v>0</v>
      </c>
      <c r="M660" t="n">
        <v>0</v>
      </c>
      <c r="N660" t="n">
        <v>4</v>
      </c>
      <c r="O660" s="1">
        <f>IFERROR(L660*G660,0)</f>
        <v/>
      </c>
      <c r="P660">
        <f>IF(N660-L660-M660&gt;0,N660-L660-M660,0)</f>
        <v/>
      </c>
      <c r="Q660" s="1">
        <f>IFERROR(P660*G660,0)</f>
        <v/>
      </c>
    </row>
    <row r="661">
      <c r="A661" t="inlineStr">
        <is>
          <t>Al Blades</t>
        </is>
      </c>
      <c r="B661" t="inlineStr">
        <is>
          <t>Aluminium Blades</t>
        </is>
      </c>
      <c r="C661" t="inlineStr">
        <is>
          <t>FM - IMPELLER</t>
        </is>
      </c>
      <c r="D661" t="n">
        <v>21</v>
      </c>
      <c r="E661" t="n">
        <v>1960</v>
      </c>
      <c r="F661" t="inlineStr">
        <is>
          <t>CFW Fans (Pty) Ltd</t>
        </is>
      </c>
      <c r="G661" s="1" t="n">
        <v>85</v>
      </c>
      <c r="H661" t="n">
        <v>0</v>
      </c>
      <c r="I661" t="n">
        <v>0.5</v>
      </c>
      <c r="J661" t="n">
        <v>93.5</v>
      </c>
      <c r="K661" t="n">
        <v>47</v>
      </c>
      <c r="L661" t="n">
        <v>0</v>
      </c>
      <c r="M661" t="n">
        <v>100</v>
      </c>
      <c r="N661" t="n">
        <v>234</v>
      </c>
      <c r="O661" s="1">
        <f>IFERROR(L661*G661,0)</f>
        <v/>
      </c>
      <c r="P661">
        <f>IF(N661-L661-M661&gt;0,N661-L661-M661,0)</f>
        <v/>
      </c>
      <c r="Q661" s="1">
        <f>IFERROR(P661*G661,0)</f>
        <v/>
      </c>
    </row>
    <row r="662">
      <c r="A662" t="inlineStr">
        <is>
          <t>Al Blanks</t>
        </is>
      </c>
      <c r="B662" t="inlineStr">
        <is>
          <t>Aluminium Blanks</t>
        </is>
      </c>
      <c r="C662" t="inlineStr">
        <is>
          <t>FM - IMPELLER</t>
        </is>
      </c>
      <c r="D662" t="n">
        <v>18</v>
      </c>
      <c r="E662" t="n">
        <v>205</v>
      </c>
      <c r="F662" t="inlineStr">
        <is>
          <t>CFW Fans (Pty) Ltd</t>
        </is>
      </c>
      <c r="G662" s="1" t="n">
        <v>11</v>
      </c>
      <c r="H662" t="n">
        <v>0</v>
      </c>
      <c r="I662" t="n">
        <v>0.5</v>
      </c>
      <c r="J662" t="n">
        <v>11.5</v>
      </c>
      <c r="K662" t="n">
        <v>6</v>
      </c>
      <c r="L662" t="n">
        <v>0</v>
      </c>
      <c r="M662" t="n">
        <v>0</v>
      </c>
      <c r="N662" t="n">
        <v>29</v>
      </c>
      <c r="O662" s="1">
        <f>IFERROR(L662*G662,0)</f>
        <v/>
      </c>
      <c r="P662">
        <f>IF(N662-L662-M662&gt;0,N662-L662-M662,0)</f>
        <v/>
      </c>
      <c r="Q662" s="1">
        <f>IFERROR(P662*G662,0)</f>
        <v/>
      </c>
    </row>
    <row r="663">
      <c r="A663" t="inlineStr">
        <is>
          <t>Angle S355JR-50x50x5mm</t>
        </is>
      </c>
      <c r="B663" t="inlineStr">
        <is>
          <t>Angle S355JR 50x50x5mm 6Mtr</t>
        </is>
      </c>
      <c r="C663" t="inlineStr">
        <is>
          <t>FABRICATION</t>
        </is>
      </c>
      <c r="D663" t="n">
        <v>1</v>
      </c>
      <c r="E663" t="n">
        <v>1</v>
      </c>
      <c r="F663" t="inlineStr">
        <is>
          <t>NJR STEEL - ALRODE (PTY) LTD</t>
        </is>
      </c>
      <c r="G663" s="1" t="n">
        <v>309.4</v>
      </c>
      <c r="H663" t="n">
        <v>0</v>
      </c>
      <c r="I663" t="n">
        <v>0.5</v>
      </c>
      <c r="J663" t="n">
        <v>1</v>
      </c>
      <c r="K663" t="n">
        <v>1</v>
      </c>
      <c r="L663" t="n">
        <v>0</v>
      </c>
      <c r="M663" t="n">
        <v>0</v>
      </c>
      <c r="N663" t="n">
        <v>2</v>
      </c>
      <c r="O663" s="1">
        <f>IFERROR(L663*G663,0)</f>
        <v/>
      </c>
      <c r="P663">
        <f>IF(N663-L663-M663&gt;0,N663-L663-M663,0)</f>
        <v/>
      </c>
      <c r="Q663" s="1">
        <f>IFERROR(P663*G663,0)</f>
        <v/>
      </c>
    </row>
    <row r="664">
      <c r="A664" t="inlineStr">
        <is>
          <t>Assembly</t>
        </is>
      </c>
      <c r="B664" t="inlineStr">
        <is>
          <t>Building Casing &amp; Impeller</t>
        </is>
      </c>
      <c r="C664" t="inlineStr"/>
      <c r="D664" t="n">
        <v>1</v>
      </c>
      <c r="E664" t="n">
        <v>0</v>
      </c>
      <c r="F664" t="inlineStr"/>
      <c r="G664" s="1" t="n">
        <v>0</v>
      </c>
      <c r="H664" t="n">
        <v>1</v>
      </c>
      <c r="I664" t="n">
        <v>0.5</v>
      </c>
      <c r="J664" t="n">
        <v>1</v>
      </c>
      <c r="K664" t="n">
        <v>1</v>
      </c>
      <c r="L664" t="n">
        <v>0</v>
      </c>
      <c r="M664" t="n">
        <v>0</v>
      </c>
      <c r="N664" t="n">
        <v>2</v>
      </c>
      <c r="O664" s="1">
        <f>IFERROR(L664*G664,0)</f>
        <v/>
      </c>
      <c r="P664">
        <f>IF(N664-L664-M664&gt;0,N664-L664-M664,0)</f>
        <v/>
      </c>
      <c r="Q664" s="1">
        <f>IFERROR(P664*G664,0)</f>
        <v/>
      </c>
    </row>
    <row r="665">
      <c r="A665" t="inlineStr">
        <is>
          <t>B)</t>
        </is>
      </c>
      <c r="B665" t="inlineStr">
        <is>
          <t>LDP/315/6/10/B/14mm - 0.55kW 2P</t>
        </is>
      </c>
      <c r="C665" t="inlineStr"/>
      <c r="D665" t="n">
        <v>12</v>
      </c>
      <c r="E665" t="n">
        <v>129</v>
      </c>
      <c r="F665" t="inlineStr">
        <is>
          <t>CFW Fans (Pty) Ltd</t>
        </is>
      </c>
      <c r="G665" s="1" t="n">
        <v>29.97</v>
      </c>
      <c r="H665" t="n">
        <v>0</v>
      </c>
      <c r="I665" t="n">
        <v>0.6</v>
      </c>
      <c r="J665" t="n">
        <v>11</v>
      </c>
      <c r="K665" t="n">
        <v>7</v>
      </c>
      <c r="L665" t="n">
        <v>0</v>
      </c>
      <c r="M665" t="n">
        <v>0</v>
      </c>
      <c r="N665" t="n">
        <v>29</v>
      </c>
      <c r="O665" s="1">
        <f>IFERROR(L665*G665,0)</f>
        <v/>
      </c>
      <c r="P665">
        <f>IF(N665-L665-M665&gt;0,N665-L665-M665,0)</f>
        <v/>
      </c>
      <c r="Q665" s="1">
        <f>IFERROR(P665*G665,0)</f>
        <v/>
      </c>
    </row>
    <row r="666">
      <c r="A666" t="inlineStr">
        <is>
          <t>B-124-FAN1</t>
        </is>
      </c>
      <c r="B666" t="inlineStr">
        <is>
          <t>HTMV-125-4T/9-40 400/690V.IE3 -60Hz - Roof Top Exhaust Fan</t>
        </is>
      </c>
      <c r="C666" t="inlineStr"/>
      <c r="D666" t="n">
        <v>1</v>
      </c>
      <c r="E666" t="n">
        <v>0</v>
      </c>
      <c r="F666" t="inlineStr"/>
      <c r="G666" s="1" t="n">
        <v>0</v>
      </c>
      <c r="H666" t="n">
        <v>4</v>
      </c>
      <c r="I666" t="n">
        <v>0.5</v>
      </c>
      <c r="J666" t="n">
        <v>4</v>
      </c>
      <c r="K666" t="n">
        <v>2</v>
      </c>
      <c r="L666" t="n">
        <v>0</v>
      </c>
      <c r="M666" t="n">
        <v>0</v>
      </c>
      <c r="N666" t="n">
        <v>10</v>
      </c>
      <c r="O666" s="1">
        <f>IFERROR(L666*G666,0)</f>
        <v/>
      </c>
      <c r="P666">
        <f>IF(N666-L666-M666&gt;0,N666-L666-M666,0)</f>
        <v/>
      </c>
      <c r="Q666" s="1">
        <f>IFERROR(P666*G666,0)</f>
        <v/>
      </c>
    </row>
    <row r="667">
      <c r="A667" t="inlineStr">
        <is>
          <t>B-135-FAN1</t>
        </is>
      </c>
      <c r="B667" t="inlineStr">
        <is>
          <t>TORRETTE TR-A 450 T4 2.2KW ATEX Zone 1 - Explosion Proof Roof Top Centrifugal Exhaust Fan</t>
        </is>
      </c>
      <c r="C667" t="inlineStr"/>
      <c r="D667" t="n">
        <v>1</v>
      </c>
      <c r="E667" t="n">
        <v>0</v>
      </c>
      <c r="F667" t="inlineStr"/>
      <c r="G667" s="1" t="n">
        <v>0</v>
      </c>
      <c r="H667" t="n">
        <v>4</v>
      </c>
      <c r="I667" t="n">
        <v>0.5</v>
      </c>
      <c r="J667" t="n">
        <v>4</v>
      </c>
      <c r="K667" t="n">
        <v>2</v>
      </c>
      <c r="L667" t="n">
        <v>0</v>
      </c>
      <c r="M667" t="n">
        <v>0</v>
      </c>
      <c r="N667" t="n">
        <v>10</v>
      </c>
      <c r="O667" s="1">
        <f>IFERROR(L667*G667,0)</f>
        <v/>
      </c>
      <c r="P667">
        <f>IF(N667-L667-M667&gt;0,N667-L667-M667,0)</f>
        <v/>
      </c>
      <c r="Q667" s="1">
        <f>IFERROR(P667*G667,0)</f>
        <v/>
      </c>
    </row>
    <row r="668">
      <c r="A668" t="inlineStr">
        <is>
          <t>B-135-FAN2</t>
        </is>
      </c>
      <c r="B668" t="inlineStr">
        <is>
          <t>TORRETTE TR-A 500 T4 3KW ATEX Zone 1 - Explosion Proof Roof Top Centrifugal Exhaust Fan</t>
        </is>
      </c>
      <c r="C668" t="inlineStr"/>
      <c r="D668" t="n">
        <v>1</v>
      </c>
      <c r="E668" t="n">
        <v>0</v>
      </c>
      <c r="F668" t="inlineStr"/>
      <c r="G668" s="1" t="n">
        <v>0</v>
      </c>
      <c r="H668" t="n">
        <v>1</v>
      </c>
      <c r="I668" t="n">
        <v>0.5</v>
      </c>
      <c r="J668" t="n">
        <v>1</v>
      </c>
      <c r="K668" t="n">
        <v>1</v>
      </c>
      <c r="L668" t="n">
        <v>0</v>
      </c>
      <c r="M668" t="n">
        <v>0</v>
      </c>
      <c r="N668" t="n">
        <v>2</v>
      </c>
      <c r="O668" s="1">
        <f>IFERROR(L668*G668,0)</f>
        <v/>
      </c>
      <c r="P668">
        <f>IF(N668-L668-M668&gt;0,N668-L668-M668,0)</f>
        <v/>
      </c>
      <c r="Q668" s="1">
        <f>IFERROR(P668*G668,0)</f>
        <v/>
      </c>
    </row>
    <row r="669">
      <c r="A669" t="inlineStr">
        <is>
          <t>B-135-FAN3</t>
        </is>
      </c>
      <c r="B669" t="inlineStr">
        <is>
          <t>TORRETTE TR-A 400 T4 1.1KW ATEX Zone 1 - Explosion Proof Roof Top Centrifugal Exhaust Fan</t>
        </is>
      </c>
      <c r="C669" t="inlineStr"/>
      <c r="D669" t="n">
        <v>1</v>
      </c>
      <c r="E669" t="n">
        <v>0</v>
      </c>
      <c r="F669" t="inlineStr"/>
      <c r="G669" s="1" t="n">
        <v>0</v>
      </c>
      <c r="H669" t="n">
        <v>2</v>
      </c>
      <c r="I669" t="n">
        <v>0.5</v>
      </c>
      <c r="J669" t="n">
        <v>2</v>
      </c>
      <c r="K669" t="n">
        <v>1</v>
      </c>
      <c r="L669" t="n">
        <v>0</v>
      </c>
      <c r="M669" t="n">
        <v>0</v>
      </c>
      <c r="N669" t="n">
        <v>5</v>
      </c>
      <c r="O669" s="1">
        <f>IFERROR(L669*G669,0)</f>
        <v/>
      </c>
      <c r="P669">
        <f>IF(N669-L669-M669&gt;0,N669-L669-M669,0)</f>
        <v/>
      </c>
      <c r="Q669" s="1">
        <f>IFERROR(P669*G669,0)</f>
        <v/>
      </c>
    </row>
    <row r="670">
      <c r="A670" t="inlineStr">
        <is>
          <t>B-135-FAN4</t>
        </is>
      </c>
      <c r="B670" t="inlineStr">
        <is>
          <t>TORRETTE TRK-AR 500 T4 3KW - Roof Top Centrifugal Exhaust Fan</t>
        </is>
      </c>
      <c r="C670" t="inlineStr"/>
      <c r="D670" t="n">
        <v>1</v>
      </c>
      <c r="E670" t="n">
        <v>0</v>
      </c>
      <c r="F670" t="inlineStr"/>
      <c r="G670" s="1" t="n">
        <v>0</v>
      </c>
      <c r="H670" t="n">
        <v>1</v>
      </c>
      <c r="I670" t="n">
        <v>0.5</v>
      </c>
      <c r="J670" t="n">
        <v>1</v>
      </c>
      <c r="K670" t="n">
        <v>1</v>
      </c>
      <c r="L670" t="n">
        <v>0</v>
      </c>
      <c r="M670" t="n">
        <v>0</v>
      </c>
      <c r="N670" t="n">
        <v>2</v>
      </c>
      <c r="O670" s="1">
        <f>IFERROR(L670*G670,0)</f>
        <v/>
      </c>
      <c r="P670">
        <f>IF(N670-L670-M670&gt;0,N670-L670-M670,0)</f>
        <v/>
      </c>
      <c r="Q670" s="1">
        <f>IFERROR(P670*G670,0)</f>
        <v/>
      </c>
    </row>
    <row r="671">
      <c r="A671" t="inlineStr">
        <is>
          <t>B-135-FAN5</t>
        </is>
      </c>
      <c r="B671" t="inlineStr">
        <is>
          <t>TORRETTE TR-A 500 T4 3KW ATEX Zone 1 - Explosion Proof Roof Top Centrifugal Exhaust Fan</t>
        </is>
      </c>
      <c r="C671" t="inlineStr"/>
      <c r="D671" t="n">
        <v>1</v>
      </c>
      <c r="E671" t="n">
        <v>0</v>
      </c>
      <c r="F671" t="inlineStr"/>
      <c r="G671" s="1" t="n">
        <v>0</v>
      </c>
      <c r="H671" t="n">
        <v>2</v>
      </c>
      <c r="I671" t="n">
        <v>0.5</v>
      </c>
      <c r="J671" t="n">
        <v>2</v>
      </c>
      <c r="K671" t="n">
        <v>1</v>
      </c>
      <c r="L671" t="n">
        <v>0</v>
      </c>
      <c r="M671" t="n">
        <v>0</v>
      </c>
      <c r="N671" t="n">
        <v>5</v>
      </c>
      <c r="O671" s="1">
        <f>IFERROR(L671*G671,0)</f>
        <v/>
      </c>
      <c r="P671">
        <f>IF(N671-L671-M671&gt;0,N671-L671-M671,0)</f>
        <v/>
      </c>
      <c r="Q671" s="1">
        <f>IFERROR(P671*G671,0)</f>
        <v/>
      </c>
    </row>
    <row r="672">
      <c r="A672" t="inlineStr">
        <is>
          <t>B-135-FAN6</t>
        </is>
      </c>
      <c r="B672" t="inlineStr">
        <is>
          <t>VORTICENT CMS 35/14 T4 4KW - Wall Mountex Centrifugal Exhaust Fan</t>
        </is>
      </c>
      <c r="C672" t="inlineStr"/>
      <c r="D672" t="n">
        <v>1</v>
      </c>
      <c r="E672" t="n">
        <v>0</v>
      </c>
      <c r="F672" t="inlineStr"/>
      <c r="G672" s="1" t="n">
        <v>0</v>
      </c>
      <c r="H672" t="n">
        <v>1</v>
      </c>
      <c r="I672" t="n">
        <v>0.5</v>
      </c>
      <c r="J672" t="n">
        <v>1</v>
      </c>
      <c r="K672" t="n">
        <v>1</v>
      </c>
      <c r="L672" t="n">
        <v>0</v>
      </c>
      <c r="M672" t="n">
        <v>0</v>
      </c>
      <c r="N672" t="n">
        <v>2</v>
      </c>
      <c r="O672" s="1">
        <f>IFERROR(L672*G672,0)</f>
        <v/>
      </c>
      <c r="P672">
        <f>IF(N672-L672-M672&gt;0,N672-L672-M672,0)</f>
        <v/>
      </c>
      <c r="Q672" s="1">
        <f>IFERROR(P672*G672,0)</f>
        <v/>
      </c>
    </row>
    <row r="673">
      <c r="A673" t="inlineStr">
        <is>
          <t>B-135-FAN7</t>
        </is>
      </c>
      <c r="B673" t="inlineStr">
        <is>
          <t>VORTICENT CMS 25/10 T4 0.75KW - Wall Mounted Centrifugal Exhaust Fan</t>
        </is>
      </c>
      <c r="C673" t="inlineStr"/>
      <c r="D673" t="n">
        <v>1</v>
      </c>
      <c r="E673" t="n">
        <v>0</v>
      </c>
      <c r="F673" t="inlineStr"/>
      <c r="G673" s="1" t="n">
        <v>0</v>
      </c>
      <c r="H673" t="n">
        <v>1</v>
      </c>
      <c r="I673" t="n">
        <v>0.5</v>
      </c>
      <c r="J673" t="n">
        <v>1</v>
      </c>
      <c r="K673" t="n">
        <v>1</v>
      </c>
      <c r="L673" t="n">
        <v>0</v>
      </c>
      <c r="M673" t="n">
        <v>0</v>
      </c>
      <c r="N673" t="n">
        <v>2</v>
      </c>
      <c r="O673" s="1">
        <f>IFERROR(L673*G673,0)</f>
        <v/>
      </c>
      <c r="P673">
        <f>IF(N673-L673-M673&gt;0,N673-L673-M673,0)</f>
        <v/>
      </c>
      <c r="Q673" s="1">
        <f>IFERROR(P673*G673,0)</f>
        <v/>
      </c>
    </row>
    <row r="674">
      <c r="A674" t="inlineStr">
        <is>
          <t>B-135-FAN8</t>
        </is>
      </c>
      <c r="B674" t="inlineStr">
        <is>
          <t>ENKEL QBK 190 EC - Cassette Type Exhaust Fan</t>
        </is>
      </c>
      <c r="C674" t="inlineStr"/>
      <c r="D674" t="n">
        <v>1</v>
      </c>
      <c r="E674" t="n">
        <v>0</v>
      </c>
      <c r="F674" t="inlineStr"/>
      <c r="G674" s="1" t="n">
        <v>0</v>
      </c>
      <c r="H674" t="n">
        <v>1</v>
      </c>
      <c r="I674" t="n">
        <v>0.5</v>
      </c>
      <c r="J674" t="n">
        <v>1</v>
      </c>
      <c r="K674" t="n">
        <v>1</v>
      </c>
      <c r="L674" t="n">
        <v>0</v>
      </c>
      <c r="M674" t="n">
        <v>0</v>
      </c>
      <c r="N674" t="n">
        <v>2</v>
      </c>
      <c r="O674" s="1">
        <f>IFERROR(L674*G674,0)</f>
        <v/>
      </c>
      <c r="P674">
        <f>IF(N674-L674-M674&gt;0,N674-L674-M674,0)</f>
        <v/>
      </c>
      <c r="Q674" s="1">
        <f>IFERROR(P674*G674,0)</f>
        <v/>
      </c>
    </row>
    <row r="675">
      <c r="A675" t="inlineStr">
        <is>
          <t>B-91-FAN1</t>
        </is>
      </c>
      <c r="B675" t="inlineStr">
        <is>
          <t>TORRETTE TR-A 710 T6 4KW ATEX Zone 1 - Explosion Proof Roof Top Centrifugal Exhaust Fan</t>
        </is>
      </c>
      <c r="C675" t="inlineStr"/>
      <c r="D675" t="n">
        <v>1</v>
      </c>
      <c r="E675" t="n">
        <v>0</v>
      </c>
      <c r="F675" t="inlineStr"/>
      <c r="G675" s="1" t="n">
        <v>0</v>
      </c>
      <c r="H675" t="n">
        <v>1</v>
      </c>
      <c r="I675" t="n">
        <v>0.5</v>
      </c>
      <c r="J675" t="n">
        <v>1</v>
      </c>
      <c r="K675" t="n">
        <v>1</v>
      </c>
      <c r="L675" t="n">
        <v>0</v>
      </c>
      <c r="M675" t="n">
        <v>0</v>
      </c>
      <c r="N675" t="n">
        <v>2</v>
      </c>
      <c r="O675" s="1">
        <f>IFERROR(L675*G675,0)</f>
        <v/>
      </c>
      <c r="P675">
        <f>IF(N675-L675-M675&gt;0,N675-L675-M675,0)</f>
        <v/>
      </c>
      <c r="Q675" s="1">
        <f>IFERROR(P675*G675,0)</f>
        <v/>
      </c>
    </row>
    <row r="676">
      <c r="A676" t="inlineStr">
        <is>
          <t>B-91-FAN2</t>
        </is>
      </c>
      <c r="B676" t="inlineStr">
        <is>
          <t>HC-63-4T/H/ATEX/2G Ex db 230/400V - 60Hz - Explosion Proof Wall Mounted Centrifugal Exhaust Fan</t>
        </is>
      </c>
      <c r="C676" t="inlineStr"/>
      <c r="D676" t="n">
        <v>1</v>
      </c>
      <c r="E676" t="n">
        <v>0</v>
      </c>
      <c r="F676" t="inlineStr"/>
      <c r="G676" s="1" t="n">
        <v>0</v>
      </c>
      <c r="H676" t="n">
        <v>2</v>
      </c>
      <c r="I676" t="n">
        <v>0.5</v>
      </c>
      <c r="J676" t="n">
        <v>2</v>
      </c>
      <c r="K676" t="n">
        <v>1</v>
      </c>
      <c r="L676" t="n">
        <v>0</v>
      </c>
      <c r="M676" t="n">
        <v>0</v>
      </c>
      <c r="N676" t="n">
        <v>5</v>
      </c>
      <c r="O676" s="1">
        <f>IFERROR(L676*G676,0)</f>
        <v/>
      </c>
      <c r="P676">
        <f>IF(N676-L676-M676&gt;0,N676-L676-M676,0)</f>
        <v/>
      </c>
      <c r="Q676" s="1">
        <f>IFERROR(P676*G676,0)</f>
        <v/>
      </c>
    </row>
    <row r="677">
      <c r="A677" t="inlineStr">
        <is>
          <t>B-91-FAN3</t>
        </is>
      </c>
      <c r="B677" t="inlineStr">
        <is>
          <t>TORRETTE TR-A 500 T4 3KW ATEX Zone 1 - Explosion Proof Roof Top Exhaust Fan</t>
        </is>
      </c>
      <c r="C677" t="inlineStr"/>
      <c r="D677" t="n">
        <v>1</v>
      </c>
      <c r="E677" t="n">
        <v>0</v>
      </c>
      <c r="F677" t="inlineStr"/>
      <c r="G677" s="1" t="n">
        <v>0</v>
      </c>
      <c r="H677" t="n">
        <v>2</v>
      </c>
      <c r="I677" t="n">
        <v>0.5</v>
      </c>
      <c r="J677" t="n">
        <v>2</v>
      </c>
      <c r="K677" t="n">
        <v>1</v>
      </c>
      <c r="L677" t="n">
        <v>0</v>
      </c>
      <c r="M677" t="n">
        <v>0</v>
      </c>
      <c r="N677" t="n">
        <v>5</v>
      </c>
      <c r="O677" s="1">
        <f>IFERROR(L677*G677,0)</f>
        <v/>
      </c>
      <c r="P677">
        <f>IF(N677-L677-M677&gt;0,N677-L677-M677,0)</f>
        <v/>
      </c>
      <c r="Q677" s="1">
        <f>IFERROR(P677*G677,0)</f>
        <v/>
      </c>
    </row>
    <row r="678">
      <c r="A678" t="inlineStr">
        <is>
          <t>B-91-FAN4</t>
        </is>
      </c>
      <c r="B678" t="inlineStr">
        <is>
          <t>HTMV-90-4T-7.5/ATEX/2G Ex db 400/690V - Explosion Proof Roof Top Exhaust Fan</t>
        </is>
      </c>
      <c r="C678" t="inlineStr"/>
      <c r="D678" t="n">
        <v>1</v>
      </c>
      <c r="E678" t="n">
        <v>0</v>
      </c>
      <c r="F678" t="inlineStr"/>
      <c r="G678" s="1" t="n">
        <v>0</v>
      </c>
      <c r="H678" t="n">
        <v>1</v>
      </c>
      <c r="I678" t="n">
        <v>0.5</v>
      </c>
      <c r="J678" t="n">
        <v>1</v>
      </c>
      <c r="K678" t="n">
        <v>1</v>
      </c>
      <c r="L678" t="n">
        <v>0</v>
      </c>
      <c r="M678" t="n">
        <v>0</v>
      </c>
      <c r="N678" t="n">
        <v>2</v>
      </c>
      <c r="O678" s="1">
        <f>IFERROR(L678*G678,0)</f>
        <v/>
      </c>
      <c r="P678">
        <f>IF(N678-L678-M678&gt;0,N678-L678-M678,0)</f>
        <v/>
      </c>
      <c r="Q678" s="1">
        <f>IFERROR(P678*G678,0)</f>
        <v/>
      </c>
    </row>
    <row r="679">
      <c r="A679" t="inlineStr">
        <is>
          <t>B-91-FAN5</t>
        </is>
      </c>
      <c r="B679" t="inlineStr">
        <is>
          <t>TORRETTE TRS 310 EC - Roof Top Exhaust Fan</t>
        </is>
      </c>
      <c r="C679" t="inlineStr"/>
      <c r="D679" t="n">
        <v>1</v>
      </c>
      <c r="E679" t="n">
        <v>0</v>
      </c>
      <c r="F679" t="inlineStr"/>
      <c r="G679" s="1" t="n">
        <v>0</v>
      </c>
      <c r="H679" t="n">
        <v>1</v>
      </c>
      <c r="I679" t="n">
        <v>0.5</v>
      </c>
      <c r="J679" t="n">
        <v>1</v>
      </c>
      <c r="K679" t="n">
        <v>1</v>
      </c>
      <c r="L679" t="n">
        <v>0</v>
      </c>
      <c r="M679" t="n">
        <v>0</v>
      </c>
      <c r="N679" t="n">
        <v>2</v>
      </c>
      <c r="O679" s="1">
        <f>IFERROR(L679*G679,0)</f>
        <v/>
      </c>
      <c r="P679">
        <f>IF(N679-L679-M679&gt;0,N679-L679-M679,0)</f>
        <v/>
      </c>
      <c r="Q679" s="1">
        <f>IFERROR(P679*G679,0)</f>
        <v/>
      </c>
    </row>
    <row r="680">
      <c r="A680" t="inlineStr">
        <is>
          <t>B-91-FAN6</t>
        </is>
      </c>
      <c r="B680" t="inlineStr">
        <is>
          <t>TORRETTE TRS 250 EC - Roof Top Exhaust Fan</t>
        </is>
      </c>
      <c r="C680" t="inlineStr"/>
      <c r="D680" t="n">
        <v>1</v>
      </c>
      <c r="E680" t="n">
        <v>0</v>
      </c>
      <c r="F680" t="inlineStr"/>
      <c r="G680" s="1" t="n">
        <v>0</v>
      </c>
      <c r="H680" t="n">
        <v>1</v>
      </c>
      <c r="I680" t="n">
        <v>0.5</v>
      </c>
      <c r="J680" t="n">
        <v>1</v>
      </c>
      <c r="K680" t="n">
        <v>1</v>
      </c>
      <c r="L680" t="n">
        <v>0</v>
      </c>
      <c r="M680" t="n">
        <v>0</v>
      </c>
      <c r="N680" t="n">
        <v>2</v>
      </c>
      <c r="O680" s="1">
        <f>IFERROR(L680*G680,0)</f>
        <v/>
      </c>
      <c r="P680">
        <f>IF(N680-L680-M680&gt;0,N680-L680-M680,0)</f>
        <v/>
      </c>
      <c r="Q680" s="1">
        <f>IFERROR(P680*G680,0)</f>
        <v/>
      </c>
    </row>
    <row r="681">
      <c r="A681" t="inlineStr">
        <is>
          <t>B-91-FAN7</t>
        </is>
      </c>
      <c r="B681" t="inlineStr">
        <is>
          <t>Lineo 200 - Inline Exhaust Fan</t>
        </is>
      </c>
      <c r="C681" t="inlineStr"/>
      <c r="D681" t="n">
        <v>9</v>
      </c>
      <c r="E681" t="n">
        <v>2</v>
      </c>
      <c r="F681" t="inlineStr">
        <is>
          <t>Luck and King</t>
        </is>
      </c>
      <c r="G681" s="1" t="n">
        <v>490</v>
      </c>
      <c r="H681" t="n">
        <v>1</v>
      </c>
      <c r="I681" t="n">
        <v>0.5</v>
      </c>
      <c r="J681" t="n">
        <v>1</v>
      </c>
      <c r="K681" t="n">
        <v>1</v>
      </c>
      <c r="L681" t="n">
        <v>0</v>
      </c>
      <c r="M681" t="n">
        <v>0</v>
      </c>
      <c r="N681" t="n">
        <v>2</v>
      </c>
      <c r="O681" s="1">
        <f>IFERROR(L681*G681,0)</f>
        <v/>
      </c>
      <c r="P681">
        <f>IF(N681-L681-M681&gt;0,N681-L681-M681,0)</f>
        <v/>
      </c>
      <c r="Q681" s="1">
        <f>IFERROR(P681*G681,0)</f>
        <v/>
      </c>
    </row>
    <row r="682">
      <c r="A682" t="inlineStr">
        <is>
          <t>B/01</t>
        </is>
      </c>
      <c r="B682" t="inlineStr">
        <is>
          <t>Volume Control Damper &amp; Quad 150mm</t>
        </is>
      </c>
      <c r="C682" t="inlineStr"/>
      <c r="D682" t="n">
        <v>1</v>
      </c>
      <c r="E682" t="n">
        <v>0</v>
      </c>
      <c r="F682" t="inlineStr"/>
      <c r="G682" s="1" t="n">
        <v>0</v>
      </c>
      <c r="H682" t="n">
        <v>9</v>
      </c>
      <c r="I682" t="n">
        <v>0.5</v>
      </c>
      <c r="J682" t="n">
        <v>9</v>
      </c>
      <c r="K682" t="n">
        <v>4</v>
      </c>
      <c r="L682" t="n">
        <v>0</v>
      </c>
      <c r="M682" t="n">
        <v>0</v>
      </c>
      <c r="N682" t="n">
        <v>22</v>
      </c>
      <c r="O682" s="1">
        <f>IFERROR(L682*G682,0)</f>
        <v/>
      </c>
      <c r="P682">
        <f>IF(N682-L682-M682&gt;0,N682-L682-M682,0)</f>
        <v/>
      </c>
      <c r="Q682" s="1">
        <f>IFERROR(P682*G682,0)</f>
        <v/>
      </c>
    </row>
    <row r="683">
      <c r="A683" t="inlineStr">
        <is>
          <t>B/02</t>
        </is>
      </c>
      <c r="B683" t="inlineStr">
        <is>
          <t>Fire Damper c/w Link &amp; Quad 150mm</t>
        </is>
      </c>
      <c r="C683" t="inlineStr"/>
      <c r="D683" t="n">
        <v>1</v>
      </c>
      <c r="E683" t="n">
        <v>0</v>
      </c>
      <c r="F683" t="inlineStr"/>
      <c r="G683" s="1" t="n">
        <v>0</v>
      </c>
      <c r="H683" t="n">
        <v>6</v>
      </c>
      <c r="I683" t="n">
        <v>0.5</v>
      </c>
      <c r="J683" t="n">
        <v>6</v>
      </c>
      <c r="K683" t="n">
        <v>3</v>
      </c>
      <c r="L683" t="n">
        <v>0</v>
      </c>
      <c r="M683" t="n">
        <v>0</v>
      </c>
      <c r="N683" t="n">
        <v>15</v>
      </c>
      <c r="O683" s="1">
        <f>IFERROR(L683*G683,0)</f>
        <v/>
      </c>
      <c r="P683">
        <f>IF(N683-L683-M683&gt;0,N683-L683-M683,0)</f>
        <v/>
      </c>
      <c r="Q683" s="1">
        <f>IFERROR(P683*G683,0)</f>
        <v/>
      </c>
    </row>
    <row r="684">
      <c r="A684" t="inlineStr">
        <is>
          <t>B3</t>
        </is>
      </c>
      <c r="B684" t="inlineStr">
        <is>
          <t>IA Certification (Imported Equipment). Document Review and IA Certification Transfer Based on ATEX</t>
        </is>
      </c>
      <c r="C684" t="inlineStr"/>
      <c r="D684" t="n">
        <v>1</v>
      </c>
      <c r="E684" t="n">
        <v>1</v>
      </c>
      <c r="F684" t="inlineStr">
        <is>
          <t>MEGATON SYSTEMS (PTY) LTD. T/A MTEX LABORATORIES</t>
        </is>
      </c>
      <c r="G684" s="1" t="n">
        <v>3473.5</v>
      </c>
      <c r="H684" t="n">
        <v>0</v>
      </c>
      <c r="I684" t="n">
        <v>0.5</v>
      </c>
      <c r="J684" t="n">
        <v>1</v>
      </c>
      <c r="K684" t="n">
        <v>1</v>
      </c>
      <c r="L684" t="n">
        <v>0</v>
      </c>
      <c r="M684" t="n">
        <v>0</v>
      </c>
      <c r="N684" t="n">
        <v>2</v>
      </c>
      <c r="O684" s="1">
        <f>IFERROR(L684*G684,0)</f>
        <v/>
      </c>
      <c r="P684">
        <f>IF(N684-L684-M684&gt;0,N684-L684-M684,0)</f>
        <v/>
      </c>
      <c r="Q684" s="1">
        <f>IFERROR(P684*G684,0)</f>
        <v/>
      </c>
    </row>
    <row r="685">
      <c r="A685" t="inlineStr">
        <is>
          <t>BAF100</t>
        </is>
      </c>
      <c r="B685" t="inlineStr">
        <is>
          <t>BAF 100</t>
        </is>
      </c>
      <c r="C685" t="inlineStr">
        <is>
          <t>FM - KAYITES</t>
        </is>
      </c>
      <c r="D685" t="n">
        <v>23</v>
      </c>
      <c r="E685" t="n">
        <v>30</v>
      </c>
      <c r="F685" t="inlineStr">
        <is>
          <t>Kayites</t>
        </is>
      </c>
      <c r="G685" s="1" t="n">
        <v>59.08</v>
      </c>
      <c r="H685" t="n">
        <v>15</v>
      </c>
      <c r="I685" t="n">
        <v>0.5</v>
      </c>
      <c r="J685" t="n">
        <v>1.5</v>
      </c>
      <c r="K685" t="n">
        <v>1</v>
      </c>
      <c r="L685" t="n">
        <v>0</v>
      </c>
      <c r="M685" t="n">
        <v>0</v>
      </c>
      <c r="N685" t="n">
        <v>4</v>
      </c>
      <c r="O685" s="1">
        <f>IFERROR(L685*G685,0)</f>
        <v/>
      </c>
      <c r="P685">
        <f>IF(N685-L685-M685&gt;0,N685-L685-M685,0)</f>
        <v/>
      </c>
      <c r="Q685" s="1">
        <f>IFERROR(P685*G685,0)</f>
        <v/>
      </c>
    </row>
    <row r="686">
      <c r="A686" t="inlineStr">
        <is>
          <t>BAF125</t>
        </is>
      </c>
      <c r="B686" t="inlineStr">
        <is>
          <t>BAF 125</t>
        </is>
      </c>
      <c r="C686" t="inlineStr">
        <is>
          <t>FM - KAYITES</t>
        </is>
      </c>
      <c r="D686" t="n">
        <v>17</v>
      </c>
      <c r="E686" t="n">
        <v>30</v>
      </c>
      <c r="F686" t="inlineStr">
        <is>
          <t>Kayites</t>
        </is>
      </c>
      <c r="G686" s="1" t="n">
        <v>95.86</v>
      </c>
      <c r="H686" t="n">
        <v>7</v>
      </c>
      <c r="I686" t="n">
        <v>0.5</v>
      </c>
      <c r="J686" t="n">
        <v>2</v>
      </c>
      <c r="K686" t="n">
        <v>1</v>
      </c>
      <c r="L686" t="n">
        <v>0</v>
      </c>
      <c r="M686" t="n">
        <v>0</v>
      </c>
      <c r="N686" t="n">
        <v>5</v>
      </c>
      <c r="O686" s="1">
        <f>IFERROR(L686*G686,0)</f>
        <v/>
      </c>
      <c r="P686">
        <f>IF(N686-L686-M686&gt;0,N686-L686-M686,0)</f>
        <v/>
      </c>
      <c r="Q686" s="1">
        <f>IFERROR(P686*G686,0)</f>
        <v/>
      </c>
    </row>
    <row r="687">
      <c r="A687" t="inlineStr">
        <is>
          <t>BAF150</t>
        </is>
      </c>
      <c r="B687" t="inlineStr">
        <is>
          <t>BAF 150</t>
        </is>
      </c>
      <c r="C687" t="inlineStr">
        <is>
          <t>FM - KAYITES</t>
        </is>
      </c>
      <c r="D687" t="n">
        <v>25</v>
      </c>
      <c r="E687" t="n">
        <v>100</v>
      </c>
      <c r="F687" t="inlineStr">
        <is>
          <t>Kayites</t>
        </is>
      </c>
      <c r="G687" s="1" t="n">
        <v>137.02</v>
      </c>
      <c r="H687" t="n">
        <v>72</v>
      </c>
      <c r="I687" t="n">
        <v>0.6</v>
      </c>
      <c r="J687" t="n">
        <v>4</v>
      </c>
      <c r="K687" t="n">
        <v>2</v>
      </c>
      <c r="L687" t="n">
        <v>0</v>
      </c>
      <c r="M687" t="n">
        <v>0</v>
      </c>
      <c r="N687" t="n">
        <v>10</v>
      </c>
      <c r="O687" s="1">
        <f>IFERROR(L687*G687,0)</f>
        <v/>
      </c>
      <c r="P687">
        <f>IF(N687-L687-M687&gt;0,N687-L687-M687,0)</f>
        <v/>
      </c>
      <c r="Q687" s="1">
        <f>IFERROR(P687*G687,0)</f>
        <v/>
      </c>
    </row>
    <row r="688">
      <c r="A688" t="inlineStr">
        <is>
          <t>BBC19X10/14T</t>
        </is>
      </c>
      <c r="B688" t="inlineStr">
        <is>
          <t>BANDSAW BIMETAL M42 19x10/14T (2.480x1)</t>
        </is>
      </c>
      <c r="C688" t="inlineStr"/>
      <c r="D688" t="n">
        <v>18</v>
      </c>
      <c r="E688" t="n">
        <v>9.92</v>
      </c>
      <c r="F688" t="inlineStr">
        <is>
          <t>SPARES 2000 CC t/a SHARP-RITE</t>
        </is>
      </c>
      <c r="G688" s="1" t="n">
        <v>210</v>
      </c>
      <c r="H688" t="n">
        <v>0</v>
      </c>
      <c r="I688" t="n">
        <v>0.5</v>
      </c>
      <c r="J688" t="n">
        <v>1</v>
      </c>
      <c r="K688" t="n">
        <v>1</v>
      </c>
      <c r="L688" t="n">
        <v>0</v>
      </c>
      <c r="M688" t="n">
        <v>0</v>
      </c>
      <c r="N688" t="n">
        <v>2</v>
      </c>
      <c r="O688" s="1">
        <f>IFERROR(L688*G688,0)</f>
        <v/>
      </c>
      <c r="P688">
        <f>IF(N688-L688-M688&gt;0,N688-L688-M688,0)</f>
        <v/>
      </c>
      <c r="Q688" s="1">
        <f>IFERROR(P688*G688,0)</f>
        <v/>
      </c>
    </row>
    <row r="689">
      <c r="A689" t="inlineStr">
        <is>
          <t>BBC19X10/14T-2</t>
        </is>
      </c>
      <c r="B689" t="inlineStr">
        <is>
          <t>BANDSAW BIMETAL M42 19x10/14T (3.050x1)</t>
        </is>
      </c>
      <c r="C689" t="inlineStr"/>
      <c r="D689" t="n">
        <v>1</v>
      </c>
      <c r="E689" t="n">
        <v>3.05</v>
      </c>
      <c r="F689" t="inlineStr">
        <is>
          <t>SPARES 2000 CC t/a SHARP-RITE</t>
        </is>
      </c>
      <c r="G689" s="1" t="n">
        <v>210</v>
      </c>
      <c r="H689" t="n">
        <v>0</v>
      </c>
      <c r="I689" t="n">
        <v>0.8</v>
      </c>
      <c r="J689" t="n">
        <v>3.5</v>
      </c>
      <c r="K689" t="n">
        <v>3</v>
      </c>
      <c r="L689" t="n">
        <v>0</v>
      </c>
      <c r="M689" t="n">
        <v>0</v>
      </c>
      <c r="N689" t="n">
        <v>10</v>
      </c>
      <c r="O689" s="1">
        <f>IFERROR(L689*G689,0)</f>
        <v/>
      </c>
      <c r="P689">
        <f>IF(N689-L689-M689&gt;0,N689-L689-M689,0)</f>
        <v/>
      </c>
      <c r="Q689" s="1">
        <f>IFERROR(P689*G689,0)</f>
        <v/>
      </c>
    </row>
    <row r="690">
      <c r="A690" t="inlineStr">
        <is>
          <t>BBF19X10/14DOM</t>
        </is>
      </c>
      <c r="B690" t="inlineStr">
        <is>
          <t>BANDSAW BIMETAL M42 19x10/14T (2.480x1)</t>
        </is>
      </c>
      <c r="C690" t="inlineStr"/>
      <c r="D690" t="n">
        <v>1</v>
      </c>
      <c r="E690" t="n">
        <v>4.96</v>
      </c>
      <c r="F690" t="inlineStr">
        <is>
          <t>SPARES 2000 CC t/a SHARP-RITE</t>
        </is>
      </c>
      <c r="G690" s="1" t="n">
        <v>210</v>
      </c>
      <c r="H690" t="n">
        <v>0</v>
      </c>
      <c r="I690" t="n">
        <v>0.5</v>
      </c>
      <c r="J690" t="n">
        <v>5</v>
      </c>
      <c r="K690" t="n">
        <v>2</v>
      </c>
      <c r="L690" t="n">
        <v>0</v>
      </c>
      <c r="M690" t="n">
        <v>0</v>
      </c>
      <c r="N690" t="n">
        <v>12</v>
      </c>
      <c r="O690" s="1">
        <f>IFERROR(L690*G690,0)</f>
        <v/>
      </c>
      <c r="P690">
        <f>IF(N690-L690-M690&gt;0,N690-L690-M690,0)</f>
        <v/>
      </c>
      <c r="Q690" s="1">
        <f>IFERROR(P690*G690,0)</f>
        <v/>
      </c>
    </row>
    <row r="691">
      <c r="A691" t="inlineStr">
        <is>
          <t>BBF27X8/12T</t>
        </is>
      </c>
      <c r="B691" t="inlineStr">
        <is>
          <t>BANDSAW BIMETAL M42 8/12T (2.480X1)</t>
        </is>
      </c>
      <c r="C691" t="inlineStr"/>
      <c r="D691" t="n">
        <v>1</v>
      </c>
      <c r="E691" t="n">
        <v>2.48</v>
      </c>
      <c r="F691" t="inlineStr">
        <is>
          <t>SPARES 2000 CC t/a SHARP-RITE</t>
        </is>
      </c>
      <c r="G691" s="1" t="n">
        <v>219.14</v>
      </c>
      <c r="H691" t="n">
        <v>0</v>
      </c>
      <c r="I691" t="n">
        <v>0.8</v>
      </c>
      <c r="J691" t="n">
        <v>2.5</v>
      </c>
      <c r="K691" t="n">
        <v>2</v>
      </c>
      <c r="L691" t="n">
        <v>0</v>
      </c>
      <c r="M691" t="n">
        <v>0</v>
      </c>
      <c r="N691" t="n">
        <v>7</v>
      </c>
      <c r="O691" s="1">
        <f>IFERROR(L691*G691,0)</f>
        <v/>
      </c>
      <c r="P691">
        <f>IF(N691-L691-M691&gt;0,N691-L691-M691,0)</f>
        <v/>
      </c>
      <c r="Q691" s="1">
        <f>IFERROR(P691*G691,0)</f>
        <v/>
      </c>
    </row>
    <row r="692">
      <c r="A692" t="inlineStr">
        <is>
          <t>BCC 15</t>
        </is>
      </c>
      <c r="B692" t="inlineStr">
        <is>
          <t>BCC 15/0.75kW arrangement 1A class 2 c/w 4kW 4Pole 525v fan Spped 3057rpm</t>
        </is>
      </c>
      <c r="C692" t="inlineStr"/>
      <c r="D692" t="n">
        <v>1</v>
      </c>
      <c r="E692" t="n">
        <v>0</v>
      </c>
      <c r="F692" t="inlineStr"/>
      <c r="G692" s="1" t="n">
        <v>0</v>
      </c>
      <c r="H692" t="n">
        <v>1</v>
      </c>
      <c r="I692" t="n">
        <v>0.5</v>
      </c>
      <c r="J692" t="n">
        <v>1</v>
      </c>
      <c r="K692" t="n">
        <v>1</v>
      </c>
      <c r="L692" t="n">
        <v>0</v>
      </c>
      <c r="M692" t="n">
        <v>0</v>
      </c>
      <c r="N692" t="n">
        <v>2</v>
      </c>
      <c r="O692" s="1">
        <f>IFERROR(L692*G692,0)</f>
        <v/>
      </c>
      <c r="P692">
        <f>IF(N692-L692-M692&gt;0,N692-L692-M692,0)</f>
        <v/>
      </c>
      <c r="Q692" s="1">
        <f>IFERROR(P692*G692,0)</f>
        <v/>
      </c>
    </row>
    <row r="693">
      <c r="A693" t="inlineStr">
        <is>
          <t>BCC 21/01 Class1 (2A) Belt Driven</t>
        </is>
      </c>
      <c r="B693" t="inlineStr">
        <is>
          <t>c/w 5.5 kW 4 Pole 380V (IP66)</t>
        </is>
      </c>
      <c r="C693" t="inlineStr"/>
      <c r="D693" t="n">
        <v>11</v>
      </c>
      <c r="E693" t="n">
        <v>1</v>
      </c>
      <c r="F693" t="inlineStr">
        <is>
          <t>CFW Fans (Pty) Ltd</t>
        </is>
      </c>
      <c r="G693" s="1" t="n">
        <v>43708</v>
      </c>
      <c r="H693" t="n">
        <v>2</v>
      </c>
      <c r="I693" t="n">
        <v>0.7</v>
      </c>
      <c r="J693" t="n">
        <v>1</v>
      </c>
      <c r="K693" t="n">
        <v>1</v>
      </c>
      <c r="L693" t="n">
        <v>0</v>
      </c>
      <c r="M693" t="n">
        <v>0</v>
      </c>
      <c r="N693" t="n">
        <v>3</v>
      </c>
      <c r="O693" s="1">
        <f>IFERROR(L693*G693,0)</f>
        <v/>
      </c>
      <c r="P693">
        <f>IF(N693-L693-M693&gt;0,N693-L693-M693,0)</f>
        <v/>
      </c>
      <c r="Q693" s="1">
        <f>IFERROR(P693*G693,0)</f>
        <v/>
      </c>
    </row>
    <row r="694">
      <c r="A694" t="inlineStr">
        <is>
          <t>BCC 39</t>
        </is>
      </c>
      <c r="B694" t="inlineStr">
        <is>
          <t>BCC 39/0.99 SISW c/w 75Kw 4P 400V Motor</t>
        </is>
      </c>
      <c r="C694" t="inlineStr"/>
      <c r="D694" t="n">
        <v>1</v>
      </c>
      <c r="E694" t="n">
        <v>1</v>
      </c>
      <c r="F694" t="inlineStr">
        <is>
          <t>CFW Fans (Pty) Ltd</t>
        </is>
      </c>
      <c r="G694" s="1" t="n">
        <v>212333</v>
      </c>
      <c r="H694" t="n">
        <v>1</v>
      </c>
      <c r="I694" t="n">
        <v>0.6</v>
      </c>
      <c r="J694" t="n">
        <v>1</v>
      </c>
      <c r="K694" t="n">
        <v>1</v>
      </c>
      <c r="L694" t="n">
        <v>0</v>
      </c>
      <c r="M694" t="n">
        <v>0</v>
      </c>
      <c r="N694" t="n">
        <v>3</v>
      </c>
      <c r="O694" s="1">
        <f>IFERROR(L694*G694,0)</f>
        <v/>
      </c>
      <c r="P694">
        <f>IF(N694-L694-M694&gt;0,N694-L694-M694,0)</f>
        <v/>
      </c>
      <c r="Q694" s="1">
        <f>IFERROR(P694*G694,0)</f>
        <v/>
      </c>
    </row>
    <row r="695">
      <c r="A695" t="inlineStr">
        <is>
          <t>BCC-2 500/1.0</t>
        </is>
      </c>
      <c r="B695" t="inlineStr">
        <is>
          <t>4A c/w 7.5 kW 4 Pole 380V</t>
        </is>
      </c>
      <c r="C695" t="inlineStr"/>
      <c r="D695" t="n">
        <v>1</v>
      </c>
      <c r="E695" t="n">
        <v>2</v>
      </c>
      <c r="F695" t="inlineStr">
        <is>
          <t>Centrifab (Pty) Ltd</t>
        </is>
      </c>
      <c r="G695" s="1" t="n">
        <v>31900</v>
      </c>
      <c r="H695" t="n">
        <v>0</v>
      </c>
      <c r="I695" t="n">
        <v>0.5</v>
      </c>
      <c r="J695" t="n">
        <v>2</v>
      </c>
      <c r="K695" t="n">
        <v>1</v>
      </c>
      <c r="L695" t="n">
        <v>0</v>
      </c>
      <c r="M695" t="n">
        <v>0</v>
      </c>
      <c r="N695" t="n">
        <v>5</v>
      </c>
      <c r="O695" s="1">
        <f>IFERROR(L695*G695,0)</f>
        <v/>
      </c>
      <c r="P695">
        <f>IF(N695-L695-M695&gt;0,N695-L695-M695,0)</f>
        <v/>
      </c>
      <c r="Q695" s="1">
        <f>IFERROR(P695*G695,0)</f>
        <v/>
      </c>
    </row>
    <row r="696">
      <c r="A696" t="inlineStr">
        <is>
          <t>BCC15-J61923</t>
        </is>
      </c>
      <c r="B696" t="inlineStr">
        <is>
          <t>BCC 15/0.75 CL2 Ar 1A c/w 4.0kw 4P 525V - J61923</t>
        </is>
      </c>
      <c r="C696" t="inlineStr"/>
      <c r="D696" t="n">
        <v>2</v>
      </c>
      <c r="E696" t="n">
        <v>1</v>
      </c>
      <c r="F696" t="inlineStr">
        <is>
          <t>Centrifab (Pty) Ltd</t>
        </is>
      </c>
      <c r="G696" s="1" t="n">
        <v>53900</v>
      </c>
      <c r="H696" t="n">
        <v>0</v>
      </c>
      <c r="I696" t="n">
        <v>0.7</v>
      </c>
      <c r="J696" t="n">
        <v>1</v>
      </c>
      <c r="K696" t="n">
        <v>1</v>
      </c>
      <c r="L696" t="n">
        <v>0</v>
      </c>
      <c r="M696" t="n">
        <v>0</v>
      </c>
      <c r="N696" t="n">
        <v>3</v>
      </c>
      <c r="O696" s="1">
        <f>IFERROR(L696*G696,0)</f>
        <v/>
      </c>
      <c r="P696">
        <f>IF(N696-L696-M696&gt;0,N696-L696-M696,0)</f>
        <v/>
      </c>
      <c r="Q696" s="1">
        <f>IFERROR(P696*G696,0)</f>
        <v/>
      </c>
    </row>
    <row r="697">
      <c r="A697" t="inlineStr">
        <is>
          <t>BDB-280 CM</t>
        </is>
      </c>
      <c r="B697" t="inlineStr">
        <is>
          <t>BCC DIDW CENTRIFUGAL FAN</t>
        </is>
      </c>
      <c r="C697" t="inlineStr"/>
      <c r="D697" t="n">
        <v>1</v>
      </c>
      <c r="E697" t="n">
        <v>1</v>
      </c>
      <c r="F697" t="inlineStr">
        <is>
          <t>Air Movement Supplies</t>
        </is>
      </c>
      <c r="G697" s="1" t="n">
        <v>6267</v>
      </c>
      <c r="H697" t="n">
        <v>0</v>
      </c>
      <c r="I697" t="n">
        <v>0.9</v>
      </c>
      <c r="J697" t="n">
        <v>1</v>
      </c>
      <c r="K697" t="n">
        <v>1</v>
      </c>
      <c r="L697" t="n">
        <v>0</v>
      </c>
      <c r="M697" t="n">
        <v>0</v>
      </c>
      <c r="N697" t="n">
        <v>3</v>
      </c>
      <c r="O697" s="1">
        <f>IFERROR(L697*G697,0)</f>
        <v/>
      </c>
      <c r="P697">
        <f>IF(N697-L697-M697&gt;0,N697-L697-M697,0)</f>
        <v/>
      </c>
      <c r="Q697" s="1">
        <f>IFERROR(P697*G697,0)</f>
        <v/>
      </c>
    </row>
    <row r="698">
      <c r="A698" t="inlineStr">
        <is>
          <t>BF50L1.51HS</t>
        </is>
      </c>
      <c r="B698" t="inlineStr">
        <is>
          <t>Box fan 1250mm LOUV 220v 01.50kW S/S</t>
        </is>
      </c>
      <c r="C698" t="inlineStr"/>
      <c r="D698" t="n">
        <v>1</v>
      </c>
      <c r="E698" t="n">
        <v>7</v>
      </c>
      <c r="F698" t="inlineStr">
        <is>
          <t>Luft Industries Natal (Pty) Ltd</t>
        </is>
      </c>
      <c r="G698" s="1" t="n">
        <v>3636.07</v>
      </c>
      <c r="H698" t="n">
        <v>0</v>
      </c>
      <c r="I698" t="n">
        <v>0.5</v>
      </c>
      <c r="J698" t="n">
        <v>7</v>
      </c>
      <c r="K698" t="n">
        <v>4</v>
      </c>
      <c r="L698" t="n">
        <v>0</v>
      </c>
      <c r="M698" t="n">
        <v>0</v>
      </c>
      <c r="N698" t="n">
        <v>18</v>
      </c>
      <c r="O698" s="1">
        <f>IFERROR(L698*G698,0)</f>
        <v/>
      </c>
      <c r="P698">
        <f>IF(N698-L698-M698&gt;0,N698-L698-M698,0)</f>
        <v/>
      </c>
      <c r="Q698" s="1">
        <f>IFERROR(P698*G698,0)</f>
        <v/>
      </c>
    </row>
    <row r="699">
      <c r="A699" t="inlineStr">
        <is>
          <t>BP01</t>
        </is>
      </c>
      <c r="B699" t="inlineStr">
        <is>
          <t>PLASTIC BUCKLES 12MM - (1000)</t>
        </is>
      </c>
      <c r="C699" t="inlineStr"/>
      <c r="D699" t="n">
        <v>1</v>
      </c>
      <c r="E699" t="n">
        <v>1</v>
      </c>
      <c r="F699" t="inlineStr">
        <is>
          <t>Advantage Air Africa Pty Ltd</t>
        </is>
      </c>
      <c r="G699" s="1" t="n">
        <v>230.1</v>
      </c>
      <c r="H699" t="n">
        <v>0</v>
      </c>
      <c r="I699" t="n">
        <v>0.5</v>
      </c>
      <c r="J699" t="n">
        <v>1</v>
      </c>
      <c r="K699" t="n">
        <v>1</v>
      </c>
      <c r="L699" t="n">
        <v>0</v>
      </c>
      <c r="M699" t="n">
        <v>0</v>
      </c>
      <c r="N699" t="n">
        <v>2</v>
      </c>
      <c r="O699" s="1">
        <f>IFERROR(L699*G699,0)</f>
        <v/>
      </c>
      <c r="P699">
        <f>IF(N699-L699-M699&gt;0,N699-L699-M699,0)</f>
        <v/>
      </c>
      <c r="Q699" s="1">
        <f>IFERROR(P699*G699,0)</f>
        <v/>
      </c>
    </row>
    <row r="700">
      <c r="A700" t="inlineStr">
        <is>
          <t>Balance Impeller</t>
        </is>
      </c>
      <c r="B700" t="inlineStr">
        <is>
          <t>Impeller Balancing 2.5kg 4p</t>
        </is>
      </c>
      <c r="C700" t="inlineStr"/>
      <c r="D700" t="n">
        <v>13</v>
      </c>
      <c r="E700" t="n">
        <v>41</v>
      </c>
      <c r="F700" t="inlineStr">
        <is>
          <t>ISO BALANCING</t>
        </is>
      </c>
      <c r="G700" s="1" t="n">
        <v>643.45</v>
      </c>
      <c r="H700" t="n">
        <v>1</v>
      </c>
      <c r="I700" t="n">
        <v>0.5</v>
      </c>
      <c r="J700" t="n">
        <v>3.5</v>
      </c>
      <c r="K700" t="n">
        <v>2</v>
      </c>
      <c r="L700" t="n">
        <v>0</v>
      </c>
      <c r="M700" t="n">
        <v>0</v>
      </c>
      <c r="N700" t="n">
        <v>9</v>
      </c>
      <c r="O700" s="1">
        <f>IFERROR(L700*G700,0)</f>
        <v/>
      </c>
      <c r="P700">
        <f>IF(N700-L700-M700&gt;0,N700-L700-M700,0)</f>
        <v/>
      </c>
      <c r="Q700" s="1">
        <f>IFERROR(P700*G700,0)</f>
        <v/>
      </c>
    </row>
    <row r="701">
      <c r="A701" t="inlineStr">
        <is>
          <t>Bellax 630</t>
        </is>
      </c>
      <c r="B701" t="inlineStr">
        <is>
          <t>Bellax 630 20.D 8- c/w1.5kw 4P 220V</t>
        </is>
      </c>
      <c r="C701" t="inlineStr"/>
      <c r="D701" t="n">
        <v>1</v>
      </c>
      <c r="E701" t="n">
        <v>1</v>
      </c>
      <c r="F701" t="inlineStr">
        <is>
          <t>Centrifab (Pty) Ltd</t>
        </is>
      </c>
      <c r="G701" s="1" t="n">
        <v>7868</v>
      </c>
      <c r="H701" t="n">
        <v>1</v>
      </c>
      <c r="I701" t="n">
        <v>0.6</v>
      </c>
      <c r="J701" t="n">
        <v>1</v>
      </c>
      <c r="K701" t="n">
        <v>1</v>
      </c>
      <c r="L701" t="n">
        <v>0</v>
      </c>
      <c r="M701" t="n">
        <v>0</v>
      </c>
      <c r="N701" t="n">
        <v>3</v>
      </c>
      <c r="O701" s="1">
        <f>IFERROR(L701*G701,0)</f>
        <v/>
      </c>
      <c r="P701">
        <f>IF(N701-L701-M701&gt;0,N701-L701-M701,0)</f>
        <v/>
      </c>
      <c r="Q701" s="1">
        <f>IFERROR(P701*G701,0)</f>
        <v/>
      </c>
    </row>
    <row r="702">
      <c r="A702" t="inlineStr">
        <is>
          <t>Bellax 800</t>
        </is>
      </c>
      <c r="B702" t="inlineStr">
        <is>
          <t>Bellax 800 32-E-8 c/w 1.5kW 6Pole Motor</t>
        </is>
      </c>
      <c r="C702" t="inlineStr"/>
      <c r="D702" t="n">
        <v>13</v>
      </c>
      <c r="E702" t="n">
        <v>7</v>
      </c>
      <c r="F702" t="inlineStr">
        <is>
          <t>Centrifab (Pty) Ltd</t>
        </is>
      </c>
      <c r="G702" s="1" t="n">
        <v>16392</v>
      </c>
      <c r="H702" t="n">
        <v>6</v>
      </c>
      <c r="I702" t="n">
        <v>1.2</v>
      </c>
      <c r="J702" t="n">
        <v>1</v>
      </c>
      <c r="K702" t="n">
        <v>1</v>
      </c>
      <c r="L702" t="n">
        <v>0</v>
      </c>
      <c r="M702" t="n">
        <v>0</v>
      </c>
      <c r="N702" t="n">
        <v>3</v>
      </c>
      <c r="O702" s="1">
        <f>IFERROR(L702*G702,0)</f>
        <v/>
      </c>
      <c r="P702">
        <f>IF(N702-L702-M702&gt;0,N702-L702-M702,0)</f>
        <v/>
      </c>
      <c r="Q702" s="1">
        <f>IFERROR(P702*G702,0)</f>
        <v/>
      </c>
    </row>
    <row r="703">
      <c r="A703" t="inlineStr">
        <is>
          <t>Bellax500</t>
        </is>
      </c>
      <c r="B703" t="inlineStr">
        <is>
          <t>Bellax 500 - 20 - C - 8 c/w 2,2KW 2P 220V</t>
        </is>
      </c>
      <c r="C703" t="inlineStr"/>
      <c r="D703" t="n">
        <v>1</v>
      </c>
      <c r="E703" t="n">
        <v>1</v>
      </c>
      <c r="F703" t="inlineStr">
        <is>
          <t>Air Speration</t>
        </is>
      </c>
      <c r="G703" s="1" t="n">
        <v>8453.75</v>
      </c>
      <c r="H703" t="n">
        <v>1</v>
      </c>
      <c r="I703" t="n">
        <v>0.5</v>
      </c>
      <c r="J703" t="n">
        <v>1</v>
      </c>
      <c r="K703" t="n">
        <v>1</v>
      </c>
      <c r="L703" t="n">
        <v>0</v>
      </c>
      <c r="M703" t="n">
        <v>0</v>
      </c>
      <c r="N703" t="n">
        <v>2</v>
      </c>
      <c r="O703" s="1">
        <f>IFERROR(L703*G703,0)</f>
        <v/>
      </c>
      <c r="P703">
        <f>IF(N703-L703-M703&gt;0,N703-L703-M703,0)</f>
        <v/>
      </c>
      <c r="Q703" s="1">
        <f>IFERROR(P703*G703,0)</f>
        <v/>
      </c>
    </row>
    <row r="704">
      <c r="A704" t="inlineStr">
        <is>
          <t>Bend System</t>
        </is>
      </c>
      <c r="B704" t="inlineStr">
        <is>
          <t>MULTI BEND SYSTEM 50 R</t>
        </is>
      </c>
      <c r="C704" t="inlineStr"/>
      <c r="D704" t="n">
        <v>1</v>
      </c>
      <c r="E704" t="n">
        <v>1</v>
      </c>
      <c r="F704" t="inlineStr">
        <is>
          <t>Strongman Metal Tools CC</t>
        </is>
      </c>
      <c r="G704" s="1" t="n">
        <v>9999</v>
      </c>
      <c r="H704" t="n">
        <v>0</v>
      </c>
      <c r="I704" t="n">
        <v>0.5</v>
      </c>
      <c r="J704" t="n">
        <v>1</v>
      </c>
      <c r="K704" t="n">
        <v>1</v>
      </c>
      <c r="L704" t="n">
        <v>0</v>
      </c>
      <c r="M704" t="n">
        <v>0</v>
      </c>
      <c r="N704" t="n">
        <v>2</v>
      </c>
      <c r="O704" s="1">
        <f>IFERROR(L704*G704,0)</f>
        <v/>
      </c>
      <c r="P704">
        <f>IF(N704-L704-M704&gt;0,N704-L704-M704,0)</f>
        <v/>
      </c>
      <c r="Q704" s="1">
        <f>IFERROR(P704*G704,0)</f>
        <v/>
      </c>
    </row>
    <row r="705">
      <c r="A705" t="inlineStr">
        <is>
          <t>Bending</t>
        </is>
      </c>
      <c r="B705" t="inlineStr">
        <is>
          <t>in house bending</t>
        </is>
      </c>
      <c r="C705" t="inlineStr"/>
      <c r="D705" t="n">
        <v>7</v>
      </c>
      <c r="E705" t="n">
        <v>1006</v>
      </c>
      <c r="F705" t="inlineStr">
        <is>
          <t>Kart Shop TA Ultimate Laser Cutting</t>
        </is>
      </c>
      <c r="G705" s="1" t="n">
        <v>5.6</v>
      </c>
      <c r="H705" t="n">
        <v>0</v>
      </c>
      <c r="I705" t="n">
        <v>0.5</v>
      </c>
      <c r="J705" t="n">
        <v>144</v>
      </c>
      <c r="K705" t="n">
        <v>72</v>
      </c>
      <c r="L705" t="n">
        <v>0</v>
      </c>
      <c r="M705" t="n">
        <v>0</v>
      </c>
      <c r="N705" t="n">
        <v>360</v>
      </c>
      <c r="O705" s="1">
        <f>IFERROR(L705*G705,0)</f>
        <v/>
      </c>
      <c r="P705">
        <f>IF(N705-L705-M705&gt;0,N705-L705-M705,0)</f>
        <v/>
      </c>
      <c r="Q705" s="1">
        <f>IFERROR(P705*G705,0)</f>
        <v/>
      </c>
    </row>
    <row r="706">
      <c r="A706" t="inlineStr">
        <is>
          <t>C1000X500FM</t>
        </is>
      </c>
      <c r="B706" t="inlineStr">
        <is>
          <t>Casing Size 1000diam x 500Long</t>
        </is>
      </c>
      <c r="C706" t="inlineStr">
        <is>
          <t>FM - FABRICATION</t>
        </is>
      </c>
      <c r="D706" t="n">
        <v>1</v>
      </c>
      <c r="E706" t="n">
        <v>1</v>
      </c>
      <c r="F706" t="inlineStr">
        <is>
          <t>GALVAGLOW (PTY) LTD</t>
        </is>
      </c>
      <c r="G706" s="1" t="n">
        <v>0</v>
      </c>
      <c r="H706" t="n">
        <v>0</v>
      </c>
      <c r="I706" t="n">
        <v>0.5</v>
      </c>
      <c r="J706" t="n">
        <v>1</v>
      </c>
      <c r="K706" t="n">
        <v>1</v>
      </c>
      <c r="L706" t="n">
        <v>0</v>
      </c>
      <c r="M706" t="n">
        <v>0</v>
      </c>
      <c r="N706" t="n">
        <v>2</v>
      </c>
      <c r="O706" s="1">
        <f>IFERROR(L706*G706,0)</f>
        <v/>
      </c>
      <c r="P706">
        <f>IF(N706-L706-M706&gt;0,N706-L706-M706,0)</f>
        <v/>
      </c>
      <c r="Q706" s="1">
        <f>IFERROR(P706*G706,0)</f>
        <v/>
      </c>
    </row>
    <row r="707">
      <c r="A707" t="inlineStr">
        <is>
          <t>C315x315</t>
        </is>
      </c>
      <c r="B707" t="inlineStr">
        <is>
          <t>Casing size 315diamx315</t>
        </is>
      </c>
      <c r="C707" t="inlineStr">
        <is>
          <t>FM - CASING</t>
        </is>
      </c>
      <c r="D707" t="n">
        <v>22</v>
      </c>
      <c r="E707" t="n">
        <v>13</v>
      </c>
      <c r="F707" t="inlineStr">
        <is>
          <t>GALVAGLOW (PTY) LTD</t>
        </is>
      </c>
      <c r="G707" s="1" t="n">
        <v>144</v>
      </c>
      <c r="H707" t="n">
        <v>0</v>
      </c>
      <c r="I707" t="n">
        <v>0.5</v>
      </c>
      <c r="J707" t="n">
        <v>1</v>
      </c>
      <c r="K707" t="n">
        <v>1</v>
      </c>
      <c r="L707" t="n">
        <v>0</v>
      </c>
      <c r="M707" t="n">
        <v>0</v>
      </c>
      <c r="N707" t="n">
        <v>2</v>
      </c>
      <c r="O707" s="1">
        <f>IFERROR(L707*G707,0)</f>
        <v/>
      </c>
      <c r="P707">
        <f>IF(N707-L707-M707&gt;0,N707-L707-M707,0)</f>
        <v/>
      </c>
      <c r="Q707" s="1">
        <f>IFERROR(P707*G707,0)</f>
        <v/>
      </c>
    </row>
    <row r="708">
      <c r="A708" t="inlineStr">
        <is>
          <t>C315x315UG</t>
        </is>
      </c>
      <c r="B708" t="inlineStr">
        <is>
          <t>Casing size 315diamx315-Ungalvanised</t>
        </is>
      </c>
      <c r="C708" t="inlineStr">
        <is>
          <t>CASING</t>
        </is>
      </c>
      <c r="D708" t="n">
        <v>1</v>
      </c>
      <c r="E708" t="n">
        <v>6</v>
      </c>
      <c r="F708" t="inlineStr">
        <is>
          <t>TS TELEKI T/A VENT SYSTEM AND PROJECTS</t>
        </is>
      </c>
      <c r="G708" s="1" t="n">
        <v>594.72</v>
      </c>
      <c r="H708" t="n">
        <v>0</v>
      </c>
      <c r="I708" t="n">
        <v>0.5</v>
      </c>
      <c r="J708" t="n">
        <v>6</v>
      </c>
      <c r="K708" t="n">
        <v>3</v>
      </c>
      <c r="L708" t="n">
        <v>0</v>
      </c>
      <c r="M708" t="n">
        <v>0</v>
      </c>
      <c r="N708" t="n">
        <v>15</v>
      </c>
      <c r="O708" s="1">
        <f>IFERROR(L708*G708,0)</f>
        <v/>
      </c>
      <c r="P708">
        <f>IF(N708-L708-M708&gt;0,N708-L708-M708,0)</f>
        <v/>
      </c>
      <c r="Q708" s="1">
        <f>IFERROR(P708*G708,0)</f>
        <v/>
      </c>
    </row>
    <row r="709">
      <c r="A709" t="inlineStr">
        <is>
          <t>C400x400</t>
        </is>
      </c>
      <c r="B709" t="inlineStr">
        <is>
          <t>Casing Size 400diamx400</t>
        </is>
      </c>
      <c r="C709" t="inlineStr">
        <is>
          <t>FM - CASING</t>
        </is>
      </c>
      <c r="D709" t="n">
        <v>22</v>
      </c>
      <c r="E709" t="n">
        <v>11</v>
      </c>
      <c r="F709" t="inlineStr">
        <is>
          <t>GALVAGLOW (PTY) LTD</t>
        </is>
      </c>
      <c r="G709" s="1" t="n">
        <v>225.64</v>
      </c>
      <c r="H709" t="n">
        <v>0</v>
      </c>
      <c r="I709" t="n">
        <v>0.5</v>
      </c>
      <c r="J709" t="n">
        <v>1</v>
      </c>
      <c r="K709" t="n">
        <v>1</v>
      </c>
      <c r="L709" t="n">
        <v>0</v>
      </c>
      <c r="M709" t="n">
        <v>0</v>
      </c>
      <c r="N709" t="n">
        <v>2</v>
      </c>
      <c r="O709" s="1">
        <f>IFERROR(L709*G709,0)</f>
        <v/>
      </c>
      <c r="P709">
        <f>IF(N709-L709-M709&gt;0,N709-L709-M709,0)</f>
        <v/>
      </c>
      <c r="Q709" s="1">
        <f>IFERROR(P709*G709,0)</f>
        <v/>
      </c>
    </row>
    <row r="710">
      <c r="A710" t="inlineStr">
        <is>
          <t>C400x400UG</t>
        </is>
      </c>
      <c r="B710" t="inlineStr">
        <is>
          <t>Casing Size 400diamx400-Ungalvanised</t>
        </is>
      </c>
      <c r="C710" t="inlineStr">
        <is>
          <t>CASING</t>
        </is>
      </c>
      <c r="D710" t="n">
        <v>1</v>
      </c>
      <c r="E710" t="n">
        <v>4</v>
      </c>
      <c r="F710" t="inlineStr">
        <is>
          <t>TS TELEKI T/A VENT SYSTEM AND PROJECTS</t>
        </is>
      </c>
      <c r="G710" s="1" t="n">
        <v>849.6</v>
      </c>
      <c r="H710" t="n">
        <v>0</v>
      </c>
      <c r="I710" t="n">
        <v>0.5</v>
      </c>
      <c r="J710" t="n">
        <v>4</v>
      </c>
      <c r="K710" t="n">
        <v>2</v>
      </c>
      <c r="L710" t="n">
        <v>0</v>
      </c>
      <c r="M710" t="n">
        <v>0</v>
      </c>
      <c r="N710" t="n">
        <v>10</v>
      </c>
      <c r="O710" s="1">
        <f>IFERROR(L710*G710,0)</f>
        <v/>
      </c>
      <c r="P710">
        <f>IF(N710-L710-M710&gt;0,N710-L710-M710,0)</f>
        <v/>
      </c>
      <c r="Q710" s="1">
        <f>IFERROR(P710*G710,0)</f>
        <v/>
      </c>
    </row>
    <row r="711">
      <c r="A711" t="inlineStr">
        <is>
          <t>C4324</t>
        </is>
      </c>
      <c r="B711" t="inlineStr">
        <is>
          <t>2.0MX1.5MX3.MM KLINGERSIL C4324</t>
        </is>
      </c>
      <c r="C711" t="inlineStr"/>
      <c r="D711" t="n">
        <v>1</v>
      </c>
      <c r="E711" t="n">
        <v>1</v>
      </c>
      <c r="F711" t="inlineStr">
        <is>
          <t>Klinger Mzansi (Pty) Ltd</t>
        </is>
      </c>
      <c r="G711" s="1" t="n">
        <v>2195.15</v>
      </c>
      <c r="H711" t="n">
        <v>0</v>
      </c>
      <c r="I711" t="n">
        <v>0.5</v>
      </c>
      <c r="J711" t="n">
        <v>1</v>
      </c>
      <c r="K711" t="n">
        <v>1</v>
      </c>
      <c r="L711" t="n">
        <v>0</v>
      </c>
      <c r="M711" t="n">
        <v>0</v>
      </c>
      <c r="N711" t="n">
        <v>2</v>
      </c>
      <c r="O711" s="1">
        <f>IFERROR(L711*G711,0)</f>
        <v/>
      </c>
      <c r="P711">
        <f>IF(N711-L711-M711&gt;0,N711-L711-M711,0)</f>
        <v/>
      </c>
      <c r="Q711" s="1">
        <f>IFERROR(P711*G711,0)</f>
        <v/>
      </c>
    </row>
    <row r="712">
      <c r="A712" t="inlineStr">
        <is>
          <t>C462x470-B</t>
        </is>
      </c>
      <c r="B712" t="inlineStr">
        <is>
          <t>Casing size 462diamx470 Buffalo</t>
        </is>
      </c>
      <c r="C712" t="inlineStr">
        <is>
          <t>FM - DONKIN</t>
        </is>
      </c>
      <c r="D712" t="n">
        <v>1</v>
      </c>
      <c r="E712" t="n">
        <v>2</v>
      </c>
      <c r="F712" t="inlineStr">
        <is>
          <t>GALVAGLOW (PTY) LTD</t>
        </is>
      </c>
      <c r="G712" s="1" t="n">
        <v>0</v>
      </c>
      <c r="H712" t="n">
        <v>0</v>
      </c>
      <c r="I712" t="n">
        <v>0.5</v>
      </c>
      <c r="J712" t="n">
        <v>2</v>
      </c>
      <c r="K712" t="n">
        <v>1</v>
      </c>
      <c r="L712" t="n">
        <v>0</v>
      </c>
      <c r="M712" t="n">
        <v>0</v>
      </c>
      <c r="N712" t="n">
        <v>5</v>
      </c>
      <c r="O712" s="1">
        <f>IFERROR(L712*G712,0)</f>
        <v/>
      </c>
      <c r="P712">
        <f>IF(N712-L712-M712&gt;0,N712-L712-M712,0)</f>
        <v/>
      </c>
      <c r="Q712" s="1">
        <f>IFERROR(P712*G712,0)</f>
        <v/>
      </c>
    </row>
    <row r="713">
      <c r="A713" t="inlineStr">
        <is>
          <t>C462x470UG-B</t>
        </is>
      </c>
      <c r="B713" t="inlineStr">
        <is>
          <t>Casing size 462diamx470 Buffalo-Ungalvanised</t>
        </is>
      </c>
      <c r="C713" t="inlineStr">
        <is>
          <t>FM - DONKIN</t>
        </is>
      </c>
      <c r="D713" t="n">
        <v>1</v>
      </c>
      <c r="E713" t="n">
        <v>2</v>
      </c>
      <c r="F713" t="inlineStr">
        <is>
          <t>TS TELEKI T/A VENT SYSTEM AND PROJECTS</t>
        </is>
      </c>
      <c r="G713" s="1" t="n">
        <v>1491.01</v>
      </c>
      <c r="H713" t="n">
        <v>0</v>
      </c>
      <c r="I713" t="n">
        <v>0.5</v>
      </c>
      <c r="J713" t="n">
        <v>2</v>
      </c>
      <c r="K713" t="n">
        <v>1</v>
      </c>
      <c r="L713" t="n">
        <v>0</v>
      </c>
      <c r="M713" t="n">
        <v>0</v>
      </c>
      <c r="N713" t="n">
        <v>5</v>
      </c>
      <c r="O713" s="1">
        <f>IFERROR(L713*G713,0)</f>
        <v/>
      </c>
      <c r="P713">
        <f>IF(N713-L713-M713&gt;0,N713-L713-M713,0)</f>
        <v/>
      </c>
      <c r="Q713" s="1">
        <f>IFERROR(P713*G713,0)</f>
        <v/>
      </c>
    </row>
    <row r="714">
      <c r="A714" t="inlineStr">
        <is>
          <t>C500x400</t>
        </is>
      </c>
      <c r="B714" t="inlineStr">
        <is>
          <t>Casing Size 500diamx400</t>
        </is>
      </c>
      <c r="C714" t="inlineStr">
        <is>
          <t>FM - CASING</t>
        </is>
      </c>
      <c r="D714" t="n">
        <v>22</v>
      </c>
      <c r="E714" t="n">
        <v>12</v>
      </c>
      <c r="F714" t="inlineStr">
        <is>
          <t>GALVAGLOW (PTY) LTD</t>
        </is>
      </c>
      <c r="G714" s="1" t="n">
        <v>124.5</v>
      </c>
      <c r="H714" t="n">
        <v>0</v>
      </c>
      <c r="I714" t="n">
        <v>0.5</v>
      </c>
      <c r="J714" t="n">
        <v>1</v>
      </c>
      <c r="K714" t="n">
        <v>1</v>
      </c>
      <c r="L714" t="n">
        <v>0</v>
      </c>
      <c r="M714" t="n">
        <v>0</v>
      </c>
      <c r="N714" t="n">
        <v>2</v>
      </c>
      <c r="O714" s="1">
        <f>IFERROR(L714*G714,0)</f>
        <v/>
      </c>
      <c r="P714">
        <f>IF(N714-L714-M714&gt;0,N714-L714-M714,0)</f>
        <v/>
      </c>
      <c r="Q714" s="1">
        <f>IFERROR(P714*G714,0)</f>
        <v/>
      </c>
    </row>
    <row r="715">
      <c r="A715" t="inlineStr">
        <is>
          <t>C500x400UG</t>
        </is>
      </c>
      <c r="B715" t="inlineStr">
        <is>
          <t>Casing Size 500diamx400-Ungalvanised</t>
        </is>
      </c>
      <c r="C715" t="inlineStr">
        <is>
          <t>CASING</t>
        </is>
      </c>
      <c r="D715" t="n">
        <v>1</v>
      </c>
      <c r="E715" t="n">
        <v>6</v>
      </c>
      <c r="F715" t="inlineStr">
        <is>
          <t>TS TELEKI T/A VENT SYSTEM AND PROJECTS</t>
        </is>
      </c>
      <c r="G715" s="1" t="n">
        <v>1019.75</v>
      </c>
      <c r="H715" t="n">
        <v>0</v>
      </c>
      <c r="I715" t="n">
        <v>0.5</v>
      </c>
      <c r="J715" t="n">
        <v>6</v>
      </c>
      <c r="K715" t="n">
        <v>3</v>
      </c>
      <c r="L715" t="n">
        <v>0</v>
      </c>
      <c r="M715" t="n">
        <v>0</v>
      </c>
      <c r="N715" t="n">
        <v>15</v>
      </c>
      <c r="O715" s="1">
        <f>IFERROR(L715*G715,0)</f>
        <v/>
      </c>
      <c r="P715">
        <f>IF(N715-L715-M715&gt;0,N715-L715-M715,0)</f>
        <v/>
      </c>
      <c r="Q715" s="1">
        <f>IFERROR(P715*G715,0)</f>
        <v/>
      </c>
    </row>
    <row r="716">
      <c r="A716" t="inlineStr">
        <is>
          <t>C560x400</t>
        </is>
      </c>
      <c r="B716" t="inlineStr">
        <is>
          <t>Casing size 560diamx400</t>
        </is>
      </c>
      <c r="C716" t="inlineStr">
        <is>
          <t>FM - CASING</t>
        </is>
      </c>
      <c r="D716" t="n">
        <v>1</v>
      </c>
      <c r="E716" t="n">
        <v>4</v>
      </c>
      <c r="F716" t="inlineStr">
        <is>
          <t>GALVAGLOW (PTY) LTD</t>
        </is>
      </c>
      <c r="G716" s="1" t="n">
        <v>0</v>
      </c>
      <c r="H716" t="n">
        <v>0</v>
      </c>
      <c r="I716" t="n">
        <v>0.5</v>
      </c>
      <c r="J716" t="n">
        <v>4</v>
      </c>
      <c r="K716" t="n">
        <v>2</v>
      </c>
      <c r="L716" t="n">
        <v>0</v>
      </c>
      <c r="M716" t="n">
        <v>0</v>
      </c>
      <c r="N716" t="n">
        <v>10</v>
      </c>
      <c r="O716" s="1">
        <f>IFERROR(L716*G716,0)</f>
        <v/>
      </c>
      <c r="P716">
        <f>IF(N716-L716-M716&gt;0,N716-L716-M716,0)</f>
        <v/>
      </c>
      <c r="Q716" s="1">
        <f>IFERROR(P716*G716,0)</f>
        <v/>
      </c>
    </row>
    <row r="717">
      <c r="A717" t="inlineStr">
        <is>
          <t>C560x400UG</t>
        </is>
      </c>
      <c r="B717" t="inlineStr">
        <is>
          <t>Casing size 560diamx400-Ungalvanised</t>
        </is>
      </c>
      <c r="C717" t="inlineStr">
        <is>
          <t>CASING</t>
        </is>
      </c>
      <c r="D717" t="n">
        <v>1</v>
      </c>
      <c r="E717" t="n">
        <v>2</v>
      </c>
      <c r="F717" t="inlineStr">
        <is>
          <t>TS TELEKI T/A VENT SYSTEM AND PROJECTS</t>
        </is>
      </c>
      <c r="G717" s="1" t="n">
        <v>1180.84</v>
      </c>
      <c r="H717" t="n">
        <v>0</v>
      </c>
      <c r="I717" t="n">
        <v>0.5</v>
      </c>
      <c r="J717" t="n">
        <v>2</v>
      </c>
      <c r="K717" t="n">
        <v>1</v>
      </c>
      <c r="L717" t="n">
        <v>0</v>
      </c>
      <c r="M717" t="n">
        <v>0</v>
      </c>
      <c r="N717" t="n">
        <v>5</v>
      </c>
      <c r="O717" s="1">
        <f>IFERROR(L717*G717,0)</f>
        <v/>
      </c>
      <c r="P717">
        <f>IF(N717-L717-M717&gt;0,N717-L717-M717,0)</f>
        <v/>
      </c>
      <c r="Q717" s="1">
        <f>IFERROR(P717*G717,0)</f>
        <v/>
      </c>
    </row>
    <row r="718">
      <c r="A718" t="inlineStr">
        <is>
          <t>C560x500</t>
        </is>
      </c>
      <c r="B718" t="inlineStr">
        <is>
          <t>Casing size 560diamx500</t>
        </is>
      </c>
      <c r="C718" t="inlineStr">
        <is>
          <t>FM - CASING</t>
        </is>
      </c>
      <c r="D718" t="n">
        <v>1</v>
      </c>
      <c r="E718" t="n">
        <v>1</v>
      </c>
      <c r="F718" t="inlineStr">
        <is>
          <t>CFW Fans (Pty) Ltd</t>
        </is>
      </c>
      <c r="G718" s="1" t="n">
        <v>1792</v>
      </c>
      <c r="H718" t="n">
        <v>0</v>
      </c>
      <c r="I718" t="n">
        <v>1.2</v>
      </c>
      <c r="J718" t="n">
        <v>1</v>
      </c>
      <c r="K718" t="n">
        <v>1</v>
      </c>
      <c r="L718" t="n">
        <v>0</v>
      </c>
      <c r="M718" t="n">
        <v>0</v>
      </c>
      <c r="N718" t="n">
        <v>3</v>
      </c>
      <c r="O718" s="1">
        <f>IFERROR(L718*G718,0)</f>
        <v/>
      </c>
      <c r="P718">
        <f>IF(N718-L718-M718&gt;0,N718-L718-M718,0)</f>
        <v/>
      </c>
      <c r="Q718" s="1">
        <f>IFERROR(P718*G718,0)</f>
        <v/>
      </c>
    </row>
    <row r="719">
      <c r="A719" t="inlineStr">
        <is>
          <t>C630x400</t>
        </is>
      </c>
      <c r="B719" t="inlineStr">
        <is>
          <t>Casing Size 630diamx400</t>
        </is>
      </c>
      <c r="C719" t="inlineStr">
        <is>
          <t>FM - CASING</t>
        </is>
      </c>
      <c r="D719" t="n">
        <v>1</v>
      </c>
      <c r="E719" t="n">
        <v>5</v>
      </c>
      <c r="F719" t="inlineStr">
        <is>
          <t>GALVAGLOW (PTY) LTD</t>
        </is>
      </c>
      <c r="G719" s="1" t="n">
        <v>0</v>
      </c>
      <c r="H719" t="n">
        <v>0</v>
      </c>
      <c r="I719" t="n">
        <v>0.5</v>
      </c>
      <c r="J719" t="n">
        <v>5</v>
      </c>
      <c r="K719" t="n">
        <v>2</v>
      </c>
      <c r="L719" t="n">
        <v>0</v>
      </c>
      <c r="M719" t="n">
        <v>0</v>
      </c>
      <c r="N719" t="n">
        <v>12</v>
      </c>
      <c r="O719" s="1">
        <f>IFERROR(L719*G719,0)</f>
        <v/>
      </c>
      <c r="P719">
        <f>IF(N719-L719-M719&gt;0,N719-L719-M719,0)</f>
        <v/>
      </c>
      <c r="Q719" s="1">
        <f>IFERROR(P719*G719,0)</f>
        <v/>
      </c>
    </row>
    <row r="720">
      <c r="A720" t="inlineStr">
        <is>
          <t>C630x400UG</t>
        </is>
      </c>
      <c r="B720" t="inlineStr">
        <is>
          <t>Casing Size 630diamx400-Ungalvanised</t>
        </is>
      </c>
      <c r="C720" t="inlineStr">
        <is>
          <t>CASING</t>
        </is>
      </c>
      <c r="D720" t="n">
        <v>1</v>
      </c>
      <c r="E720" t="n">
        <v>4</v>
      </c>
      <c r="F720" t="inlineStr">
        <is>
          <t>TS TELEKI T/A VENT SYSTEM AND PROJECTS</t>
        </is>
      </c>
      <c r="G720" s="1" t="n">
        <v>1402.45</v>
      </c>
      <c r="H720" t="n">
        <v>0</v>
      </c>
      <c r="I720" t="n">
        <v>0.5</v>
      </c>
      <c r="J720" t="n">
        <v>4</v>
      </c>
      <c r="K720" t="n">
        <v>2</v>
      </c>
      <c r="L720" t="n">
        <v>0</v>
      </c>
      <c r="M720" t="n">
        <v>0</v>
      </c>
      <c r="N720" t="n">
        <v>10</v>
      </c>
      <c r="O720" s="1">
        <f>IFERROR(L720*G720,0)</f>
        <v/>
      </c>
      <c r="P720">
        <f>IF(N720-L720-M720&gt;0,N720-L720-M720,0)</f>
        <v/>
      </c>
      <c r="Q720" s="1">
        <f>IFERROR(P720*G720,0)</f>
        <v/>
      </c>
    </row>
    <row r="721">
      <c r="A721" t="inlineStr">
        <is>
          <t>C710x400</t>
        </is>
      </c>
      <c r="B721" t="inlineStr">
        <is>
          <t>Casing Size 710diamx400</t>
        </is>
      </c>
      <c r="C721" t="inlineStr">
        <is>
          <t>FM - CASING</t>
        </is>
      </c>
      <c r="D721" t="n">
        <v>1</v>
      </c>
      <c r="E721" t="n">
        <v>10</v>
      </c>
      <c r="F721" t="inlineStr">
        <is>
          <t>GALVAGLOW (PTY) LTD</t>
        </is>
      </c>
      <c r="G721" s="1" t="n">
        <v>0</v>
      </c>
      <c r="H721" t="n">
        <v>0</v>
      </c>
      <c r="I721" t="n">
        <v>0.5</v>
      </c>
      <c r="J721" t="n">
        <v>10</v>
      </c>
      <c r="K721" t="n">
        <v>5</v>
      </c>
      <c r="L721" t="n">
        <v>0</v>
      </c>
      <c r="M721" t="n">
        <v>0</v>
      </c>
      <c r="N721" t="n">
        <v>25</v>
      </c>
      <c r="O721" s="1">
        <f>IFERROR(L721*G721,0)</f>
        <v/>
      </c>
      <c r="P721">
        <f>IF(N721-L721-M721&gt;0,N721-L721-M721,0)</f>
        <v/>
      </c>
      <c r="Q721" s="1">
        <f>IFERROR(P721*G721,0)</f>
        <v/>
      </c>
    </row>
    <row r="722">
      <c r="A722" t="inlineStr">
        <is>
          <t>C710x400UG</t>
        </is>
      </c>
      <c r="B722" t="inlineStr">
        <is>
          <t>Casing Size 710diamx400-Ungalvanised</t>
        </is>
      </c>
      <c r="C722" t="inlineStr">
        <is>
          <t>CASING</t>
        </is>
      </c>
      <c r="D722" t="n">
        <v>1</v>
      </c>
      <c r="E722" t="n">
        <v>4</v>
      </c>
      <c r="F722" t="inlineStr">
        <is>
          <t>TS TELEKI T/A VENT SYSTEM AND PROJECTS</t>
        </is>
      </c>
      <c r="G722" s="1" t="n">
        <v>1505.57</v>
      </c>
      <c r="H722" t="n">
        <v>0</v>
      </c>
      <c r="I722" t="n">
        <v>0.5</v>
      </c>
      <c r="J722" t="n">
        <v>4</v>
      </c>
      <c r="K722" t="n">
        <v>2</v>
      </c>
      <c r="L722" t="n">
        <v>0</v>
      </c>
      <c r="M722" t="n">
        <v>0</v>
      </c>
      <c r="N722" t="n">
        <v>10</v>
      </c>
      <c r="O722" s="1">
        <f>IFERROR(L722*G722,0)</f>
        <v/>
      </c>
      <c r="P722">
        <f>IF(N722-L722-M722&gt;0,N722-L722-M722,0)</f>
        <v/>
      </c>
      <c r="Q722" s="1">
        <f>IFERROR(P722*G722,0)</f>
        <v/>
      </c>
    </row>
    <row r="723">
      <c r="A723" t="inlineStr">
        <is>
          <t>C800x400</t>
        </is>
      </c>
      <c r="B723" t="inlineStr">
        <is>
          <t>Casing Size 800diamx400</t>
        </is>
      </c>
      <c r="C723" t="inlineStr">
        <is>
          <t>FM - CASING</t>
        </is>
      </c>
      <c r="D723" t="n">
        <v>1</v>
      </c>
      <c r="E723" t="n">
        <v>7</v>
      </c>
      <c r="F723" t="inlineStr">
        <is>
          <t>GALVAGLOW (PTY) LTD</t>
        </is>
      </c>
      <c r="G723" s="1" t="n">
        <v>0</v>
      </c>
      <c r="H723" t="n">
        <v>0</v>
      </c>
      <c r="I723" t="n">
        <v>0.5</v>
      </c>
      <c r="J723" t="n">
        <v>7</v>
      </c>
      <c r="K723" t="n">
        <v>4</v>
      </c>
      <c r="L723" t="n">
        <v>0</v>
      </c>
      <c r="M723" t="n">
        <v>0</v>
      </c>
      <c r="N723" t="n">
        <v>18</v>
      </c>
      <c r="O723" s="1">
        <f>IFERROR(L723*G723,0)</f>
        <v/>
      </c>
      <c r="P723">
        <f>IF(N723-L723-M723&gt;0,N723-L723-M723,0)</f>
        <v/>
      </c>
      <c r="Q723" s="1">
        <f>IFERROR(P723*G723,0)</f>
        <v/>
      </c>
    </row>
    <row r="724">
      <c r="A724" t="inlineStr">
        <is>
          <t>C800x400UG</t>
        </is>
      </c>
      <c r="B724" t="inlineStr">
        <is>
          <t>Casing Size 800diamx400-Ungalvanised</t>
        </is>
      </c>
      <c r="C724" t="inlineStr">
        <is>
          <t>CASING</t>
        </is>
      </c>
      <c r="D724" t="n">
        <v>1</v>
      </c>
      <c r="E724" t="n">
        <v>4</v>
      </c>
      <c r="F724" t="inlineStr">
        <is>
          <t>TS TELEKI T/A VENT SYSTEM AND PROJECTS</t>
        </is>
      </c>
      <c r="G724" s="1" t="n">
        <v>2044.2</v>
      </c>
      <c r="H724" t="n">
        <v>0</v>
      </c>
      <c r="I724" t="n">
        <v>0.5</v>
      </c>
      <c r="J724" t="n">
        <v>4</v>
      </c>
      <c r="K724" t="n">
        <v>2</v>
      </c>
      <c r="L724" t="n">
        <v>0</v>
      </c>
      <c r="M724" t="n">
        <v>0</v>
      </c>
      <c r="N724" t="n">
        <v>10</v>
      </c>
      <c r="O724" s="1">
        <f>IFERROR(L724*G724,0)</f>
        <v/>
      </c>
      <c r="P724">
        <f>IF(N724-L724-M724&gt;0,N724-L724-M724,0)</f>
        <v/>
      </c>
      <c r="Q724" s="1">
        <f>IFERROR(P724*G724,0)</f>
        <v/>
      </c>
    </row>
    <row r="725">
      <c r="A725" t="inlineStr">
        <is>
          <t>C800x500</t>
        </is>
      </c>
      <c r="B725" t="inlineStr">
        <is>
          <t>Casing Size 800diamx500</t>
        </is>
      </c>
      <c r="C725" t="inlineStr">
        <is>
          <t>FM - CASING</t>
        </is>
      </c>
      <c r="D725" t="n">
        <v>22</v>
      </c>
      <c r="E725" t="n">
        <v>3</v>
      </c>
      <c r="F725" t="inlineStr">
        <is>
          <t>CFW Fans (Pty) Ltd</t>
        </is>
      </c>
      <c r="G725" s="1" t="n">
        <v>1095</v>
      </c>
      <c r="H725" t="n">
        <v>0</v>
      </c>
      <c r="I725" t="n">
        <v>0.6</v>
      </c>
      <c r="J725" t="n">
        <v>1</v>
      </c>
      <c r="K725" t="n">
        <v>1</v>
      </c>
      <c r="L725" t="n">
        <v>0</v>
      </c>
      <c r="M725" t="n">
        <v>0</v>
      </c>
      <c r="N725" t="n">
        <v>3</v>
      </c>
      <c r="O725" s="1">
        <f>IFERROR(L725*G725,0)</f>
        <v/>
      </c>
      <c r="P725">
        <f>IF(N725-L725-M725&gt;0,N725-L725-M725,0)</f>
        <v/>
      </c>
      <c r="Q725" s="1">
        <f>IFERROR(P725*G725,0)</f>
        <v/>
      </c>
    </row>
    <row r="726">
      <c r="A726" t="inlineStr">
        <is>
          <t>C800x500FM</t>
        </is>
      </c>
      <c r="B726" t="inlineStr">
        <is>
          <t>Casing Size 800diamx500 Foot Mount</t>
        </is>
      </c>
      <c r="C726" t="inlineStr">
        <is>
          <t>CASING</t>
        </is>
      </c>
      <c r="D726" t="n">
        <v>1</v>
      </c>
      <c r="E726" t="n">
        <v>2</v>
      </c>
      <c r="F726" t="inlineStr">
        <is>
          <t>GALVAGLOW (PTY) LTD</t>
        </is>
      </c>
      <c r="G726" s="1" t="n">
        <v>0</v>
      </c>
      <c r="H726" t="n">
        <v>0</v>
      </c>
      <c r="I726" t="n">
        <v>0.5</v>
      </c>
      <c r="J726" t="n">
        <v>2</v>
      </c>
      <c r="K726" t="n">
        <v>1</v>
      </c>
      <c r="L726" t="n">
        <v>0</v>
      </c>
      <c r="M726" t="n">
        <v>0</v>
      </c>
      <c r="N726" t="n">
        <v>5</v>
      </c>
      <c r="O726" s="1">
        <f>IFERROR(L726*G726,0)</f>
        <v/>
      </c>
      <c r="P726">
        <f>IF(N726-L726-M726&gt;0,N726-L726-M726,0)</f>
        <v/>
      </c>
      <c r="Q726" s="1">
        <f>IFERROR(P726*G726,0)</f>
        <v/>
      </c>
    </row>
    <row r="727">
      <c r="A727" t="inlineStr">
        <is>
          <t>C900x500</t>
        </is>
      </c>
      <c r="B727" t="inlineStr">
        <is>
          <t>Casing Size 900diamx500</t>
        </is>
      </c>
      <c r="C727" t="inlineStr">
        <is>
          <t>FM - CASING</t>
        </is>
      </c>
      <c r="D727" t="n">
        <v>1</v>
      </c>
      <c r="E727" t="n">
        <v>2</v>
      </c>
      <c r="F727" t="inlineStr">
        <is>
          <t>GALVAGLOW (PTY) LTD</t>
        </is>
      </c>
      <c r="G727" s="1" t="n">
        <v>0</v>
      </c>
      <c r="H727" t="n">
        <v>0</v>
      </c>
      <c r="I727" t="n">
        <v>0.5</v>
      </c>
      <c r="J727" t="n">
        <v>2</v>
      </c>
      <c r="K727" t="n">
        <v>1</v>
      </c>
      <c r="L727" t="n">
        <v>0</v>
      </c>
      <c r="M727" t="n">
        <v>0</v>
      </c>
      <c r="N727" t="n">
        <v>5</v>
      </c>
      <c r="O727" s="1">
        <f>IFERROR(L727*G727,0)</f>
        <v/>
      </c>
      <c r="P727">
        <f>IF(N727-L727-M727&gt;0,N727-L727-M727,0)</f>
        <v/>
      </c>
      <c r="Q727" s="1">
        <f>IFERROR(P727*G727,0)</f>
        <v/>
      </c>
    </row>
    <row r="728">
      <c r="A728" t="inlineStr">
        <is>
          <t>C965x740</t>
        </is>
      </c>
      <c r="B728" t="inlineStr">
        <is>
          <t>Casing Size 965diam x 740Long</t>
        </is>
      </c>
      <c r="C728" t="inlineStr">
        <is>
          <t>CASING</t>
        </is>
      </c>
      <c r="D728" t="n">
        <v>1</v>
      </c>
      <c r="E728" t="n">
        <v>2</v>
      </c>
      <c r="F728" t="inlineStr">
        <is>
          <t>GALVAGLOW (PTY) LTD</t>
        </is>
      </c>
      <c r="G728" s="1" t="n">
        <v>0</v>
      </c>
      <c r="H728" t="n">
        <v>0</v>
      </c>
      <c r="I728" t="n">
        <v>0.5</v>
      </c>
      <c r="J728" t="n">
        <v>2</v>
      </c>
      <c r="K728" t="n">
        <v>1</v>
      </c>
      <c r="L728" t="n">
        <v>0</v>
      </c>
      <c r="M728" t="n">
        <v>0</v>
      </c>
      <c r="N728" t="n">
        <v>5</v>
      </c>
      <c r="O728" s="1">
        <f>IFERROR(L728*G728,0)</f>
        <v/>
      </c>
      <c r="P728">
        <f>IF(N728-L728-M728&gt;0,N728-L728-M728,0)</f>
        <v/>
      </c>
      <c r="Q728" s="1">
        <f>IFERROR(P728*G728,0)</f>
        <v/>
      </c>
    </row>
    <row r="729">
      <c r="A729" t="inlineStr">
        <is>
          <t>CA/Line/EC</t>
        </is>
      </c>
      <c r="B729" t="inlineStr">
        <is>
          <t>31 50/60HZ</t>
        </is>
      </c>
      <c r="C729" t="inlineStr"/>
      <c r="D729" t="n">
        <v>1</v>
      </c>
      <c r="E729" t="n">
        <v>0</v>
      </c>
      <c r="F729" t="inlineStr"/>
      <c r="G729" s="1" t="n">
        <v>0</v>
      </c>
      <c r="H729" t="n">
        <v>1</v>
      </c>
      <c r="I729" t="n">
        <v>0.5</v>
      </c>
      <c r="J729" t="n">
        <v>1</v>
      </c>
      <c r="K729" t="n">
        <v>1</v>
      </c>
      <c r="L729" t="n">
        <v>0</v>
      </c>
      <c r="M729" t="n">
        <v>0</v>
      </c>
      <c r="N729" t="n">
        <v>2</v>
      </c>
      <c r="O729" s="1">
        <f>IFERROR(L729*G729,0)</f>
        <v/>
      </c>
      <c r="P729">
        <f>IF(N729-L729-M729&gt;0,N729-L729-M729,0)</f>
        <v/>
      </c>
      <c r="Q729" s="1">
        <f>IFERROR(P729*G729,0)</f>
        <v/>
      </c>
    </row>
    <row r="730">
      <c r="A730" t="inlineStr">
        <is>
          <t>CA4</t>
        </is>
      </c>
      <c r="B730" t="inlineStr">
        <is>
          <t>CA4V - 1' 1/4</t>
        </is>
      </c>
      <c r="C730" t="inlineStr">
        <is>
          <t>FM - FPZ</t>
        </is>
      </c>
      <c r="D730" t="n">
        <v>31</v>
      </c>
      <c r="E730" t="n">
        <v>0</v>
      </c>
      <c r="F730" t="inlineStr"/>
      <c r="G730" s="1" t="n">
        <v>0</v>
      </c>
      <c r="H730" t="n">
        <v>7</v>
      </c>
      <c r="I730" t="n">
        <v>0.5</v>
      </c>
      <c r="J730" t="n">
        <v>1</v>
      </c>
      <c r="K730" t="n">
        <v>1</v>
      </c>
      <c r="L730" t="n">
        <v>0</v>
      </c>
      <c r="M730" t="n">
        <v>0</v>
      </c>
      <c r="N730" t="n">
        <v>2</v>
      </c>
      <c r="O730" s="1">
        <f>IFERROR(L730*G730,0)</f>
        <v/>
      </c>
      <c r="P730">
        <f>IF(N730-L730-M730&gt;0,N730-L730-M730,0)</f>
        <v/>
      </c>
      <c r="Q730" s="1">
        <f>IFERROR(P730*G730,0)</f>
        <v/>
      </c>
    </row>
    <row r="731">
      <c r="A731" t="inlineStr">
        <is>
          <t>CA5</t>
        </is>
      </c>
      <c r="B731" t="inlineStr">
        <is>
          <t>CA5V - 1' 1/2</t>
        </is>
      </c>
      <c r="C731" t="inlineStr">
        <is>
          <t>FM - FPZ</t>
        </is>
      </c>
      <c r="D731" t="n">
        <v>6</v>
      </c>
      <c r="E731" t="n">
        <v>0</v>
      </c>
      <c r="F731" t="inlineStr"/>
      <c r="G731" s="1" t="n">
        <v>0</v>
      </c>
      <c r="H731" t="n">
        <v>2</v>
      </c>
      <c r="I731" t="n">
        <v>0.5</v>
      </c>
      <c r="J731" t="n">
        <v>1</v>
      </c>
      <c r="K731" t="n">
        <v>1</v>
      </c>
      <c r="L731" t="n">
        <v>0</v>
      </c>
      <c r="M731" t="n">
        <v>0</v>
      </c>
      <c r="N731" t="n">
        <v>2</v>
      </c>
      <c r="O731" s="1">
        <f>IFERROR(L731*G731,0)</f>
        <v/>
      </c>
      <c r="P731">
        <f>IF(N731-L731-M731&gt;0,N731-L731-M731,0)</f>
        <v/>
      </c>
      <c r="Q731" s="1">
        <f>IFERROR(P731*G731,0)</f>
        <v/>
      </c>
    </row>
    <row r="732">
      <c r="A732" t="inlineStr">
        <is>
          <t>CA6</t>
        </is>
      </c>
      <c r="B732" t="inlineStr">
        <is>
          <t>CA6V - 2'</t>
        </is>
      </c>
      <c r="C732" t="inlineStr">
        <is>
          <t>FM - FPZ</t>
        </is>
      </c>
      <c r="D732" t="n">
        <v>4</v>
      </c>
      <c r="E732" t="n">
        <v>12</v>
      </c>
      <c r="F732" t="inlineStr">
        <is>
          <t>Effepizeta</t>
        </is>
      </c>
      <c r="G732" s="1" t="n">
        <v>604.23</v>
      </c>
      <c r="H732" t="n">
        <v>6</v>
      </c>
      <c r="I732" t="n">
        <v>2</v>
      </c>
      <c r="J732" t="n">
        <v>3</v>
      </c>
      <c r="K732" t="n">
        <v>6</v>
      </c>
      <c r="L732" t="n">
        <v>0</v>
      </c>
      <c r="M732" t="n">
        <v>0</v>
      </c>
      <c r="N732" t="n">
        <v>12</v>
      </c>
      <c r="O732" s="1">
        <f>IFERROR(L732*G732,0)</f>
        <v/>
      </c>
      <c r="P732">
        <f>IF(N732-L732-M732&gt;0,N732-L732-M732,0)</f>
        <v/>
      </c>
      <c r="Q732" s="1">
        <f>IFERROR(P732*G732,0)</f>
        <v/>
      </c>
    </row>
    <row r="733">
      <c r="A733" t="inlineStr">
        <is>
          <t>CA8</t>
        </is>
      </c>
      <c r="B733" t="inlineStr">
        <is>
          <t>CA8 - 3'</t>
        </is>
      </c>
      <c r="C733" t="inlineStr">
        <is>
          <t>FM - FPZ</t>
        </is>
      </c>
      <c r="D733" t="n">
        <v>11</v>
      </c>
      <c r="E733" t="n">
        <v>3</v>
      </c>
      <c r="F733" t="inlineStr">
        <is>
          <t>Effepizeta</t>
        </is>
      </c>
      <c r="G733" s="1" t="n">
        <v>0</v>
      </c>
      <c r="H733" t="n">
        <v>1</v>
      </c>
      <c r="I733" t="n">
        <v>2</v>
      </c>
      <c r="J733" t="n">
        <v>1</v>
      </c>
      <c r="K733" t="n">
        <v>2</v>
      </c>
      <c r="L733" t="n">
        <v>0</v>
      </c>
      <c r="M733" t="n">
        <v>0</v>
      </c>
      <c r="N733" t="n">
        <v>4</v>
      </c>
      <c r="O733" s="1">
        <f>IFERROR(L733*G733,0)</f>
        <v/>
      </c>
      <c r="P733">
        <f>IF(N733-L733-M733&gt;0,N733-L733-M733,0)</f>
        <v/>
      </c>
      <c r="Q733" s="1">
        <f>IFERROR(P733*G733,0)</f>
        <v/>
      </c>
    </row>
    <row r="734">
      <c r="A734" t="inlineStr">
        <is>
          <t>CA9</t>
        </is>
      </c>
      <c r="B734" t="inlineStr">
        <is>
          <t>CA9- 4'</t>
        </is>
      </c>
      <c r="C734" t="inlineStr">
        <is>
          <t>FM - FPZ</t>
        </is>
      </c>
      <c r="D734" t="n">
        <v>26</v>
      </c>
      <c r="E734" t="n">
        <v>2</v>
      </c>
      <c r="F734" t="inlineStr">
        <is>
          <t>Effepizeta</t>
        </is>
      </c>
      <c r="G734" s="1" t="n">
        <v>1243.84</v>
      </c>
      <c r="H734" t="n">
        <v>4</v>
      </c>
      <c r="I734" t="n">
        <v>2</v>
      </c>
      <c r="J734" t="n">
        <v>1</v>
      </c>
      <c r="K734" t="n">
        <v>2</v>
      </c>
      <c r="L734" t="n">
        <v>0</v>
      </c>
      <c r="M734" t="n">
        <v>0</v>
      </c>
      <c r="N734" t="n">
        <v>4</v>
      </c>
      <c r="O734" s="1">
        <f>IFERROR(L734*G734,0)</f>
        <v/>
      </c>
      <c r="P734">
        <f>IF(N734-L734-M734&gt;0,N734-L734-M734,0)</f>
        <v/>
      </c>
      <c r="Q734" s="1">
        <f>IFERROR(P734*G734,0)</f>
        <v/>
      </c>
    </row>
    <row r="735">
      <c r="A735" t="inlineStr">
        <is>
          <t>CANCOLSPIG150</t>
        </is>
      </c>
      <c r="B735" t="inlineStr">
        <is>
          <t>CANCOLLAR SPIGOT 150 DIA</t>
        </is>
      </c>
      <c r="C735" t="inlineStr"/>
      <c r="D735" t="n">
        <v>1</v>
      </c>
      <c r="E735" t="n">
        <v>200</v>
      </c>
      <c r="F735" t="inlineStr">
        <is>
          <t>Advantage Air Africa Pty Ltd</t>
        </is>
      </c>
      <c r="G735" s="1" t="n">
        <v>111.3</v>
      </c>
      <c r="H735" t="n">
        <v>0</v>
      </c>
      <c r="I735" t="n">
        <v>0.5</v>
      </c>
      <c r="J735" t="n">
        <v>200</v>
      </c>
      <c r="K735" t="n">
        <v>100</v>
      </c>
      <c r="L735" t="n">
        <v>0</v>
      </c>
      <c r="M735" t="n">
        <v>0</v>
      </c>
      <c r="N735" t="n">
        <v>500</v>
      </c>
      <c r="O735" s="1">
        <f>IFERROR(L735*G735,0)</f>
        <v/>
      </c>
      <c r="P735">
        <f>IF(N735-L735-M735&gt;0,N735-L735-M735,0)</f>
        <v/>
      </c>
      <c r="Q735" s="1">
        <f>IFERROR(P735*G735,0)</f>
        <v/>
      </c>
    </row>
    <row r="736">
      <c r="A736" t="inlineStr">
        <is>
          <t>CAP0.14220</t>
        </is>
      </c>
      <c r="B736" t="inlineStr">
        <is>
          <t>New Capacitor suitable for 60hz 0.1kw 1430rpm 230V</t>
        </is>
      </c>
      <c r="C736" t="inlineStr">
        <is>
          <t>FM - LUCK &amp; KING</t>
        </is>
      </c>
      <c r="D736" t="n">
        <v>1</v>
      </c>
      <c r="E736" t="n">
        <v>1</v>
      </c>
      <c r="F736" t="inlineStr">
        <is>
          <t>Luck and King</t>
        </is>
      </c>
      <c r="G736" s="1" t="n">
        <v>285</v>
      </c>
      <c r="H736" t="n">
        <v>0</v>
      </c>
      <c r="I736" t="n">
        <v>0.5</v>
      </c>
      <c r="J736" t="n">
        <v>1</v>
      </c>
      <c r="K736" t="n">
        <v>1</v>
      </c>
      <c r="L736" t="n">
        <v>0</v>
      </c>
      <c r="M736" t="n">
        <v>0</v>
      </c>
      <c r="N736" t="n">
        <v>2</v>
      </c>
      <c r="O736" s="1">
        <f>IFERROR(L736*G736,0)</f>
        <v/>
      </c>
      <c r="P736">
        <f>IF(N736-L736-M736&gt;0,N736-L736-M736,0)</f>
        <v/>
      </c>
      <c r="Q736" s="1">
        <f>IFERROR(P736*G736,0)</f>
        <v/>
      </c>
    </row>
    <row r="737">
      <c r="A737" t="inlineStr">
        <is>
          <t>CCTV</t>
        </is>
      </c>
      <c r="B737" t="inlineStr">
        <is>
          <t>Camera Replacement</t>
        </is>
      </c>
      <c r="C737" t="inlineStr"/>
      <c r="D737" t="n">
        <v>1</v>
      </c>
      <c r="E737" t="n">
        <v>1</v>
      </c>
      <c r="F737" t="inlineStr">
        <is>
          <t>AXEGROUP</t>
        </is>
      </c>
      <c r="G737" s="1" t="n">
        <v>1750</v>
      </c>
      <c r="H737" t="n">
        <v>0</v>
      </c>
      <c r="I737" t="n">
        <v>0.5</v>
      </c>
      <c r="J737" t="n">
        <v>1</v>
      </c>
      <c r="K737" t="n">
        <v>1</v>
      </c>
      <c r="L737" t="n">
        <v>0</v>
      </c>
      <c r="M737" t="n">
        <v>0</v>
      </c>
      <c r="N737" t="n">
        <v>2</v>
      </c>
      <c r="O737" s="1">
        <f>IFERROR(L737*G737,0)</f>
        <v/>
      </c>
      <c r="P737">
        <f>IF(N737-L737-M737&gt;0,N737-L737-M737,0)</f>
        <v/>
      </c>
      <c r="Q737" s="1">
        <f>IFERROR(P737*G737,0)</f>
        <v/>
      </c>
    </row>
    <row r="738">
      <c r="A738" t="inlineStr">
        <is>
          <t>CE 250</t>
        </is>
      </c>
      <c r="B738" t="inlineStr">
        <is>
          <t>CE 250</t>
        </is>
      </c>
      <c r="C738" t="inlineStr"/>
      <c r="D738" t="n">
        <v>19</v>
      </c>
      <c r="E738" t="n">
        <v>0</v>
      </c>
      <c r="F738" t="inlineStr">
        <is>
          <t>Luft Industries Natal (Pty) Ltd</t>
        </is>
      </c>
      <c r="G738" s="1" t="n">
        <v>0</v>
      </c>
      <c r="H738" t="n">
        <v>80</v>
      </c>
      <c r="I738" t="n">
        <v>0.5</v>
      </c>
      <c r="J738" t="n">
        <v>4.5</v>
      </c>
      <c r="K738" t="n">
        <v>2</v>
      </c>
      <c r="L738" t="n">
        <v>0</v>
      </c>
      <c r="M738" t="n">
        <v>0</v>
      </c>
      <c r="N738" t="n">
        <v>11</v>
      </c>
      <c r="O738" s="1">
        <f>IFERROR(L738*G738,0)</f>
        <v/>
      </c>
      <c r="P738">
        <f>IF(N738-L738-M738&gt;0,N738-L738-M738,0)</f>
        <v/>
      </c>
      <c r="Q738" s="1">
        <f>IFERROR(P738*G738,0)</f>
        <v/>
      </c>
    </row>
    <row r="739">
      <c r="A739" t="inlineStr">
        <is>
          <t>CE200</t>
        </is>
      </c>
      <c r="B739" t="inlineStr">
        <is>
          <t>CE200</t>
        </is>
      </c>
      <c r="C739" t="inlineStr"/>
      <c r="D739" t="n">
        <v>13</v>
      </c>
      <c r="E739" t="n">
        <v>0</v>
      </c>
      <c r="F739" t="inlineStr"/>
      <c r="G739" s="1" t="n">
        <v>0</v>
      </c>
      <c r="H739" t="n">
        <v>7</v>
      </c>
      <c r="I739" t="n">
        <v>0.5</v>
      </c>
      <c r="J739" t="n">
        <v>1</v>
      </c>
      <c r="K739" t="n">
        <v>1</v>
      </c>
      <c r="L739" t="n">
        <v>0</v>
      </c>
      <c r="M739" t="n">
        <v>0</v>
      </c>
      <c r="N739" t="n">
        <v>2</v>
      </c>
      <c r="O739" s="1">
        <f>IFERROR(L739*G739,0)</f>
        <v/>
      </c>
      <c r="P739">
        <f>IF(N739-L739-M739&gt;0,N739-L739-M739,0)</f>
        <v/>
      </c>
      <c r="Q739" s="1">
        <f>IFERROR(P739*G739,0)</f>
        <v/>
      </c>
    </row>
    <row r="740">
      <c r="A740" t="inlineStr">
        <is>
          <t>CF/01</t>
        </is>
      </c>
      <c r="B740" t="inlineStr">
        <is>
          <t>LCF 56 - 1440rpm - 4 Speed 220V</t>
        </is>
      </c>
      <c r="C740" t="inlineStr"/>
      <c r="D740" t="n">
        <v>1</v>
      </c>
      <c r="E740" t="n">
        <v>0</v>
      </c>
      <c r="F740" t="inlineStr"/>
      <c r="G740" s="1" t="n">
        <v>0</v>
      </c>
      <c r="H740" t="n">
        <v>4</v>
      </c>
      <c r="I740" t="n">
        <v>0.5</v>
      </c>
      <c r="J740" t="n">
        <v>4</v>
      </c>
      <c r="K740" t="n">
        <v>2</v>
      </c>
      <c r="L740" t="n">
        <v>0</v>
      </c>
      <c r="M740" t="n">
        <v>0</v>
      </c>
      <c r="N740" t="n">
        <v>10</v>
      </c>
      <c r="O740" s="1">
        <f>IFERROR(L740*G740,0)</f>
        <v/>
      </c>
      <c r="P740">
        <f>IF(N740-L740-M740&gt;0,N740-L740-M740,0)</f>
        <v/>
      </c>
      <c r="Q740" s="1">
        <f>IFERROR(P740*G740,0)</f>
        <v/>
      </c>
    </row>
    <row r="741">
      <c r="A741" t="inlineStr">
        <is>
          <t>CF4</t>
        </is>
      </c>
      <c r="B741" t="inlineStr">
        <is>
          <t>CF4 - 1' 1/4</t>
        </is>
      </c>
      <c r="C741" t="inlineStr">
        <is>
          <t>FM - FPZ</t>
        </is>
      </c>
      <c r="D741" t="n">
        <v>24</v>
      </c>
      <c r="E741" t="n">
        <v>0</v>
      </c>
      <c r="F741" t="inlineStr"/>
      <c r="G741" s="1" t="n">
        <v>0</v>
      </c>
      <c r="H741" t="n">
        <v>4</v>
      </c>
      <c r="I741" t="n">
        <v>0.5</v>
      </c>
      <c r="J741" t="n">
        <v>1</v>
      </c>
      <c r="K741" t="n">
        <v>1</v>
      </c>
      <c r="L741" t="n">
        <v>0</v>
      </c>
      <c r="M741" t="n">
        <v>0</v>
      </c>
      <c r="N741" t="n">
        <v>2</v>
      </c>
      <c r="O741" s="1">
        <f>IFERROR(L741*G741,0)</f>
        <v/>
      </c>
      <c r="P741">
        <f>IF(N741-L741-M741&gt;0,N741-L741-M741,0)</f>
        <v/>
      </c>
      <c r="Q741" s="1">
        <f>IFERROR(P741*G741,0)</f>
        <v/>
      </c>
    </row>
    <row r="742">
      <c r="A742" t="inlineStr">
        <is>
          <t>CF5</t>
        </is>
      </c>
      <c r="B742" t="inlineStr">
        <is>
          <t>CF5 - 1' 1/2</t>
        </is>
      </c>
      <c r="C742" t="inlineStr">
        <is>
          <t>FM - FPZ</t>
        </is>
      </c>
      <c r="D742" t="n">
        <v>25</v>
      </c>
      <c r="E742" t="n">
        <v>0</v>
      </c>
      <c r="F742" t="inlineStr">
        <is>
          <t>Effepizeta</t>
        </is>
      </c>
      <c r="G742" s="1" t="n">
        <v>0</v>
      </c>
      <c r="H742" t="n">
        <v>2</v>
      </c>
      <c r="I742" t="n">
        <v>0.5</v>
      </c>
      <c r="J742" t="n">
        <v>1</v>
      </c>
      <c r="K742" t="n">
        <v>1</v>
      </c>
      <c r="L742" t="n">
        <v>0</v>
      </c>
      <c r="M742" t="n">
        <v>0</v>
      </c>
      <c r="N742" t="n">
        <v>2</v>
      </c>
      <c r="O742" s="1">
        <f>IFERROR(L742*G742,0)</f>
        <v/>
      </c>
      <c r="P742">
        <f>IF(N742-L742-M742&gt;0,N742-L742-M742,0)</f>
        <v/>
      </c>
      <c r="Q742" s="1">
        <f>IFERROR(P742*G742,0)</f>
        <v/>
      </c>
    </row>
    <row r="743">
      <c r="A743" t="inlineStr">
        <is>
          <t>CF6</t>
        </is>
      </c>
      <c r="B743" t="inlineStr">
        <is>
          <t>CF6 - 2'</t>
        </is>
      </c>
      <c r="C743" t="inlineStr">
        <is>
          <t>FM - FPZ</t>
        </is>
      </c>
      <c r="D743" t="n">
        <v>17</v>
      </c>
      <c r="E743" t="n">
        <v>0</v>
      </c>
      <c r="F743" t="inlineStr"/>
      <c r="G743" s="1" t="n">
        <v>0</v>
      </c>
      <c r="H743" t="n">
        <v>2</v>
      </c>
      <c r="I743" t="n">
        <v>0.5</v>
      </c>
      <c r="J743" t="n">
        <v>1</v>
      </c>
      <c r="K743" t="n">
        <v>1</v>
      </c>
      <c r="L743" t="n">
        <v>0</v>
      </c>
      <c r="M743" t="n">
        <v>0</v>
      </c>
      <c r="N743" t="n">
        <v>2</v>
      </c>
      <c r="O743" s="1">
        <f>IFERROR(L743*G743,0)</f>
        <v/>
      </c>
      <c r="P743">
        <f>IF(N743-L743-M743&gt;0,N743-L743-M743,0)</f>
        <v/>
      </c>
      <c r="Q743" s="1">
        <f>IFERROR(P743*G743,0)</f>
        <v/>
      </c>
    </row>
    <row r="744">
      <c r="A744" t="inlineStr">
        <is>
          <t>CF8</t>
        </is>
      </c>
      <c r="B744" t="inlineStr">
        <is>
          <t>CF8 - 3'</t>
        </is>
      </c>
      <c r="C744" t="inlineStr">
        <is>
          <t>FM - FPZ</t>
        </is>
      </c>
      <c r="D744" t="n">
        <v>21</v>
      </c>
      <c r="E744" t="n">
        <v>16</v>
      </c>
      <c r="F744" t="inlineStr">
        <is>
          <t>Effepizeta</t>
        </is>
      </c>
      <c r="G744" s="1" t="n">
        <v>230.34</v>
      </c>
      <c r="H744" t="n">
        <v>9</v>
      </c>
      <c r="I744" t="n">
        <v>2</v>
      </c>
      <c r="J744" t="n">
        <v>1</v>
      </c>
      <c r="K744" t="n">
        <v>2</v>
      </c>
      <c r="L744" t="n">
        <v>0</v>
      </c>
      <c r="M744" t="n">
        <v>0</v>
      </c>
      <c r="N744" t="n">
        <v>4</v>
      </c>
      <c r="O744" s="1">
        <f>IFERROR(L744*G744,0)</f>
        <v/>
      </c>
      <c r="P744">
        <f>IF(N744-L744-M744&gt;0,N744-L744-M744,0)</f>
        <v/>
      </c>
      <c r="Q744" s="1">
        <f>IFERROR(P744*G744,0)</f>
        <v/>
      </c>
    </row>
    <row r="745">
      <c r="A745" t="inlineStr">
        <is>
          <t>CF9</t>
        </is>
      </c>
      <c r="B745" t="inlineStr">
        <is>
          <t>CF9 - 4'</t>
        </is>
      </c>
      <c r="C745" t="inlineStr">
        <is>
          <t>FM - FPZ</t>
        </is>
      </c>
      <c r="D745" t="n">
        <v>37</v>
      </c>
      <c r="E745" t="n">
        <v>75</v>
      </c>
      <c r="F745" t="inlineStr">
        <is>
          <t>Effepizeta</t>
        </is>
      </c>
      <c r="G745" s="1" t="n">
        <v>524.73</v>
      </c>
      <c r="H745" t="n">
        <v>73</v>
      </c>
      <c r="I745" t="n">
        <v>1.9</v>
      </c>
      <c r="J745" t="n">
        <v>2.5</v>
      </c>
      <c r="K745" t="n">
        <v>5</v>
      </c>
      <c r="L745" t="n">
        <v>0</v>
      </c>
      <c r="M745" t="n">
        <v>0</v>
      </c>
      <c r="N745" t="n">
        <v>10</v>
      </c>
      <c r="O745" s="1">
        <f>IFERROR(L745*G745,0)</f>
        <v/>
      </c>
      <c r="P745">
        <f>IF(N745-L745-M745&gt;0,N745-L745-M745,0)</f>
        <v/>
      </c>
      <c r="Q745" s="1">
        <f>IFERROR(P745*G745,0)</f>
        <v/>
      </c>
    </row>
    <row r="746">
      <c r="A746" t="inlineStr">
        <is>
          <t>CFD2.5</t>
        </is>
      </c>
      <c r="B746" t="inlineStr">
        <is>
          <t>2.5 Amps Speed Controller</t>
        </is>
      </c>
      <c r="C746" t="inlineStr">
        <is>
          <t>FM - KAYITES</t>
        </is>
      </c>
      <c r="D746" t="n">
        <v>25</v>
      </c>
      <c r="E746" t="n">
        <v>85</v>
      </c>
      <c r="F746" t="inlineStr">
        <is>
          <t>Kayites</t>
        </is>
      </c>
      <c r="G746" s="1" t="n">
        <v>277.75</v>
      </c>
      <c r="H746" t="n">
        <v>1</v>
      </c>
      <c r="I746" t="n">
        <v>0.7</v>
      </c>
      <c r="J746" t="n">
        <v>3.5</v>
      </c>
      <c r="K746" t="n">
        <v>2</v>
      </c>
      <c r="L746" t="n">
        <v>0</v>
      </c>
      <c r="M746" t="n">
        <v>0</v>
      </c>
      <c r="N746" t="n">
        <v>9</v>
      </c>
      <c r="O746" s="1">
        <f>IFERROR(L746*G746,0)</f>
        <v/>
      </c>
      <c r="P746">
        <f>IF(N746-L746-M746&gt;0,N746-L746-M746,0)</f>
        <v/>
      </c>
      <c r="Q746" s="1">
        <f>IFERROR(P746*G746,0)</f>
        <v/>
      </c>
    </row>
    <row r="747">
      <c r="A747" t="inlineStr">
        <is>
          <t>CJ77J-DNM12-104-02-M</t>
        </is>
      </c>
      <c r="B747" t="inlineStr">
        <is>
          <t>DENIM WORK JACKET INDIGO M</t>
        </is>
      </c>
      <c r="C747" t="inlineStr"/>
      <c r="D747" t="n">
        <v>1</v>
      </c>
      <c r="E747" t="n">
        <v>2</v>
      </c>
      <c r="F747" t="inlineStr">
        <is>
          <t>Workwear Depot (Pty)Ltd</t>
        </is>
      </c>
      <c r="G747" s="1" t="n">
        <v>406.11</v>
      </c>
      <c r="H747" t="n">
        <v>0</v>
      </c>
      <c r="I747" t="n">
        <v>0.5</v>
      </c>
      <c r="J747" t="n">
        <v>2</v>
      </c>
      <c r="K747" t="n">
        <v>1</v>
      </c>
      <c r="L747" t="n">
        <v>0</v>
      </c>
      <c r="M747" t="n">
        <v>0</v>
      </c>
      <c r="N747" t="n">
        <v>5</v>
      </c>
      <c r="O747" s="1">
        <f>IFERROR(L747*G747,0)</f>
        <v/>
      </c>
      <c r="P747">
        <f>IF(N747-L747-M747&gt;0,N747-L747-M747,0)</f>
        <v/>
      </c>
      <c r="Q747" s="1">
        <f>IFERROR(P747*G747,0)</f>
        <v/>
      </c>
    </row>
    <row r="748">
      <c r="A748" t="inlineStr">
        <is>
          <t>CJ77J-DNM12-104-03-L</t>
        </is>
      </c>
      <c r="B748" t="inlineStr">
        <is>
          <t>DENIM WORK JACKET INDIGO L</t>
        </is>
      </c>
      <c r="C748" t="inlineStr"/>
      <c r="D748" t="n">
        <v>1</v>
      </c>
      <c r="E748" t="n">
        <v>2</v>
      </c>
      <c r="F748" t="inlineStr">
        <is>
          <t>Workwear Depot (Pty)Ltd</t>
        </is>
      </c>
      <c r="G748" s="1" t="n">
        <v>406.11</v>
      </c>
      <c r="H748" t="n">
        <v>0</v>
      </c>
      <c r="I748" t="n">
        <v>0.5</v>
      </c>
      <c r="J748" t="n">
        <v>2</v>
      </c>
      <c r="K748" t="n">
        <v>1</v>
      </c>
      <c r="L748" t="n">
        <v>0</v>
      </c>
      <c r="M748" t="n">
        <v>0</v>
      </c>
      <c r="N748" t="n">
        <v>5</v>
      </c>
      <c r="O748" s="1">
        <f>IFERROR(L748*G748,0)</f>
        <v/>
      </c>
      <c r="P748">
        <f>IF(N748-L748-M748&gt;0,N748-L748-M748,0)</f>
        <v/>
      </c>
      <c r="Q748" s="1">
        <f>IFERROR(P748*G748,0)</f>
        <v/>
      </c>
    </row>
    <row r="749">
      <c r="A749" t="inlineStr">
        <is>
          <t>CJ77J-NAVBOT-101-01-S</t>
        </is>
      </c>
      <c r="B749" t="inlineStr">
        <is>
          <t>VERSATEX TWO-TONE WORK JACKET NAVY/BOTTLE S</t>
        </is>
      </c>
      <c r="C749" t="inlineStr"/>
      <c r="D749" t="n">
        <v>1</v>
      </c>
      <c r="E749" t="n">
        <v>1</v>
      </c>
      <c r="F749" t="inlineStr">
        <is>
          <t>Workwear Depot (Pty)Ltd</t>
        </is>
      </c>
      <c r="G749" s="1" t="n">
        <v>303.48</v>
      </c>
      <c r="H749" t="n">
        <v>0</v>
      </c>
      <c r="I749" t="n">
        <v>0.5</v>
      </c>
      <c r="J749" t="n">
        <v>1</v>
      </c>
      <c r="K749" t="n">
        <v>1</v>
      </c>
      <c r="L749" t="n">
        <v>0</v>
      </c>
      <c r="M749" t="n">
        <v>0</v>
      </c>
      <c r="N749" t="n">
        <v>2</v>
      </c>
      <c r="O749" s="1">
        <f>IFERROR(L749*G749,0)</f>
        <v/>
      </c>
      <c r="P749">
        <f>IF(N749-L749-M749&gt;0,N749-L749-M749,0)</f>
        <v/>
      </c>
      <c r="Q749" s="1">
        <f>IFERROR(P749*G749,0)</f>
        <v/>
      </c>
    </row>
    <row r="750">
      <c r="A750" t="inlineStr">
        <is>
          <t>CJ77J-NAVBOT-101-02-M</t>
        </is>
      </c>
      <c r="B750" t="inlineStr">
        <is>
          <t>VERSATEX TWO-TONE WORK JACKET NAVY/BOTTLE M</t>
        </is>
      </c>
      <c r="C750" t="inlineStr"/>
      <c r="D750" t="n">
        <v>1</v>
      </c>
      <c r="E750" t="n">
        <v>1</v>
      </c>
      <c r="F750" t="inlineStr">
        <is>
          <t>Workwear Depot (Pty)Ltd</t>
        </is>
      </c>
      <c r="G750" s="1" t="n">
        <v>303.48</v>
      </c>
      <c r="H750" t="n">
        <v>0</v>
      </c>
      <c r="I750" t="n">
        <v>0.5</v>
      </c>
      <c r="J750" t="n">
        <v>1</v>
      </c>
      <c r="K750" t="n">
        <v>1</v>
      </c>
      <c r="L750" t="n">
        <v>0</v>
      </c>
      <c r="M750" t="n">
        <v>0</v>
      </c>
      <c r="N750" t="n">
        <v>2</v>
      </c>
      <c r="O750" s="1">
        <f>IFERROR(L750*G750,0)</f>
        <v/>
      </c>
      <c r="P750">
        <f>IF(N750-L750-M750&gt;0,N750-L750-M750,0)</f>
        <v/>
      </c>
      <c r="Q750" s="1">
        <f>IFERROR(P750*G750,0)</f>
        <v/>
      </c>
    </row>
    <row r="751">
      <c r="A751" t="inlineStr">
        <is>
          <t>CJ77J-NAVBOT-101-04-XL</t>
        </is>
      </c>
      <c r="B751" t="inlineStr">
        <is>
          <t>VERSATEX TWO-TONE WORK JACKET NAVY/BOTTLE XL</t>
        </is>
      </c>
      <c r="C751" t="inlineStr"/>
      <c r="D751" t="n">
        <v>1</v>
      </c>
      <c r="E751" t="n">
        <v>2</v>
      </c>
      <c r="F751" t="inlineStr">
        <is>
          <t>Workwear Depot (Pty)Ltd</t>
        </is>
      </c>
      <c r="G751" s="1" t="n">
        <v>303.48</v>
      </c>
      <c r="H751" t="n">
        <v>0</v>
      </c>
      <c r="I751" t="n">
        <v>0.5</v>
      </c>
      <c r="J751" t="n">
        <v>2</v>
      </c>
      <c r="K751" t="n">
        <v>1</v>
      </c>
      <c r="L751" t="n">
        <v>0</v>
      </c>
      <c r="M751" t="n">
        <v>0</v>
      </c>
      <c r="N751" t="n">
        <v>5</v>
      </c>
      <c r="O751" s="1">
        <f>IFERROR(L751*G751,0)</f>
        <v/>
      </c>
      <c r="P751">
        <f>IF(N751-L751-M751&gt;0,N751-L751-M751,0)</f>
        <v/>
      </c>
      <c r="Q751" s="1">
        <f>IFERROR(P751*G751,0)</f>
        <v/>
      </c>
    </row>
    <row r="752">
      <c r="A752" t="inlineStr">
        <is>
          <t>CLAMP</t>
        </is>
      </c>
      <c r="B752" t="inlineStr">
        <is>
          <t>CLAMP</t>
        </is>
      </c>
      <c r="C752" t="inlineStr">
        <is>
          <t>CONSUMABLES</t>
        </is>
      </c>
      <c r="D752" t="n">
        <v>1</v>
      </c>
      <c r="E752" t="n">
        <v>4</v>
      </c>
      <c r="F752" t="inlineStr">
        <is>
          <t>MG AUTO PAINT (PTY) LTD</t>
        </is>
      </c>
      <c r="G752" s="1" t="n">
        <v>4.35</v>
      </c>
      <c r="H752" t="n">
        <v>0</v>
      </c>
      <c r="I752" t="n">
        <v>0.5</v>
      </c>
      <c r="J752" t="n">
        <v>4</v>
      </c>
      <c r="K752" t="n">
        <v>2</v>
      </c>
      <c r="L752" t="n">
        <v>0</v>
      </c>
      <c r="M752" t="n">
        <v>0</v>
      </c>
      <c r="N752" t="n">
        <v>10</v>
      </c>
      <c r="O752" s="1">
        <f>IFERROR(L752*G752,0)</f>
        <v/>
      </c>
      <c r="P752">
        <f>IF(N752-L752-M752&gt;0,N752-L752-M752,0)</f>
        <v/>
      </c>
      <c r="Q752" s="1">
        <f>IFERROR(P752*G752,0)</f>
        <v/>
      </c>
    </row>
    <row r="753">
      <c r="A753" t="inlineStr">
        <is>
          <t>CLIPS003</t>
        </is>
      </c>
      <c r="B753" t="inlineStr">
        <is>
          <t>75mm Galv Filter Clip</t>
        </is>
      </c>
      <c r="C753" t="inlineStr"/>
      <c r="D753" t="n">
        <v>1</v>
      </c>
      <c r="E753" t="n">
        <v>64</v>
      </c>
      <c r="F753" t="inlineStr">
        <is>
          <t>Filtermac Design ( Pty) Ltd</t>
        </is>
      </c>
      <c r="G753" s="1" t="n">
        <v>37</v>
      </c>
      <c r="H753" t="n">
        <v>0</v>
      </c>
      <c r="I753" t="n">
        <v>0.8</v>
      </c>
      <c r="J753" t="n">
        <v>64</v>
      </c>
      <c r="K753" t="n">
        <v>51</v>
      </c>
      <c r="L753" t="n">
        <v>0</v>
      </c>
      <c r="M753" t="n">
        <v>0</v>
      </c>
      <c r="N753" t="n">
        <v>179</v>
      </c>
      <c r="O753" s="1">
        <f>IFERROR(L753*G753,0)</f>
        <v/>
      </c>
      <c r="P753">
        <f>IF(N753-L753-M753&gt;0,N753-L753-M753,0)</f>
        <v/>
      </c>
      <c r="Q753" s="1">
        <f>IFERROR(P753*G753,0)</f>
        <v/>
      </c>
    </row>
    <row r="754">
      <c r="A754" t="inlineStr">
        <is>
          <t>CMV400</t>
        </is>
      </c>
      <c r="B754" t="inlineStr">
        <is>
          <t>CMVpro 400 P4 PPs Casing &amp; impeller RD 90 Fan c/w 5.5kw 4P 380V</t>
        </is>
      </c>
      <c r="C754" t="inlineStr"/>
      <c r="D754" t="n">
        <v>1</v>
      </c>
      <c r="E754" t="n">
        <v>1</v>
      </c>
      <c r="F754" t="inlineStr">
        <is>
          <t>Polimatrix SA (Pty) Ltd</t>
        </is>
      </c>
      <c r="G754" s="1" t="n">
        <v>61919.67</v>
      </c>
      <c r="H754" t="n">
        <v>1</v>
      </c>
      <c r="I754" t="n">
        <v>0.9</v>
      </c>
      <c r="J754" t="n">
        <v>1</v>
      </c>
      <c r="K754" t="n">
        <v>1</v>
      </c>
      <c r="L754" t="n">
        <v>0</v>
      </c>
      <c r="M754" t="n">
        <v>0</v>
      </c>
      <c r="N754" t="n">
        <v>3</v>
      </c>
      <c r="O754" s="1">
        <f>IFERROR(L754*G754,0)</f>
        <v/>
      </c>
      <c r="P754">
        <f>IF(N754-L754-M754&gt;0,N754-L754-M754,0)</f>
        <v/>
      </c>
      <c r="Q754" s="1">
        <f>IFERROR(P754*G754,0)</f>
        <v/>
      </c>
    </row>
    <row r="755">
      <c r="A755" t="inlineStr">
        <is>
          <t>CN4PC-SS-DAS</t>
        </is>
      </c>
      <c r="B755" t="inlineStr">
        <is>
          <t>Screws &amp; Springs for Combination Set Dasqua</t>
        </is>
      </c>
      <c r="C755" t="inlineStr"/>
      <c r="D755" t="n">
        <v>1</v>
      </c>
      <c r="E755" t="n">
        <v>2</v>
      </c>
      <c r="F755" t="inlineStr">
        <is>
          <t>SPARES 2000 CC t/a SHARP-RITE</t>
        </is>
      </c>
      <c r="G755" s="1" t="n">
        <v>115</v>
      </c>
      <c r="H755" t="n">
        <v>0</v>
      </c>
      <c r="I755" t="n">
        <v>0.9</v>
      </c>
      <c r="J755" t="n">
        <v>2</v>
      </c>
      <c r="K755" t="n">
        <v>2</v>
      </c>
      <c r="L755" t="n">
        <v>0</v>
      </c>
      <c r="M755" t="n">
        <v>0</v>
      </c>
      <c r="N755" t="n">
        <v>6</v>
      </c>
      <c r="O755" s="1">
        <f>IFERROR(L755*G755,0)</f>
        <v/>
      </c>
      <c r="P755">
        <f>IF(N755-L755-M755&gt;0,N755-L755-M755,0)</f>
        <v/>
      </c>
      <c r="Q755" s="1">
        <f>IFERROR(P755*G755,0)</f>
        <v/>
      </c>
    </row>
    <row r="756">
      <c r="A756" t="inlineStr">
        <is>
          <t>COUNCIL BILLINGG</t>
        </is>
      </c>
      <c r="B756" t="inlineStr">
        <is>
          <t>February Council Billing</t>
        </is>
      </c>
      <c r="C756" t="inlineStr"/>
      <c r="D756" t="n">
        <v>12</v>
      </c>
      <c r="E756" t="n">
        <v>11</v>
      </c>
      <c r="F756" t="inlineStr">
        <is>
          <t>Stand 231 Alrode South CC</t>
        </is>
      </c>
      <c r="G756" s="1" t="n">
        <v>1405.09</v>
      </c>
      <c r="H756" t="n">
        <v>0</v>
      </c>
      <c r="I756" t="n">
        <v>0.5</v>
      </c>
      <c r="J756" t="n">
        <v>1</v>
      </c>
      <c r="K756" t="n">
        <v>1</v>
      </c>
      <c r="L756" t="n">
        <v>0</v>
      </c>
      <c r="M756" t="n">
        <v>0</v>
      </c>
      <c r="N756" t="n">
        <v>2</v>
      </c>
      <c r="O756" s="1">
        <f>IFERROR(L756*G756,0)</f>
        <v/>
      </c>
      <c r="P756">
        <f>IF(N756-L756-M756&gt;0,N756-L756-M756,0)</f>
        <v/>
      </c>
      <c r="Q756" s="1">
        <f>IFERROR(P756*G756,0)</f>
        <v/>
      </c>
    </row>
    <row r="757">
      <c r="A757" t="inlineStr">
        <is>
          <t>COUP SET</t>
        </is>
      </c>
      <c r="B757" t="inlineStr">
        <is>
          <t>COUPLER SET CARLA</t>
        </is>
      </c>
      <c r="C757" t="inlineStr">
        <is>
          <t>CONSUMABLES</t>
        </is>
      </c>
      <c r="D757" t="n">
        <v>1</v>
      </c>
      <c r="E757" t="n">
        <v>2</v>
      </c>
      <c r="F757" t="inlineStr">
        <is>
          <t>MG AUTO PAINT (PTY) LTD</t>
        </is>
      </c>
      <c r="G757" s="1" t="n">
        <v>86.95999999999999</v>
      </c>
      <c r="H757" t="n">
        <v>0</v>
      </c>
      <c r="I757" t="n">
        <v>0.5</v>
      </c>
      <c r="J757" t="n">
        <v>2</v>
      </c>
      <c r="K757" t="n">
        <v>1</v>
      </c>
      <c r="L757" t="n">
        <v>0</v>
      </c>
      <c r="M757" t="n">
        <v>0</v>
      </c>
      <c r="N757" t="n">
        <v>5</v>
      </c>
      <c r="O757" s="1">
        <f>IFERROR(L757*G757,0)</f>
        <v/>
      </c>
      <c r="P757">
        <f>IF(N757-L757-M757&gt;0,N757-L757-M757,0)</f>
        <v/>
      </c>
      <c r="Q757" s="1">
        <f>IFERROR(P757*G757,0)</f>
        <v/>
      </c>
    </row>
    <row r="758">
      <c r="A758" t="inlineStr">
        <is>
          <t>CP77P-DESMBO-201-00-28</t>
        </is>
      </c>
      <c r="B758" t="inlineStr">
        <is>
          <t>VERSATEX WORK TROUSERS BOTTLE 28</t>
        </is>
      </c>
      <c r="C758" t="inlineStr"/>
      <c r="D758" t="n">
        <v>1</v>
      </c>
      <c r="E758" t="n">
        <v>1</v>
      </c>
      <c r="F758" t="inlineStr">
        <is>
          <t>Workwear Depot (Pty)Ltd</t>
        </is>
      </c>
      <c r="G758" s="1" t="n">
        <v>260</v>
      </c>
      <c r="H758" t="n">
        <v>0</v>
      </c>
      <c r="I758" t="n">
        <v>0.5</v>
      </c>
      <c r="J758" t="n">
        <v>1</v>
      </c>
      <c r="K758" t="n">
        <v>1</v>
      </c>
      <c r="L758" t="n">
        <v>0</v>
      </c>
      <c r="M758" t="n">
        <v>0</v>
      </c>
      <c r="N758" t="n">
        <v>2</v>
      </c>
      <c r="O758" s="1">
        <f>IFERROR(L758*G758,0)</f>
        <v/>
      </c>
      <c r="P758">
        <f>IF(N758-L758-M758&gt;0,N758-L758-M758,0)</f>
        <v/>
      </c>
      <c r="Q758" s="1">
        <f>IFERROR(P758*G758,0)</f>
        <v/>
      </c>
    </row>
    <row r="759">
      <c r="A759" t="inlineStr">
        <is>
          <t>CP77P-DESMBO-201-00-32</t>
        </is>
      </c>
      <c r="B759" t="inlineStr">
        <is>
          <t>VERSATEX WORK TROUSERS BOTTLE 32</t>
        </is>
      </c>
      <c r="C759" t="inlineStr"/>
      <c r="D759" t="n">
        <v>1</v>
      </c>
      <c r="E759" t="n">
        <v>1</v>
      </c>
      <c r="F759" t="inlineStr">
        <is>
          <t>Workwear Depot (Pty)Ltd</t>
        </is>
      </c>
      <c r="G759" s="1" t="n">
        <v>260</v>
      </c>
      <c r="H759" t="n">
        <v>0</v>
      </c>
      <c r="I759" t="n">
        <v>0.5</v>
      </c>
      <c r="J759" t="n">
        <v>1</v>
      </c>
      <c r="K759" t="n">
        <v>1</v>
      </c>
      <c r="L759" t="n">
        <v>0</v>
      </c>
      <c r="M759" t="n">
        <v>0</v>
      </c>
      <c r="N759" t="n">
        <v>2</v>
      </c>
      <c r="O759" s="1">
        <f>IFERROR(L759*G759,0)</f>
        <v/>
      </c>
      <c r="P759">
        <f>IF(N759-L759-M759&gt;0,N759-L759-M759,0)</f>
        <v/>
      </c>
      <c r="Q759" s="1">
        <f>IFERROR(P759*G759,0)</f>
        <v/>
      </c>
    </row>
    <row r="760">
      <c r="A760" t="inlineStr">
        <is>
          <t>CP77P-DESMBO-201-00-44</t>
        </is>
      </c>
      <c r="B760" t="inlineStr">
        <is>
          <t>VERSATEX WORK TROUSERS BOTTLE 44</t>
        </is>
      </c>
      <c r="C760" t="inlineStr"/>
      <c r="D760" t="n">
        <v>1</v>
      </c>
      <c r="E760" t="n">
        <v>2</v>
      </c>
      <c r="F760" t="inlineStr">
        <is>
          <t>Workwear Depot (Pty)Ltd</t>
        </is>
      </c>
      <c r="G760" s="1" t="n">
        <v>260</v>
      </c>
      <c r="H760" t="n">
        <v>0</v>
      </c>
      <c r="I760" t="n">
        <v>0.5</v>
      </c>
      <c r="J760" t="n">
        <v>2</v>
      </c>
      <c r="K760" t="n">
        <v>1</v>
      </c>
      <c r="L760" t="n">
        <v>0</v>
      </c>
      <c r="M760" t="n">
        <v>0</v>
      </c>
      <c r="N760" t="n">
        <v>5</v>
      </c>
      <c r="O760" s="1">
        <f>IFERROR(L760*G760,0)</f>
        <v/>
      </c>
      <c r="P760">
        <f>IF(N760-L760-M760&gt;0,N760-L760-M760,0)</f>
        <v/>
      </c>
      <c r="Q760" s="1">
        <f>IFERROR(P760*G760,0)</f>
        <v/>
      </c>
    </row>
    <row r="761">
      <c r="A761" t="inlineStr">
        <is>
          <t>CP77P-DNM12-104-00-32</t>
        </is>
      </c>
      <c r="B761" t="inlineStr">
        <is>
          <t>DENIM WORK TROUSERS INDIGO 32</t>
        </is>
      </c>
      <c r="C761" t="inlineStr"/>
      <c r="D761" t="n">
        <v>1</v>
      </c>
      <c r="E761" t="n">
        <v>2</v>
      </c>
      <c r="F761" t="inlineStr">
        <is>
          <t>Workwear Depot (Pty)Ltd</t>
        </is>
      </c>
      <c r="G761" s="1" t="n">
        <v>372.2</v>
      </c>
      <c r="H761" t="n">
        <v>0</v>
      </c>
      <c r="I761" t="n">
        <v>0.5</v>
      </c>
      <c r="J761" t="n">
        <v>2</v>
      </c>
      <c r="K761" t="n">
        <v>1</v>
      </c>
      <c r="L761" t="n">
        <v>0</v>
      </c>
      <c r="M761" t="n">
        <v>0</v>
      </c>
      <c r="N761" t="n">
        <v>5</v>
      </c>
      <c r="O761" s="1">
        <f>IFERROR(L761*G761,0)</f>
        <v/>
      </c>
      <c r="P761">
        <f>IF(N761-L761-M761&gt;0,N761-L761-M761,0)</f>
        <v/>
      </c>
      <c r="Q761" s="1">
        <f>IFERROR(P761*G761,0)</f>
        <v/>
      </c>
    </row>
    <row r="762">
      <c r="A762" t="inlineStr">
        <is>
          <t>CP77P-DNM12-104-00-38</t>
        </is>
      </c>
      <c r="B762" t="inlineStr">
        <is>
          <t>DENIM WORK TROUSERS INDIGO 38</t>
        </is>
      </c>
      <c r="C762" t="inlineStr">
        <is>
          <t>FM - UNIFORM</t>
        </is>
      </c>
      <c r="D762" t="n">
        <v>1</v>
      </c>
      <c r="E762" t="n">
        <v>2</v>
      </c>
      <c r="F762" t="inlineStr">
        <is>
          <t>Workwear Depot (Pty)Ltd</t>
        </is>
      </c>
      <c r="G762" s="1" t="n">
        <v>372.2</v>
      </c>
      <c r="H762" t="n">
        <v>0</v>
      </c>
      <c r="I762" t="n">
        <v>0.5</v>
      </c>
      <c r="J762" t="n">
        <v>2</v>
      </c>
      <c r="K762" t="n">
        <v>1</v>
      </c>
      <c r="L762" t="n">
        <v>0</v>
      </c>
      <c r="M762" t="n">
        <v>0</v>
      </c>
      <c r="N762" t="n">
        <v>5</v>
      </c>
      <c r="O762" s="1">
        <f>IFERROR(L762*G762,0)</f>
        <v/>
      </c>
      <c r="P762">
        <f>IF(N762-L762-M762&gt;0,N762-L762-M762,0)</f>
        <v/>
      </c>
      <c r="Q762" s="1">
        <f>IFERROR(P762*G762,0)</f>
        <v/>
      </c>
    </row>
    <row r="763">
      <c r="A763" t="inlineStr">
        <is>
          <t>CRAD190</t>
        </is>
      </c>
      <c r="B763" t="inlineStr">
        <is>
          <t>CRAD 190</t>
        </is>
      </c>
      <c r="C763" t="inlineStr">
        <is>
          <t>FM - KAYITES</t>
        </is>
      </c>
      <c r="D763" t="n">
        <v>6</v>
      </c>
      <c r="E763" t="n">
        <v>4</v>
      </c>
      <c r="F763" t="inlineStr">
        <is>
          <t>Kayites</t>
        </is>
      </c>
      <c r="G763" s="1" t="n">
        <v>872.8</v>
      </c>
      <c r="H763" t="n">
        <v>4</v>
      </c>
      <c r="I763" t="n">
        <v>0.5</v>
      </c>
      <c r="J763" t="n">
        <v>1</v>
      </c>
      <c r="K763" t="n">
        <v>1</v>
      </c>
      <c r="L763" t="n">
        <v>0</v>
      </c>
      <c r="M763" t="n">
        <v>0</v>
      </c>
      <c r="N763" t="n">
        <v>2</v>
      </c>
      <c r="O763" s="1">
        <f>IFERROR(L763*G763,0)</f>
        <v/>
      </c>
      <c r="P763">
        <f>IF(N763-L763-M763&gt;0,N763-L763-M763,0)</f>
        <v/>
      </c>
      <c r="Q763" s="1">
        <f>IFERROR(P763*G763,0)</f>
        <v/>
      </c>
    </row>
    <row r="764">
      <c r="A764" t="inlineStr">
        <is>
          <t>CRAD450</t>
        </is>
      </c>
      <c r="B764" t="inlineStr">
        <is>
          <t>CRAD 450</t>
        </is>
      </c>
      <c r="C764" t="inlineStr">
        <is>
          <t>FM - KAYITES</t>
        </is>
      </c>
      <c r="D764" t="n">
        <v>29</v>
      </c>
      <c r="E764" t="n">
        <v>4</v>
      </c>
      <c r="F764" t="inlineStr">
        <is>
          <t>Kayites</t>
        </is>
      </c>
      <c r="G764" s="1" t="n">
        <v>4865.1</v>
      </c>
      <c r="H764" t="n">
        <v>5</v>
      </c>
      <c r="I764" t="n">
        <v>0.9</v>
      </c>
      <c r="J764" t="n">
        <v>1</v>
      </c>
      <c r="K764" t="n">
        <v>1</v>
      </c>
      <c r="L764" t="n">
        <v>0</v>
      </c>
      <c r="M764" t="n">
        <v>0</v>
      </c>
      <c r="N764" t="n">
        <v>3</v>
      </c>
      <c r="O764" s="1">
        <f>IFERROR(L764*G764,0)</f>
        <v/>
      </c>
      <c r="P764">
        <f>IF(N764-L764-M764&gt;0,N764-L764-M764,0)</f>
        <v/>
      </c>
      <c r="Q764" s="1">
        <f>IFERROR(P764*G764,0)</f>
        <v/>
      </c>
    </row>
    <row r="765">
      <c r="A765" t="inlineStr">
        <is>
          <t>CRADIK190</t>
        </is>
      </c>
      <c r="B765" t="inlineStr">
        <is>
          <t>CRADIK 190</t>
        </is>
      </c>
      <c r="C765" t="inlineStr">
        <is>
          <t>FM - KAYITES</t>
        </is>
      </c>
      <c r="D765" t="n">
        <v>7</v>
      </c>
      <c r="E765" t="n">
        <v>0</v>
      </c>
      <c r="F765" t="inlineStr"/>
      <c r="G765" s="1" t="n">
        <v>0</v>
      </c>
      <c r="H765" t="n">
        <v>1</v>
      </c>
      <c r="I765" t="n">
        <v>0.5</v>
      </c>
      <c r="J765" t="n">
        <v>1</v>
      </c>
      <c r="K765" t="n">
        <v>1</v>
      </c>
      <c r="L765" t="n">
        <v>0</v>
      </c>
      <c r="M765" t="n">
        <v>0</v>
      </c>
      <c r="N765" t="n">
        <v>2</v>
      </c>
      <c r="O765" s="1">
        <f>IFERROR(L765*G765,0)</f>
        <v/>
      </c>
      <c r="P765">
        <f>IF(N765-L765-M765&gt;0,N765-L765-M765,0)</f>
        <v/>
      </c>
      <c r="Q765" s="1">
        <f>IFERROR(P765*G765,0)</f>
        <v/>
      </c>
    </row>
    <row r="766">
      <c r="A766" t="inlineStr">
        <is>
          <t>CSH1000x1.5</t>
        </is>
      </c>
      <c r="B766" t="inlineStr">
        <is>
          <t>Copper Sheet (2000x1000x1.5mm)</t>
        </is>
      </c>
      <c r="C766" t="inlineStr"/>
      <c r="D766" t="n">
        <v>11</v>
      </c>
      <c r="E766" t="n">
        <v>2</v>
      </c>
      <c r="F766" t="inlineStr">
        <is>
          <t>Gold Circle Metals</t>
        </is>
      </c>
      <c r="G766" s="1" t="n">
        <v>11250</v>
      </c>
      <c r="H766" t="n">
        <v>0</v>
      </c>
      <c r="I766" t="n">
        <v>0.5</v>
      </c>
      <c r="J766" t="n">
        <v>1</v>
      </c>
      <c r="K766" t="n">
        <v>1</v>
      </c>
      <c r="L766" t="n">
        <v>0</v>
      </c>
      <c r="M766" t="n">
        <v>0</v>
      </c>
      <c r="N766" t="n">
        <v>2</v>
      </c>
      <c r="O766" s="1">
        <f>IFERROR(L766*G766,0)</f>
        <v/>
      </c>
      <c r="P766">
        <f>IF(N766-L766-M766&gt;0,N766-L766-M766,0)</f>
        <v/>
      </c>
      <c r="Q766" s="1">
        <f>IFERROR(P766*G766,0)</f>
        <v/>
      </c>
    </row>
    <row r="767">
      <c r="A767" t="inlineStr">
        <is>
          <t>CT1.50X4BK</t>
        </is>
      </c>
      <c r="B767" t="inlineStr">
        <is>
          <t>CABTYRE 1,5MM2 4 CORE BLACK</t>
        </is>
      </c>
      <c r="C767" t="inlineStr"/>
      <c r="D767" t="n">
        <v>1</v>
      </c>
      <c r="E767" t="n">
        <v>100</v>
      </c>
      <c r="F767" t="inlineStr">
        <is>
          <t>Alvern Cables (Pty) Ltd</t>
        </is>
      </c>
      <c r="G767" s="1" t="n">
        <v>17.45</v>
      </c>
      <c r="H767" t="n">
        <v>0</v>
      </c>
      <c r="I767" t="n">
        <v>0.5</v>
      </c>
      <c r="J767" t="n">
        <v>100</v>
      </c>
      <c r="K767" t="n">
        <v>50</v>
      </c>
      <c r="L767" t="n">
        <v>0</v>
      </c>
      <c r="M767" t="n">
        <v>0</v>
      </c>
      <c r="N767" t="n">
        <v>250</v>
      </c>
      <c r="O767" s="1">
        <f>IFERROR(L767*G767,0)</f>
        <v/>
      </c>
      <c r="P767">
        <f>IF(N767-L767-M767&gt;0,N767-L767-M767,0)</f>
        <v/>
      </c>
      <c r="Q767" s="1">
        <f>IFERROR(P767*G767,0)</f>
        <v/>
      </c>
    </row>
    <row r="768">
      <c r="A768" t="inlineStr">
        <is>
          <t>CT2.50X4BK</t>
        </is>
      </c>
      <c r="B768" t="inlineStr">
        <is>
          <t>CABTYRE 2,5MM2 4 CORE - BLACK</t>
        </is>
      </c>
      <c r="C768" t="inlineStr"/>
      <c r="D768" t="n">
        <v>1</v>
      </c>
      <c r="E768" t="n">
        <v>100</v>
      </c>
      <c r="F768" t="inlineStr">
        <is>
          <t>Alvern Cables (Pty) Ltd</t>
        </is>
      </c>
      <c r="G768" s="1" t="n">
        <v>27.96</v>
      </c>
      <c r="H768" t="n">
        <v>0</v>
      </c>
      <c r="I768" t="n">
        <v>0.5</v>
      </c>
      <c r="J768" t="n">
        <v>100</v>
      </c>
      <c r="K768" t="n">
        <v>50</v>
      </c>
      <c r="L768" t="n">
        <v>0</v>
      </c>
      <c r="M768" t="n">
        <v>0</v>
      </c>
      <c r="N768" t="n">
        <v>250</v>
      </c>
      <c r="O768" s="1">
        <f>IFERROR(L768*G768,0)</f>
        <v/>
      </c>
      <c r="P768">
        <f>IF(N768-L768-M768&gt;0,N768-L768-M768,0)</f>
        <v/>
      </c>
      <c r="Q768" s="1">
        <f>IFERROR(P768*G768,0)</f>
        <v/>
      </c>
    </row>
    <row r="769">
      <c r="A769" t="inlineStr">
        <is>
          <t>CTA/01</t>
        </is>
      </c>
      <c r="B769" t="inlineStr">
        <is>
          <t>Attenuator 150x600mm</t>
        </is>
      </c>
      <c r="C769" t="inlineStr"/>
      <c r="D769" t="n">
        <v>1</v>
      </c>
      <c r="E769" t="n">
        <v>0</v>
      </c>
      <c r="F769" t="inlineStr"/>
      <c r="G769" s="1" t="n">
        <v>0</v>
      </c>
      <c r="H769" t="n">
        <v>2</v>
      </c>
      <c r="I769" t="n">
        <v>0.5</v>
      </c>
      <c r="J769" t="n">
        <v>2</v>
      </c>
      <c r="K769" t="n">
        <v>1</v>
      </c>
      <c r="L769" t="n">
        <v>0</v>
      </c>
      <c r="M769" t="n">
        <v>0</v>
      </c>
      <c r="N769" t="n">
        <v>5</v>
      </c>
      <c r="O769" s="1">
        <f>IFERROR(L769*G769,0)</f>
        <v/>
      </c>
      <c r="P769">
        <f>IF(N769-L769-M769&gt;0,N769-L769-M769,0)</f>
        <v/>
      </c>
      <c r="Q769" s="1">
        <f>IFERROR(P769*G769,0)</f>
        <v/>
      </c>
    </row>
    <row r="770">
      <c r="A770" t="inlineStr">
        <is>
          <t>CTA/02</t>
        </is>
      </c>
      <c r="B770" t="inlineStr">
        <is>
          <t>Attenuator 150x600mm</t>
        </is>
      </c>
      <c r="C770" t="inlineStr"/>
      <c r="D770" t="n">
        <v>1</v>
      </c>
      <c r="E770" t="n">
        <v>0</v>
      </c>
      <c r="F770" t="inlineStr"/>
      <c r="G770" s="1" t="n">
        <v>0</v>
      </c>
      <c r="H770" t="n">
        <v>1</v>
      </c>
      <c r="I770" t="n">
        <v>0.5</v>
      </c>
      <c r="J770" t="n">
        <v>1</v>
      </c>
      <c r="K770" t="n">
        <v>1</v>
      </c>
      <c r="L770" t="n">
        <v>0</v>
      </c>
      <c r="M770" t="n">
        <v>0</v>
      </c>
      <c r="N770" t="n">
        <v>2</v>
      </c>
      <c r="O770" s="1">
        <f>IFERROR(L770*G770,0)</f>
        <v/>
      </c>
      <c r="P770">
        <f>IF(N770-L770-M770&gt;0,N770-L770-M770,0)</f>
        <v/>
      </c>
      <c r="Q770" s="1">
        <f>IFERROR(P770*G770,0)</f>
        <v/>
      </c>
    </row>
    <row r="771">
      <c r="A771" t="inlineStr">
        <is>
          <t>CTerm-Cap</t>
        </is>
      </c>
      <c r="B771" t="inlineStr">
        <is>
          <t>Casing Terminal Cap</t>
        </is>
      </c>
      <c r="C771" t="inlineStr">
        <is>
          <t>FM - DONKIN</t>
        </is>
      </c>
      <c r="D771" t="n">
        <v>1</v>
      </c>
      <c r="E771" t="n">
        <v>21</v>
      </c>
      <c r="F771" t="inlineStr">
        <is>
          <t>GALVAGLOW (PTY) LTD</t>
        </is>
      </c>
      <c r="G771" s="1" t="n">
        <v>0</v>
      </c>
      <c r="H771" t="n">
        <v>0</v>
      </c>
      <c r="I771" t="n">
        <v>0.5</v>
      </c>
      <c r="J771" t="n">
        <v>21</v>
      </c>
      <c r="K771" t="n">
        <v>10</v>
      </c>
      <c r="L771" t="n">
        <v>0</v>
      </c>
      <c r="M771" t="n">
        <v>0</v>
      </c>
      <c r="N771" t="n">
        <v>52</v>
      </c>
      <c r="O771" s="1">
        <f>IFERROR(L771*G771,0)</f>
        <v/>
      </c>
      <c r="P771">
        <f>IF(N771-L771-M771&gt;0,N771-L771-M771,0)</f>
        <v/>
      </c>
      <c r="Q771" s="1">
        <f>IFERROR(P771*G771,0)</f>
        <v/>
      </c>
    </row>
    <row r="772">
      <c r="A772" t="inlineStr">
        <is>
          <t>CUB355</t>
        </is>
      </c>
      <c r="B772" t="inlineStr">
        <is>
          <t>CUB 355</t>
        </is>
      </c>
      <c r="C772" t="inlineStr">
        <is>
          <t>FM - KAYITES</t>
        </is>
      </c>
      <c r="D772" t="n">
        <v>21</v>
      </c>
      <c r="E772" t="n">
        <v>0</v>
      </c>
      <c r="F772" t="inlineStr"/>
      <c r="G772" s="1" t="n">
        <v>0</v>
      </c>
      <c r="H772" t="n">
        <v>1</v>
      </c>
      <c r="I772" t="n">
        <v>0.5</v>
      </c>
      <c r="J772" t="n">
        <v>1</v>
      </c>
      <c r="K772" t="n">
        <v>1</v>
      </c>
      <c r="L772" t="n">
        <v>0</v>
      </c>
      <c r="M772" t="n">
        <v>0</v>
      </c>
      <c r="N772" t="n">
        <v>2</v>
      </c>
      <c r="O772" s="1">
        <f>IFERROR(L772*G772,0)</f>
        <v/>
      </c>
      <c r="P772">
        <f>IF(N772-L772-M772&gt;0,N772-L772-M772,0)</f>
        <v/>
      </c>
      <c r="Q772" s="1">
        <f>IFERROR(P772*G772,0)</f>
        <v/>
      </c>
    </row>
    <row r="773">
      <c r="A773" t="inlineStr">
        <is>
          <t>CZ315C</t>
        </is>
      </c>
      <c r="B773" t="inlineStr">
        <is>
          <t>Neoprene Clamp 315</t>
        </is>
      </c>
      <c r="C773" t="inlineStr"/>
      <c r="D773" t="n">
        <v>1</v>
      </c>
      <c r="E773" t="n">
        <v>0</v>
      </c>
      <c r="F773" t="inlineStr"/>
      <c r="G773" s="1" t="n">
        <v>0</v>
      </c>
      <c r="H773" t="n">
        <v>8</v>
      </c>
      <c r="I773" t="n">
        <v>0.5</v>
      </c>
      <c r="J773" t="n">
        <v>8</v>
      </c>
      <c r="K773" t="n">
        <v>4</v>
      </c>
      <c r="L773" t="n">
        <v>0</v>
      </c>
      <c r="M773" t="n">
        <v>0</v>
      </c>
      <c r="N773" t="n">
        <v>20</v>
      </c>
      <c r="O773" s="1">
        <f>IFERROR(L773*G773,0)</f>
        <v/>
      </c>
      <c r="P773">
        <f>IF(N773-L773-M773&gt;0,N773-L773-M773,0)</f>
        <v/>
      </c>
      <c r="Q773" s="1">
        <f>IFERROR(P773*G773,0)</f>
        <v/>
      </c>
    </row>
    <row r="774">
      <c r="A774" t="inlineStr">
        <is>
          <t>Callout</t>
        </is>
      </c>
      <c r="B774" t="inlineStr">
        <is>
          <t>Callout</t>
        </is>
      </c>
      <c r="C774" t="inlineStr">
        <is>
          <t>FM - MACHINERY</t>
        </is>
      </c>
      <c r="D774" t="n">
        <v>1</v>
      </c>
      <c r="E774" t="n">
        <v>3</v>
      </c>
      <c r="F774" t="inlineStr">
        <is>
          <t>Lime Laser service</t>
        </is>
      </c>
      <c r="G774" s="1" t="n">
        <v>566.67</v>
      </c>
      <c r="H774" t="n">
        <v>0</v>
      </c>
      <c r="I774" t="n">
        <v>0.5</v>
      </c>
      <c r="J774" t="n">
        <v>3</v>
      </c>
      <c r="K774" t="n">
        <v>2</v>
      </c>
      <c r="L774" t="n">
        <v>0</v>
      </c>
      <c r="M774" t="n">
        <v>0</v>
      </c>
      <c r="N774" t="n">
        <v>8</v>
      </c>
      <c r="O774" s="1">
        <f>IFERROR(L774*G774,0)</f>
        <v/>
      </c>
      <c r="P774">
        <f>IF(N774-L774-M774&gt;0,N774-L774-M774,0)</f>
        <v/>
      </c>
      <c r="Q774" s="1">
        <f>IFERROR(P774*G774,0)</f>
        <v/>
      </c>
    </row>
    <row r="775">
      <c r="A775" t="inlineStr">
        <is>
          <t>Centrifugal Fan</t>
        </is>
      </c>
      <c r="B775" t="inlineStr">
        <is>
          <t>280 CM BCC DIDW CENTRIFUGAL FAN</t>
        </is>
      </c>
      <c r="C775" t="inlineStr"/>
      <c r="D775" t="n">
        <v>1</v>
      </c>
      <c r="E775" t="n">
        <v>0</v>
      </c>
      <c r="F775" t="inlineStr"/>
      <c r="G775" s="1" t="n">
        <v>0</v>
      </c>
      <c r="H775" t="n">
        <v>1</v>
      </c>
      <c r="I775" t="n">
        <v>0.5</v>
      </c>
      <c r="J775" t="n">
        <v>1</v>
      </c>
      <c r="K775" t="n">
        <v>1</v>
      </c>
      <c r="L775" t="n">
        <v>0</v>
      </c>
      <c r="M775" t="n">
        <v>0</v>
      </c>
      <c r="N775" t="n">
        <v>2</v>
      </c>
      <c r="O775" s="1">
        <f>IFERROR(L775*G775,0)</f>
        <v/>
      </c>
      <c r="P775">
        <f>IF(N775-L775-M775&gt;0,N775-L775-M775,0)</f>
        <v/>
      </c>
      <c r="Q775" s="1">
        <f>IFERROR(P775*G775,0)</f>
        <v/>
      </c>
    </row>
    <row r="776">
      <c r="A776" t="inlineStr">
        <is>
          <t>Company Car</t>
        </is>
      </c>
      <c r="B776" t="inlineStr">
        <is>
          <t>Mahindra 1.2T MX2 A/T</t>
        </is>
      </c>
      <c r="C776" t="inlineStr"/>
      <c r="D776" t="n">
        <v>1</v>
      </c>
      <c r="E776" t="n">
        <v>2</v>
      </c>
      <c r="F776" t="inlineStr">
        <is>
          <t>Egoli Auto (Pty) Ltd t/a Mahindra JHB South</t>
        </is>
      </c>
      <c r="G776" s="1" t="n">
        <v>273229.14</v>
      </c>
      <c r="H776" t="n">
        <v>0</v>
      </c>
      <c r="I776" t="n">
        <v>0.5</v>
      </c>
      <c r="J776" t="n">
        <v>2</v>
      </c>
      <c r="K776" t="n">
        <v>1</v>
      </c>
      <c r="L776" t="n">
        <v>0</v>
      </c>
      <c r="M776" t="n">
        <v>0</v>
      </c>
      <c r="N776" t="n">
        <v>5</v>
      </c>
      <c r="O776" s="1">
        <f>IFERROR(L776*G776,0)</f>
        <v/>
      </c>
      <c r="P776">
        <f>IF(N776-L776-M776&gt;0,N776-L776-M776,0)</f>
        <v/>
      </c>
      <c r="Q776" s="1">
        <f>IFERROR(P776*G776,0)</f>
        <v/>
      </c>
    </row>
    <row r="777">
      <c r="A777" t="inlineStr">
        <is>
          <t>Compile</t>
        </is>
      </c>
      <c r="B777" t="inlineStr">
        <is>
          <t>Report</t>
        </is>
      </c>
      <c r="C777" t="inlineStr"/>
      <c r="D777" t="n">
        <v>1</v>
      </c>
      <c r="E777" t="n">
        <v>8</v>
      </c>
      <c r="F777" t="inlineStr">
        <is>
          <t>TDCM Engineering cc</t>
        </is>
      </c>
      <c r="G777" s="1" t="n">
        <v>940.5</v>
      </c>
      <c r="H777" t="n">
        <v>8</v>
      </c>
      <c r="I777" t="n">
        <v>1.1</v>
      </c>
      <c r="J777" t="n">
        <v>8</v>
      </c>
      <c r="K777" t="n">
        <v>9</v>
      </c>
      <c r="L777" t="n">
        <v>0</v>
      </c>
      <c r="M777" t="n">
        <v>0</v>
      </c>
      <c r="N777" t="n">
        <v>25</v>
      </c>
      <c r="O777" s="1">
        <f>IFERROR(L777*G777,0)</f>
        <v/>
      </c>
      <c r="P777">
        <f>IF(N777-L777-M777&gt;0,N777-L777-M777,0)</f>
        <v/>
      </c>
      <c r="Q777" s="1">
        <f>IFERROR(P777*G777,0)</f>
        <v/>
      </c>
    </row>
    <row r="778">
      <c r="A778" t="inlineStr">
        <is>
          <t>Copper Cut</t>
        </is>
      </c>
      <c r="B778" t="inlineStr">
        <is>
          <t>Copper Sheet (2000 x 1000 x 1.5mm) cut strips of 120mm across 2m length</t>
        </is>
      </c>
      <c r="C778" t="inlineStr">
        <is>
          <t>BENDING/CUTTING</t>
        </is>
      </c>
      <c r="D778" t="n">
        <v>1</v>
      </c>
      <c r="E778" t="n">
        <v>6</v>
      </c>
      <c r="F778" t="inlineStr">
        <is>
          <t>Airtec Fans &amp; Engineering</t>
        </is>
      </c>
      <c r="G778" s="1" t="n">
        <v>62.5</v>
      </c>
      <c r="H778" t="n">
        <v>0</v>
      </c>
      <c r="I778" t="n">
        <v>0.6</v>
      </c>
      <c r="J778" t="n">
        <v>6</v>
      </c>
      <c r="K778" t="n">
        <v>4</v>
      </c>
      <c r="L778" t="n">
        <v>0</v>
      </c>
      <c r="M778" t="n">
        <v>0</v>
      </c>
      <c r="N778" t="n">
        <v>16</v>
      </c>
      <c r="O778" s="1">
        <f>IFERROR(L778*G778,0)</f>
        <v/>
      </c>
      <c r="P778">
        <f>IF(N778-L778-M778&gt;0,N778-L778-M778,0)</f>
        <v/>
      </c>
      <c r="Q778" s="1">
        <f>IFERROR(P778*G778,0)</f>
        <v/>
      </c>
    </row>
    <row r="779">
      <c r="A779" t="inlineStr">
        <is>
          <t>Counter-Flanges</t>
        </is>
      </c>
      <c r="B779" t="inlineStr">
        <is>
          <t>DDM 10/10</t>
        </is>
      </c>
      <c r="C779" t="inlineStr"/>
      <c r="D779" t="n">
        <v>14</v>
      </c>
      <c r="E779" t="n">
        <v>16</v>
      </c>
      <c r="F779" t="inlineStr">
        <is>
          <t>Attenu-Tec HVAC Parts</t>
        </is>
      </c>
      <c r="G779" s="1" t="n">
        <v>97</v>
      </c>
      <c r="H779" t="n">
        <v>16</v>
      </c>
      <c r="I779" t="n">
        <v>1.5</v>
      </c>
      <c r="J779" t="n">
        <v>1.5</v>
      </c>
      <c r="K779" t="n">
        <v>2</v>
      </c>
      <c r="L779" t="n">
        <v>0</v>
      </c>
      <c r="M779" t="n">
        <v>0</v>
      </c>
      <c r="N779" t="n">
        <v>5</v>
      </c>
      <c r="O779" s="1">
        <f>IFERROR(L779*G779,0)</f>
        <v/>
      </c>
      <c r="P779">
        <f>IF(N779-L779-M779&gt;0,N779-L779-M779,0)</f>
        <v/>
      </c>
      <c r="Q779" s="1">
        <f>IFERROR(P779*G779,0)</f>
        <v/>
      </c>
    </row>
    <row r="780">
      <c r="A780" t="inlineStr">
        <is>
          <t>Crates</t>
        </is>
      </c>
      <c r="B780" t="inlineStr">
        <is>
          <t>Wooden crates</t>
        </is>
      </c>
      <c r="C780" t="inlineStr"/>
      <c r="D780" t="n">
        <v>1</v>
      </c>
      <c r="E780" t="n">
        <v>6</v>
      </c>
      <c r="F780" t="inlineStr">
        <is>
          <t>Air Speration</t>
        </is>
      </c>
      <c r="G780" s="1" t="n">
        <v>800</v>
      </c>
      <c r="H780" t="n">
        <v>1</v>
      </c>
      <c r="I780" t="n">
        <v>1.2</v>
      </c>
      <c r="J780" t="n">
        <v>6</v>
      </c>
      <c r="K780" t="n">
        <v>7</v>
      </c>
      <c r="L780" t="n">
        <v>0</v>
      </c>
      <c r="M780" t="n">
        <v>0</v>
      </c>
      <c r="N780" t="n">
        <v>19</v>
      </c>
      <c r="O780" s="1">
        <f>IFERROR(L780*G780,0)</f>
        <v/>
      </c>
      <c r="P780">
        <f>IF(N780-L780-M780&gt;0,N780-L780-M780,0)</f>
        <v/>
      </c>
      <c r="Q780" s="1">
        <f>IFERROR(P780*G780,0)</f>
        <v/>
      </c>
    </row>
    <row r="781">
      <c r="A781" t="inlineStr">
        <is>
          <t>D)</t>
        </is>
      </c>
      <c r="B781" t="inlineStr">
        <is>
          <t>Casings - 315mm Casing to Suit Above</t>
        </is>
      </c>
      <c r="C781" t="inlineStr"/>
      <c r="D781" t="n">
        <v>11</v>
      </c>
      <c r="E781" t="n">
        <v>13</v>
      </c>
      <c r="F781" t="inlineStr">
        <is>
          <t>CFW Fans (Pty) Ltd</t>
        </is>
      </c>
      <c r="G781" s="1" t="n">
        <v>95.45999999999999</v>
      </c>
      <c r="H781" t="n">
        <v>0</v>
      </c>
      <c r="I781" t="n">
        <v>0.5</v>
      </c>
      <c r="J781" t="n">
        <v>1.5</v>
      </c>
      <c r="K781" t="n">
        <v>1</v>
      </c>
      <c r="L781" t="n">
        <v>0</v>
      </c>
      <c r="M781" t="n">
        <v>0</v>
      </c>
      <c r="N781" t="n">
        <v>4</v>
      </c>
      <c r="O781" s="1">
        <f>IFERROR(L781*G781,0)</f>
        <v/>
      </c>
      <c r="P781">
        <f>IF(N781-L781-M781&gt;0,N781-L781-M781,0)</f>
        <v/>
      </c>
      <c r="Q781" s="1">
        <f>IFERROR(P781*G781,0)</f>
        <v/>
      </c>
    </row>
    <row r="782">
      <c r="A782" t="inlineStr">
        <is>
          <t>D100000</t>
        </is>
      </c>
      <c r="B782" t="inlineStr">
        <is>
          <t>UV250/1/6/F</t>
        </is>
      </c>
      <c r="C782" t="inlineStr"/>
      <c r="D782" t="n">
        <v>7</v>
      </c>
      <c r="E782" t="n">
        <v>112</v>
      </c>
      <c r="F782" t="inlineStr">
        <is>
          <t>Centrifab (Pty) Ltd</t>
        </is>
      </c>
      <c r="G782" s="1" t="n">
        <v>3446.25</v>
      </c>
      <c r="H782" t="n">
        <v>49</v>
      </c>
      <c r="I782" t="n">
        <v>0.5</v>
      </c>
      <c r="J782" t="n">
        <v>16</v>
      </c>
      <c r="K782" t="n">
        <v>8</v>
      </c>
      <c r="L782" t="n">
        <v>0</v>
      </c>
      <c r="M782" t="n">
        <v>0</v>
      </c>
      <c r="N782" t="n">
        <v>40</v>
      </c>
      <c r="O782" s="1">
        <f>IFERROR(L782*G782,0)</f>
        <v/>
      </c>
      <c r="P782">
        <f>IF(N782-L782-M782&gt;0,N782-L782-M782,0)</f>
        <v/>
      </c>
      <c r="Q782" s="1">
        <f>IFERROR(P782*G782,0)</f>
        <v/>
      </c>
    </row>
    <row r="783">
      <c r="A783" t="inlineStr">
        <is>
          <t>D100001</t>
        </is>
      </c>
      <c r="B783" t="inlineStr">
        <is>
          <t>CMP-1128-4T</t>
        </is>
      </c>
      <c r="C783" t="inlineStr">
        <is>
          <t>FM - SODECA</t>
        </is>
      </c>
      <c r="D783" t="n">
        <v>30</v>
      </c>
      <c r="E783" t="n">
        <v>48</v>
      </c>
      <c r="F783" t="inlineStr">
        <is>
          <t>Attenu-Tec</t>
        </is>
      </c>
      <c r="G783" s="1" t="n">
        <v>163.13</v>
      </c>
      <c r="H783" t="n">
        <v>34</v>
      </c>
      <c r="I783" t="n">
        <v>0.5</v>
      </c>
      <c r="J783" t="n">
        <v>2</v>
      </c>
      <c r="K783" t="n">
        <v>1</v>
      </c>
      <c r="L783" t="n">
        <v>0</v>
      </c>
      <c r="M783" t="n">
        <v>0</v>
      </c>
      <c r="N783" t="n">
        <v>5</v>
      </c>
      <c r="O783" s="1">
        <f>IFERROR(L783*G783,0)</f>
        <v/>
      </c>
      <c r="P783">
        <f>IF(N783-L783-M783&gt;0,N783-L783-M783,0)</f>
        <v/>
      </c>
      <c r="Q783" s="1">
        <f>IFERROR(P783*G783,0)</f>
        <v/>
      </c>
    </row>
    <row r="784">
      <c r="A784" t="inlineStr">
        <is>
          <t>D100002</t>
        </is>
      </c>
      <c r="B784" t="inlineStr">
        <is>
          <t>HAT-28-4M</t>
        </is>
      </c>
      <c r="C784" t="inlineStr">
        <is>
          <t>FM - SODECA</t>
        </is>
      </c>
      <c r="D784" t="n">
        <v>30</v>
      </c>
      <c r="E784" t="n">
        <v>20</v>
      </c>
      <c r="F784" t="inlineStr">
        <is>
          <t>CFW Fans (Pty) Ltd</t>
        </is>
      </c>
      <c r="G784" s="1" t="n">
        <v>430.34</v>
      </c>
      <c r="H784" t="n">
        <v>18</v>
      </c>
      <c r="I784" t="n">
        <v>0.5</v>
      </c>
      <c r="J784" t="n">
        <v>1</v>
      </c>
      <c r="K784" t="n">
        <v>1</v>
      </c>
      <c r="L784" t="n">
        <v>0</v>
      </c>
      <c r="M784" t="n">
        <v>0</v>
      </c>
      <c r="N784" t="n">
        <v>2</v>
      </c>
      <c r="O784" s="1">
        <f>IFERROR(L784*G784,0)</f>
        <v/>
      </c>
      <c r="P784">
        <f>IF(N784-L784-M784&gt;0,N784-L784-M784,0)</f>
        <v/>
      </c>
      <c r="Q784" s="1">
        <f>IFERROR(P784*G784,0)</f>
        <v/>
      </c>
    </row>
    <row r="785">
      <c r="A785" t="inlineStr">
        <is>
          <t>D100003</t>
        </is>
      </c>
      <c r="B785" t="inlineStr">
        <is>
          <t>HAT-35-4T</t>
        </is>
      </c>
      <c r="C785" t="inlineStr">
        <is>
          <t>FM - SODECA</t>
        </is>
      </c>
      <c r="D785" t="n">
        <v>30</v>
      </c>
      <c r="E785" t="n">
        <v>17</v>
      </c>
      <c r="F785" t="inlineStr">
        <is>
          <t>CFW Fans (Pty) Ltd</t>
        </is>
      </c>
      <c r="G785" s="1" t="n">
        <v>250</v>
      </c>
      <c r="H785" t="n">
        <v>19</v>
      </c>
      <c r="I785" t="n">
        <v>0.5</v>
      </c>
      <c r="J785" t="n">
        <v>1</v>
      </c>
      <c r="K785" t="n">
        <v>1</v>
      </c>
      <c r="L785" t="n">
        <v>0</v>
      </c>
      <c r="M785" t="n">
        <v>0</v>
      </c>
      <c r="N785" t="n">
        <v>2</v>
      </c>
      <c r="O785" s="1">
        <f>IFERROR(L785*G785,0)</f>
        <v/>
      </c>
      <c r="P785">
        <f>IF(N785-L785-M785&gt;0,N785-L785-M785,0)</f>
        <v/>
      </c>
      <c r="Q785" s="1">
        <f>IFERROR(P785*G785,0)</f>
        <v/>
      </c>
    </row>
    <row r="786">
      <c r="A786" t="inlineStr">
        <is>
          <t>D100005</t>
        </is>
      </c>
      <c r="B786" t="inlineStr">
        <is>
          <t>CAM-550-2T 5.5</t>
        </is>
      </c>
      <c r="C786" t="inlineStr">
        <is>
          <t>FM - SODECA</t>
        </is>
      </c>
      <c r="D786" t="n">
        <v>25</v>
      </c>
      <c r="E786" t="n">
        <v>1</v>
      </c>
      <c r="F786" t="inlineStr">
        <is>
          <t>Luft Industries Natal (Pty) Ltd</t>
        </is>
      </c>
      <c r="G786" s="1" t="n">
        <v>2681.25</v>
      </c>
      <c r="H786" t="n">
        <v>202</v>
      </c>
      <c r="I786" t="n">
        <v>0.8</v>
      </c>
      <c r="J786" t="n">
        <v>8.5</v>
      </c>
      <c r="K786" t="n">
        <v>7</v>
      </c>
      <c r="L786" t="n">
        <v>0</v>
      </c>
      <c r="M786" t="n">
        <v>0</v>
      </c>
      <c r="N786" t="n">
        <v>24</v>
      </c>
      <c r="O786" s="1">
        <f>IFERROR(L786*G786,0)</f>
        <v/>
      </c>
      <c r="P786">
        <f>IF(N786-L786-M786&gt;0,N786-L786-M786,0)</f>
        <v/>
      </c>
      <c r="Q786" s="1">
        <f>IFERROR(P786*G786,0)</f>
        <v/>
      </c>
    </row>
    <row r="787">
      <c r="A787" t="inlineStr">
        <is>
          <t>D100006</t>
        </is>
      </c>
      <c r="B787" t="inlineStr">
        <is>
          <t>HJBM PLUS 45 - T4 0.55KW</t>
        </is>
      </c>
      <c r="C787" t="inlineStr">
        <is>
          <t>FM - SODECA</t>
        </is>
      </c>
      <c r="D787" t="n">
        <v>25</v>
      </c>
      <c r="E787" t="n">
        <v>0</v>
      </c>
      <c r="F787" t="inlineStr"/>
      <c r="G787" s="1" t="n">
        <v>0</v>
      </c>
      <c r="H787" t="n">
        <v>200</v>
      </c>
      <c r="I787" t="n">
        <v>0.5</v>
      </c>
      <c r="J787" t="n">
        <v>8</v>
      </c>
      <c r="K787" t="n">
        <v>4</v>
      </c>
      <c r="L787" t="n">
        <v>0</v>
      </c>
      <c r="M787" t="n">
        <v>0</v>
      </c>
      <c r="N787" t="n">
        <v>20</v>
      </c>
      <c r="O787" s="1">
        <f>IFERROR(L787*G787,0)</f>
        <v/>
      </c>
      <c r="P787">
        <f>IF(N787-L787-M787&gt;0,N787-L787-M787,0)</f>
        <v/>
      </c>
      <c r="Q787" s="1">
        <f>IFERROR(P787*G787,0)</f>
        <v/>
      </c>
    </row>
    <row r="788">
      <c r="A788" t="inlineStr">
        <is>
          <t>D100007</t>
        </is>
      </c>
      <c r="B788" t="inlineStr">
        <is>
          <t>HJBM 40 M4 0.25</t>
        </is>
      </c>
      <c r="C788" t="inlineStr">
        <is>
          <t>FM - SODECA</t>
        </is>
      </c>
      <c r="D788" t="n">
        <v>25</v>
      </c>
      <c r="E788" t="n">
        <v>0</v>
      </c>
      <c r="F788" t="inlineStr"/>
      <c r="G788" s="1" t="n">
        <v>0</v>
      </c>
      <c r="H788" t="n">
        <v>130</v>
      </c>
      <c r="I788" t="n">
        <v>0.5</v>
      </c>
      <c r="J788" t="n">
        <v>5.5</v>
      </c>
      <c r="K788" t="n">
        <v>3</v>
      </c>
      <c r="L788" t="n">
        <v>0</v>
      </c>
      <c r="M788" t="n">
        <v>0</v>
      </c>
      <c r="N788" t="n">
        <v>14</v>
      </c>
      <c r="O788" s="1">
        <f>IFERROR(L788*G788,0)</f>
        <v/>
      </c>
      <c r="P788">
        <f>IF(N788-L788-M788&gt;0,N788-L788-M788,0)</f>
        <v/>
      </c>
      <c r="Q788" s="1">
        <f>IFERROR(P788*G788,0)</f>
        <v/>
      </c>
    </row>
    <row r="789">
      <c r="A789" t="inlineStr">
        <is>
          <t>D100008</t>
        </is>
      </c>
      <c r="B789" t="inlineStr">
        <is>
          <t>HJBM 50 T4 0.55</t>
        </is>
      </c>
      <c r="C789" t="inlineStr">
        <is>
          <t>FM - SODECA</t>
        </is>
      </c>
      <c r="D789" t="n">
        <v>25</v>
      </c>
      <c r="E789" t="n">
        <v>0</v>
      </c>
      <c r="F789" t="inlineStr"/>
      <c r="G789" s="1" t="n">
        <v>0</v>
      </c>
      <c r="H789" t="n">
        <v>1</v>
      </c>
      <c r="I789" t="n">
        <v>0.5</v>
      </c>
      <c r="J789" t="n">
        <v>1</v>
      </c>
      <c r="K789" t="n">
        <v>1</v>
      </c>
      <c r="L789" t="n">
        <v>0</v>
      </c>
      <c r="M789" t="n">
        <v>0</v>
      </c>
      <c r="N789" t="n">
        <v>2</v>
      </c>
      <c r="O789" s="1">
        <f>IFERROR(L789*G789,0)</f>
        <v/>
      </c>
      <c r="P789">
        <f>IF(N789-L789-M789&gt;0,N789-L789-M789,0)</f>
        <v/>
      </c>
      <c r="Q789" s="1">
        <f>IFERROR(P789*G789,0)</f>
        <v/>
      </c>
    </row>
    <row r="790">
      <c r="A790" t="inlineStr">
        <is>
          <t>D100009</t>
        </is>
      </c>
      <c r="B790" t="inlineStr">
        <is>
          <t>CA/LINE 355 220-240V</t>
        </is>
      </c>
      <c r="C790" t="inlineStr">
        <is>
          <t>FM - SODECA</t>
        </is>
      </c>
      <c r="D790" t="n">
        <v>26</v>
      </c>
      <c r="E790" t="n">
        <v>0</v>
      </c>
      <c r="F790" t="inlineStr"/>
      <c r="G790" s="1" t="n">
        <v>0</v>
      </c>
      <c r="H790" t="n">
        <v>31</v>
      </c>
      <c r="I790" t="n">
        <v>0.5</v>
      </c>
      <c r="J790" t="n">
        <v>1.5</v>
      </c>
      <c r="K790" t="n">
        <v>1</v>
      </c>
      <c r="L790" t="n">
        <v>0</v>
      </c>
      <c r="M790" t="n">
        <v>0</v>
      </c>
      <c r="N790" t="n">
        <v>4</v>
      </c>
      <c r="O790" s="1">
        <f>IFERROR(L790*G790,0)</f>
        <v/>
      </c>
      <c r="P790">
        <f>IF(N790-L790-M790&gt;0,N790-L790-M790,0)</f>
        <v/>
      </c>
      <c r="Q790" s="1">
        <f>IFERROR(P790*G790,0)</f>
        <v/>
      </c>
    </row>
    <row r="791">
      <c r="A791" t="inlineStr">
        <is>
          <t>D100010</t>
        </is>
      </c>
      <c r="B791" t="inlineStr">
        <is>
          <t>VKAP 100 LD 3.0</t>
        </is>
      </c>
      <c r="C791" t="inlineStr">
        <is>
          <t>FM - SODECA</t>
        </is>
      </c>
      <c r="D791" t="n">
        <v>24</v>
      </c>
      <c r="E791" t="n">
        <v>1</v>
      </c>
      <c r="F791" t="inlineStr">
        <is>
          <t>Luft Industries Natal (Pty) Ltd</t>
        </is>
      </c>
      <c r="G791" s="1" t="n">
        <v>2428.5</v>
      </c>
      <c r="H791" t="n">
        <v>2</v>
      </c>
      <c r="I791" t="n">
        <v>0.5</v>
      </c>
      <c r="J791" t="n">
        <v>1</v>
      </c>
      <c r="K791" t="n">
        <v>1</v>
      </c>
      <c r="L791" t="n">
        <v>0</v>
      </c>
      <c r="M791" t="n">
        <v>0</v>
      </c>
      <c r="N791" t="n">
        <v>2</v>
      </c>
      <c r="O791" s="1">
        <f>IFERROR(L791*G791,0)</f>
        <v/>
      </c>
      <c r="P791">
        <f>IF(N791-L791-M791&gt;0,N791-L791-M791,0)</f>
        <v/>
      </c>
      <c r="Q791" s="1">
        <f>IFERROR(P791*G791,0)</f>
        <v/>
      </c>
    </row>
    <row r="792">
      <c r="A792" t="inlineStr">
        <is>
          <t>D100011</t>
        </is>
      </c>
      <c r="B792" t="inlineStr">
        <is>
          <t>SV-150-H</t>
        </is>
      </c>
      <c r="C792" t="inlineStr">
        <is>
          <t>FM - SODECA</t>
        </is>
      </c>
      <c r="D792" t="n">
        <v>22</v>
      </c>
      <c r="E792" t="n">
        <v>7</v>
      </c>
      <c r="F792" t="inlineStr">
        <is>
          <t>Luft Industries Natal (Pty) Ltd</t>
        </is>
      </c>
      <c r="G792" s="1" t="n">
        <v>1462.71</v>
      </c>
      <c r="H792" t="n">
        <v>1</v>
      </c>
      <c r="I792" t="n">
        <v>0.5</v>
      </c>
      <c r="J792" t="n">
        <v>1</v>
      </c>
      <c r="K792" t="n">
        <v>1</v>
      </c>
      <c r="L792" t="n">
        <v>0</v>
      </c>
      <c r="M792" t="n">
        <v>0</v>
      </c>
      <c r="N792" t="n">
        <v>2</v>
      </c>
      <c r="O792" s="1">
        <f>IFERROR(L792*G792,0)</f>
        <v/>
      </c>
      <c r="P792">
        <f>IF(N792-L792-M792&gt;0,N792-L792-M792,0)</f>
        <v/>
      </c>
      <c r="Q792" s="1">
        <f>IFERROR(P792*G792,0)</f>
        <v/>
      </c>
    </row>
    <row r="793">
      <c r="A793" t="inlineStr">
        <is>
          <t>D100012</t>
        </is>
      </c>
      <c r="B793" t="inlineStr">
        <is>
          <t>HAT-24-4M</t>
        </is>
      </c>
      <c r="C793" t="inlineStr">
        <is>
          <t>FM - SODECA</t>
        </is>
      </c>
      <c r="D793" t="n">
        <v>22</v>
      </c>
      <c r="E793" t="n">
        <v>2</v>
      </c>
      <c r="F793" t="inlineStr">
        <is>
          <t>Luft Industries Natal (Pty) Ltd</t>
        </is>
      </c>
      <c r="G793" s="1" t="n">
        <v>1240</v>
      </c>
      <c r="H793" t="n">
        <v>0</v>
      </c>
      <c r="I793" t="n">
        <v>0.5</v>
      </c>
      <c r="J793" t="n">
        <v>1</v>
      </c>
      <c r="K793" t="n">
        <v>1</v>
      </c>
      <c r="L793" t="n">
        <v>0</v>
      </c>
      <c r="M793" t="n">
        <v>0</v>
      </c>
      <c r="N793" t="n">
        <v>2</v>
      </c>
      <c r="O793" s="1">
        <f>IFERROR(L793*G793,0)</f>
        <v/>
      </c>
      <c r="P793">
        <f>IF(N793-L793-M793&gt;0,N793-L793-M793,0)</f>
        <v/>
      </c>
      <c r="Q793" s="1">
        <f>IFERROR(P793*G793,0)</f>
        <v/>
      </c>
    </row>
    <row r="794">
      <c r="A794" t="inlineStr">
        <is>
          <t>D100013</t>
        </is>
      </c>
      <c r="B794" t="inlineStr">
        <is>
          <t>CA-LINE-12</t>
        </is>
      </c>
      <c r="C794" t="inlineStr">
        <is>
          <t>FM - SODECA</t>
        </is>
      </c>
      <c r="D794" t="n">
        <v>21</v>
      </c>
      <c r="E794" t="n">
        <v>4</v>
      </c>
      <c r="F794" t="inlineStr">
        <is>
          <t>Luft Industries Natal (Pty) Ltd</t>
        </is>
      </c>
      <c r="G794" s="1" t="n">
        <v>1413.75</v>
      </c>
      <c r="H794" t="n">
        <v>0</v>
      </c>
      <c r="I794" t="n">
        <v>0.7</v>
      </c>
      <c r="J794" t="n">
        <v>1</v>
      </c>
      <c r="K794" t="n">
        <v>1</v>
      </c>
      <c r="L794" t="n">
        <v>0</v>
      </c>
      <c r="M794" t="n">
        <v>0</v>
      </c>
      <c r="N794" t="n">
        <v>3</v>
      </c>
      <c r="O794" s="1">
        <f>IFERROR(L794*G794,0)</f>
        <v/>
      </c>
      <c r="P794">
        <f>IF(N794-L794-M794&gt;0,N794-L794-M794,0)</f>
        <v/>
      </c>
      <c r="Q794" s="1">
        <f>IFERROR(P794*G794,0)</f>
        <v/>
      </c>
    </row>
    <row r="795">
      <c r="A795" t="inlineStr">
        <is>
          <t>D100014</t>
        </is>
      </c>
      <c r="B795" t="inlineStr">
        <is>
          <t>CA-LINE-15</t>
        </is>
      </c>
      <c r="C795" t="inlineStr">
        <is>
          <t>FM - SODECA</t>
        </is>
      </c>
      <c r="D795" t="n">
        <v>22</v>
      </c>
      <c r="E795" t="n">
        <v>5</v>
      </c>
      <c r="F795" t="inlineStr">
        <is>
          <t>Wide Range Engineering (Pty) Ltd</t>
        </is>
      </c>
      <c r="G795" s="1" t="n">
        <v>2838.9</v>
      </c>
      <c r="H795" t="n">
        <v>0</v>
      </c>
      <c r="I795" t="n">
        <v>0.5</v>
      </c>
      <c r="J795" t="n">
        <v>1</v>
      </c>
      <c r="K795" t="n">
        <v>1</v>
      </c>
      <c r="L795" t="n">
        <v>0</v>
      </c>
      <c r="M795" t="n">
        <v>0</v>
      </c>
      <c r="N795" t="n">
        <v>2</v>
      </c>
      <c r="O795" s="1">
        <f>IFERROR(L795*G795,0)</f>
        <v/>
      </c>
      <c r="P795">
        <f>IF(N795-L795-M795&gt;0,N795-L795-M795,0)</f>
        <v/>
      </c>
      <c r="Q795" s="1">
        <f>IFERROR(P795*G795,0)</f>
        <v/>
      </c>
    </row>
    <row r="796">
      <c r="A796" t="inlineStr">
        <is>
          <t>D100015</t>
        </is>
      </c>
      <c r="B796" t="inlineStr">
        <is>
          <t>CA-LINE-20</t>
        </is>
      </c>
      <c r="C796" t="inlineStr">
        <is>
          <t>FM - SODECA</t>
        </is>
      </c>
      <c r="D796" t="n">
        <v>24</v>
      </c>
      <c r="E796" t="n">
        <v>3</v>
      </c>
      <c r="F796" t="inlineStr">
        <is>
          <t>Wide Range Engineering (Pty) Ltd</t>
        </is>
      </c>
      <c r="G796" s="1" t="n">
        <v>2523.07</v>
      </c>
      <c r="H796" t="n">
        <v>1</v>
      </c>
      <c r="I796" t="n">
        <v>0.5</v>
      </c>
      <c r="J796" t="n">
        <v>1</v>
      </c>
      <c r="K796" t="n">
        <v>1</v>
      </c>
      <c r="L796" t="n">
        <v>0</v>
      </c>
      <c r="M796" t="n">
        <v>0</v>
      </c>
      <c r="N796" t="n">
        <v>2</v>
      </c>
      <c r="O796" s="1">
        <f>IFERROR(L796*G796,0)</f>
        <v/>
      </c>
      <c r="P796">
        <f>IF(N796-L796-M796&gt;0,N796-L796-M796,0)</f>
        <v/>
      </c>
      <c r="Q796" s="1">
        <f>IFERROR(P796*G796,0)</f>
        <v/>
      </c>
    </row>
    <row r="797">
      <c r="A797" t="inlineStr">
        <is>
          <t>D100016</t>
        </is>
      </c>
      <c r="B797" t="inlineStr">
        <is>
          <t>NEOSILENT 200</t>
        </is>
      </c>
      <c r="C797" t="inlineStr">
        <is>
          <t>FM - SODECA</t>
        </is>
      </c>
      <c r="D797" t="n">
        <v>24</v>
      </c>
      <c r="E797" t="n">
        <v>7</v>
      </c>
      <c r="F797" t="inlineStr">
        <is>
          <t>Luft Industries Natal (Pty) Ltd</t>
        </is>
      </c>
      <c r="G797" s="1" t="n">
        <v>2681.07</v>
      </c>
      <c r="H797" t="n">
        <v>1</v>
      </c>
      <c r="I797" t="n">
        <v>0.5</v>
      </c>
      <c r="J797" t="n">
        <v>1</v>
      </c>
      <c r="K797" t="n">
        <v>1</v>
      </c>
      <c r="L797" t="n">
        <v>0</v>
      </c>
      <c r="M797" t="n">
        <v>0</v>
      </c>
      <c r="N797" t="n">
        <v>2</v>
      </c>
      <c r="O797" s="1">
        <f>IFERROR(L797*G797,0)</f>
        <v/>
      </c>
      <c r="P797">
        <f>IF(N797-L797-M797&gt;0,N797-L797-M797,0)</f>
        <v/>
      </c>
      <c r="Q797" s="1">
        <f>IFERROR(P797*G797,0)</f>
        <v/>
      </c>
    </row>
    <row r="798">
      <c r="A798" t="inlineStr">
        <is>
          <t>D100017</t>
        </is>
      </c>
      <c r="B798" t="inlineStr">
        <is>
          <t>NEOSILENT 150</t>
        </is>
      </c>
      <c r="C798" t="inlineStr">
        <is>
          <t>FM - SODECA</t>
        </is>
      </c>
      <c r="D798" t="n">
        <v>22</v>
      </c>
      <c r="E798" t="n">
        <v>1</v>
      </c>
      <c r="F798" t="inlineStr">
        <is>
          <t>Luft Industries Natal (Pty) Ltd</t>
        </is>
      </c>
      <c r="G798" s="1" t="n">
        <v>930</v>
      </c>
      <c r="H798" t="n">
        <v>0</v>
      </c>
      <c r="I798" t="n">
        <v>0.5</v>
      </c>
      <c r="J798" t="n">
        <v>1</v>
      </c>
      <c r="K798" t="n">
        <v>1</v>
      </c>
      <c r="L798" t="n">
        <v>0</v>
      </c>
      <c r="M798" t="n">
        <v>0</v>
      </c>
      <c r="N798" t="n">
        <v>2</v>
      </c>
      <c r="O798" s="1">
        <f>IFERROR(L798*G798,0)</f>
        <v/>
      </c>
      <c r="P798">
        <f>IF(N798-L798-M798&gt;0,N798-L798-M798,0)</f>
        <v/>
      </c>
      <c r="Q798" s="1">
        <f>IFERROR(P798*G798,0)</f>
        <v/>
      </c>
    </row>
    <row r="799">
      <c r="A799" t="inlineStr">
        <is>
          <t>D100018</t>
        </is>
      </c>
      <c r="B799" t="inlineStr">
        <is>
          <t>CA-160-2T-2</t>
        </is>
      </c>
      <c r="C799" t="inlineStr">
        <is>
          <t>FM - SODECA</t>
        </is>
      </c>
      <c r="D799" t="n">
        <v>21</v>
      </c>
      <c r="E799" t="n">
        <v>21</v>
      </c>
      <c r="F799" t="inlineStr">
        <is>
          <t>Luft Industries Natal (Pty) Ltd</t>
        </is>
      </c>
      <c r="G799" s="1" t="n">
        <v>338.39</v>
      </c>
      <c r="H799" t="n">
        <v>1</v>
      </c>
      <c r="I799" t="n">
        <v>0.5</v>
      </c>
      <c r="J799" t="n">
        <v>1</v>
      </c>
      <c r="K799" t="n">
        <v>1</v>
      </c>
      <c r="L799" t="n">
        <v>0</v>
      </c>
      <c r="M799" t="n">
        <v>0</v>
      </c>
      <c r="N799" t="n">
        <v>2</v>
      </c>
      <c r="O799" s="1">
        <f>IFERROR(L799*G799,0)</f>
        <v/>
      </c>
      <c r="P799">
        <f>IF(N799-L799-M799&gt;0,N799-L799-M799,0)</f>
        <v/>
      </c>
      <c r="Q799" s="1">
        <f>IFERROR(P799*G799,0)</f>
        <v/>
      </c>
    </row>
    <row r="800">
      <c r="A800" t="inlineStr">
        <is>
          <t>D100019</t>
        </is>
      </c>
      <c r="B800" t="inlineStr">
        <is>
          <t>BD 9/9 - M4 0.35KW 230V - 500HZ STC</t>
        </is>
      </c>
      <c r="C800" t="inlineStr">
        <is>
          <t>FM - NICOTRA</t>
        </is>
      </c>
      <c r="D800" t="n">
        <v>20</v>
      </c>
      <c r="E800" t="n">
        <v>3</v>
      </c>
      <c r="F800" t="inlineStr">
        <is>
          <t>Luft Industries Natal (Pty) Ltd</t>
        </is>
      </c>
      <c r="G800" s="1" t="n">
        <v>906.86</v>
      </c>
      <c r="H800" t="n">
        <v>2</v>
      </c>
      <c r="I800" t="n">
        <v>0.5</v>
      </c>
      <c r="J800" t="n">
        <v>1</v>
      </c>
      <c r="K800" t="n">
        <v>1</v>
      </c>
      <c r="L800" t="n">
        <v>0</v>
      </c>
      <c r="M800" t="n">
        <v>0</v>
      </c>
      <c r="N800" t="n">
        <v>2</v>
      </c>
      <c r="O800" s="1">
        <f>IFERROR(L800*G800,0)</f>
        <v/>
      </c>
      <c r="P800">
        <f>IF(N800-L800-M800&gt;0,N800-L800-M800,0)</f>
        <v/>
      </c>
      <c r="Q800" s="1">
        <f>IFERROR(P800*G800,0)</f>
        <v/>
      </c>
    </row>
    <row r="801">
      <c r="A801" t="inlineStr">
        <is>
          <t>D100020</t>
        </is>
      </c>
      <c r="B801" t="inlineStr">
        <is>
          <t>DDM 9/9 6P</t>
        </is>
      </c>
      <c r="C801" t="inlineStr">
        <is>
          <t>FM - NICOTRA</t>
        </is>
      </c>
      <c r="D801" t="n">
        <v>18</v>
      </c>
      <c r="E801" t="n">
        <v>5</v>
      </c>
      <c r="F801" t="inlineStr">
        <is>
          <t>Attenu-Tec</t>
        </is>
      </c>
      <c r="G801" s="1" t="n">
        <v>10531</v>
      </c>
      <c r="H801" t="n">
        <v>4</v>
      </c>
      <c r="I801" t="n">
        <v>0.7</v>
      </c>
      <c r="J801" t="n">
        <v>1</v>
      </c>
      <c r="K801" t="n">
        <v>1</v>
      </c>
      <c r="L801" t="n">
        <v>0</v>
      </c>
      <c r="M801" t="n">
        <v>0</v>
      </c>
      <c r="N801" t="n">
        <v>3</v>
      </c>
      <c r="O801" s="1">
        <f>IFERROR(L801*G801,0)</f>
        <v/>
      </c>
      <c r="P801">
        <f>IF(N801-L801-M801&gt;0,N801-L801-M801,0)</f>
        <v/>
      </c>
      <c r="Q801" s="1">
        <f>IFERROR(P801*G801,0)</f>
        <v/>
      </c>
    </row>
    <row r="802">
      <c r="A802" t="inlineStr">
        <is>
          <t>D100021</t>
        </is>
      </c>
      <c r="B802" t="inlineStr">
        <is>
          <t>DDM 10/8 245W 230V 6P 6M0648</t>
        </is>
      </c>
      <c r="C802" t="inlineStr">
        <is>
          <t>FM - NICOTRA</t>
        </is>
      </c>
      <c r="D802" t="n">
        <v>21</v>
      </c>
      <c r="E802" t="n">
        <v>0</v>
      </c>
      <c r="F802" t="inlineStr"/>
      <c r="G802" s="1" t="n">
        <v>0</v>
      </c>
      <c r="H802" t="n">
        <v>1</v>
      </c>
      <c r="I802" t="n">
        <v>0.5</v>
      </c>
      <c r="J802" t="n">
        <v>1</v>
      </c>
      <c r="K802" t="n">
        <v>1</v>
      </c>
      <c r="L802" t="n">
        <v>0</v>
      </c>
      <c r="M802" t="n">
        <v>0</v>
      </c>
      <c r="N802" t="n">
        <v>2</v>
      </c>
      <c r="O802" s="1">
        <f>IFERROR(L802*G802,0)</f>
        <v/>
      </c>
      <c r="P802">
        <f>IF(N802-L802-M802&gt;0,N802-L802-M802,0)</f>
        <v/>
      </c>
      <c r="Q802" s="1">
        <f>IFERROR(P802*G802,0)</f>
        <v/>
      </c>
    </row>
    <row r="803">
      <c r="A803" t="inlineStr">
        <is>
          <t>D100023</t>
        </is>
      </c>
      <c r="B803" t="inlineStr">
        <is>
          <t>BD 12/12 T6 1.1KW 230V/400 50HZ LPC</t>
        </is>
      </c>
      <c r="C803" t="inlineStr">
        <is>
          <t>FM - NICOTRA</t>
        </is>
      </c>
      <c r="D803" t="n">
        <v>5</v>
      </c>
      <c r="E803" t="n">
        <v>0</v>
      </c>
      <c r="F803" t="inlineStr"/>
      <c r="G803" s="1" t="n">
        <v>0</v>
      </c>
      <c r="H803" t="n">
        <v>9</v>
      </c>
      <c r="I803" t="n">
        <v>0.5</v>
      </c>
      <c r="J803" t="n">
        <v>2</v>
      </c>
      <c r="K803" t="n">
        <v>1</v>
      </c>
      <c r="L803" t="n">
        <v>0</v>
      </c>
      <c r="M803" t="n">
        <v>0</v>
      </c>
      <c r="N803" t="n">
        <v>5</v>
      </c>
      <c r="O803" s="1">
        <f>IFERROR(L803*G803,0)</f>
        <v/>
      </c>
      <c r="P803">
        <f>IF(N803-L803-M803&gt;0,N803-L803-M803,0)</f>
        <v/>
      </c>
      <c r="Q803" s="1">
        <f>IFERROR(P803*G803,0)</f>
        <v/>
      </c>
    </row>
    <row r="804">
      <c r="A804" t="inlineStr">
        <is>
          <t>D100039</t>
        </is>
      </c>
      <c r="B804" t="inlineStr">
        <is>
          <t>CONTROL UNIT</t>
        </is>
      </c>
      <c r="C804" t="inlineStr">
        <is>
          <t>FM - FPZ</t>
        </is>
      </c>
      <c r="D804" t="n">
        <v>30</v>
      </c>
      <c r="E804" t="n">
        <v>456.9</v>
      </c>
      <c r="F804" t="inlineStr">
        <is>
          <t>Attenu-Tec</t>
        </is>
      </c>
      <c r="G804" s="1" t="n">
        <v>2827.17</v>
      </c>
      <c r="H804" t="n">
        <v>310</v>
      </c>
      <c r="I804" t="n">
        <v>0.8</v>
      </c>
      <c r="J804" t="n">
        <v>15.5</v>
      </c>
      <c r="K804" t="n">
        <v>12</v>
      </c>
      <c r="L804" t="n">
        <v>0</v>
      </c>
      <c r="M804" t="n">
        <v>0</v>
      </c>
      <c r="N804" t="n">
        <v>43</v>
      </c>
      <c r="O804" s="1">
        <f>IFERROR(L804*G804,0)</f>
        <v/>
      </c>
      <c r="P804">
        <f>IF(N804-L804-M804&gt;0,N804-L804-M804,0)</f>
        <v/>
      </c>
      <c r="Q804" s="1">
        <f>IFERROR(P804*G804,0)</f>
        <v/>
      </c>
    </row>
    <row r="805">
      <c r="A805" t="inlineStr">
        <is>
          <t>D100056</t>
        </is>
      </c>
      <c r="B805" t="inlineStr">
        <is>
          <t>KSB 200 BOX FAN</t>
        </is>
      </c>
      <c r="C805" t="inlineStr">
        <is>
          <t>FM - DONKIN</t>
        </is>
      </c>
      <c r="D805" t="n">
        <v>13</v>
      </c>
      <c r="E805" t="n">
        <v>0</v>
      </c>
      <c r="F805" t="inlineStr"/>
      <c r="G805" s="1" t="n">
        <v>0</v>
      </c>
      <c r="H805" t="n">
        <v>14</v>
      </c>
      <c r="I805" t="n">
        <v>0.5</v>
      </c>
      <c r="J805" t="n">
        <v>1.5</v>
      </c>
      <c r="K805" t="n">
        <v>1</v>
      </c>
      <c r="L805" t="n">
        <v>0</v>
      </c>
      <c r="M805" t="n">
        <v>0</v>
      </c>
      <c r="N805" t="n">
        <v>4</v>
      </c>
      <c r="O805" s="1">
        <f>IFERROR(L805*G805,0)</f>
        <v/>
      </c>
      <c r="P805">
        <f>IF(N805-L805-M805&gt;0,N805-L805-M805,0)</f>
        <v/>
      </c>
      <c r="Q805" s="1">
        <f>IFERROR(P805*G805,0)</f>
        <v/>
      </c>
    </row>
    <row r="806">
      <c r="A806" t="inlineStr">
        <is>
          <t>D100058</t>
        </is>
      </c>
      <c r="B806" t="inlineStr">
        <is>
          <t>KSB 250 BOX FAN</t>
        </is>
      </c>
      <c r="C806" t="inlineStr">
        <is>
          <t>FM - DONKIN</t>
        </is>
      </c>
      <c r="D806" t="n">
        <v>2</v>
      </c>
      <c r="E806" t="n">
        <v>0</v>
      </c>
      <c r="F806" t="inlineStr"/>
      <c r="G806" s="1" t="n">
        <v>0</v>
      </c>
      <c r="H806" t="n">
        <v>2</v>
      </c>
      <c r="I806" t="n">
        <v>0.5</v>
      </c>
      <c r="J806" t="n">
        <v>1</v>
      </c>
      <c r="K806" t="n">
        <v>1</v>
      </c>
      <c r="L806" t="n">
        <v>0</v>
      </c>
      <c r="M806" t="n">
        <v>0</v>
      </c>
      <c r="N806" t="n">
        <v>2</v>
      </c>
      <c r="O806" s="1">
        <f>IFERROR(L806*G806,0)</f>
        <v/>
      </c>
      <c r="P806">
        <f>IF(N806-L806-M806&gt;0,N806-L806-M806,0)</f>
        <v/>
      </c>
      <c r="Q806" s="1">
        <f>IFERROR(P806*G806,0)</f>
        <v/>
      </c>
    </row>
    <row r="807">
      <c r="A807" t="inlineStr">
        <is>
          <t>D100059</t>
        </is>
      </c>
      <c r="B807" t="inlineStr">
        <is>
          <t>TT SILENT M250</t>
        </is>
      </c>
      <c r="C807" t="inlineStr">
        <is>
          <t>FM - DONKIN</t>
        </is>
      </c>
      <c r="D807" t="n">
        <v>2</v>
      </c>
      <c r="E807" t="n">
        <v>0</v>
      </c>
      <c r="F807" t="inlineStr"/>
      <c r="G807" s="1" t="n">
        <v>0</v>
      </c>
      <c r="H807" t="n">
        <v>4</v>
      </c>
      <c r="I807" t="n">
        <v>0.5</v>
      </c>
      <c r="J807" t="n">
        <v>2</v>
      </c>
      <c r="K807" t="n">
        <v>1</v>
      </c>
      <c r="L807" t="n">
        <v>0</v>
      </c>
      <c r="M807" t="n">
        <v>0</v>
      </c>
      <c r="N807" t="n">
        <v>5</v>
      </c>
      <c r="O807" s="1">
        <f>IFERROR(L807*G807,0)</f>
        <v/>
      </c>
      <c r="P807">
        <f>IF(N807-L807-M807&gt;0,N807-L807-M807,0)</f>
        <v/>
      </c>
      <c r="Q807" s="1">
        <f>IFERROR(P807*G807,0)</f>
        <v/>
      </c>
    </row>
    <row r="808">
      <c r="A808" t="inlineStr">
        <is>
          <t>D100073</t>
        </is>
      </c>
      <c r="B808" t="inlineStr">
        <is>
          <t>CE250BB</t>
        </is>
      </c>
      <c r="C808" t="inlineStr"/>
      <c r="D808" t="n">
        <v>26</v>
      </c>
      <c r="E808" t="n">
        <v>0</v>
      </c>
      <c r="F808" t="inlineStr"/>
      <c r="G808" s="1" t="n">
        <v>0</v>
      </c>
      <c r="H808" t="n">
        <v>33</v>
      </c>
      <c r="I808" t="n">
        <v>0.5</v>
      </c>
      <c r="J808" t="n">
        <v>1.5</v>
      </c>
      <c r="K808" t="n">
        <v>1</v>
      </c>
      <c r="L808" t="n">
        <v>0</v>
      </c>
      <c r="M808" t="n">
        <v>0</v>
      </c>
      <c r="N808" t="n">
        <v>4</v>
      </c>
      <c r="O808" s="1">
        <f>IFERROR(L808*G808,0)</f>
        <v/>
      </c>
      <c r="P808">
        <f>IF(N808-L808-M808&gt;0,N808-L808-M808,0)</f>
        <v/>
      </c>
      <c r="Q808" s="1">
        <f>IFERROR(P808*G808,0)</f>
        <v/>
      </c>
    </row>
    <row r="809">
      <c r="A809" t="inlineStr">
        <is>
          <t>D10075</t>
        </is>
      </c>
      <c r="B809" t="inlineStr">
        <is>
          <t>Lineo 125 Kit</t>
        </is>
      </c>
      <c r="C809" t="inlineStr"/>
      <c r="D809" t="n">
        <v>1</v>
      </c>
      <c r="E809" t="n">
        <v>0</v>
      </c>
      <c r="F809" t="inlineStr"/>
      <c r="G809" s="1" t="n">
        <v>0</v>
      </c>
      <c r="H809" t="n">
        <v>3</v>
      </c>
      <c r="I809" t="n">
        <v>0.5</v>
      </c>
      <c r="J809" t="n">
        <v>3</v>
      </c>
      <c r="K809" t="n">
        <v>2</v>
      </c>
      <c r="L809" t="n">
        <v>0</v>
      </c>
      <c r="M809" t="n">
        <v>0</v>
      </c>
      <c r="N809" t="n">
        <v>8</v>
      </c>
      <c r="O809" s="1">
        <f>IFERROR(L809*G809,0)</f>
        <v/>
      </c>
      <c r="P809">
        <f>IF(N809-L809-M809&gt;0,N809-L809-M809,0)</f>
        <v/>
      </c>
      <c r="Q809" s="1">
        <f>IFERROR(P809*G809,0)</f>
        <v/>
      </c>
    </row>
    <row r="810">
      <c r="A810" t="inlineStr">
        <is>
          <t>D4E180</t>
        </is>
      </c>
      <c r="B810" t="inlineStr">
        <is>
          <t>CA02-02 50/60Hz 230V</t>
        </is>
      </c>
      <c r="C810" t="inlineStr"/>
      <c r="D810" t="n">
        <v>1</v>
      </c>
      <c r="E810" t="n">
        <v>1</v>
      </c>
      <c r="F810" t="inlineStr">
        <is>
          <t>Ebmpapst</t>
        </is>
      </c>
      <c r="G810" s="1" t="n">
        <v>6032.72</v>
      </c>
      <c r="H810" t="n">
        <v>1</v>
      </c>
      <c r="I810" t="n">
        <v>0.5</v>
      </c>
      <c r="J810" t="n">
        <v>1</v>
      </c>
      <c r="K810" t="n">
        <v>1</v>
      </c>
      <c r="L810" t="n">
        <v>0</v>
      </c>
      <c r="M810" t="n">
        <v>0</v>
      </c>
      <c r="N810" t="n">
        <v>2</v>
      </c>
      <c r="O810" s="1">
        <f>IFERROR(L810*G810,0)</f>
        <v/>
      </c>
      <c r="P810">
        <f>IF(N810-L810-M810&gt;0,N810-L810-M810,0)</f>
        <v/>
      </c>
      <c r="Q810" s="1">
        <f>IFERROR(P810*G810,0)</f>
        <v/>
      </c>
    </row>
    <row r="811">
      <c r="A811" t="inlineStr">
        <is>
          <t>DMP</t>
        </is>
      </c>
      <c r="B811" t="inlineStr">
        <is>
          <t>VCDQK - VC DAMPER WITH QUADRANT KIT 150*150</t>
        </is>
      </c>
      <c r="C811" t="inlineStr"/>
      <c r="D811" t="n">
        <v>1</v>
      </c>
      <c r="E811" t="n">
        <v>130</v>
      </c>
      <c r="F811" t="inlineStr">
        <is>
          <t>Advantage Air Africa Pty Ltd</t>
        </is>
      </c>
      <c r="G811" s="1" t="n">
        <v>0</v>
      </c>
      <c r="H811" t="n">
        <v>0</v>
      </c>
      <c r="I811" t="n">
        <v>0.5</v>
      </c>
      <c r="J811" t="n">
        <v>130</v>
      </c>
      <c r="K811" t="n">
        <v>65</v>
      </c>
      <c r="L811" t="n">
        <v>0</v>
      </c>
      <c r="M811" t="n">
        <v>0</v>
      </c>
      <c r="N811" t="n">
        <v>325</v>
      </c>
      <c r="O811" s="1">
        <f>IFERROR(L811*G811,0)</f>
        <v/>
      </c>
      <c r="P811">
        <f>IF(N811-L811-M811&gt;0,N811-L811-M811,0)</f>
        <v/>
      </c>
      <c r="Q811" s="1">
        <f>IFERROR(P811*G811,0)</f>
        <v/>
      </c>
    </row>
    <row r="812">
      <c r="A812" t="inlineStr">
        <is>
          <t>DRILL BIT</t>
        </is>
      </c>
      <c r="B812" t="inlineStr">
        <is>
          <t>3MM - Drill bit 3mm HSS</t>
        </is>
      </c>
      <c r="C812" t="inlineStr"/>
      <c r="D812" t="n">
        <v>1</v>
      </c>
      <c r="E812" t="n">
        <v>43</v>
      </c>
      <c r="F812" t="inlineStr">
        <is>
          <t>SPARES 2000 CC t/a SHARP-RITE</t>
        </is>
      </c>
      <c r="G812" s="1" t="n">
        <v>0</v>
      </c>
      <c r="H812" t="n">
        <v>0</v>
      </c>
      <c r="I812" t="n">
        <v>0.5</v>
      </c>
      <c r="J812" t="n">
        <v>43</v>
      </c>
      <c r="K812" t="n">
        <v>22</v>
      </c>
      <c r="L812" t="n">
        <v>0</v>
      </c>
      <c r="M812" t="n">
        <v>0</v>
      </c>
      <c r="N812" t="n">
        <v>108</v>
      </c>
      <c r="O812" s="1">
        <f>IFERROR(L812*G812,0)</f>
        <v/>
      </c>
      <c r="P812">
        <f>IF(N812-L812-M812&gt;0,N812-L812-M812,0)</f>
        <v/>
      </c>
      <c r="Q812" s="1">
        <f>IFERROR(P812*G812,0)</f>
        <v/>
      </c>
    </row>
    <row r="813">
      <c r="A813" t="inlineStr">
        <is>
          <t>DTG/01</t>
        </is>
      </c>
      <c r="B813" t="inlineStr">
        <is>
          <t>DRG 300x150 Mill c/w Powder Coating</t>
        </is>
      </c>
      <c r="C813" t="inlineStr"/>
      <c r="D813" t="n">
        <v>1</v>
      </c>
      <c r="E813" t="n">
        <v>0</v>
      </c>
      <c r="F813" t="inlineStr"/>
      <c r="G813" s="1" t="n">
        <v>0</v>
      </c>
      <c r="H813" t="n">
        <v>6</v>
      </c>
      <c r="I813" t="n">
        <v>0.5</v>
      </c>
      <c r="J813" t="n">
        <v>6</v>
      </c>
      <c r="K813" t="n">
        <v>3</v>
      </c>
      <c r="L813" t="n">
        <v>0</v>
      </c>
      <c r="M813" t="n">
        <v>0</v>
      </c>
      <c r="N813" t="n">
        <v>15</v>
      </c>
      <c r="O813" s="1">
        <f>IFERROR(L813*G813,0)</f>
        <v/>
      </c>
      <c r="P813">
        <f>IF(N813-L813-M813&gt;0,N813-L813-M813,0)</f>
        <v/>
      </c>
      <c r="Q813" s="1">
        <f>IFERROR(P813*G813,0)</f>
        <v/>
      </c>
    </row>
    <row r="814">
      <c r="A814" t="inlineStr">
        <is>
          <t>Delivery</t>
        </is>
      </c>
      <c r="B814" t="inlineStr">
        <is>
          <t>- Delivery</t>
        </is>
      </c>
      <c r="C814" t="inlineStr"/>
      <c r="D814" t="n">
        <v>30</v>
      </c>
      <c r="E814" t="n">
        <v>18</v>
      </c>
      <c r="F814" t="inlineStr">
        <is>
          <t>D3 Express (PTY) Ltd</t>
        </is>
      </c>
      <c r="G814" s="1" t="n">
        <v>0</v>
      </c>
      <c r="H814" t="n">
        <v>38</v>
      </c>
      <c r="I814" t="n">
        <v>0.5</v>
      </c>
      <c r="J814" t="n">
        <v>1.5</v>
      </c>
      <c r="K814" t="n">
        <v>1</v>
      </c>
      <c r="L814" t="n">
        <v>0</v>
      </c>
      <c r="M814" t="n">
        <v>0</v>
      </c>
      <c r="N814" t="n">
        <v>4</v>
      </c>
      <c r="O814" s="1">
        <f>IFERROR(L814*G814,0)</f>
        <v/>
      </c>
      <c r="P814">
        <f>IF(N814-L814-M814&gt;0,N814-L814-M814,0)</f>
        <v/>
      </c>
      <c r="Q814" s="1">
        <f>IFERROR(P814*G814,0)</f>
        <v/>
      </c>
    </row>
    <row r="815">
      <c r="A815" t="inlineStr">
        <is>
          <t>Disc Valve</t>
        </is>
      </c>
      <c r="B815" t="inlineStr">
        <is>
          <t>100 Diam</t>
        </is>
      </c>
      <c r="C815" t="inlineStr">
        <is>
          <t>Accessories</t>
        </is>
      </c>
      <c r="D815" t="n">
        <v>1</v>
      </c>
      <c r="E815" t="n">
        <v>0</v>
      </c>
      <c r="F815" t="inlineStr"/>
      <c r="G815" s="1" t="n">
        <v>0</v>
      </c>
      <c r="H815" t="n">
        <v>18</v>
      </c>
      <c r="I815" t="n">
        <v>0.5</v>
      </c>
      <c r="J815" t="n">
        <v>18</v>
      </c>
      <c r="K815" t="n">
        <v>9</v>
      </c>
      <c r="L815" t="n">
        <v>0</v>
      </c>
      <c r="M815" t="n">
        <v>0</v>
      </c>
      <c r="N815" t="n">
        <v>45</v>
      </c>
      <c r="O815" s="1">
        <f>IFERROR(L815*G815,0)</f>
        <v/>
      </c>
      <c r="P815">
        <f>IF(N815-L815-M815&gt;0,N815-L815-M815,0)</f>
        <v/>
      </c>
      <c r="Q815" s="1">
        <f>IFERROR(P815*G815,0)</f>
        <v/>
      </c>
    </row>
    <row r="816">
      <c r="A816" t="inlineStr">
        <is>
          <t>Duct</t>
        </is>
      </c>
      <c r="B816" t="inlineStr">
        <is>
          <t>10 Meter Spiral Flexible Ducting</t>
        </is>
      </c>
      <c r="C816" t="inlineStr"/>
      <c r="D816" t="n">
        <v>31</v>
      </c>
      <c r="E816" t="n">
        <v>1</v>
      </c>
      <c r="F816" t="inlineStr">
        <is>
          <t>AF Fans CC</t>
        </is>
      </c>
      <c r="G816" s="1" t="n">
        <v>169.4</v>
      </c>
      <c r="H816" t="n">
        <v>7</v>
      </c>
      <c r="I816" t="n">
        <v>0.5</v>
      </c>
      <c r="J816" t="n">
        <v>1</v>
      </c>
      <c r="K816" t="n">
        <v>1</v>
      </c>
      <c r="L816" t="n">
        <v>0</v>
      </c>
      <c r="M816" t="n">
        <v>0</v>
      </c>
      <c r="N816" t="n">
        <v>2</v>
      </c>
      <c r="O816" s="1">
        <f>IFERROR(L816*G816,0)</f>
        <v/>
      </c>
      <c r="P816">
        <f>IF(N816-L816-M816&gt;0,N816-L816-M816,0)</f>
        <v/>
      </c>
      <c r="Q816" s="1">
        <f>IFERROR(P816*G816,0)</f>
        <v/>
      </c>
    </row>
    <row r="817">
      <c r="A817" t="inlineStr">
        <is>
          <t>E)</t>
        </is>
      </c>
      <c r="B817" t="inlineStr">
        <is>
          <t>Brackets - sets motor mounting brackets (threaded rod)</t>
        </is>
      </c>
      <c r="C817" t="inlineStr"/>
      <c r="D817" t="n">
        <v>1</v>
      </c>
      <c r="E817" t="n">
        <v>3</v>
      </c>
      <c r="F817" t="inlineStr">
        <is>
          <t>CFW Fans (Pty) Ltd</t>
        </is>
      </c>
      <c r="G817" s="1" t="n">
        <v>172</v>
      </c>
      <c r="H817" t="n">
        <v>0</v>
      </c>
      <c r="I817" t="n">
        <v>0.8</v>
      </c>
      <c r="J817" t="n">
        <v>3</v>
      </c>
      <c r="K817" t="n">
        <v>2</v>
      </c>
      <c r="L817" t="n">
        <v>0</v>
      </c>
      <c r="M817" t="n">
        <v>0</v>
      </c>
      <c r="N817" t="n">
        <v>8</v>
      </c>
      <c r="O817" s="1">
        <f>IFERROR(L817*G817,0)</f>
        <v/>
      </c>
      <c r="P817">
        <f>IF(N817-L817-M817&gt;0,N817-L817-M817,0)</f>
        <v/>
      </c>
      <c r="Q817" s="1">
        <f>IFERROR(P817*G817,0)</f>
        <v/>
      </c>
    </row>
    <row r="818">
      <c r="A818" t="inlineStr">
        <is>
          <t>E01-FAN1</t>
        </is>
      </c>
      <c r="B818" t="inlineStr">
        <is>
          <t>Torrette TR-A 450 T4 2.2KW ATEX ZONE 1 - Explosion Proof Roof Top Exhaust Fan</t>
        </is>
      </c>
      <c r="C818" t="inlineStr"/>
      <c r="D818" t="n">
        <v>1</v>
      </c>
      <c r="E818" t="n">
        <v>0</v>
      </c>
      <c r="F818" t="inlineStr"/>
      <c r="G818" s="1" t="n">
        <v>0</v>
      </c>
      <c r="H818" t="n">
        <v>2</v>
      </c>
      <c r="I818" t="n">
        <v>0.5</v>
      </c>
      <c r="J818" t="n">
        <v>2</v>
      </c>
      <c r="K818" t="n">
        <v>1</v>
      </c>
      <c r="L818" t="n">
        <v>0</v>
      </c>
      <c r="M818" t="n">
        <v>0</v>
      </c>
      <c r="N818" t="n">
        <v>5</v>
      </c>
      <c r="O818" s="1">
        <f>IFERROR(L818*G818,0)</f>
        <v/>
      </c>
      <c r="P818">
        <f>IF(N818-L818-M818&gt;0,N818-L818-M818,0)</f>
        <v/>
      </c>
      <c r="Q818" s="1">
        <f>IFERROR(P818*G818,0)</f>
        <v/>
      </c>
    </row>
    <row r="819">
      <c r="A819" t="inlineStr">
        <is>
          <t>E01-FAN2</t>
        </is>
      </c>
      <c r="B819" t="inlineStr">
        <is>
          <t>TORRETTE TR-A 355 T4 0.55KW ATEX Zone 1 - Explosion Proof Roof Top Exhaust Fan</t>
        </is>
      </c>
      <c r="C819" t="inlineStr"/>
      <c r="D819" t="n">
        <v>1</v>
      </c>
      <c r="E819" t="n">
        <v>0</v>
      </c>
      <c r="F819" t="inlineStr"/>
      <c r="G819" s="1" t="n">
        <v>0</v>
      </c>
      <c r="H819" t="n">
        <v>2</v>
      </c>
      <c r="I819" t="n">
        <v>0.5</v>
      </c>
      <c r="J819" t="n">
        <v>2</v>
      </c>
      <c r="K819" t="n">
        <v>1</v>
      </c>
      <c r="L819" t="n">
        <v>0</v>
      </c>
      <c r="M819" t="n">
        <v>0</v>
      </c>
      <c r="N819" t="n">
        <v>5</v>
      </c>
      <c r="O819" s="1">
        <f>IFERROR(L819*G819,0)</f>
        <v/>
      </c>
      <c r="P819">
        <f>IF(N819-L819-M819&gt;0,N819-L819-M819,0)</f>
        <v/>
      </c>
      <c r="Q819" s="1">
        <f>IFERROR(P819*G819,0)</f>
        <v/>
      </c>
    </row>
    <row r="820">
      <c r="A820" t="inlineStr">
        <is>
          <t>E01-FAN3</t>
        </is>
      </c>
      <c r="B820" t="inlineStr">
        <is>
          <t>ENKEL QBK 190 EC - Cassette Type Exhaust Fan</t>
        </is>
      </c>
      <c r="C820" t="inlineStr"/>
      <c r="D820" t="n">
        <v>1</v>
      </c>
      <c r="E820" t="n">
        <v>0</v>
      </c>
      <c r="F820" t="inlineStr"/>
      <c r="G820" s="1" t="n">
        <v>0</v>
      </c>
      <c r="H820" t="n">
        <v>1</v>
      </c>
      <c r="I820" t="n">
        <v>0.5</v>
      </c>
      <c r="J820" t="n">
        <v>1</v>
      </c>
      <c r="K820" t="n">
        <v>1</v>
      </c>
      <c r="L820" t="n">
        <v>0</v>
      </c>
      <c r="M820" t="n">
        <v>0</v>
      </c>
      <c r="N820" t="n">
        <v>2</v>
      </c>
      <c r="O820" s="1">
        <f>IFERROR(L820*G820,0)</f>
        <v/>
      </c>
      <c r="P820">
        <f>IF(N820-L820-M820&gt;0,N820-L820-M820,0)</f>
        <v/>
      </c>
      <c r="Q820" s="1">
        <f>IFERROR(P820*G820,0)</f>
        <v/>
      </c>
    </row>
    <row r="821">
      <c r="A821" t="inlineStr">
        <is>
          <t>E01-FAN4</t>
        </is>
      </c>
      <c r="B821" t="inlineStr">
        <is>
          <t>CA 150 MD E RF - Roof Top Exhaust Fan</t>
        </is>
      </c>
      <c r="C821" t="inlineStr"/>
      <c r="D821" t="n">
        <v>1</v>
      </c>
      <c r="E821" t="n">
        <v>0</v>
      </c>
      <c r="F821" t="inlineStr"/>
      <c r="G821" s="1" t="n">
        <v>0</v>
      </c>
      <c r="H821" t="n">
        <v>2</v>
      </c>
      <c r="I821" t="n">
        <v>0.5</v>
      </c>
      <c r="J821" t="n">
        <v>2</v>
      </c>
      <c r="K821" t="n">
        <v>1</v>
      </c>
      <c r="L821" t="n">
        <v>0</v>
      </c>
      <c r="M821" t="n">
        <v>0</v>
      </c>
      <c r="N821" t="n">
        <v>5</v>
      </c>
      <c r="O821" s="1">
        <f>IFERROR(L821*G821,0)</f>
        <v/>
      </c>
      <c r="P821">
        <f>IF(N821-L821-M821&gt;0,N821-L821-M821,0)</f>
        <v/>
      </c>
      <c r="Q821" s="1">
        <f>IFERROR(P821*G821,0)</f>
        <v/>
      </c>
    </row>
    <row r="822">
      <c r="A822" t="inlineStr">
        <is>
          <t>E01-FAN5</t>
        </is>
      </c>
      <c r="B822" t="inlineStr">
        <is>
          <t>A-E 354 T - Wall Mounted Exhaust Fan</t>
        </is>
      </c>
      <c r="C822" t="inlineStr"/>
      <c r="D822" t="n">
        <v>1</v>
      </c>
      <c r="E822" t="n">
        <v>0</v>
      </c>
      <c r="F822" t="inlineStr"/>
      <c r="G822" s="1" t="n">
        <v>0</v>
      </c>
      <c r="H822" t="n">
        <v>1</v>
      </c>
      <c r="I822" t="n">
        <v>0.5</v>
      </c>
      <c r="J822" t="n">
        <v>1</v>
      </c>
      <c r="K822" t="n">
        <v>1</v>
      </c>
      <c r="L822" t="n">
        <v>0</v>
      </c>
      <c r="M822" t="n">
        <v>0</v>
      </c>
      <c r="N822" t="n">
        <v>2</v>
      </c>
      <c r="O822" s="1">
        <f>IFERROR(L822*G822,0)</f>
        <v/>
      </c>
      <c r="P822">
        <f>IF(N822-L822-M822&gt;0,N822-L822-M822,0)</f>
        <v/>
      </c>
      <c r="Q822" s="1">
        <f>IFERROR(P822*G822,0)</f>
        <v/>
      </c>
    </row>
    <row r="823">
      <c r="A823" t="inlineStr">
        <is>
          <t>E01-FAN6</t>
        </is>
      </c>
      <c r="B823" t="inlineStr">
        <is>
          <t>A-E 304 T - Wall Mounted Exhaust Fan</t>
        </is>
      </c>
      <c r="C823" t="inlineStr"/>
      <c r="D823" t="n">
        <v>1</v>
      </c>
      <c r="E823" t="n">
        <v>0</v>
      </c>
      <c r="F823" t="inlineStr"/>
      <c r="G823" s="1" t="n">
        <v>0</v>
      </c>
      <c r="H823" t="n">
        <v>1</v>
      </c>
      <c r="I823" t="n">
        <v>0.5</v>
      </c>
      <c r="J823" t="n">
        <v>1</v>
      </c>
      <c r="K823" t="n">
        <v>1</v>
      </c>
      <c r="L823" t="n">
        <v>0</v>
      </c>
      <c r="M823" t="n">
        <v>0</v>
      </c>
      <c r="N823" t="n">
        <v>2</v>
      </c>
      <c r="O823" s="1">
        <f>IFERROR(L823*G823,0)</f>
        <v/>
      </c>
      <c r="P823">
        <f>IF(N823-L823-M823&gt;0,N823-L823-M823,0)</f>
        <v/>
      </c>
      <c r="Q823" s="1">
        <f>IFERROR(P823*G823,0)</f>
        <v/>
      </c>
    </row>
    <row r="824">
      <c r="A824" t="inlineStr">
        <is>
          <t>E1006999</t>
        </is>
      </c>
      <c r="B824" t="inlineStr">
        <is>
          <t>BD-140 / INOX 316 - Inlet Transition</t>
        </is>
      </c>
      <c r="C824" t="inlineStr"/>
      <c r="D824" t="n">
        <v>1</v>
      </c>
      <c r="E824" t="n">
        <v>2</v>
      </c>
      <c r="F824" t="inlineStr">
        <is>
          <t>SODECA</t>
        </is>
      </c>
      <c r="G824" s="1" t="n">
        <v>793.0700000000001</v>
      </c>
      <c r="H824" t="n">
        <v>2</v>
      </c>
      <c r="I824" t="n">
        <v>2.2</v>
      </c>
      <c r="J824" t="n">
        <v>2</v>
      </c>
      <c r="K824" t="n">
        <v>4</v>
      </c>
      <c r="L824" t="n">
        <v>0</v>
      </c>
      <c r="M824" t="n">
        <v>0</v>
      </c>
      <c r="N824" t="n">
        <v>8</v>
      </c>
      <c r="O824" s="1">
        <f>IFERROR(L824*G824,0)</f>
        <v/>
      </c>
      <c r="P824">
        <f>IF(N824-L824-M824&gt;0,N824-L824-M824,0)</f>
        <v/>
      </c>
      <c r="Q824" s="1">
        <f>IFERROR(P824*G824,0)</f>
        <v/>
      </c>
    </row>
    <row r="825">
      <c r="A825" t="inlineStr">
        <is>
          <t>E1012489</t>
        </is>
      </c>
      <c r="B825" t="inlineStr">
        <is>
          <t>CMP-514-2T UL/CSA 480V. 60Hz</t>
        </is>
      </c>
      <c r="C825" t="inlineStr"/>
      <c r="D825" t="n">
        <v>1</v>
      </c>
      <c r="E825" t="n">
        <v>2</v>
      </c>
      <c r="F825" t="inlineStr">
        <is>
          <t>SODECA</t>
        </is>
      </c>
      <c r="G825" s="1" t="n">
        <v>14037.31</v>
      </c>
      <c r="H825" t="n">
        <v>2</v>
      </c>
      <c r="I825" t="n">
        <v>2.2</v>
      </c>
      <c r="J825" t="n">
        <v>2</v>
      </c>
      <c r="K825" t="n">
        <v>4</v>
      </c>
      <c r="L825" t="n">
        <v>0</v>
      </c>
      <c r="M825" t="n">
        <v>0</v>
      </c>
      <c r="N825" t="n">
        <v>8</v>
      </c>
      <c r="O825" s="1">
        <f>IFERROR(L825*G825,0)</f>
        <v/>
      </c>
      <c r="P825">
        <f>IF(N825-L825-M825&gt;0,N825-L825-M825,0)</f>
        <v/>
      </c>
      <c r="Q825" s="1">
        <f>IFERROR(P825*G825,0)</f>
        <v/>
      </c>
    </row>
    <row r="826">
      <c r="A826" t="inlineStr">
        <is>
          <t>E1350433</t>
        </is>
      </c>
      <c r="B826" t="inlineStr">
        <is>
          <t>HCT/EC-45-2T-2 400V. 50/60Hz. IE5</t>
        </is>
      </c>
      <c r="C826" t="inlineStr"/>
      <c r="D826" t="n">
        <v>1</v>
      </c>
      <c r="E826" t="n">
        <v>1</v>
      </c>
      <c r="F826" t="inlineStr">
        <is>
          <t>SODECA</t>
        </is>
      </c>
      <c r="G826" s="1" t="n">
        <v>20527.39</v>
      </c>
      <c r="H826" t="n">
        <v>0</v>
      </c>
      <c r="I826" t="n">
        <v>0.9</v>
      </c>
      <c r="J826" t="n">
        <v>1</v>
      </c>
      <c r="K826" t="n">
        <v>1</v>
      </c>
      <c r="L826" t="n">
        <v>0</v>
      </c>
      <c r="M826" t="n">
        <v>0</v>
      </c>
      <c r="N826" t="n">
        <v>3</v>
      </c>
      <c r="O826" s="1">
        <f>IFERROR(L826*G826,0)</f>
        <v/>
      </c>
      <c r="P826">
        <f>IF(N826-L826-M826&gt;0,N826-L826-M826,0)</f>
        <v/>
      </c>
      <c r="Q826" s="1">
        <f>IFERROR(P826*G826,0)</f>
        <v/>
      </c>
    </row>
    <row r="827">
      <c r="A827" t="inlineStr">
        <is>
          <t>EAF 06.</t>
        </is>
      </c>
      <c r="B827" t="inlineStr">
        <is>
          <t>3040 l/s @ 300Pa (Set 710 Blades to 20 Degree)</t>
        </is>
      </c>
      <c r="C827" t="inlineStr"/>
      <c r="D827" t="n">
        <v>1</v>
      </c>
      <c r="E827" t="n">
        <v>0</v>
      </c>
      <c r="F827" t="inlineStr"/>
      <c r="G827" s="1" t="n">
        <v>0</v>
      </c>
      <c r="H827" t="n">
        <v>1</v>
      </c>
      <c r="I827" t="n">
        <v>0.5</v>
      </c>
      <c r="J827" t="n">
        <v>1</v>
      </c>
      <c r="K827" t="n">
        <v>1</v>
      </c>
      <c r="L827" t="n">
        <v>0</v>
      </c>
      <c r="M827" t="n">
        <v>0</v>
      </c>
      <c r="N827" t="n">
        <v>2</v>
      </c>
      <c r="O827" s="1">
        <f>IFERROR(L827*G827,0)</f>
        <v/>
      </c>
      <c r="P827">
        <f>IF(N827-L827-M827&gt;0,N827-L827-M827,0)</f>
        <v/>
      </c>
      <c r="Q827" s="1">
        <f>IFERROR(P827*G827,0)</f>
        <v/>
      </c>
    </row>
    <row r="828">
      <c r="A828" t="inlineStr">
        <is>
          <t>ECO100220</t>
        </is>
      </c>
      <c r="B828" t="inlineStr">
        <is>
          <t>Bubble Wrap - 1250mm x 100mm</t>
        </is>
      </c>
      <c r="C828" t="inlineStr"/>
      <c r="D828" t="n">
        <v>1</v>
      </c>
      <c r="E828" t="n">
        <v>4</v>
      </c>
      <c r="F828" t="inlineStr">
        <is>
          <t>Econopak CC</t>
        </is>
      </c>
      <c r="G828" s="1" t="n">
        <v>291.06</v>
      </c>
      <c r="H828" t="n">
        <v>0</v>
      </c>
      <c r="I828" t="n">
        <v>0.5</v>
      </c>
      <c r="J828" t="n">
        <v>4</v>
      </c>
      <c r="K828" t="n">
        <v>2</v>
      </c>
      <c r="L828" t="n">
        <v>0</v>
      </c>
      <c r="M828" t="n">
        <v>0</v>
      </c>
      <c r="N828" t="n">
        <v>10</v>
      </c>
      <c r="O828" s="1">
        <f>IFERROR(L828*G828,0)</f>
        <v/>
      </c>
      <c r="P828">
        <f>IF(N828-L828-M828&gt;0,N828-L828-M828,0)</f>
        <v/>
      </c>
      <c r="Q828" s="1">
        <f>IFERROR(P828*G828,0)</f>
        <v/>
      </c>
    </row>
    <row r="829">
      <c r="A829" t="inlineStr">
        <is>
          <t>EG/01</t>
        </is>
      </c>
      <c r="B829" t="inlineStr">
        <is>
          <t>Disc Valve</t>
        </is>
      </c>
      <c r="C829" t="inlineStr"/>
      <c r="D829" t="n">
        <v>1</v>
      </c>
      <c r="E829" t="n">
        <v>0</v>
      </c>
      <c r="F829" t="inlineStr"/>
      <c r="G829" s="1" t="n">
        <v>0</v>
      </c>
      <c r="H829" t="n">
        <v>40</v>
      </c>
      <c r="I829" t="n">
        <v>0.5</v>
      </c>
      <c r="J829" t="n">
        <v>40</v>
      </c>
      <c r="K829" t="n">
        <v>20</v>
      </c>
      <c r="L829" t="n">
        <v>0</v>
      </c>
      <c r="M829" t="n">
        <v>0</v>
      </c>
      <c r="N829" t="n">
        <v>100</v>
      </c>
      <c r="O829" s="1">
        <f>IFERROR(L829*G829,0)</f>
        <v/>
      </c>
      <c r="P829">
        <f>IF(N829-L829-M829&gt;0,N829-L829-M829,0)</f>
        <v/>
      </c>
      <c r="Q829" s="1">
        <f>IFERROR(P829*G829,0)</f>
        <v/>
      </c>
    </row>
    <row r="830">
      <c r="A830" t="inlineStr">
        <is>
          <t>EG/02</t>
        </is>
      </c>
      <c r="B830" t="inlineStr">
        <is>
          <t>4 way Ceiling Diffuser</t>
        </is>
      </c>
      <c r="C830" t="inlineStr"/>
      <c r="D830" t="n">
        <v>1</v>
      </c>
      <c r="E830" t="n">
        <v>0</v>
      </c>
      <c r="F830" t="inlineStr"/>
      <c r="G830" s="1" t="n">
        <v>0</v>
      </c>
      <c r="H830" t="n">
        <v>1</v>
      </c>
      <c r="I830" t="n">
        <v>0.5</v>
      </c>
      <c r="J830" t="n">
        <v>1</v>
      </c>
      <c r="K830" t="n">
        <v>1</v>
      </c>
      <c r="L830" t="n">
        <v>0</v>
      </c>
      <c r="M830" t="n">
        <v>0</v>
      </c>
      <c r="N830" t="n">
        <v>2</v>
      </c>
      <c r="O830" s="1">
        <f>IFERROR(L830*G830,0)</f>
        <v/>
      </c>
      <c r="P830">
        <f>IF(N830-L830-M830&gt;0,N830-L830-M830,0)</f>
        <v/>
      </c>
      <c r="Q830" s="1">
        <f>IFERROR(P830*G830,0)</f>
        <v/>
      </c>
    </row>
    <row r="831">
      <c r="A831" t="inlineStr">
        <is>
          <t>EML2303033</t>
        </is>
      </c>
      <c r="B831" t="inlineStr">
        <is>
          <t>5.5kw 4P 400V/690V B3T 132S IE1 Motor</t>
        </is>
      </c>
      <c r="C831" t="inlineStr"/>
      <c r="D831" t="n">
        <v>3</v>
      </c>
      <c r="E831" t="n">
        <v>2</v>
      </c>
      <c r="F831" t="inlineStr">
        <is>
          <t>WEG South Africa</t>
        </is>
      </c>
      <c r="G831" s="1" t="n">
        <v>4555.65</v>
      </c>
      <c r="H831" t="n">
        <v>0</v>
      </c>
      <c r="I831" t="n">
        <v>0.7</v>
      </c>
      <c r="J831" t="n">
        <v>1</v>
      </c>
      <c r="K831" t="n">
        <v>1</v>
      </c>
      <c r="L831" t="n">
        <v>0</v>
      </c>
      <c r="M831" t="n">
        <v>0</v>
      </c>
      <c r="N831" t="n">
        <v>3</v>
      </c>
      <c r="O831" s="1">
        <f>IFERROR(L831*G831,0)</f>
        <v/>
      </c>
      <c r="P831">
        <f>IF(N831-L831-M831&gt;0,N831-L831-M831,0)</f>
        <v/>
      </c>
      <c r="Q831" s="1">
        <f>IFERROR(P831*G831,0)</f>
        <v/>
      </c>
    </row>
    <row r="832">
      <c r="A832" t="inlineStr">
        <is>
          <t>ENGINE-001</t>
        </is>
      </c>
      <c r="B832" t="inlineStr">
        <is>
          <t>Engineering Services - 3D Scanning, Modelling of a Fan Blade and Hub</t>
        </is>
      </c>
      <c r="C832" t="inlineStr">
        <is>
          <t>FM - FAN BLADE MODELLING</t>
        </is>
      </c>
      <c r="D832" t="n">
        <v>1</v>
      </c>
      <c r="E832" t="n">
        <v>0.5</v>
      </c>
      <c r="F832" t="inlineStr">
        <is>
          <t>Holt Consulting Engineers</t>
        </is>
      </c>
      <c r="G832" s="1" t="n">
        <v>44769</v>
      </c>
      <c r="H832" t="n">
        <v>0</v>
      </c>
      <c r="I832" t="n">
        <v>0.5</v>
      </c>
      <c r="J832" t="n">
        <v>1</v>
      </c>
      <c r="K832" t="n">
        <v>1</v>
      </c>
      <c r="L832" t="n">
        <v>0</v>
      </c>
      <c r="M832" t="n">
        <v>0</v>
      </c>
      <c r="N832" t="n">
        <v>2</v>
      </c>
      <c r="O832" s="1">
        <f>IFERROR(L832*G832,0)</f>
        <v/>
      </c>
      <c r="P832">
        <f>IF(N832-L832-M832&gt;0,N832-L832-M832,0)</f>
        <v/>
      </c>
      <c r="Q832" s="1">
        <f>IFERROR(P832*G832,0)</f>
        <v/>
      </c>
    </row>
    <row r="833">
      <c r="A833" t="inlineStr">
        <is>
          <t>EUA1152MM</t>
        </is>
      </c>
      <c r="B833" t="inlineStr">
        <is>
          <t>Eurotherm A1 152mm - 10M</t>
        </is>
      </c>
      <c r="C833" t="inlineStr"/>
      <c r="D833" t="n">
        <v>1</v>
      </c>
      <c r="E833" t="n">
        <v>24</v>
      </c>
      <c r="F833" t="inlineStr">
        <is>
          <t>HVAC DISTRIBUTORS (PTY) LTD</t>
        </is>
      </c>
      <c r="G833" s="1" t="n">
        <v>305</v>
      </c>
      <c r="H833" t="n">
        <v>0</v>
      </c>
      <c r="I833" t="n">
        <v>0.5</v>
      </c>
      <c r="J833" t="n">
        <v>24</v>
      </c>
      <c r="K833" t="n">
        <v>12</v>
      </c>
      <c r="L833" t="n">
        <v>0</v>
      </c>
      <c r="M833" t="n">
        <v>0</v>
      </c>
      <c r="N833" t="n">
        <v>60</v>
      </c>
      <c r="O833" s="1">
        <f>IFERROR(L833*G833,0)</f>
        <v/>
      </c>
      <c r="P833">
        <f>IF(N833-L833-M833&gt;0,N833-L833-M833,0)</f>
        <v/>
      </c>
      <c r="Q833" s="1">
        <f>IFERROR(P833*G833,0)</f>
        <v/>
      </c>
    </row>
    <row r="834">
      <c r="A834" t="inlineStr">
        <is>
          <t>EVC-JH168</t>
        </is>
      </c>
      <c r="B834" t="inlineStr">
        <is>
          <t>Evaporative Air Cooler: 220V, 380W, 3 Speed, 8000m3/hr, 80Pa</t>
        </is>
      </c>
      <c r="C834" t="inlineStr"/>
      <c r="D834" t="n">
        <v>1</v>
      </c>
      <c r="E834" t="n">
        <v>4</v>
      </c>
      <c r="F834" t="inlineStr">
        <is>
          <t>AF Fans CC</t>
        </is>
      </c>
      <c r="G834" s="1" t="n">
        <v>9480</v>
      </c>
      <c r="H834" t="n">
        <v>0</v>
      </c>
      <c r="I834" t="n">
        <v>0.5</v>
      </c>
      <c r="J834" t="n">
        <v>4</v>
      </c>
      <c r="K834" t="n">
        <v>2</v>
      </c>
      <c r="L834" t="n">
        <v>0</v>
      </c>
      <c r="M834" t="n">
        <v>0</v>
      </c>
      <c r="N834" t="n">
        <v>10</v>
      </c>
      <c r="O834" s="1">
        <f>IFERROR(L834*G834,0)</f>
        <v/>
      </c>
      <c r="P834">
        <f>IF(N834-L834-M834&gt;0,N834-L834-M834,0)</f>
        <v/>
      </c>
      <c r="Q834" s="1">
        <f>IFERROR(P834*G834,0)</f>
        <v/>
      </c>
    </row>
    <row r="835">
      <c r="A835" t="inlineStr">
        <is>
          <t>EVM100</t>
        </is>
      </c>
      <c r="B835" t="inlineStr">
        <is>
          <t>100MM METAL EXTRACT VALVE</t>
        </is>
      </c>
      <c r="C835" t="inlineStr"/>
      <c r="D835" t="n">
        <v>1</v>
      </c>
      <c r="E835" t="n">
        <v>18</v>
      </c>
      <c r="F835" t="inlineStr">
        <is>
          <t>Advantage Air Africa Pty Ltd</t>
        </is>
      </c>
      <c r="G835" s="1" t="n">
        <v>75.59999999999999</v>
      </c>
      <c r="H835" t="n">
        <v>0</v>
      </c>
      <c r="I835" t="n">
        <v>1.6</v>
      </c>
      <c r="J835" t="n">
        <v>18</v>
      </c>
      <c r="K835" t="n">
        <v>29</v>
      </c>
      <c r="L835" t="n">
        <v>0</v>
      </c>
      <c r="M835" t="n">
        <v>0</v>
      </c>
      <c r="N835" t="n">
        <v>65</v>
      </c>
      <c r="O835" s="1">
        <f>IFERROR(L835*G835,0)</f>
        <v/>
      </c>
      <c r="P835">
        <f>IF(N835-L835-M835&gt;0,N835-L835-M835,0)</f>
        <v/>
      </c>
      <c r="Q835" s="1">
        <f>IFERROR(P835*G835,0)</f>
        <v/>
      </c>
    </row>
    <row r="836">
      <c r="A836" t="inlineStr">
        <is>
          <t>EXD-2.2-2-4-B3</t>
        </is>
      </c>
      <c r="B836" t="inlineStr">
        <is>
          <t>2.2KW 2P 230/400V B3 EXD IE2 FS90L</t>
        </is>
      </c>
      <c r="C836" t="inlineStr">
        <is>
          <t>MOTORS</t>
        </is>
      </c>
      <c r="D836" t="n">
        <v>1</v>
      </c>
      <c r="E836" t="n">
        <v>1</v>
      </c>
      <c r="F836" t="inlineStr">
        <is>
          <t>Shaka Machinery (Pty) Ltd</t>
        </is>
      </c>
      <c r="G836" s="1" t="n">
        <v>7175</v>
      </c>
      <c r="H836" t="n">
        <v>0</v>
      </c>
      <c r="I836" t="n">
        <v>0.5</v>
      </c>
      <c r="J836" t="n">
        <v>1</v>
      </c>
      <c r="K836" t="n">
        <v>1</v>
      </c>
      <c r="L836" t="n">
        <v>0</v>
      </c>
      <c r="M836" t="n">
        <v>0</v>
      </c>
      <c r="N836" t="n">
        <v>2</v>
      </c>
      <c r="O836" s="1">
        <f>IFERROR(L836*G836,0)</f>
        <v/>
      </c>
      <c r="P836">
        <f>IF(N836-L836-M836&gt;0,N836-L836-M836,0)</f>
        <v/>
      </c>
      <c r="Q836" s="1">
        <f>IFERROR(P836*G836,0)</f>
        <v/>
      </c>
    </row>
    <row r="837">
      <c r="A837" t="inlineStr">
        <is>
          <t>EXD-D90B5</t>
        </is>
      </c>
      <c r="B837" t="inlineStr">
        <is>
          <t>EXD D90B5 CAST IRON FLANGE</t>
        </is>
      </c>
      <c r="C837" t="inlineStr">
        <is>
          <t>MOTOR FLANGE</t>
        </is>
      </c>
      <c r="D837" t="n">
        <v>1</v>
      </c>
      <c r="E837" t="n">
        <v>1</v>
      </c>
      <c r="F837" t="inlineStr">
        <is>
          <t>Shaka Machinery (Pty) Ltd</t>
        </is>
      </c>
      <c r="G837" s="1" t="n">
        <v>0</v>
      </c>
      <c r="H837" t="n">
        <v>0</v>
      </c>
      <c r="I837" t="n">
        <v>0.5</v>
      </c>
      <c r="J837" t="n">
        <v>1</v>
      </c>
      <c r="K837" t="n">
        <v>1</v>
      </c>
      <c r="L837" t="n">
        <v>0</v>
      </c>
      <c r="M837" t="n">
        <v>0</v>
      </c>
      <c r="N837" t="n">
        <v>2</v>
      </c>
      <c r="O837" s="1">
        <f>IFERROR(L837*G837,0)</f>
        <v/>
      </c>
      <c r="P837">
        <f>IF(N837-L837-M837&gt;0,N837-L837-M837,0)</f>
        <v/>
      </c>
      <c r="Q837" s="1">
        <f>IFERROR(P837*G837,0)</f>
        <v/>
      </c>
    </row>
    <row r="838">
      <c r="A838" t="inlineStr">
        <is>
          <t>F)</t>
        </is>
      </c>
      <c r="B838" t="inlineStr">
        <is>
          <t>Brackets - set motor mounting bracket (threaded rod)</t>
        </is>
      </c>
      <c r="C838" t="inlineStr"/>
      <c r="D838" t="n">
        <v>1</v>
      </c>
      <c r="E838" t="n">
        <v>1</v>
      </c>
      <c r="F838" t="inlineStr">
        <is>
          <t>CFW Fans (Pty) Ltd</t>
        </is>
      </c>
      <c r="G838" s="1" t="n">
        <v>172</v>
      </c>
      <c r="H838" t="n">
        <v>0</v>
      </c>
      <c r="I838" t="n">
        <v>0.8</v>
      </c>
      <c r="J838" t="n">
        <v>1</v>
      </c>
      <c r="K838" t="n">
        <v>1</v>
      </c>
      <c r="L838" t="n">
        <v>0</v>
      </c>
      <c r="M838" t="n">
        <v>0</v>
      </c>
      <c r="N838" t="n">
        <v>3</v>
      </c>
      <c r="O838" s="1">
        <f>IFERROR(L838*G838,0)</f>
        <v/>
      </c>
      <c r="P838">
        <f>IF(N838-L838-M838&gt;0,N838-L838-M838,0)</f>
        <v/>
      </c>
      <c r="Q838" s="1">
        <f>IFERROR(P838*G838,0)</f>
        <v/>
      </c>
    </row>
    <row r="839">
      <c r="A839" t="inlineStr">
        <is>
          <t>F6942 Filter</t>
        </is>
      </c>
      <c r="B839" t="inlineStr">
        <is>
          <t>Donkin Fan Filter F6942 Set</t>
        </is>
      </c>
      <c r="C839" t="inlineStr">
        <is>
          <t>FM - DONKIN</t>
        </is>
      </c>
      <c r="D839" t="n">
        <v>1</v>
      </c>
      <c r="E839" t="n">
        <v>0</v>
      </c>
      <c r="F839" t="inlineStr"/>
      <c r="G839" s="1" t="n">
        <v>0</v>
      </c>
      <c r="H839" t="n">
        <v>2</v>
      </c>
      <c r="I839" t="n">
        <v>0.5</v>
      </c>
      <c r="J839" t="n">
        <v>2</v>
      </c>
      <c r="K839" t="n">
        <v>1</v>
      </c>
      <c r="L839" t="n">
        <v>0</v>
      </c>
      <c r="M839" t="n">
        <v>0</v>
      </c>
      <c r="N839" t="n">
        <v>5</v>
      </c>
      <c r="O839" s="1">
        <f>IFERROR(L839*G839,0)</f>
        <v/>
      </c>
      <c r="P839">
        <f>IF(N839-L839-M839&gt;0,N839-L839-M839,0)</f>
        <v/>
      </c>
      <c r="Q839" s="1">
        <f>IFERROR(P839*G839,0)</f>
        <v/>
      </c>
    </row>
    <row r="840">
      <c r="A840" t="inlineStr">
        <is>
          <t>FAN QCP</t>
        </is>
      </c>
      <c r="B840" t="inlineStr">
        <is>
          <t>Data Book</t>
        </is>
      </c>
      <c r="C840" t="inlineStr"/>
      <c r="D840" t="n">
        <v>1</v>
      </c>
      <c r="E840" t="n">
        <v>0</v>
      </c>
      <c r="F840" t="inlineStr"/>
      <c r="G840" s="1" t="n">
        <v>0</v>
      </c>
      <c r="H840" t="n">
        <v>1</v>
      </c>
      <c r="I840" t="n">
        <v>0.5</v>
      </c>
      <c r="J840" t="n">
        <v>1</v>
      </c>
      <c r="K840" t="n">
        <v>1</v>
      </c>
      <c r="L840" t="n">
        <v>0</v>
      </c>
      <c r="M840" t="n">
        <v>0</v>
      </c>
      <c r="N840" t="n">
        <v>2</v>
      </c>
      <c r="O840" s="1">
        <f>IFERROR(L840*G840,0)</f>
        <v/>
      </c>
      <c r="P840">
        <f>IF(N840-L840-M840&gt;0,N840-L840-M840,0)</f>
        <v/>
      </c>
      <c r="Q840" s="1">
        <f>IFERROR(P840*G840,0)</f>
        <v/>
      </c>
    </row>
    <row r="841">
      <c r="A841" t="inlineStr">
        <is>
          <t>FB</t>
        </is>
      </c>
      <c r="B841" t="inlineStr">
        <is>
          <t>Filter box, wall sleeve and flashing</t>
        </is>
      </c>
      <c r="C841" t="inlineStr"/>
      <c r="D841" t="n">
        <v>1</v>
      </c>
      <c r="E841" t="n">
        <v>3</v>
      </c>
      <c r="F841" t="inlineStr">
        <is>
          <t>Intervent-Universal (Pty) Ltd</t>
        </is>
      </c>
      <c r="G841" s="1" t="n">
        <v>785</v>
      </c>
      <c r="H841" t="n">
        <v>0</v>
      </c>
      <c r="I841" t="n">
        <v>0.9</v>
      </c>
      <c r="J841" t="n">
        <v>3</v>
      </c>
      <c r="K841" t="n">
        <v>3</v>
      </c>
      <c r="L841" t="n">
        <v>0</v>
      </c>
      <c r="M841" t="n">
        <v>0</v>
      </c>
      <c r="N841" t="n">
        <v>9</v>
      </c>
      <c r="O841" s="1">
        <f>IFERROR(L841*G841,0)</f>
        <v/>
      </c>
      <c r="P841">
        <f>IF(N841-L841-M841&gt;0,N841-L841-M841,0)</f>
        <v/>
      </c>
      <c r="Q841" s="1">
        <f>IFERROR(P841*G841,0)</f>
        <v/>
      </c>
    </row>
    <row r="842">
      <c r="A842" t="inlineStr">
        <is>
          <t>FBar-50x8mm-6M</t>
        </is>
      </c>
      <c r="B842" t="inlineStr">
        <is>
          <t>Flat Bar CQ 50x8mm 6M</t>
        </is>
      </c>
      <c r="C842" t="inlineStr"/>
      <c r="D842" t="n">
        <v>1</v>
      </c>
      <c r="E842" t="n">
        <v>2</v>
      </c>
      <c r="F842" t="inlineStr">
        <is>
          <t>NJR STEEL - ALRODE (PTY) LTD</t>
        </is>
      </c>
      <c r="G842" s="1" t="n">
        <v>276.43</v>
      </c>
      <c r="H842" t="n">
        <v>0</v>
      </c>
      <c r="I842" t="n">
        <v>0.5</v>
      </c>
      <c r="J842" t="n">
        <v>2</v>
      </c>
      <c r="K842" t="n">
        <v>1</v>
      </c>
      <c r="L842" t="n">
        <v>0</v>
      </c>
      <c r="M842" t="n">
        <v>0</v>
      </c>
      <c r="N842" t="n">
        <v>5</v>
      </c>
      <c r="O842" s="1">
        <f>IFERROR(L842*G842,0)</f>
        <v/>
      </c>
      <c r="P842">
        <f>IF(N842-L842-M842&gt;0,N842-L842-M842,0)</f>
        <v/>
      </c>
      <c r="Q842" s="1">
        <f>IFERROR(P842*G842,0)</f>
        <v/>
      </c>
    </row>
    <row r="843">
      <c r="A843" t="inlineStr">
        <is>
          <t>FILTERSS</t>
        </is>
      </c>
      <c r="B843" t="inlineStr">
        <is>
          <t>RIGID POC FILTERS</t>
        </is>
      </c>
      <c r="C843" t="inlineStr"/>
      <c r="D843" t="n">
        <v>1</v>
      </c>
      <c r="E843" t="n">
        <v>0</v>
      </c>
      <c r="F843" t="inlineStr"/>
      <c r="G843" s="1" t="n">
        <v>0</v>
      </c>
      <c r="H843" t="n">
        <v>1</v>
      </c>
      <c r="I843" t="n">
        <v>0.5</v>
      </c>
      <c r="J843" t="n">
        <v>1</v>
      </c>
      <c r="K843" t="n">
        <v>1</v>
      </c>
      <c r="L843" t="n">
        <v>0</v>
      </c>
      <c r="M843" t="n">
        <v>0</v>
      </c>
      <c r="N843" t="n">
        <v>2</v>
      </c>
      <c r="O843" s="1">
        <f>IFERROR(L843*G843,0)</f>
        <v/>
      </c>
      <c r="P843">
        <f>IF(N843-L843-M843&gt;0,N843-L843-M843,0)</f>
        <v/>
      </c>
      <c r="Q843" s="1">
        <f>IFERROR(P843*G843,0)</f>
        <v/>
      </c>
    </row>
    <row r="844">
      <c r="A844" t="inlineStr">
        <is>
          <t>FL4</t>
        </is>
      </c>
      <c r="B844" t="inlineStr">
        <is>
          <t>FL4 - 1' 1/4</t>
        </is>
      </c>
      <c r="C844" t="inlineStr">
        <is>
          <t>FM - FPZ</t>
        </is>
      </c>
      <c r="D844" t="n">
        <v>48</v>
      </c>
      <c r="E844" t="n">
        <v>0</v>
      </c>
      <c r="F844" t="inlineStr"/>
      <c r="G844" s="1" t="n">
        <v>0</v>
      </c>
      <c r="H844" t="n">
        <v>9</v>
      </c>
      <c r="I844" t="n">
        <v>0.5</v>
      </c>
      <c r="J844" t="n">
        <v>1</v>
      </c>
      <c r="K844" t="n">
        <v>1</v>
      </c>
      <c r="L844" t="n">
        <v>0</v>
      </c>
      <c r="M844" t="n">
        <v>0</v>
      </c>
      <c r="N844" t="n">
        <v>2</v>
      </c>
      <c r="O844" s="1">
        <f>IFERROR(L844*G844,0)</f>
        <v/>
      </c>
      <c r="P844">
        <f>IF(N844-L844-M844&gt;0,N844-L844-M844,0)</f>
        <v/>
      </c>
      <c r="Q844" s="1">
        <f>IFERROR(P844*G844,0)</f>
        <v/>
      </c>
    </row>
    <row r="845">
      <c r="A845" t="inlineStr">
        <is>
          <t>FL5</t>
        </is>
      </c>
      <c r="B845" t="inlineStr">
        <is>
          <t>FL5 - 1' 1/2</t>
        </is>
      </c>
      <c r="C845" t="inlineStr">
        <is>
          <t>FM - FPZ</t>
        </is>
      </c>
      <c r="D845" t="n">
        <v>22</v>
      </c>
      <c r="E845" t="n">
        <v>0</v>
      </c>
      <c r="F845" t="inlineStr"/>
      <c r="G845" s="1" t="n">
        <v>0</v>
      </c>
      <c r="H845" t="n">
        <v>2</v>
      </c>
      <c r="I845" t="n">
        <v>0.5</v>
      </c>
      <c r="J845" t="n">
        <v>1</v>
      </c>
      <c r="K845" t="n">
        <v>1</v>
      </c>
      <c r="L845" t="n">
        <v>0</v>
      </c>
      <c r="M845" t="n">
        <v>0</v>
      </c>
      <c r="N845" t="n">
        <v>2</v>
      </c>
      <c r="O845" s="1">
        <f>IFERROR(L845*G845,0)</f>
        <v/>
      </c>
      <c r="P845">
        <f>IF(N845-L845-M845&gt;0,N845-L845-M845,0)</f>
        <v/>
      </c>
      <c r="Q845" s="1">
        <f>IFERROR(P845*G845,0)</f>
        <v/>
      </c>
    </row>
    <row r="846">
      <c r="A846" t="inlineStr">
        <is>
          <t>FL6</t>
        </is>
      </c>
      <c r="B846" t="inlineStr">
        <is>
          <t>FL6 - 2'</t>
        </is>
      </c>
      <c r="C846" t="inlineStr">
        <is>
          <t>FM - FPZ</t>
        </is>
      </c>
      <c r="D846" t="n">
        <v>41</v>
      </c>
      <c r="E846" t="n">
        <v>42</v>
      </c>
      <c r="F846" t="inlineStr">
        <is>
          <t>Effepizeta</t>
        </is>
      </c>
      <c r="G846" s="1" t="n">
        <v>785.39</v>
      </c>
      <c r="H846" t="n">
        <v>28</v>
      </c>
      <c r="I846" t="n">
        <v>2</v>
      </c>
      <c r="J846" t="n">
        <v>1.5</v>
      </c>
      <c r="K846" t="n">
        <v>3</v>
      </c>
      <c r="L846" t="n">
        <v>0</v>
      </c>
      <c r="M846" t="n">
        <v>0</v>
      </c>
      <c r="N846" t="n">
        <v>6</v>
      </c>
      <c r="O846" s="1">
        <f>IFERROR(L846*G846,0)</f>
        <v/>
      </c>
      <c r="P846">
        <f>IF(N846-L846-M846&gt;0,N846-L846-M846,0)</f>
        <v/>
      </c>
      <c r="Q846" s="1">
        <f>IFERROR(P846*G846,0)</f>
        <v/>
      </c>
    </row>
    <row r="847">
      <c r="A847" t="inlineStr">
        <is>
          <t>FL8</t>
        </is>
      </c>
      <c r="B847" t="inlineStr">
        <is>
          <t>FL8 - 3'</t>
        </is>
      </c>
      <c r="C847" t="inlineStr">
        <is>
          <t>FM - FPZ</t>
        </is>
      </c>
      <c r="D847" t="n">
        <v>45</v>
      </c>
      <c r="E847" t="n">
        <v>36</v>
      </c>
      <c r="F847" t="inlineStr">
        <is>
          <t>Effepizeta</t>
        </is>
      </c>
      <c r="G847" s="1" t="n">
        <v>1114.09</v>
      </c>
      <c r="H847" t="n">
        <v>25</v>
      </c>
      <c r="I847" t="n">
        <v>1.7</v>
      </c>
      <c r="J847" t="n">
        <v>1</v>
      </c>
      <c r="K847" t="n">
        <v>2</v>
      </c>
      <c r="L847" t="n">
        <v>0</v>
      </c>
      <c r="M847" t="n">
        <v>0</v>
      </c>
      <c r="N847" t="n">
        <v>4</v>
      </c>
      <c r="O847" s="1">
        <f>IFERROR(L847*G847,0)</f>
        <v/>
      </c>
      <c r="P847">
        <f>IF(N847-L847-M847&gt;0,N847-L847-M847,0)</f>
        <v/>
      </c>
      <c r="Q847" s="1">
        <f>IFERROR(P847*G847,0)</f>
        <v/>
      </c>
    </row>
    <row r="848">
      <c r="A848" t="inlineStr">
        <is>
          <t>FL9</t>
        </is>
      </c>
      <c r="B848" t="inlineStr">
        <is>
          <t>FL9 - 4 Intake Filter</t>
        </is>
      </c>
      <c r="C848" t="inlineStr">
        <is>
          <t>FM - FPZ</t>
        </is>
      </c>
      <c r="D848" t="n">
        <v>33</v>
      </c>
      <c r="E848" t="n">
        <v>22</v>
      </c>
      <c r="F848" t="inlineStr">
        <is>
          <t>Effepizeta</t>
        </is>
      </c>
      <c r="G848" s="1" t="n">
        <v>1147.25</v>
      </c>
      <c r="H848" t="n">
        <v>2</v>
      </c>
      <c r="I848" t="n">
        <v>1.5</v>
      </c>
      <c r="J848" t="n">
        <v>1</v>
      </c>
      <c r="K848" t="n">
        <v>2</v>
      </c>
      <c r="L848" t="n">
        <v>0</v>
      </c>
      <c r="M848" t="n">
        <v>0</v>
      </c>
      <c r="N848" t="n">
        <v>4</v>
      </c>
      <c r="O848" s="1">
        <f>IFERROR(L848*G848,0)</f>
        <v/>
      </c>
      <c r="P848">
        <f>IF(N848-L848-M848&gt;0,N848-L848-M848,0)</f>
        <v/>
      </c>
      <c r="Q848" s="1">
        <f>IFERROR(P848*G848,0)</f>
        <v/>
      </c>
    </row>
    <row r="849">
      <c r="A849" t="inlineStr">
        <is>
          <t>FLEX-W/FRAME</t>
        </is>
      </c>
      <c r="B849" t="inlineStr">
        <is>
          <t>WELDING FRAME H=2m x W=3m, Galvanised steel frame (25x25 square tube)</t>
        </is>
      </c>
      <c r="C849" t="inlineStr">
        <is>
          <t>FM - FABRICATION</t>
        </is>
      </c>
      <c r="D849" t="n">
        <v>1</v>
      </c>
      <c r="E849" t="n">
        <v>3</v>
      </c>
      <c r="F849" t="inlineStr">
        <is>
          <t>Fischli + Fuhrmann</t>
        </is>
      </c>
      <c r="G849" s="1" t="n">
        <v>1680</v>
      </c>
      <c r="H849" t="n">
        <v>0</v>
      </c>
      <c r="I849" t="n">
        <v>0.5</v>
      </c>
      <c r="J849" t="n">
        <v>3</v>
      </c>
      <c r="K849" t="n">
        <v>2</v>
      </c>
      <c r="L849" t="n">
        <v>0</v>
      </c>
      <c r="M849" t="n">
        <v>0</v>
      </c>
      <c r="N849" t="n">
        <v>8</v>
      </c>
      <c r="O849" s="1">
        <f>IFERROR(L849*G849,0)</f>
        <v/>
      </c>
      <c r="P849">
        <f>IF(N849-L849-M849&gt;0,N849-L849-M849,0)</f>
        <v/>
      </c>
      <c r="Q849" s="1">
        <f>IFERROR(P849*G849,0)</f>
        <v/>
      </c>
    </row>
    <row r="850">
      <c r="A850" t="inlineStr">
        <is>
          <t>FM</t>
        </is>
      </c>
      <c r="B850" t="inlineStr">
        <is>
          <t>004 - 2940 rpm SANS 60079-15</t>
        </is>
      </c>
      <c r="C850" t="inlineStr"/>
      <c r="D850" t="n">
        <v>32</v>
      </c>
      <c r="E850" t="n">
        <v>152</v>
      </c>
      <c r="F850" t="inlineStr">
        <is>
          <t>Rhenus Logistics (Pty) Ltd</t>
        </is>
      </c>
      <c r="G850" s="1" t="n">
        <v>0</v>
      </c>
      <c r="H850" t="n">
        <v>2</v>
      </c>
      <c r="I850" t="n">
        <v>1</v>
      </c>
      <c r="J850" t="n">
        <v>5</v>
      </c>
      <c r="K850" t="n">
        <v>5</v>
      </c>
      <c r="L850" t="n">
        <v>0</v>
      </c>
      <c r="M850" t="n">
        <v>0</v>
      </c>
      <c r="N850" t="n">
        <v>15</v>
      </c>
      <c r="O850" s="1">
        <f>IFERROR(L850*G850,0)</f>
        <v/>
      </c>
      <c r="P850">
        <f>IF(N850-L850-M850&gt;0,N850-L850-M850,0)</f>
        <v/>
      </c>
      <c r="Q850" s="1">
        <f>IFERROR(P850*G850,0)</f>
        <v/>
      </c>
    </row>
    <row r="851">
      <c r="A851" t="inlineStr">
        <is>
          <t>FM- 003</t>
        </is>
      </c>
      <c r="B851" t="inlineStr">
        <is>
          <t>7.5kW Stator Rewind to 525V</t>
        </is>
      </c>
      <c r="C851" t="inlineStr"/>
      <c r="D851" t="n">
        <v>1</v>
      </c>
      <c r="E851" t="n">
        <v>2</v>
      </c>
      <c r="F851" t="inlineStr">
        <is>
          <t>Luck and King</t>
        </is>
      </c>
      <c r="G851" s="1" t="n">
        <v>5122.46</v>
      </c>
      <c r="H851" t="n">
        <v>0</v>
      </c>
      <c r="I851" t="n">
        <v>1.6</v>
      </c>
      <c r="J851" t="n">
        <v>2</v>
      </c>
      <c r="K851" t="n">
        <v>3</v>
      </c>
      <c r="L851" t="n">
        <v>0</v>
      </c>
      <c r="M851" t="n">
        <v>0</v>
      </c>
      <c r="N851" t="n">
        <v>7</v>
      </c>
      <c r="O851" s="1">
        <f>IFERROR(L851*G851,0)</f>
        <v/>
      </c>
      <c r="P851">
        <f>IF(N851-L851-M851&gt;0,N851-L851-M851,0)</f>
        <v/>
      </c>
      <c r="Q851" s="1">
        <f>IFERROR(P851*G851,0)</f>
        <v/>
      </c>
    </row>
    <row r="852">
      <c r="A852" t="inlineStr">
        <is>
          <t>FR500A-4T-4.0G/5.5P-H</t>
        </is>
      </c>
      <c r="B852" t="inlineStr">
        <is>
          <t>4.0KW 380V 9.5A</t>
        </is>
      </c>
      <c r="C852" t="inlineStr"/>
      <c r="D852" t="n">
        <v>1</v>
      </c>
      <c r="E852" t="n">
        <v>1</v>
      </c>
      <c r="F852" t="inlineStr">
        <is>
          <t>Drive Dynamics (Pty) Ltd</t>
        </is>
      </c>
      <c r="G852" s="1" t="n">
        <v>4900</v>
      </c>
      <c r="H852" t="n">
        <v>0</v>
      </c>
      <c r="I852" t="n">
        <v>0.5</v>
      </c>
      <c r="J852" t="n">
        <v>1</v>
      </c>
      <c r="K852" t="n">
        <v>1</v>
      </c>
      <c r="L852" t="n">
        <v>0</v>
      </c>
      <c r="M852" t="n">
        <v>0</v>
      </c>
      <c r="N852" t="n">
        <v>2</v>
      </c>
      <c r="O852" s="1">
        <f>IFERROR(L852*G852,0)</f>
        <v/>
      </c>
      <c r="P852">
        <f>IF(N852-L852-M852&gt;0,N852-L852-M852,0)</f>
        <v/>
      </c>
      <c r="Q852" s="1">
        <f>IFERROR(P852*G852,0)</f>
        <v/>
      </c>
    </row>
    <row r="853">
      <c r="A853" t="inlineStr">
        <is>
          <t>FRK-25</t>
        </is>
      </c>
      <c r="B853" t="inlineStr">
        <is>
          <t>DUCT WRAP 10m X 1200 X 25 X 23 FRK (silver)</t>
        </is>
      </c>
      <c r="C853" t="inlineStr"/>
      <c r="D853" t="n">
        <v>1</v>
      </c>
      <c r="E853" t="n">
        <v>3</v>
      </c>
      <c r="F853" t="inlineStr">
        <is>
          <t>Advantage Air Africa Pty Ltd</t>
        </is>
      </c>
      <c r="G853" s="1" t="n">
        <v>645</v>
      </c>
      <c r="H853" t="n">
        <v>0</v>
      </c>
      <c r="I853" t="n">
        <v>0.5</v>
      </c>
      <c r="J853" t="n">
        <v>3</v>
      </c>
      <c r="K853" t="n">
        <v>2</v>
      </c>
      <c r="L853" t="n">
        <v>0</v>
      </c>
      <c r="M853" t="n">
        <v>0</v>
      </c>
      <c r="N853" t="n">
        <v>8</v>
      </c>
      <c r="O853" s="1">
        <f>IFERROR(L853*G853,0)</f>
        <v/>
      </c>
      <c r="P853">
        <f>IF(N853-L853-M853&gt;0,N853-L853-M853,0)</f>
        <v/>
      </c>
      <c r="Q853" s="1">
        <f>IFERROR(P853*G853,0)</f>
        <v/>
      </c>
    </row>
    <row r="854">
      <c r="A854" t="inlineStr">
        <is>
          <t>FS C.25A</t>
        </is>
      </c>
      <c r="B854" t="inlineStr">
        <is>
          <t>Fan Speed Controller</t>
        </is>
      </c>
      <c r="C854" t="inlineStr"/>
      <c r="D854" t="n">
        <v>17</v>
      </c>
      <c r="E854" t="n">
        <v>0</v>
      </c>
      <c r="F854" t="inlineStr"/>
      <c r="G854" s="1" t="n">
        <v>0</v>
      </c>
      <c r="H854" t="n">
        <v>73</v>
      </c>
      <c r="I854" t="n">
        <v>0.5</v>
      </c>
      <c r="J854" t="n">
        <v>4.5</v>
      </c>
      <c r="K854" t="n">
        <v>2</v>
      </c>
      <c r="L854" t="n">
        <v>0</v>
      </c>
      <c r="M854" t="n">
        <v>0</v>
      </c>
      <c r="N854" t="n">
        <v>11</v>
      </c>
      <c r="O854" s="1">
        <f>IFERROR(L854*G854,0)</f>
        <v/>
      </c>
      <c r="P854">
        <f>IF(N854-L854-M854&gt;0,N854-L854-M854,0)</f>
        <v/>
      </c>
      <c r="Q854" s="1">
        <f>IFERROR(P854*G854,0)</f>
        <v/>
      </c>
    </row>
    <row r="855">
      <c r="A855" t="inlineStr">
        <is>
          <t>FT4001502</t>
        </is>
      </c>
      <c r="B855" t="inlineStr">
        <is>
          <t>Funmax 400 15.D.8 c/w 1.5kw 2P 380 V Motor</t>
        </is>
      </c>
      <c r="C855" t="inlineStr">
        <is>
          <t>FM - DONKIN</t>
        </is>
      </c>
      <c r="D855" t="n">
        <v>1</v>
      </c>
      <c r="E855" t="n">
        <v>0</v>
      </c>
      <c r="F855" t="inlineStr"/>
      <c r="G855" s="1" t="n">
        <v>0</v>
      </c>
      <c r="H855" t="n">
        <v>1</v>
      </c>
      <c r="I855" t="n">
        <v>0.5</v>
      </c>
      <c r="J855" t="n">
        <v>1</v>
      </c>
      <c r="K855" t="n">
        <v>1</v>
      </c>
      <c r="L855" t="n">
        <v>0</v>
      </c>
      <c r="M855" t="n">
        <v>0</v>
      </c>
      <c r="N855" t="n">
        <v>2</v>
      </c>
      <c r="O855" s="1">
        <f>IFERROR(L855*G855,0)</f>
        <v/>
      </c>
      <c r="P855">
        <f>IF(N855-L855-M855&gt;0,N855-L855-M855,0)</f>
        <v/>
      </c>
      <c r="Q855" s="1">
        <f>IFERROR(P855*G855,0)</f>
        <v/>
      </c>
    </row>
    <row r="856">
      <c r="A856" t="inlineStr">
        <is>
          <t>FT7101104</t>
        </is>
      </c>
      <c r="B856" t="inlineStr">
        <is>
          <t>Funmax 710 20.D.8 c/w 1.1kw 4P 380 V Motor</t>
        </is>
      </c>
      <c r="C856" t="inlineStr">
        <is>
          <t>FM - DONKIN</t>
        </is>
      </c>
      <c r="D856" t="n">
        <v>9</v>
      </c>
      <c r="E856" t="n">
        <v>8</v>
      </c>
      <c r="F856" t="inlineStr">
        <is>
          <t>Centrifab (Pty) Ltd</t>
        </is>
      </c>
      <c r="G856" s="1" t="n">
        <v>13600</v>
      </c>
      <c r="H856" t="n">
        <v>2</v>
      </c>
      <c r="I856" t="n">
        <v>1.8</v>
      </c>
      <c r="J856" t="n">
        <v>1</v>
      </c>
      <c r="K856" t="n">
        <v>2</v>
      </c>
      <c r="L856" t="n">
        <v>0</v>
      </c>
      <c r="M856" t="n">
        <v>0</v>
      </c>
      <c r="N856" t="n">
        <v>4</v>
      </c>
      <c r="O856" s="1">
        <f>IFERROR(L856*G856,0)</f>
        <v/>
      </c>
      <c r="P856">
        <f>IF(N856-L856-M856&gt;0,N856-L856-M856,0)</f>
        <v/>
      </c>
      <c r="Q856" s="1">
        <f>IFERROR(P856*G856,0)</f>
        <v/>
      </c>
    </row>
    <row r="857">
      <c r="A857" t="inlineStr">
        <is>
          <t>FT8003004</t>
        </is>
      </c>
      <c r="B857" t="inlineStr">
        <is>
          <t>Fumax 800.32.E.8.300.4.3 c/w 3 kW 4 Pole 380V</t>
        </is>
      </c>
      <c r="C857" t="inlineStr"/>
      <c r="D857" t="n">
        <v>11</v>
      </c>
      <c r="E857" t="n">
        <v>4</v>
      </c>
      <c r="F857" t="inlineStr">
        <is>
          <t>Centrifab (Pty) Ltd</t>
        </is>
      </c>
      <c r="G857" s="1" t="n">
        <v>22673.9</v>
      </c>
      <c r="H857" t="n">
        <v>3</v>
      </c>
      <c r="I857" t="n">
        <v>0.9</v>
      </c>
      <c r="J857" t="n">
        <v>1</v>
      </c>
      <c r="K857" t="n">
        <v>1</v>
      </c>
      <c r="L857" t="n">
        <v>0</v>
      </c>
      <c r="M857" t="n">
        <v>0</v>
      </c>
      <c r="N857" t="n">
        <v>3</v>
      </c>
      <c r="O857" s="1">
        <f>IFERROR(L857*G857,0)</f>
        <v/>
      </c>
      <c r="P857">
        <f>IF(N857-L857-M857&gt;0,N857-L857-M857,0)</f>
        <v/>
      </c>
      <c r="Q857" s="1">
        <f>IFERROR(P857*G857,0)</f>
        <v/>
      </c>
    </row>
    <row r="858">
      <c r="A858" t="inlineStr">
        <is>
          <t>FUMAX105X105</t>
        </is>
      </c>
      <c r="B858" t="inlineStr">
        <is>
          <t>UV print onto alu plates (105mm x105mm) block cut</t>
        </is>
      </c>
      <c r="C858" t="inlineStr"/>
      <c r="D858" t="n">
        <v>1</v>
      </c>
      <c r="E858" t="n">
        <v>50</v>
      </c>
      <c r="F858" t="inlineStr">
        <is>
          <t>HC Soekoe CC</t>
        </is>
      </c>
      <c r="G858" s="1" t="n">
        <v>8.039999999999999</v>
      </c>
      <c r="H858" t="n">
        <v>0</v>
      </c>
      <c r="I858" t="n">
        <v>0.5</v>
      </c>
      <c r="J858" t="n">
        <v>50</v>
      </c>
      <c r="K858" t="n">
        <v>25</v>
      </c>
      <c r="L858" t="n">
        <v>0</v>
      </c>
      <c r="M858" t="n">
        <v>0</v>
      </c>
      <c r="N858" t="n">
        <v>125</v>
      </c>
      <c r="O858" s="1">
        <f>IFERROR(L858*G858,0)</f>
        <v/>
      </c>
      <c r="P858">
        <f>IF(N858-L858-M858&gt;0,N858-L858-M858,0)</f>
        <v/>
      </c>
      <c r="Q858" s="1">
        <f>IFERROR(P858*G858,0)</f>
        <v/>
      </c>
    </row>
    <row r="859">
      <c r="A859" t="inlineStr">
        <is>
          <t>FUMAX40X65</t>
        </is>
      </c>
      <c r="B859" t="inlineStr">
        <is>
          <t>UV print onto alu plates (40mm x65mm) block cut</t>
        </is>
      </c>
      <c r="C859" t="inlineStr"/>
      <c r="D859" t="n">
        <v>1</v>
      </c>
      <c r="E859" t="n">
        <v>50</v>
      </c>
      <c r="F859" t="inlineStr">
        <is>
          <t>HC Soekoe CC</t>
        </is>
      </c>
      <c r="G859" s="1" t="n">
        <v>4.77</v>
      </c>
      <c r="H859" t="n">
        <v>0</v>
      </c>
      <c r="I859" t="n">
        <v>0.5</v>
      </c>
      <c r="J859" t="n">
        <v>50</v>
      </c>
      <c r="K859" t="n">
        <v>25</v>
      </c>
      <c r="L859" t="n">
        <v>0</v>
      </c>
      <c r="M859" t="n">
        <v>0</v>
      </c>
      <c r="N859" t="n">
        <v>125</v>
      </c>
      <c r="O859" s="1">
        <f>IFERROR(L859*G859,0)</f>
        <v/>
      </c>
      <c r="P859">
        <f>IF(N859-L859-M859&gt;0,N859-L859-M859,0)</f>
        <v/>
      </c>
      <c r="Q859" s="1">
        <f>IFERROR(P859*G859,0)</f>
        <v/>
      </c>
    </row>
    <row r="860">
      <c r="A860" t="inlineStr">
        <is>
          <t>Fan Screen</t>
        </is>
      </c>
      <c r="B860" t="inlineStr">
        <is>
          <t>500mm Dia</t>
        </is>
      </c>
      <c r="C860" t="inlineStr"/>
      <c r="D860" t="n">
        <v>6</v>
      </c>
      <c r="E860" t="n">
        <v>0</v>
      </c>
      <c r="F860" t="inlineStr"/>
      <c r="G860" s="1" t="n">
        <v>0</v>
      </c>
      <c r="H860" t="n">
        <v>3</v>
      </c>
      <c r="I860" t="n">
        <v>0.5</v>
      </c>
      <c r="J860" t="n">
        <v>1</v>
      </c>
      <c r="K860" t="n">
        <v>1</v>
      </c>
      <c r="L860" t="n">
        <v>0</v>
      </c>
      <c r="M860" t="n">
        <v>0</v>
      </c>
      <c r="N860" t="n">
        <v>2</v>
      </c>
      <c r="O860" s="1">
        <f>IFERROR(L860*G860,0)</f>
        <v/>
      </c>
      <c r="P860">
        <f>IF(N860-L860-M860&gt;0,N860-L860-M860,0)</f>
        <v/>
      </c>
      <c r="Q860" s="1">
        <f>IFERROR(P860*G860,0)</f>
        <v/>
      </c>
    </row>
    <row r="861">
      <c r="A861" t="inlineStr">
        <is>
          <t>Fan Testing</t>
        </is>
      </c>
      <c r="B861" t="inlineStr">
        <is>
          <t>Service Engineer x1</t>
        </is>
      </c>
      <c r="C861" t="inlineStr"/>
      <c r="D861" t="n">
        <v>1</v>
      </c>
      <c r="E861" t="n">
        <v>8</v>
      </c>
      <c r="F861" t="inlineStr">
        <is>
          <t>TDCM Engineering cc</t>
        </is>
      </c>
      <c r="G861" s="1" t="n">
        <v>940.5</v>
      </c>
      <c r="H861" t="n">
        <v>8</v>
      </c>
      <c r="I861" t="n">
        <v>1.1</v>
      </c>
      <c r="J861" t="n">
        <v>8</v>
      </c>
      <c r="K861" t="n">
        <v>9</v>
      </c>
      <c r="L861" t="n">
        <v>0</v>
      </c>
      <c r="M861" t="n">
        <v>0</v>
      </c>
      <c r="N861" t="n">
        <v>25</v>
      </c>
      <c r="O861" s="1">
        <f>IFERROR(L861*G861,0)</f>
        <v/>
      </c>
      <c r="P861">
        <f>IF(N861-L861-M861&gt;0,N861-L861-M861,0)</f>
        <v/>
      </c>
      <c r="Q861" s="1">
        <f>IFERROR(P861*G861,0)</f>
        <v/>
      </c>
    </row>
    <row r="862">
      <c r="A862" t="inlineStr">
        <is>
          <t>Fuel Surcharge</t>
        </is>
      </c>
      <c r="B862" t="inlineStr">
        <is>
          <t>Fuel Surcharge</t>
        </is>
      </c>
      <c r="C862" t="inlineStr">
        <is>
          <t>FREIGHT</t>
        </is>
      </c>
      <c r="D862" t="n">
        <v>1</v>
      </c>
      <c r="E862" t="n">
        <v>1</v>
      </c>
      <c r="F862" t="inlineStr">
        <is>
          <t>Rhenus Logistics (Pty) Ltd</t>
        </is>
      </c>
      <c r="G862" s="1" t="n">
        <v>81.45</v>
      </c>
      <c r="H862" t="n">
        <v>0</v>
      </c>
      <c r="I862" t="n">
        <v>1.8</v>
      </c>
      <c r="J862" t="n">
        <v>1</v>
      </c>
      <c r="K862" t="n">
        <v>2</v>
      </c>
      <c r="L862" t="n">
        <v>0</v>
      </c>
      <c r="M862" t="n">
        <v>0</v>
      </c>
      <c r="N862" t="n">
        <v>4</v>
      </c>
      <c r="O862" s="1">
        <f>IFERROR(L862*G862,0)</f>
        <v/>
      </c>
      <c r="P862">
        <f>IF(N862-L862-M862&gt;0,N862-L862-M862,0)</f>
        <v/>
      </c>
      <c r="Q862" s="1">
        <f>IFERROR(P862*G862,0)</f>
        <v/>
      </c>
    </row>
    <row r="863">
      <c r="A863" t="inlineStr">
        <is>
          <t>Fumax 1000.32.F.8.1100.4.3</t>
        </is>
      </c>
      <c r="B863" t="inlineStr">
        <is>
          <t>c/w 11 kW 4 Pole 380 V Motor</t>
        </is>
      </c>
      <c r="C863" t="inlineStr"/>
      <c r="D863" t="n">
        <v>1</v>
      </c>
      <c r="E863" t="n">
        <v>0</v>
      </c>
      <c r="F863" t="inlineStr"/>
      <c r="G863" s="1" t="n">
        <v>0</v>
      </c>
      <c r="H863" t="n">
        <v>10</v>
      </c>
      <c r="I863" t="n">
        <v>0.5</v>
      </c>
      <c r="J863" t="n">
        <v>10</v>
      </c>
      <c r="K863" t="n">
        <v>5</v>
      </c>
      <c r="L863" t="n">
        <v>0</v>
      </c>
      <c r="M863" t="n">
        <v>0</v>
      </c>
      <c r="N863" t="n">
        <v>25</v>
      </c>
      <c r="O863" s="1">
        <f>IFERROR(L863*G863,0)</f>
        <v/>
      </c>
      <c r="P863">
        <f>IF(N863-L863-M863&gt;0,N863-L863-M863,0)</f>
        <v/>
      </c>
      <c r="Q863" s="1">
        <f>IFERROR(P863*G863,0)</f>
        <v/>
      </c>
    </row>
    <row r="864">
      <c r="A864" t="inlineStr">
        <is>
          <t>Fumax 1000.32.F.8.1850.4.3</t>
        </is>
      </c>
      <c r="B864" t="inlineStr">
        <is>
          <t>c/w 18.5 kW 4 Pole 400 V Motor</t>
        </is>
      </c>
      <c r="C864" t="inlineStr"/>
      <c r="D864" t="n">
        <v>29</v>
      </c>
      <c r="E864" t="n">
        <v>3</v>
      </c>
      <c r="F864" t="inlineStr">
        <is>
          <t>Air Speration</t>
        </is>
      </c>
      <c r="G864" s="1" t="n">
        <v>48642</v>
      </c>
      <c r="H864" t="n">
        <v>7</v>
      </c>
      <c r="I864" t="n">
        <v>1.5</v>
      </c>
      <c r="J864" t="n">
        <v>1</v>
      </c>
      <c r="K864" t="n">
        <v>2</v>
      </c>
      <c r="L864" t="n">
        <v>0</v>
      </c>
      <c r="M864" t="n">
        <v>0</v>
      </c>
      <c r="N864" t="n">
        <v>4</v>
      </c>
      <c r="O864" s="1">
        <f>IFERROR(L864*G864,0)</f>
        <v/>
      </c>
      <c r="P864">
        <f>IF(N864-L864-M864&gt;0,N864-L864-M864,0)</f>
        <v/>
      </c>
      <c r="Q864" s="1">
        <f>IFERROR(P864*G864,0)</f>
        <v/>
      </c>
    </row>
    <row r="865">
      <c r="A865" t="inlineStr">
        <is>
          <t>Fumax 10007504</t>
        </is>
      </c>
      <c r="B865" t="inlineStr">
        <is>
          <t>1000 32.F.8 c/w 7.5kW 4 Pole 380V</t>
        </is>
      </c>
      <c r="C865" t="inlineStr"/>
      <c r="D865" t="n">
        <v>1</v>
      </c>
      <c r="E865" t="n">
        <v>8</v>
      </c>
      <c r="F865" t="inlineStr">
        <is>
          <t>Centrifab (Pty) Ltd</t>
        </is>
      </c>
      <c r="G865" s="1" t="n">
        <v>26270</v>
      </c>
      <c r="H865" t="n">
        <v>0</v>
      </c>
      <c r="I865" t="n">
        <v>1.2</v>
      </c>
      <c r="J865" t="n">
        <v>8</v>
      </c>
      <c r="K865" t="n">
        <v>10</v>
      </c>
      <c r="L865" t="n">
        <v>0</v>
      </c>
      <c r="M865" t="n">
        <v>4</v>
      </c>
      <c r="N865" t="n">
        <v>26</v>
      </c>
      <c r="O865" s="1">
        <f>IFERROR(L865*G865,0)</f>
        <v/>
      </c>
      <c r="P865">
        <f>IF(N865-L865-M865&gt;0,N865-L865-M865,0)</f>
        <v/>
      </c>
      <c r="Q865" s="1">
        <f>IFERROR(P865*G865,0)</f>
        <v/>
      </c>
    </row>
    <row r="866">
      <c r="A866" t="inlineStr">
        <is>
          <t>Fumax 560</t>
        </is>
      </c>
      <c r="B866" t="inlineStr">
        <is>
          <t>Fumax 560.20.D.8 C/W 3KW 2P 380V</t>
        </is>
      </c>
      <c r="C866" t="inlineStr"/>
      <c r="D866" t="n">
        <v>1</v>
      </c>
      <c r="E866" t="n">
        <v>1</v>
      </c>
      <c r="F866" t="inlineStr">
        <is>
          <t>Centrifab (Pty) Ltd</t>
        </is>
      </c>
      <c r="G866" s="1" t="n">
        <v>14394</v>
      </c>
      <c r="H866" t="n">
        <v>1</v>
      </c>
      <c r="I866" t="n">
        <v>1.1</v>
      </c>
      <c r="J866" t="n">
        <v>1</v>
      </c>
      <c r="K866" t="n">
        <v>1</v>
      </c>
      <c r="L866" t="n">
        <v>0</v>
      </c>
      <c r="M866" t="n">
        <v>0</v>
      </c>
      <c r="N866" t="n">
        <v>3</v>
      </c>
      <c r="O866" s="1">
        <f>IFERROR(L866*G866,0)</f>
        <v/>
      </c>
      <c r="P866">
        <f>IF(N866-L866-M866&gt;0,N866-L866-M866,0)</f>
        <v/>
      </c>
      <c r="Q866" s="1">
        <f>IFERROR(P866*G866,0)</f>
        <v/>
      </c>
    </row>
    <row r="867">
      <c r="A867" t="inlineStr">
        <is>
          <t>Fumax 630</t>
        </is>
      </c>
      <c r="B867" t="inlineStr">
        <is>
          <t>Fumax 630</t>
        </is>
      </c>
      <c r="C867" t="inlineStr"/>
      <c r="D867" t="n">
        <v>9</v>
      </c>
      <c r="E867" t="n">
        <v>8</v>
      </c>
      <c r="F867" t="inlineStr">
        <is>
          <t>Centrifab (Pty) Ltd</t>
        </is>
      </c>
      <c r="G867" s="1" t="n">
        <v>9248</v>
      </c>
      <c r="H867" t="n">
        <v>11</v>
      </c>
      <c r="I867" t="n">
        <v>0.8</v>
      </c>
      <c r="J867" t="n">
        <v>1.5</v>
      </c>
      <c r="K867" t="n">
        <v>1</v>
      </c>
      <c r="L867" t="n">
        <v>0</v>
      </c>
      <c r="M867" t="n">
        <v>0</v>
      </c>
      <c r="N867" t="n">
        <v>4</v>
      </c>
      <c r="O867" s="1">
        <f>IFERROR(L867*G867,0)</f>
        <v/>
      </c>
      <c r="P867">
        <f>IF(N867-L867-M867&gt;0,N867-L867-M867,0)</f>
        <v/>
      </c>
      <c r="Q867" s="1">
        <f>IFERROR(P867*G867,0)</f>
        <v/>
      </c>
    </row>
    <row r="868">
      <c r="A868" t="inlineStr">
        <is>
          <t>Fumax 710.20.D.8.0220.4.3</t>
        </is>
      </c>
      <c r="B868" t="inlineStr">
        <is>
          <t>c/w 2.2 kW 4 Pole 380 V Motor</t>
        </is>
      </c>
      <c r="C868" t="inlineStr"/>
      <c r="D868" t="n">
        <v>7</v>
      </c>
      <c r="E868" t="n">
        <v>1</v>
      </c>
      <c r="F868" t="inlineStr">
        <is>
          <t>Centrifab (Pty) Ltd</t>
        </is>
      </c>
      <c r="G868" s="1" t="n">
        <v>12391</v>
      </c>
      <c r="H868" t="n">
        <v>6</v>
      </c>
      <c r="I868" t="n">
        <v>1.7</v>
      </c>
      <c r="J868" t="n">
        <v>1</v>
      </c>
      <c r="K868" t="n">
        <v>2</v>
      </c>
      <c r="L868" t="n">
        <v>0</v>
      </c>
      <c r="M868" t="n">
        <v>0</v>
      </c>
      <c r="N868" t="n">
        <v>4</v>
      </c>
      <c r="O868" s="1">
        <f>IFERROR(L868*G868,0)</f>
        <v/>
      </c>
      <c r="P868">
        <f>IF(N868-L868-M868&gt;0,N868-L868-M868,0)</f>
        <v/>
      </c>
      <c r="Q868" s="1">
        <f>IFERROR(P868*G868,0)</f>
        <v/>
      </c>
    </row>
    <row r="869">
      <c r="A869" t="inlineStr">
        <is>
          <t>Fumax 800.32.E.8.0400.4.3</t>
        </is>
      </c>
      <c r="B869" t="inlineStr">
        <is>
          <t>c/w 4 kW 4 Pole 380 V Motor</t>
        </is>
      </c>
      <c r="C869" t="inlineStr"/>
      <c r="D869" t="n">
        <v>5</v>
      </c>
      <c r="E869" t="n">
        <v>5</v>
      </c>
      <c r="F869" t="inlineStr">
        <is>
          <t>Centrifab (Pty) Ltd</t>
        </is>
      </c>
      <c r="G869" s="1" t="n">
        <v>21973</v>
      </c>
      <c r="H869" t="n">
        <v>5</v>
      </c>
      <c r="I869" t="n">
        <v>1.3</v>
      </c>
      <c r="J869" t="n">
        <v>1</v>
      </c>
      <c r="K869" t="n">
        <v>1</v>
      </c>
      <c r="L869" t="n">
        <v>0</v>
      </c>
      <c r="M869" t="n">
        <v>0</v>
      </c>
      <c r="N869" t="n">
        <v>3</v>
      </c>
      <c r="O869" s="1">
        <f>IFERROR(L869*G869,0)</f>
        <v/>
      </c>
      <c r="P869">
        <f>IF(N869-L869-M869&gt;0,N869-L869-M869,0)</f>
        <v/>
      </c>
      <c r="Q869" s="1">
        <f>IFERROR(P869*G869,0)</f>
        <v/>
      </c>
    </row>
    <row r="870">
      <c r="A870" t="inlineStr">
        <is>
          <t>Fumax 8004004</t>
        </is>
      </c>
      <c r="B870" t="inlineStr">
        <is>
          <t>800 32.F.8 c/w 4 kW 4 Pole 380V</t>
        </is>
      </c>
      <c r="C870" t="inlineStr"/>
      <c r="D870" t="n">
        <v>1</v>
      </c>
      <c r="E870" t="n">
        <v>4</v>
      </c>
      <c r="F870" t="inlineStr">
        <is>
          <t>Centrifab (Pty) Ltd</t>
        </is>
      </c>
      <c r="G870" s="1" t="n">
        <v>17220</v>
      </c>
      <c r="H870" t="n">
        <v>4</v>
      </c>
      <c r="I870" t="n">
        <v>1.8</v>
      </c>
      <c r="J870" t="n">
        <v>4</v>
      </c>
      <c r="K870" t="n">
        <v>7</v>
      </c>
      <c r="L870" t="n">
        <v>0</v>
      </c>
      <c r="M870" t="n">
        <v>0</v>
      </c>
      <c r="N870" t="n">
        <v>15</v>
      </c>
      <c r="O870" s="1">
        <f>IFERROR(L870*G870,0)</f>
        <v/>
      </c>
      <c r="P870">
        <f>IF(N870-L870-M870&gt;0,N870-L870-M870,0)</f>
        <v/>
      </c>
      <c r="Q870" s="1">
        <f>IFERROR(P870*G870,0)</f>
        <v/>
      </c>
    </row>
    <row r="871">
      <c r="A871" t="inlineStr">
        <is>
          <t>Fumax 900.20.E.8.0550.4.3</t>
        </is>
      </c>
      <c r="B871" t="inlineStr">
        <is>
          <t>c/w 5.5 kW 4 Pole 380 V</t>
        </is>
      </c>
      <c r="C871" t="inlineStr"/>
      <c r="D871" t="n">
        <v>1</v>
      </c>
      <c r="E871" t="n">
        <v>7</v>
      </c>
      <c r="F871" t="inlineStr">
        <is>
          <t>Centrifab (Pty) Ltd</t>
        </is>
      </c>
      <c r="G871" s="1" t="n">
        <v>21973</v>
      </c>
      <c r="H871" t="n">
        <v>0</v>
      </c>
      <c r="I871" t="n">
        <v>1.2</v>
      </c>
      <c r="J871" t="n">
        <v>7</v>
      </c>
      <c r="K871" t="n">
        <v>8</v>
      </c>
      <c r="L871" t="n">
        <v>0</v>
      </c>
      <c r="M871" t="n">
        <v>0</v>
      </c>
      <c r="N871" t="n">
        <v>22</v>
      </c>
      <c r="O871" s="1">
        <f>IFERROR(L871*G871,0)</f>
        <v/>
      </c>
      <c r="P871">
        <f>IF(N871-L871-M871&gt;0,N871-L871-M871,0)</f>
        <v/>
      </c>
      <c r="Q871" s="1">
        <f>IFERROR(P871*G871,0)</f>
        <v/>
      </c>
    </row>
    <row r="872">
      <c r="A872" t="inlineStr">
        <is>
          <t>Fumax 900.20.E.8.0750.4.3</t>
        </is>
      </c>
      <c r="B872" t="inlineStr">
        <is>
          <t>c/w 7.7 kW 4 Pole 380 V Motor</t>
        </is>
      </c>
      <c r="C872" t="inlineStr"/>
      <c r="D872" t="n">
        <v>1</v>
      </c>
      <c r="E872" t="n">
        <v>4</v>
      </c>
      <c r="F872" t="inlineStr">
        <is>
          <t>Centrifab (Pty) Ltd</t>
        </is>
      </c>
      <c r="G872" s="1" t="n">
        <v>21973</v>
      </c>
      <c r="H872" t="n">
        <v>5</v>
      </c>
      <c r="I872" t="n">
        <v>1.1</v>
      </c>
      <c r="J872" t="n">
        <v>5</v>
      </c>
      <c r="K872" t="n">
        <v>6</v>
      </c>
      <c r="L872" t="n">
        <v>0</v>
      </c>
      <c r="M872" t="n">
        <v>0</v>
      </c>
      <c r="N872" t="n">
        <v>16</v>
      </c>
      <c r="O872" s="1">
        <f>IFERROR(L872*G872,0)</f>
        <v/>
      </c>
      <c r="P872">
        <f>IF(N872-L872-M872&gt;0,N872-L872-M872,0)</f>
        <v/>
      </c>
      <c r="Q872" s="1">
        <f>IFERROR(P872*G872,0)</f>
        <v/>
      </c>
    </row>
    <row r="873">
      <c r="A873" t="inlineStr">
        <is>
          <t>Fumax400</t>
        </is>
      </c>
      <c r="B873" t="inlineStr">
        <is>
          <t>Fumax 4000.15.B.4 C/W 1.5KW 2P 380V</t>
        </is>
      </c>
      <c r="C873" t="inlineStr"/>
      <c r="D873" t="n">
        <v>1</v>
      </c>
      <c r="E873" t="n">
        <v>5</v>
      </c>
      <c r="F873" t="inlineStr">
        <is>
          <t>Centrifab (Pty) Ltd</t>
        </is>
      </c>
      <c r="G873" s="1" t="n">
        <v>9462.959999999999</v>
      </c>
      <c r="H873" t="n">
        <v>5</v>
      </c>
      <c r="I873" t="n">
        <v>1.7</v>
      </c>
      <c r="J873" t="n">
        <v>5</v>
      </c>
      <c r="K873" t="n">
        <v>8</v>
      </c>
      <c r="L873" t="n">
        <v>0</v>
      </c>
      <c r="M873" t="n">
        <v>0</v>
      </c>
      <c r="N873" t="n">
        <v>18</v>
      </c>
      <c r="O873" s="1">
        <f>IFERROR(L873*G873,0)</f>
        <v/>
      </c>
      <c r="P873">
        <f>IF(N873-L873-M873&gt;0,N873-L873-M873,0)</f>
        <v/>
      </c>
      <c r="Q873" s="1">
        <f>IFERROR(P873*G873,0)</f>
        <v/>
      </c>
    </row>
    <row r="874">
      <c r="A874" t="inlineStr">
        <is>
          <t>G023</t>
        </is>
      </c>
      <c r="B874" t="inlineStr">
        <is>
          <t>GLOVES 2.5 GREEN WRIST</t>
        </is>
      </c>
      <c r="C874" t="inlineStr"/>
      <c r="D874" t="n">
        <v>1</v>
      </c>
      <c r="E874" t="n">
        <v>4</v>
      </c>
      <c r="F874" t="inlineStr">
        <is>
          <t>INTROWELD CC</t>
        </is>
      </c>
      <c r="G874" s="1" t="n">
        <v>48</v>
      </c>
      <c r="H874" t="n">
        <v>0</v>
      </c>
      <c r="I874" t="n">
        <v>0.5</v>
      </c>
      <c r="J874" t="n">
        <v>4</v>
      </c>
      <c r="K874" t="n">
        <v>2</v>
      </c>
      <c r="L874" t="n">
        <v>0</v>
      </c>
      <c r="M874" t="n">
        <v>0</v>
      </c>
      <c r="N874" t="n">
        <v>10</v>
      </c>
      <c r="O874" s="1">
        <f>IFERROR(L874*G874,0)</f>
        <v/>
      </c>
      <c r="P874">
        <f>IF(N874-L874-M874&gt;0,N874-L874-M874,0)</f>
        <v/>
      </c>
      <c r="Q874" s="1">
        <f>IFERROR(P874*G874,0)</f>
        <v/>
      </c>
    </row>
    <row r="875">
      <c r="A875" t="inlineStr">
        <is>
          <t>G028</t>
        </is>
      </c>
      <c r="B875" t="inlineStr">
        <is>
          <t>8 RED HEAT RESISTANT GLOVES</t>
        </is>
      </c>
      <c r="C875" t="inlineStr">
        <is>
          <t>CONSUMABLES</t>
        </is>
      </c>
      <c r="D875" t="n">
        <v>1</v>
      </c>
      <c r="E875" t="n">
        <v>2</v>
      </c>
      <c r="F875" t="inlineStr">
        <is>
          <t>INTROWELD CC</t>
        </is>
      </c>
      <c r="G875" s="1" t="n">
        <v>69</v>
      </c>
      <c r="H875" t="n">
        <v>0</v>
      </c>
      <c r="I875" t="n">
        <v>0.6</v>
      </c>
      <c r="J875" t="n">
        <v>2</v>
      </c>
      <c r="K875" t="n">
        <v>1</v>
      </c>
      <c r="L875" t="n">
        <v>0</v>
      </c>
      <c r="M875" t="n">
        <v>0</v>
      </c>
      <c r="N875" t="n">
        <v>5</v>
      </c>
      <c r="O875" s="1">
        <f>IFERROR(L875*G875,0)</f>
        <v/>
      </c>
      <c r="P875">
        <f>IF(N875-L875-M875&gt;0,N875-L875-M875,0)</f>
        <v/>
      </c>
      <c r="Q875" s="1">
        <f>IFERROR(P875*G875,0)</f>
        <v/>
      </c>
    </row>
    <row r="876">
      <c r="A876" t="inlineStr">
        <is>
          <t>G2E180EH0301</t>
        </is>
      </c>
      <c r="B876" t="inlineStr">
        <is>
          <t>220V SI Centrifugal Fan</t>
        </is>
      </c>
      <c r="C876" t="inlineStr"/>
      <c r="D876" t="n">
        <v>1</v>
      </c>
      <c r="E876" t="n">
        <v>12</v>
      </c>
      <c r="F876" t="inlineStr">
        <is>
          <t>Ebmpapst</t>
        </is>
      </c>
      <c r="G876" s="1" t="n">
        <v>5110.49</v>
      </c>
      <c r="H876" t="n">
        <v>0</v>
      </c>
      <c r="I876" t="n">
        <v>0.5</v>
      </c>
      <c r="J876" t="n">
        <v>12</v>
      </c>
      <c r="K876" t="n">
        <v>6</v>
      </c>
      <c r="L876" t="n">
        <v>0</v>
      </c>
      <c r="M876" t="n">
        <v>0</v>
      </c>
      <c r="N876" t="n">
        <v>30</v>
      </c>
      <c r="O876" s="1">
        <f>IFERROR(L876*G876,0)</f>
        <v/>
      </c>
      <c r="P876">
        <f>IF(N876-L876-M876&gt;0,N876-L876-M876,0)</f>
        <v/>
      </c>
      <c r="Q876" s="1">
        <f>IFERROR(P876*G876,0)</f>
        <v/>
      </c>
    </row>
    <row r="877">
      <c r="A877" t="inlineStr">
        <is>
          <t>GALV PLATE</t>
        </is>
      </c>
      <c r="B877" t="inlineStr">
        <is>
          <t>3mm Galvanised Plate</t>
        </is>
      </c>
      <c r="C877" t="inlineStr">
        <is>
          <t>PLATE</t>
        </is>
      </c>
      <c r="D877" t="n">
        <v>2</v>
      </c>
      <c r="E877" t="n">
        <v>5</v>
      </c>
      <c r="F877" t="inlineStr">
        <is>
          <t>Kart Shop TA Ultimate Laser Cutting</t>
        </is>
      </c>
      <c r="G877" s="1" t="n">
        <v>2334</v>
      </c>
      <c r="H877" t="n">
        <v>0</v>
      </c>
      <c r="I877" t="n">
        <v>0.5</v>
      </c>
      <c r="J877" t="n">
        <v>2.5</v>
      </c>
      <c r="K877" t="n">
        <v>1</v>
      </c>
      <c r="L877" t="n">
        <v>0</v>
      </c>
      <c r="M877" t="n">
        <v>0</v>
      </c>
      <c r="N877" t="n">
        <v>6</v>
      </c>
      <c r="O877" s="1">
        <f>IFERROR(L877*G877,0)</f>
        <v/>
      </c>
      <c r="P877">
        <f>IF(N877-L877-M877&gt;0,N877-L877-M877,0)</f>
        <v/>
      </c>
      <c r="Q877" s="1">
        <f>IFERROR(P877*G877,0)</f>
        <v/>
      </c>
    </row>
    <row r="878">
      <c r="A878" t="inlineStr">
        <is>
          <t>GALV-TERMINAL CAP</t>
        </is>
      </c>
      <c r="B878" t="inlineStr">
        <is>
          <t>TERMINAL CAP</t>
        </is>
      </c>
      <c r="C878" t="inlineStr"/>
      <c r="D878" t="n">
        <v>1</v>
      </c>
      <c r="E878" t="n">
        <v>32</v>
      </c>
      <c r="F878" t="inlineStr">
        <is>
          <t>GALVAGLOW (PTY) LTD</t>
        </is>
      </c>
      <c r="G878" s="1" t="n">
        <v>0</v>
      </c>
      <c r="H878" t="n">
        <v>0</v>
      </c>
      <c r="I878" t="n">
        <v>0.5</v>
      </c>
      <c r="J878" t="n">
        <v>32</v>
      </c>
      <c r="K878" t="n">
        <v>16</v>
      </c>
      <c r="L878" t="n">
        <v>0</v>
      </c>
      <c r="M878" t="n">
        <v>0</v>
      </c>
      <c r="N878" t="n">
        <v>80</v>
      </c>
      <c r="O878" s="1">
        <f>IFERROR(L878*G878,0)</f>
        <v/>
      </c>
      <c r="P878">
        <f>IF(N878-L878-M878&gt;0,N878-L878-M878,0)</f>
        <v/>
      </c>
      <c r="Q878" s="1">
        <f>IFERROR(P878*G878,0)</f>
        <v/>
      </c>
    </row>
    <row r="879">
      <c r="A879" t="inlineStr">
        <is>
          <t>GALVANISING</t>
        </is>
      </c>
      <c r="B879" t="inlineStr">
        <is>
          <t>Galvanizing General 11 X FAN CASING</t>
        </is>
      </c>
      <c r="C879" t="inlineStr"/>
      <c r="D879" t="n">
        <v>19</v>
      </c>
      <c r="E879" t="n">
        <v>11324.05</v>
      </c>
      <c r="F879" t="inlineStr">
        <is>
          <t>GALVAGLOW (PTY) LTD</t>
        </is>
      </c>
      <c r="G879" s="1" t="n">
        <v>13.02</v>
      </c>
      <c r="H879" t="n">
        <v>0</v>
      </c>
      <c r="I879" t="n">
        <v>0.5</v>
      </c>
      <c r="J879" t="n">
        <v>596.5</v>
      </c>
      <c r="K879" t="n">
        <v>298</v>
      </c>
      <c r="L879" t="n">
        <v>0</v>
      </c>
      <c r="M879" t="n">
        <v>0</v>
      </c>
      <c r="N879" t="n">
        <v>1491</v>
      </c>
      <c r="O879" s="1">
        <f>IFERROR(L879*G879,0)</f>
        <v/>
      </c>
      <c r="P879">
        <f>IF(N879-L879-M879&gt;0,N879-L879-M879,0)</f>
        <v/>
      </c>
      <c r="Q879" s="1">
        <f>IFERROR(P879*G879,0)</f>
        <v/>
      </c>
    </row>
    <row r="880">
      <c r="A880" t="inlineStr">
        <is>
          <t>GAS001</t>
        </is>
      </c>
      <c r="B880" t="inlineStr">
        <is>
          <t>Rolls Gasketing</t>
        </is>
      </c>
      <c r="C880" t="inlineStr"/>
      <c r="D880" t="n">
        <v>1</v>
      </c>
      <c r="E880" t="n">
        <v>4</v>
      </c>
      <c r="F880" t="inlineStr">
        <is>
          <t>Filtermac Design ( Pty) Ltd</t>
        </is>
      </c>
      <c r="G880" s="1" t="n">
        <v>73</v>
      </c>
      <c r="H880" t="n">
        <v>0</v>
      </c>
      <c r="I880" t="n">
        <v>0.8</v>
      </c>
      <c r="J880" t="n">
        <v>4</v>
      </c>
      <c r="K880" t="n">
        <v>3</v>
      </c>
      <c r="L880" t="n">
        <v>0</v>
      </c>
      <c r="M880" t="n">
        <v>0</v>
      </c>
      <c r="N880" t="n">
        <v>11</v>
      </c>
      <c r="O880" s="1">
        <f>IFERROR(L880*G880,0)</f>
        <v/>
      </c>
      <c r="P880">
        <f>IF(N880-L880-M880&gt;0,N880-L880-M880,0)</f>
        <v/>
      </c>
      <c r="Q880" s="1">
        <f>IFERROR(P880*G880,0)</f>
        <v/>
      </c>
    </row>
    <row r="881">
      <c r="A881" t="inlineStr">
        <is>
          <t>GL5</t>
        </is>
      </c>
      <c r="B881" t="inlineStr">
        <is>
          <t>380V Extraction &amp; Ventilation 380V, 0.55kW 1430rpm 7000m3/hr</t>
        </is>
      </c>
      <c r="C881" t="inlineStr"/>
      <c r="D881" t="n">
        <v>1</v>
      </c>
      <c r="E881" t="n">
        <v>2</v>
      </c>
      <c r="F881" t="inlineStr">
        <is>
          <t>Bluetech Fans (Pty) Ltd</t>
        </is>
      </c>
      <c r="G881" s="1" t="n">
        <v>735</v>
      </c>
      <c r="H881" t="n">
        <v>0</v>
      </c>
      <c r="I881" t="n">
        <v>1.4</v>
      </c>
      <c r="J881" t="n">
        <v>2</v>
      </c>
      <c r="K881" t="n">
        <v>3</v>
      </c>
      <c r="L881" t="n">
        <v>0</v>
      </c>
      <c r="M881" t="n">
        <v>0</v>
      </c>
      <c r="N881" t="n">
        <v>7</v>
      </c>
      <c r="O881" s="1">
        <f>IFERROR(L881*G881,0)</f>
        <v/>
      </c>
      <c r="P881">
        <f>IF(N881-L881-M881&gt;0,N881-L881-M881,0)</f>
        <v/>
      </c>
      <c r="Q881" s="1">
        <f>IFERROR(P881*G881,0)</f>
        <v/>
      </c>
    </row>
    <row r="882">
      <c r="A882" t="inlineStr">
        <is>
          <t>GLF12.5</t>
        </is>
      </c>
      <c r="B882" t="inlineStr">
        <is>
          <t>Box, NO MOTOR</t>
        </is>
      </c>
      <c r="C882" t="inlineStr"/>
      <c r="D882" t="n">
        <v>13</v>
      </c>
      <c r="E882" t="n">
        <v>30</v>
      </c>
      <c r="F882" t="inlineStr">
        <is>
          <t>AF Fans CC</t>
        </is>
      </c>
      <c r="G882" s="1" t="n">
        <v>3280</v>
      </c>
      <c r="H882" t="n">
        <v>0</v>
      </c>
      <c r="I882" t="n">
        <v>0.5</v>
      </c>
      <c r="J882" t="n">
        <v>2.5</v>
      </c>
      <c r="K882" t="n">
        <v>1</v>
      </c>
      <c r="L882" t="n">
        <v>0</v>
      </c>
      <c r="M882" t="n">
        <v>0</v>
      </c>
      <c r="N882" t="n">
        <v>6</v>
      </c>
      <c r="O882" s="1">
        <f>IFERROR(L882*G882,0)</f>
        <v/>
      </c>
      <c r="P882">
        <f>IF(N882-L882-M882&gt;0,N882-L882-M882,0)</f>
        <v/>
      </c>
      <c r="Q882" s="1">
        <f>IFERROR(P882*G882,0)</f>
        <v/>
      </c>
    </row>
    <row r="883">
      <c r="A883" t="inlineStr">
        <is>
          <t>GLF7</t>
        </is>
      </c>
      <c r="B883" t="inlineStr">
        <is>
          <t>c/w 0.45kW 960RPM 380V Motor</t>
        </is>
      </c>
      <c r="C883" t="inlineStr"/>
      <c r="D883" t="n">
        <v>1</v>
      </c>
      <c r="E883" t="n">
        <v>2</v>
      </c>
      <c r="F883" t="inlineStr">
        <is>
          <t>Bluetech Fans (Pty) Ltd</t>
        </is>
      </c>
      <c r="G883" s="1" t="n">
        <v>1064.25</v>
      </c>
      <c r="H883" t="n">
        <v>0</v>
      </c>
      <c r="I883" t="n">
        <v>1.1</v>
      </c>
      <c r="J883" t="n">
        <v>2</v>
      </c>
      <c r="K883" t="n">
        <v>2</v>
      </c>
      <c r="L883" t="n">
        <v>0</v>
      </c>
      <c r="M883" t="n">
        <v>0</v>
      </c>
      <c r="N883" t="n">
        <v>6</v>
      </c>
      <c r="O883" s="1">
        <f>IFERROR(L883*G883,0)</f>
        <v/>
      </c>
      <c r="P883">
        <f>IF(N883-L883-M883&gt;0,N883-L883-M883,0)</f>
        <v/>
      </c>
      <c r="Q883" s="1">
        <f>IFERROR(P883*G883,0)</f>
        <v/>
      </c>
    </row>
    <row r="884">
      <c r="A884" t="inlineStr">
        <is>
          <t>GRM300</t>
        </is>
      </c>
      <c r="B884" t="inlineStr">
        <is>
          <t>Shutter PVC Gravity for 200mmFan S/Frame</t>
        </is>
      </c>
      <c r="C884" t="inlineStr"/>
      <c r="D884" t="n">
        <v>1</v>
      </c>
      <c r="E884" t="n">
        <v>2</v>
      </c>
      <c r="F884" t="inlineStr">
        <is>
          <t>Luft Industries Natal (Pty) Ltd</t>
        </is>
      </c>
      <c r="G884" s="1" t="n">
        <v>450.75</v>
      </c>
      <c r="H884" t="n">
        <v>0</v>
      </c>
      <c r="I884" t="n">
        <v>0.5</v>
      </c>
      <c r="J884" t="n">
        <v>2</v>
      </c>
      <c r="K884" t="n">
        <v>1</v>
      </c>
      <c r="L884" t="n">
        <v>0</v>
      </c>
      <c r="M884" t="n">
        <v>0</v>
      </c>
      <c r="N884" t="n">
        <v>5</v>
      </c>
      <c r="O884" s="1">
        <f>IFERROR(L884*G884,0)</f>
        <v/>
      </c>
      <c r="P884">
        <f>IF(N884-L884-M884&gt;0,N884-L884-M884,0)</f>
        <v/>
      </c>
      <c r="Q884" s="1">
        <f>IFERROR(P884*G884,0)</f>
        <v/>
      </c>
    </row>
    <row r="885">
      <c r="A885" t="inlineStr">
        <is>
          <t>GRM350</t>
        </is>
      </c>
      <c r="B885" t="inlineStr">
        <is>
          <t>Shutter PVC Gravity for 250mmFan S/Frame</t>
        </is>
      </c>
      <c r="C885" t="inlineStr">
        <is>
          <t>Accessories</t>
        </is>
      </c>
      <c r="D885" t="n">
        <v>9</v>
      </c>
      <c r="E885" t="n">
        <v>7</v>
      </c>
      <c r="F885" t="inlineStr">
        <is>
          <t>Luft Industries Natal (Pty) Ltd</t>
        </is>
      </c>
      <c r="G885" s="1" t="n">
        <v>503.25</v>
      </c>
      <c r="H885" t="n">
        <v>0</v>
      </c>
      <c r="I885" t="n">
        <v>0.5</v>
      </c>
      <c r="J885" t="n">
        <v>1</v>
      </c>
      <c r="K885" t="n">
        <v>1</v>
      </c>
      <c r="L885" t="n">
        <v>0</v>
      </c>
      <c r="M885" t="n">
        <v>0</v>
      </c>
      <c r="N885" t="n">
        <v>2</v>
      </c>
      <c r="O885" s="1">
        <f>IFERROR(L885*G885,0)</f>
        <v/>
      </c>
      <c r="P885">
        <f>IF(N885-L885-M885&gt;0,N885-L885-M885,0)</f>
        <v/>
      </c>
      <c r="Q885" s="1">
        <f>IFERROR(P885*G885,0)</f>
        <v/>
      </c>
    </row>
    <row r="886">
      <c r="A886" t="inlineStr">
        <is>
          <t>GRM535</t>
        </is>
      </c>
      <c r="B886" t="inlineStr">
        <is>
          <t>Shutter PVC Gravity for 400mmFan S/Frame</t>
        </is>
      </c>
      <c r="C886" t="inlineStr"/>
      <c r="D886" t="n">
        <v>2</v>
      </c>
      <c r="E886" t="n">
        <v>3</v>
      </c>
      <c r="F886" t="inlineStr">
        <is>
          <t>Luft Industries Natal (Pty) Ltd</t>
        </is>
      </c>
      <c r="G886" s="1" t="n">
        <v>708</v>
      </c>
      <c r="H886" t="n">
        <v>0</v>
      </c>
      <c r="I886" t="n">
        <v>0.5</v>
      </c>
      <c r="J886" t="n">
        <v>1.5</v>
      </c>
      <c r="K886" t="n">
        <v>1</v>
      </c>
      <c r="L886" t="n">
        <v>0</v>
      </c>
      <c r="M886" t="n">
        <v>0</v>
      </c>
      <c r="N886" t="n">
        <v>4</v>
      </c>
      <c r="O886" s="1">
        <f>IFERROR(L886*G886,0)</f>
        <v/>
      </c>
      <c r="P886">
        <f>IF(N886-L886-M886&gt;0,N886-L886-M886,0)</f>
        <v/>
      </c>
      <c r="Q886" s="1">
        <f>IFERROR(P886*G886,0)</f>
        <v/>
      </c>
    </row>
    <row r="887">
      <c r="A887" t="inlineStr">
        <is>
          <t>GUN H827P</t>
        </is>
      </c>
      <c r="B887" t="inlineStr">
        <is>
          <t>SPRAY GUN H827P BULLDOG</t>
        </is>
      </c>
      <c r="C887" t="inlineStr">
        <is>
          <t>CONSUMABLES</t>
        </is>
      </c>
      <c r="D887" t="n">
        <v>1</v>
      </c>
      <c r="E887" t="n">
        <v>1</v>
      </c>
      <c r="F887" t="inlineStr">
        <is>
          <t>MG AUTO PAINT (PTY) LTD</t>
        </is>
      </c>
      <c r="G887" s="1" t="n">
        <v>521.74</v>
      </c>
      <c r="H887" t="n">
        <v>0</v>
      </c>
      <c r="I887" t="n">
        <v>0.5</v>
      </c>
      <c r="J887" t="n">
        <v>1</v>
      </c>
      <c r="K887" t="n">
        <v>1</v>
      </c>
      <c r="L887" t="n">
        <v>0</v>
      </c>
      <c r="M887" t="n">
        <v>0</v>
      </c>
      <c r="N887" t="n">
        <v>2</v>
      </c>
      <c r="O887" s="1">
        <f>IFERROR(L887*G887,0)</f>
        <v/>
      </c>
      <c r="P887">
        <f>IF(N887-L887-M887&gt;0,N887-L887-M887,0)</f>
        <v/>
      </c>
      <c r="Q887" s="1">
        <f>IFERROR(P887*G887,0)</f>
        <v/>
      </c>
    </row>
    <row r="888">
      <c r="A888" t="inlineStr">
        <is>
          <t>H20102</t>
        </is>
      </c>
      <c r="B888" t="inlineStr">
        <is>
          <t>WEATHER SEAL 6mm*25mm*5mt BLACK FOAM</t>
        </is>
      </c>
      <c r="C888" t="inlineStr"/>
      <c r="D888" t="n">
        <v>10</v>
      </c>
      <c r="E888" t="n">
        <v>80</v>
      </c>
      <c r="F888" t="inlineStr">
        <is>
          <t>Securadeal</t>
        </is>
      </c>
      <c r="G888" s="1" t="n">
        <v>29.87</v>
      </c>
      <c r="H888" t="n">
        <v>0</v>
      </c>
      <c r="I888" t="n">
        <v>0.5</v>
      </c>
      <c r="J888" t="n">
        <v>8</v>
      </c>
      <c r="K888" t="n">
        <v>4</v>
      </c>
      <c r="L888" t="n">
        <v>0</v>
      </c>
      <c r="M888" t="n">
        <v>0</v>
      </c>
      <c r="N888" t="n">
        <v>20</v>
      </c>
      <c r="O888" s="1">
        <f>IFERROR(L888*G888,0)</f>
        <v/>
      </c>
      <c r="P888">
        <f>IF(N888-L888-M888&gt;0,N888-L888-M888,0)</f>
        <v/>
      </c>
      <c r="Q888" s="1">
        <f>IFERROR(P888*G888,0)</f>
        <v/>
      </c>
    </row>
    <row r="889">
      <c r="A889" t="inlineStr">
        <is>
          <t>HANDLING FEE.</t>
        </is>
      </c>
      <c r="B889" t="inlineStr">
        <is>
          <t>GOODS RETURNED HANDLING FEE - CHARGED AT 15%</t>
        </is>
      </c>
      <c r="C889" t="inlineStr"/>
      <c r="D889" t="n">
        <v>8</v>
      </c>
      <c r="E889" t="n">
        <v>0</v>
      </c>
      <c r="F889" t="inlineStr"/>
      <c r="G889" s="1" t="n">
        <v>2672.7</v>
      </c>
      <c r="H889" t="n">
        <v>41</v>
      </c>
      <c r="I889" t="n">
        <v>0.5</v>
      </c>
      <c r="J889" t="n">
        <v>5.5</v>
      </c>
      <c r="K889" t="n">
        <v>3</v>
      </c>
      <c r="L889" t="n">
        <v>0</v>
      </c>
      <c r="M889" t="n">
        <v>0</v>
      </c>
      <c r="N889" t="n">
        <v>14</v>
      </c>
      <c r="O889" s="1">
        <f>IFERROR(L889*G889,0)</f>
        <v/>
      </c>
      <c r="P889">
        <f>IF(N889-L889-M889&gt;0,N889-L889-M889,0)</f>
        <v/>
      </c>
      <c r="Q889" s="1">
        <f>IFERROR(P889*G889,0)</f>
        <v/>
      </c>
    </row>
    <row r="890">
      <c r="A890" t="inlineStr">
        <is>
          <t>HCT/EC</t>
        </is>
      </c>
      <c r="B890" t="inlineStr">
        <is>
          <t>45-2T-2 400V 50/60HZ IE5</t>
        </is>
      </c>
      <c r="C890" t="inlineStr"/>
      <c r="D890" t="n">
        <v>1</v>
      </c>
      <c r="E890" t="n">
        <v>0</v>
      </c>
      <c r="F890" t="inlineStr"/>
      <c r="G890" s="1" t="n">
        <v>0</v>
      </c>
      <c r="H890" t="n">
        <v>1</v>
      </c>
      <c r="I890" t="n">
        <v>0.5</v>
      </c>
      <c r="J890" t="n">
        <v>1</v>
      </c>
      <c r="K890" t="n">
        <v>1</v>
      </c>
      <c r="L890" t="n">
        <v>0</v>
      </c>
      <c r="M890" t="n">
        <v>0</v>
      </c>
      <c r="N890" t="n">
        <v>2</v>
      </c>
      <c r="O890" s="1">
        <f>IFERROR(L890*G890,0)</f>
        <v/>
      </c>
      <c r="P890">
        <f>IF(N890-L890-M890&gt;0,N890-L890-M890,0)</f>
        <v/>
      </c>
      <c r="Q890" s="1">
        <f>IFERROR(P890*G890,0)</f>
        <v/>
      </c>
    </row>
    <row r="891">
      <c r="A891" t="inlineStr">
        <is>
          <t>HDA 9/9</t>
        </is>
      </c>
      <c r="B891" t="inlineStr">
        <is>
          <t>Crop to 959mm - 42mm Bore</t>
        </is>
      </c>
      <c r="C891" t="inlineStr"/>
      <c r="D891" t="n">
        <v>1</v>
      </c>
      <c r="E891" t="n">
        <v>2</v>
      </c>
      <c r="F891" t="inlineStr">
        <is>
          <t>CFW Fans (Pty) Ltd</t>
        </is>
      </c>
      <c r="G891" s="1" t="n">
        <v>7022</v>
      </c>
      <c r="H891" t="n">
        <v>0</v>
      </c>
      <c r="I891" t="n">
        <v>0.6</v>
      </c>
      <c r="J891" t="n">
        <v>2</v>
      </c>
      <c r="K891" t="n">
        <v>1</v>
      </c>
      <c r="L891" t="n">
        <v>0</v>
      </c>
      <c r="M891" t="n">
        <v>0</v>
      </c>
      <c r="N891" t="n">
        <v>5</v>
      </c>
      <c r="O891" s="1">
        <f>IFERROR(L891*G891,0)</f>
        <v/>
      </c>
      <c r="P891">
        <f>IF(N891-L891-M891&gt;0,N891-L891-M891,0)</f>
        <v/>
      </c>
      <c r="Q891" s="1">
        <f>IFERROR(P891*G891,0)</f>
        <v/>
      </c>
    </row>
    <row r="892">
      <c r="A892" t="inlineStr">
        <is>
          <t>HDA1250</t>
        </is>
      </c>
      <c r="B892" t="inlineStr">
        <is>
          <t>HDA 1250 , 9Bladed , axial flow impeller</t>
        </is>
      </c>
      <c r="C892" t="inlineStr"/>
      <c r="D892" t="n">
        <v>15</v>
      </c>
      <c r="E892" t="n">
        <v>3</v>
      </c>
      <c r="F892" t="inlineStr">
        <is>
          <t>CFW Fans (Pty) Ltd</t>
        </is>
      </c>
      <c r="G892" s="1" t="n">
        <v>7532.2</v>
      </c>
      <c r="H892" t="n">
        <v>0</v>
      </c>
      <c r="I892" t="n">
        <v>0.5</v>
      </c>
      <c r="J892" t="n">
        <v>1</v>
      </c>
      <c r="K892" t="n">
        <v>1</v>
      </c>
      <c r="L892" t="n">
        <v>0</v>
      </c>
      <c r="M892" t="n">
        <v>0</v>
      </c>
      <c r="N892" t="n">
        <v>2</v>
      </c>
      <c r="O892" s="1">
        <f>IFERROR(L892*G892,0)</f>
        <v/>
      </c>
      <c r="P892">
        <f>IF(N892-L892-M892&gt;0,N892-L892-M892,0)</f>
        <v/>
      </c>
      <c r="Q892" s="1">
        <f>IFERROR(P892*G892,0)</f>
        <v/>
      </c>
    </row>
    <row r="893">
      <c r="A893" t="inlineStr">
        <is>
          <t>HDA9B315</t>
        </is>
      </c>
      <c r="B893" t="inlineStr">
        <is>
          <t>HDA9 - 315 Impeller to suit 0.37Kw 2pole Motor</t>
        </is>
      </c>
      <c r="C893" t="inlineStr">
        <is>
          <t>FM - CFW FANS</t>
        </is>
      </c>
      <c r="D893" t="n">
        <v>1</v>
      </c>
      <c r="E893" t="n">
        <v>1</v>
      </c>
      <c r="F893" t="inlineStr">
        <is>
          <t>CFW Fans (Pty) Ltd</t>
        </is>
      </c>
      <c r="G893" s="1" t="n">
        <v>1880</v>
      </c>
      <c r="H893" t="n">
        <v>1</v>
      </c>
      <c r="I893" t="n">
        <v>0.5</v>
      </c>
      <c r="J893" t="n">
        <v>1</v>
      </c>
      <c r="K893" t="n">
        <v>1</v>
      </c>
      <c r="L893" t="n">
        <v>0</v>
      </c>
      <c r="M893" t="n">
        <v>0</v>
      </c>
      <c r="N893" t="n">
        <v>2</v>
      </c>
      <c r="O893" s="1">
        <f>IFERROR(L893*G893,0)</f>
        <v/>
      </c>
      <c r="P893">
        <f>IF(N893-L893-M893&gt;0,N893-L893-M893,0)</f>
        <v/>
      </c>
      <c r="Q893" s="1">
        <f>IFERROR(P893*G893,0)</f>
        <v/>
      </c>
    </row>
    <row r="894">
      <c r="A894" t="inlineStr">
        <is>
          <t>HEP.25.2TH</t>
        </is>
      </c>
      <c r="B894" t="inlineStr">
        <is>
          <t>HEP.25.2T/H</t>
        </is>
      </c>
      <c r="C894" t="inlineStr"/>
      <c r="D894" t="n">
        <v>15</v>
      </c>
      <c r="E894" t="n">
        <v>20</v>
      </c>
      <c r="F894" t="inlineStr">
        <is>
          <t>SODECA</t>
        </is>
      </c>
      <c r="G894" s="1" t="n">
        <v>3171.49</v>
      </c>
      <c r="H894" t="n">
        <v>23</v>
      </c>
      <c r="I894" t="n">
        <v>2.4</v>
      </c>
      <c r="J894" t="n">
        <v>2</v>
      </c>
      <c r="K894" t="n">
        <v>5</v>
      </c>
      <c r="L894" t="n">
        <v>0</v>
      </c>
      <c r="M894" t="n">
        <v>0</v>
      </c>
      <c r="N894" t="n">
        <v>9</v>
      </c>
      <c r="O894" s="1">
        <f>IFERROR(L894*G894,0)</f>
        <v/>
      </c>
      <c r="P894">
        <f>IF(N894-L894-M894&gt;0,N894-L894-M894,0)</f>
        <v/>
      </c>
      <c r="Q894" s="1">
        <f>IFERROR(P894*G894,0)</f>
        <v/>
      </c>
    </row>
    <row r="895">
      <c r="A895" t="inlineStr">
        <is>
          <t>HF002</t>
        </is>
      </c>
      <c r="B895" t="inlineStr">
        <is>
          <t>Galvanised Holding Frame 610x610x55</t>
        </is>
      </c>
      <c r="C895" t="inlineStr"/>
      <c r="D895" t="n">
        <v>1</v>
      </c>
      <c r="E895" t="n">
        <v>16</v>
      </c>
      <c r="F895" t="inlineStr">
        <is>
          <t>Filtermac Design ( Pty) Ltd</t>
        </is>
      </c>
      <c r="G895" s="1" t="n">
        <v>198</v>
      </c>
      <c r="H895" t="n">
        <v>0</v>
      </c>
      <c r="I895" t="n">
        <v>0.8</v>
      </c>
      <c r="J895" t="n">
        <v>16</v>
      </c>
      <c r="K895" t="n">
        <v>13</v>
      </c>
      <c r="L895" t="n">
        <v>0</v>
      </c>
      <c r="M895" t="n">
        <v>0</v>
      </c>
      <c r="N895" t="n">
        <v>45</v>
      </c>
      <c r="O895" s="1">
        <f>IFERROR(L895*G895,0)</f>
        <v/>
      </c>
      <c r="P895">
        <f>IF(N895-L895-M895&gt;0,N895-L895-M895,0)</f>
        <v/>
      </c>
      <c r="Q895" s="1">
        <f>IFERROR(P895*G895,0)</f>
        <v/>
      </c>
    </row>
    <row r="896">
      <c r="A896" t="inlineStr">
        <is>
          <t>HIGH H</t>
        </is>
      </c>
      <c r="B896" t="inlineStr">
        <is>
          <t>HIGH HEAT 5LT SILVER</t>
        </is>
      </c>
      <c r="C896" t="inlineStr"/>
      <c r="D896" t="n">
        <v>1</v>
      </c>
      <c r="E896" t="n">
        <v>1</v>
      </c>
      <c r="F896" t="inlineStr">
        <is>
          <t>MG AUTO PAINT (PTY) LTD</t>
        </is>
      </c>
      <c r="G896" s="1" t="n">
        <v>347.83</v>
      </c>
      <c r="H896" t="n">
        <v>0</v>
      </c>
      <c r="I896" t="n">
        <v>0.5</v>
      </c>
      <c r="J896" t="n">
        <v>1</v>
      </c>
      <c r="K896" t="n">
        <v>1</v>
      </c>
      <c r="L896" t="n">
        <v>0</v>
      </c>
      <c r="M896" t="n">
        <v>0</v>
      </c>
      <c r="N896" t="n">
        <v>2</v>
      </c>
      <c r="O896" s="1">
        <f>IFERROR(L896*G896,0)</f>
        <v/>
      </c>
      <c r="P896">
        <f>IF(N896-L896-M896&gt;0,N896-L896-M896,0)</f>
        <v/>
      </c>
      <c r="Q896" s="1">
        <f>IFERROR(P896*G896,0)</f>
        <v/>
      </c>
    </row>
    <row r="897">
      <c r="A897" t="inlineStr">
        <is>
          <t>HJBM-Plus</t>
        </is>
      </c>
      <c r="B897" t="inlineStr">
        <is>
          <t>50-T-4 c/w 0.55KW 1400rpm 380V</t>
        </is>
      </c>
      <c r="C897" t="inlineStr"/>
      <c r="D897" t="n">
        <v>21</v>
      </c>
      <c r="E897" t="n">
        <v>0</v>
      </c>
      <c r="F897" t="inlineStr"/>
      <c r="G897" s="1" t="n">
        <v>0</v>
      </c>
      <c r="H897" t="n">
        <v>3</v>
      </c>
      <c r="I897" t="n">
        <v>0.5</v>
      </c>
      <c r="J897" t="n">
        <v>1</v>
      </c>
      <c r="K897" t="n">
        <v>1</v>
      </c>
      <c r="L897" t="n">
        <v>0</v>
      </c>
      <c r="M897" t="n">
        <v>0</v>
      </c>
      <c r="N897" t="n">
        <v>2</v>
      </c>
      <c r="O897" s="1">
        <f>IFERROR(L897*G897,0)</f>
        <v/>
      </c>
      <c r="P897">
        <f>IF(N897-L897-M897&gt;0,N897-L897-M897,0)</f>
        <v/>
      </c>
      <c r="Q897" s="1">
        <f>IFERROR(P897*G897,0)</f>
        <v/>
      </c>
    </row>
    <row r="898">
      <c r="A898" t="inlineStr">
        <is>
          <t>HJBM.PLUS.45.T4</t>
        </is>
      </c>
      <c r="B898" t="inlineStr">
        <is>
          <t>0.55kw</t>
        </is>
      </c>
      <c r="C898" t="inlineStr"/>
      <c r="D898" t="n">
        <v>46</v>
      </c>
      <c r="E898" t="n">
        <v>4</v>
      </c>
      <c r="F898" t="inlineStr">
        <is>
          <t>Vortice Elettrosociali SpA</t>
        </is>
      </c>
      <c r="G898" s="1" t="n">
        <v>6153.01</v>
      </c>
      <c r="H898" t="n">
        <v>3</v>
      </c>
      <c r="I898" t="n">
        <v>0.5</v>
      </c>
      <c r="J898" t="n">
        <v>1</v>
      </c>
      <c r="K898" t="n">
        <v>1</v>
      </c>
      <c r="L898" t="n">
        <v>0</v>
      </c>
      <c r="M898" t="n">
        <v>0</v>
      </c>
      <c r="N898" t="n">
        <v>2</v>
      </c>
      <c r="O898" s="1">
        <f>IFERROR(L898*G898,0)</f>
        <v/>
      </c>
      <c r="P898">
        <f>IF(N898-L898-M898&gt;0,N898-L898-M898,0)</f>
        <v/>
      </c>
      <c r="Q898" s="1">
        <f>IFERROR(P898*G898,0)</f>
        <v/>
      </c>
    </row>
    <row r="899">
      <c r="A899" t="inlineStr">
        <is>
          <t>HPLV710152</t>
        </is>
      </c>
      <c r="B899" t="inlineStr">
        <is>
          <t>HPLV 710/1.0 SISW Ar 6A c/w 15Kw 2P 400V</t>
        </is>
      </c>
      <c r="C899" t="inlineStr"/>
      <c r="D899" t="n">
        <v>1</v>
      </c>
      <c r="E899" t="n">
        <v>3</v>
      </c>
      <c r="F899" t="inlineStr">
        <is>
          <t>Centrifab (Pty) Ltd</t>
        </is>
      </c>
      <c r="G899" s="1" t="n">
        <v>28000</v>
      </c>
      <c r="H899" t="n">
        <v>3</v>
      </c>
      <c r="I899" t="n">
        <v>1.9</v>
      </c>
      <c r="J899" t="n">
        <v>3</v>
      </c>
      <c r="K899" t="n">
        <v>6</v>
      </c>
      <c r="L899" t="n">
        <v>0</v>
      </c>
      <c r="M899" t="n">
        <v>0</v>
      </c>
      <c r="N899" t="n">
        <v>12</v>
      </c>
      <c r="O899" s="1">
        <f>IFERROR(L899*G899,0)</f>
        <v/>
      </c>
      <c r="P899">
        <f>IF(N899-L899-M899&gt;0,N899-L899-M899,0)</f>
        <v/>
      </c>
      <c r="Q899" s="1">
        <f>IFERROR(P899*G899,0)</f>
        <v/>
      </c>
    </row>
    <row r="900">
      <c r="A900" t="inlineStr">
        <is>
          <t>HV 12.5</t>
        </is>
      </c>
      <c r="B900" t="inlineStr">
        <is>
          <t>HV1250 c/w 1.1Kw 450 rpm 380V</t>
        </is>
      </c>
      <c r="C900" t="inlineStr"/>
      <c r="D900" t="n">
        <v>22</v>
      </c>
      <c r="E900" t="n">
        <v>6</v>
      </c>
      <c r="F900" t="inlineStr">
        <is>
          <t>AF Fans CC</t>
        </is>
      </c>
      <c r="G900" s="1" t="n">
        <v>6515.6</v>
      </c>
      <c r="H900" t="n">
        <v>30</v>
      </c>
      <c r="I900" t="n">
        <v>0.5</v>
      </c>
      <c r="J900" t="n">
        <v>1.5</v>
      </c>
      <c r="K900" t="n">
        <v>1</v>
      </c>
      <c r="L900" t="n">
        <v>0</v>
      </c>
      <c r="M900" t="n">
        <v>0</v>
      </c>
      <c r="N900" t="n">
        <v>4</v>
      </c>
      <c r="O900" s="1">
        <f>IFERROR(L900*G900,0)</f>
        <v/>
      </c>
      <c r="P900">
        <f>IF(N900-L900-M900&gt;0,N900-L900-M900,0)</f>
        <v/>
      </c>
      <c r="Q900" s="1">
        <f>IFERROR(P900*G900,0)</f>
        <v/>
      </c>
    </row>
    <row r="901">
      <c r="A901" t="inlineStr">
        <is>
          <t>HV-7</t>
        </is>
      </c>
      <c r="B901" t="inlineStr">
        <is>
          <t>HV 7 c/w 0.45kW 6Pole</t>
        </is>
      </c>
      <c r="C901" t="inlineStr"/>
      <c r="D901" t="n">
        <v>8</v>
      </c>
      <c r="E901" t="n">
        <v>2</v>
      </c>
      <c r="F901" t="inlineStr">
        <is>
          <t>AF Fans CC</t>
        </is>
      </c>
      <c r="G901" s="1" t="n">
        <v>3799.6</v>
      </c>
      <c r="H901" t="n">
        <v>3</v>
      </c>
      <c r="I901" t="n">
        <v>0.5</v>
      </c>
      <c r="J901" t="n">
        <v>1</v>
      </c>
      <c r="K901" t="n">
        <v>1</v>
      </c>
      <c r="L901" t="n">
        <v>0</v>
      </c>
      <c r="M901" t="n">
        <v>0</v>
      </c>
      <c r="N901" t="n">
        <v>2</v>
      </c>
      <c r="O901" s="1">
        <f>IFERROR(L901*G901,0)</f>
        <v/>
      </c>
      <c r="P901">
        <f>IF(N901-L901-M901&gt;0,N901-L901-M901,0)</f>
        <v/>
      </c>
      <c r="Q901" s="1">
        <f>IFERROR(P901*G901,0)</f>
        <v/>
      </c>
    </row>
    <row r="902">
      <c r="A902" t="inlineStr">
        <is>
          <t>HV5380V</t>
        </is>
      </c>
      <c r="B902" t="inlineStr">
        <is>
          <t>HV5 c/w 0.55kw 380V</t>
        </is>
      </c>
      <c r="C902" t="inlineStr"/>
      <c r="D902" t="n">
        <v>6</v>
      </c>
      <c r="E902" t="n">
        <v>1</v>
      </c>
      <c r="F902" t="inlineStr">
        <is>
          <t>Bluetech Fans (Pty) Ltd</t>
        </is>
      </c>
      <c r="G902" s="1" t="n">
        <v>5395.5</v>
      </c>
      <c r="H902" t="n">
        <v>2</v>
      </c>
      <c r="I902" t="n">
        <v>0.5</v>
      </c>
      <c r="J902" t="n">
        <v>1</v>
      </c>
      <c r="K902" t="n">
        <v>1</v>
      </c>
      <c r="L902" t="n">
        <v>0</v>
      </c>
      <c r="M902" t="n">
        <v>0</v>
      </c>
      <c r="N902" t="n">
        <v>2</v>
      </c>
      <c r="O902" s="1">
        <f>IFERROR(L902*G902,0)</f>
        <v/>
      </c>
      <c r="P902">
        <f>IF(N902-L902-M902&gt;0,N902-L902-M902,0)</f>
        <v/>
      </c>
      <c r="Q902" s="1">
        <f>IFERROR(P902*G902,0)</f>
        <v/>
      </c>
    </row>
    <row r="903">
      <c r="A903" t="inlineStr">
        <is>
          <t>HV7T</t>
        </is>
      </c>
      <c r="B903" t="inlineStr">
        <is>
          <t>HV 7 c/w 0.45kw 6P 380v</t>
        </is>
      </c>
      <c r="C903" t="inlineStr"/>
      <c r="D903" t="n">
        <v>1</v>
      </c>
      <c r="E903" t="n">
        <v>1</v>
      </c>
      <c r="F903" t="inlineStr">
        <is>
          <t>AF Fans CC</t>
        </is>
      </c>
      <c r="G903" s="1" t="n">
        <v>3799.6</v>
      </c>
      <c r="H903" t="n">
        <v>0</v>
      </c>
      <c r="I903" t="n">
        <v>0.5</v>
      </c>
      <c r="J903" t="n">
        <v>1</v>
      </c>
      <c r="K903" t="n">
        <v>1</v>
      </c>
      <c r="L903" t="n">
        <v>0</v>
      </c>
      <c r="M903" t="n">
        <v>0</v>
      </c>
      <c r="N903" t="n">
        <v>2</v>
      </c>
      <c r="O903" s="1">
        <f>IFERROR(L903*G903,0)</f>
        <v/>
      </c>
      <c r="P903">
        <f>IF(N903-L903-M903&gt;0,N903-L903-M903,0)</f>
        <v/>
      </c>
      <c r="Q903" s="1">
        <f>IFERROR(P903*G903,0)</f>
        <v/>
      </c>
    </row>
    <row r="904">
      <c r="A904" t="inlineStr">
        <is>
          <t>HV9.5 Fan</t>
        </is>
      </c>
      <c r="B904" t="inlineStr">
        <is>
          <t>HV 9.5 - 220V 0.55KW</t>
        </is>
      </c>
      <c r="C904" t="inlineStr"/>
      <c r="D904" t="n">
        <v>26</v>
      </c>
      <c r="E904" t="n">
        <v>15</v>
      </c>
      <c r="F904" t="inlineStr">
        <is>
          <t>Luft Industries Natal (Pty) Ltd</t>
        </is>
      </c>
      <c r="G904" s="1" t="n">
        <v>6021</v>
      </c>
      <c r="H904" t="n">
        <v>16</v>
      </c>
      <c r="I904" t="n">
        <v>0.6</v>
      </c>
      <c r="J904" t="n">
        <v>1</v>
      </c>
      <c r="K904" t="n">
        <v>1</v>
      </c>
      <c r="L904" t="n">
        <v>0</v>
      </c>
      <c r="M904" t="n">
        <v>0</v>
      </c>
      <c r="N904" t="n">
        <v>3</v>
      </c>
      <c r="O904" s="1">
        <f>IFERROR(L904*G904,0)</f>
        <v/>
      </c>
      <c r="P904">
        <f>IF(N904-L904-M904&gt;0,N904-L904-M904,0)</f>
        <v/>
      </c>
      <c r="Q904" s="1">
        <f>IFERROR(P904*G904,0)</f>
        <v/>
      </c>
    </row>
    <row r="905">
      <c r="A905" t="inlineStr">
        <is>
          <t>HVF</t>
        </is>
      </c>
      <c r="B905" t="inlineStr">
        <is>
          <t>105L-6</t>
        </is>
      </c>
      <c r="C905" t="inlineStr"/>
      <c r="D905" t="n">
        <v>1</v>
      </c>
      <c r="E905" t="n">
        <v>1</v>
      </c>
      <c r="F905" t="inlineStr">
        <is>
          <t>AF Fans CC</t>
        </is>
      </c>
      <c r="G905" s="1" t="n">
        <v>0</v>
      </c>
      <c r="H905" t="n">
        <v>1</v>
      </c>
      <c r="I905" t="n">
        <v>0.5</v>
      </c>
      <c r="J905" t="n">
        <v>1</v>
      </c>
      <c r="K905" t="n">
        <v>1</v>
      </c>
      <c r="L905" t="n">
        <v>0</v>
      </c>
      <c r="M905" t="n">
        <v>0</v>
      </c>
      <c r="N905" t="n">
        <v>2</v>
      </c>
      <c r="O905" s="1">
        <f>IFERROR(L905*G905,0)</f>
        <v/>
      </c>
      <c r="P905">
        <f>IF(N905-L905-M905&gt;0,N905-L905-M905,0)</f>
        <v/>
      </c>
      <c r="Q905" s="1">
        <f>IFERROR(P905*G905,0)</f>
        <v/>
      </c>
    </row>
    <row r="906">
      <c r="A906" t="inlineStr">
        <is>
          <t>HVJ2</t>
        </is>
      </c>
      <c r="B906" t="inlineStr">
        <is>
          <t>HVJ2</t>
        </is>
      </c>
      <c r="C906" t="inlineStr"/>
      <c r="D906" t="n">
        <v>1</v>
      </c>
      <c r="E906" t="n">
        <v>0</v>
      </c>
      <c r="F906" t="inlineStr"/>
      <c r="G906" s="1" t="n">
        <v>0</v>
      </c>
      <c r="H906" t="n">
        <v>6</v>
      </c>
      <c r="I906" t="n">
        <v>0.5</v>
      </c>
      <c r="J906" t="n">
        <v>6</v>
      </c>
      <c r="K906" t="n">
        <v>3</v>
      </c>
      <c r="L906" t="n">
        <v>0</v>
      </c>
      <c r="M906" t="n">
        <v>0</v>
      </c>
      <c r="N906" t="n">
        <v>15</v>
      </c>
      <c r="O906" s="1">
        <f>IFERROR(L906*G906,0)</f>
        <v/>
      </c>
      <c r="P906">
        <f>IF(N906-L906-M906&gt;0,N906-L906-M906,0)</f>
        <v/>
      </c>
      <c r="Q906" s="1">
        <f>IFERROR(P906*G906,0)</f>
        <v/>
      </c>
    </row>
    <row r="907">
      <c r="A907" t="inlineStr">
        <is>
          <t>HVMotor 380V</t>
        </is>
      </c>
      <c r="B907" t="inlineStr">
        <is>
          <t>HV 1250 - 380V Motor</t>
        </is>
      </c>
      <c r="C907" t="inlineStr"/>
      <c r="D907" t="n">
        <v>1</v>
      </c>
      <c r="E907" t="n">
        <v>5</v>
      </c>
      <c r="F907" t="inlineStr">
        <is>
          <t>Luft Industries Natal (Pty) Ltd</t>
        </is>
      </c>
      <c r="G907" s="1" t="n">
        <v>1447.5</v>
      </c>
      <c r="H907" t="n">
        <v>5</v>
      </c>
      <c r="I907" t="n">
        <v>0.9</v>
      </c>
      <c r="J907" t="n">
        <v>5</v>
      </c>
      <c r="K907" t="n">
        <v>4</v>
      </c>
      <c r="L907" t="n">
        <v>0</v>
      </c>
      <c r="M907" t="n">
        <v>0</v>
      </c>
      <c r="N907" t="n">
        <v>14</v>
      </c>
      <c r="O907" s="1">
        <f>IFERROR(L907*G907,0)</f>
        <v/>
      </c>
      <c r="P907">
        <f>IF(N907-L907-M907&gt;0,N907-L907-M907,0)</f>
        <v/>
      </c>
      <c r="Q907" s="1">
        <f>IFERROR(P907*G907,0)</f>
        <v/>
      </c>
    </row>
    <row r="908">
      <c r="A908" t="inlineStr">
        <is>
          <t>HWP100/001</t>
        </is>
      </c>
      <c r="B908" t="inlineStr">
        <is>
          <t>500mm Dia Fan Guard 3mm Spiral, 4mm Support, Mild Steel, Uncoated</t>
        </is>
      </c>
      <c r="C908" t="inlineStr"/>
      <c r="D908" t="n">
        <v>13</v>
      </c>
      <c r="E908" t="n">
        <v>11</v>
      </c>
      <c r="F908" t="inlineStr">
        <is>
          <t>Heinmor Wire Products CC</t>
        </is>
      </c>
      <c r="G908" s="1" t="n">
        <v>433.36</v>
      </c>
      <c r="H908" t="n">
        <v>0</v>
      </c>
      <c r="I908" t="n">
        <v>0.5</v>
      </c>
      <c r="J908" t="n">
        <v>1</v>
      </c>
      <c r="K908" t="n">
        <v>1</v>
      </c>
      <c r="L908" t="n">
        <v>0</v>
      </c>
      <c r="M908" t="n">
        <v>0</v>
      </c>
      <c r="N908" t="n">
        <v>2</v>
      </c>
      <c r="O908" s="1">
        <f>IFERROR(L908*G908,0)</f>
        <v/>
      </c>
      <c r="P908">
        <f>IF(N908-L908-M908&gt;0,N908-L908-M908,0)</f>
        <v/>
      </c>
      <c r="Q908" s="1">
        <f>IFERROR(P908*G908,0)</f>
        <v/>
      </c>
    </row>
    <row r="909">
      <c r="A909" t="inlineStr">
        <is>
          <t>HWP100/001-</t>
        </is>
      </c>
      <c r="B909" t="inlineStr">
        <is>
          <t>800mm Dia Fan Guard</t>
        </is>
      </c>
      <c r="C909" t="inlineStr"/>
      <c r="D909" t="n">
        <v>1</v>
      </c>
      <c r="E909" t="n">
        <v>2</v>
      </c>
      <c r="F909" t="inlineStr">
        <is>
          <t>Heinmor Wire Products CC</t>
        </is>
      </c>
      <c r="G909" s="1" t="n">
        <v>498</v>
      </c>
      <c r="H909" t="n">
        <v>0</v>
      </c>
      <c r="I909" t="n">
        <v>0.5</v>
      </c>
      <c r="J909" t="n">
        <v>2</v>
      </c>
      <c r="K909" t="n">
        <v>1</v>
      </c>
      <c r="L909" t="n">
        <v>0</v>
      </c>
      <c r="M909" t="n">
        <v>0</v>
      </c>
      <c r="N909" t="n">
        <v>5</v>
      </c>
      <c r="O909" s="1">
        <f>IFERROR(L909*G909,0)</f>
        <v/>
      </c>
      <c r="P909">
        <f>IF(N909-L909-M909&gt;0,N909-L909-M909,0)</f>
        <v/>
      </c>
      <c r="Q909" s="1">
        <f>IFERROR(P909*G909,0)</f>
        <v/>
      </c>
    </row>
    <row r="910">
      <c r="A910" t="inlineStr">
        <is>
          <t>ID75/180OD</t>
        </is>
      </c>
      <c r="B910" t="inlineStr">
        <is>
          <t>Cooling Spinner - 75mm ID - 180 OD</t>
        </is>
      </c>
      <c r="C910" t="inlineStr"/>
      <c r="D910" t="n">
        <v>1</v>
      </c>
      <c r="E910" t="n">
        <v>1</v>
      </c>
      <c r="F910" t="inlineStr">
        <is>
          <t>Centrifab (Pty) Ltd</t>
        </is>
      </c>
      <c r="G910" s="1" t="n">
        <v>850</v>
      </c>
      <c r="H910" t="n">
        <v>1</v>
      </c>
      <c r="I910" t="n">
        <v>0.5</v>
      </c>
      <c r="J910" t="n">
        <v>1</v>
      </c>
      <c r="K910" t="n">
        <v>1</v>
      </c>
      <c r="L910" t="n">
        <v>0</v>
      </c>
      <c r="M910" t="n">
        <v>0</v>
      </c>
      <c r="N910" t="n">
        <v>2</v>
      </c>
      <c r="O910" s="1">
        <f>IFERROR(L910*G910,0)</f>
        <v/>
      </c>
      <c r="P910">
        <f>IF(N910-L910-M910&gt;0,N910-L910-M910,0)</f>
        <v/>
      </c>
      <c r="Q910" s="1">
        <f>IFERROR(P910*G910,0)</f>
        <v/>
      </c>
    </row>
    <row r="911">
      <c r="A911" t="inlineStr">
        <is>
          <t>IM-CF</t>
        </is>
      </c>
      <c r="B911" t="inlineStr">
        <is>
          <t>Light duty Impeller</t>
        </is>
      </c>
      <c r="C911" t="inlineStr"/>
      <c r="D911" t="n">
        <v>1</v>
      </c>
      <c r="E911" t="n">
        <v>0</v>
      </c>
      <c r="F911" t="inlineStr"/>
      <c r="G911" s="1" t="n">
        <v>0</v>
      </c>
      <c r="H911" t="n">
        <v>1</v>
      </c>
      <c r="I911" t="n">
        <v>0.5</v>
      </c>
      <c r="J911" t="n">
        <v>1</v>
      </c>
      <c r="K911" t="n">
        <v>1</v>
      </c>
      <c r="L911" t="n">
        <v>0</v>
      </c>
      <c r="M911" t="n">
        <v>0</v>
      </c>
      <c r="N911" t="n">
        <v>2</v>
      </c>
      <c r="O911" s="1">
        <f>IFERROR(L911*G911,0)</f>
        <v/>
      </c>
      <c r="P911">
        <f>IF(N911-L911-M911&gt;0,N911-L911-M911,0)</f>
        <v/>
      </c>
      <c r="Q911" s="1">
        <f>IFERROR(P911*G911,0)</f>
        <v/>
      </c>
    </row>
    <row r="912">
      <c r="A912" t="inlineStr">
        <is>
          <t>IMP0315B150A05PR14071</t>
        </is>
      </c>
      <c r="B912" t="inlineStr">
        <is>
          <t>Impeller 0315mm 'B' 150A05PR 14mm 071Frame Deg00 -10 DEG</t>
        </is>
      </c>
      <c r="C912" t="inlineStr"/>
      <c r="D912" t="n">
        <v>8</v>
      </c>
      <c r="E912" t="n">
        <v>3</v>
      </c>
      <c r="F912" t="inlineStr">
        <is>
          <t>Luft Industries Natal (Pty) Ltd</t>
        </is>
      </c>
      <c r="G912" s="1" t="n">
        <v>782.25</v>
      </c>
      <c r="H912" t="n">
        <v>1</v>
      </c>
      <c r="I912" t="n">
        <v>0.5</v>
      </c>
      <c r="J912" t="n">
        <v>1</v>
      </c>
      <c r="K912" t="n">
        <v>1</v>
      </c>
      <c r="L912" t="n">
        <v>0</v>
      </c>
      <c r="M912" t="n">
        <v>0</v>
      </c>
      <c r="N912" t="n">
        <v>2</v>
      </c>
      <c r="O912" s="1">
        <f>IFERROR(L912*G912,0)</f>
        <v/>
      </c>
      <c r="P912">
        <f>IF(N912-L912-M912&gt;0,N912-L912-M912,0)</f>
        <v/>
      </c>
      <c r="Q912" s="1">
        <f>IFERROR(P912*G912,0)</f>
        <v/>
      </c>
    </row>
    <row r="913">
      <c r="A913" t="inlineStr">
        <is>
          <t>IMP0315B150A10AR14071</t>
        </is>
      </c>
      <c r="B913" t="inlineStr">
        <is>
          <t>Impeller 0315mm 'B' 150A10AR 14mm 071Frame Deg00 -26 DEG</t>
        </is>
      </c>
      <c r="C913" t="inlineStr"/>
      <c r="D913" t="n">
        <v>1</v>
      </c>
      <c r="E913" t="n">
        <v>2</v>
      </c>
      <c r="F913" t="inlineStr">
        <is>
          <t>Luft Industries Natal (Pty) Ltd</t>
        </is>
      </c>
      <c r="G913" s="1" t="n">
        <v>1571.25</v>
      </c>
      <c r="H913" t="n">
        <v>0</v>
      </c>
      <c r="I913" t="n">
        <v>0.5</v>
      </c>
      <c r="J913" t="n">
        <v>2</v>
      </c>
      <c r="K913" t="n">
        <v>1</v>
      </c>
      <c r="L913" t="n">
        <v>0</v>
      </c>
      <c r="M913" t="n">
        <v>0</v>
      </c>
      <c r="N913" t="n">
        <v>5</v>
      </c>
      <c r="O913" s="1">
        <f>IFERROR(L913*G913,0)</f>
        <v/>
      </c>
      <c r="P913">
        <f>IF(N913-L913-M913&gt;0,N913-L913-M913,0)</f>
        <v/>
      </c>
      <c r="Q913" s="1">
        <f>IFERROR(P913*G913,0)</f>
        <v/>
      </c>
    </row>
    <row r="914">
      <c r="A914" t="inlineStr">
        <is>
          <t>IMP0315B150A10PR14071</t>
        </is>
      </c>
      <c r="B914" t="inlineStr">
        <is>
          <t>Impeller 0315mm 'B' 150A10PR 14mm 071Frame Deg00 21 DEG</t>
        </is>
      </c>
      <c r="C914" t="inlineStr"/>
      <c r="D914" t="n">
        <v>1</v>
      </c>
      <c r="E914" t="n">
        <v>1</v>
      </c>
      <c r="F914" t="inlineStr">
        <is>
          <t>Luft Industries Natal (Pty) Ltd</t>
        </is>
      </c>
      <c r="G914" s="1" t="n">
        <v>1164.75</v>
      </c>
      <c r="H914" t="n">
        <v>0</v>
      </c>
      <c r="I914" t="n">
        <v>0.7</v>
      </c>
      <c r="J914" t="n">
        <v>1</v>
      </c>
      <c r="K914" t="n">
        <v>1</v>
      </c>
      <c r="L914" t="n">
        <v>0</v>
      </c>
      <c r="M914" t="n">
        <v>0</v>
      </c>
      <c r="N914" t="n">
        <v>3</v>
      </c>
      <c r="O914" s="1">
        <f>IFERROR(L914*G914,0)</f>
        <v/>
      </c>
      <c r="P914">
        <f>IF(N914-L914-M914&gt;0,N914-L914-M914,0)</f>
        <v/>
      </c>
      <c r="Q914" s="1">
        <f>IFERROR(P914*G914,0)</f>
        <v/>
      </c>
    </row>
    <row r="915">
      <c r="A915" t="inlineStr">
        <is>
          <t>IMP0400B150A05AR19080</t>
        </is>
      </c>
      <c r="B915" t="inlineStr">
        <is>
          <t>Impeller 0400mm 'B' 150A05AR 19mm 080Frame Deg00 - 17 DEG</t>
        </is>
      </c>
      <c r="C915" t="inlineStr">
        <is>
          <t>IMPELLER</t>
        </is>
      </c>
      <c r="D915" t="n">
        <v>1</v>
      </c>
      <c r="E915" t="n">
        <v>1</v>
      </c>
      <c r="F915" t="inlineStr">
        <is>
          <t>Luft Industries Natal (Pty) Ltd</t>
        </is>
      </c>
      <c r="G915" s="1" t="n">
        <v>854.1</v>
      </c>
      <c r="H915" t="n">
        <v>0</v>
      </c>
      <c r="I915" t="n">
        <v>0.5</v>
      </c>
      <c r="J915" t="n">
        <v>1</v>
      </c>
      <c r="K915" t="n">
        <v>1</v>
      </c>
      <c r="L915" t="n">
        <v>0</v>
      </c>
      <c r="M915" t="n">
        <v>0</v>
      </c>
      <c r="N915" t="n">
        <v>2</v>
      </c>
      <c r="O915" s="1">
        <f>IFERROR(L915*G915,0)</f>
        <v/>
      </c>
      <c r="P915">
        <f>IF(N915-L915-M915&gt;0,N915-L915-M915,0)</f>
        <v/>
      </c>
      <c r="Q915" s="1">
        <f>IFERROR(P915*G915,0)</f>
        <v/>
      </c>
    </row>
    <row r="916">
      <c r="A916" t="inlineStr">
        <is>
          <t>IMP0400B150A05PR14071</t>
        </is>
      </c>
      <c r="B916" t="inlineStr">
        <is>
          <t>Impeller 0400mm 'B' 150A05PR 14mm 071Frame Deg00 - 10 DEG</t>
        </is>
      </c>
      <c r="C916" t="inlineStr"/>
      <c r="D916" t="n">
        <v>1</v>
      </c>
      <c r="E916" t="n">
        <v>1</v>
      </c>
      <c r="F916" t="inlineStr">
        <is>
          <t>Luft Industries Natal (Pty) Ltd</t>
        </is>
      </c>
      <c r="G916" s="1" t="n">
        <v>782.25</v>
      </c>
      <c r="H916" t="n">
        <v>0</v>
      </c>
      <c r="I916" t="n">
        <v>0.5</v>
      </c>
      <c r="J916" t="n">
        <v>1</v>
      </c>
      <c r="K916" t="n">
        <v>1</v>
      </c>
      <c r="L916" t="n">
        <v>0</v>
      </c>
      <c r="M916" t="n">
        <v>0</v>
      </c>
      <c r="N916" t="n">
        <v>2</v>
      </c>
      <c r="O916" s="1">
        <f>IFERROR(L916*G916,0)</f>
        <v/>
      </c>
      <c r="P916">
        <f>IF(N916-L916-M916&gt;0,N916-L916-M916,0)</f>
        <v/>
      </c>
      <c r="Q916" s="1">
        <f>IFERROR(P916*G916,0)</f>
        <v/>
      </c>
    </row>
    <row r="917">
      <c r="A917" t="inlineStr">
        <is>
          <t>IMP0400B150A05PR19080</t>
        </is>
      </c>
      <c r="B917" t="inlineStr">
        <is>
          <t>Impeller 0400mm 'B' 150A05PR 19mm 080Frame - 23Deg</t>
        </is>
      </c>
      <c r="C917" t="inlineStr"/>
      <c r="D917" t="n">
        <v>1</v>
      </c>
      <c r="E917" t="n">
        <v>5</v>
      </c>
      <c r="F917" t="inlineStr">
        <is>
          <t>Luft Industries Natal (Pty) Ltd</t>
        </is>
      </c>
      <c r="G917" s="1" t="n">
        <v>858.75</v>
      </c>
      <c r="H917" t="n">
        <v>0</v>
      </c>
      <c r="I917" t="n">
        <v>0.5</v>
      </c>
      <c r="J917" t="n">
        <v>5</v>
      </c>
      <c r="K917" t="n">
        <v>2</v>
      </c>
      <c r="L917" t="n">
        <v>0</v>
      </c>
      <c r="M917" t="n">
        <v>0</v>
      </c>
      <c r="N917" t="n">
        <v>12</v>
      </c>
      <c r="O917" s="1">
        <f>IFERROR(L917*G917,0)</f>
        <v/>
      </c>
      <c r="P917">
        <f>IF(N917-L917-M917&gt;0,N917-L917-M917,0)</f>
        <v/>
      </c>
      <c r="Q917" s="1">
        <f>IFERROR(P917*G917,0)</f>
        <v/>
      </c>
    </row>
    <row r="918">
      <c r="A918" t="inlineStr">
        <is>
          <t>IMP0400B150A05PR24090</t>
        </is>
      </c>
      <c r="B918" t="inlineStr">
        <is>
          <t>Impeller 0400mm 'B' 150A05PR 24mm 090Frame - 29Deg</t>
        </is>
      </c>
      <c r="C918" t="inlineStr"/>
      <c r="D918" t="n">
        <v>1</v>
      </c>
      <c r="E918" t="n">
        <v>1</v>
      </c>
      <c r="F918" t="inlineStr">
        <is>
          <t>Luft Industries Natal (Pty) Ltd</t>
        </is>
      </c>
      <c r="G918" s="1" t="n">
        <v>782.25</v>
      </c>
      <c r="H918" t="n">
        <v>0</v>
      </c>
      <c r="I918" t="n">
        <v>0.5</v>
      </c>
      <c r="J918" t="n">
        <v>1</v>
      </c>
      <c r="K918" t="n">
        <v>1</v>
      </c>
      <c r="L918" t="n">
        <v>0</v>
      </c>
      <c r="M918" t="n">
        <v>0</v>
      </c>
      <c r="N918" t="n">
        <v>2</v>
      </c>
      <c r="O918" s="1">
        <f>IFERROR(L918*G918,0)</f>
        <v/>
      </c>
      <c r="P918">
        <f>IF(N918-L918-M918&gt;0,N918-L918-M918,0)</f>
        <v/>
      </c>
      <c r="Q918" s="1">
        <f>IFERROR(P918*G918,0)</f>
        <v/>
      </c>
    </row>
    <row r="919">
      <c r="A919" t="inlineStr">
        <is>
          <t>IMP0400B150A10PR14071</t>
        </is>
      </c>
      <c r="B919" t="inlineStr">
        <is>
          <t>Impeller 0400mm 'B' 150A10PR 14mm 071Frame Deg00 19 DEG</t>
        </is>
      </c>
      <c r="C919" t="inlineStr"/>
      <c r="D919" t="n">
        <v>1</v>
      </c>
      <c r="E919" t="n">
        <v>1</v>
      </c>
      <c r="F919" t="inlineStr">
        <is>
          <t>Luft Industries Natal (Pty) Ltd</t>
        </is>
      </c>
      <c r="G919" s="1" t="n">
        <v>1164.75</v>
      </c>
      <c r="H919" t="n">
        <v>0</v>
      </c>
      <c r="I919" t="n">
        <v>0.7</v>
      </c>
      <c r="J919" t="n">
        <v>1</v>
      </c>
      <c r="K919" t="n">
        <v>1</v>
      </c>
      <c r="L919" t="n">
        <v>0</v>
      </c>
      <c r="M919" t="n">
        <v>0</v>
      </c>
      <c r="N919" t="n">
        <v>3</v>
      </c>
      <c r="O919" s="1">
        <f>IFERROR(L919*G919,0)</f>
        <v/>
      </c>
      <c r="P919">
        <f>IF(N919-L919-M919&gt;0,N919-L919-M919,0)</f>
        <v/>
      </c>
      <c r="Q919" s="1">
        <f>IFERROR(P919*G919,0)</f>
        <v/>
      </c>
    </row>
    <row r="920">
      <c r="A920" t="inlineStr">
        <is>
          <t>IMP0500B150A05AR19080</t>
        </is>
      </c>
      <c r="B920" t="inlineStr">
        <is>
          <t>Impeller 0500mm 'B' 150A05AR 19mm 080Frame Deg00 - 10 DEG</t>
        </is>
      </c>
      <c r="C920" t="inlineStr"/>
      <c r="D920" t="n">
        <v>1</v>
      </c>
      <c r="E920" t="n">
        <v>1</v>
      </c>
      <c r="F920" t="inlineStr">
        <is>
          <t>Luft Industries Natal (Pty) Ltd</t>
        </is>
      </c>
      <c r="G920" s="1" t="n">
        <v>985.5</v>
      </c>
      <c r="H920" t="n">
        <v>0</v>
      </c>
      <c r="I920" t="n">
        <v>0.5</v>
      </c>
      <c r="J920" t="n">
        <v>1</v>
      </c>
      <c r="K920" t="n">
        <v>1</v>
      </c>
      <c r="L920" t="n">
        <v>0</v>
      </c>
      <c r="M920" t="n">
        <v>0</v>
      </c>
      <c r="N920" t="n">
        <v>2</v>
      </c>
      <c r="O920" s="1">
        <f>IFERROR(L920*G920,0)</f>
        <v/>
      </c>
      <c r="P920">
        <f>IF(N920-L920-M920&gt;0,N920-L920-M920,0)</f>
        <v/>
      </c>
      <c r="Q920" s="1">
        <f>IFERROR(P920*G920,0)</f>
        <v/>
      </c>
    </row>
    <row r="921">
      <c r="A921" t="inlineStr">
        <is>
          <t>IMP0500B150A05AR24090</t>
        </is>
      </c>
      <c r="B921" t="inlineStr">
        <is>
          <t>Impeller 0500mm 'B' 150A05AR 24mm 090Frame Deg00 -14 DEG</t>
        </is>
      </c>
      <c r="C921" t="inlineStr"/>
      <c r="D921" t="n">
        <v>1</v>
      </c>
      <c r="E921" t="n">
        <v>1</v>
      </c>
      <c r="F921" t="inlineStr">
        <is>
          <t>Luft Industries Natal (Pty) Ltd</t>
        </is>
      </c>
      <c r="G921" s="1" t="n">
        <v>985.5</v>
      </c>
      <c r="H921" t="n">
        <v>0</v>
      </c>
      <c r="I921" t="n">
        <v>0.5</v>
      </c>
      <c r="J921" t="n">
        <v>1</v>
      </c>
      <c r="K921" t="n">
        <v>1</v>
      </c>
      <c r="L921" t="n">
        <v>0</v>
      </c>
      <c r="M921" t="n">
        <v>0</v>
      </c>
      <c r="N921" t="n">
        <v>2</v>
      </c>
      <c r="O921" s="1">
        <f>IFERROR(L921*G921,0)</f>
        <v/>
      </c>
      <c r="P921">
        <f>IF(N921-L921-M921&gt;0,N921-L921-M921,0)</f>
        <v/>
      </c>
      <c r="Q921" s="1">
        <f>IFERROR(P921*G921,0)</f>
        <v/>
      </c>
    </row>
    <row r="922">
      <c r="A922" t="inlineStr">
        <is>
          <t>IMP0500B150A05PR14071</t>
        </is>
      </c>
      <c r="B922" t="inlineStr">
        <is>
          <t>Impeller 0500mm 'B' 150A05PR 14mm 071Frame Deg00 -17 DEG</t>
        </is>
      </c>
      <c r="C922" t="inlineStr"/>
      <c r="D922" t="n">
        <v>1</v>
      </c>
      <c r="E922" t="n">
        <v>1</v>
      </c>
      <c r="F922" t="inlineStr">
        <is>
          <t>Luft Industries Natal (Pty) Ltd</t>
        </is>
      </c>
      <c r="G922" s="1" t="n">
        <v>782.25</v>
      </c>
      <c r="H922" t="n">
        <v>0</v>
      </c>
      <c r="I922" t="n">
        <v>0.5</v>
      </c>
      <c r="J922" t="n">
        <v>1</v>
      </c>
      <c r="K922" t="n">
        <v>1</v>
      </c>
      <c r="L922" t="n">
        <v>0</v>
      </c>
      <c r="M922" t="n">
        <v>0</v>
      </c>
      <c r="N922" t="n">
        <v>2</v>
      </c>
      <c r="O922" s="1">
        <f>IFERROR(L922*G922,0)</f>
        <v/>
      </c>
      <c r="P922">
        <f>IF(N922-L922-M922&gt;0,N922-L922-M922,0)</f>
        <v/>
      </c>
      <c r="Q922" s="1">
        <f>IFERROR(P922*G922,0)</f>
        <v/>
      </c>
    </row>
    <row r="923">
      <c r="A923" t="inlineStr">
        <is>
          <t>IMP0500B150A10AR14071</t>
        </is>
      </c>
      <c r="B923" t="inlineStr">
        <is>
          <t>Impeller 0500mm 'B' 150A10AR 14mm 071Frame Deg00 -10 DEG</t>
        </is>
      </c>
      <c r="C923" t="inlineStr"/>
      <c r="D923" t="n">
        <v>1</v>
      </c>
      <c r="E923" t="n">
        <v>1</v>
      </c>
      <c r="F923" t="inlineStr">
        <is>
          <t>Luft Industries Natal (Pty) Ltd</t>
        </is>
      </c>
      <c r="G923" s="1" t="n">
        <v>1571.25</v>
      </c>
      <c r="H923" t="n">
        <v>0</v>
      </c>
      <c r="I923" t="n">
        <v>0.5</v>
      </c>
      <c r="J923" t="n">
        <v>1</v>
      </c>
      <c r="K923" t="n">
        <v>1</v>
      </c>
      <c r="L923" t="n">
        <v>0</v>
      </c>
      <c r="M923" t="n">
        <v>0</v>
      </c>
      <c r="N923" t="n">
        <v>2</v>
      </c>
      <c r="O923" s="1">
        <f>IFERROR(L923*G923,0)</f>
        <v/>
      </c>
      <c r="P923">
        <f>IF(N923-L923-M923&gt;0,N923-L923-M923,0)</f>
        <v/>
      </c>
      <c r="Q923" s="1">
        <f>IFERROR(P923*G923,0)</f>
        <v/>
      </c>
    </row>
    <row r="924">
      <c r="A924" t="inlineStr">
        <is>
          <t>IMP0500B150A10AR19071</t>
        </is>
      </c>
      <c r="B924" t="inlineStr">
        <is>
          <t>Impeller 0500mm 'B' 150A10AR 19mm 071Frame Deg00 -28 DEG</t>
        </is>
      </c>
      <c r="C924" t="inlineStr"/>
      <c r="D924" t="n">
        <v>1</v>
      </c>
      <c r="E924" t="n">
        <v>1</v>
      </c>
      <c r="F924" t="inlineStr">
        <is>
          <t>Luft Industries Natal (Pty) Ltd</t>
        </is>
      </c>
      <c r="G924" s="1" t="n">
        <v>1361.75</v>
      </c>
      <c r="H924" t="n">
        <v>0</v>
      </c>
      <c r="I924" t="n">
        <v>0.5</v>
      </c>
      <c r="J924" t="n">
        <v>1</v>
      </c>
      <c r="K924" t="n">
        <v>1</v>
      </c>
      <c r="L924" t="n">
        <v>0</v>
      </c>
      <c r="M924" t="n">
        <v>0</v>
      </c>
      <c r="N924" t="n">
        <v>2</v>
      </c>
      <c r="O924" s="1">
        <f>IFERROR(L924*G924,0)</f>
        <v/>
      </c>
      <c r="P924">
        <f>IF(N924-L924-M924&gt;0,N924-L924-M924,0)</f>
        <v/>
      </c>
      <c r="Q924" s="1">
        <f>IFERROR(P924*G924,0)</f>
        <v/>
      </c>
    </row>
    <row r="925">
      <c r="A925" t="inlineStr">
        <is>
          <t>IMP0500B150A10AR24090</t>
        </is>
      </c>
      <c r="B925" t="inlineStr">
        <is>
          <t>Impeller 0500mm 'B' 150A10AR 24mm 090Frame Deg16</t>
        </is>
      </c>
      <c r="C925" t="inlineStr"/>
      <c r="D925" t="n">
        <v>1</v>
      </c>
      <c r="E925" t="n">
        <v>1</v>
      </c>
      <c r="F925" t="inlineStr">
        <is>
          <t>Luft Industries Natal (Pty) Ltd</t>
        </is>
      </c>
      <c r="G925" s="1" t="n">
        <v>1571.25</v>
      </c>
      <c r="H925" t="n">
        <v>0</v>
      </c>
      <c r="I925" t="n">
        <v>0.7</v>
      </c>
      <c r="J925" t="n">
        <v>1</v>
      </c>
      <c r="K925" t="n">
        <v>1</v>
      </c>
      <c r="L925" t="n">
        <v>0</v>
      </c>
      <c r="M925" t="n">
        <v>0</v>
      </c>
      <c r="N925" t="n">
        <v>3</v>
      </c>
      <c r="O925" s="1">
        <f>IFERROR(L925*G925,0)</f>
        <v/>
      </c>
      <c r="P925">
        <f>IF(N925-L925-M925&gt;0,N925-L925-M925,0)</f>
        <v/>
      </c>
      <c r="Q925" s="1">
        <f>IFERROR(P925*G925,0)</f>
        <v/>
      </c>
    </row>
    <row r="926">
      <c r="A926" t="inlineStr">
        <is>
          <t>IMP0500B150A10AR24090.</t>
        </is>
      </c>
      <c r="B926" t="inlineStr">
        <is>
          <t>Impeller 0500mm 'B' 150A10AR 24mm 090Fram 16deg</t>
        </is>
      </c>
      <c r="C926" t="inlineStr"/>
      <c r="D926" t="n">
        <v>8</v>
      </c>
      <c r="E926" t="n">
        <v>1</v>
      </c>
      <c r="F926" t="inlineStr">
        <is>
          <t>Luft Industries Natal (Pty) Ltd</t>
        </is>
      </c>
      <c r="G926" s="1" t="n">
        <v>1571.25</v>
      </c>
      <c r="H926" t="n">
        <v>2</v>
      </c>
      <c r="I926" t="n">
        <v>0.5</v>
      </c>
      <c r="J926" t="n">
        <v>1</v>
      </c>
      <c r="K926" t="n">
        <v>1</v>
      </c>
      <c r="L926" t="n">
        <v>0</v>
      </c>
      <c r="M926" t="n">
        <v>0</v>
      </c>
      <c r="N926" t="n">
        <v>2</v>
      </c>
      <c r="O926" s="1">
        <f>IFERROR(L926*G926,0)</f>
        <v/>
      </c>
      <c r="P926">
        <f>IF(N926-L926-M926&gt;0,N926-L926-M926,0)</f>
        <v/>
      </c>
      <c r="Q926" s="1">
        <f>IFERROR(P926*G926,0)</f>
        <v/>
      </c>
    </row>
    <row r="927">
      <c r="A927" t="inlineStr">
        <is>
          <t>IMP0500B150A10AR28100</t>
        </is>
      </c>
      <c r="B927" t="inlineStr">
        <is>
          <t>Impeller 0500mm 'B' 150A10AR 28mm 100Frame Deg00 -25 DEG</t>
        </is>
      </c>
      <c r="C927" t="inlineStr"/>
      <c r="D927" t="n">
        <v>6</v>
      </c>
      <c r="E927" t="n">
        <v>5</v>
      </c>
      <c r="F927" t="inlineStr">
        <is>
          <t>Luft Industries Natal (Pty) Ltd</t>
        </is>
      </c>
      <c r="G927" s="1" t="n">
        <v>1403.65</v>
      </c>
      <c r="H927" t="n">
        <v>0</v>
      </c>
      <c r="I927" t="n">
        <v>0.5</v>
      </c>
      <c r="J927" t="n">
        <v>1</v>
      </c>
      <c r="K927" t="n">
        <v>1</v>
      </c>
      <c r="L927" t="n">
        <v>0</v>
      </c>
      <c r="M927" t="n">
        <v>0</v>
      </c>
      <c r="N927" t="n">
        <v>2</v>
      </c>
      <c r="O927" s="1">
        <f>IFERROR(L927*G927,0)</f>
        <v/>
      </c>
      <c r="P927">
        <f>IF(N927-L927-M927&gt;0,N927-L927-M927,0)</f>
        <v/>
      </c>
      <c r="Q927" s="1">
        <f>IFERROR(P927*G927,0)</f>
        <v/>
      </c>
    </row>
    <row r="928">
      <c r="A928" t="inlineStr">
        <is>
          <t>IMP0500B150A10AR28100.</t>
        </is>
      </c>
      <c r="B928" t="inlineStr">
        <is>
          <t>Impeller 0500mm 'B' 150A10AR 28mm 100Frame Deg00 - 10 DEG</t>
        </is>
      </c>
      <c r="C928" t="inlineStr">
        <is>
          <t>IMPELLER</t>
        </is>
      </c>
      <c r="D928" t="n">
        <v>1</v>
      </c>
      <c r="E928" t="n">
        <v>1</v>
      </c>
      <c r="F928" t="inlineStr">
        <is>
          <t>Luft Industries Natal (Pty) Ltd</t>
        </is>
      </c>
      <c r="G928" s="1" t="n">
        <v>1361.75</v>
      </c>
      <c r="H928" t="n">
        <v>0</v>
      </c>
      <c r="I928" t="n">
        <v>0.5</v>
      </c>
      <c r="J928" t="n">
        <v>1</v>
      </c>
      <c r="K928" t="n">
        <v>1</v>
      </c>
      <c r="L928" t="n">
        <v>0</v>
      </c>
      <c r="M928" t="n">
        <v>0</v>
      </c>
      <c r="N928" t="n">
        <v>2</v>
      </c>
      <c r="O928" s="1">
        <f>IFERROR(L928*G928,0)</f>
        <v/>
      </c>
      <c r="P928">
        <f>IF(N928-L928-M928&gt;0,N928-L928-M928,0)</f>
        <v/>
      </c>
      <c r="Q928" s="1">
        <f>IFERROR(P928*G928,0)</f>
        <v/>
      </c>
    </row>
    <row r="929">
      <c r="A929" t="inlineStr">
        <is>
          <t>IMP0500B150A10PR14071</t>
        </is>
      </c>
      <c r="B929" t="inlineStr">
        <is>
          <t>Impeller 0500mm 'B' 150A10PR 14mm 071Frame Deg00 - 18 DEG</t>
        </is>
      </c>
      <c r="C929" t="inlineStr"/>
      <c r="D929" t="n">
        <v>12</v>
      </c>
      <c r="E929" t="n">
        <v>2</v>
      </c>
      <c r="F929" t="inlineStr">
        <is>
          <t>Luft Industries Natal (Pty) Ltd</t>
        </is>
      </c>
      <c r="G929" s="1" t="n">
        <v>1087.1</v>
      </c>
      <c r="H929" t="n">
        <v>0</v>
      </c>
      <c r="I929" t="n">
        <v>0.5</v>
      </c>
      <c r="J929" t="n">
        <v>1</v>
      </c>
      <c r="K929" t="n">
        <v>1</v>
      </c>
      <c r="L929" t="n">
        <v>0</v>
      </c>
      <c r="M929" t="n">
        <v>0</v>
      </c>
      <c r="N929" t="n">
        <v>2</v>
      </c>
      <c r="O929" s="1">
        <f>IFERROR(L929*G929,0)</f>
        <v/>
      </c>
      <c r="P929">
        <f>IF(N929-L929-M929&gt;0,N929-L929-M929,0)</f>
        <v/>
      </c>
      <c r="Q929" s="1">
        <f>IFERROR(P929*G929,0)</f>
        <v/>
      </c>
    </row>
    <row r="930">
      <c r="A930" t="inlineStr">
        <is>
          <t>IMP0500B150A10PR140711</t>
        </is>
      </c>
      <c r="B930" t="inlineStr">
        <is>
          <t>Impeller 0500mm 'B' 150A10PR 14mm 071Frame Deg00 - 12 DEG</t>
        </is>
      </c>
      <c r="C930" t="inlineStr"/>
      <c r="D930" t="n">
        <v>1</v>
      </c>
      <c r="E930" t="n">
        <v>2</v>
      </c>
      <c r="F930" t="inlineStr">
        <is>
          <t>Luft Industries Natal (Pty) Ltd</t>
        </is>
      </c>
      <c r="G930" s="1" t="n">
        <v>1164.75</v>
      </c>
      <c r="H930" t="n">
        <v>1</v>
      </c>
      <c r="I930" t="n">
        <v>0.5</v>
      </c>
      <c r="J930" t="n">
        <v>2</v>
      </c>
      <c r="K930" t="n">
        <v>1</v>
      </c>
      <c r="L930" t="n">
        <v>0</v>
      </c>
      <c r="M930" t="n">
        <v>0</v>
      </c>
      <c r="N930" t="n">
        <v>5</v>
      </c>
      <c r="O930" s="1">
        <f>IFERROR(L930*G930,0)</f>
        <v/>
      </c>
      <c r="P930">
        <f>IF(N930-L930-M930&gt;0,N930-L930-M930,0)</f>
        <v/>
      </c>
      <c r="Q930" s="1">
        <f>IFERROR(P930*G930,0)</f>
        <v/>
      </c>
    </row>
    <row r="931">
      <c r="A931" t="inlineStr">
        <is>
          <t>IMP0560B150A05AR14071</t>
        </is>
      </c>
      <c r="B931" t="inlineStr">
        <is>
          <t>Impeller 0560mm 'B' 150A05AR 14mm 071Frame Deg00 - 20 DEG</t>
        </is>
      </c>
      <c r="C931" t="inlineStr"/>
      <c r="D931" t="n">
        <v>1</v>
      </c>
      <c r="E931" t="n">
        <v>1</v>
      </c>
      <c r="F931" t="inlineStr">
        <is>
          <t>Luft Industries Natal (Pty) Ltd</t>
        </is>
      </c>
      <c r="G931" s="1" t="n">
        <v>1076.25</v>
      </c>
      <c r="H931" t="n">
        <v>0</v>
      </c>
      <c r="I931" t="n">
        <v>0.5</v>
      </c>
      <c r="J931" t="n">
        <v>1</v>
      </c>
      <c r="K931" t="n">
        <v>1</v>
      </c>
      <c r="L931" t="n">
        <v>0</v>
      </c>
      <c r="M931" t="n">
        <v>0</v>
      </c>
      <c r="N931" t="n">
        <v>2</v>
      </c>
      <c r="O931" s="1">
        <f>IFERROR(L931*G931,0)</f>
        <v/>
      </c>
      <c r="P931">
        <f>IF(N931-L931-M931&gt;0,N931-L931-M931,0)</f>
        <v/>
      </c>
      <c r="Q931" s="1">
        <f>IFERROR(P931*G931,0)</f>
        <v/>
      </c>
    </row>
    <row r="932">
      <c r="A932" t="inlineStr">
        <is>
          <t>IMP0560B150A05AR28100</t>
        </is>
      </c>
      <c r="B932" t="inlineStr">
        <is>
          <t>Impeller 0560mm 'B' 150A05AR 28mm 100Frame Deg00 - 22 DEG</t>
        </is>
      </c>
      <c r="C932" t="inlineStr"/>
      <c r="D932" t="n">
        <v>1</v>
      </c>
      <c r="E932" t="n">
        <v>2</v>
      </c>
      <c r="F932" t="inlineStr">
        <is>
          <t>Luft Industries Natal (Pty) Ltd</t>
        </is>
      </c>
      <c r="G932" s="1" t="n">
        <v>1076.25</v>
      </c>
      <c r="H932" t="n">
        <v>0</v>
      </c>
      <c r="I932" t="n">
        <v>0.5</v>
      </c>
      <c r="J932" t="n">
        <v>2</v>
      </c>
      <c r="K932" t="n">
        <v>1</v>
      </c>
      <c r="L932" t="n">
        <v>0</v>
      </c>
      <c r="M932" t="n">
        <v>0</v>
      </c>
      <c r="N932" t="n">
        <v>5</v>
      </c>
      <c r="O932" s="1">
        <f>IFERROR(L932*G932,0)</f>
        <v/>
      </c>
      <c r="P932">
        <f>IF(N932-L932-M932&gt;0,N932-L932-M932,0)</f>
        <v/>
      </c>
      <c r="Q932" s="1">
        <f>IFERROR(P932*G932,0)</f>
        <v/>
      </c>
    </row>
    <row r="933">
      <c r="A933" t="inlineStr">
        <is>
          <t>IMP0560B150A05PR14071</t>
        </is>
      </c>
      <c r="B933" t="inlineStr">
        <is>
          <t>Impeller 0560mm 'B' 150A05PR 14mm 071Frame Deg00 20 DEG</t>
        </is>
      </c>
      <c r="C933" t="inlineStr"/>
      <c r="D933" t="n">
        <v>1</v>
      </c>
      <c r="E933" t="n">
        <v>1</v>
      </c>
      <c r="F933" t="inlineStr">
        <is>
          <t>Luft Industries Natal (Pty) Ltd</t>
        </is>
      </c>
      <c r="G933" s="1" t="n">
        <v>782.25</v>
      </c>
      <c r="H933" t="n">
        <v>0</v>
      </c>
      <c r="I933" t="n">
        <v>0.7</v>
      </c>
      <c r="J933" t="n">
        <v>1</v>
      </c>
      <c r="K933" t="n">
        <v>1</v>
      </c>
      <c r="L933" t="n">
        <v>0</v>
      </c>
      <c r="M933" t="n">
        <v>0</v>
      </c>
      <c r="N933" t="n">
        <v>3</v>
      </c>
      <c r="O933" s="1">
        <f>IFERROR(L933*G933,0)</f>
        <v/>
      </c>
      <c r="P933">
        <f>IF(N933-L933-M933&gt;0,N933-L933-M933,0)</f>
        <v/>
      </c>
      <c r="Q933" s="1">
        <f>IFERROR(P933*G933,0)</f>
        <v/>
      </c>
    </row>
    <row r="934">
      <c r="A934" t="inlineStr">
        <is>
          <t>IMP0560B150A10AR14071</t>
        </is>
      </c>
      <c r="B934" t="inlineStr">
        <is>
          <t>Impeller 0560mm 'B' 150A10AR 14mm 071Frame Deg00 10 DEG FM3517</t>
        </is>
      </c>
      <c r="C934" t="inlineStr"/>
      <c r="D934" t="n">
        <v>1</v>
      </c>
      <c r="E934" t="n">
        <v>1</v>
      </c>
      <c r="F934" t="inlineStr">
        <is>
          <t>Luft Industries Natal (Pty) Ltd</t>
        </is>
      </c>
      <c r="G934" s="1" t="n">
        <v>1517.75</v>
      </c>
      <c r="H934" t="n">
        <v>0</v>
      </c>
      <c r="I934" t="n">
        <v>0.5</v>
      </c>
      <c r="J934" t="n">
        <v>1</v>
      </c>
      <c r="K934" t="n">
        <v>1</v>
      </c>
      <c r="L934" t="n">
        <v>0</v>
      </c>
      <c r="M934" t="n">
        <v>0</v>
      </c>
      <c r="N934" t="n">
        <v>2</v>
      </c>
      <c r="O934" s="1">
        <f>IFERROR(L934*G934,0)</f>
        <v/>
      </c>
      <c r="P934">
        <f>IF(N934-L934-M934&gt;0,N934-L934-M934,0)</f>
        <v/>
      </c>
      <c r="Q934" s="1">
        <f>IFERROR(P934*G934,0)</f>
        <v/>
      </c>
    </row>
    <row r="935">
      <c r="A935" t="inlineStr">
        <is>
          <t>IMP0560B150A10AR19080</t>
        </is>
      </c>
      <c r="B935" t="inlineStr">
        <is>
          <t>Impeller 0560mm 'B' 150A10AR 19mm 080Frame Deg00 - 15 DEG</t>
        </is>
      </c>
      <c r="C935" t="inlineStr"/>
      <c r="D935" t="n">
        <v>2</v>
      </c>
      <c r="E935" t="n">
        <v>9</v>
      </c>
      <c r="F935" t="inlineStr">
        <is>
          <t>Luft Industries Natal (Pty) Ltd</t>
        </is>
      </c>
      <c r="G935" s="1" t="n">
        <v>1634.5</v>
      </c>
      <c r="H935" t="n">
        <v>0</v>
      </c>
      <c r="I935" t="n">
        <v>0.5</v>
      </c>
      <c r="J935" t="n">
        <v>4.5</v>
      </c>
      <c r="K935" t="n">
        <v>2</v>
      </c>
      <c r="L935" t="n">
        <v>0</v>
      </c>
      <c r="M935" t="n">
        <v>0</v>
      </c>
      <c r="N935" t="n">
        <v>11</v>
      </c>
      <c r="O935" s="1">
        <f>IFERROR(L935*G935,0)</f>
        <v/>
      </c>
      <c r="P935">
        <f>IF(N935-L935-M935&gt;0,N935-L935-M935,0)</f>
        <v/>
      </c>
      <c r="Q935" s="1">
        <f>IFERROR(P935*G935,0)</f>
        <v/>
      </c>
    </row>
    <row r="936">
      <c r="A936" t="inlineStr">
        <is>
          <t>IMP0560B150A10AR19080.</t>
        </is>
      </c>
      <c r="B936" t="inlineStr">
        <is>
          <t>Impeller 0560mm 'B' 150A10AR 19mm 080Frame Deg00 - 20 DEG</t>
        </is>
      </c>
      <c r="C936" t="inlineStr"/>
      <c r="D936" t="n">
        <v>8</v>
      </c>
      <c r="E936" t="n">
        <v>2</v>
      </c>
      <c r="F936" t="inlineStr">
        <is>
          <t>Luft Industries Natal (Pty) Ltd</t>
        </is>
      </c>
      <c r="G936" s="1" t="n">
        <v>1634.5</v>
      </c>
      <c r="H936" t="n">
        <v>0</v>
      </c>
      <c r="I936" t="n">
        <v>0.5</v>
      </c>
      <c r="J936" t="n">
        <v>1</v>
      </c>
      <c r="K936" t="n">
        <v>1</v>
      </c>
      <c r="L936" t="n">
        <v>0</v>
      </c>
      <c r="M936" t="n">
        <v>0</v>
      </c>
      <c r="N936" t="n">
        <v>2</v>
      </c>
      <c r="O936" s="1">
        <f>IFERROR(L936*G936,0)</f>
        <v/>
      </c>
      <c r="P936">
        <f>IF(N936-L936-M936&gt;0,N936-L936-M936,0)</f>
        <v/>
      </c>
      <c r="Q936" s="1">
        <f>IFERROR(P936*G936,0)</f>
        <v/>
      </c>
    </row>
    <row r="937">
      <c r="A937" t="inlineStr">
        <is>
          <t>IMP0560B150A10AR19080..</t>
        </is>
      </c>
      <c r="B937" t="inlineStr">
        <is>
          <t>Impeller 0560mm 'B' 150A10AR 19mm 080Frame Deg00 - 12 DEG</t>
        </is>
      </c>
      <c r="C937" t="inlineStr"/>
      <c r="D937" t="n">
        <v>1</v>
      </c>
      <c r="E937" t="n">
        <v>2</v>
      </c>
      <c r="F937" t="inlineStr">
        <is>
          <t>Luft Industries Natal (Pty) Ltd</t>
        </is>
      </c>
      <c r="G937" s="1" t="n">
        <v>1751.25</v>
      </c>
      <c r="H937" t="n">
        <v>0</v>
      </c>
      <c r="I937" t="n">
        <v>0.5</v>
      </c>
      <c r="J937" t="n">
        <v>2</v>
      </c>
      <c r="K937" t="n">
        <v>1</v>
      </c>
      <c r="L937" t="n">
        <v>0</v>
      </c>
      <c r="M937" t="n">
        <v>0</v>
      </c>
      <c r="N937" t="n">
        <v>5</v>
      </c>
      <c r="O937" s="1">
        <f>IFERROR(L937*G937,0)</f>
        <v/>
      </c>
      <c r="P937">
        <f>IF(N937-L937-M937&gt;0,N937-L937-M937,0)</f>
        <v/>
      </c>
      <c r="Q937" s="1">
        <f>IFERROR(P937*G937,0)</f>
        <v/>
      </c>
    </row>
    <row r="938">
      <c r="A938" t="inlineStr">
        <is>
          <t>IMP0560B150A10AR19080...</t>
        </is>
      </c>
      <c r="B938" t="inlineStr">
        <is>
          <t>Impeller 0560mm 'B' 150A10AR 19mm 080Frame Deg00 13 DEG FM3516</t>
        </is>
      </c>
      <c r="C938" t="inlineStr"/>
      <c r="D938" t="n">
        <v>1</v>
      </c>
      <c r="E938" t="n">
        <v>1</v>
      </c>
      <c r="F938" t="inlineStr">
        <is>
          <t>Luft Industries Natal (Pty) Ltd</t>
        </is>
      </c>
      <c r="G938" s="1" t="n">
        <v>1517.75</v>
      </c>
      <c r="H938" t="n">
        <v>0</v>
      </c>
      <c r="I938" t="n">
        <v>0.5</v>
      </c>
      <c r="J938" t="n">
        <v>1</v>
      </c>
      <c r="K938" t="n">
        <v>1</v>
      </c>
      <c r="L938" t="n">
        <v>0</v>
      </c>
      <c r="M938" t="n">
        <v>0</v>
      </c>
      <c r="N938" t="n">
        <v>2</v>
      </c>
      <c r="O938" s="1">
        <f>IFERROR(L938*G938,0)</f>
        <v/>
      </c>
      <c r="P938">
        <f>IF(N938-L938-M938&gt;0,N938-L938-M938,0)</f>
        <v/>
      </c>
      <c r="Q938" s="1">
        <f>IFERROR(P938*G938,0)</f>
        <v/>
      </c>
    </row>
    <row r="939">
      <c r="A939" t="inlineStr">
        <is>
          <t>IMP0560B150A10AR24090</t>
        </is>
      </c>
      <c r="B939" t="inlineStr">
        <is>
          <t>Impeller 0560mm 'B' 150A10AR 24mm 090Frame Deg00 - 33 DEG</t>
        </is>
      </c>
      <c r="C939" t="inlineStr"/>
      <c r="D939" t="n">
        <v>1</v>
      </c>
      <c r="E939" t="n">
        <v>1</v>
      </c>
      <c r="F939" t="inlineStr">
        <is>
          <t>Luft Industries Natal (Pty) Ltd</t>
        </is>
      </c>
      <c r="G939" s="1" t="n">
        <v>1751.25</v>
      </c>
      <c r="H939" t="n">
        <v>0</v>
      </c>
      <c r="I939" t="n">
        <v>0.5</v>
      </c>
      <c r="J939" t="n">
        <v>1</v>
      </c>
      <c r="K939" t="n">
        <v>1</v>
      </c>
      <c r="L939" t="n">
        <v>0</v>
      </c>
      <c r="M939" t="n">
        <v>0</v>
      </c>
      <c r="N939" t="n">
        <v>2</v>
      </c>
      <c r="O939" s="1">
        <f>IFERROR(L939*G939,0)</f>
        <v/>
      </c>
      <c r="P939">
        <f>IF(N939-L939-M939&gt;0,N939-L939-M939,0)</f>
        <v/>
      </c>
      <c r="Q939" s="1">
        <f>IFERROR(P939*G939,0)</f>
        <v/>
      </c>
    </row>
    <row r="940">
      <c r="A940" t="inlineStr">
        <is>
          <t>IMP0560B150A10AR24090.</t>
        </is>
      </c>
      <c r="B940" t="inlineStr">
        <is>
          <t>Impeller 0560mm 'B' 150A10AR 24mm 090Frame Deg00 - 28 DEG</t>
        </is>
      </c>
      <c r="C940" t="inlineStr"/>
      <c r="D940" t="n">
        <v>1</v>
      </c>
      <c r="E940" t="n">
        <v>2</v>
      </c>
      <c r="F940" t="inlineStr">
        <is>
          <t>Luft Industries Natal (Pty) Ltd</t>
        </is>
      </c>
      <c r="G940" s="1" t="n">
        <v>1751.25</v>
      </c>
      <c r="H940" t="n">
        <v>0</v>
      </c>
      <c r="I940" t="n">
        <v>0.5</v>
      </c>
      <c r="J940" t="n">
        <v>2</v>
      </c>
      <c r="K940" t="n">
        <v>1</v>
      </c>
      <c r="L940" t="n">
        <v>0</v>
      </c>
      <c r="M940" t="n">
        <v>0</v>
      </c>
      <c r="N940" t="n">
        <v>5</v>
      </c>
      <c r="O940" s="1">
        <f>IFERROR(L940*G940,0)</f>
        <v/>
      </c>
      <c r="P940">
        <f>IF(N940-L940-M940&gt;0,N940-L940-M940,0)</f>
        <v/>
      </c>
      <c r="Q940" s="1">
        <f>IFERROR(P940*G940,0)</f>
        <v/>
      </c>
    </row>
    <row r="941">
      <c r="A941" t="inlineStr">
        <is>
          <t>IMP0560B150A10PR14071</t>
        </is>
      </c>
      <c r="B941" t="inlineStr">
        <is>
          <t>Impeller 0560mm 'B' 150A10PR 14mm 071Frame</t>
        </is>
      </c>
      <c r="C941" t="inlineStr"/>
      <c r="D941" t="n">
        <v>1</v>
      </c>
      <c r="E941" t="n">
        <v>1</v>
      </c>
      <c r="F941" t="inlineStr">
        <is>
          <t>Luft Industries Natal (Pty) Ltd</t>
        </is>
      </c>
      <c r="G941" s="1" t="n">
        <v>1009.45</v>
      </c>
      <c r="H941" t="n">
        <v>0</v>
      </c>
      <c r="I941" t="n">
        <v>0.5</v>
      </c>
      <c r="J941" t="n">
        <v>1</v>
      </c>
      <c r="K941" t="n">
        <v>1</v>
      </c>
      <c r="L941" t="n">
        <v>0</v>
      </c>
      <c r="M941" t="n">
        <v>0</v>
      </c>
      <c r="N941" t="n">
        <v>2</v>
      </c>
      <c r="O941" s="1">
        <f>IFERROR(L941*G941,0)</f>
        <v/>
      </c>
      <c r="P941">
        <f>IF(N941-L941-M941&gt;0,N941-L941-M941,0)</f>
        <v/>
      </c>
      <c r="Q941" s="1">
        <f>IFERROR(P941*G941,0)</f>
        <v/>
      </c>
    </row>
    <row r="942">
      <c r="A942" t="inlineStr">
        <is>
          <t>IMP0560B150A10PR19080</t>
        </is>
      </c>
      <c r="B942" t="inlineStr">
        <is>
          <t>Impeller 0560mm 'B' 150A10PR 19mm 080Frame Deg00 - 11 DEG</t>
        </is>
      </c>
      <c r="C942" t="inlineStr"/>
      <c r="D942" t="n">
        <v>1</v>
      </c>
      <c r="E942" t="n">
        <v>1</v>
      </c>
      <c r="F942" t="inlineStr">
        <is>
          <t>Luft Industries Natal (Pty) Ltd</t>
        </is>
      </c>
      <c r="G942" s="1" t="n">
        <v>1164.75</v>
      </c>
      <c r="H942" t="n">
        <v>0</v>
      </c>
      <c r="I942" t="n">
        <v>0.5</v>
      </c>
      <c r="J942" t="n">
        <v>1</v>
      </c>
      <c r="K942" t="n">
        <v>1</v>
      </c>
      <c r="L942" t="n">
        <v>0</v>
      </c>
      <c r="M942" t="n">
        <v>0</v>
      </c>
      <c r="N942" t="n">
        <v>2</v>
      </c>
      <c r="O942" s="1">
        <f>IFERROR(L942*G942,0)</f>
        <v/>
      </c>
      <c r="P942">
        <f>IF(N942-L942-M942&gt;0,N942-L942-M942,0)</f>
        <v/>
      </c>
      <c r="Q942" s="1">
        <f>IFERROR(P942*G942,0)</f>
        <v/>
      </c>
    </row>
    <row r="943">
      <c r="A943" t="inlineStr">
        <is>
          <t>IMP0560B250A14AR19080</t>
        </is>
      </c>
      <c r="B943" t="inlineStr">
        <is>
          <t>Impeller 0560mm 'B' 250A14AR19mm 080Frame</t>
        </is>
      </c>
      <c r="C943" t="inlineStr"/>
      <c r="D943" t="n">
        <v>1</v>
      </c>
      <c r="E943" t="n">
        <v>1</v>
      </c>
      <c r="F943" t="inlineStr">
        <is>
          <t>Luft Industries Natal (Pty) Ltd</t>
        </is>
      </c>
      <c r="G943" s="1" t="n">
        <v>2104.7</v>
      </c>
      <c r="H943" t="n">
        <v>0</v>
      </c>
      <c r="I943" t="n">
        <v>0.5</v>
      </c>
      <c r="J943" t="n">
        <v>1</v>
      </c>
      <c r="K943" t="n">
        <v>1</v>
      </c>
      <c r="L943" t="n">
        <v>0</v>
      </c>
      <c r="M943" t="n">
        <v>0</v>
      </c>
      <c r="N943" t="n">
        <v>2</v>
      </c>
      <c r="O943" s="1">
        <f>IFERROR(L943*G943,0)</f>
        <v/>
      </c>
      <c r="P943">
        <f>IF(N943-L943-M943&gt;0,N943-L943-M943,0)</f>
        <v/>
      </c>
      <c r="Q943" s="1">
        <f>IFERROR(P943*G943,0)</f>
        <v/>
      </c>
    </row>
    <row r="944">
      <c r="A944" t="inlineStr">
        <is>
          <t>IMP0560B250A14AR24090</t>
        </is>
      </c>
      <c r="B944" t="inlineStr">
        <is>
          <t>Impeller 0560mm 'B' 250A14AR 24mm 090Frame Deg00 - 31 DEG</t>
        </is>
      </c>
      <c r="C944" t="inlineStr">
        <is>
          <t>IMPELLER</t>
        </is>
      </c>
      <c r="D944" t="n">
        <v>1</v>
      </c>
      <c r="E944" t="n">
        <v>1</v>
      </c>
      <c r="F944" t="inlineStr">
        <is>
          <t>Luft Industries Natal (Pty) Ltd</t>
        </is>
      </c>
      <c r="G944" s="1" t="n">
        <v>2098.2</v>
      </c>
      <c r="H944" t="n">
        <v>0</v>
      </c>
      <c r="I944" t="n">
        <v>0.5</v>
      </c>
      <c r="J944" t="n">
        <v>1</v>
      </c>
      <c r="K944" t="n">
        <v>1</v>
      </c>
      <c r="L944" t="n">
        <v>0</v>
      </c>
      <c r="M944" t="n">
        <v>0</v>
      </c>
      <c r="N944" t="n">
        <v>2</v>
      </c>
      <c r="O944" s="1">
        <f>IFERROR(L944*G944,0)</f>
        <v/>
      </c>
      <c r="P944">
        <f>IF(N944-L944-M944&gt;0,N944-L944-M944,0)</f>
        <v/>
      </c>
      <c r="Q944" s="1">
        <f>IFERROR(P944*G944,0)</f>
        <v/>
      </c>
    </row>
    <row r="945">
      <c r="A945" t="inlineStr">
        <is>
          <t>IMP0560B250A14AR28100</t>
        </is>
      </c>
      <c r="B945" t="inlineStr">
        <is>
          <t>Impeller 0560mm 'B' 250A14AR 28mm 100Frame Deg00 - 32 DEG</t>
        </is>
      </c>
      <c r="C945" t="inlineStr">
        <is>
          <t>IMPELLER</t>
        </is>
      </c>
      <c r="D945" t="n">
        <v>1</v>
      </c>
      <c r="E945" t="n">
        <v>1</v>
      </c>
      <c r="F945" t="inlineStr">
        <is>
          <t>Luft Industries Natal (Pty) Ltd</t>
        </is>
      </c>
      <c r="G945" s="1" t="n">
        <v>2104.7</v>
      </c>
      <c r="H945" t="n">
        <v>0</v>
      </c>
      <c r="I945" t="n">
        <v>0.5</v>
      </c>
      <c r="J945" t="n">
        <v>1</v>
      </c>
      <c r="K945" t="n">
        <v>1</v>
      </c>
      <c r="L945" t="n">
        <v>0</v>
      </c>
      <c r="M945" t="n">
        <v>0</v>
      </c>
      <c r="N945" t="n">
        <v>2</v>
      </c>
      <c r="O945" s="1">
        <f>IFERROR(L945*G945,0)</f>
        <v/>
      </c>
      <c r="P945">
        <f>IF(N945-L945-M945&gt;0,N945-L945-M945,0)</f>
        <v/>
      </c>
      <c r="Q945" s="1">
        <f>IFERROR(P945*G945,0)</f>
        <v/>
      </c>
    </row>
    <row r="946">
      <c r="A946" t="inlineStr">
        <is>
          <t>IMP0560B250A14PR24090</t>
        </is>
      </c>
      <c r="B946" t="inlineStr">
        <is>
          <t>Impeller 0560mm 'B' 250A14PR 24mm 090Frame</t>
        </is>
      </c>
      <c r="C946" t="inlineStr"/>
      <c r="D946" t="n">
        <v>1</v>
      </c>
      <c r="E946" t="n">
        <v>2</v>
      </c>
      <c r="F946" t="inlineStr">
        <is>
          <t>Luft Industries Natal (Pty) Ltd</t>
        </is>
      </c>
      <c r="G946" s="1" t="n">
        <v>1860</v>
      </c>
      <c r="H946" t="n">
        <v>0</v>
      </c>
      <c r="I946" t="n">
        <v>0.6</v>
      </c>
      <c r="J946" t="n">
        <v>2</v>
      </c>
      <c r="K946" t="n">
        <v>1</v>
      </c>
      <c r="L946" t="n">
        <v>0</v>
      </c>
      <c r="M946" t="n">
        <v>0</v>
      </c>
      <c r="N946" t="n">
        <v>5</v>
      </c>
      <c r="O946" s="1">
        <f>IFERROR(L946*G946,0)</f>
        <v/>
      </c>
      <c r="P946">
        <f>IF(N946-L946-M946&gt;0,N946-L946-M946,0)</f>
        <v/>
      </c>
      <c r="Q946" s="1">
        <f>IFERROR(P946*G946,0)</f>
        <v/>
      </c>
    </row>
    <row r="947">
      <c r="A947" t="inlineStr">
        <is>
          <t>IMP0630B150A10AR24090</t>
        </is>
      </c>
      <c r="B947" t="inlineStr">
        <is>
          <t>Impeller 0630mm 'B' 150A10AR 24mm 090Frame Deg00 -27 DEG</t>
        </is>
      </c>
      <c r="C947" t="inlineStr"/>
      <c r="D947" t="n">
        <v>10</v>
      </c>
      <c r="E947" t="n">
        <v>5</v>
      </c>
      <c r="F947" t="inlineStr">
        <is>
          <t>Luft Industries Natal (Pty) Ltd</t>
        </is>
      </c>
      <c r="G947" s="1" t="n">
        <v>1611.15</v>
      </c>
      <c r="H947" t="n">
        <v>0</v>
      </c>
      <c r="I947" t="n">
        <v>0.5</v>
      </c>
      <c r="J947" t="n">
        <v>1</v>
      </c>
      <c r="K947" t="n">
        <v>1</v>
      </c>
      <c r="L947" t="n">
        <v>0</v>
      </c>
      <c r="M947" t="n">
        <v>0</v>
      </c>
      <c r="N947" t="n">
        <v>2</v>
      </c>
      <c r="O947" s="1">
        <f>IFERROR(L947*G947,0)</f>
        <v/>
      </c>
      <c r="P947">
        <f>IF(N947-L947-M947&gt;0,N947-L947-M947,0)</f>
        <v/>
      </c>
      <c r="Q947" s="1">
        <f>IFERROR(P947*G947,0)</f>
        <v/>
      </c>
    </row>
    <row r="948">
      <c r="A948" t="inlineStr">
        <is>
          <t>IMP0630B150A10AR28100</t>
        </is>
      </c>
      <c r="B948" t="inlineStr">
        <is>
          <t>Impeller 0630mm 'B' 150A10AR 28mm 100Frame Deg00 - 29 DEG</t>
        </is>
      </c>
      <c r="C948" t="inlineStr">
        <is>
          <t>IMPELLER</t>
        </is>
      </c>
      <c r="D948" t="n">
        <v>1</v>
      </c>
      <c r="E948" t="n">
        <v>2</v>
      </c>
      <c r="F948" t="inlineStr">
        <is>
          <t>Luft Industries Natal (Pty) Ltd</t>
        </is>
      </c>
      <c r="G948" s="1" t="n">
        <v>1517.75</v>
      </c>
      <c r="H948" t="n">
        <v>0</v>
      </c>
      <c r="I948" t="n">
        <v>0.5</v>
      </c>
      <c r="J948" t="n">
        <v>2</v>
      </c>
      <c r="K948" t="n">
        <v>1</v>
      </c>
      <c r="L948" t="n">
        <v>0</v>
      </c>
      <c r="M948" t="n">
        <v>0</v>
      </c>
      <c r="N948" t="n">
        <v>5</v>
      </c>
      <c r="O948" s="1">
        <f>IFERROR(L948*G948,0)</f>
        <v/>
      </c>
      <c r="P948">
        <f>IF(N948-L948-M948&gt;0,N948-L948-M948,0)</f>
        <v/>
      </c>
      <c r="Q948" s="1">
        <f>IFERROR(P948*G948,0)</f>
        <v/>
      </c>
    </row>
    <row r="949">
      <c r="A949" t="inlineStr">
        <is>
          <t>IMP0630B250A14AR24090</t>
        </is>
      </c>
      <c r="B949" t="inlineStr">
        <is>
          <t>Impeller 0630mm 'B' 250A14AR 24mm 090Frame</t>
        </is>
      </c>
      <c r="C949" t="inlineStr"/>
      <c r="D949" t="n">
        <v>1</v>
      </c>
      <c r="E949" t="n">
        <v>3</v>
      </c>
      <c r="F949" t="inlineStr">
        <is>
          <t>Luft Industries Natal (Pty) Ltd</t>
        </is>
      </c>
      <c r="G949" s="1" t="n">
        <v>2086.5</v>
      </c>
      <c r="H949" t="n">
        <v>0</v>
      </c>
      <c r="I949" t="n">
        <v>0.5</v>
      </c>
      <c r="J949" t="n">
        <v>3</v>
      </c>
      <c r="K949" t="n">
        <v>2</v>
      </c>
      <c r="L949" t="n">
        <v>0</v>
      </c>
      <c r="M949" t="n">
        <v>0</v>
      </c>
      <c r="N949" t="n">
        <v>8</v>
      </c>
      <c r="O949" s="1">
        <f>IFERROR(L949*G949,0)</f>
        <v/>
      </c>
      <c r="P949">
        <f>IF(N949-L949-M949&gt;0,N949-L949-M949,0)</f>
        <v/>
      </c>
      <c r="Q949" s="1">
        <f>IFERROR(P949*G949,0)</f>
        <v/>
      </c>
    </row>
    <row r="950">
      <c r="A950" t="inlineStr">
        <is>
          <t>IMP0630B250A14AR28100</t>
        </is>
      </c>
      <c r="B950" t="inlineStr">
        <is>
          <t>Impeller 0630mm 'B' 250A14AR 28mm 100Frame</t>
        </is>
      </c>
      <c r="C950" t="inlineStr"/>
      <c r="D950" t="n">
        <v>7</v>
      </c>
      <c r="E950" t="n">
        <v>9</v>
      </c>
      <c r="F950" t="inlineStr">
        <is>
          <t>Luft Industries Natal (Pty) Ltd</t>
        </is>
      </c>
      <c r="G950" s="1" t="n">
        <v>2442.91</v>
      </c>
      <c r="H950" t="n">
        <v>0</v>
      </c>
      <c r="I950" t="n">
        <v>0.5</v>
      </c>
      <c r="J950" t="n">
        <v>1.5</v>
      </c>
      <c r="K950" t="n">
        <v>1</v>
      </c>
      <c r="L950" t="n">
        <v>0</v>
      </c>
      <c r="M950" t="n">
        <v>0</v>
      </c>
      <c r="N950" t="n">
        <v>4</v>
      </c>
      <c r="O950" s="1">
        <f>IFERROR(L950*G950,0)</f>
        <v/>
      </c>
      <c r="P950">
        <f>IF(N950-L950-M950&gt;0,N950-L950-M950,0)</f>
        <v/>
      </c>
      <c r="Q950" s="1">
        <f>IFERROR(P950*G950,0)</f>
        <v/>
      </c>
    </row>
    <row r="951">
      <c r="A951" t="inlineStr">
        <is>
          <t>IMP0630B250A14PR28100</t>
        </is>
      </c>
      <c r="B951" t="inlineStr">
        <is>
          <t>Impeller 0630mm 'B' 250A14PR 28mm 100Frame Deg00 - 30 DEG</t>
        </is>
      </c>
      <c r="C951" t="inlineStr"/>
      <c r="D951" t="n">
        <v>1</v>
      </c>
      <c r="E951" t="n">
        <v>1</v>
      </c>
      <c r="F951" t="inlineStr">
        <is>
          <t>Luft Industries Natal (Pty) Ltd</t>
        </is>
      </c>
      <c r="G951" s="1" t="n">
        <v>1860</v>
      </c>
      <c r="H951" t="n">
        <v>0</v>
      </c>
      <c r="I951" t="n">
        <v>0.5</v>
      </c>
      <c r="J951" t="n">
        <v>1</v>
      </c>
      <c r="K951" t="n">
        <v>1</v>
      </c>
      <c r="L951" t="n">
        <v>0</v>
      </c>
      <c r="M951" t="n">
        <v>0</v>
      </c>
      <c r="N951" t="n">
        <v>2</v>
      </c>
      <c r="O951" s="1">
        <f>IFERROR(L951*G951,0)</f>
        <v/>
      </c>
      <c r="P951">
        <f>IF(N951-L951-M951&gt;0,N951-L951-M951,0)</f>
        <v/>
      </c>
      <c r="Q951" s="1">
        <f>IFERROR(P951*G951,0)</f>
        <v/>
      </c>
    </row>
    <row r="952">
      <c r="A952" t="inlineStr">
        <is>
          <t>IMP0710A150A10AR28100</t>
        </is>
      </c>
      <c r="B952" t="inlineStr">
        <is>
          <t>Impeller 0710mm 'A' 150A10AR 28mm 100Frame Deg00 - 38 DEG</t>
        </is>
      </c>
      <c r="C952" t="inlineStr"/>
      <c r="D952" t="n">
        <v>9</v>
      </c>
      <c r="E952" t="n">
        <v>8</v>
      </c>
      <c r="F952" t="inlineStr">
        <is>
          <t>Luft Industries Natal (Pty) Ltd</t>
        </is>
      </c>
      <c r="G952" s="1" t="n">
        <v>1576.12</v>
      </c>
      <c r="H952" t="n">
        <v>0</v>
      </c>
      <c r="I952" t="n">
        <v>0.5</v>
      </c>
      <c r="J952" t="n">
        <v>1</v>
      </c>
      <c r="K952" t="n">
        <v>1</v>
      </c>
      <c r="L952" t="n">
        <v>0</v>
      </c>
      <c r="M952" t="n">
        <v>0</v>
      </c>
      <c r="N952" t="n">
        <v>2</v>
      </c>
      <c r="O952" s="1">
        <f>IFERROR(L952*G952,0)</f>
        <v/>
      </c>
      <c r="P952">
        <f>IF(N952-L952-M952&gt;0,N952-L952-M952,0)</f>
        <v/>
      </c>
      <c r="Q952" s="1">
        <f>IFERROR(P952*G952,0)</f>
        <v/>
      </c>
    </row>
    <row r="953">
      <c r="A953" t="inlineStr">
        <is>
          <t>IMP0710B150A05AR28100</t>
        </is>
      </c>
      <c r="B953" t="inlineStr">
        <is>
          <t>Impeller 0710mm 'B' 150A05AR 28mm 100Frame Deg00 - 35 DEG</t>
        </is>
      </c>
      <c r="C953" t="inlineStr"/>
      <c r="D953" t="n">
        <v>1</v>
      </c>
      <c r="E953" t="n">
        <v>3</v>
      </c>
      <c r="F953" t="inlineStr">
        <is>
          <t>Luft Industries Natal (Pty) Ltd</t>
        </is>
      </c>
      <c r="G953" s="1" t="n">
        <v>1076.25</v>
      </c>
      <c r="H953" t="n">
        <v>0</v>
      </c>
      <c r="I953" t="n">
        <v>0.5</v>
      </c>
      <c r="J953" t="n">
        <v>3</v>
      </c>
      <c r="K953" t="n">
        <v>2</v>
      </c>
      <c r="L953" t="n">
        <v>0</v>
      </c>
      <c r="M953" t="n">
        <v>0</v>
      </c>
      <c r="N953" t="n">
        <v>8</v>
      </c>
      <c r="O953" s="1">
        <f>IFERROR(L953*G953,0)</f>
        <v/>
      </c>
      <c r="P953">
        <f>IF(N953-L953-M953&gt;0,N953-L953-M953,0)</f>
        <v/>
      </c>
      <c r="Q953" s="1">
        <f>IFERROR(P953*G953,0)</f>
        <v/>
      </c>
    </row>
    <row r="954">
      <c r="A954" t="inlineStr">
        <is>
          <t>IMP0710B150A05PR24090</t>
        </is>
      </c>
      <c r="B954" t="inlineStr">
        <is>
          <t>Impeller 0710mm 'B' 150A05PR 24mm 090Frame Deg00 -21 DEG</t>
        </is>
      </c>
      <c r="C954" t="inlineStr"/>
      <c r="D954" t="n">
        <v>1</v>
      </c>
      <c r="E954" t="n">
        <v>3</v>
      </c>
      <c r="F954" t="inlineStr">
        <is>
          <t>Luft Industries Natal (Pty) Ltd</t>
        </is>
      </c>
      <c r="G954" s="1" t="n">
        <v>782.25</v>
      </c>
      <c r="H954" t="n">
        <v>0</v>
      </c>
      <c r="I954" t="n">
        <v>0.5</v>
      </c>
      <c r="J954" t="n">
        <v>3</v>
      </c>
      <c r="K954" t="n">
        <v>2</v>
      </c>
      <c r="L954" t="n">
        <v>0</v>
      </c>
      <c r="M954" t="n">
        <v>0</v>
      </c>
      <c r="N954" t="n">
        <v>8</v>
      </c>
      <c r="O954" s="1">
        <f>IFERROR(L954*G954,0)</f>
        <v/>
      </c>
      <c r="P954">
        <f>IF(N954-L954-M954&gt;0,N954-L954-M954,0)</f>
        <v/>
      </c>
      <c r="Q954" s="1">
        <f>IFERROR(P954*G954,0)</f>
        <v/>
      </c>
    </row>
    <row r="955">
      <c r="A955" t="inlineStr">
        <is>
          <t>IMP0710B150A10AR28100</t>
        </is>
      </c>
      <c r="B955" t="inlineStr">
        <is>
          <t>Impeller 0710mm 'B' 150A10AR 28mm 100Frame Deg00 - 33 DEG</t>
        </is>
      </c>
      <c r="C955" t="inlineStr"/>
      <c r="D955" t="n">
        <v>1</v>
      </c>
      <c r="E955" t="n">
        <v>2</v>
      </c>
      <c r="F955" t="inlineStr">
        <is>
          <t>Luft Industries Natal (Pty) Ltd</t>
        </is>
      </c>
      <c r="G955" s="1" t="n">
        <v>1751.25</v>
      </c>
      <c r="H955" t="n">
        <v>0</v>
      </c>
      <c r="I955" t="n">
        <v>0.5</v>
      </c>
      <c r="J955" t="n">
        <v>2</v>
      </c>
      <c r="K955" t="n">
        <v>1</v>
      </c>
      <c r="L955" t="n">
        <v>0</v>
      </c>
      <c r="M955" t="n">
        <v>0</v>
      </c>
      <c r="N955" t="n">
        <v>5</v>
      </c>
      <c r="O955" s="1">
        <f>IFERROR(L955*G955,0)</f>
        <v/>
      </c>
      <c r="P955">
        <f>IF(N955-L955-M955&gt;0,N955-L955-M955,0)</f>
        <v/>
      </c>
      <c r="Q955" s="1">
        <f>IFERROR(P955*G955,0)</f>
        <v/>
      </c>
    </row>
    <row r="956">
      <c r="A956" t="inlineStr">
        <is>
          <t>IMP0710B150A10AR28100.</t>
        </is>
      </c>
      <c r="B956" t="inlineStr">
        <is>
          <t>Impeller 0710mm 'B' 150A10AR 28mm 100Frame Deg00 - 38 DEG</t>
        </is>
      </c>
      <c r="C956" t="inlineStr"/>
      <c r="D956" t="n">
        <v>1</v>
      </c>
      <c r="E956" t="n">
        <v>2</v>
      </c>
      <c r="F956" t="inlineStr">
        <is>
          <t>Luft Industries Natal (Pty) Ltd</t>
        </is>
      </c>
      <c r="G956" s="1" t="n">
        <v>1751.25</v>
      </c>
      <c r="H956" t="n">
        <v>0</v>
      </c>
      <c r="I956" t="n">
        <v>0.5</v>
      </c>
      <c r="J956" t="n">
        <v>2</v>
      </c>
      <c r="K956" t="n">
        <v>1</v>
      </c>
      <c r="L956" t="n">
        <v>0</v>
      </c>
      <c r="M956" t="n">
        <v>0</v>
      </c>
      <c r="N956" t="n">
        <v>5</v>
      </c>
      <c r="O956" s="1">
        <f>IFERROR(L956*G956,0)</f>
        <v/>
      </c>
      <c r="P956">
        <f>IF(N956-L956-M956&gt;0,N956-L956-M956,0)</f>
        <v/>
      </c>
      <c r="Q956" s="1">
        <f>IFERROR(P956*G956,0)</f>
        <v/>
      </c>
    </row>
    <row r="957">
      <c r="A957" t="inlineStr">
        <is>
          <t>IMP0710B250A07PR240903</t>
        </is>
      </c>
      <c r="B957" t="inlineStr">
        <is>
          <t>Impeller 0710mm 'B' 250A07PR 24mm 090Frame Deg00 -24 DEG</t>
        </is>
      </c>
      <c r="C957" t="inlineStr"/>
      <c r="D957" t="n">
        <v>1</v>
      </c>
      <c r="E957" t="n">
        <v>1</v>
      </c>
      <c r="F957" t="inlineStr">
        <is>
          <t>Luft Industries Natal (Pty) Ltd</t>
        </is>
      </c>
      <c r="G957" s="1" t="n">
        <v>1324.5</v>
      </c>
      <c r="H957" t="n">
        <v>0</v>
      </c>
      <c r="I957" t="n">
        <v>0.5</v>
      </c>
      <c r="J957" t="n">
        <v>1</v>
      </c>
      <c r="K957" t="n">
        <v>1</v>
      </c>
      <c r="L957" t="n">
        <v>0</v>
      </c>
      <c r="M957" t="n">
        <v>0</v>
      </c>
      <c r="N957" t="n">
        <v>2</v>
      </c>
      <c r="O957" s="1">
        <f>IFERROR(L957*G957,0)</f>
        <v/>
      </c>
      <c r="P957">
        <f>IF(N957-L957-M957&gt;0,N957-L957-M957,0)</f>
        <v/>
      </c>
      <c r="Q957" s="1">
        <f>IFERROR(P957*G957,0)</f>
        <v/>
      </c>
    </row>
    <row r="958">
      <c r="A958" t="inlineStr">
        <is>
          <t>IMP0710B250A14AR28100</t>
        </is>
      </c>
      <c r="B958" t="inlineStr">
        <is>
          <t>Impeller 0710mm 'B' 250A14AR 28mm 100Frame</t>
        </is>
      </c>
      <c r="C958" t="inlineStr"/>
      <c r="D958" t="n">
        <v>3</v>
      </c>
      <c r="E958" t="n">
        <v>4</v>
      </c>
      <c r="F958" t="inlineStr">
        <is>
          <t>Luft Industries Natal (Pty) Ltd</t>
        </is>
      </c>
      <c r="G958" s="1" t="n">
        <v>2145.82</v>
      </c>
      <c r="H958" t="n">
        <v>0</v>
      </c>
      <c r="I958" t="n">
        <v>0.5</v>
      </c>
      <c r="J958" t="n">
        <v>1.5</v>
      </c>
      <c r="K958" t="n">
        <v>1</v>
      </c>
      <c r="L958" t="n">
        <v>0</v>
      </c>
      <c r="M958" t="n">
        <v>0</v>
      </c>
      <c r="N958" t="n">
        <v>4</v>
      </c>
      <c r="O958" s="1">
        <f>IFERROR(L958*G958,0)</f>
        <v/>
      </c>
      <c r="P958">
        <f>IF(N958-L958-M958&gt;0,N958-L958-M958,0)</f>
        <v/>
      </c>
      <c r="Q958" s="1">
        <f>IFERROR(P958*G958,0)</f>
        <v/>
      </c>
    </row>
    <row r="959">
      <c r="A959" t="inlineStr">
        <is>
          <t>IMP0710B250A14PR24090</t>
        </is>
      </c>
      <c r="B959" t="inlineStr">
        <is>
          <t>Impeller 0710mm 'B' 250A14PR 24mm 090Frame</t>
        </is>
      </c>
      <c r="C959" t="inlineStr"/>
      <c r="D959" t="n">
        <v>2</v>
      </c>
      <c r="E959" t="n">
        <v>4</v>
      </c>
      <c r="F959" t="inlineStr">
        <is>
          <t>Luft Industries Natal (Pty) Ltd</t>
        </is>
      </c>
      <c r="G959" s="1" t="n">
        <v>1736</v>
      </c>
      <c r="H959" t="n">
        <v>0</v>
      </c>
      <c r="I959" t="n">
        <v>0.5</v>
      </c>
      <c r="J959" t="n">
        <v>2</v>
      </c>
      <c r="K959" t="n">
        <v>1</v>
      </c>
      <c r="L959" t="n">
        <v>0</v>
      </c>
      <c r="M959" t="n">
        <v>0</v>
      </c>
      <c r="N959" t="n">
        <v>5</v>
      </c>
      <c r="O959" s="1">
        <f>IFERROR(L959*G959,0)</f>
        <v/>
      </c>
      <c r="P959">
        <f>IF(N959-L959-M959&gt;0,N959-L959-M959,0)</f>
        <v/>
      </c>
      <c r="Q959" s="1">
        <f>IFERROR(P959*G959,0)</f>
        <v/>
      </c>
    </row>
    <row r="960">
      <c r="A960" t="inlineStr">
        <is>
          <t>IMP0800B150A10AR28100</t>
        </is>
      </c>
      <c r="B960" t="inlineStr">
        <is>
          <t>Impeller 0800mm 'B' 150A10AR 28mm 100Frame Deg00 - 25 DEG</t>
        </is>
      </c>
      <c r="C960" t="inlineStr"/>
      <c r="D960" t="n">
        <v>12</v>
      </c>
      <c r="E960" t="n">
        <v>12</v>
      </c>
      <c r="F960" t="inlineStr">
        <is>
          <t>Luft Industries Natal (Pty) Ltd</t>
        </is>
      </c>
      <c r="G960" s="1" t="n">
        <v>1668.88</v>
      </c>
      <c r="H960" t="n">
        <v>0</v>
      </c>
      <c r="I960" t="n">
        <v>0.5</v>
      </c>
      <c r="J960" t="n">
        <v>1</v>
      </c>
      <c r="K960" t="n">
        <v>1</v>
      </c>
      <c r="L960" t="n">
        <v>0</v>
      </c>
      <c r="M960" t="n">
        <v>0</v>
      </c>
      <c r="N960" t="n">
        <v>2</v>
      </c>
      <c r="O960" s="1">
        <f>IFERROR(L960*G960,0)</f>
        <v/>
      </c>
      <c r="P960">
        <f>IF(N960-L960-M960&gt;0,N960-L960-M960,0)</f>
        <v/>
      </c>
      <c r="Q960" s="1">
        <f>IFERROR(P960*G960,0)</f>
        <v/>
      </c>
    </row>
    <row r="961">
      <c r="A961" t="inlineStr">
        <is>
          <t>IMP0800B150A10AR28100.</t>
        </is>
      </c>
      <c r="B961" t="inlineStr">
        <is>
          <t>Impeller 0800mm 'B' 150A10AR 28mm 100Frame Deg00 -14 DEG</t>
        </is>
      </c>
      <c r="C961" t="inlineStr"/>
      <c r="D961" t="n">
        <v>8</v>
      </c>
      <c r="E961" t="n">
        <v>3</v>
      </c>
      <c r="F961" t="inlineStr">
        <is>
          <t>Luft Industries Natal (Pty) Ltd</t>
        </is>
      </c>
      <c r="G961" s="1" t="n">
        <v>1732.25</v>
      </c>
      <c r="H961" t="n">
        <v>0</v>
      </c>
      <c r="I961" t="n">
        <v>0.5</v>
      </c>
      <c r="J961" t="n">
        <v>1</v>
      </c>
      <c r="K961" t="n">
        <v>1</v>
      </c>
      <c r="L961" t="n">
        <v>0</v>
      </c>
      <c r="M961" t="n">
        <v>0</v>
      </c>
      <c r="N961" t="n">
        <v>2</v>
      </c>
      <c r="O961" s="1">
        <f>IFERROR(L961*G961,0)</f>
        <v/>
      </c>
      <c r="P961">
        <f>IF(N961-L961-M961&gt;0,N961-L961-M961,0)</f>
        <v/>
      </c>
      <c r="Q961" s="1">
        <f>IFERROR(P961*G961,0)</f>
        <v/>
      </c>
    </row>
    <row r="962">
      <c r="A962" t="inlineStr">
        <is>
          <t>IMP0800B150A10PR28100</t>
        </is>
      </c>
      <c r="B962" t="inlineStr">
        <is>
          <t>Impeller 0800mm 'B' 150A10PR 28mm 100Frame Deg 25</t>
        </is>
      </c>
      <c r="C962" t="inlineStr"/>
      <c r="D962" t="n">
        <v>1</v>
      </c>
      <c r="E962" t="n">
        <v>5</v>
      </c>
      <c r="F962" t="inlineStr">
        <is>
          <t>Luft Industries Natal (Pty) Ltd</t>
        </is>
      </c>
      <c r="G962" s="1" t="n">
        <v>1753.95</v>
      </c>
      <c r="H962" t="n">
        <v>0</v>
      </c>
      <c r="I962" t="n">
        <v>0.5</v>
      </c>
      <c r="J962" t="n">
        <v>5</v>
      </c>
      <c r="K962" t="n">
        <v>2</v>
      </c>
      <c r="L962" t="n">
        <v>0</v>
      </c>
      <c r="M962" t="n">
        <v>0</v>
      </c>
      <c r="N962" t="n">
        <v>12</v>
      </c>
      <c r="O962" s="1">
        <f>IFERROR(L962*G962,0)</f>
        <v/>
      </c>
      <c r="P962">
        <f>IF(N962-L962-M962&gt;0,N962-L962-M962,0)</f>
        <v/>
      </c>
      <c r="Q962" s="1">
        <f>IFERROR(P962*G962,0)</f>
        <v/>
      </c>
    </row>
    <row r="963">
      <c r="A963" t="inlineStr">
        <is>
          <t>IMP0800B250A14AR28100</t>
        </is>
      </c>
      <c r="B963" t="inlineStr">
        <is>
          <t>Impeller 0800mm 'B' 250A14AR 28mm 100Frame</t>
        </is>
      </c>
      <c r="C963" t="inlineStr"/>
      <c r="D963" t="n">
        <v>1</v>
      </c>
      <c r="E963" t="n">
        <v>1</v>
      </c>
      <c r="F963" t="inlineStr">
        <is>
          <t>Luft Industries Natal (Pty) Ltd</t>
        </is>
      </c>
      <c r="G963" s="1" t="n">
        <v>1612</v>
      </c>
      <c r="H963" t="n">
        <v>0</v>
      </c>
      <c r="I963" t="n">
        <v>0.5</v>
      </c>
      <c r="J963" t="n">
        <v>1</v>
      </c>
      <c r="K963" t="n">
        <v>1</v>
      </c>
      <c r="L963" t="n">
        <v>0</v>
      </c>
      <c r="M963" t="n">
        <v>0</v>
      </c>
      <c r="N963" t="n">
        <v>2</v>
      </c>
      <c r="O963" s="1">
        <f>IFERROR(L963*G963,0)</f>
        <v/>
      </c>
      <c r="P963">
        <f>IF(N963-L963-M963&gt;0,N963-L963-M963,0)</f>
        <v/>
      </c>
      <c r="Q963" s="1">
        <f>IFERROR(P963*G963,0)</f>
        <v/>
      </c>
    </row>
    <row r="964">
      <c r="A964" t="inlineStr">
        <is>
          <t>IMP0800B250A14AR38132</t>
        </is>
      </c>
      <c r="B964" t="inlineStr">
        <is>
          <t>Impeller 0800mm 'B' 250A14AR 38mm 132Frame Deg00 - 35 DEG</t>
        </is>
      </c>
      <c r="C964" t="inlineStr"/>
      <c r="D964" t="n">
        <v>1</v>
      </c>
      <c r="E964" t="n">
        <v>9</v>
      </c>
      <c r="F964" t="inlineStr">
        <is>
          <t>Luft Industries Natal (Pty) Ltd</t>
        </is>
      </c>
      <c r="G964" s="1" t="n">
        <v>2562</v>
      </c>
      <c r="H964" t="n">
        <v>1</v>
      </c>
      <c r="I964" t="n">
        <v>0.5</v>
      </c>
      <c r="J964" t="n">
        <v>9</v>
      </c>
      <c r="K964" t="n">
        <v>4</v>
      </c>
      <c r="L964" t="n">
        <v>0</v>
      </c>
      <c r="M964" t="n">
        <v>0</v>
      </c>
      <c r="N964" t="n">
        <v>22</v>
      </c>
      <c r="O964" s="1">
        <f>IFERROR(L964*G964,0)</f>
        <v/>
      </c>
      <c r="P964">
        <f>IF(N964-L964-M964&gt;0,N964-L964-M964,0)</f>
        <v/>
      </c>
      <c r="Q964" s="1">
        <f>IFERROR(P964*G964,0)</f>
        <v/>
      </c>
    </row>
    <row r="965">
      <c r="A965" t="inlineStr">
        <is>
          <t>IMP0900B250A14AR28</t>
        </is>
      </c>
      <c r="B965" t="inlineStr">
        <is>
          <t>900/250/14 13 deg pitch 28mm bore form B Aluminium Blades</t>
        </is>
      </c>
      <c r="C965" t="inlineStr"/>
      <c r="D965" t="n">
        <v>1</v>
      </c>
      <c r="E965" t="n">
        <v>1</v>
      </c>
      <c r="F965" t="inlineStr">
        <is>
          <t>Luft Industries Natal (Pty) Ltd</t>
        </is>
      </c>
      <c r="G965" s="1" t="n">
        <v>2505.75</v>
      </c>
      <c r="H965" t="n">
        <v>0</v>
      </c>
      <c r="I965" t="n">
        <v>0.5</v>
      </c>
      <c r="J965" t="n">
        <v>1</v>
      </c>
      <c r="K965" t="n">
        <v>1</v>
      </c>
      <c r="L965" t="n">
        <v>0</v>
      </c>
      <c r="M965" t="n">
        <v>0</v>
      </c>
      <c r="N965" t="n">
        <v>2</v>
      </c>
      <c r="O965" s="1">
        <f>IFERROR(L965*G965,0)</f>
        <v/>
      </c>
      <c r="P965">
        <f>IF(N965-L965-M965&gt;0,N965-L965-M965,0)</f>
        <v/>
      </c>
      <c r="Q965" s="1">
        <f>IFERROR(P965*G965,0)</f>
        <v/>
      </c>
    </row>
    <row r="966">
      <c r="A966" t="inlineStr">
        <is>
          <t>IMP0900B250A14AR38</t>
        </is>
      </c>
      <c r="B966" t="inlineStr">
        <is>
          <t>900/250/14 15 deg pitch 38mm bore form B Aluminium Blades</t>
        </is>
      </c>
      <c r="C966" t="inlineStr"/>
      <c r="D966" t="n">
        <v>1</v>
      </c>
      <c r="E966" t="n">
        <v>1</v>
      </c>
      <c r="F966" t="inlineStr">
        <is>
          <t>Luft Industries Natal (Pty) Ltd</t>
        </is>
      </c>
      <c r="G966" s="1" t="n">
        <v>2594.15</v>
      </c>
      <c r="H966" t="n">
        <v>0</v>
      </c>
      <c r="I966" t="n">
        <v>0.5</v>
      </c>
      <c r="J966" t="n">
        <v>1</v>
      </c>
      <c r="K966" t="n">
        <v>1</v>
      </c>
      <c r="L966" t="n">
        <v>0</v>
      </c>
      <c r="M966" t="n">
        <v>0</v>
      </c>
      <c r="N966" t="n">
        <v>2</v>
      </c>
      <c r="O966" s="1">
        <f>IFERROR(L966*G966,0)</f>
        <v/>
      </c>
      <c r="P966">
        <f>IF(N966-L966-M966&gt;0,N966-L966-M966,0)</f>
        <v/>
      </c>
      <c r="Q966" s="1">
        <f>IFERROR(P966*G966,0)</f>
        <v/>
      </c>
    </row>
    <row r="967">
      <c r="A967" t="inlineStr">
        <is>
          <t>IMP0900B250A14AR38132</t>
        </is>
      </c>
      <c r="B967" t="inlineStr">
        <is>
          <t>Impeller 0900mm 'B' 250A14AR 38mm 132Frame Deg00 - 15 DEG</t>
        </is>
      </c>
      <c r="C967" t="inlineStr">
        <is>
          <t>IMPELLER</t>
        </is>
      </c>
      <c r="D967" t="n">
        <v>1</v>
      </c>
      <c r="E967" t="n">
        <v>2</v>
      </c>
      <c r="F967" t="inlineStr">
        <is>
          <t>Luft Industries Natal (Pty) Ltd</t>
        </is>
      </c>
      <c r="G967" s="1" t="n">
        <v>2594.15</v>
      </c>
      <c r="H967" t="n">
        <v>0</v>
      </c>
      <c r="I967" t="n">
        <v>0.5</v>
      </c>
      <c r="J967" t="n">
        <v>2</v>
      </c>
      <c r="K967" t="n">
        <v>1</v>
      </c>
      <c r="L967" t="n">
        <v>0</v>
      </c>
      <c r="M967" t="n">
        <v>0</v>
      </c>
      <c r="N967" t="n">
        <v>5</v>
      </c>
      <c r="O967" s="1">
        <f>IFERROR(L967*G967,0)</f>
        <v/>
      </c>
      <c r="P967">
        <f>IF(N967-L967-M967&gt;0,N967-L967-M967,0)</f>
        <v/>
      </c>
      <c r="Q967" s="1">
        <f>IFERROR(P967*G967,0)</f>
        <v/>
      </c>
    </row>
    <row r="968">
      <c r="A968" t="inlineStr">
        <is>
          <t>IMP1000B250A14AR38132</t>
        </is>
      </c>
      <c r="B968" t="inlineStr">
        <is>
          <t>Impeller 1000mm 'B' 250A14AR 38mm 132Frame Deg00 - 25 DEG</t>
        </is>
      </c>
      <c r="C968" t="inlineStr"/>
      <c r="D968" t="n">
        <v>5</v>
      </c>
      <c r="E968" t="n">
        <v>2</v>
      </c>
      <c r="F968" t="inlineStr">
        <is>
          <t>Luft Industries Natal (Pty) Ltd</t>
        </is>
      </c>
      <c r="G968" s="1" t="n">
        <v>2993.25</v>
      </c>
      <c r="H968" t="n">
        <v>0</v>
      </c>
      <c r="I968" t="n">
        <v>0.5</v>
      </c>
      <c r="J968" t="n">
        <v>1</v>
      </c>
      <c r="K968" t="n">
        <v>1</v>
      </c>
      <c r="L968" t="n">
        <v>0</v>
      </c>
      <c r="M968" t="n">
        <v>0</v>
      </c>
      <c r="N968" t="n">
        <v>2</v>
      </c>
      <c r="O968" s="1">
        <f>IFERROR(L968*G968,0)</f>
        <v/>
      </c>
      <c r="P968">
        <f>IF(N968-L968-M968&gt;0,N968-L968-M968,0)</f>
        <v/>
      </c>
      <c r="Q968" s="1">
        <f>IFERROR(P968*G968,0)</f>
        <v/>
      </c>
    </row>
    <row r="969">
      <c r="A969" t="inlineStr">
        <is>
          <t>IMP315LDA</t>
        </is>
      </c>
      <c r="B969" t="inlineStr">
        <is>
          <t>315diam LDA Impeller</t>
        </is>
      </c>
      <c r="C969" t="inlineStr"/>
      <c r="D969" t="n">
        <v>5</v>
      </c>
      <c r="E969" t="n">
        <v>2</v>
      </c>
      <c r="F969" t="inlineStr">
        <is>
          <t>CFW Fans (Pty) Ltd</t>
        </is>
      </c>
      <c r="G969" s="1" t="n">
        <v>1249</v>
      </c>
      <c r="H969" t="n">
        <v>1</v>
      </c>
      <c r="I969" t="n">
        <v>1.2</v>
      </c>
      <c r="J969" t="n">
        <v>1</v>
      </c>
      <c r="K969" t="n">
        <v>1</v>
      </c>
      <c r="L969" t="n">
        <v>0</v>
      </c>
      <c r="M969" t="n">
        <v>0</v>
      </c>
      <c r="N969" t="n">
        <v>3</v>
      </c>
      <c r="O969" s="1">
        <f>IFERROR(L969*G969,0)</f>
        <v/>
      </c>
      <c r="P969">
        <f>IF(N969-L969-M969&gt;0,N969-L969-M969,0)</f>
        <v/>
      </c>
      <c r="Q969" s="1">
        <f>IFERROR(P969*G969,0)</f>
        <v/>
      </c>
    </row>
    <row r="970">
      <c r="A970" t="inlineStr">
        <is>
          <t>IMP400LDA</t>
        </is>
      </c>
      <c r="B970" t="inlineStr">
        <is>
          <t>400diam LDA Impeller</t>
        </is>
      </c>
      <c r="C970" t="inlineStr"/>
      <c r="D970" t="n">
        <v>10</v>
      </c>
      <c r="E970" t="n">
        <v>1</v>
      </c>
      <c r="F970" t="inlineStr">
        <is>
          <t>CFW Fans (Pty) Ltd</t>
        </is>
      </c>
      <c r="G970" s="1" t="n">
        <v>1249</v>
      </c>
      <c r="H970" t="n">
        <v>2</v>
      </c>
      <c r="I970" t="n">
        <v>1.2</v>
      </c>
      <c r="J970" t="n">
        <v>1</v>
      </c>
      <c r="K970" t="n">
        <v>1</v>
      </c>
      <c r="L970" t="n">
        <v>0</v>
      </c>
      <c r="M970" t="n">
        <v>0</v>
      </c>
      <c r="N970" t="n">
        <v>3</v>
      </c>
      <c r="O970" s="1">
        <f>IFERROR(L970*G970,0)</f>
        <v/>
      </c>
      <c r="P970">
        <f>IF(N970-L970-M970&gt;0,N970-L970-M970,0)</f>
        <v/>
      </c>
      <c r="Q970" s="1">
        <f>IFERROR(P970*G970,0)</f>
        <v/>
      </c>
    </row>
    <row r="971">
      <c r="A971" t="inlineStr">
        <is>
          <t>IMP400LDP</t>
        </is>
      </c>
      <c r="B971" t="inlineStr">
        <is>
          <t>400diam LDP Impeller</t>
        </is>
      </c>
      <c r="C971" t="inlineStr"/>
      <c r="D971" t="n">
        <v>6</v>
      </c>
      <c r="E971" t="n">
        <v>3</v>
      </c>
      <c r="F971" t="inlineStr">
        <is>
          <t>CFW Fans (Pty) Ltd</t>
        </is>
      </c>
      <c r="G971" s="1" t="n">
        <v>3706.67</v>
      </c>
      <c r="H971" t="n">
        <v>0</v>
      </c>
      <c r="I971" t="n">
        <v>0.7</v>
      </c>
      <c r="J971" t="n">
        <v>1</v>
      </c>
      <c r="K971" t="n">
        <v>1</v>
      </c>
      <c r="L971" t="n">
        <v>0</v>
      </c>
      <c r="M971" t="n">
        <v>0</v>
      </c>
      <c r="N971" t="n">
        <v>3</v>
      </c>
      <c r="O971" s="1">
        <f>IFERROR(L971*G971,0)</f>
        <v/>
      </c>
      <c r="P971">
        <f>IF(N971-L971-M971&gt;0,N971-L971-M971,0)</f>
        <v/>
      </c>
      <c r="Q971" s="1">
        <f>IFERROR(P971*G971,0)</f>
        <v/>
      </c>
    </row>
    <row r="972">
      <c r="A972" t="inlineStr">
        <is>
          <t>IMP560LDP</t>
        </is>
      </c>
      <c r="B972" t="inlineStr">
        <is>
          <t>LDP 560/250/12/1440-Form B - 15 degrees</t>
        </is>
      </c>
      <c r="C972" t="inlineStr"/>
      <c r="D972" t="n">
        <v>11</v>
      </c>
      <c r="E972" t="n">
        <v>3</v>
      </c>
      <c r="F972" t="inlineStr">
        <is>
          <t>CFW Fans (Pty) Ltd</t>
        </is>
      </c>
      <c r="G972" s="1" t="n">
        <v>2287.33</v>
      </c>
      <c r="H972" t="n">
        <v>0</v>
      </c>
      <c r="I972" t="n">
        <v>0.6</v>
      </c>
      <c r="J972" t="n">
        <v>1</v>
      </c>
      <c r="K972" t="n">
        <v>1</v>
      </c>
      <c r="L972" t="n">
        <v>0</v>
      </c>
      <c r="M972" t="n">
        <v>0</v>
      </c>
      <c r="N972" t="n">
        <v>3</v>
      </c>
      <c r="O972" s="1">
        <f>IFERROR(L972*G972,0)</f>
        <v/>
      </c>
      <c r="P972">
        <f>IF(N972-L972-M972&gt;0,N972-L972-M972,0)</f>
        <v/>
      </c>
      <c r="Q972" s="1">
        <f>IFERROR(P972*G972,0)</f>
        <v/>
      </c>
    </row>
    <row r="973">
      <c r="A973" t="inlineStr">
        <is>
          <t>IMP800LDA</t>
        </is>
      </c>
      <c r="B973" t="inlineStr">
        <is>
          <t>LDA 800-9-A16</t>
        </is>
      </c>
      <c r="C973" t="inlineStr"/>
      <c r="D973" t="n">
        <v>1</v>
      </c>
      <c r="E973" t="n">
        <v>1</v>
      </c>
      <c r="F973" t="inlineStr">
        <is>
          <t>CFW Fans (Pty) Ltd</t>
        </is>
      </c>
      <c r="G973" s="1" t="n">
        <v>1249</v>
      </c>
      <c r="H973" t="n">
        <v>0</v>
      </c>
      <c r="I973" t="n">
        <v>1.2</v>
      </c>
      <c r="J973" t="n">
        <v>1</v>
      </c>
      <c r="K973" t="n">
        <v>1</v>
      </c>
      <c r="L973" t="n">
        <v>0</v>
      </c>
      <c r="M973" t="n">
        <v>0</v>
      </c>
      <c r="N973" t="n">
        <v>3</v>
      </c>
      <c r="O973" s="1">
        <f>IFERROR(L973*G973,0)</f>
        <v/>
      </c>
      <c r="P973">
        <f>IF(N973-L973-M973&gt;0,N973-L973-M973,0)</f>
        <v/>
      </c>
      <c r="Q973" s="1">
        <f>IFERROR(P973*G973,0)</f>
        <v/>
      </c>
    </row>
    <row r="974">
      <c r="A974" t="inlineStr">
        <is>
          <t>INLET-CONE</t>
        </is>
      </c>
      <c r="B974" t="inlineStr">
        <is>
          <t>18 Inch Inlet Cone</t>
        </is>
      </c>
      <c r="C974" t="inlineStr"/>
      <c r="D974" t="n">
        <v>5</v>
      </c>
      <c r="E974" t="n">
        <v>12</v>
      </c>
      <c r="F974" t="inlineStr">
        <is>
          <t>CFW Fans (Pty) Ltd</t>
        </is>
      </c>
      <c r="G974" s="1" t="n">
        <v>1600</v>
      </c>
      <c r="H974" t="n">
        <v>0</v>
      </c>
      <c r="I974" t="n">
        <v>0.5</v>
      </c>
      <c r="J974" t="n">
        <v>2.5</v>
      </c>
      <c r="K974" t="n">
        <v>1</v>
      </c>
      <c r="L974" t="n">
        <v>0</v>
      </c>
      <c r="M974" t="n">
        <v>0</v>
      </c>
      <c r="N974" t="n">
        <v>6</v>
      </c>
      <c r="O974" s="1">
        <f>IFERROR(L974*G974,0)</f>
        <v/>
      </c>
      <c r="P974">
        <f>IF(N974-L974-M974&gt;0,N974-L974-M974,0)</f>
        <v/>
      </c>
      <c r="Q974" s="1">
        <f>IFERROR(P974*G974,0)</f>
        <v/>
      </c>
    </row>
    <row r="975">
      <c r="A975" t="inlineStr">
        <is>
          <t>Imepeller 560mm 'B' 250A14AR</t>
        </is>
      </c>
      <c r="B975" t="inlineStr">
        <is>
          <t>19mm 080Frame 15DEG</t>
        </is>
      </c>
      <c r="C975" t="inlineStr"/>
      <c r="D975" t="n">
        <v>1</v>
      </c>
      <c r="E975" t="n">
        <v>3</v>
      </c>
      <c r="F975" t="inlineStr">
        <is>
          <t>Luft Industries Natal (Pty) Ltd</t>
        </is>
      </c>
      <c r="G975" s="1" t="n">
        <v>2104.7</v>
      </c>
      <c r="H975" t="n">
        <v>1</v>
      </c>
      <c r="I975" t="n">
        <v>0.5</v>
      </c>
      <c r="J975" t="n">
        <v>3</v>
      </c>
      <c r="K975" t="n">
        <v>2</v>
      </c>
      <c r="L975" t="n">
        <v>0</v>
      </c>
      <c r="M975" t="n">
        <v>0</v>
      </c>
      <c r="N975" t="n">
        <v>8</v>
      </c>
      <c r="O975" s="1">
        <f>IFERROR(L975*G975,0)</f>
        <v/>
      </c>
      <c r="P975">
        <f>IF(N975-L975-M975&gt;0,N975-L975-M975,0)</f>
        <v/>
      </c>
      <c r="Q975" s="1">
        <f>IFERROR(P975*G975,0)</f>
        <v/>
      </c>
    </row>
    <row r="976">
      <c r="A976" t="inlineStr">
        <is>
          <t>Imp BI</t>
        </is>
      </c>
      <c r="B976" t="inlineStr">
        <is>
          <t>Set pitch, Crop &amp; Balance impeller</t>
        </is>
      </c>
      <c r="C976" t="inlineStr"/>
      <c r="D976" t="n">
        <v>7</v>
      </c>
      <c r="E976" t="n">
        <v>2</v>
      </c>
      <c r="F976" t="inlineStr">
        <is>
          <t>Centrifab (Pty) Ltd</t>
        </is>
      </c>
      <c r="G976" s="1" t="n">
        <v>7509.5</v>
      </c>
      <c r="H976" t="n">
        <v>1</v>
      </c>
      <c r="I976" t="n">
        <v>0.5</v>
      </c>
      <c r="J976" t="n">
        <v>1</v>
      </c>
      <c r="K976" t="n">
        <v>1</v>
      </c>
      <c r="L976" t="n">
        <v>0</v>
      </c>
      <c r="M976" t="n">
        <v>0</v>
      </c>
      <c r="N976" t="n">
        <v>2</v>
      </c>
      <c r="O976" s="1">
        <f>IFERROR(L976*G976,0)</f>
        <v/>
      </c>
      <c r="P976">
        <f>IF(N976-L976-M976&gt;0,N976-L976-M976,0)</f>
        <v/>
      </c>
      <c r="Q976" s="1">
        <f>IFERROR(P976*G976,0)</f>
        <v/>
      </c>
    </row>
    <row r="977">
      <c r="A977" t="inlineStr">
        <is>
          <t>Impeller 0710mm 'B' 150A10AR</t>
        </is>
      </c>
      <c r="B977" t="inlineStr">
        <is>
          <t>24mm 090Frame 13 DEG</t>
        </is>
      </c>
      <c r="C977" t="inlineStr"/>
      <c r="D977" t="n">
        <v>1</v>
      </c>
      <c r="E977" t="n">
        <v>1</v>
      </c>
      <c r="F977" t="inlineStr">
        <is>
          <t>Luft Industries Natal (Pty) Ltd</t>
        </is>
      </c>
      <c r="G977" s="1" t="n">
        <v>1517.75</v>
      </c>
      <c r="H977" t="n">
        <v>0</v>
      </c>
      <c r="I977" t="n">
        <v>0.5</v>
      </c>
      <c r="J977" t="n">
        <v>1</v>
      </c>
      <c r="K977" t="n">
        <v>1</v>
      </c>
      <c r="L977" t="n">
        <v>0</v>
      </c>
      <c r="M977" t="n">
        <v>0</v>
      </c>
      <c r="N977" t="n">
        <v>2</v>
      </c>
      <c r="O977" s="1">
        <f>IFERROR(L977*G977,0)</f>
        <v/>
      </c>
      <c r="P977">
        <f>IF(N977-L977-M977&gt;0,N977-L977-M977,0)</f>
        <v/>
      </c>
      <c r="Q977" s="1">
        <f>IFERROR(P977*G977,0)</f>
        <v/>
      </c>
    </row>
    <row r="978">
      <c r="A978" t="inlineStr">
        <is>
          <t>Impeller 0710mm 'B' 250A14AR</t>
        </is>
      </c>
      <c r="B978" t="inlineStr">
        <is>
          <t>24mm 090 Frame 10 DEG</t>
        </is>
      </c>
      <c r="C978" t="inlineStr"/>
      <c r="D978" t="n">
        <v>1</v>
      </c>
      <c r="E978" t="n">
        <v>3</v>
      </c>
      <c r="F978" t="inlineStr">
        <is>
          <t>Luft Industries Natal (Pty) Ltd</t>
        </is>
      </c>
      <c r="G978" s="1" t="n">
        <v>2323.75</v>
      </c>
      <c r="H978" t="n">
        <v>0</v>
      </c>
      <c r="I978" t="n">
        <v>0.5</v>
      </c>
      <c r="J978" t="n">
        <v>3</v>
      </c>
      <c r="K978" t="n">
        <v>2</v>
      </c>
      <c r="L978" t="n">
        <v>0</v>
      </c>
      <c r="M978" t="n">
        <v>0</v>
      </c>
      <c r="N978" t="n">
        <v>8</v>
      </c>
      <c r="O978" s="1">
        <f>IFERROR(L978*G978,0)</f>
        <v/>
      </c>
      <c r="P978">
        <f>IF(N978-L978-M978&gt;0,N978-L978-M978,0)</f>
        <v/>
      </c>
      <c r="Q978" s="1">
        <f>IFERROR(P978*G978,0)</f>
        <v/>
      </c>
    </row>
    <row r="979">
      <c r="A979" t="inlineStr">
        <is>
          <t>Impeller 560mm 'B' 150A10AR</t>
        </is>
      </c>
      <c r="B979" t="inlineStr">
        <is>
          <t>14mm 071Frame 12DEG</t>
        </is>
      </c>
      <c r="C979" t="inlineStr"/>
      <c r="D979" t="n">
        <v>1</v>
      </c>
      <c r="E979" t="n">
        <v>3</v>
      </c>
      <c r="F979" t="inlineStr">
        <is>
          <t>Luft Industries Natal (Pty) Ltd</t>
        </is>
      </c>
      <c r="G979" s="1" t="n">
        <v>1517.75</v>
      </c>
      <c r="H979" t="n">
        <v>0</v>
      </c>
      <c r="I979" t="n">
        <v>0.5</v>
      </c>
      <c r="J979" t="n">
        <v>3</v>
      </c>
      <c r="K979" t="n">
        <v>2</v>
      </c>
      <c r="L979" t="n">
        <v>0</v>
      </c>
      <c r="M979" t="n">
        <v>0</v>
      </c>
      <c r="N979" t="n">
        <v>8</v>
      </c>
      <c r="O979" s="1">
        <f>IFERROR(L979*G979,0)</f>
        <v/>
      </c>
      <c r="P979">
        <f>IF(N979-L979-M979&gt;0,N979-L979-M979,0)</f>
        <v/>
      </c>
      <c r="Q979" s="1">
        <f>IFERROR(P979*G979,0)</f>
        <v/>
      </c>
    </row>
    <row r="980">
      <c r="A980" t="inlineStr">
        <is>
          <t>Impeller 630mm 'B' 150A10AR</t>
        </is>
      </c>
      <c r="B980" t="inlineStr">
        <is>
          <t>24mm 090Frame 15DEG</t>
        </is>
      </c>
      <c r="C980" t="inlineStr"/>
      <c r="D980" t="n">
        <v>1</v>
      </c>
      <c r="E980" t="n">
        <v>2</v>
      </c>
      <c r="F980" t="inlineStr">
        <is>
          <t>Luft Industries Natal (Pty) Ltd</t>
        </is>
      </c>
      <c r="G980" s="1" t="n">
        <v>1517.75</v>
      </c>
      <c r="H980" t="n">
        <v>0</v>
      </c>
      <c r="I980" t="n">
        <v>0.5</v>
      </c>
      <c r="J980" t="n">
        <v>2</v>
      </c>
      <c r="K980" t="n">
        <v>1</v>
      </c>
      <c r="L980" t="n">
        <v>0</v>
      </c>
      <c r="M980" t="n">
        <v>0</v>
      </c>
      <c r="N980" t="n">
        <v>5</v>
      </c>
      <c r="O980" s="1">
        <f>IFERROR(L980*G980,0)</f>
        <v/>
      </c>
      <c r="P980">
        <f>IF(N980-L980-M980&gt;0,N980-L980-M980,0)</f>
        <v/>
      </c>
      <c r="Q980" s="1">
        <f>IFERROR(P980*G980,0)</f>
        <v/>
      </c>
    </row>
    <row r="981">
      <c r="A981" t="inlineStr">
        <is>
          <t>Impeller 630mm 'B' 250A14AR</t>
        </is>
      </c>
      <c r="B981" t="inlineStr">
        <is>
          <t>24mm 090Frame 15 DEG</t>
        </is>
      </c>
      <c r="C981" t="inlineStr"/>
      <c r="D981" t="n">
        <v>1</v>
      </c>
      <c r="E981" t="n">
        <v>1</v>
      </c>
      <c r="F981" t="inlineStr">
        <is>
          <t>Luft Industries Natal (Pty) Ltd</t>
        </is>
      </c>
      <c r="G981" s="1" t="n">
        <v>2323.75</v>
      </c>
      <c r="H981" t="n">
        <v>0</v>
      </c>
      <c r="I981" t="n">
        <v>0.5</v>
      </c>
      <c r="J981" t="n">
        <v>1</v>
      </c>
      <c r="K981" t="n">
        <v>1</v>
      </c>
      <c r="L981" t="n">
        <v>0</v>
      </c>
      <c r="M981" t="n">
        <v>0</v>
      </c>
      <c r="N981" t="n">
        <v>2</v>
      </c>
      <c r="O981" s="1">
        <f>IFERROR(L981*G981,0)</f>
        <v/>
      </c>
      <c r="P981">
        <f>IF(N981-L981-M981&gt;0,N981-L981-M981,0)</f>
        <v/>
      </c>
      <c r="Q981" s="1">
        <f>IFERROR(P981*G981,0)</f>
        <v/>
      </c>
    </row>
    <row r="982">
      <c r="A982" t="inlineStr">
        <is>
          <t>Impeller 710mm 'B' 250A14R</t>
        </is>
      </c>
      <c r="B982" t="inlineStr">
        <is>
          <t>24mm 090Frame 12 DEG</t>
        </is>
      </c>
      <c r="C982" t="inlineStr"/>
      <c r="D982" t="n">
        <v>1</v>
      </c>
      <c r="E982" t="n">
        <v>1</v>
      </c>
      <c r="F982" t="inlineStr">
        <is>
          <t>Luft Industries Natal (Pty) Ltd</t>
        </is>
      </c>
      <c r="G982" s="1" t="n">
        <v>2323.75</v>
      </c>
      <c r="H982" t="n">
        <v>0</v>
      </c>
      <c r="I982" t="n">
        <v>0.5</v>
      </c>
      <c r="J982" t="n">
        <v>1</v>
      </c>
      <c r="K982" t="n">
        <v>1</v>
      </c>
      <c r="L982" t="n">
        <v>0</v>
      </c>
      <c r="M982" t="n">
        <v>0</v>
      </c>
      <c r="N982" t="n">
        <v>2</v>
      </c>
      <c r="O982" s="1">
        <f>IFERROR(L982*G982,0)</f>
        <v/>
      </c>
      <c r="P982">
        <f>IF(N982-L982-M982&gt;0,N982-L982-M982,0)</f>
        <v/>
      </c>
      <c r="Q982" s="1">
        <f>IFERROR(P982*G982,0)</f>
        <v/>
      </c>
    </row>
    <row r="983">
      <c r="A983" t="inlineStr">
        <is>
          <t>Impeller Plate Mount Fans</t>
        </is>
      </c>
      <c r="B983" t="inlineStr">
        <is>
          <t>Spare Impeller</t>
        </is>
      </c>
      <c r="C983" t="inlineStr"/>
      <c r="D983" t="n">
        <v>1</v>
      </c>
      <c r="E983" t="n">
        <v>0</v>
      </c>
      <c r="F983" t="inlineStr"/>
      <c r="G983" s="1" t="n">
        <v>0</v>
      </c>
      <c r="H983" t="n">
        <v>1</v>
      </c>
      <c r="I983" t="n">
        <v>0.5</v>
      </c>
      <c r="J983" t="n">
        <v>1</v>
      </c>
      <c r="K983" t="n">
        <v>1</v>
      </c>
      <c r="L983" t="n">
        <v>0</v>
      </c>
      <c r="M983" t="n">
        <v>0</v>
      </c>
      <c r="N983" t="n">
        <v>2</v>
      </c>
      <c r="O983" s="1">
        <f>IFERROR(L983*G983,0)</f>
        <v/>
      </c>
      <c r="P983">
        <f>IF(N983-L983-M983&gt;0,N983-L983-M983,0)</f>
        <v/>
      </c>
      <c r="Q983" s="1">
        <f>IFERROR(P983*G983,0)</f>
        <v/>
      </c>
    </row>
    <row r="984">
      <c r="A984" t="inlineStr">
        <is>
          <t>Impeller shaft</t>
        </is>
      </c>
      <c r="B984" t="inlineStr">
        <is>
          <t>Impeller shaft+2 keys. Stainless Steel</t>
        </is>
      </c>
      <c r="C984" t="inlineStr"/>
      <c r="D984" t="n">
        <v>1</v>
      </c>
      <c r="E984" t="n">
        <v>2</v>
      </c>
      <c r="F984" t="inlineStr">
        <is>
          <t>Hulmak Engineering cc</t>
        </is>
      </c>
      <c r="G984" s="1" t="n">
        <v>600</v>
      </c>
      <c r="H984" t="n">
        <v>0</v>
      </c>
      <c r="I984" t="n">
        <v>0.5</v>
      </c>
      <c r="J984" t="n">
        <v>2</v>
      </c>
      <c r="K984" t="n">
        <v>1</v>
      </c>
      <c r="L984" t="n">
        <v>0</v>
      </c>
      <c r="M984" t="n">
        <v>0</v>
      </c>
      <c r="N984" t="n">
        <v>5</v>
      </c>
      <c r="O984" s="1">
        <f>IFERROR(L984*G984,0)</f>
        <v/>
      </c>
      <c r="P984">
        <f>IF(N984-L984-M984&gt;0,N984-L984-M984,0)</f>
        <v/>
      </c>
      <c r="Q984" s="1">
        <f>IFERROR(P984*G984,0)</f>
        <v/>
      </c>
    </row>
    <row r="985">
      <c r="A985" t="inlineStr">
        <is>
          <t>Induced Draft Plan</t>
        </is>
      </c>
      <c r="B985" t="inlineStr">
        <is>
          <t>INSPECTION TEST PALN (ITP)</t>
        </is>
      </c>
      <c r="C985" t="inlineStr"/>
      <c r="D985" t="n">
        <v>1</v>
      </c>
      <c r="E985" t="n">
        <v>1</v>
      </c>
      <c r="F985" t="inlineStr">
        <is>
          <t>SODECA</t>
        </is>
      </c>
      <c r="G985" s="1" t="n">
        <v>2955.79</v>
      </c>
      <c r="H985" t="n">
        <v>0</v>
      </c>
      <c r="I985" t="n">
        <v>2.7</v>
      </c>
      <c r="J985" t="n">
        <v>1</v>
      </c>
      <c r="K985" t="n">
        <v>3</v>
      </c>
      <c r="L985" t="n">
        <v>0</v>
      </c>
      <c r="M985" t="n">
        <v>0</v>
      </c>
      <c r="N985" t="n">
        <v>5</v>
      </c>
      <c r="O985" s="1">
        <f>IFERROR(L985*G985,0)</f>
        <v/>
      </c>
      <c r="P985">
        <f>IF(N985-L985-M985&gt;0,N985-L985-M985,0)</f>
        <v/>
      </c>
      <c r="Q985" s="1">
        <f>IFERROR(P985*G985,0)</f>
        <v/>
      </c>
    </row>
    <row r="986">
      <c r="A986" t="inlineStr">
        <is>
          <t>Installation</t>
        </is>
      </c>
      <c r="B986" t="inlineStr">
        <is>
          <t>Attenuators</t>
        </is>
      </c>
      <c r="C986" t="inlineStr"/>
      <c r="D986" t="n">
        <v>5</v>
      </c>
      <c r="E986" t="n">
        <v>2</v>
      </c>
      <c r="F986" t="inlineStr">
        <is>
          <t>Fresh Air Projects (Pty) Ltd</t>
        </is>
      </c>
      <c r="G986" s="1" t="n">
        <v>9478.26</v>
      </c>
      <c r="H986" t="n">
        <v>0</v>
      </c>
      <c r="I986" t="n">
        <v>0.5</v>
      </c>
      <c r="J986" t="n">
        <v>1</v>
      </c>
      <c r="K986" t="n">
        <v>1</v>
      </c>
      <c r="L986" t="n">
        <v>0</v>
      </c>
      <c r="M986" t="n">
        <v>0</v>
      </c>
      <c r="N986" t="n">
        <v>2</v>
      </c>
      <c r="O986" s="1">
        <f>IFERROR(L986*G986,0)</f>
        <v/>
      </c>
      <c r="P986">
        <f>IF(N986-L986-M986&gt;0,N986-L986-M986,0)</f>
        <v/>
      </c>
      <c r="Q986" s="1">
        <f>IFERROR(P986*G986,0)</f>
        <v/>
      </c>
    </row>
    <row r="987">
      <c r="A987" t="inlineStr">
        <is>
          <t>J70889 FAN</t>
        </is>
      </c>
      <c r="B987" t="inlineStr">
        <is>
          <t>BCC-2 900/1.0 SISW c/w 7.5Kw 4P 380V</t>
        </is>
      </c>
      <c r="C987" t="inlineStr"/>
      <c r="D987" t="n">
        <v>1</v>
      </c>
      <c r="E987" t="n">
        <v>1</v>
      </c>
      <c r="F987" t="inlineStr">
        <is>
          <t>Centrifab (Pty) Ltd</t>
        </is>
      </c>
      <c r="G987" s="1" t="n">
        <v>74600</v>
      </c>
      <c r="H987" t="n">
        <v>0</v>
      </c>
      <c r="I987" t="n">
        <v>0.7</v>
      </c>
      <c r="J987" t="n">
        <v>1</v>
      </c>
      <c r="K987" t="n">
        <v>1</v>
      </c>
      <c r="L987" t="n">
        <v>0</v>
      </c>
      <c r="M987" t="n">
        <v>0</v>
      </c>
      <c r="N987" t="n">
        <v>3</v>
      </c>
      <c r="O987" s="1">
        <f>IFERROR(L987*G987,0)</f>
        <v/>
      </c>
      <c r="P987">
        <f>IF(N987-L987-M987&gt;0,N987-L987-M987,0)</f>
        <v/>
      </c>
      <c r="Q987" s="1">
        <f>IFERROR(P987*G987,0)</f>
        <v/>
      </c>
    </row>
    <row r="988">
      <c r="A988" t="inlineStr">
        <is>
          <t>J96202-BCC-2315</t>
        </is>
      </c>
      <c r="B988" t="inlineStr">
        <is>
          <t>BCC-2 315 Class 1 AR 4A DIDW excl motor</t>
        </is>
      </c>
      <c r="C988" t="inlineStr"/>
      <c r="D988" t="n">
        <v>11</v>
      </c>
      <c r="E988" t="n">
        <v>2</v>
      </c>
      <c r="F988" t="inlineStr">
        <is>
          <t>Centrifab (Pty) Ltd</t>
        </is>
      </c>
      <c r="G988" s="1" t="n">
        <v>23613.33</v>
      </c>
      <c r="H988" t="n">
        <v>0</v>
      </c>
      <c r="I988" t="n">
        <v>0.6</v>
      </c>
      <c r="J988" t="n">
        <v>1</v>
      </c>
      <c r="K988" t="n">
        <v>1</v>
      </c>
      <c r="L988" t="n">
        <v>0</v>
      </c>
      <c r="M988" t="n">
        <v>0</v>
      </c>
      <c r="N988" t="n">
        <v>3</v>
      </c>
      <c r="O988" s="1">
        <f>IFERROR(L988*G988,0)</f>
        <v/>
      </c>
      <c r="P988">
        <f>IF(N988-L988-M988&gt;0,N988-L988-M988,0)</f>
        <v/>
      </c>
      <c r="Q988" s="1">
        <f>IFERROR(P988*G988,0)</f>
        <v/>
      </c>
    </row>
    <row r="989">
      <c r="A989" t="inlineStr">
        <is>
          <t>JB1948</t>
        </is>
      </c>
      <c r="B989" t="inlineStr">
        <is>
          <t>HPLV 630/0.71 c/w 4.0kw 2890rpm 525V Motor</t>
        </is>
      </c>
      <c r="C989" t="inlineStr"/>
      <c r="D989" t="n">
        <v>19</v>
      </c>
      <c r="E989" t="n">
        <v>2</v>
      </c>
      <c r="F989" t="inlineStr">
        <is>
          <t>Centrifab (Pty) Ltd</t>
        </is>
      </c>
      <c r="G989" s="1" t="n">
        <v>4750</v>
      </c>
      <c r="H989" t="n">
        <v>2</v>
      </c>
      <c r="I989" t="n">
        <v>0.7</v>
      </c>
      <c r="J989" t="n">
        <v>1</v>
      </c>
      <c r="K989" t="n">
        <v>1</v>
      </c>
      <c r="L989" t="n">
        <v>0</v>
      </c>
      <c r="M989" t="n">
        <v>0</v>
      </c>
      <c r="N989" t="n">
        <v>3</v>
      </c>
      <c r="O989" s="1">
        <f>IFERROR(L989*G989,0)</f>
        <v/>
      </c>
      <c r="P989">
        <f>IF(N989-L989-M989&gt;0,N989-L989-M989,0)</f>
        <v/>
      </c>
      <c r="Q989" s="1">
        <f>IFERROR(P989*G989,0)</f>
        <v/>
      </c>
    </row>
    <row r="990">
      <c r="A990" t="inlineStr">
        <is>
          <t>JC6202</t>
        </is>
      </c>
      <c r="B990" t="inlineStr">
        <is>
          <t>BCC-2 Class 1 DI2DW c/w 2,2kW 4P 400V - 2522RPM</t>
        </is>
      </c>
      <c r="C990" t="inlineStr"/>
      <c r="D990" t="n">
        <v>9</v>
      </c>
      <c r="E990" t="n">
        <v>0</v>
      </c>
      <c r="F990" t="inlineStr"/>
      <c r="G990" s="1" t="n">
        <v>0</v>
      </c>
      <c r="H990" t="n">
        <v>2</v>
      </c>
      <c r="I990" t="n">
        <v>0.5</v>
      </c>
      <c r="J990" t="n">
        <v>1</v>
      </c>
      <c r="K990" t="n">
        <v>1</v>
      </c>
      <c r="L990" t="n">
        <v>0</v>
      </c>
      <c r="M990" t="n">
        <v>0</v>
      </c>
      <c r="N990" t="n">
        <v>2</v>
      </c>
      <c r="O990" s="1">
        <f>IFERROR(L990*G990,0)</f>
        <v/>
      </c>
      <c r="P990">
        <f>IF(N990-L990-M990&gt;0,N990-L990-M990,0)</f>
        <v/>
      </c>
      <c r="Q990" s="1">
        <f>IFERROR(P990*G990,0)</f>
        <v/>
      </c>
    </row>
    <row r="991">
      <c r="A991" t="inlineStr">
        <is>
          <t>JN2002-GNTBOOT-500-00-06</t>
        </is>
      </c>
      <c r="B991" t="inlineStr">
        <is>
          <t>GRANITE CHELSEA BOOTS BLACK 6</t>
        </is>
      </c>
      <c r="C991" t="inlineStr"/>
      <c r="D991" t="n">
        <v>1</v>
      </c>
      <c r="E991" t="n">
        <v>1</v>
      </c>
      <c r="F991" t="inlineStr">
        <is>
          <t>Workwear Depot (Pty)Ltd</t>
        </is>
      </c>
      <c r="G991" s="1" t="n">
        <v>931.76</v>
      </c>
      <c r="H991" t="n">
        <v>0</v>
      </c>
      <c r="I991" t="n">
        <v>0.5</v>
      </c>
      <c r="J991" t="n">
        <v>1</v>
      </c>
      <c r="K991" t="n">
        <v>1</v>
      </c>
      <c r="L991" t="n">
        <v>0</v>
      </c>
      <c r="M991" t="n">
        <v>0</v>
      </c>
      <c r="N991" t="n">
        <v>2</v>
      </c>
      <c r="O991" s="1">
        <f>IFERROR(L991*G991,0)</f>
        <v/>
      </c>
      <c r="P991">
        <f>IF(N991-L991-M991&gt;0,N991-L991-M991,0)</f>
        <v/>
      </c>
      <c r="Q991" s="1">
        <f>IFERROR(P991*G991,0)</f>
        <v/>
      </c>
    </row>
    <row r="992">
      <c r="A992" t="inlineStr">
        <is>
          <t>JN2002-GNTBOOT-500-00-07</t>
        </is>
      </c>
      <c r="B992" t="inlineStr">
        <is>
          <t>GRANITE CHELSEA BOOTS BLACK 7</t>
        </is>
      </c>
      <c r="C992" t="inlineStr"/>
      <c r="D992" t="n">
        <v>1</v>
      </c>
      <c r="E992" t="n">
        <v>1</v>
      </c>
      <c r="F992" t="inlineStr">
        <is>
          <t>Workwear Depot (Pty)Ltd</t>
        </is>
      </c>
      <c r="G992" s="1" t="n">
        <v>931.76</v>
      </c>
      <c r="H992" t="n">
        <v>0</v>
      </c>
      <c r="I992" t="n">
        <v>0.5</v>
      </c>
      <c r="J992" t="n">
        <v>1</v>
      </c>
      <c r="K992" t="n">
        <v>1</v>
      </c>
      <c r="L992" t="n">
        <v>0</v>
      </c>
      <c r="M992" t="n">
        <v>0</v>
      </c>
      <c r="N992" t="n">
        <v>2</v>
      </c>
      <c r="O992" s="1">
        <f>IFERROR(L992*G992,0)</f>
        <v/>
      </c>
      <c r="P992">
        <f>IF(N992-L992-M992&gt;0,N992-L992-M992,0)</f>
        <v/>
      </c>
      <c r="Q992" s="1">
        <f>IFERROR(P992*G992,0)</f>
        <v/>
      </c>
    </row>
    <row r="993">
      <c r="A993" t="inlineStr">
        <is>
          <t>JN3002-TUNBOOT-600-00-07</t>
        </is>
      </c>
      <c r="B993" t="inlineStr">
        <is>
          <t>TUNGSTEN BOOT BLACK 7</t>
        </is>
      </c>
      <c r="C993" t="inlineStr">
        <is>
          <t>FM - UNIFORM</t>
        </is>
      </c>
      <c r="D993" t="n">
        <v>1</v>
      </c>
      <c r="E993" t="n">
        <v>2</v>
      </c>
      <c r="F993" t="inlineStr">
        <is>
          <t>Workwear Depot (Pty)Ltd</t>
        </is>
      </c>
      <c r="G993" s="1" t="n">
        <v>592.64</v>
      </c>
      <c r="H993" t="n">
        <v>0</v>
      </c>
      <c r="I993" t="n">
        <v>0.5</v>
      </c>
      <c r="J993" t="n">
        <v>2</v>
      </c>
      <c r="K993" t="n">
        <v>1</v>
      </c>
      <c r="L993" t="n">
        <v>0</v>
      </c>
      <c r="M993" t="n">
        <v>0</v>
      </c>
      <c r="N993" t="n">
        <v>5</v>
      </c>
      <c r="O993" s="1">
        <f>IFERROR(L993*G993,0)</f>
        <v/>
      </c>
      <c r="P993">
        <f>IF(N993-L993-M993&gt;0,N993-L993-M993,0)</f>
        <v/>
      </c>
      <c r="Q993" s="1">
        <f>IFERROR(P993*G993,0)</f>
        <v/>
      </c>
    </row>
    <row r="994">
      <c r="A994" t="inlineStr">
        <is>
          <t>JN3002-TUNBOOT-600-00-09</t>
        </is>
      </c>
      <c r="B994" t="inlineStr">
        <is>
          <t>TUNGSTEN BOOT BLACK 9</t>
        </is>
      </c>
      <c r="C994" t="inlineStr">
        <is>
          <t>FM - UNIFORM</t>
        </is>
      </c>
      <c r="D994" t="n">
        <v>1</v>
      </c>
      <c r="E994" t="n">
        <v>1</v>
      </c>
      <c r="F994" t="inlineStr">
        <is>
          <t>Workwear Depot (Pty)Ltd</t>
        </is>
      </c>
      <c r="G994" s="1" t="n">
        <v>592.63</v>
      </c>
      <c r="H994" t="n">
        <v>0</v>
      </c>
      <c r="I994" t="n">
        <v>0.5</v>
      </c>
      <c r="J994" t="n">
        <v>1</v>
      </c>
      <c r="K994" t="n">
        <v>1</v>
      </c>
      <c r="L994" t="n">
        <v>0</v>
      </c>
      <c r="M994" t="n">
        <v>0</v>
      </c>
      <c r="N994" t="n">
        <v>2</v>
      </c>
      <c r="O994" s="1">
        <f>IFERROR(L994*G994,0)</f>
        <v/>
      </c>
      <c r="P994">
        <f>IF(N994-L994-M994&gt;0,N994-L994-M994,0)</f>
        <v/>
      </c>
      <c r="Q994" s="1">
        <f>IFERROR(P994*G994,0)</f>
        <v/>
      </c>
    </row>
    <row r="995">
      <c r="A995" t="inlineStr">
        <is>
          <t>JRAD50F300</t>
        </is>
      </c>
      <c r="B995" t="inlineStr">
        <is>
          <t>JRAD 50 F300 'C / 2H</t>
        </is>
      </c>
      <c r="C995" t="inlineStr">
        <is>
          <t>FM - KAYITES</t>
        </is>
      </c>
      <c r="D995" t="n">
        <v>24</v>
      </c>
      <c r="E995" t="n">
        <v>8</v>
      </c>
      <c r="F995" t="inlineStr">
        <is>
          <t>Kayites</t>
        </is>
      </c>
      <c r="G995" s="1" t="n">
        <v>8234.75</v>
      </c>
      <c r="H995" t="n">
        <v>8</v>
      </c>
      <c r="I995" t="n">
        <v>0.7</v>
      </c>
      <c r="J995" t="n">
        <v>1</v>
      </c>
      <c r="K995" t="n">
        <v>1</v>
      </c>
      <c r="L995" t="n">
        <v>0</v>
      </c>
      <c r="M995" t="n">
        <v>0</v>
      </c>
      <c r="N995" t="n">
        <v>3</v>
      </c>
      <c r="O995" s="1">
        <f>IFERROR(L995*G995,0)</f>
        <v/>
      </c>
      <c r="P995">
        <f>IF(N995-L995-M995&gt;0,N995-L995-M995,0)</f>
        <v/>
      </c>
      <c r="Q995" s="1">
        <f>IFERROR(P995*G995,0)</f>
        <v/>
      </c>
    </row>
    <row r="996">
      <c r="A996" t="inlineStr">
        <is>
          <t>JRAD70F300</t>
        </is>
      </c>
      <c r="B996" t="inlineStr">
        <is>
          <t>JRAD 70 F300 'C / 2H</t>
        </is>
      </c>
      <c r="C996" t="inlineStr">
        <is>
          <t>FM - KAYITES</t>
        </is>
      </c>
      <c r="D996" t="n">
        <v>1</v>
      </c>
      <c r="E996" t="n">
        <v>6</v>
      </c>
      <c r="F996" t="inlineStr">
        <is>
          <t>Kayites</t>
        </is>
      </c>
      <c r="G996" s="1" t="n">
        <v>10200.65</v>
      </c>
      <c r="H996" t="n">
        <v>6</v>
      </c>
      <c r="I996" t="n">
        <v>0.5</v>
      </c>
      <c r="J996" t="n">
        <v>6</v>
      </c>
      <c r="K996" t="n">
        <v>3</v>
      </c>
      <c r="L996" t="n">
        <v>0</v>
      </c>
      <c r="M996" t="n">
        <v>0</v>
      </c>
      <c r="N996" t="n">
        <v>15</v>
      </c>
      <c r="O996" s="1">
        <f>IFERROR(L996*G996,0)</f>
        <v/>
      </c>
      <c r="P996">
        <f>IF(N996-L996-M996&gt;0,N996-L996-M996,0)</f>
        <v/>
      </c>
      <c r="Q996" s="1">
        <f>IFERROR(P996*G996,0)</f>
        <v/>
      </c>
    </row>
    <row r="997">
      <c r="A997" t="inlineStr">
        <is>
          <t>JRAD90F300</t>
        </is>
      </c>
      <c r="B997" t="inlineStr">
        <is>
          <t>JRAD 90 F300 'C / 2H</t>
        </is>
      </c>
      <c r="C997" t="inlineStr">
        <is>
          <t>FM - KAYITES</t>
        </is>
      </c>
      <c r="D997" t="n">
        <v>3</v>
      </c>
      <c r="E997" t="n">
        <v>2</v>
      </c>
      <c r="F997" t="inlineStr">
        <is>
          <t>Kayites</t>
        </is>
      </c>
      <c r="G997" s="1" t="n">
        <v>10609.51</v>
      </c>
      <c r="H997" t="n">
        <v>2</v>
      </c>
      <c r="I997" t="n">
        <v>0.5</v>
      </c>
      <c r="J997" t="n">
        <v>1</v>
      </c>
      <c r="K997" t="n">
        <v>1</v>
      </c>
      <c r="L997" t="n">
        <v>0</v>
      </c>
      <c r="M997" t="n">
        <v>0</v>
      </c>
      <c r="N997" t="n">
        <v>2</v>
      </c>
      <c r="O997" s="1">
        <f>IFERROR(L997*G997,0)</f>
        <v/>
      </c>
      <c r="P997">
        <f>IF(N997-L997-M997&gt;0,N997-L997-M997,0)</f>
        <v/>
      </c>
      <c r="Q997" s="1">
        <f>IFERROR(P997*G997,0)</f>
        <v/>
      </c>
    </row>
    <row r="998">
      <c r="A998" t="inlineStr">
        <is>
          <t>JTPOLY-6398B-600-03-M</t>
        </is>
      </c>
      <c r="B998" t="inlineStr">
        <is>
          <t>WORK T BLACK M</t>
        </is>
      </c>
      <c r="C998" t="inlineStr"/>
      <c r="D998" t="n">
        <v>1</v>
      </c>
      <c r="E998" t="n">
        <v>2</v>
      </c>
      <c r="F998" t="inlineStr">
        <is>
          <t>Workwear Depot (Pty)Ltd</t>
        </is>
      </c>
      <c r="G998" s="1" t="n">
        <v>194.15</v>
      </c>
      <c r="H998" t="n">
        <v>0</v>
      </c>
      <c r="I998" t="n">
        <v>0.5</v>
      </c>
      <c r="J998" t="n">
        <v>2</v>
      </c>
      <c r="K998" t="n">
        <v>1</v>
      </c>
      <c r="L998" t="n">
        <v>0</v>
      </c>
      <c r="M998" t="n">
        <v>0</v>
      </c>
      <c r="N998" t="n">
        <v>5</v>
      </c>
      <c r="O998" s="1">
        <f>IFERROR(L998*G998,0)</f>
        <v/>
      </c>
      <c r="P998">
        <f>IF(N998-L998-M998&gt;0,N998-L998-M998,0)</f>
        <v/>
      </c>
      <c r="Q998" s="1">
        <f>IFERROR(P998*G998,0)</f>
        <v/>
      </c>
    </row>
    <row r="999">
      <c r="A999" t="inlineStr">
        <is>
          <t>JTPOLY-6398B-600-04-L</t>
        </is>
      </c>
      <c r="B999" t="inlineStr">
        <is>
          <t>WORK T BLACK L</t>
        </is>
      </c>
      <c r="C999" t="inlineStr">
        <is>
          <t>FM - UNIFORM</t>
        </is>
      </c>
      <c r="D999" t="n">
        <v>1</v>
      </c>
      <c r="E999" t="n">
        <v>2</v>
      </c>
      <c r="F999" t="inlineStr">
        <is>
          <t>Workwear Depot (Pty)Ltd</t>
        </is>
      </c>
      <c r="G999" s="1" t="n">
        <v>194.15</v>
      </c>
      <c r="H999" t="n">
        <v>0</v>
      </c>
      <c r="I999" t="n">
        <v>0.5</v>
      </c>
      <c r="J999" t="n">
        <v>2</v>
      </c>
      <c r="K999" t="n">
        <v>1</v>
      </c>
      <c r="L999" t="n">
        <v>0</v>
      </c>
      <c r="M999" t="n">
        <v>0</v>
      </c>
      <c r="N999" t="n">
        <v>5</v>
      </c>
      <c r="O999" s="1">
        <f>IFERROR(L999*G999,0)</f>
        <v/>
      </c>
      <c r="P999">
        <f>IF(N999-L999-M999&gt;0,N999-L999-M999,0)</f>
        <v/>
      </c>
      <c r="Q999" s="1">
        <f>IFERROR(P999*G999,0)</f>
        <v/>
      </c>
    </row>
    <row r="1000">
      <c r="A1000" t="inlineStr">
        <is>
          <t>K03MS055S</t>
        </is>
      </c>
      <c r="B1000" t="inlineStr">
        <is>
          <t>SCL-K03 MS-0.55kW-1</t>
        </is>
      </c>
      <c r="C1000" t="inlineStr">
        <is>
          <t>FM - FPZ</t>
        </is>
      </c>
      <c r="D1000" t="n">
        <v>30</v>
      </c>
      <c r="E1000" t="n">
        <v>0</v>
      </c>
      <c r="F1000" t="inlineStr"/>
      <c r="G1000" s="1" t="n">
        <v>0</v>
      </c>
      <c r="H1000" t="n">
        <v>5</v>
      </c>
      <c r="I1000" t="n">
        <v>0.5</v>
      </c>
      <c r="J1000" t="n">
        <v>1</v>
      </c>
      <c r="K1000" t="n">
        <v>1</v>
      </c>
      <c r="L1000" t="n">
        <v>0</v>
      </c>
      <c r="M1000" t="n">
        <v>0</v>
      </c>
      <c r="N1000" t="n">
        <v>2</v>
      </c>
      <c r="O1000" s="1">
        <f>IFERROR(L1000*G1000,0)</f>
        <v/>
      </c>
      <c r="P1000">
        <f>IF(N1000-L1000-M1000&gt;0,N1000-L1000-M1000,0)</f>
        <v/>
      </c>
      <c r="Q1000" s="1">
        <f>IFERROR(P1000*G1000,0)</f>
        <v/>
      </c>
    </row>
    <row r="1001">
      <c r="A1001" t="inlineStr">
        <is>
          <t>K04MS11S</t>
        </is>
      </c>
      <c r="B1001" t="inlineStr">
        <is>
          <t>SCL-K04 MS-1.1kW-1-220V</t>
        </is>
      </c>
      <c r="C1001" t="inlineStr">
        <is>
          <t>FM - FPZ</t>
        </is>
      </c>
      <c r="D1001" t="n">
        <v>28</v>
      </c>
      <c r="E1001" t="n">
        <v>6</v>
      </c>
      <c r="F1001" t="inlineStr">
        <is>
          <t>Effepizeta</t>
        </is>
      </c>
      <c r="G1001" s="1" t="n">
        <v>6609.77</v>
      </c>
      <c r="H1001" t="n">
        <v>9</v>
      </c>
      <c r="I1001" t="n">
        <v>1.7</v>
      </c>
      <c r="J1001" t="n">
        <v>1</v>
      </c>
      <c r="K1001" t="n">
        <v>2</v>
      </c>
      <c r="L1001" t="n">
        <v>0</v>
      </c>
      <c r="M1001" t="n">
        <v>0</v>
      </c>
      <c r="N1001" t="n">
        <v>4</v>
      </c>
      <c r="O1001" s="1">
        <f>IFERROR(L1001*G1001,0)</f>
        <v/>
      </c>
      <c r="P1001">
        <f>IF(N1001-L1001-M1001&gt;0,N1001-L1001-M1001,0)</f>
        <v/>
      </c>
      <c r="Q1001" s="1">
        <f>IFERROR(P1001*G1001,0)</f>
        <v/>
      </c>
    </row>
    <row r="1002">
      <c r="A1002" t="inlineStr">
        <is>
          <t>K04MS11T</t>
        </is>
      </c>
      <c r="B1002" t="inlineStr">
        <is>
          <t>SCL-K04 MS-1.1kW</t>
        </is>
      </c>
      <c r="C1002" t="inlineStr">
        <is>
          <t>FM - FPZ</t>
        </is>
      </c>
      <c r="D1002" t="n">
        <v>28</v>
      </c>
      <c r="E1002" t="n">
        <v>12</v>
      </c>
      <c r="F1002" t="inlineStr">
        <is>
          <t>Effepizeta</t>
        </is>
      </c>
      <c r="G1002" s="1" t="n">
        <v>6335</v>
      </c>
      <c r="H1002" t="n">
        <v>10</v>
      </c>
      <c r="I1002" t="n">
        <v>1.9</v>
      </c>
      <c r="J1002" t="n">
        <v>1</v>
      </c>
      <c r="K1002" t="n">
        <v>2</v>
      </c>
      <c r="L1002" t="n">
        <v>0</v>
      </c>
      <c r="M1002" t="n">
        <v>0</v>
      </c>
      <c r="N1002" t="n">
        <v>4</v>
      </c>
      <c r="O1002" s="1">
        <f>IFERROR(L1002*G1002,0)</f>
        <v/>
      </c>
      <c r="P1002">
        <f>IF(N1002-L1002-M1002&gt;0,N1002-L1002-M1002,0)</f>
        <v/>
      </c>
      <c r="Q1002" s="1">
        <f>IFERROR(P1002*G1002,0)</f>
        <v/>
      </c>
    </row>
    <row r="1003">
      <c r="A1003" t="inlineStr">
        <is>
          <t>K05MS15T</t>
        </is>
      </c>
      <c r="B1003" t="inlineStr">
        <is>
          <t>SCL-K05 MS-1.5kW</t>
        </is>
      </c>
      <c r="C1003" t="inlineStr">
        <is>
          <t>FM - FPZ</t>
        </is>
      </c>
      <c r="D1003" t="n">
        <v>24</v>
      </c>
      <c r="E1003" t="n">
        <v>5</v>
      </c>
      <c r="F1003" t="inlineStr">
        <is>
          <t>Effepizeta</t>
        </is>
      </c>
      <c r="G1003" s="1" t="n">
        <v>8276.559999999999</v>
      </c>
      <c r="H1003" t="n">
        <v>1</v>
      </c>
      <c r="I1003" t="n">
        <v>1.9</v>
      </c>
      <c r="J1003" t="n">
        <v>1</v>
      </c>
      <c r="K1003" t="n">
        <v>2</v>
      </c>
      <c r="L1003" t="n">
        <v>0</v>
      </c>
      <c r="M1003" t="n">
        <v>0</v>
      </c>
      <c r="N1003" t="n">
        <v>4</v>
      </c>
      <c r="O1003" s="1">
        <f>IFERROR(L1003*G1003,0)</f>
        <v/>
      </c>
      <c r="P1003">
        <f>IF(N1003-L1003-M1003&gt;0,N1003-L1003-M1003,0)</f>
        <v/>
      </c>
      <c r="Q1003" s="1">
        <f>IFERROR(P1003*G1003,0)</f>
        <v/>
      </c>
    </row>
    <row r="1004">
      <c r="A1004" t="inlineStr">
        <is>
          <t>K05MS22T</t>
        </is>
      </c>
      <c r="B1004" t="inlineStr">
        <is>
          <t>SCL-K05 MS-2.2kW</t>
        </is>
      </c>
      <c r="C1004" t="inlineStr">
        <is>
          <t>FM - FPZ</t>
        </is>
      </c>
      <c r="D1004" t="n">
        <v>31</v>
      </c>
      <c r="E1004" t="n">
        <v>8</v>
      </c>
      <c r="F1004" t="inlineStr">
        <is>
          <t>Effepizeta</t>
        </is>
      </c>
      <c r="G1004" s="1" t="n">
        <v>8273.66</v>
      </c>
      <c r="H1004" t="n">
        <v>8</v>
      </c>
      <c r="I1004" t="n">
        <v>1.9</v>
      </c>
      <c r="J1004" t="n">
        <v>1</v>
      </c>
      <c r="K1004" t="n">
        <v>2</v>
      </c>
      <c r="L1004" t="n">
        <v>0</v>
      </c>
      <c r="M1004" t="n">
        <v>0</v>
      </c>
      <c r="N1004" t="n">
        <v>4</v>
      </c>
      <c r="O1004" s="1">
        <f>IFERROR(L1004*G1004,0)</f>
        <v/>
      </c>
      <c r="P1004">
        <f>IF(N1004-L1004-M1004&gt;0,N1004-L1004-M1004,0)</f>
        <v/>
      </c>
      <c r="Q1004" s="1">
        <f>IFERROR(P1004*G1004,0)</f>
        <v/>
      </c>
    </row>
    <row r="1005">
      <c r="A1005" t="inlineStr">
        <is>
          <t>K06MS4</t>
        </is>
      </c>
      <c r="B1005" t="inlineStr">
        <is>
          <t>SCL-K06 MS-4W</t>
        </is>
      </c>
      <c r="C1005" t="inlineStr">
        <is>
          <t>FM - FPZ</t>
        </is>
      </c>
      <c r="D1005" t="n">
        <v>22</v>
      </c>
      <c r="E1005" t="n">
        <v>2</v>
      </c>
      <c r="F1005" t="inlineStr">
        <is>
          <t>Effepizeta</t>
        </is>
      </c>
      <c r="G1005" s="1" t="n">
        <v>7417.57</v>
      </c>
      <c r="H1005" t="n">
        <v>2</v>
      </c>
      <c r="I1005" t="n">
        <v>2</v>
      </c>
      <c r="J1005" t="n">
        <v>1</v>
      </c>
      <c r="K1005" t="n">
        <v>2</v>
      </c>
      <c r="L1005" t="n">
        <v>0</v>
      </c>
      <c r="M1005" t="n">
        <v>0</v>
      </c>
      <c r="N1005" t="n">
        <v>4</v>
      </c>
      <c r="O1005" s="1">
        <f>IFERROR(L1005*G1005,0)</f>
        <v/>
      </c>
      <c r="P1005">
        <f>IF(N1005-L1005-M1005&gt;0,N1005-L1005-M1005,0)</f>
        <v/>
      </c>
      <c r="Q1005" s="1">
        <f>IFERROR(P1005*G1005,0)</f>
        <v/>
      </c>
    </row>
    <row r="1006">
      <c r="A1006" t="inlineStr">
        <is>
          <t>K07MS4</t>
        </is>
      </c>
      <c r="B1006" t="inlineStr">
        <is>
          <t>SCL-K07 MS-4kW</t>
        </is>
      </c>
      <c r="C1006" t="inlineStr">
        <is>
          <t>FM - FPZ</t>
        </is>
      </c>
      <c r="D1006" t="n">
        <v>31</v>
      </c>
      <c r="E1006" t="n">
        <v>2</v>
      </c>
      <c r="F1006" t="inlineStr">
        <is>
          <t>Effepizeta</t>
        </is>
      </c>
      <c r="G1006" s="1" t="n">
        <v>15200.44</v>
      </c>
      <c r="H1006" t="n">
        <v>5</v>
      </c>
      <c r="I1006" t="n">
        <v>2</v>
      </c>
      <c r="J1006" t="n">
        <v>1</v>
      </c>
      <c r="K1006" t="n">
        <v>2</v>
      </c>
      <c r="L1006" t="n">
        <v>0</v>
      </c>
      <c r="M1006" t="n">
        <v>0</v>
      </c>
      <c r="N1006" t="n">
        <v>4</v>
      </c>
      <c r="O1006" s="1">
        <f>IFERROR(L1006*G1006,0)</f>
        <v/>
      </c>
      <c r="P1006">
        <f>IF(N1006-L1006-M1006&gt;0,N1006-L1006-M1006,0)</f>
        <v/>
      </c>
      <c r="Q1006" s="1">
        <f>IFERROR(P1006*G1006,0)</f>
        <v/>
      </c>
    </row>
    <row r="1007">
      <c r="A1007" t="inlineStr">
        <is>
          <t>K07MS55</t>
        </is>
      </c>
      <c r="B1007" t="inlineStr">
        <is>
          <t>SCL-K07 MS-5.5kW</t>
        </is>
      </c>
      <c r="C1007" t="inlineStr">
        <is>
          <t>FM - FPZ</t>
        </is>
      </c>
      <c r="D1007" t="n">
        <v>27</v>
      </c>
      <c r="E1007" t="n">
        <v>0</v>
      </c>
      <c r="F1007" t="inlineStr"/>
      <c r="G1007" s="1" t="n">
        <v>0</v>
      </c>
      <c r="H1007" t="n">
        <v>2</v>
      </c>
      <c r="I1007" t="n">
        <v>0.5</v>
      </c>
      <c r="J1007" t="n">
        <v>1</v>
      </c>
      <c r="K1007" t="n">
        <v>1</v>
      </c>
      <c r="L1007" t="n">
        <v>0</v>
      </c>
      <c r="M1007" t="n">
        <v>0</v>
      </c>
      <c r="N1007" t="n">
        <v>2</v>
      </c>
      <c r="O1007" s="1">
        <f>IFERROR(L1007*G1007,0)</f>
        <v/>
      </c>
      <c r="P1007">
        <f>IF(N1007-L1007-M1007&gt;0,N1007-L1007-M1007,0)</f>
        <v/>
      </c>
      <c r="Q1007" s="1">
        <f>IFERROR(P1007*G1007,0)</f>
        <v/>
      </c>
    </row>
    <row r="1008">
      <c r="A1008" t="inlineStr">
        <is>
          <t>K08MS75</t>
        </is>
      </c>
      <c r="B1008" t="inlineStr">
        <is>
          <t>SCL-K08 MS-7.5kW</t>
        </is>
      </c>
      <c r="C1008" t="inlineStr">
        <is>
          <t>FM - FPZ</t>
        </is>
      </c>
      <c r="D1008" t="n">
        <v>14</v>
      </c>
      <c r="E1008" t="n">
        <v>5</v>
      </c>
      <c r="F1008" t="inlineStr">
        <is>
          <t>Effepizeta</t>
        </is>
      </c>
      <c r="G1008" s="1" t="n">
        <v>30692.13</v>
      </c>
      <c r="H1008" t="n">
        <v>7</v>
      </c>
      <c r="I1008" t="n">
        <v>1.7</v>
      </c>
      <c r="J1008" t="n">
        <v>1</v>
      </c>
      <c r="K1008" t="n">
        <v>2</v>
      </c>
      <c r="L1008" t="n">
        <v>0</v>
      </c>
      <c r="M1008" t="n">
        <v>0</v>
      </c>
      <c r="N1008" t="n">
        <v>4</v>
      </c>
      <c r="O1008" s="1">
        <f>IFERROR(L1008*G1008,0)</f>
        <v/>
      </c>
      <c r="P1008">
        <f>IF(N1008-L1008-M1008&gt;0,N1008-L1008-M1008,0)</f>
        <v/>
      </c>
      <c r="Q1008" s="1">
        <f>IFERROR(P1008*G1008,0)</f>
        <v/>
      </c>
    </row>
    <row r="1009">
      <c r="A1009" t="inlineStr">
        <is>
          <t>K09MS55</t>
        </is>
      </c>
      <c r="B1009" t="inlineStr">
        <is>
          <t>SCL-K09 MS-5.5kW</t>
        </is>
      </c>
      <c r="C1009" t="inlineStr">
        <is>
          <t>FM - FPZ</t>
        </is>
      </c>
      <c r="D1009" t="n">
        <v>22</v>
      </c>
      <c r="E1009" t="n">
        <v>2</v>
      </c>
      <c r="F1009" t="inlineStr">
        <is>
          <t>Effepizeta</t>
        </is>
      </c>
      <c r="G1009" s="1" t="n">
        <v>37510.41</v>
      </c>
      <c r="H1009" t="n">
        <v>3</v>
      </c>
      <c r="I1009" t="n">
        <v>2</v>
      </c>
      <c r="J1009" t="n">
        <v>1</v>
      </c>
      <c r="K1009" t="n">
        <v>2</v>
      </c>
      <c r="L1009" t="n">
        <v>0</v>
      </c>
      <c r="M1009" t="n">
        <v>0</v>
      </c>
      <c r="N1009" t="n">
        <v>4</v>
      </c>
      <c r="O1009" s="1">
        <f>IFERROR(L1009*G1009,0)</f>
        <v/>
      </c>
      <c r="P1009">
        <f>IF(N1009-L1009-M1009&gt;0,N1009-L1009-M1009,0)</f>
        <v/>
      </c>
      <c r="Q1009" s="1">
        <f>IFERROR(P1009*G1009,0)</f>
        <v/>
      </c>
    </row>
    <row r="1010">
      <c r="A1010" t="inlineStr">
        <is>
          <t>K09TD15</t>
        </is>
      </c>
      <c r="B1010" t="inlineStr">
        <is>
          <t>SCL-K09 TD-15kW</t>
        </is>
      </c>
      <c r="C1010" t="inlineStr">
        <is>
          <t>FM - FPZ</t>
        </is>
      </c>
      <c r="D1010" t="n">
        <v>8</v>
      </c>
      <c r="E1010" t="n">
        <v>1</v>
      </c>
      <c r="F1010" t="inlineStr">
        <is>
          <t>Effepizeta</t>
        </is>
      </c>
      <c r="G1010" s="1" t="n">
        <v>0</v>
      </c>
      <c r="H1010" t="n">
        <v>1</v>
      </c>
      <c r="I1010" t="n">
        <v>2</v>
      </c>
      <c r="J1010" t="n">
        <v>1</v>
      </c>
      <c r="K1010" t="n">
        <v>2</v>
      </c>
      <c r="L1010" t="n">
        <v>0</v>
      </c>
      <c r="M1010" t="n">
        <v>0</v>
      </c>
      <c r="N1010" t="n">
        <v>4</v>
      </c>
      <c r="O1010" s="1">
        <f>IFERROR(L1010*G1010,0)</f>
        <v/>
      </c>
      <c r="P1010">
        <f>IF(N1010-L1010-M1010&gt;0,N1010-L1010-M1010,0)</f>
        <v/>
      </c>
      <c r="Q1010" s="1">
        <f>IFERROR(P1010*G1010,0)</f>
        <v/>
      </c>
    </row>
    <row r="1011">
      <c r="A1011" t="inlineStr">
        <is>
          <t>K09TS15</t>
        </is>
      </c>
      <c r="B1011" t="inlineStr">
        <is>
          <t>SCL-K09 TS-15kW</t>
        </is>
      </c>
      <c r="C1011" t="inlineStr">
        <is>
          <t>FM - FPZ</t>
        </is>
      </c>
      <c r="D1011" t="n">
        <v>6</v>
      </c>
      <c r="E1011" t="n">
        <v>3</v>
      </c>
      <c r="F1011" t="inlineStr">
        <is>
          <t>Effepizeta</t>
        </is>
      </c>
      <c r="G1011" s="1" t="n">
        <v>64921.97</v>
      </c>
      <c r="H1011" t="n">
        <v>3</v>
      </c>
      <c r="I1011" t="n">
        <v>1.6</v>
      </c>
      <c r="J1011" t="n">
        <v>1</v>
      </c>
      <c r="K1011" t="n">
        <v>2</v>
      </c>
      <c r="L1011" t="n">
        <v>0</v>
      </c>
      <c r="M1011" t="n">
        <v>0</v>
      </c>
      <c r="N1011" t="n">
        <v>4</v>
      </c>
      <c r="O1011" s="1">
        <f>IFERROR(L1011*G1011,0)</f>
        <v/>
      </c>
      <c r="P1011">
        <f>IF(N1011-L1011-M1011&gt;0,N1011-L1011-M1011,0)</f>
        <v/>
      </c>
      <c r="Q1011" s="1">
        <f>IFERROR(P1011*G1011,0)</f>
        <v/>
      </c>
    </row>
    <row r="1012">
      <c r="A1012" t="inlineStr">
        <is>
          <t>K10MD75</t>
        </is>
      </c>
      <c r="B1012" t="inlineStr">
        <is>
          <t>SCL-K10 MD-7.5kW</t>
        </is>
      </c>
      <c r="C1012" t="inlineStr">
        <is>
          <t>FM - FPZ</t>
        </is>
      </c>
      <c r="D1012" t="n">
        <v>10</v>
      </c>
      <c r="E1012" t="n">
        <v>0</v>
      </c>
      <c r="F1012" t="inlineStr"/>
      <c r="G1012" s="1" t="n">
        <v>0</v>
      </c>
      <c r="H1012" t="n">
        <v>2</v>
      </c>
      <c r="I1012" t="n">
        <v>0.5</v>
      </c>
      <c r="J1012" t="n">
        <v>1</v>
      </c>
      <c r="K1012" t="n">
        <v>1</v>
      </c>
      <c r="L1012" t="n">
        <v>0</v>
      </c>
      <c r="M1012" t="n">
        <v>0</v>
      </c>
      <c r="N1012" t="n">
        <v>2</v>
      </c>
      <c r="O1012" s="1">
        <f>IFERROR(L1012*G1012,0)</f>
        <v/>
      </c>
      <c r="P1012">
        <f>IF(N1012-L1012-M1012&gt;0,N1012-L1012-M1012,0)</f>
        <v/>
      </c>
      <c r="Q1012" s="1">
        <f>IFERROR(P1012*G1012,0)</f>
        <v/>
      </c>
    </row>
    <row r="1013">
      <c r="A1013" t="inlineStr">
        <is>
          <t>K10MS11</t>
        </is>
      </c>
      <c r="B1013" t="inlineStr">
        <is>
          <t>SCL-K10 MS-11kW</t>
        </is>
      </c>
      <c r="C1013" t="inlineStr">
        <is>
          <t>FM - FPZ</t>
        </is>
      </c>
      <c r="D1013" t="n">
        <v>29</v>
      </c>
      <c r="E1013" t="n">
        <v>8</v>
      </c>
      <c r="F1013" t="inlineStr">
        <is>
          <t>Effepizeta</t>
        </is>
      </c>
      <c r="G1013" s="1" t="n">
        <v>40775.36</v>
      </c>
      <c r="H1013" t="n">
        <v>12</v>
      </c>
      <c r="I1013" t="n">
        <v>1.9</v>
      </c>
      <c r="J1013" t="n">
        <v>1</v>
      </c>
      <c r="K1013" t="n">
        <v>2</v>
      </c>
      <c r="L1013" t="n">
        <v>0</v>
      </c>
      <c r="M1013" t="n">
        <v>0</v>
      </c>
      <c r="N1013" t="n">
        <v>4</v>
      </c>
      <c r="O1013" s="1">
        <f>IFERROR(L1013*G1013,0)</f>
        <v/>
      </c>
      <c r="P1013">
        <f>IF(N1013-L1013-M1013&gt;0,N1013-L1013-M1013,0)</f>
        <v/>
      </c>
      <c r="Q1013" s="1">
        <f>IFERROR(P1013*G1013,0)</f>
        <v/>
      </c>
    </row>
    <row r="1014">
      <c r="A1014" t="inlineStr">
        <is>
          <t>K11MS11</t>
        </is>
      </c>
      <c r="B1014" t="inlineStr">
        <is>
          <t>SCL-K11 MS-11kW</t>
        </is>
      </c>
      <c r="C1014" t="inlineStr">
        <is>
          <t>FM - FPZ</t>
        </is>
      </c>
      <c r="D1014" t="n">
        <v>26</v>
      </c>
      <c r="E1014" t="n">
        <v>3</v>
      </c>
      <c r="F1014" t="inlineStr">
        <is>
          <t>Effepizeta</t>
        </is>
      </c>
      <c r="G1014" s="1" t="n">
        <v>48810.59</v>
      </c>
      <c r="H1014" t="n">
        <v>13</v>
      </c>
      <c r="I1014" t="n">
        <v>1.5</v>
      </c>
      <c r="J1014" t="n">
        <v>1</v>
      </c>
      <c r="K1014" t="n">
        <v>2</v>
      </c>
      <c r="L1014" t="n">
        <v>0</v>
      </c>
      <c r="M1014" t="n">
        <v>0</v>
      </c>
      <c r="N1014" t="n">
        <v>4</v>
      </c>
      <c r="O1014" s="1">
        <f>IFERROR(L1014*G1014,0)</f>
        <v/>
      </c>
      <c r="P1014">
        <f>IF(N1014-L1014-M1014&gt;0,N1014-L1014-M1014,0)</f>
        <v/>
      </c>
      <c r="Q1014" s="1">
        <f>IFERROR(P1014*G1014,0)</f>
        <v/>
      </c>
    </row>
    <row r="1015">
      <c r="A1015" t="inlineStr">
        <is>
          <t>K11TS22</t>
        </is>
      </c>
      <c r="B1015" t="inlineStr">
        <is>
          <t>SCL-K11 TS-22kW</t>
        </is>
      </c>
      <c r="C1015" t="inlineStr">
        <is>
          <t>FM - FPZ</t>
        </is>
      </c>
      <c r="D1015" t="n">
        <v>13</v>
      </c>
      <c r="E1015" t="n">
        <v>0</v>
      </c>
      <c r="F1015" t="inlineStr"/>
      <c r="G1015" s="1" t="n">
        <v>0</v>
      </c>
      <c r="H1015" t="n">
        <v>5</v>
      </c>
      <c r="I1015" t="n">
        <v>0.5</v>
      </c>
      <c r="J1015" t="n">
        <v>1</v>
      </c>
      <c r="K1015" t="n">
        <v>1</v>
      </c>
      <c r="L1015" t="n">
        <v>0</v>
      </c>
      <c r="M1015" t="n">
        <v>0</v>
      </c>
      <c r="N1015" t="n">
        <v>2</v>
      </c>
      <c r="O1015" s="1">
        <f>IFERROR(L1015*G1015,0)</f>
        <v/>
      </c>
      <c r="P1015">
        <f>IF(N1015-L1015-M1015&gt;0,N1015-L1015-M1015,0)</f>
        <v/>
      </c>
      <c r="Q1015" s="1">
        <f>IFERROR(P1015*G1015,0)</f>
        <v/>
      </c>
    </row>
    <row r="1016">
      <c r="A1016" t="inlineStr">
        <is>
          <t>K12MS15</t>
        </is>
      </c>
      <c r="B1016" t="inlineStr">
        <is>
          <t>SCL-K12 MS-15kW</t>
        </is>
      </c>
      <c r="C1016" t="inlineStr">
        <is>
          <t>FM - FPZ</t>
        </is>
      </c>
      <c r="D1016" t="n">
        <v>16</v>
      </c>
      <c r="E1016" t="n">
        <v>1</v>
      </c>
      <c r="F1016" t="inlineStr">
        <is>
          <t>Effepizeta</t>
        </is>
      </c>
      <c r="G1016" s="1" t="n">
        <v>0</v>
      </c>
      <c r="H1016" t="n">
        <v>1</v>
      </c>
      <c r="I1016" t="n">
        <v>0.7</v>
      </c>
      <c r="J1016" t="n">
        <v>1</v>
      </c>
      <c r="K1016" t="n">
        <v>1</v>
      </c>
      <c r="L1016" t="n">
        <v>0</v>
      </c>
      <c r="M1016" t="n">
        <v>0</v>
      </c>
      <c r="N1016" t="n">
        <v>3</v>
      </c>
      <c r="O1016" s="1">
        <f>IFERROR(L1016*G1016,0)</f>
        <v/>
      </c>
      <c r="P1016">
        <f>IF(N1016-L1016-M1016&gt;0,N1016-L1016-M1016,0)</f>
        <v/>
      </c>
      <c r="Q1016" s="1">
        <f>IFERROR(P1016*G1016,0)</f>
        <v/>
      </c>
    </row>
    <row r="1017">
      <c r="A1017" t="inlineStr">
        <is>
          <t>K75MS55</t>
        </is>
      </c>
      <c r="B1017" t="inlineStr">
        <is>
          <t>SCL-K75 MS-5.5kW</t>
        </is>
      </c>
      <c r="C1017" t="inlineStr">
        <is>
          <t>FM - FPZ</t>
        </is>
      </c>
      <c r="D1017" t="n">
        <v>1</v>
      </c>
      <c r="E1017" t="n">
        <v>1</v>
      </c>
      <c r="F1017" t="inlineStr">
        <is>
          <t>Effepizeta</t>
        </is>
      </c>
      <c r="G1017" s="1" t="n">
        <v>0</v>
      </c>
      <c r="H1017" t="n">
        <v>0</v>
      </c>
      <c r="I1017" t="n">
        <v>0.6</v>
      </c>
      <c r="J1017" t="n">
        <v>1</v>
      </c>
      <c r="K1017" t="n">
        <v>1</v>
      </c>
      <c r="L1017" t="n">
        <v>0</v>
      </c>
      <c r="M1017" t="n">
        <v>0</v>
      </c>
      <c r="N1017" t="n">
        <v>3</v>
      </c>
      <c r="O1017" s="1">
        <f>IFERROR(L1017*G1017,0)</f>
        <v/>
      </c>
      <c r="P1017">
        <f>IF(N1017-L1017-M1017&gt;0,N1017-L1017-M1017,0)</f>
        <v/>
      </c>
      <c r="Q1017" s="1">
        <f>IFERROR(P1017*G1017,0)</f>
        <v/>
      </c>
    </row>
    <row r="1018">
      <c r="A1018" t="inlineStr">
        <is>
          <t>KAF125</t>
        </is>
      </c>
      <c r="B1018" t="inlineStr">
        <is>
          <t>KAF 125</t>
        </is>
      </c>
      <c r="C1018" t="inlineStr">
        <is>
          <t>FM - KAYITES</t>
        </is>
      </c>
      <c r="D1018" t="n">
        <v>26</v>
      </c>
      <c r="E1018" t="n">
        <v>0</v>
      </c>
      <c r="F1018" t="inlineStr"/>
      <c r="G1018" s="1" t="n">
        <v>0</v>
      </c>
      <c r="H1018" t="n">
        <v>2</v>
      </c>
      <c r="I1018" t="n">
        <v>0.5</v>
      </c>
      <c r="J1018" t="n">
        <v>1</v>
      </c>
      <c r="K1018" t="n">
        <v>1</v>
      </c>
      <c r="L1018" t="n">
        <v>0</v>
      </c>
      <c r="M1018" t="n">
        <v>0</v>
      </c>
      <c r="N1018" t="n">
        <v>2</v>
      </c>
      <c r="O1018" s="1">
        <f>IFERROR(L1018*G1018,0)</f>
        <v/>
      </c>
      <c r="P1018">
        <f>IF(N1018-L1018-M1018&gt;0,N1018-L1018-M1018,0)</f>
        <v/>
      </c>
      <c r="Q1018" s="1">
        <f>IFERROR(P1018*G1018,0)</f>
        <v/>
      </c>
    </row>
    <row r="1019">
      <c r="A1019" t="inlineStr">
        <is>
          <t>KAF150</t>
        </is>
      </c>
      <c r="B1019" t="inlineStr">
        <is>
          <t>KAF 150</t>
        </is>
      </c>
      <c r="C1019" t="inlineStr">
        <is>
          <t>FM - KAYITES</t>
        </is>
      </c>
      <c r="D1019" t="n">
        <v>4</v>
      </c>
      <c r="E1019" t="n">
        <v>0</v>
      </c>
      <c r="F1019" t="inlineStr"/>
      <c r="G1019" s="1" t="n">
        <v>0</v>
      </c>
      <c r="H1019" t="n">
        <v>3</v>
      </c>
      <c r="I1019" t="n">
        <v>0.5</v>
      </c>
      <c r="J1019" t="n">
        <v>1</v>
      </c>
      <c r="K1019" t="n">
        <v>1</v>
      </c>
      <c r="L1019" t="n">
        <v>0</v>
      </c>
      <c r="M1019" t="n">
        <v>0</v>
      </c>
      <c r="N1019" t="n">
        <v>2</v>
      </c>
      <c r="O1019" s="1">
        <f>IFERROR(L1019*G1019,0)</f>
        <v/>
      </c>
      <c r="P1019">
        <f>IF(N1019-L1019-M1019&gt;0,N1019-L1019-M1019,0)</f>
        <v/>
      </c>
      <c r="Q1019" s="1">
        <f>IFERROR(P1019*G1019,0)</f>
        <v/>
      </c>
    </row>
    <row r="1020">
      <c r="A1020" t="inlineStr">
        <is>
          <t>KAF200</t>
        </is>
      </c>
      <c r="B1020" t="inlineStr">
        <is>
          <t>KAF 200</t>
        </is>
      </c>
      <c r="C1020" t="inlineStr">
        <is>
          <t>FM - KAYITES</t>
        </is>
      </c>
      <c r="D1020" t="n">
        <v>24</v>
      </c>
      <c r="E1020" t="n">
        <v>0</v>
      </c>
      <c r="F1020" t="inlineStr"/>
      <c r="G1020" s="1" t="n">
        <v>0</v>
      </c>
      <c r="H1020" t="n">
        <v>9</v>
      </c>
      <c r="I1020" t="n">
        <v>0.5</v>
      </c>
      <c r="J1020" t="n">
        <v>1</v>
      </c>
      <c r="K1020" t="n">
        <v>1</v>
      </c>
      <c r="L1020" t="n">
        <v>0</v>
      </c>
      <c r="M1020" t="n">
        <v>0</v>
      </c>
      <c r="N1020" t="n">
        <v>2</v>
      </c>
      <c r="O1020" s="1">
        <f>IFERROR(L1020*G1020,0)</f>
        <v/>
      </c>
      <c r="P1020">
        <f>IF(N1020-L1020-M1020&gt;0,N1020-L1020-M1020,0)</f>
        <v/>
      </c>
      <c r="Q1020" s="1">
        <f>IFERROR(P1020*G1020,0)</f>
        <v/>
      </c>
    </row>
    <row r="1021">
      <c r="A1021" t="inlineStr">
        <is>
          <t>KAF250</t>
        </is>
      </c>
      <c r="B1021" t="inlineStr">
        <is>
          <t>KAF 250</t>
        </is>
      </c>
      <c r="C1021" t="inlineStr">
        <is>
          <t>FM - KAYITES</t>
        </is>
      </c>
      <c r="D1021" t="n">
        <v>22</v>
      </c>
      <c r="E1021" t="n">
        <v>0</v>
      </c>
      <c r="F1021" t="inlineStr"/>
      <c r="G1021" s="1" t="n">
        <v>0</v>
      </c>
      <c r="H1021" t="n">
        <v>2</v>
      </c>
      <c r="I1021" t="n">
        <v>0.5</v>
      </c>
      <c r="J1021" t="n">
        <v>1</v>
      </c>
      <c r="K1021" t="n">
        <v>1</v>
      </c>
      <c r="L1021" t="n">
        <v>0</v>
      </c>
      <c r="M1021" t="n">
        <v>0</v>
      </c>
      <c r="N1021" t="n">
        <v>2</v>
      </c>
      <c r="O1021" s="1">
        <f>IFERROR(L1021*G1021,0)</f>
        <v/>
      </c>
      <c r="P1021">
        <f>IF(N1021-L1021-M1021&gt;0,N1021-L1021-M1021,0)</f>
        <v/>
      </c>
      <c r="Q1021" s="1">
        <f>IFERROR(P1021*G1021,0)</f>
        <v/>
      </c>
    </row>
    <row r="1022">
      <c r="A1022" t="inlineStr">
        <is>
          <t>KAF315</t>
        </is>
      </c>
      <c r="B1022" t="inlineStr">
        <is>
          <t>KAF 315</t>
        </is>
      </c>
      <c r="C1022" t="inlineStr">
        <is>
          <t>FM - KAYITES</t>
        </is>
      </c>
      <c r="D1022" t="n">
        <v>2</v>
      </c>
      <c r="E1022" t="n">
        <v>0</v>
      </c>
      <c r="F1022" t="inlineStr"/>
      <c r="G1022" s="1" t="n">
        <v>0</v>
      </c>
      <c r="H1022" t="n">
        <v>3</v>
      </c>
      <c r="I1022" t="n">
        <v>0.5</v>
      </c>
      <c r="J1022" t="n">
        <v>1.5</v>
      </c>
      <c r="K1022" t="n">
        <v>1</v>
      </c>
      <c r="L1022" t="n">
        <v>0</v>
      </c>
      <c r="M1022" t="n">
        <v>0</v>
      </c>
      <c r="N1022" t="n">
        <v>4</v>
      </c>
      <c r="O1022" s="1">
        <f>IFERROR(L1022*G1022,0)</f>
        <v/>
      </c>
      <c r="P1022">
        <f>IF(N1022-L1022-M1022&gt;0,N1022-L1022-M1022,0)</f>
        <v/>
      </c>
      <c r="Q1022" s="1">
        <f>IFERROR(P1022*G1022,0)</f>
        <v/>
      </c>
    </row>
    <row r="1023">
      <c r="A1023" t="inlineStr">
        <is>
          <t>KAT 15/15 C2</t>
        </is>
      </c>
      <c r="B1023" t="inlineStr">
        <is>
          <t>TWIN BARE FAN 380/380 CW FCC</t>
        </is>
      </c>
      <c r="C1023" t="inlineStr"/>
      <c r="D1023" t="n">
        <v>1</v>
      </c>
      <c r="E1023" t="n">
        <v>1</v>
      </c>
      <c r="F1023" t="inlineStr">
        <is>
          <t>Air Movement Supplies</t>
        </is>
      </c>
      <c r="G1023" s="1" t="n">
        <v>10899</v>
      </c>
      <c r="H1023" t="n">
        <v>0</v>
      </c>
      <c r="I1023" t="n">
        <v>0.5</v>
      </c>
      <c r="J1023" t="n">
        <v>1</v>
      </c>
      <c r="K1023" t="n">
        <v>1</v>
      </c>
      <c r="L1023" t="n">
        <v>0</v>
      </c>
      <c r="M1023" t="n">
        <v>0</v>
      </c>
      <c r="N1023" t="n">
        <v>2</v>
      </c>
      <c r="O1023" s="1">
        <f>IFERROR(L1023*G1023,0)</f>
        <v/>
      </c>
      <c r="P1023">
        <f>IF(N1023-L1023-M1023&gt;0,N1023-L1023-M1023,0)</f>
        <v/>
      </c>
      <c r="Q1023" s="1">
        <f>IFERROR(P1023*G1023,0)</f>
        <v/>
      </c>
    </row>
    <row r="1024">
      <c r="A1024" t="inlineStr">
        <is>
          <t>KAZ120</t>
        </is>
      </c>
      <c r="B1024" t="inlineStr">
        <is>
          <t>KAZ 120</t>
        </is>
      </c>
      <c r="C1024" t="inlineStr">
        <is>
          <t>FM - KAYITES</t>
        </is>
      </c>
      <c r="D1024" t="n">
        <v>8</v>
      </c>
      <c r="E1024" t="n">
        <v>15</v>
      </c>
      <c r="F1024" t="inlineStr">
        <is>
          <t>Kayites</t>
        </is>
      </c>
      <c r="G1024" s="1" t="n">
        <v>479.32</v>
      </c>
      <c r="H1024" t="n">
        <v>2</v>
      </c>
      <c r="I1024" t="n">
        <v>0.5</v>
      </c>
      <c r="J1024" t="n">
        <v>2</v>
      </c>
      <c r="K1024" t="n">
        <v>1</v>
      </c>
      <c r="L1024" t="n">
        <v>0</v>
      </c>
      <c r="M1024" t="n">
        <v>0</v>
      </c>
      <c r="N1024" t="n">
        <v>5</v>
      </c>
      <c r="O1024" s="1">
        <f>IFERROR(L1024*G1024,0)</f>
        <v/>
      </c>
      <c r="P1024">
        <f>IF(N1024-L1024-M1024&gt;0,N1024-L1024-M1024,0)</f>
        <v/>
      </c>
      <c r="Q1024" s="1">
        <f>IFERROR(P1024*G1024,0)</f>
        <v/>
      </c>
    </row>
    <row r="1025">
      <c r="A1025" t="inlineStr">
        <is>
          <t>KAZ140</t>
        </is>
      </c>
      <c r="B1025" t="inlineStr">
        <is>
          <t>KAZ 140</t>
        </is>
      </c>
      <c r="C1025" t="inlineStr">
        <is>
          <t>FM - KAYITES</t>
        </is>
      </c>
      <c r="D1025" t="n">
        <v>34</v>
      </c>
      <c r="E1025" t="n">
        <v>15</v>
      </c>
      <c r="F1025" t="inlineStr">
        <is>
          <t>Kayites</t>
        </is>
      </c>
      <c r="G1025" s="1" t="n">
        <v>492.37</v>
      </c>
      <c r="H1025" t="n">
        <v>14</v>
      </c>
      <c r="I1025" t="n">
        <v>0.5</v>
      </c>
      <c r="J1025" t="n">
        <v>1</v>
      </c>
      <c r="K1025" t="n">
        <v>1</v>
      </c>
      <c r="L1025" t="n">
        <v>0</v>
      </c>
      <c r="M1025" t="n">
        <v>0</v>
      </c>
      <c r="N1025" t="n">
        <v>2</v>
      </c>
      <c r="O1025" s="1">
        <f>IFERROR(L1025*G1025,0)</f>
        <v/>
      </c>
      <c r="P1025">
        <f>IF(N1025-L1025-M1025&gt;0,N1025-L1025-M1025,0)</f>
        <v/>
      </c>
      <c r="Q1025" s="1">
        <f>IFERROR(P1025*G1025,0)</f>
        <v/>
      </c>
    </row>
    <row r="1026">
      <c r="A1026" t="inlineStr">
        <is>
          <t>KAZ160</t>
        </is>
      </c>
      <c r="B1026" t="inlineStr">
        <is>
          <t>KAZ 160</t>
        </is>
      </c>
      <c r="C1026" t="inlineStr">
        <is>
          <t>FM - KAYITES</t>
        </is>
      </c>
      <c r="D1026" t="n">
        <v>7</v>
      </c>
      <c r="E1026" t="n">
        <v>15</v>
      </c>
      <c r="F1026" t="inlineStr">
        <is>
          <t>Kayites</t>
        </is>
      </c>
      <c r="G1026" s="1" t="n">
        <v>555.49</v>
      </c>
      <c r="H1026" t="n">
        <v>0</v>
      </c>
      <c r="I1026" t="n">
        <v>0.5</v>
      </c>
      <c r="J1026" t="n">
        <v>2.5</v>
      </c>
      <c r="K1026" t="n">
        <v>1</v>
      </c>
      <c r="L1026" t="n">
        <v>0</v>
      </c>
      <c r="M1026" t="n">
        <v>0</v>
      </c>
      <c r="N1026" t="n">
        <v>6</v>
      </c>
      <c r="O1026" s="1">
        <f>IFERROR(L1026*G1026,0)</f>
        <v/>
      </c>
      <c r="P1026">
        <f>IF(N1026-L1026-M1026&gt;0,N1026-L1026-M1026,0)</f>
        <v/>
      </c>
      <c r="Q1026" s="1">
        <f>IFERROR(P1026*G1026,0)</f>
        <v/>
      </c>
    </row>
    <row r="1027">
      <c r="A1027" t="inlineStr">
        <is>
          <t>KDAXIS200</t>
        </is>
      </c>
      <c r="B1027" t="inlineStr">
        <is>
          <t>KDAXIS 200</t>
        </is>
      </c>
      <c r="C1027" t="inlineStr">
        <is>
          <t>FM - KAYITES</t>
        </is>
      </c>
      <c r="D1027" t="n">
        <v>30</v>
      </c>
      <c r="E1027" t="n">
        <v>50</v>
      </c>
      <c r="F1027" t="inlineStr">
        <is>
          <t>Kayites</t>
        </is>
      </c>
      <c r="G1027" s="1" t="n">
        <v>432.77</v>
      </c>
      <c r="H1027" t="n">
        <v>36</v>
      </c>
      <c r="I1027" t="n">
        <v>0.5</v>
      </c>
      <c r="J1027" t="n">
        <v>2</v>
      </c>
      <c r="K1027" t="n">
        <v>1</v>
      </c>
      <c r="L1027" t="n">
        <v>0</v>
      </c>
      <c r="M1027" t="n">
        <v>0</v>
      </c>
      <c r="N1027" t="n">
        <v>5</v>
      </c>
      <c r="O1027" s="1">
        <f>IFERROR(L1027*G1027,0)</f>
        <v/>
      </c>
      <c r="P1027">
        <f>IF(N1027-L1027-M1027&gt;0,N1027-L1027-M1027,0)</f>
        <v/>
      </c>
      <c r="Q1027" s="1">
        <f>IFERROR(P1027*G1027,0)</f>
        <v/>
      </c>
    </row>
    <row r="1028">
      <c r="A1028" t="inlineStr">
        <is>
          <t>KDAXIS250</t>
        </is>
      </c>
      <c r="B1028" t="inlineStr">
        <is>
          <t>KDAXIS 250</t>
        </is>
      </c>
      <c r="C1028" t="inlineStr">
        <is>
          <t>FM - KAYITES</t>
        </is>
      </c>
      <c r="D1028" t="n">
        <v>30</v>
      </c>
      <c r="E1028" t="n">
        <v>75</v>
      </c>
      <c r="F1028" t="inlineStr">
        <is>
          <t>Kayites</t>
        </is>
      </c>
      <c r="G1028" s="1" t="n">
        <v>538.3</v>
      </c>
      <c r="H1028" t="n">
        <v>65</v>
      </c>
      <c r="I1028" t="n">
        <v>0.5</v>
      </c>
      <c r="J1028" t="n">
        <v>2.5</v>
      </c>
      <c r="K1028" t="n">
        <v>1</v>
      </c>
      <c r="L1028" t="n">
        <v>0</v>
      </c>
      <c r="M1028" t="n">
        <v>0</v>
      </c>
      <c r="N1028" t="n">
        <v>6</v>
      </c>
      <c r="O1028" s="1">
        <f>IFERROR(L1028*G1028,0)</f>
        <v/>
      </c>
      <c r="P1028">
        <f>IF(N1028-L1028-M1028&gt;0,N1028-L1028-M1028,0)</f>
        <v/>
      </c>
      <c r="Q1028" s="1">
        <f>IFERROR(P1028*G1028,0)</f>
        <v/>
      </c>
    </row>
    <row r="1029">
      <c r="A1029" t="inlineStr">
        <is>
          <t>KDAXIS300</t>
        </is>
      </c>
      <c r="B1029" t="inlineStr">
        <is>
          <t>KDAXIS 300</t>
        </is>
      </c>
      <c r="C1029" t="inlineStr">
        <is>
          <t>FM - KAYITES</t>
        </is>
      </c>
      <c r="D1029" t="n">
        <v>29</v>
      </c>
      <c r="E1029" t="n">
        <v>70</v>
      </c>
      <c r="F1029" t="inlineStr">
        <is>
          <t>Kayites</t>
        </is>
      </c>
      <c r="G1029" s="1" t="n">
        <v>605.5</v>
      </c>
      <c r="H1029" t="n">
        <v>54</v>
      </c>
      <c r="I1029" t="n">
        <v>0.5</v>
      </c>
      <c r="J1029" t="n">
        <v>2.5</v>
      </c>
      <c r="K1029" t="n">
        <v>1</v>
      </c>
      <c r="L1029" t="n">
        <v>0</v>
      </c>
      <c r="M1029" t="n">
        <v>0</v>
      </c>
      <c r="N1029" t="n">
        <v>6</v>
      </c>
      <c r="O1029" s="1">
        <f>IFERROR(L1029*G1029,0)</f>
        <v/>
      </c>
      <c r="P1029">
        <f>IF(N1029-L1029-M1029&gt;0,N1029-L1029-M1029,0)</f>
        <v/>
      </c>
      <c r="Q1029" s="1">
        <f>IFERROR(P1029*G1029,0)</f>
        <v/>
      </c>
    </row>
    <row r="1030">
      <c r="A1030" t="inlineStr">
        <is>
          <t>KDAXIS350</t>
        </is>
      </c>
      <c r="B1030" t="inlineStr">
        <is>
          <t>KDAXIS 350</t>
        </is>
      </c>
      <c r="C1030" t="inlineStr">
        <is>
          <t>FM - KAYITES</t>
        </is>
      </c>
      <c r="D1030" t="n">
        <v>30</v>
      </c>
      <c r="E1030" t="n">
        <v>55</v>
      </c>
      <c r="F1030" t="inlineStr">
        <is>
          <t>Kayites</t>
        </is>
      </c>
      <c r="G1030" s="1" t="n">
        <v>672.8200000000001</v>
      </c>
      <c r="H1030" t="n">
        <v>42</v>
      </c>
      <c r="I1030" t="n">
        <v>0.6</v>
      </c>
      <c r="J1030" t="n">
        <v>2</v>
      </c>
      <c r="K1030" t="n">
        <v>1</v>
      </c>
      <c r="L1030" t="n">
        <v>0</v>
      </c>
      <c r="M1030" t="n">
        <v>0</v>
      </c>
      <c r="N1030" t="n">
        <v>5</v>
      </c>
      <c r="O1030" s="1">
        <f>IFERROR(L1030*G1030,0)</f>
        <v/>
      </c>
      <c r="P1030">
        <f>IF(N1030-L1030-M1030&gt;0,N1030-L1030-M1030,0)</f>
        <v/>
      </c>
      <c r="Q1030" s="1">
        <f>IFERROR(P1030*G1030,0)</f>
        <v/>
      </c>
    </row>
    <row r="1031">
      <c r="A1031" t="inlineStr">
        <is>
          <t>KDD 12/12-6-1</t>
        </is>
      </c>
      <c r="B1031" t="inlineStr">
        <is>
          <t>FAN KDD 12/12 517W 6P-1 3SY</t>
        </is>
      </c>
      <c r="C1031" t="inlineStr"/>
      <c r="D1031" t="n">
        <v>1</v>
      </c>
      <c r="E1031" t="n">
        <v>10</v>
      </c>
      <c r="F1031" t="inlineStr">
        <is>
          <t>Air Movement Supplies</t>
        </is>
      </c>
      <c r="G1031" s="1" t="n">
        <v>6088</v>
      </c>
      <c r="H1031" t="n">
        <v>0</v>
      </c>
      <c r="I1031" t="n">
        <v>0.5</v>
      </c>
      <c r="J1031" t="n">
        <v>10</v>
      </c>
      <c r="K1031" t="n">
        <v>5</v>
      </c>
      <c r="L1031" t="n">
        <v>0</v>
      </c>
      <c r="M1031" t="n">
        <v>0</v>
      </c>
      <c r="N1031" t="n">
        <v>25</v>
      </c>
      <c r="O1031" s="1">
        <f>IFERROR(L1031*G1031,0)</f>
        <v/>
      </c>
      <c r="P1031">
        <f>IF(N1031-L1031-M1031&gt;0,N1031-L1031-M1031,0)</f>
        <v/>
      </c>
      <c r="Q1031" s="1">
        <f>IFERROR(P1031*G1031,0)</f>
        <v/>
      </c>
    </row>
    <row r="1032">
      <c r="A1032" t="inlineStr">
        <is>
          <t>KHA50</t>
        </is>
      </c>
      <c r="B1032" t="inlineStr">
        <is>
          <t>Speed Controller</t>
        </is>
      </c>
      <c r="C1032" t="inlineStr"/>
      <c r="D1032" t="n">
        <v>1</v>
      </c>
      <c r="E1032" t="n">
        <v>0</v>
      </c>
      <c r="F1032" t="inlineStr"/>
      <c r="G1032" s="1" t="n">
        <v>0</v>
      </c>
      <c r="H1032" t="n">
        <v>4</v>
      </c>
      <c r="I1032" t="n">
        <v>0.5</v>
      </c>
      <c r="J1032" t="n">
        <v>4</v>
      </c>
      <c r="K1032" t="n">
        <v>2</v>
      </c>
      <c r="L1032" t="n">
        <v>0</v>
      </c>
      <c r="M1032" t="n">
        <v>0</v>
      </c>
      <c r="N1032" t="n">
        <v>10</v>
      </c>
      <c r="O1032" s="1">
        <f>IFERROR(L1032*G1032,0)</f>
        <v/>
      </c>
      <c r="P1032">
        <f>IF(N1032-L1032-M1032&gt;0,N1032-L1032-M1032,0)</f>
        <v/>
      </c>
      <c r="Q1032" s="1">
        <f>IFERROR(P1032*G1032,0)</f>
        <v/>
      </c>
    </row>
    <row r="1033">
      <c r="A1033" t="inlineStr">
        <is>
          <t>KSA4004M</t>
        </is>
      </c>
      <c r="B1033" t="inlineStr">
        <is>
          <t>KSA-400-4K-M-220V</t>
        </is>
      </c>
      <c r="C1033" t="inlineStr">
        <is>
          <t>FM - KAYITES</t>
        </is>
      </c>
      <c r="D1033" t="n">
        <v>30</v>
      </c>
      <c r="E1033" t="n">
        <v>10</v>
      </c>
      <c r="F1033" t="inlineStr">
        <is>
          <t>Kayites</t>
        </is>
      </c>
      <c r="G1033" s="1" t="n">
        <v>1520.58</v>
      </c>
      <c r="H1033" t="n">
        <v>13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3</v>
      </c>
      <c r="O1033" s="1">
        <f>IFERROR(L1033*G1033,0)</f>
        <v/>
      </c>
      <c r="P1033">
        <f>IF(N1033-L1033-M1033&gt;0,N1033-L1033-M1033,0)</f>
        <v/>
      </c>
      <c r="Q1033" s="1">
        <f>IFERROR(P1033*G1033,0)</f>
        <v/>
      </c>
    </row>
    <row r="1034">
      <c r="A1034" t="inlineStr">
        <is>
          <t>KSA4004T</t>
        </is>
      </c>
      <c r="B1034" t="inlineStr">
        <is>
          <t>KSA-400-4K-T-380V</t>
        </is>
      </c>
      <c r="C1034" t="inlineStr">
        <is>
          <t>FM - KAYITES</t>
        </is>
      </c>
      <c r="D1034" t="n">
        <v>27</v>
      </c>
      <c r="E1034" t="n">
        <v>10</v>
      </c>
      <c r="F1034" t="inlineStr">
        <is>
          <t>Kayites</t>
        </is>
      </c>
      <c r="G1034" s="1" t="n">
        <v>1520.58</v>
      </c>
      <c r="H1034" t="n">
        <v>9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3</v>
      </c>
      <c r="O1034" s="1">
        <f>IFERROR(L1034*G1034,0)</f>
        <v/>
      </c>
      <c r="P1034">
        <f>IF(N1034-L1034-M1034&gt;0,N1034-L1034-M1034,0)</f>
        <v/>
      </c>
      <c r="Q1034" s="1">
        <f>IFERROR(P1034*G1034,0)</f>
        <v/>
      </c>
    </row>
    <row r="1035">
      <c r="A1035" t="inlineStr">
        <is>
          <t>KSA4504T</t>
        </is>
      </c>
      <c r="B1035" t="inlineStr">
        <is>
          <t>KSA-450-4K-T-380V</t>
        </is>
      </c>
      <c r="C1035" t="inlineStr">
        <is>
          <t>FM - KAYITES</t>
        </is>
      </c>
      <c r="D1035" t="n">
        <v>28</v>
      </c>
      <c r="E1035" t="n">
        <v>0</v>
      </c>
      <c r="F1035" t="inlineStr"/>
      <c r="G1035" s="1" t="n">
        <v>0</v>
      </c>
      <c r="H1035" t="n">
        <v>4</v>
      </c>
      <c r="I1035" t="n">
        <v>0.5</v>
      </c>
      <c r="J1035" t="n">
        <v>1</v>
      </c>
      <c r="K1035" t="n">
        <v>1</v>
      </c>
      <c r="L1035" t="n">
        <v>0</v>
      </c>
      <c r="M1035" t="n">
        <v>0</v>
      </c>
      <c r="N1035" t="n">
        <v>2</v>
      </c>
      <c r="O1035" s="1">
        <f>IFERROR(L1035*G1035,0)</f>
        <v/>
      </c>
      <c r="P1035">
        <f>IF(N1035-L1035-M1035&gt;0,N1035-L1035-M1035,0)</f>
        <v/>
      </c>
      <c r="Q1035" s="1">
        <f>IFERROR(P1035*G1035,0)</f>
        <v/>
      </c>
    </row>
    <row r="1036">
      <c r="A1036" t="inlineStr">
        <is>
          <t>KSA5004M</t>
        </is>
      </c>
      <c r="B1036" t="inlineStr">
        <is>
          <t>KSA-500-4K-M-220V</t>
        </is>
      </c>
      <c r="C1036" t="inlineStr">
        <is>
          <t>FM - KAYITES</t>
        </is>
      </c>
      <c r="D1036" t="n">
        <v>9</v>
      </c>
      <c r="E1036" t="n">
        <v>5</v>
      </c>
      <c r="F1036" t="inlineStr">
        <is>
          <t>Kayites</t>
        </is>
      </c>
      <c r="G1036" s="1" t="n">
        <v>1547.46</v>
      </c>
      <c r="H1036" t="n">
        <v>8</v>
      </c>
      <c r="I1036" t="n">
        <v>0.6</v>
      </c>
      <c r="J1036" t="n">
        <v>1</v>
      </c>
      <c r="K1036" t="n">
        <v>1</v>
      </c>
      <c r="L1036" t="n">
        <v>0</v>
      </c>
      <c r="M1036" t="n">
        <v>0</v>
      </c>
      <c r="N1036" t="n">
        <v>3</v>
      </c>
      <c r="O1036" s="1">
        <f>IFERROR(L1036*G1036,0)</f>
        <v/>
      </c>
      <c r="P1036">
        <f>IF(N1036-L1036-M1036&gt;0,N1036-L1036-M1036,0)</f>
        <v/>
      </c>
      <c r="Q1036" s="1">
        <f>IFERROR(P1036*G1036,0)</f>
        <v/>
      </c>
    </row>
    <row r="1037">
      <c r="A1037" t="inlineStr">
        <is>
          <t>KSA5004T</t>
        </is>
      </c>
      <c r="B1037" t="inlineStr">
        <is>
          <t>KSA-500-4K-T-380V</t>
        </is>
      </c>
      <c r="C1037" t="inlineStr">
        <is>
          <t>FM - KAYITES</t>
        </is>
      </c>
      <c r="D1037" t="n">
        <v>23</v>
      </c>
      <c r="E1037" t="n">
        <v>5</v>
      </c>
      <c r="F1037" t="inlineStr">
        <is>
          <t>Kayites</t>
        </is>
      </c>
      <c r="G1037" s="1" t="n">
        <v>928.48</v>
      </c>
      <c r="H1037" t="n">
        <v>10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n">
        <v>3</v>
      </c>
      <c r="O1037" s="1">
        <f>IFERROR(L1037*G1037,0)</f>
        <v/>
      </c>
      <c r="P1037">
        <f>IF(N1037-L1037-M1037&gt;0,N1037-L1037-M1037,0)</f>
        <v/>
      </c>
      <c r="Q1037" s="1">
        <f>IFERROR(P1037*G1037,0)</f>
        <v/>
      </c>
    </row>
    <row r="1038">
      <c r="A1038" t="inlineStr">
        <is>
          <t>KSA6004T</t>
        </is>
      </c>
      <c r="B1038" t="inlineStr">
        <is>
          <t>KSA-600-4K-T-380V</t>
        </is>
      </c>
      <c r="C1038" t="inlineStr">
        <is>
          <t>FM - KAYITES</t>
        </is>
      </c>
      <c r="D1038" t="n">
        <v>5</v>
      </c>
      <c r="E1038" t="n">
        <v>0</v>
      </c>
      <c r="F1038" t="inlineStr">
        <is>
          <t>Kayites</t>
        </is>
      </c>
      <c r="G1038" s="1" t="n">
        <v>0</v>
      </c>
      <c r="H1038" t="n">
        <v>4</v>
      </c>
      <c r="I1038" t="n">
        <v>0.5</v>
      </c>
      <c r="J1038" t="n">
        <v>1</v>
      </c>
      <c r="K1038" t="n">
        <v>1</v>
      </c>
      <c r="L1038" t="n">
        <v>0</v>
      </c>
      <c r="M1038" t="n">
        <v>0</v>
      </c>
      <c r="N1038" t="n">
        <v>2</v>
      </c>
      <c r="O1038" s="1">
        <f>IFERROR(L1038*G1038,0)</f>
        <v/>
      </c>
      <c r="P1038">
        <f>IF(N1038-L1038-M1038&gt;0,N1038-L1038-M1038,0)</f>
        <v/>
      </c>
      <c r="Q1038" s="1">
        <f>IFERROR(P1038*G1038,0)</f>
        <v/>
      </c>
    </row>
    <row r="1039">
      <c r="A1039" t="inlineStr">
        <is>
          <t>KSB 150</t>
        </is>
      </c>
      <c r="B1039" t="inlineStr">
        <is>
          <t>INLINE SILENT FAN</t>
        </is>
      </c>
      <c r="C1039" t="inlineStr"/>
      <c r="D1039" t="n">
        <v>1</v>
      </c>
      <c r="E1039" t="n">
        <v>0</v>
      </c>
      <c r="F1039" t="inlineStr"/>
      <c r="G1039" s="1" t="n">
        <v>0</v>
      </c>
      <c r="H1039" t="n">
        <v>6</v>
      </c>
      <c r="I1039" t="n">
        <v>0.5</v>
      </c>
      <c r="J1039" t="n">
        <v>6</v>
      </c>
      <c r="K1039" t="n">
        <v>3</v>
      </c>
      <c r="L1039" t="n">
        <v>0</v>
      </c>
      <c r="M1039" t="n">
        <v>0</v>
      </c>
      <c r="N1039" t="n">
        <v>15</v>
      </c>
      <c r="O1039" s="1">
        <f>IFERROR(L1039*G1039,0)</f>
        <v/>
      </c>
      <c r="P1039">
        <f>IF(N1039-L1039-M1039&gt;0,N1039-L1039-M1039,0)</f>
        <v/>
      </c>
      <c r="Q1039" s="1">
        <f>IFERROR(P1039*G1039,0)</f>
        <v/>
      </c>
    </row>
    <row r="1040">
      <c r="A1040" t="inlineStr">
        <is>
          <t>KSB250</t>
        </is>
      </c>
      <c r="B1040" t="inlineStr">
        <is>
          <t>KSB250</t>
        </is>
      </c>
      <c r="C1040" t="inlineStr">
        <is>
          <t>Vents</t>
        </is>
      </c>
      <c r="D1040" t="n">
        <v>57</v>
      </c>
      <c r="E1040" t="n">
        <v>0</v>
      </c>
      <c r="F1040" t="inlineStr"/>
      <c r="G1040" s="1" t="n">
        <v>1922.9</v>
      </c>
      <c r="H1040" t="n">
        <v>28</v>
      </c>
      <c r="I1040" t="n">
        <v>0.5</v>
      </c>
      <c r="J1040" t="n">
        <v>1</v>
      </c>
      <c r="K1040" t="n">
        <v>1</v>
      </c>
      <c r="L1040" t="n">
        <v>0</v>
      </c>
      <c r="M1040" t="n">
        <v>0</v>
      </c>
      <c r="N1040" t="n">
        <v>2</v>
      </c>
      <c r="O1040" s="1">
        <f>IFERROR(L1040*G1040,0)</f>
        <v/>
      </c>
      <c r="P1040">
        <f>IF(N1040-L1040-M1040&gt;0,N1040-L1040-M1040,0)</f>
        <v/>
      </c>
      <c r="Q1040" s="1">
        <f>IFERROR(P1040*G1040,0)</f>
        <v/>
      </c>
    </row>
    <row r="1041">
      <c r="A1041" t="inlineStr">
        <is>
          <t>KUL</t>
        </is>
      </c>
      <c r="B1041" t="inlineStr">
        <is>
          <t>1/200 X 200 back draft damper</t>
        </is>
      </c>
      <c r="C1041" t="inlineStr"/>
      <c r="D1041" t="n">
        <v>1</v>
      </c>
      <c r="E1041" t="n">
        <v>30</v>
      </c>
      <c r="F1041" t="inlineStr">
        <is>
          <t>TROX South Africa (Pty) Ltd</t>
        </is>
      </c>
      <c r="G1041" s="1" t="n">
        <v>900</v>
      </c>
      <c r="H1041" t="n">
        <v>0</v>
      </c>
      <c r="I1041" t="n">
        <v>0.5</v>
      </c>
      <c r="J1041" t="n">
        <v>30</v>
      </c>
      <c r="K1041" t="n">
        <v>15</v>
      </c>
      <c r="L1041" t="n">
        <v>0</v>
      </c>
      <c r="M1041" t="n">
        <v>0</v>
      </c>
      <c r="N1041" t="n">
        <v>75</v>
      </c>
      <c r="O1041" s="1">
        <f>IFERROR(L1041*G1041,0)</f>
        <v/>
      </c>
      <c r="P1041">
        <f>IF(N1041-L1041-M1041&gt;0,N1041-L1041-M1041,0)</f>
        <v/>
      </c>
      <c r="Q1041" s="1">
        <f>IFERROR(P1041*G1041,0)</f>
        <v/>
      </c>
    </row>
    <row r="1042">
      <c r="A1042" t="inlineStr">
        <is>
          <t>Keep-plate5mmOD</t>
        </is>
      </c>
      <c r="B1042" t="inlineStr">
        <is>
          <t>Keep Plate 5mm OD. 42mm, ID. 6mm</t>
        </is>
      </c>
      <c r="C1042" t="inlineStr"/>
      <c r="D1042" t="n">
        <v>1</v>
      </c>
      <c r="E1042" t="n">
        <v>252</v>
      </c>
      <c r="F1042" t="inlineStr">
        <is>
          <t>Attenu-Tec HVAC Parts</t>
        </is>
      </c>
      <c r="G1042" s="1" t="n">
        <v>4.73</v>
      </c>
      <c r="H1042" t="n">
        <v>0</v>
      </c>
      <c r="I1042" t="n">
        <v>0.5</v>
      </c>
      <c r="J1042" t="n">
        <v>252</v>
      </c>
      <c r="K1042" t="n">
        <v>126</v>
      </c>
      <c r="L1042" t="n">
        <v>0</v>
      </c>
      <c r="M1042" t="n">
        <v>0</v>
      </c>
      <c r="N1042" t="n">
        <v>630</v>
      </c>
      <c r="O1042" s="1">
        <f>IFERROR(L1042*G1042,0)</f>
        <v/>
      </c>
      <c r="P1042">
        <f>IF(N1042-L1042-M1042&gt;0,N1042-L1042-M1042,0)</f>
        <v/>
      </c>
      <c r="Q1042" s="1">
        <f>IFERROR(P1042*G1042,0)</f>
        <v/>
      </c>
    </row>
    <row r="1043">
      <c r="A1043" t="inlineStr">
        <is>
          <t>Kilometer</t>
        </is>
      </c>
      <c r="B1043" t="inlineStr">
        <is>
          <t>Travelled Kilometers</t>
        </is>
      </c>
      <c r="C1043" t="inlineStr">
        <is>
          <t>FM - MACHINERY</t>
        </is>
      </c>
      <c r="D1043" t="n">
        <v>1</v>
      </c>
      <c r="E1043" t="n">
        <v>200</v>
      </c>
      <c r="F1043" t="inlineStr">
        <is>
          <t>Lime Laser service</t>
        </is>
      </c>
      <c r="G1043" s="1" t="n">
        <v>7</v>
      </c>
      <c r="H1043" t="n">
        <v>0</v>
      </c>
      <c r="I1043" t="n">
        <v>0.5</v>
      </c>
      <c r="J1043" t="n">
        <v>200</v>
      </c>
      <c r="K1043" t="n">
        <v>100</v>
      </c>
      <c r="L1043" t="n">
        <v>0</v>
      </c>
      <c r="M1043" t="n">
        <v>0</v>
      </c>
      <c r="N1043" t="n">
        <v>500</v>
      </c>
      <c r="O1043" s="1">
        <f>IFERROR(L1043*G1043,0)</f>
        <v/>
      </c>
      <c r="P1043">
        <f>IF(N1043-L1043-M1043&gt;0,N1043-L1043-M1043,0)</f>
        <v/>
      </c>
      <c r="Q1043" s="1">
        <f>IFERROR(P1043*G1043,0)</f>
        <v/>
      </c>
    </row>
    <row r="1044">
      <c r="A1044" t="inlineStr">
        <is>
          <t>L10101250</t>
        </is>
      </c>
      <c r="B1044" t="inlineStr">
        <is>
          <t>CA 250 VO In-Line Tube Fan Plastic Casing</t>
        </is>
      </c>
      <c r="C1044" t="inlineStr">
        <is>
          <t>FM - VORTICE</t>
        </is>
      </c>
      <c r="D1044" t="n">
        <v>1</v>
      </c>
      <c r="E1044" t="n">
        <v>0</v>
      </c>
      <c r="F1044" t="inlineStr"/>
      <c r="G1044" s="1" t="n">
        <v>0</v>
      </c>
      <c r="H1044" t="n">
        <v>1</v>
      </c>
      <c r="I1044" t="n">
        <v>0.5</v>
      </c>
      <c r="J1044" t="n">
        <v>1</v>
      </c>
      <c r="K1044" t="n">
        <v>1</v>
      </c>
      <c r="L1044" t="n">
        <v>0</v>
      </c>
      <c r="M1044" t="n">
        <v>0</v>
      </c>
      <c r="N1044" t="n">
        <v>2</v>
      </c>
      <c r="O1044" s="1">
        <f>IFERROR(L1044*G1044,0)</f>
        <v/>
      </c>
      <c r="P1044">
        <f>IF(N1044-L1044-M1044&gt;0,N1044-L1044-M1044,0)</f>
        <v/>
      </c>
      <c r="Q1044" s="1">
        <f>IFERROR(P1044*G1044,0)</f>
        <v/>
      </c>
    </row>
    <row r="1045">
      <c r="A1045" t="inlineStr">
        <is>
          <t>L10101317</t>
        </is>
      </c>
      <c r="B1045" t="inlineStr">
        <is>
          <t>CA 355</t>
        </is>
      </c>
      <c r="C1045" t="inlineStr">
        <is>
          <t>FM - VORTICE</t>
        </is>
      </c>
      <c r="D1045" t="n">
        <v>1</v>
      </c>
      <c r="E1045" t="n">
        <v>0</v>
      </c>
      <c r="F1045" t="inlineStr"/>
      <c r="G1045" s="1" t="n">
        <v>0</v>
      </c>
      <c r="H1045" t="n">
        <v>1</v>
      </c>
      <c r="I1045" t="n">
        <v>0.5</v>
      </c>
      <c r="J1045" t="n">
        <v>1</v>
      </c>
      <c r="K1045" t="n">
        <v>1</v>
      </c>
      <c r="L1045" t="n">
        <v>0</v>
      </c>
      <c r="M1045" t="n">
        <v>0</v>
      </c>
      <c r="N1045" t="n">
        <v>2</v>
      </c>
      <c r="O1045" s="1">
        <f>IFERROR(L1045*G1045,0)</f>
        <v/>
      </c>
      <c r="P1045">
        <f>IF(N1045-L1045-M1045&gt;0,N1045-L1045-M1045,0)</f>
        <v/>
      </c>
      <c r="Q1045" s="1">
        <f>IFERROR(P1045*G1045,0)</f>
        <v/>
      </c>
    </row>
    <row r="1046">
      <c r="A1046" t="inlineStr">
        <is>
          <t>L20300630</t>
        </is>
      </c>
      <c r="B1046" t="inlineStr">
        <is>
          <t>24 - 630mm Louvre Shutter Size 756 X 756</t>
        </is>
      </c>
      <c r="C1046" t="inlineStr"/>
      <c r="D1046" t="n">
        <v>2</v>
      </c>
      <c r="E1046" t="n">
        <v>0</v>
      </c>
      <c r="F1046" t="inlineStr"/>
      <c r="G1046" s="1" t="n">
        <v>0</v>
      </c>
      <c r="H1046" t="n">
        <v>2</v>
      </c>
      <c r="I1046" t="n">
        <v>0.5</v>
      </c>
      <c r="J1046" t="n">
        <v>1</v>
      </c>
      <c r="K1046" t="n">
        <v>1</v>
      </c>
      <c r="L1046" t="n">
        <v>0</v>
      </c>
      <c r="M1046" t="n">
        <v>0</v>
      </c>
      <c r="N1046" t="n">
        <v>2</v>
      </c>
      <c r="O1046" s="1">
        <f>IFERROR(L1046*G1046,0)</f>
        <v/>
      </c>
      <c r="P1046">
        <f>IF(N1046-L1046-M1046&gt;0,N1046-L1046-M1046,0)</f>
        <v/>
      </c>
      <c r="Q1046" s="1">
        <f>IFERROR(P1046*G1046,0)</f>
        <v/>
      </c>
    </row>
    <row r="1047">
      <c r="A1047" t="inlineStr">
        <is>
          <t>LASER CUTTING-255</t>
        </is>
      </c>
      <c r="B1047" t="inlineStr">
        <is>
          <t>255 x 298 x 5mm</t>
        </is>
      </c>
      <c r="C1047" t="inlineStr"/>
      <c r="D1047" t="n">
        <v>1</v>
      </c>
      <c r="E1047" t="n">
        <v>2</v>
      </c>
      <c r="F1047" t="inlineStr">
        <is>
          <t>ULTIMATENG (PTY) LTD</t>
        </is>
      </c>
      <c r="G1047" s="1" t="n">
        <v>81.98999999999999</v>
      </c>
      <c r="H1047" t="n">
        <v>0</v>
      </c>
      <c r="I1047" t="n">
        <v>0.5</v>
      </c>
      <c r="J1047" t="n">
        <v>2</v>
      </c>
      <c r="K1047" t="n">
        <v>1</v>
      </c>
      <c r="L1047" t="n">
        <v>0</v>
      </c>
      <c r="M1047" t="n">
        <v>0</v>
      </c>
      <c r="N1047" t="n">
        <v>5</v>
      </c>
      <c r="O1047" s="1">
        <f>IFERROR(L1047*G1047,0)</f>
        <v/>
      </c>
      <c r="P1047">
        <f>IF(N1047-L1047-M1047&gt;0,N1047-L1047-M1047,0)</f>
        <v/>
      </c>
      <c r="Q1047" s="1">
        <f>IFERROR(P1047*G1047,0)</f>
        <v/>
      </c>
    </row>
    <row r="1048">
      <c r="A1048" t="inlineStr">
        <is>
          <t>LASER CUTTING-775</t>
        </is>
      </c>
      <c r="B1048" t="inlineStr">
        <is>
          <t>775 x 225 x 5mm</t>
        </is>
      </c>
      <c r="C1048" t="inlineStr">
        <is>
          <t>FM - FABRICATION</t>
        </is>
      </c>
      <c r="D1048" t="n">
        <v>1</v>
      </c>
      <c r="E1048" t="n">
        <v>2</v>
      </c>
      <c r="F1048" t="inlineStr">
        <is>
          <t>ULTIMATENG (PTY) LTD</t>
        </is>
      </c>
      <c r="G1048" s="1" t="n">
        <v>217.32</v>
      </c>
      <c r="H1048" t="n">
        <v>0</v>
      </c>
      <c r="I1048" t="n">
        <v>0.5</v>
      </c>
      <c r="J1048" t="n">
        <v>2</v>
      </c>
      <c r="K1048" t="n">
        <v>1</v>
      </c>
      <c r="L1048" t="n">
        <v>0</v>
      </c>
      <c r="M1048" t="n">
        <v>0</v>
      </c>
      <c r="N1048" t="n">
        <v>5</v>
      </c>
      <c r="O1048" s="1">
        <f>IFERROR(L1048*G1048,0)</f>
        <v/>
      </c>
      <c r="P1048">
        <f>IF(N1048-L1048-M1048&gt;0,N1048-L1048-M1048,0)</f>
        <v/>
      </c>
      <c r="Q1048" s="1">
        <f>IFERROR(P1048*G1048,0)</f>
        <v/>
      </c>
    </row>
    <row r="1049">
      <c r="A1049" t="inlineStr">
        <is>
          <t>LCE 250</t>
        </is>
      </c>
      <c r="B1049" t="inlineStr">
        <is>
          <t>Extractor Ceiling Fan 250mm 220v</t>
        </is>
      </c>
      <c r="C1049" t="inlineStr"/>
      <c r="D1049" t="n">
        <v>5</v>
      </c>
      <c r="E1049" t="n">
        <v>20</v>
      </c>
      <c r="F1049" t="inlineStr">
        <is>
          <t>Luft Industries Natal (Pty) Ltd</t>
        </is>
      </c>
      <c r="G1049" s="1" t="n">
        <v>344</v>
      </c>
      <c r="H1049" t="n">
        <v>2</v>
      </c>
      <c r="I1049" t="n">
        <v>0.7</v>
      </c>
      <c r="J1049" t="n">
        <v>4</v>
      </c>
      <c r="K1049" t="n">
        <v>3</v>
      </c>
      <c r="L1049" t="n">
        <v>0</v>
      </c>
      <c r="M1049" t="n">
        <v>0</v>
      </c>
      <c r="N1049" t="n">
        <v>11</v>
      </c>
      <c r="O1049" s="1">
        <f>IFERROR(L1049*G1049,0)</f>
        <v/>
      </c>
      <c r="P1049">
        <f>IF(N1049-L1049-M1049&gt;0,N1049-L1049-M1049,0)</f>
        <v/>
      </c>
      <c r="Q1049" s="1">
        <f>IFERROR(P1049*G1049,0)</f>
        <v/>
      </c>
    </row>
    <row r="1050">
      <c r="A1050" t="inlineStr">
        <is>
          <t>LDA9B710</t>
        </is>
      </c>
      <c r="B1050" t="inlineStr">
        <is>
          <t>LDA9B - Allumium bladed Impeller - Form B to suit 1.1kw 4Pole motor</t>
        </is>
      </c>
      <c r="C1050" t="inlineStr">
        <is>
          <t>FM - CFW FANS</t>
        </is>
      </c>
      <c r="D1050" t="n">
        <v>1</v>
      </c>
      <c r="E1050" t="n">
        <v>4</v>
      </c>
      <c r="F1050" t="inlineStr">
        <is>
          <t>CFW Fans (Pty) Ltd</t>
        </is>
      </c>
      <c r="G1050" s="1" t="n">
        <v>1737</v>
      </c>
      <c r="H1050" t="n">
        <v>2</v>
      </c>
      <c r="I1050" t="n">
        <v>0.6</v>
      </c>
      <c r="J1050" t="n">
        <v>4</v>
      </c>
      <c r="K1050" t="n">
        <v>2</v>
      </c>
      <c r="L1050" t="n">
        <v>0</v>
      </c>
      <c r="M1050" t="n">
        <v>0</v>
      </c>
      <c r="N1050" t="n">
        <v>10</v>
      </c>
      <c r="O1050" s="1">
        <f>IFERROR(L1050*G1050,0)</f>
        <v/>
      </c>
      <c r="P1050">
        <f>IF(N1050-L1050-M1050&gt;0,N1050-L1050-M1050,0)</f>
        <v/>
      </c>
      <c r="Q1050" s="1">
        <f>IFERROR(P1050*G1050,0)</f>
        <v/>
      </c>
    </row>
    <row r="1051">
      <c r="A1051" t="inlineStr">
        <is>
          <t>LDP 560/250/12/1440/</t>
        </is>
      </c>
      <c r="B1051" t="inlineStr">
        <is>
          <t>Form B - Blade Angle 15 Deg</t>
        </is>
      </c>
      <c r="C1051" t="inlineStr"/>
      <c r="D1051" t="n">
        <v>1</v>
      </c>
      <c r="E1051" t="n">
        <v>3</v>
      </c>
      <c r="F1051" t="inlineStr">
        <is>
          <t>CFW Fans (Pty) Ltd</t>
        </is>
      </c>
      <c r="G1051" s="1" t="n">
        <v>1729</v>
      </c>
      <c r="H1051" t="n">
        <v>0</v>
      </c>
      <c r="I1051" t="n">
        <v>0.8</v>
      </c>
      <c r="J1051" t="n">
        <v>3</v>
      </c>
      <c r="K1051" t="n">
        <v>2</v>
      </c>
      <c r="L1051" t="n">
        <v>0</v>
      </c>
      <c r="M1051" t="n">
        <v>0</v>
      </c>
      <c r="N1051" t="n">
        <v>8</v>
      </c>
      <c r="O1051" s="1">
        <f>IFERROR(L1051*G1051,0)</f>
        <v/>
      </c>
      <c r="P1051">
        <f>IF(N1051-L1051-M1051&gt;0,N1051-L1051-M1051,0)</f>
        <v/>
      </c>
      <c r="Q1051" s="1">
        <f>IFERROR(P1051*G1051,0)</f>
        <v/>
      </c>
    </row>
    <row r="1052">
      <c r="A1052" t="inlineStr">
        <is>
          <t>LEGESSS-COT135-100-03-M</t>
        </is>
      </c>
      <c r="B1052" t="inlineStr">
        <is>
          <t>LEGENDARY SHORT SLEEVE SHIRT BLUE M</t>
        </is>
      </c>
      <c r="C1052" t="inlineStr"/>
      <c r="D1052" t="n">
        <v>1</v>
      </c>
      <c r="E1052" t="n">
        <v>1</v>
      </c>
      <c r="F1052" t="inlineStr">
        <is>
          <t>Workwear Depot (Pty)Ltd</t>
        </is>
      </c>
      <c r="G1052" s="1" t="n">
        <v>520.87</v>
      </c>
      <c r="H1052" t="n">
        <v>0</v>
      </c>
      <c r="I1052" t="n">
        <v>0.5</v>
      </c>
      <c r="J1052" t="n">
        <v>1</v>
      </c>
      <c r="K1052" t="n">
        <v>1</v>
      </c>
      <c r="L1052" t="n">
        <v>0</v>
      </c>
      <c r="M1052" t="n">
        <v>0</v>
      </c>
      <c r="N1052" t="n">
        <v>2</v>
      </c>
      <c r="O1052" s="1">
        <f>IFERROR(L1052*G1052,0)</f>
        <v/>
      </c>
      <c r="P1052">
        <f>IF(N1052-L1052-M1052&gt;0,N1052-L1052-M1052,0)</f>
        <v/>
      </c>
      <c r="Q1052" s="1">
        <f>IFERROR(P1052*G1052,0)</f>
        <v/>
      </c>
    </row>
    <row r="1053">
      <c r="A1053" t="inlineStr">
        <is>
          <t>LEGESSS-COT135-101-03-M</t>
        </is>
      </c>
      <c r="B1053" t="inlineStr">
        <is>
          <t>LEGENDARY SHORT SLEEVE SHIRT NAVY M</t>
        </is>
      </c>
      <c r="C1053" t="inlineStr"/>
      <c r="D1053" t="n">
        <v>1</v>
      </c>
      <c r="E1053" t="n">
        <v>3</v>
      </c>
      <c r="F1053" t="inlineStr">
        <is>
          <t>Workwear Depot (Pty)Ltd</t>
        </is>
      </c>
      <c r="G1053" s="1" t="n">
        <v>520.87</v>
      </c>
      <c r="H1053" t="n">
        <v>0</v>
      </c>
      <c r="I1053" t="n">
        <v>0.5</v>
      </c>
      <c r="J1053" t="n">
        <v>3</v>
      </c>
      <c r="K1053" t="n">
        <v>2</v>
      </c>
      <c r="L1053" t="n">
        <v>0</v>
      </c>
      <c r="M1053" t="n">
        <v>0</v>
      </c>
      <c r="N1053" t="n">
        <v>8</v>
      </c>
      <c r="O1053" s="1">
        <f>IFERROR(L1053*G1053,0)</f>
        <v/>
      </c>
      <c r="P1053">
        <f>IF(N1053-L1053-M1053&gt;0,N1053-L1053-M1053,0)</f>
        <v/>
      </c>
      <c r="Q1053" s="1">
        <f>IFERROR(P1053*G1053,0)</f>
        <v/>
      </c>
    </row>
    <row r="1054">
      <c r="A1054" t="inlineStr">
        <is>
          <t>LEGESSS-COT135-914-04-L</t>
        </is>
      </c>
      <c r="B1054" t="inlineStr">
        <is>
          <t>LEGENDARY SHORT SLEEVE SHIRT FATIGUE L</t>
        </is>
      </c>
      <c r="C1054" t="inlineStr"/>
      <c r="D1054" t="n">
        <v>1</v>
      </c>
      <c r="E1054" t="n">
        <v>1</v>
      </c>
      <c r="F1054" t="inlineStr">
        <is>
          <t>Workwear Depot (Pty)Ltd</t>
        </is>
      </c>
      <c r="G1054" s="1" t="n">
        <v>520.87</v>
      </c>
      <c r="H1054" t="n">
        <v>0</v>
      </c>
      <c r="I1054" t="n">
        <v>0.5</v>
      </c>
      <c r="J1054" t="n">
        <v>1</v>
      </c>
      <c r="K1054" t="n">
        <v>1</v>
      </c>
      <c r="L1054" t="n">
        <v>0</v>
      </c>
      <c r="M1054" t="n">
        <v>0</v>
      </c>
      <c r="N1054" t="n">
        <v>2</v>
      </c>
      <c r="O1054" s="1">
        <f>IFERROR(L1054*G1054,0)</f>
        <v/>
      </c>
      <c r="P1054">
        <f>IF(N1054-L1054-M1054&gt;0,N1054-L1054-M1054,0)</f>
        <v/>
      </c>
      <c r="Q1054" s="1">
        <f>IFERROR(P1054*G1054,0)</f>
        <v/>
      </c>
    </row>
    <row r="1055">
      <c r="A1055" t="inlineStr">
        <is>
          <t>LEGESSS-MCNAST-M45-03-M</t>
        </is>
      </c>
      <c r="B1055" t="inlineStr">
        <is>
          <t>LEGENDARY TWO-TONE SHORT SLEEVE SHIRT - NAVY/STONE M</t>
        </is>
      </c>
      <c r="C1055" t="inlineStr"/>
      <c r="D1055" t="n">
        <v>1</v>
      </c>
      <c r="E1055" t="n">
        <v>4</v>
      </c>
      <c r="F1055" t="inlineStr">
        <is>
          <t>Workwear Depot (Pty)Ltd</t>
        </is>
      </c>
      <c r="G1055" s="1" t="n">
        <v>520.87</v>
      </c>
      <c r="H1055" t="n">
        <v>0</v>
      </c>
      <c r="I1055" t="n">
        <v>0.5</v>
      </c>
      <c r="J1055" t="n">
        <v>4</v>
      </c>
      <c r="K1055" t="n">
        <v>2</v>
      </c>
      <c r="L1055" t="n">
        <v>0</v>
      </c>
      <c r="M1055" t="n">
        <v>0</v>
      </c>
      <c r="N1055" t="n">
        <v>10</v>
      </c>
      <c r="O1055" s="1">
        <f>IFERROR(L1055*G1055,0)</f>
        <v/>
      </c>
      <c r="P1055">
        <f>IF(N1055-L1055-M1055&gt;0,N1055-L1055-M1055,0)</f>
        <v/>
      </c>
      <c r="Q1055" s="1">
        <f>IFERROR(P1055*G1055,0)</f>
        <v/>
      </c>
    </row>
    <row r="1056">
      <c r="A1056" t="inlineStr">
        <is>
          <t>LEGESSS-MCNAST-M45-04-L</t>
        </is>
      </c>
      <c r="B1056" t="inlineStr">
        <is>
          <t>LEGENDARY TWO-TONE SHORT SLEEVE SHIRT NAVY/STONE L</t>
        </is>
      </c>
      <c r="C1056" t="inlineStr"/>
      <c r="D1056" t="n">
        <v>1</v>
      </c>
      <c r="E1056" t="n">
        <v>1</v>
      </c>
      <c r="F1056" t="inlineStr">
        <is>
          <t>Workwear Depot (Pty)Ltd</t>
        </is>
      </c>
      <c r="G1056" s="1" t="n">
        <v>520.87</v>
      </c>
      <c r="H1056" t="n">
        <v>0</v>
      </c>
      <c r="I1056" t="n">
        <v>0.5</v>
      </c>
      <c r="J1056" t="n">
        <v>1</v>
      </c>
      <c r="K1056" t="n">
        <v>1</v>
      </c>
      <c r="L1056" t="n">
        <v>0</v>
      </c>
      <c r="M1056" t="n">
        <v>0</v>
      </c>
      <c r="N1056" t="n">
        <v>2</v>
      </c>
      <c r="O1056" s="1">
        <f>IFERROR(L1056*G1056,0)</f>
        <v/>
      </c>
      <c r="P1056">
        <f>IF(N1056-L1056-M1056&gt;0,N1056-L1056-M1056,0)</f>
        <v/>
      </c>
      <c r="Q1056" s="1">
        <f>IFERROR(P1056*G1056,0)</f>
        <v/>
      </c>
    </row>
    <row r="1057">
      <c r="A1057" t="inlineStr">
        <is>
          <t>LS250</t>
        </is>
      </c>
      <c r="B1057" t="inlineStr">
        <is>
          <t>LOUVER SHUTTER Alum. 9</t>
        </is>
      </c>
      <c r="C1057" t="inlineStr">
        <is>
          <t>FM - DONKIN</t>
        </is>
      </c>
      <c r="D1057" t="n">
        <v>54</v>
      </c>
      <c r="E1057" t="n">
        <v>0</v>
      </c>
      <c r="F1057" t="inlineStr"/>
      <c r="G1057" s="1" t="n">
        <v>518.48</v>
      </c>
      <c r="H1057" t="n">
        <v>25</v>
      </c>
      <c r="I1057" t="n">
        <v>0.5</v>
      </c>
      <c r="J1057" t="n">
        <v>1</v>
      </c>
      <c r="K1057" t="n">
        <v>1</v>
      </c>
      <c r="L1057" t="n">
        <v>0</v>
      </c>
      <c r="M1057" t="n">
        <v>0</v>
      </c>
      <c r="N1057" t="n">
        <v>2</v>
      </c>
      <c r="O1057" s="1">
        <f>IFERROR(L1057*G1057,0)</f>
        <v/>
      </c>
      <c r="P1057">
        <f>IF(N1057-L1057-M1057&gt;0,N1057-L1057-M1057,0)</f>
        <v/>
      </c>
      <c r="Q1057" s="1">
        <f>IFERROR(P1057*G1057,0)</f>
        <v/>
      </c>
    </row>
    <row r="1058">
      <c r="A1058" t="inlineStr">
        <is>
          <t>LS315</t>
        </is>
      </c>
      <c r="B1058" t="inlineStr">
        <is>
          <t>LOUVER SHUTTER Alum. 12</t>
        </is>
      </c>
      <c r="C1058" t="inlineStr">
        <is>
          <t>FM - DONKIN</t>
        </is>
      </c>
      <c r="D1058" t="n">
        <v>29</v>
      </c>
      <c r="E1058" t="n">
        <v>0</v>
      </c>
      <c r="F1058" t="inlineStr"/>
      <c r="G1058" s="1" t="n">
        <v>437.68</v>
      </c>
      <c r="H1058" t="n">
        <v>11</v>
      </c>
      <c r="I1058" t="n">
        <v>0.5</v>
      </c>
      <c r="J1058" t="n">
        <v>1</v>
      </c>
      <c r="K1058" t="n">
        <v>1</v>
      </c>
      <c r="L1058" t="n">
        <v>0</v>
      </c>
      <c r="M1058" t="n">
        <v>0</v>
      </c>
      <c r="N1058" t="n">
        <v>2</v>
      </c>
      <c r="O1058" s="1">
        <f>IFERROR(L1058*G1058,0)</f>
        <v/>
      </c>
      <c r="P1058">
        <f>IF(N1058-L1058-M1058&gt;0,N1058-L1058-M1058,0)</f>
        <v/>
      </c>
      <c r="Q1058" s="1">
        <f>IFERROR(P1058*G1058,0)</f>
        <v/>
      </c>
    </row>
    <row r="1059">
      <c r="A1059" t="inlineStr">
        <is>
          <t>LS400</t>
        </is>
      </c>
      <c r="B1059" t="inlineStr">
        <is>
          <t>LOUVRE SHUTTER 15''</t>
        </is>
      </c>
      <c r="C1059" t="inlineStr">
        <is>
          <t>FM - DONKIN</t>
        </is>
      </c>
      <c r="D1059" t="n">
        <v>49</v>
      </c>
      <c r="E1059" t="n">
        <v>0</v>
      </c>
      <c r="F1059" t="inlineStr"/>
      <c r="G1059" s="1" t="n">
        <v>555.74</v>
      </c>
      <c r="H1059" t="n">
        <v>5</v>
      </c>
      <c r="I1059" t="n">
        <v>0.5</v>
      </c>
      <c r="J1059" t="n">
        <v>1</v>
      </c>
      <c r="K1059" t="n">
        <v>1</v>
      </c>
      <c r="L1059" t="n">
        <v>0</v>
      </c>
      <c r="M1059" t="n">
        <v>0</v>
      </c>
      <c r="N1059" t="n">
        <v>2</v>
      </c>
      <c r="O1059" s="1">
        <f>IFERROR(L1059*G1059,0)</f>
        <v/>
      </c>
      <c r="P1059">
        <f>IF(N1059-L1059-M1059&gt;0,N1059-L1059-M1059,0)</f>
        <v/>
      </c>
      <c r="Q1059" s="1">
        <f>IFERROR(P1059*G1059,0)</f>
        <v/>
      </c>
    </row>
    <row r="1060">
      <c r="A1060" t="inlineStr">
        <is>
          <t>LS500</t>
        </is>
      </c>
      <c r="B1060" t="inlineStr">
        <is>
          <t>LOUVRE SHUTTER Alum. 18</t>
        </is>
      </c>
      <c r="C1060" t="inlineStr">
        <is>
          <t>FM - DONKIN</t>
        </is>
      </c>
      <c r="D1060" t="n">
        <v>49</v>
      </c>
      <c r="E1060" t="n">
        <v>0</v>
      </c>
      <c r="F1060" t="inlineStr"/>
      <c r="G1060" s="1" t="n">
        <v>724.5</v>
      </c>
      <c r="H1060" t="n">
        <v>14</v>
      </c>
      <c r="I1060" t="n">
        <v>0.5</v>
      </c>
      <c r="J1060" t="n">
        <v>1</v>
      </c>
      <c r="K1060" t="n">
        <v>1</v>
      </c>
      <c r="L1060" t="n">
        <v>0</v>
      </c>
      <c r="M1060" t="n">
        <v>0</v>
      </c>
      <c r="N1060" t="n">
        <v>2</v>
      </c>
      <c r="O1060" s="1">
        <f>IFERROR(L1060*G1060,0)</f>
        <v/>
      </c>
      <c r="P1060">
        <f>IF(N1060-L1060-M1060&gt;0,N1060-L1060-M1060,0)</f>
        <v/>
      </c>
      <c r="Q1060" s="1">
        <f>IFERROR(P1060*G1060,0)</f>
        <v/>
      </c>
    </row>
    <row r="1061">
      <c r="A1061" t="inlineStr">
        <is>
          <t>LS630</t>
        </is>
      </c>
      <c r="B1061" t="inlineStr">
        <is>
          <t>LOUVRE SHUTTER Alum. 24</t>
        </is>
      </c>
      <c r="C1061" t="inlineStr">
        <is>
          <t>FM - DONKIN</t>
        </is>
      </c>
      <c r="D1061" t="n">
        <v>50</v>
      </c>
      <c r="E1061" t="n">
        <v>0</v>
      </c>
      <c r="F1061" t="inlineStr"/>
      <c r="G1061" s="1" t="n">
        <v>974.05</v>
      </c>
      <c r="H1061" t="n">
        <v>1</v>
      </c>
      <c r="I1061" t="n">
        <v>0.5</v>
      </c>
      <c r="J1061" t="n">
        <v>1</v>
      </c>
      <c r="K1061" t="n">
        <v>1</v>
      </c>
      <c r="L1061" t="n">
        <v>0</v>
      </c>
      <c r="M1061" t="n">
        <v>0</v>
      </c>
      <c r="N1061" t="n">
        <v>2</v>
      </c>
      <c r="O1061" s="1">
        <f>IFERROR(L1061*G1061,0)</f>
        <v/>
      </c>
      <c r="P1061">
        <f>IF(N1061-L1061-M1061&gt;0,N1061-L1061-M1061,0)</f>
        <v/>
      </c>
      <c r="Q1061" s="1">
        <f>IFERROR(P1061*G1061,0)</f>
        <v/>
      </c>
    </row>
    <row r="1062">
      <c r="A1062" t="inlineStr">
        <is>
          <t>LT10-3SPD</t>
        </is>
      </c>
      <c r="B1062" t="inlineStr">
        <is>
          <t>LT10 - 3-Step Speed Controller 10Amp</t>
        </is>
      </c>
      <c r="C1062" t="inlineStr"/>
      <c r="D1062" t="n">
        <v>1</v>
      </c>
      <c r="E1062" t="n">
        <v>0</v>
      </c>
      <c r="F1062" t="inlineStr"/>
      <c r="G1062" s="1" t="n">
        <v>0</v>
      </c>
      <c r="H1062" t="n">
        <v>1</v>
      </c>
      <c r="I1062" t="n">
        <v>0.5</v>
      </c>
      <c r="J1062" t="n">
        <v>1</v>
      </c>
      <c r="K1062" t="n">
        <v>1</v>
      </c>
      <c r="L1062" t="n">
        <v>0</v>
      </c>
      <c r="M1062" t="n">
        <v>0</v>
      </c>
      <c r="N1062" t="n">
        <v>2</v>
      </c>
      <c r="O1062" s="1">
        <f>IFERROR(L1062*G1062,0)</f>
        <v/>
      </c>
      <c r="P1062">
        <f>IF(N1062-L1062-M1062&gt;0,N1062-L1062-M1062,0)</f>
        <v/>
      </c>
      <c r="Q1062" s="1">
        <f>IFERROR(P1062*G1062,0)</f>
        <v/>
      </c>
    </row>
    <row r="1063">
      <c r="A1063" t="inlineStr">
        <is>
          <t>Labour.</t>
        </is>
      </c>
      <c r="B1063" t="inlineStr">
        <is>
          <t>Repair Dasqua 1012-2010-A COMBINATION SET SQUARE</t>
        </is>
      </c>
      <c r="C1063" t="inlineStr"/>
      <c r="D1063" t="n">
        <v>7</v>
      </c>
      <c r="E1063" t="n">
        <v>3</v>
      </c>
      <c r="F1063" t="inlineStr">
        <is>
          <t>SPARES 2000 CC t/a SHARP-RITE</t>
        </is>
      </c>
      <c r="G1063" s="1" t="n">
        <v>2025</v>
      </c>
      <c r="H1063" t="n">
        <v>1</v>
      </c>
      <c r="I1063" t="n">
        <v>0.5</v>
      </c>
      <c r="J1063" t="n">
        <v>1</v>
      </c>
      <c r="K1063" t="n">
        <v>1</v>
      </c>
      <c r="L1063" t="n">
        <v>0</v>
      </c>
      <c r="M1063" t="n">
        <v>0</v>
      </c>
      <c r="N1063" t="n">
        <v>2</v>
      </c>
      <c r="O1063" s="1">
        <f>IFERROR(L1063*G1063,0)</f>
        <v/>
      </c>
      <c r="P1063">
        <f>IF(N1063-L1063-M1063&gt;0,N1063-L1063-M1063,0)</f>
        <v/>
      </c>
      <c r="Q1063" s="1">
        <f>IFERROR(P1063*G1063,0)</f>
        <v/>
      </c>
    </row>
    <row r="1064">
      <c r="A1064" t="inlineStr">
        <is>
          <t>Laptop</t>
        </is>
      </c>
      <c r="B1064" t="inlineStr">
        <is>
          <t>Lenovo AMD RYZEN 7 (i7) 7730U 2.0GHz -8GB ram 512GB 15.6 ich FHD battery 3 Cell</t>
        </is>
      </c>
      <c r="C1064" t="inlineStr"/>
      <c r="D1064" t="n">
        <v>1</v>
      </c>
      <c r="E1064" t="n">
        <v>1</v>
      </c>
      <c r="F1064" t="inlineStr">
        <is>
          <t>AXEGROUP</t>
        </is>
      </c>
      <c r="G1064" s="1" t="n">
        <v>11999</v>
      </c>
      <c r="H1064" t="n">
        <v>0</v>
      </c>
      <c r="I1064" t="n">
        <v>0.5</v>
      </c>
      <c r="J1064" t="n">
        <v>1</v>
      </c>
      <c r="K1064" t="n">
        <v>1</v>
      </c>
      <c r="L1064" t="n">
        <v>0</v>
      </c>
      <c r="M1064" t="n">
        <v>0</v>
      </c>
      <c r="N1064" t="n">
        <v>2</v>
      </c>
      <c r="O1064" s="1">
        <f>IFERROR(L1064*G1064,0)</f>
        <v/>
      </c>
      <c r="P1064">
        <f>IF(N1064-L1064-M1064&gt;0,N1064-L1064-M1064,0)</f>
        <v/>
      </c>
      <c r="Q1064" s="1">
        <f>IFERROR(P1064*G1064,0)</f>
        <v/>
      </c>
    </row>
    <row r="1065">
      <c r="A1065" t="inlineStr">
        <is>
          <t>Laser Cutting</t>
        </is>
      </c>
      <c r="B1065" t="inlineStr">
        <is>
          <t>Fans Casing</t>
        </is>
      </c>
      <c r="C1065" t="inlineStr">
        <is>
          <t>CASING</t>
        </is>
      </c>
      <c r="D1065" t="n">
        <v>4</v>
      </c>
      <c r="E1065" t="n">
        <v>23</v>
      </c>
      <c r="F1065" t="inlineStr">
        <is>
          <t>ULTIMATENG (PTY) LTD</t>
        </is>
      </c>
      <c r="G1065" s="1" t="n">
        <v>1475</v>
      </c>
      <c r="H1065" t="n">
        <v>0</v>
      </c>
      <c r="I1065" t="n">
        <v>0.5</v>
      </c>
      <c r="J1065" t="n">
        <v>6</v>
      </c>
      <c r="K1065" t="n">
        <v>3</v>
      </c>
      <c r="L1065" t="n">
        <v>0</v>
      </c>
      <c r="M1065" t="n">
        <v>0</v>
      </c>
      <c r="N1065" t="n">
        <v>15</v>
      </c>
      <c r="O1065" s="1">
        <f>IFERROR(L1065*G1065,0)</f>
        <v/>
      </c>
      <c r="P1065">
        <f>IF(N1065-L1065-M1065&gt;0,N1065-L1065-M1065,0)</f>
        <v/>
      </c>
      <c r="Q1065" s="1">
        <f>IFERROR(P1065*G1065,0)</f>
        <v/>
      </c>
    </row>
    <row r="1066">
      <c r="A1066" t="inlineStr">
        <is>
          <t>Laser Cutting-Axial P1</t>
        </is>
      </c>
      <c r="B1066" t="inlineStr">
        <is>
          <t>Axial Program 1 Cover</t>
        </is>
      </c>
      <c r="C1066" t="inlineStr">
        <is>
          <t>FM - FABRICATION</t>
        </is>
      </c>
      <c r="D1066" t="n">
        <v>1</v>
      </c>
      <c r="E1066" t="n">
        <v>1</v>
      </c>
      <c r="F1066" t="inlineStr">
        <is>
          <t>ULTIMATENG (PTY) LTD</t>
        </is>
      </c>
      <c r="G1066" s="1" t="n">
        <v>2950</v>
      </c>
      <c r="H1066" t="n">
        <v>0</v>
      </c>
      <c r="I1066" t="n">
        <v>0.5</v>
      </c>
      <c r="J1066" t="n">
        <v>1</v>
      </c>
      <c r="K1066" t="n">
        <v>1</v>
      </c>
      <c r="L1066" t="n">
        <v>0</v>
      </c>
      <c r="M1066" t="n">
        <v>0</v>
      </c>
      <c r="N1066" t="n">
        <v>2</v>
      </c>
      <c r="O1066" s="1">
        <f>IFERROR(L1066*G1066,0)</f>
        <v/>
      </c>
      <c r="P1066">
        <f>IF(N1066-L1066-M1066&gt;0,N1066-L1066-M1066,0)</f>
        <v/>
      </c>
      <c r="Q1066" s="1">
        <f>IFERROR(P1066*G1066,0)</f>
        <v/>
      </c>
    </row>
    <row r="1067">
      <c r="A1067" t="inlineStr">
        <is>
          <t>Laser Cutting-Axial P3</t>
        </is>
      </c>
      <c r="B1067" t="inlineStr">
        <is>
          <t>Axial Program 3 Covers</t>
        </is>
      </c>
      <c r="C1067" t="inlineStr">
        <is>
          <t>FM - FABRICATION</t>
        </is>
      </c>
      <c r="D1067" t="n">
        <v>1</v>
      </c>
      <c r="E1067" t="n">
        <v>1</v>
      </c>
      <c r="F1067" t="inlineStr">
        <is>
          <t>ULTIMATENG (PTY) LTD</t>
        </is>
      </c>
      <c r="G1067" s="1" t="n">
        <v>2950</v>
      </c>
      <c r="H1067" t="n">
        <v>0</v>
      </c>
      <c r="I1067" t="n">
        <v>0.5</v>
      </c>
      <c r="J1067" t="n">
        <v>1</v>
      </c>
      <c r="K1067" t="n">
        <v>1</v>
      </c>
      <c r="L1067" t="n">
        <v>0</v>
      </c>
      <c r="M1067" t="n">
        <v>0</v>
      </c>
      <c r="N1067" t="n">
        <v>2</v>
      </c>
      <c r="O1067" s="1">
        <f>IFERROR(L1067*G1067,0)</f>
        <v/>
      </c>
      <c r="P1067">
        <f>IF(N1067-L1067-M1067&gt;0,N1067-L1067-M1067,0)</f>
        <v/>
      </c>
      <c r="Q1067" s="1">
        <f>IFERROR(P1067*G1067,0)</f>
        <v/>
      </c>
    </row>
    <row r="1068">
      <c r="A1068" t="inlineStr">
        <is>
          <t>Laser Cutting-B</t>
        </is>
      </c>
      <c r="B1068" t="inlineStr">
        <is>
          <t>Program Buffalo</t>
        </is>
      </c>
      <c r="C1068" t="inlineStr"/>
      <c r="D1068" t="n">
        <v>1</v>
      </c>
      <c r="E1068" t="n">
        <v>3</v>
      </c>
      <c r="F1068" t="inlineStr">
        <is>
          <t>ULTIMATENG (PTY) LTD</t>
        </is>
      </c>
      <c r="G1068" s="1" t="n">
        <v>3230</v>
      </c>
      <c r="H1068" t="n">
        <v>0</v>
      </c>
      <c r="I1068" t="n">
        <v>0.5</v>
      </c>
      <c r="J1068" t="n">
        <v>3</v>
      </c>
      <c r="K1068" t="n">
        <v>2</v>
      </c>
      <c r="L1068" t="n">
        <v>0</v>
      </c>
      <c r="M1068" t="n">
        <v>0</v>
      </c>
      <c r="N1068" t="n">
        <v>8</v>
      </c>
      <c r="O1068" s="1">
        <f>IFERROR(L1068*G1068,0)</f>
        <v/>
      </c>
      <c r="P1068">
        <f>IF(N1068-L1068-M1068&gt;0,N1068-L1068-M1068,0)</f>
        <v/>
      </c>
      <c r="Q1068" s="1">
        <f>IFERROR(P1068*G1068,0)</f>
        <v/>
      </c>
    </row>
    <row r="1069">
      <c r="A1069" t="inlineStr">
        <is>
          <t>Laser Cutting-Bends</t>
        </is>
      </c>
      <c r="B1069" t="inlineStr">
        <is>
          <t>Laser Cutting Bends</t>
        </is>
      </c>
      <c r="C1069" t="inlineStr">
        <is>
          <t>FM - FABRICATION</t>
        </is>
      </c>
      <c r="D1069" t="n">
        <v>1</v>
      </c>
      <c r="E1069" t="n">
        <v>42</v>
      </c>
      <c r="F1069" t="inlineStr">
        <is>
          <t>ULTIMATENG (PTY) LTD</t>
        </is>
      </c>
      <c r="G1069" s="1" t="n">
        <v>5</v>
      </c>
      <c r="H1069" t="n">
        <v>0</v>
      </c>
      <c r="I1069" t="n">
        <v>0.5</v>
      </c>
      <c r="J1069" t="n">
        <v>42</v>
      </c>
      <c r="K1069" t="n">
        <v>21</v>
      </c>
      <c r="L1069" t="n">
        <v>0</v>
      </c>
      <c r="M1069" t="n">
        <v>410</v>
      </c>
      <c r="N1069" t="n">
        <v>105</v>
      </c>
      <c r="O1069" s="1">
        <f>IFERROR(L1069*G1069,0)</f>
        <v/>
      </c>
      <c r="P1069">
        <f>IF(N1069-L1069-M1069&gt;0,N1069-L1069-M1069,0)</f>
        <v/>
      </c>
      <c r="Q1069" s="1">
        <f>IFERROR(P1069*G1069,0)</f>
        <v/>
      </c>
    </row>
    <row r="1070">
      <c r="A1070" t="inlineStr">
        <is>
          <t>Laser Cutting-P1000</t>
        </is>
      </c>
      <c r="B1070" t="inlineStr">
        <is>
          <t>Program 1000 - 4mm</t>
        </is>
      </c>
      <c r="C1070" t="inlineStr">
        <is>
          <t>FM - DONKIN</t>
        </is>
      </c>
      <c r="D1070" t="n">
        <v>1</v>
      </c>
      <c r="E1070" t="n">
        <v>3</v>
      </c>
      <c r="F1070" t="inlineStr">
        <is>
          <t>ULTIMATENG (PTY) LTD</t>
        </is>
      </c>
      <c r="G1070" s="1" t="n">
        <v>3000</v>
      </c>
      <c r="H1070" t="n">
        <v>0</v>
      </c>
      <c r="I1070" t="n">
        <v>0.5</v>
      </c>
      <c r="J1070" t="n">
        <v>3</v>
      </c>
      <c r="K1070" t="n">
        <v>2</v>
      </c>
      <c r="L1070" t="n">
        <v>0</v>
      </c>
      <c r="M1070" t="n">
        <v>0</v>
      </c>
      <c r="N1070" t="n">
        <v>8</v>
      </c>
      <c r="O1070" s="1">
        <f>IFERROR(L1070*G1070,0)</f>
        <v/>
      </c>
      <c r="P1070">
        <f>IF(N1070-L1070-M1070&gt;0,N1070-L1070-M1070,0)</f>
        <v/>
      </c>
      <c r="Q1070" s="1">
        <f>IFERROR(P1070*G1070,0)</f>
        <v/>
      </c>
    </row>
    <row r="1071">
      <c r="A1071" t="inlineStr">
        <is>
          <t>Laser Cutting-P3</t>
        </is>
      </c>
      <c r="B1071" t="inlineStr">
        <is>
          <t>Program 3</t>
        </is>
      </c>
      <c r="C1071" t="inlineStr">
        <is>
          <t>FM - DONKIN</t>
        </is>
      </c>
      <c r="D1071" t="n">
        <v>2</v>
      </c>
      <c r="E1071" t="n">
        <v>10</v>
      </c>
      <c r="F1071" t="inlineStr">
        <is>
          <t>ULTIMATENG (PTY) LTD</t>
        </is>
      </c>
      <c r="G1071" s="1" t="n">
        <v>3230</v>
      </c>
      <c r="H1071" t="n">
        <v>0</v>
      </c>
      <c r="I1071" t="n">
        <v>0.5</v>
      </c>
      <c r="J1071" t="n">
        <v>5</v>
      </c>
      <c r="K1071" t="n">
        <v>2</v>
      </c>
      <c r="L1071" t="n">
        <v>0</v>
      </c>
      <c r="M1071" t="n">
        <v>5</v>
      </c>
      <c r="N1071" t="n">
        <v>12</v>
      </c>
      <c r="O1071" s="1">
        <f>IFERROR(L1071*G1071,0)</f>
        <v/>
      </c>
      <c r="P1071">
        <f>IF(N1071-L1071-M1071&gt;0,N1071-L1071-M1071,0)</f>
        <v/>
      </c>
      <c r="Q1071" s="1">
        <f>IFERROR(P1071*G1071,0)</f>
        <v/>
      </c>
    </row>
    <row r="1072">
      <c r="A1072" t="inlineStr">
        <is>
          <t>Laser Cutting-P4</t>
        </is>
      </c>
      <c r="B1072" t="inlineStr">
        <is>
          <t>Program 4</t>
        </is>
      </c>
      <c r="C1072" t="inlineStr">
        <is>
          <t>FM - DONKIN</t>
        </is>
      </c>
      <c r="D1072" t="n">
        <v>2</v>
      </c>
      <c r="E1072" t="n">
        <v>8</v>
      </c>
      <c r="F1072" t="inlineStr">
        <is>
          <t>ULTIMATENG (PTY) LTD</t>
        </is>
      </c>
      <c r="G1072" s="1" t="n">
        <v>2355</v>
      </c>
      <c r="H1072" t="n">
        <v>0</v>
      </c>
      <c r="I1072" t="n">
        <v>0.5</v>
      </c>
      <c r="J1072" t="n">
        <v>4</v>
      </c>
      <c r="K1072" t="n">
        <v>2</v>
      </c>
      <c r="L1072" t="n">
        <v>0</v>
      </c>
      <c r="M1072" t="n">
        <v>5</v>
      </c>
      <c r="N1072" t="n">
        <v>10</v>
      </c>
      <c r="O1072" s="1">
        <f>IFERROR(L1072*G1072,0)</f>
        <v/>
      </c>
      <c r="P1072">
        <f>IF(N1072-L1072-M1072&gt;0,N1072-L1072-M1072,0)</f>
        <v/>
      </c>
      <c r="Q1072" s="1">
        <f>IFERROR(P1072*G1072,0)</f>
        <v/>
      </c>
    </row>
    <row r="1073">
      <c r="A1073" t="inlineStr">
        <is>
          <t>Laser Cutting-P5</t>
        </is>
      </c>
      <c r="B1073" t="inlineStr">
        <is>
          <t>Program 5</t>
        </is>
      </c>
      <c r="C1073" t="inlineStr">
        <is>
          <t>CONSUMABLES</t>
        </is>
      </c>
      <c r="D1073" t="n">
        <v>1</v>
      </c>
      <c r="E1073" t="n">
        <v>1</v>
      </c>
      <c r="F1073" t="inlineStr">
        <is>
          <t>ULTIMATENG (PTY) LTD</t>
        </is>
      </c>
      <c r="G1073" s="1" t="n">
        <v>3100</v>
      </c>
      <c r="H1073" t="n">
        <v>0</v>
      </c>
      <c r="I1073" t="n">
        <v>0.7</v>
      </c>
      <c r="J1073" t="n">
        <v>1</v>
      </c>
      <c r="K1073" t="n">
        <v>1</v>
      </c>
      <c r="L1073" t="n">
        <v>0</v>
      </c>
      <c r="M1073" t="n">
        <v>0</v>
      </c>
      <c r="N1073" t="n">
        <v>3</v>
      </c>
      <c r="O1073" s="1">
        <f>IFERROR(L1073*G1073,0)</f>
        <v/>
      </c>
      <c r="P1073">
        <f>IF(N1073-L1073-M1073&gt;0,N1073-L1073-M1073,0)</f>
        <v/>
      </c>
      <c r="Q1073" s="1">
        <f>IFERROR(P1073*G1073,0)</f>
        <v/>
      </c>
    </row>
    <row r="1074">
      <c r="A1074" t="inlineStr">
        <is>
          <t>Laser Cutting-P6</t>
        </is>
      </c>
      <c r="B1074" t="inlineStr">
        <is>
          <t>Program 6</t>
        </is>
      </c>
      <c r="C1074" t="inlineStr">
        <is>
          <t>CONSUMABLES</t>
        </is>
      </c>
      <c r="D1074" t="n">
        <v>1</v>
      </c>
      <c r="E1074" t="n">
        <v>2</v>
      </c>
      <c r="F1074" t="inlineStr">
        <is>
          <t>ULTIMATENG (PTY) LTD</t>
        </is>
      </c>
      <c r="G1074" s="1" t="n">
        <v>4545</v>
      </c>
      <c r="H1074" t="n">
        <v>0</v>
      </c>
      <c r="I1074" t="n">
        <v>0.7</v>
      </c>
      <c r="J1074" t="n">
        <v>2</v>
      </c>
      <c r="K1074" t="n">
        <v>1</v>
      </c>
      <c r="L1074" t="n">
        <v>0</v>
      </c>
      <c r="M1074" t="n">
        <v>0</v>
      </c>
      <c r="N1074" t="n">
        <v>5</v>
      </c>
      <c r="O1074" s="1">
        <f>IFERROR(L1074*G1074,0)</f>
        <v/>
      </c>
      <c r="P1074">
        <f>IF(N1074-L1074-M1074&gt;0,N1074-L1074-M1074,0)</f>
        <v/>
      </c>
      <c r="Q1074" s="1">
        <f>IFERROR(P1074*G1074,0)</f>
        <v/>
      </c>
    </row>
    <row r="1075">
      <c r="A1075" t="inlineStr">
        <is>
          <t>Laser Cutting-P900</t>
        </is>
      </c>
      <c r="B1075" t="inlineStr">
        <is>
          <t>Program 900 - 4mm</t>
        </is>
      </c>
      <c r="C1075" t="inlineStr">
        <is>
          <t>FM - DONKIN</t>
        </is>
      </c>
      <c r="D1075" t="n">
        <v>1</v>
      </c>
      <c r="E1075" t="n">
        <v>3</v>
      </c>
      <c r="F1075" t="inlineStr">
        <is>
          <t>ULTIMATENG (PTY) LTD</t>
        </is>
      </c>
      <c r="G1075" s="1" t="n">
        <v>4200</v>
      </c>
      <c r="H1075" t="n">
        <v>0</v>
      </c>
      <c r="I1075" t="n">
        <v>0.5</v>
      </c>
      <c r="J1075" t="n">
        <v>3</v>
      </c>
      <c r="K1075" t="n">
        <v>2</v>
      </c>
      <c r="L1075" t="n">
        <v>0</v>
      </c>
      <c r="M1075" t="n">
        <v>0</v>
      </c>
      <c r="N1075" t="n">
        <v>8</v>
      </c>
      <c r="O1075" s="1">
        <f>IFERROR(L1075*G1075,0)</f>
        <v/>
      </c>
      <c r="P1075">
        <f>IF(N1075-L1075-M1075&gt;0,N1075-L1075-M1075,0)</f>
        <v/>
      </c>
      <c r="Q1075" s="1">
        <f>IFERROR(P1075*G1075,0)</f>
        <v/>
      </c>
    </row>
    <row r="1076">
      <c r="A1076" t="inlineStr">
        <is>
          <t>Laser Cutting-S</t>
        </is>
      </c>
      <c r="B1076" t="inlineStr">
        <is>
          <t>Strips</t>
        </is>
      </c>
      <c r="C1076" t="inlineStr">
        <is>
          <t>CASING</t>
        </is>
      </c>
      <c r="D1076" t="n">
        <v>1</v>
      </c>
      <c r="E1076" t="n">
        <v>2</v>
      </c>
      <c r="F1076" t="inlineStr">
        <is>
          <t>ULTIMATENG (PTY) LTD</t>
        </is>
      </c>
      <c r="G1076" s="1" t="n">
        <v>0</v>
      </c>
      <c r="H1076" t="n">
        <v>0</v>
      </c>
      <c r="I1076" t="n">
        <v>0.5</v>
      </c>
      <c r="J1076" t="n">
        <v>2</v>
      </c>
      <c r="K1076" t="n">
        <v>1</v>
      </c>
      <c r="L1076" t="n">
        <v>0</v>
      </c>
      <c r="M1076" t="n">
        <v>0</v>
      </c>
      <c r="N1076" t="n">
        <v>5</v>
      </c>
      <c r="O1076" s="1">
        <f>IFERROR(L1076*G1076,0)</f>
        <v/>
      </c>
      <c r="P1076">
        <f>IF(N1076-L1076-M1076&gt;0,N1076-L1076-M1076,0)</f>
        <v/>
      </c>
      <c r="Q1076" s="1">
        <f>IFERROR(P1076*G1076,0)</f>
        <v/>
      </c>
    </row>
    <row r="1077">
      <c r="A1077" t="inlineStr">
        <is>
          <t>M10 DIN 934 GRADE 8.8 HEX NUT Z/BLUE 10 934 GR8 ZB</t>
        </is>
      </c>
      <c r="B1077" t="inlineStr">
        <is>
          <t>M10 DIN 934 GRADE 8.8 HEX NUT Z/BLUE 10 934 GR8 ZB</t>
        </is>
      </c>
      <c r="C1077" t="inlineStr"/>
      <c r="D1077" t="n">
        <v>20</v>
      </c>
      <c r="E1077" t="n">
        <v>1710</v>
      </c>
      <c r="F1077" t="inlineStr">
        <is>
          <t>M&amp;D SPECIALISED FASTENERS (PTY) LTD</t>
        </is>
      </c>
      <c r="G1077" s="1" t="n">
        <v>0.65</v>
      </c>
      <c r="H1077" t="n">
        <v>0</v>
      </c>
      <c r="I1077" t="n">
        <v>0.5</v>
      </c>
      <c r="J1077" t="n">
        <v>85.5</v>
      </c>
      <c r="K1077" t="n">
        <v>43</v>
      </c>
      <c r="L1077" t="n">
        <v>0</v>
      </c>
      <c r="M1077" t="n">
        <v>0</v>
      </c>
      <c r="N1077" t="n">
        <v>214</v>
      </c>
      <c r="O1077" s="1">
        <f>IFERROR(L1077*G1077,0)</f>
        <v/>
      </c>
      <c r="P1077">
        <f>IF(N1077-L1077-M1077&gt;0,N1077-L1077-M1077,0)</f>
        <v/>
      </c>
      <c r="Q1077" s="1">
        <f>IFERROR(P1077*G1077,0)</f>
        <v/>
      </c>
    </row>
    <row r="1078">
      <c r="A1078" t="inlineStr">
        <is>
          <t>M10 FLAT WASHER (10 .5i/dx20o/dxthk) S/S A2</t>
        </is>
      </c>
      <c r="B1078" t="inlineStr">
        <is>
          <t>M10 Flat Washer S/S A2</t>
        </is>
      </c>
      <c r="C1078" t="inlineStr"/>
      <c r="D1078" t="n">
        <v>2</v>
      </c>
      <c r="E1078" t="n">
        <v>360</v>
      </c>
      <c r="F1078" t="inlineStr">
        <is>
          <t>M&amp;D SPECIALISED FASTENERS (PTY) LTD</t>
        </is>
      </c>
      <c r="G1078" s="1" t="n">
        <v>0.4</v>
      </c>
      <c r="H1078" t="n">
        <v>0</v>
      </c>
      <c r="I1078" t="n">
        <v>0.8</v>
      </c>
      <c r="J1078" t="n">
        <v>180</v>
      </c>
      <c r="K1078" t="n">
        <v>144</v>
      </c>
      <c r="L1078" t="n">
        <v>0</v>
      </c>
      <c r="M1078" t="n">
        <v>0</v>
      </c>
      <c r="N1078" t="n">
        <v>504</v>
      </c>
      <c r="O1078" s="1">
        <f>IFERROR(L1078*G1078,0)</f>
        <v/>
      </c>
      <c r="P1078">
        <f>IF(N1078-L1078-M1078&gt;0,N1078-L1078-M1078,0)</f>
        <v/>
      </c>
      <c r="Q1078" s="1">
        <f>IFERROR(P1078*G1078,0)</f>
        <v/>
      </c>
    </row>
    <row r="1079">
      <c r="A1079" t="inlineStr">
        <is>
          <t>M10 FLAT WASHER (S/S)</t>
        </is>
      </c>
      <c r="B1079" t="inlineStr">
        <is>
          <t>M10x20x3 FLAT WASHER STAINLESS STEEL A2</t>
        </is>
      </c>
      <c r="C1079" t="inlineStr">
        <is>
          <t>FASTENERS</t>
        </is>
      </c>
      <c r="D1079" t="n">
        <v>1</v>
      </c>
      <c r="E1079" t="n">
        <v>250</v>
      </c>
      <c r="F1079" t="inlineStr">
        <is>
          <t>M&amp;D SPECIALISED FASTENERS (PTY) LTD</t>
        </is>
      </c>
      <c r="G1079" s="1" t="n">
        <v>4</v>
      </c>
      <c r="H1079" t="n">
        <v>0</v>
      </c>
      <c r="I1079" t="n">
        <v>0.5</v>
      </c>
      <c r="J1079" t="n">
        <v>250</v>
      </c>
      <c r="K1079" t="n">
        <v>125</v>
      </c>
      <c r="L1079" t="n">
        <v>0</v>
      </c>
      <c r="M1079" t="n">
        <v>0</v>
      </c>
      <c r="N1079" t="n">
        <v>625</v>
      </c>
      <c r="O1079" s="1">
        <f>IFERROR(L1079*G1079,0)</f>
        <v/>
      </c>
      <c r="P1079">
        <f>IF(N1079-L1079-M1079&gt;0,N1079-L1079-M1079,0)</f>
        <v/>
      </c>
      <c r="Q1079" s="1">
        <f>IFERROR(P1079*G1079,0)</f>
        <v/>
      </c>
    </row>
    <row r="1080">
      <c r="A1080" t="inlineStr">
        <is>
          <t>M10 FLAT WASHER ZB</t>
        </is>
      </c>
      <c r="B1080" t="inlineStr">
        <is>
          <t>M10 FLAT WASHER DIN 125A ZINC BLUE (10 .5i/dx20o/dxthk) 10 125A ZB</t>
        </is>
      </c>
      <c r="C1080" t="inlineStr">
        <is>
          <t>FASTENERS</t>
        </is>
      </c>
      <c r="D1080" t="n">
        <v>21</v>
      </c>
      <c r="E1080" t="n">
        <v>2840</v>
      </c>
      <c r="F1080" t="inlineStr">
        <is>
          <t>M&amp;D SPECIALISED FASTENERS (PTY) LTD</t>
        </is>
      </c>
      <c r="G1080" s="1" t="n">
        <v>0.24</v>
      </c>
      <c r="H1080" t="n">
        <v>0</v>
      </c>
      <c r="I1080" t="n">
        <v>0.5</v>
      </c>
      <c r="J1080" t="n">
        <v>135.5</v>
      </c>
      <c r="K1080" t="n">
        <v>68</v>
      </c>
      <c r="L1080" t="n">
        <v>0</v>
      </c>
      <c r="M1080" t="n">
        <v>0</v>
      </c>
      <c r="N1080" t="n">
        <v>339</v>
      </c>
      <c r="O1080" s="1">
        <f>IFERROR(L1080*G1080,0)</f>
        <v/>
      </c>
      <c r="P1080">
        <f>IF(N1080-L1080-M1080&gt;0,N1080-L1080-M1080,0)</f>
        <v/>
      </c>
      <c r="Q1080" s="1">
        <f>IFERROR(P1080*G1080,0)</f>
        <v/>
      </c>
    </row>
    <row r="1081">
      <c r="A1081" t="inlineStr">
        <is>
          <t>M10 HEX NUT (S/S)</t>
        </is>
      </c>
      <c r="B1081" t="inlineStr">
        <is>
          <t>M10 HEX NUT STAINLESS STEEL A2</t>
        </is>
      </c>
      <c r="C1081" t="inlineStr">
        <is>
          <t>FASTENERS</t>
        </is>
      </c>
      <c r="D1081" t="n">
        <v>1</v>
      </c>
      <c r="E1081" t="n">
        <v>150</v>
      </c>
      <c r="F1081" t="inlineStr">
        <is>
          <t>M&amp;D SPECIALISED FASTENERS (PTY) LTD</t>
        </is>
      </c>
      <c r="G1081" s="1" t="n">
        <v>1.5</v>
      </c>
      <c r="H1081" t="n">
        <v>0</v>
      </c>
      <c r="I1081" t="n">
        <v>0.5</v>
      </c>
      <c r="J1081" t="n">
        <v>150</v>
      </c>
      <c r="K1081" t="n">
        <v>75</v>
      </c>
      <c r="L1081" t="n">
        <v>0</v>
      </c>
      <c r="M1081" t="n">
        <v>0</v>
      </c>
      <c r="N1081" t="n">
        <v>375</v>
      </c>
      <c r="O1081" s="1">
        <f>IFERROR(L1081*G1081,0)</f>
        <v/>
      </c>
      <c r="P1081">
        <f>IF(N1081-L1081-M1081&gt;0,N1081-L1081-M1081,0)</f>
        <v/>
      </c>
      <c r="Q1081" s="1">
        <f>IFERROR(P1081*G1081,0)</f>
        <v/>
      </c>
    </row>
    <row r="1082">
      <c r="A1082" t="inlineStr">
        <is>
          <t>M10 Nylock Nut</t>
        </is>
      </c>
      <c r="B1082" t="inlineStr">
        <is>
          <t>M10 Nylock Nut Zinc Blue(Silver)</t>
        </is>
      </c>
      <c r="C1082" t="inlineStr"/>
      <c r="D1082" t="n">
        <v>4</v>
      </c>
      <c r="E1082" t="n">
        <v>580</v>
      </c>
      <c r="F1082" t="inlineStr">
        <is>
          <t>M&amp;D SPECIALISED FASTENERS (PTY) LTD</t>
        </is>
      </c>
      <c r="G1082" s="1" t="n">
        <v>1.1</v>
      </c>
      <c r="H1082" t="n">
        <v>0</v>
      </c>
      <c r="I1082" t="n">
        <v>0.6</v>
      </c>
      <c r="J1082" t="n">
        <v>145</v>
      </c>
      <c r="K1082" t="n">
        <v>87</v>
      </c>
      <c r="L1082" t="n">
        <v>0</v>
      </c>
      <c r="M1082" t="n">
        <v>0</v>
      </c>
      <c r="N1082" t="n">
        <v>377</v>
      </c>
      <c r="O1082" s="1">
        <f>IFERROR(L1082*G1082,0)</f>
        <v/>
      </c>
      <c r="P1082">
        <f>IF(N1082-L1082-M1082&gt;0,N1082-L1082-M1082,0)</f>
        <v/>
      </c>
      <c r="Q1082" s="1">
        <f>IFERROR(P1082*G1082,0)</f>
        <v/>
      </c>
    </row>
    <row r="1083">
      <c r="A1083" t="inlineStr">
        <is>
          <t>M10*1 M/S THREADED ROD Z/BLUE 10X1 975 ZB</t>
        </is>
      </c>
      <c r="B1083" t="inlineStr">
        <is>
          <t>M10*1 M/S THREADED ROD Z/BLUE 10X1 975 ZB</t>
        </is>
      </c>
      <c r="C1083" t="inlineStr"/>
      <c r="D1083" t="n">
        <v>1</v>
      </c>
      <c r="E1083" t="n">
        <v>8</v>
      </c>
      <c r="F1083" t="inlineStr">
        <is>
          <t>M&amp;D SPECIALISED FASTENERS (PTY) LTD</t>
        </is>
      </c>
      <c r="G1083" s="1" t="n">
        <v>20</v>
      </c>
      <c r="H1083" t="n">
        <v>0</v>
      </c>
      <c r="I1083" t="n">
        <v>0.8</v>
      </c>
      <c r="J1083" t="n">
        <v>8</v>
      </c>
      <c r="K1083" t="n">
        <v>6</v>
      </c>
      <c r="L1083" t="n">
        <v>0</v>
      </c>
      <c r="M1083" t="n">
        <v>0</v>
      </c>
      <c r="N1083" t="n">
        <v>22</v>
      </c>
      <c r="O1083" s="1">
        <f>IFERROR(L1083*G1083,0)</f>
        <v/>
      </c>
      <c r="P1083">
        <f>IF(N1083-L1083-M1083&gt;0,N1083-L1083-M1083,0)</f>
        <v/>
      </c>
      <c r="Q1083" s="1">
        <f>IFERROR(P1083*G1083,0)</f>
        <v/>
      </c>
    </row>
    <row r="1084">
      <c r="A1084" t="inlineStr">
        <is>
          <t>M10*16</t>
        </is>
      </c>
      <c r="B1084" t="inlineStr">
        <is>
          <t>M10*16 HT HEX SET SCREW</t>
        </is>
      </c>
      <c r="C1084" t="inlineStr"/>
      <c r="D1084" t="n">
        <v>19</v>
      </c>
      <c r="E1084" t="n">
        <v>1960</v>
      </c>
      <c r="F1084" t="inlineStr">
        <is>
          <t>M&amp;D SPECIALISED FASTENERS (PTY) LTD</t>
        </is>
      </c>
      <c r="G1084" s="1" t="n">
        <v>1.88</v>
      </c>
      <c r="H1084" t="n">
        <v>0</v>
      </c>
      <c r="I1084" t="n">
        <v>0.5</v>
      </c>
      <c r="J1084" t="n">
        <v>103.5</v>
      </c>
      <c r="K1084" t="n">
        <v>52</v>
      </c>
      <c r="L1084" t="n">
        <v>0</v>
      </c>
      <c r="M1084" t="n">
        <v>0</v>
      </c>
      <c r="N1084" t="n">
        <v>259</v>
      </c>
      <c r="O1084" s="1">
        <f>IFERROR(L1084*G1084,0)</f>
        <v/>
      </c>
      <c r="P1084">
        <f>IF(N1084-L1084-M1084&gt;0,N1084-L1084-M1084,0)</f>
        <v/>
      </c>
      <c r="Q1084" s="1">
        <f>IFERROR(P1084*G1084,0)</f>
        <v/>
      </c>
    </row>
    <row r="1085">
      <c r="A1085" t="inlineStr">
        <is>
          <t>M10*16 (S/S)</t>
        </is>
      </c>
      <c r="B1085" t="inlineStr">
        <is>
          <t>M10*16 HT HEX SET SCREW (S/S) A2</t>
        </is>
      </c>
      <c r="C1085" t="inlineStr">
        <is>
          <t>FASTENERS</t>
        </is>
      </c>
      <c r="D1085" t="n">
        <v>1</v>
      </c>
      <c r="E1085" t="n">
        <v>150</v>
      </c>
      <c r="F1085" t="inlineStr">
        <is>
          <t>M&amp;D SPECIALISED FASTENERS (PTY) LTD</t>
        </is>
      </c>
      <c r="G1085" s="1" t="n">
        <v>3</v>
      </c>
      <c r="H1085" t="n">
        <v>0</v>
      </c>
      <c r="I1085" t="n">
        <v>0.5</v>
      </c>
      <c r="J1085" t="n">
        <v>150</v>
      </c>
      <c r="K1085" t="n">
        <v>75</v>
      </c>
      <c r="L1085" t="n">
        <v>0</v>
      </c>
      <c r="M1085" t="n">
        <v>0</v>
      </c>
      <c r="N1085" t="n">
        <v>375</v>
      </c>
      <c r="O1085" s="1">
        <f>IFERROR(L1085*G1085,0)</f>
        <v/>
      </c>
      <c r="P1085">
        <f>IF(N1085-L1085-M1085&gt;0,N1085-L1085-M1085,0)</f>
        <v/>
      </c>
      <c r="Q1085" s="1">
        <f>IFERROR(P1085*G1085,0)</f>
        <v/>
      </c>
    </row>
    <row r="1086">
      <c r="A1086" t="inlineStr">
        <is>
          <t>M10*25 HT HEX SET SCREW Z/BLUE 10X25 933 8.8 ZB</t>
        </is>
      </c>
      <c r="B1086" t="inlineStr">
        <is>
          <t>M10*25 HT HEX SET SCREW Z/BLUE 10X25 933 8.8 ZB</t>
        </is>
      </c>
      <c r="C1086" t="inlineStr"/>
      <c r="D1086" t="n">
        <v>20</v>
      </c>
      <c r="E1086" t="n">
        <v>1450</v>
      </c>
      <c r="F1086" t="inlineStr">
        <is>
          <t>M&amp;D SPECIALISED FASTENERS (PTY) LTD</t>
        </is>
      </c>
      <c r="G1086" s="1" t="n">
        <v>1.8</v>
      </c>
      <c r="H1086" t="n">
        <v>0</v>
      </c>
      <c r="I1086" t="n">
        <v>0.5</v>
      </c>
      <c r="J1086" t="n">
        <v>72.5</v>
      </c>
      <c r="K1086" t="n">
        <v>36</v>
      </c>
      <c r="L1086" t="n">
        <v>0</v>
      </c>
      <c r="M1086" t="n">
        <v>0</v>
      </c>
      <c r="N1086" t="n">
        <v>181</v>
      </c>
      <c r="O1086" s="1">
        <f>IFERROR(L1086*G1086,0)</f>
        <v/>
      </c>
      <c r="P1086">
        <f>IF(N1086-L1086-M1086&gt;0,N1086-L1086-M1086,0)</f>
        <v/>
      </c>
      <c r="Q1086" s="1">
        <f>IFERROR(P1086*G1086,0)</f>
        <v/>
      </c>
    </row>
    <row r="1087">
      <c r="A1087" t="inlineStr">
        <is>
          <t>M10X25</t>
        </is>
      </c>
      <c r="B1087" t="inlineStr">
        <is>
          <t>HEX SET SCREW - S/S 304 - A2</t>
        </is>
      </c>
      <c r="C1087" t="inlineStr"/>
      <c r="D1087" t="n">
        <v>3</v>
      </c>
      <c r="E1087" t="n">
        <v>480</v>
      </c>
      <c r="F1087" t="inlineStr">
        <is>
          <t>M&amp;D SPECIALISED FASTENERS (PTY) LTD</t>
        </is>
      </c>
      <c r="G1087" s="1" t="n">
        <v>2.25</v>
      </c>
      <c r="H1087" t="n">
        <v>0</v>
      </c>
      <c r="I1087" t="n">
        <v>0.5</v>
      </c>
      <c r="J1087" t="n">
        <v>160</v>
      </c>
      <c r="K1087" t="n">
        <v>80</v>
      </c>
      <c r="L1087" t="n">
        <v>0</v>
      </c>
      <c r="M1087" t="n">
        <v>0</v>
      </c>
      <c r="N1087" t="n">
        <v>400</v>
      </c>
      <c r="O1087" s="1">
        <f>IFERROR(L1087*G1087,0)</f>
        <v/>
      </c>
      <c r="P1087">
        <f>IF(N1087-L1087-M1087&gt;0,N1087-L1087-M1087,0)</f>
        <v/>
      </c>
      <c r="Q1087" s="1">
        <f>IFERROR(P1087*G1087,0)</f>
        <v/>
      </c>
    </row>
    <row r="1088">
      <c r="A1088" t="inlineStr">
        <is>
          <t>M10X25X2 FLAT WASHER Z/BLUE 10X25X2 OLD ZB</t>
        </is>
      </c>
      <c r="B1088" t="inlineStr">
        <is>
          <t>M10X25X2 FLAT WASHER Z/BLUE 10X25X2 OLD ZB</t>
        </is>
      </c>
      <c r="C1088" t="inlineStr"/>
      <c r="D1088" t="n">
        <v>20</v>
      </c>
      <c r="E1088" t="n">
        <v>4350</v>
      </c>
      <c r="F1088" t="inlineStr">
        <is>
          <t>M&amp;D SPECIALISED FASTENERS (PTY) LTD</t>
        </is>
      </c>
      <c r="G1088" s="1" t="n">
        <v>0.5</v>
      </c>
      <c r="H1088" t="n">
        <v>0</v>
      </c>
      <c r="I1088" t="n">
        <v>0.5</v>
      </c>
      <c r="J1088" t="n">
        <v>217.5</v>
      </c>
      <c r="K1088" t="n">
        <v>109</v>
      </c>
      <c r="L1088" t="n">
        <v>0</v>
      </c>
      <c r="M1088" t="n">
        <v>0</v>
      </c>
      <c r="N1088" t="n">
        <v>544</v>
      </c>
      <c r="O1088" s="1">
        <f>IFERROR(L1088*G1088,0)</f>
        <v/>
      </c>
      <c r="P1088">
        <f>IF(N1088-L1088-M1088&gt;0,N1088-L1088-M1088,0)</f>
        <v/>
      </c>
      <c r="Q1088" s="1">
        <f>IFERROR(P1088*G1088,0)</f>
        <v/>
      </c>
    </row>
    <row r="1089">
      <c r="A1089" t="inlineStr">
        <is>
          <t>M10X35</t>
        </is>
      </c>
      <c r="B1089" t="inlineStr">
        <is>
          <t>Hex Bolts zinc Blue(Silver)</t>
        </is>
      </c>
      <c r="C1089" t="inlineStr"/>
      <c r="D1089" t="n">
        <v>12</v>
      </c>
      <c r="E1089" t="n">
        <v>540</v>
      </c>
      <c r="F1089" t="inlineStr">
        <is>
          <t>M&amp;D SPECIALISED FASTENERS (PTY) LTD</t>
        </is>
      </c>
      <c r="G1089" s="1" t="n">
        <v>1.8</v>
      </c>
      <c r="H1089" t="n">
        <v>0</v>
      </c>
      <c r="I1089" t="n">
        <v>0.5</v>
      </c>
      <c r="J1089" t="n">
        <v>45</v>
      </c>
      <c r="K1089" t="n">
        <v>22</v>
      </c>
      <c r="L1089" t="n">
        <v>0</v>
      </c>
      <c r="M1089" t="n">
        <v>0</v>
      </c>
      <c r="N1089" t="n">
        <v>112</v>
      </c>
      <c r="O1089" s="1">
        <f>IFERROR(L1089*G1089,0)</f>
        <v/>
      </c>
      <c r="P1089">
        <f>IF(N1089-L1089-M1089&gt;0,N1089-L1089-M1089,0)</f>
        <v/>
      </c>
      <c r="Q1089" s="1">
        <f>IFERROR(P1089*G1089,0)</f>
        <v/>
      </c>
    </row>
    <row r="1090">
      <c r="A1090" t="inlineStr">
        <is>
          <t>M10X40</t>
        </is>
      </c>
      <c r="B1090" t="inlineStr">
        <is>
          <t>HT HEX SET SCREWS</t>
        </is>
      </c>
      <c r="C1090" t="inlineStr"/>
      <c r="D1090" t="n">
        <v>1</v>
      </c>
      <c r="E1090" t="n">
        <v>540</v>
      </c>
      <c r="F1090" t="inlineStr">
        <is>
          <t>M&amp;D SPECIALISED FASTENERS (PTY) LTD</t>
        </is>
      </c>
      <c r="G1090" s="1" t="n">
        <v>3.17</v>
      </c>
      <c r="H1090" t="n">
        <v>0</v>
      </c>
      <c r="I1090" t="n">
        <v>0.8</v>
      </c>
      <c r="J1090" t="n">
        <v>540</v>
      </c>
      <c r="K1090" t="n">
        <v>432</v>
      </c>
      <c r="L1090" t="n">
        <v>0</v>
      </c>
      <c r="M1090" t="n">
        <v>0</v>
      </c>
      <c r="N1090" t="n">
        <v>1512</v>
      </c>
      <c r="O1090" s="1">
        <f>IFERROR(L1090*G1090,0)</f>
        <v/>
      </c>
      <c r="P1090">
        <f>IF(N1090-L1090-M1090&gt;0,N1090-L1090-M1090,0)</f>
        <v/>
      </c>
      <c r="Q1090" s="1">
        <f>IFERROR(P1090*G1090,0)</f>
        <v/>
      </c>
    </row>
    <row r="1091">
      <c r="A1091" t="inlineStr">
        <is>
          <t>M10X45</t>
        </is>
      </c>
      <c r="B1091" t="inlineStr">
        <is>
          <t>M10X45 HT HEX SET SCREWS</t>
        </is>
      </c>
      <c r="C1091" t="inlineStr"/>
      <c r="D1091" t="n">
        <v>10</v>
      </c>
      <c r="E1091" t="n">
        <v>500</v>
      </c>
      <c r="F1091" t="inlineStr">
        <is>
          <t>M&amp;D SPECIALISED FASTENERS (PTY) LTD</t>
        </is>
      </c>
      <c r="G1091" s="1" t="n">
        <v>4.33</v>
      </c>
      <c r="H1091" t="n">
        <v>0</v>
      </c>
      <c r="I1091" t="n">
        <v>0.5</v>
      </c>
      <c r="J1091" t="n">
        <v>50</v>
      </c>
      <c r="K1091" t="n">
        <v>25</v>
      </c>
      <c r="L1091" t="n">
        <v>0</v>
      </c>
      <c r="M1091" t="n">
        <v>0</v>
      </c>
      <c r="N1091" t="n">
        <v>125</v>
      </c>
      <c r="O1091" s="1">
        <f>IFERROR(L1091*G1091,0)</f>
        <v/>
      </c>
      <c r="P1091">
        <f>IF(N1091-L1091-M1091&gt;0,N1091-L1091-M1091,0)</f>
        <v/>
      </c>
      <c r="Q1091" s="1">
        <f>IFERROR(P1091*G1091,0)</f>
        <v/>
      </c>
    </row>
    <row r="1092">
      <c r="A1092" t="inlineStr">
        <is>
          <t>M10X65</t>
        </is>
      </c>
      <c r="B1092" t="inlineStr">
        <is>
          <t>M10X65 HT HEX SET SCREWS</t>
        </is>
      </c>
      <c r="C1092" t="inlineStr"/>
      <c r="D1092" t="n">
        <v>10</v>
      </c>
      <c r="E1092" t="n">
        <v>140</v>
      </c>
      <c r="F1092" t="inlineStr">
        <is>
          <t>M&amp;D SPECIALISED FASTENERS (PTY) LTD</t>
        </is>
      </c>
      <c r="G1092" s="1" t="n">
        <v>4</v>
      </c>
      <c r="H1092" t="n">
        <v>0</v>
      </c>
      <c r="I1092" t="n">
        <v>0.6</v>
      </c>
      <c r="J1092" t="n">
        <v>14</v>
      </c>
      <c r="K1092" t="n">
        <v>8</v>
      </c>
      <c r="L1092" t="n">
        <v>0</v>
      </c>
      <c r="M1092" t="n">
        <v>0</v>
      </c>
      <c r="N1092" t="n">
        <v>36</v>
      </c>
      <c r="O1092" s="1">
        <f>IFERROR(L1092*G1092,0)</f>
        <v/>
      </c>
      <c r="P1092">
        <f>IF(N1092-L1092-M1092&gt;0,N1092-L1092-M1092,0)</f>
        <v/>
      </c>
      <c r="Q1092" s="1">
        <f>IFERROR(P1092*G1092,0)</f>
        <v/>
      </c>
    </row>
    <row r="1093">
      <c r="A1093" t="inlineStr">
        <is>
          <t>M12</t>
        </is>
      </c>
      <c r="B1093" t="inlineStr">
        <is>
          <t>HEX NUT ZINC BLUE</t>
        </is>
      </c>
      <c r="C1093" t="inlineStr"/>
      <c r="D1093" t="n">
        <v>14</v>
      </c>
      <c r="E1093" t="n">
        <v>2800</v>
      </c>
      <c r="F1093" t="inlineStr">
        <is>
          <t>M&amp;D SPECIALISED FASTENERS (PTY) LTD</t>
        </is>
      </c>
      <c r="G1093" s="1" t="n">
        <v>1.12</v>
      </c>
      <c r="H1093" t="n">
        <v>0</v>
      </c>
      <c r="I1093" t="n">
        <v>0.5</v>
      </c>
      <c r="J1093" t="n">
        <v>200</v>
      </c>
      <c r="K1093" t="n">
        <v>100</v>
      </c>
      <c r="L1093" t="n">
        <v>0</v>
      </c>
      <c r="M1093" t="n">
        <v>0</v>
      </c>
      <c r="N1093" t="n">
        <v>500</v>
      </c>
      <c r="O1093" s="1">
        <f>IFERROR(L1093*G1093,0)</f>
        <v/>
      </c>
      <c r="P1093">
        <f>IF(N1093-L1093-M1093&gt;0,N1093-L1093-M1093,0)</f>
        <v/>
      </c>
      <c r="Q1093" s="1">
        <f>IFERROR(P1093*G1093,0)</f>
        <v/>
      </c>
    </row>
    <row r="1094">
      <c r="A1094" t="inlineStr">
        <is>
          <t>M12 FLAT WASHER (S/S)</t>
        </is>
      </c>
      <c r="B1094" t="inlineStr">
        <is>
          <t>M12x30x3 FLAT WASHER STAINLESS STEEL A2</t>
        </is>
      </c>
      <c r="C1094" t="inlineStr">
        <is>
          <t>FASTENERS</t>
        </is>
      </c>
      <c r="D1094" t="n">
        <v>1</v>
      </c>
      <c r="E1094" t="n">
        <v>250</v>
      </c>
      <c r="F1094" t="inlineStr">
        <is>
          <t>M&amp;D SPECIALISED FASTENERS (PTY) LTD</t>
        </is>
      </c>
      <c r="G1094" s="1" t="n">
        <v>2.5</v>
      </c>
      <c r="H1094" t="n">
        <v>0</v>
      </c>
      <c r="I1094" t="n">
        <v>0.5</v>
      </c>
      <c r="J1094" t="n">
        <v>250</v>
      </c>
      <c r="K1094" t="n">
        <v>125</v>
      </c>
      <c r="L1094" t="n">
        <v>0</v>
      </c>
      <c r="M1094" t="n">
        <v>0</v>
      </c>
      <c r="N1094" t="n">
        <v>625</v>
      </c>
      <c r="O1094" s="1">
        <f>IFERROR(L1094*G1094,0)</f>
        <v/>
      </c>
      <c r="P1094">
        <f>IF(N1094-L1094-M1094&gt;0,N1094-L1094-M1094,0)</f>
        <v/>
      </c>
      <c r="Q1094" s="1">
        <f>IFERROR(P1094*G1094,0)</f>
        <v/>
      </c>
    </row>
    <row r="1095">
      <c r="A1095" t="inlineStr">
        <is>
          <t>M12 HEX NUT (S/S)</t>
        </is>
      </c>
      <c r="B1095" t="inlineStr">
        <is>
          <t>M12 HEX NUT STAINLESS STEEL A2</t>
        </is>
      </c>
      <c r="C1095" t="inlineStr">
        <is>
          <t>FASTENERS</t>
        </is>
      </c>
      <c r="D1095" t="n">
        <v>1</v>
      </c>
      <c r="E1095" t="n">
        <v>150</v>
      </c>
      <c r="F1095" t="inlineStr">
        <is>
          <t>M&amp;D SPECIALISED FASTENERS (PTY) LTD</t>
        </is>
      </c>
      <c r="G1095" s="1" t="n">
        <v>1.8</v>
      </c>
      <c r="H1095" t="n">
        <v>0</v>
      </c>
      <c r="I1095" t="n">
        <v>0.5</v>
      </c>
      <c r="J1095" t="n">
        <v>150</v>
      </c>
      <c r="K1095" t="n">
        <v>75</v>
      </c>
      <c r="L1095" t="n">
        <v>0</v>
      </c>
      <c r="M1095" t="n">
        <v>0</v>
      </c>
      <c r="N1095" t="n">
        <v>375</v>
      </c>
      <c r="O1095" s="1">
        <f>IFERROR(L1095*G1095,0)</f>
        <v/>
      </c>
      <c r="P1095">
        <f>IF(N1095-L1095-M1095&gt;0,N1095-L1095-M1095,0)</f>
        <v/>
      </c>
      <c r="Q1095" s="1">
        <f>IFERROR(P1095*G1095,0)</f>
        <v/>
      </c>
    </row>
    <row r="1096">
      <c r="A1096" t="inlineStr">
        <is>
          <t>M12 S/S</t>
        </is>
      </c>
      <c r="B1096" t="inlineStr">
        <is>
          <t>M12 FLAT WASHER - S/S A2 - 304</t>
        </is>
      </c>
      <c r="C1096" t="inlineStr"/>
      <c r="D1096" t="n">
        <v>1</v>
      </c>
      <c r="E1096" t="n">
        <v>240</v>
      </c>
      <c r="F1096" t="inlineStr">
        <is>
          <t>M&amp;D SPECIALISED FASTENERS (PTY) LTD</t>
        </is>
      </c>
      <c r="G1096" s="1" t="n">
        <v>0.8</v>
      </c>
      <c r="H1096" t="n">
        <v>0</v>
      </c>
      <c r="I1096" t="n">
        <v>1.5</v>
      </c>
      <c r="J1096" t="n">
        <v>240</v>
      </c>
      <c r="K1096" t="n">
        <v>360</v>
      </c>
      <c r="L1096" t="n">
        <v>0</v>
      </c>
      <c r="M1096" t="n">
        <v>0</v>
      </c>
      <c r="N1096" t="n">
        <v>840</v>
      </c>
      <c r="O1096" s="1">
        <f>IFERROR(L1096*G1096,0)</f>
        <v/>
      </c>
      <c r="P1096">
        <f>IF(N1096-L1096-M1096&gt;0,N1096-L1096-M1096,0)</f>
        <v/>
      </c>
      <c r="Q1096" s="1">
        <f>IFERROR(P1096*G1096,0)</f>
        <v/>
      </c>
    </row>
    <row r="1097">
      <c r="A1097" t="inlineStr">
        <is>
          <t>M12*20 HT HEX SET SCREW Z/BLUE 12X20 933 8.8 ZB</t>
        </is>
      </c>
      <c r="B1097" t="inlineStr">
        <is>
          <t>M12*20 HT HEX SET SCREW Z/BLUE 12X20 933 8.8 ZB</t>
        </is>
      </c>
      <c r="C1097" t="inlineStr"/>
      <c r="D1097" t="n">
        <v>9</v>
      </c>
      <c r="E1097" t="n">
        <v>720</v>
      </c>
      <c r="F1097" t="inlineStr">
        <is>
          <t>M&amp;D SPECIALISED FASTENERS (PTY) LTD</t>
        </is>
      </c>
      <c r="G1097" s="1" t="n">
        <v>3</v>
      </c>
      <c r="H1097" t="n">
        <v>0</v>
      </c>
      <c r="I1097" t="n">
        <v>0.6</v>
      </c>
      <c r="J1097" t="n">
        <v>80</v>
      </c>
      <c r="K1097" t="n">
        <v>48</v>
      </c>
      <c r="L1097" t="n">
        <v>0</v>
      </c>
      <c r="M1097" t="n">
        <v>0</v>
      </c>
      <c r="N1097" t="n">
        <v>208</v>
      </c>
      <c r="O1097" s="1">
        <f>IFERROR(L1097*G1097,0)</f>
        <v/>
      </c>
      <c r="P1097">
        <f>IF(N1097-L1097-M1097&gt;0,N1097-L1097-M1097,0)</f>
        <v/>
      </c>
      <c r="Q1097" s="1">
        <f>IFERROR(P1097*G1097,0)</f>
        <v/>
      </c>
    </row>
    <row r="1098">
      <c r="A1098" t="inlineStr">
        <is>
          <t>M12*20(S/S)</t>
        </is>
      </c>
      <c r="B1098" t="inlineStr">
        <is>
          <t>M12*20 HEX SET SCREWS S/S 304 A2</t>
        </is>
      </c>
      <c r="C1098" t="inlineStr">
        <is>
          <t>CONSUMABLES</t>
        </is>
      </c>
      <c r="D1098" t="n">
        <v>1</v>
      </c>
      <c r="E1098" t="n">
        <v>150</v>
      </c>
      <c r="F1098" t="inlineStr"/>
      <c r="G1098" s="1" t="n">
        <v>6</v>
      </c>
      <c r="H1098" t="n">
        <v>0</v>
      </c>
      <c r="I1098" t="n">
        <v>0.5</v>
      </c>
      <c r="J1098" t="n">
        <v>150</v>
      </c>
      <c r="K1098" t="n">
        <v>75</v>
      </c>
      <c r="L1098" t="n">
        <v>0</v>
      </c>
      <c r="M1098" t="n">
        <v>0</v>
      </c>
      <c r="N1098" t="n">
        <v>375</v>
      </c>
      <c r="O1098" s="1">
        <f>IFERROR(L1098*G1098,0)</f>
        <v/>
      </c>
      <c r="P1098">
        <f>IF(N1098-L1098-M1098&gt;0,N1098-L1098-M1098,0)</f>
        <v/>
      </c>
      <c r="Q1098" s="1">
        <f>IFERROR(P1098*G1098,0)</f>
        <v/>
      </c>
    </row>
    <row r="1099">
      <c r="A1099" t="inlineStr">
        <is>
          <t>M12*40</t>
        </is>
      </c>
      <c r="B1099" t="inlineStr">
        <is>
          <t>M12*40 HT HEX NUT Z/BLUE</t>
        </is>
      </c>
      <c r="C1099" t="inlineStr"/>
      <c r="D1099" t="n">
        <v>3</v>
      </c>
      <c r="E1099" t="n">
        <v>520</v>
      </c>
      <c r="F1099" t="inlineStr">
        <is>
          <t>M&amp;D SPECIALISED FASTENERS (PTY) LTD</t>
        </is>
      </c>
      <c r="G1099" s="1" t="n">
        <v>4.92</v>
      </c>
      <c r="H1099" t="n">
        <v>0</v>
      </c>
      <c r="I1099" t="n">
        <v>0.5</v>
      </c>
      <c r="J1099" t="n">
        <v>173.5</v>
      </c>
      <c r="K1099" t="n">
        <v>87</v>
      </c>
      <c r="L1099" t="n">
        <v>0</v>
      </c>
      <c r="M1099" t="n">
        <v>0</v>
      </c>
      <c r="N1099" t="n">
        <v>434</v>
      </c>
      <c r="O1099" s="1">
        <f>IFERROR(L1099*G1099,0)</f>
        <v/>
      </c>
      <c r="P1099">
        <f>IF(N1099-L1099-M1099&gt;0,N1099-L1099-M1099,0)</f>
        <v/>
      </c>
      <c r="Q1099" s="1">
        <f>IFERROR(P1099*G1099,0)</f>
        <v/>
      </c>
    </row>
    <row r="1100">
      <c r="A1100" t="inlineStr">
        <is>
          <t>M12*60</t>
        </is>
      </c>
      <c r="B1100" t="inlineStr">
        <is>
          <t>M12X60 HT HEX SET SCREW Z/BLUE -Silver</t>
        </is>
      </c>
      <c r="C1100" t="inlineStr"/>
      <c r="D1100" t="n">
        <v>6</v>
      </c>
      <c r="E1100" t="n">
        <v>760</v>
      </c>
      <c r="F1100" t="inlineStr">
        <is>
          <t>M&amp;D SPECIALISED FASTENERS (PTY) LTD</t>
        </is>
      </c>
      <c r="G1100" s="1" t="n">
        <v>4.97</v>
      </c>
      <c r="H1100" t="n">
        <v>0</v>
      </c>
      <c r="I1100" t="n">
        <v>0.5</v>
      </c>
      <c r="J1100" t="n">
        <v>127</v>
      </c>
      <c r="K1100" t="n">
        <v>64</v>
      </c>
      <c r="L1100" t="n">
        <v>0</v>
      </c>
      <c r="M1100" t="n">
        <v>0</v>
      </c>
      <c r="N1100" t="n">
        <v>318</v>
      </c>
      <c r="O1100" s="1">
        <f>IFERROR(L1100*G1100,0)</f>
        <v/>
      </c>
      <c r="P1100">
        <f>IF(N1100-L1100-M1100&gt;0,N1100-L1100-M1100,0)</f>
        <v/>
      </c>
      <c r="Q1100" s="1">
        <f>IFERROR(P1100*G1100,0)</f>
        <v/>
      </c>
    </row>
    <row r="1101">
      <c r="A1101" t="inlineStr">
        <is>
          <t>M12*90</t>
        </is>
      </c>
      <c r="B1101" t="inlineStr">
        <is>
          <t>HEX SET SCREW</t>
        </is>
      </c>
      <c r="C1101" t="inlineStr"/>
      <c r="D1101" t="n">
        <v>11</v>
      </c>
      <c r="E1101" t="n">
        <v>940</v>
      </c>
      <c r="F1101" t="inlineStr">
        <is>
          <t>M&amp;D SPECIALISED FASTENERS (PTY) LTD</t>
        </is>
      </c>
      <c r="G1101" s="1" t="n">
        <v>6.42</v>
      </c>
      <c r="H1101" t="n">
        <v>0</v>
      </c>
      <c r="I1101" t="n">
        <v>0.5</v>
      </c>
      <c r="J1101" t="n">
        <v>85.5</v>
      </c>
      <c r="K1101" t="n">
        <v>43</v>
      </c>
      <c r="L1101" t="n">
        <v>0</v>
      </c>
      <c r="M1101" t="n">
        <v>0</v>
      </c>
      <c r="N1101" t="n">
        <v>214</v>
      </c>
      <c r="O1101" s="1">
        <f>IFERROR(L1101*G1101,0)</f>
        <v/>
      </c>
      <c r="P1101">
        <f>IF(N1101-L1101-M1101&gt;0,N1101-L1101-M1101,0)</f>
        <v/>
      </c>
      <c r="Q1101" s="1">
        <f>IFERROR(P1101*G1101,0)</f>
        <v/>
      </c>
    </row>
    <row r="1102">
      <c r="A1102" t="inlineStr">
        <is>
          <t>M12X16</t>
        </is>
      </c>
      <c r="B1102" t="inlineStr">
        <is>
          <t>M12X16 HT HEX SET SCREWS</t>
        </is>
      </c>
      <c r="C1102" t="inlineStr"/>
      <c r="D1102" t="n">
        <v>4</v>
      </c>
      <c r="E1102" t="n">
        <v>800</v>
      </c>
      <c r="F1102" t="inlineStr">
        <is>
          <t>M&amp;D SPECIALISED FASTENERS (PTY) LTD</t>
        </is>
      </c>
      <c r="G1102" s="1" t="n">
        <v>6.25</v>
      </c>
      <c r="H1102" t="n">
        <v>0</v>
      </c>
      <c r="I1102" t="n">
        <v>0.5</v>
      </c>
      <c r="J1102" t="n">
        <v>200</v>
      </c>
      <c r="K1102" t="n">
        <v>100</v>
      </c>
      <c r="L1102" t="n">
        <v>0</v>
      </c>
      <c r="M1102" t="n">
        <v>0</v>
      </c>
      <c r="N1102" t="n">
        <v>500</v>
      </c>
      <c r="O1102" s="1">
        <f>IFERROR(L1102*G1102,0)</f>
        <v/>
      </c>
      <c r="P1102">
        <f>IF(N1102-L1102-M1102&gt;0,N1102-L1102-M1102,0)</f>
        <v/>
      </c>
      <c r="Q1102" s="1">
        <f>IFERROR(P1102*G1102,0)</f>
        <v/>
      </c>
    </row>
    <row r="1103">
      <c r="A1103" t="inlineStr">
        <is>
          <t>M12X25</t>
        </is>
      </c>
      <c r="B1103" t="inlineStr">
        <is>
          <t>M12*25 HT HEX SET SCREW Z/BLUE 12X25 933 8.8 ZB</t>
        </is>
      </c>
      <c r="C1103" t="inlineStr"/>
      <c r="D1103" t="n">
        <v>11</v>
      </c>
      <c r="E1103" t="n">
        <v>1240</v>
      </c>
      <c r="F1103" t="inlineStr">
        <is>
          <t>M&amp;D SPECIALISED FASTENERS (PTY) LTD</t>
        </is>
      </c>
      <c r="G1103" s="1" t="n">
        <v>3</v>
      </c>
      <c r="H1103" t="n">
        <v>0</v>
      </c>
      <c r="I1103" t="n">
        <v>0.5</v>
      </c>
      <c r="J1103" t="n">
        <v>113</v>
      </c>
      <c r="K1103" t="n">
        <v>56</v>
      </c>
      <c r="L1103" t="n">
        <v>0</v>
      </c>
      <c r="M1103" t="n">
        <v>0</v>
      </c>
      <c r="N1103" t="n">
        <v>282</v>
      </c>
      <c r="O1103" s="1">
        <f>IFERROR(L1103*G1103,0)</f>
        <v/>
      </c>
      <c r="P1103">
        <f>IF(N1103-L1103-M1103&gt;0,N1103-L1103-M1103,0)</f>
        <v/>
      </c>
      <c r="Q1103" s="1">
        <f>IFERROR(P1103*G1103,0)</f>
        <v/>
      </c>
    </row>
    <row r="1104">
      <c r="A1104" t="inlineStr">
        <is>
          <t>M12X30X3 FLAT WASHER Z/BLUE 12X30X3 OLD ZB</t>
        </is>
      </c>
      <c r="B1104" t="inlineStr">
        <is>
          <t>M12X30X3 FLAT WASHER Z/BLUE 12X30X3 OLD ZB</t>
        </is>
      </c>
      <c r="C1104" t="inlineStr"/>
      <c r="D1104" t="n">
        <v>21</v>
      </c>
      <c r="E1104" t="n">
        <v>4700</v>
      </c>
      <c r="F1104" t="inlineStr">
        <is>
          <t>M&amp;D SPECIALISED FASTENERS (PTY) LTD</t>
        </is>
      </c>
      <c r="G1104" s="1" t="n">
        <v>0.86</v>
      </c>
      <c r="H1104" t="n">
        <v>0</v>
      </c>
      <c r="I1104" t="n">
        <v>0.5</v>
      </c>
      <c r="J1104" t="n">
        <v>224</v>
      </c>
      <c r="K1104" t="n">
        <v>112</v>
      </c>
      <c r="L1104" t="n">
        <v>0</v>
      </c>
      <c r="M1104" t="n">
        <v>0</v>
      </c>
      <c r="N1104" t="n">
        <v>560</v>
      </c>
      <c r="O1104" s="1">
        <f>IFERROR(L1104*G1104,0)</f>
        <v/>
      </c>
      <c r="P1104">
        <f>IF(N1104-L1104-M1104&gt;0,N1104-L1104-M1104,0)</f>
        <v/>
      </c>
      <c r="Q1104" s="1">
        <f>IFERROR(P1104*G1104,0)</f>
        <v/>
      </c>
    </row>
    <row r="1105">
      <c r="A1105" t="inlineStr">
        <is>
          <t>M12X35</t>
        </is>
      </c>
      <c r="B1105" t="inlineStr">
        <is>
          <t>M12X35 HT Hex Set Screws</t>
        </is>
      </c>
      <c r="C1105" t="inlineStr"/>
      <c r="D1105" t="n">
        <v>9</v>
      </c>
      <c r="E1105" t="n">
        <v>440</v>
      </c>
      <c r="F1105" t="inlineStr">
        <is>
          <t>M&amp;D SPECIALISED FASTENERS (PTY) LTD</t>
        </is>
      </c>
      <c r="G1105" s="1" t="n">
        <v>3</v>
      </c>
      <c r="H1105" t="n">
        <v>0</v>
      </c>
      <c r="I1105" t="n">
        <v>0.5</v>
      </c>
      <c r="J1105" t="n">
        <v>49</v>
      </c>
      <c r="K1105" t="n">
        <v>24</v>
      </c>
      <c r="L1105" t="n">
        <v>0</v>
      </c>
      <c r="M1105" t="n">
        <v>0</v>
      </c>
      <c r="N1105" t="n">
        <v>122</v>
      </c>
      <c r="O1105" s="1">
        <f>IFERROR(L1105*G1105,0)</f>
        <v/>
      </c>
      <c r="P1105">
        <f>IF(N1105-L1105-M1105&gt;0,N1105-L1105-M1105,0)</f>
        <v/>
      </c>
      <c r="Q1105" s="1">
        <f>IFERROR(P1105*G1105,0)</f>
        <v/>
      </c>
    </row>
    <row r="1106">
      <c r="A1106" t="inlineStr">
        <is>
          <t>M13X40X3</t>
        </is>
      </c>
      <c r="B1106" t="inlineStr">
        <is>
          <t>M13X40X3</t>
        </is>
      </c>
      <c r="C1106" t="inlineStr">
        <is>
          <t>CONSUMABLES</t>
        </is>
      </c>
      <c r="D1106" t="n">
        <v>1</v>
      </c>
      <c r="E1106" t="n">
        <v>200</v>
      </c>
      <c r="F1106" t="inlineStr"/>
      <c r="G1106" s="1" t="n">
        <v>1.15</v>
      </c>
      <c r="H1106" t="n">
        <v>0</v>
      </c>
      <c r="I1106" t="n">
        <v>0.5</v>
      </c>
      <c r="J1106" t="n">
        <v>200</v>
      </c>
      <c r="K1106" t="n">
        <v>100</v>
      </c>
      <c r="L1106" t="n">
        <v>0</v>
      </c>
      <c r="M1106" t="n">
        <v>0</v>
      </c>
      <c r="N1106" t="n">
        <v>500</v>
      </c>
      <c r="O1106" s="1">
        <f>IFERROR(L1106*G1106,0)</f>
        <v/>
      </c>
      <c r="P1106">
        <f>IF(N1106-L1106-M1106&gt;0,N1106-L1106-M1106,0)</f>
        <v/>
      </c>
      <c r="Q1106" s="1">
        <f>IFERROR(P1106*G1106,0)</f>
        <v/>
      </c>
    </row>
    <row r="1107">
      <c r="A1107" t="inlineStr">
        <is>
          <t>M14 FLAT WASHER DIN 125A ZINC BLUE (15i / d X 28o/d X 2.5thk) 14 125A ZB</t>
        </is>
      </c>
      <c r="B1107" t="inlineStr">
        <is>
          <t>M14 FLAT WASHER DIN 125A ZINC BLUE (15i / d X 28o/d X 2.5thk) 14 125A ZB</t>
        </is>
      </c>
      <c r="C1107" t="inlineStr"/>
      <c r="D1107" t="n">
        <v>1</v>
      </c>
      <c r="E1107" t="n">
        <v>30</v>
      </c>
      <c r="F1107" t="inlineStr">
        <is>
          <t>M&amp;D SPECIALISED FASTENERS (PTY) LTD</t>
        </is>
      </c>
      <c r="G1107" s="1" t="n">
        <v>0.6</v>
      </c>
      <c r="H1107" t="n">
        <v>0</v>
      </c>
      <c r="I1107" t="n">
        <v>0.5</v>
      </c>
      <c r="J1107" t="n">
        <v>30</v>
      </c>
      <c r="K1107" t="n">
        <v>15</v>
      </c>
      <c r="L1107" t="n">
        <v>0</v>
      </c>
      <c r="M1107" t="n">
        <v>0</v>
      </c>
      <c r="N1107" t="n">
        <v>75</v>
      </c>
      <c r="O1107" s="1">
        <f>IFERROR(L1107*G1107,0)</f>
        <v/>
      </c>
      <c r="P1107">
        <f>IF(N1107-L1107-M1107&gt;0,N1107-L1107-M1107,0)</f>
        <v/>
      </c>
      <c r="Q1107" s="1">
        <f>IFERROR(P1107*G1107,0)</f>
        <v/>
      </c>
    </row>
    <row r="1108">
      <c r="A1108" t="inlineStr">
        <is>
          <t>M14 FLAT WASHER ZB</t>
        </is>
      </c>
      <c r="B1108" t="inlineStr">
        <is>
          <t>M14x30x3 FLAT WASHER Z/BLUE</t>
        </is>
      </c>
      <c r="C1108" t="inlineStr">
        <is>
          <t>FASTENERS</t>
        </is>
      </c>
      <c r="D1108" t="n">
        <v>1</v>
      </c>
      <c r="E1108" t="n">
        <v>100</v>
      </c>
      <c r="F1108" t="inlineStr">
        <is>
          <t>M&amp;D SPECIALISED FASTENERS (PTY) LTD</t>
        </is>
      </c>
      <c r="G1108" s="1" t="n">
        <v>0.6</v>
      </c>
      <c r="H1108" t="n">
        <v>0</v>
      </c>
      <c r="I1108" t="n">
        <v>0.5</v>
      </c>
      <c r="J1108" t="n">
        <v>100</v>
      </c>
      <c r="K1108" t="n">
        <v>50</v>
      </c>
      <c r="L1108" t="n">
        <v>0</v>
      </c>
      <c r="M1108" t="n">
        <v>0</v>
      </c>
      <c r="N1108" t="n">
        <v>250</v>
      </c>
      <c r="O1108" s="1">
        <f>IFERROR(L1108*G1108,0)</f>
        <v/>
      </c>
      <c r="P1108">
        <f>IF(N1108-L1108-M1108&gt;0,N1108-L1108-M1108,0)</f>
        <v/>
      </c>
      <c r="Q1108" s="1">
        <f>IFERROR(P1108*G1108,0)</f>
        <v/>
      </c>
    </row>
    <row r="1109">
      <c r="A1109" t="inlineStr">
        <is>
          <t>M14 HT NYLOCK NUT 14 985 GR8</t>
        </is>
      </c>
      <c r="B1109" t="inlineStr">
        <is>
          <t>M14 HT NYLOCK NUT 14 985 GR8</t>
        </is>
      </c>
      <c r="C1109" t="inlineStr"/>
      <c r="D1109" t="n">
        <v>19</v>
      </c>
      <c r="E1109" t="n">
        <v>280</v>
      </c>
      <c r="F1109" t="inlineStr">
        <is>
          <t>M&amp;D SPECIALISED FASTENERS (PTY) LTD</t>
        </is>
      </c>
      <c r="G1109" s="1" t="n">
        <v>1.3</v>
      </c>
      <c r="H1109" t="n">
        <v>0</v>
      </c>
      <c r="I1109" t="n">
        <v>0.5</v>
      </c>
      <c r="J1109" t="n">
        <v>15</v>
      </c>
      <c r="K1109" t="n">
        <v>8</v>
      </c>
      <c r="L1109" t="n">
        <v>0</v>
      </c>
      <c r="M1109" t="n">
        <v>0</v>
      </c>
      <c r="N1109" t="n">
        <v>38</v>
      </c>
      <c r="O1109" s="1">
        <f>IFERROR(L1109*G1109,0)</f>
        <v/>
      </c>
      <c r="P1109">
        <f>IF(N1109-L1109-M1109&gt;0,N1109-L1109-M1109,0)</f>
        <v/>
      </c>
      <c r="Q1109" s="1">
        <f>IFERROR(P1109*G1109,0)</f>
        <v/>
      </c>
    </row>
    <row r="1110">
      <c r="A1110" t="inlineStr">
        <is>
          <t>M14*50 HT HEX SET SCREW Z/BLUE 14X50 933 8 . 8 ZB</t>
        </is>
      </c>
      <c r="B1110" t="inlineStr">
        <is>
          <t>M14*50 HT HEX SET SCREW Z/BLUE 14X50 933 8 . 8 ZB</t>
        </is>
      </c>
      <c r="C1110" t="inlineStr"/>
      <c r="D1110" t="n">
        <v>1</v>
      </c>
      <c r="E1110" t="n">
        <v>30</v>
      </c>
      <c r="F1110" t="inlineStr">
        <is>
          <t>M&amp;D SPECIALISED FASTENERS (PTY) LTD</t>
        </is>
      </c>
      <c r="G1110" s="1" t="n">
        <v>8</v>
      </c>
      <c r="H1110" t="n">
        <v>0</v>
      </c>
      <c r="I1110" t="n">
        <v>0.5</v>
      </c>
      <c r="J1110" t="n">
        <v>30</v>
      </c>
      <c r="K1110" t="n">
        <v>15</v>
      </c>
      <c r="L1110" t="n">
        <v>0</v>
      </c>
      <c r="M1110" t="n">
        <v>0</v>
      </c>
      <c r="N1110" t="n">
        <v>75</v>
      </c>
      <c r="O1110" s="1">
        <f>IFERROR(L1110*G1110,0)</f>
        <v/>
      </c>
      <c r="P1110">
        <f>IF(N1110-L1110-M1110&gt;0,N1110-L1110-M1110,0)</f>
        <v/>
      </c>
      <c r="Q1110" s="1">
        <f>IFERROR(P1110*G1110,0)</f>
        <v/>
      </c>
    </row>
    <row r="1111">
      <c r="A1111" t="inlineStr">
        <is>
          <t>M14X65 Hex Set Screw</t>
        </is>
      </c>
      <c r="B1111" t="inlineStr">
        <is>
          <t>M14*65 HT HEX SET SCREW Z/BLUE</t>
        </is>
      </c>
      <c r="C1111" t="inlineStr">
        <is>
          <t>FASTENERS</t>
        </is>
      </c>
      <c r="D1111" t="n">
        <v>1</v>
      </c>
      <c r="E1111" t="n">
        <v>100</v>
      </c>
      <c r="F1111" t="inlineStr">
        <is>
          <t>M&amp;D SPECIALISED FASTENERS (PTY) LTD</t>
        </is>
      </c>
      <c r="G1111" s="1" t="n">
        <v>6.5</v>
      </c>
      <c r="H1111" t="n">
        <v>0</v>
      </c>
      <c r="I1111" t="n">
        <v>0.5</v>
      </c>
      <c r="J1111" t="n">
        <v>100</v>
      </c>
      <c r="K1111" t="n">
        <v>50</v>
      </c>
      <c r="L1111" t="n">
        <v>0</v>
      </c>
      <c r="M1111" t="n">
        <v>0</v>
      </c>
      <c r="N1111" t="n">
        <v>250</v>
      </c>
      <c r="O1111" s="1">
        <f>IFERROR(L1111*G1111,0)</f>
        <v/>
      </c>
      <c r="P1111">
        <f>IF(N1111-L1111-M1111&gt;0,N1111-L1111-M1111,0)</f>
        <v/>
      </c>
      <c r="Q1111" s="1">
        <f>IFERROR(P1111*G1111,0)</f>
        <v/>
      </c>
    </row>
    <row r="1112">
      <c r="A1112" t="inlineStr">
        <is>
          <t>M16 FLAT WASHER (S/S)</t>
        </is>
      </c>
      <c r="B1112" t="inlineStr">
        <is>
          <t>M16 FLAT WASHER STAINLESS STEEL A2</t>
        </is>
      </c>
      <c r="C1112" t="inlineStr">
        <is>
          <t>FASTENERS</t>
        </is>
      </c>
      <c r="D1112" t="n">
        <v>1</v>
      </c>
      <c r="E1112" t="n">
        <v>100</v>
      </c>
      <c r="F1112" t="inlineStr">
        <is>
          <t>M&amp;D SPECIALISED FASTENERS (PTY) LTD</t>
        </is>
      </c>
      <c r="G1112" s="1" t="n">
        <v>1.3</v>
      </c>
      <c r="H1112" t="n">
        <v>0</v>
      </c>
      <c r="I1112" t="n">
        <v>0.5</v>
      </c>
      <c r="J1112" t="n">
        <v>100</v>
      </c>
      <c r="K1112" t="n">
        <v>50</v>
      </c>
      <c r="L1112" t="n">
        <v>0</v>
      </c>
      <c r="M1112" t="n">
        <v>0</v>
      </c>
      <c r="N1112" t="n">
        <v>250</v>
      </c>
      <c r="O1112" s="1">
        <f>IFERROR(L1112*G1112,0)</f>
        <v/>
      </c>
      <c r="P1112">
        <f>IF(N1112-L1112-M1112&gt;0,N1112-L1112-M1112,0)</f>
        <v/>
      </c>
      <c r="Q1112" s="1">
        <f>IFERROR(P1112*G1112,0)</f>
        <v/>
      </c>
    </row>
    <row r="1113">
      <c r="A1113" t="inlineStr">
        <is>
          <t>M16 FLAT WASHER DIN (17i/d X 30o/d 3thk) S/S A2</t>
        </is>
      </c>
      <c r="B1113" t="inlineStr">
        <is>
          <t>M16 FLAT WASHER DIN (17i/d x 30o/d X 3thk) S/S A2</t>
        </is>
      </c>
      <c r="C1113" t="inlineStr"/>
      <c r="D1113" t="n">
        <v>2</v>
      </c>
      <c r="E1113" t="n">
        <v>360</v>
      </c>
      <c r="F1113" t="inlineStr">
        <is>
          <t>M&amp;D SPECIALISED FASTENERS (PTY) LTD</t>
        </is>
      </c>
      <c r="G1113" s="1" t="n">
        <v>1.3</v>
      </c>
      <c r="H1113" t="n">
        <v>0</v>
      </c>
      <c r="I1113" t="n">
        <v>0.8</v>
      </c>
      <c r="J1113" t="n">
        <v>180</v>
      </c>
      <c r="K1113" t="n">
        <v>144</v>
      </c>
      <c r="L1113" t="n">
        <v>0</v>
      </c>
      <c r="M1113" t="n">
        <v>0</v>
      </c>
      <c r="N1113" t="n">
        <v>504</v>
      </c>
      <c r="O1113" s="1">
        <f>IFERROR(L1113*G1113,0)</f>
        <v/>
      </c>
      <c r="P1113">
        <f>IF(N1113-L1113-M1113&gt;0,N1113-L1113-M1113,0)</f>
        <v/>
      </c>
      <c r="Q1113" s="1">
        <f>IFERROR(P1113*G1113,0)</f>
        <v/>
      </c>
    </row>
    <row r="1114">
      <c r="A1114" t="inlineStr">
        <is>
          <t>M16 FLAT WASHER DIN 125A ZINC BLUE (17i/d X 30o/d 3thk) 16 125A ZB</t>
        </is>
      </c>
      <c r="B1114" t="inlineStr">
        <is>
          <t>M16 FLAT WASHER DIN 125A ZINC BLUE (17i/d X 30o/d 3thk) 16 125A ZB</t>
        </is>
      </c>
      <c r="C1114" t="inlineStr"/>
      <c r="D1114" t="n">
        <v>20</v>
      </c>
      <c r="E1114" t="n">
        <v>6682</v>
      </c>
      <c r="F1114" t="inlineStr">
        <is>
          <t>M&amp;D SPECIALISED FASTENERS (PTY) LTD</t>
        </is>
      </c>
      <c r="G1114" s="1" t="n">
        <v>0.8</v>
      </c>
      <c r="H1114" t="n">
        <v>0</v>
      </c>
      <c r="I1114" t="n">
        <v>0.5</v>
      </c>
      <c r="J1114" t="n">
        <v>334.5</v>
      </c>
      <c r="K1114" t="n">
        <v>167</v>
      </c>
      <c r="L1114" t="n">
        <v>0</v>
      </c>
      <c r="M1114" t="n">
        <v>0</v>
      </c>
      <c r="N1114" t="n">
        <v>836</v>
      </c>
      <c r="O1114" s="1">
        <f>IFERROR(L1114*G1114,0)</f>
        <v/>
      </c>
      <c r="P1114">
        <f>IF(N1114-L1114-M1114&gt;0,N1114-L1114-M1114,0)</f>
        <v/>
      </c>
      <c r="Q1114" s="1">
        <f>IFERROR(P1114*G1114,0)</f>
        <v/>
      </c>
    </row>
    <row r="1115">
      <c r="A1115" t="inlineStr">
        <is>
          <t>M16 GR8 HEX NUT Z/BLUE 16 934 GR8 ZB</t>
        </is>
      </c>
      <c r="B1115" t="inlineStr">
        <is>
          <t>M16 GR8 HEX NUT Z/BLUE 16 934 GR8 ZB</t>
        </is>
      </c>
      <c r="C1115" t="inlineStr"/>
      <c r="D1115" t="n">
        <v>21</v>
      </c>
      <c r="E1115" t="n">
        <v>4624</v>
      </c>
      <c r="F1115" t="inlineStr">
        <is>
          <t>M&amp;D SPECIALISED FASTENERS (PTY) LTD</t>
        </is>
      </c>
      <c r="G1115" s="1" t="n">
        <v>2.02</v>
      </c>
      <c r="H1115" t="n">
        <v>0</v>
      </c>
      <c r="I1115" t="n">
        <v>0.5</v>
      </c>
      <c r="J1115" t="n">
        <v>220.5</v>
      </c>
      <c r="K1115" t="n">
        <v>110</v>
      </c>
      <c r="L1115" t="n">
        <v>0</v>
      </c>
      <c r="M1115" t="n">
        <v>0</v>
      </c>
      <c r="N1115" t="n">
        <v>551</v>
      </c>
      <c r="O1115" s="1">
        <f>IFERROR(L1115*G1115,0)</f>
        <v/>
      </c>
      <c r="P1115">
        <f>IF(N1115-L1115-M1115&gt;0,N1115-L1115-M1115,0)</f>
        <v/>
      </c>
      <c r="Q1115" s="1">
        <f>IFERROR(P1115*G1115,0)</f>
        <v/>
      </c>
    </row>
    <row r="1116">
      <c r="A1116" t="inlineStr">
        <is>
          <t>M16 HEX</t>
        </is>
      </c>
      <c r="B1116" t="inlineStr">
        <is>
          <t>M16 HEX NUT HOT DIP GALV</t>
        </is>
      </c>
      <c r="C1116" t="inlineStr"/>
      <c r="D1116" t="n">
        <v>1</v>
      </c>
      <c r="E1116" t="n">
        <v>4</v>
      </c>
      <c r="F1116" t="inlineStr">
        <is>
          <t>M&amp;D SPECIALISED FASTENERS (PTY) LTD</t>
        </is>
      </c>
      <c r="G1116" s="1" t="n">
        <v>2</v>
      </c>
      <c r="H1116" t="n">
        <v>0</v>
      </c>
      <c r="I1116" t="n">
        <v>0.5</v>
      </c>
      <c r="J1116" t="n">
        <v>4</v>
      </c>
      <c r="K1116" t="n">
        <v>2</v>
      </c>
      <c r="L1116" t="n">
        <v>0</v>
      </c>
      <c r="M1116" t="n">
        <v>0</v>
      </c>
      <c r="N1116" t="n">
        <v>10</v>
      </c>
      <c r="O1116" s="1">
        <f>IFERROR(L1116*G1116,0)</f>
        <v/>
      </c>
      <c r="P1116">
        <f>IF(N1116-L1116-M1116&gt;0,N1116-L1116-M1116,0)</f>
        <v/>
      </c>
      <c r="Q1116" s="1">
        <f>IFERROR(P1116*G1116,0)</f>
        <v/>
      </c>
    </row>
    <row r="1117">
      <c r="A1117" t="inlineStr">
        <is>
          <t>M16 HEX NUT (S/S)</t>
        </is>
      </c>
      <c r="B1117" t="inlineStr">
        <is>
          <t>M16 HEX NUT STAINLESS STEEL A2</t>
        </is>
      </c>
      <c r="C1117" t="inlineStr">
        <is>
          <t>FASTENERS</t>
        </is>
      </c>
      <c r="D1117" t="n">
        <v>1</v>
      </c>
      <c r="E1117" t="n">
        <v>200</v>
      </c>
      <c r="F1117" t="inlineStr">
        <is>
          <t>M&amp;D SPECIALISED FASTENERS (PTY) LTD</t>
        </is>
      </c>
      <c r="G1117" s="1" t="n">
        <v>3.5</v>
      </c>
      <c r="H1117" t="n">
        <v>0</v>
      </c>
      <c r="I1117" t="n">
        <v>0.5</v>
      </c>
      <c r="J1117" t="n">
        <v>200</v>
      </c>
      <c r="K1117" t="n">
        <v>100</v>
      </c>
      <c r="L1117" t="n">
        <v>0</v>
      </c>
      <c r="M1117" t="n">
        <v>0</v>
      </c>
      <c r="N1117" t="n">
        <v>500</v>
      </c>
      <c r="O1117" s="1">
        <f>IFERROR(L1117*G1117,0)</f>
        <v/>
      </c>
      <c r="P1117">
        <f>IF(N1117-L1117-M1117&gt;0,N1117-L1117-M1117,0)</f>
        <v/>
      </c>
      <c r="Q1117" s="1">
        <f>IFERROR(P1117*G1117,0)</f>
        <v/>
      </c>
    </row>
    <row r="1118">
      <c r="A1118" t="inlineStr">
        <is>
          <t>M16 LOCK NUT</t>
        </is>
      </c>
      <c r="B1118" t="inlineStr">
        <is>
          <t>M16 HT LOCK NUT</t>
        </is>
      </c>
      <c r="C1118" t="inlineStr"/>
      <c r="D1118" t="n">
        <v>1</v>
      </c>
      <c r="E1118" t="n">
        <v>300</v>
      </c>
      <c r="F1118" t="inlineStr">
        <is>
          <t>M&amp;D SPECIALISED FASTENERS (PTY) LTD</t>
        </is>
      </c>
      <c r="G1118" s="1" t="n">
        <v>1.8</v>
      </c>
      <c r="H1118" t="n">
        <v>0</v>
      </c>
      <c r="I1118" t="n">
        <v>0.5</v>
      </c>
      <c r="J1118" t="n">
        <v>300</v>
      </c>
      <c r="K1118" t="n">
        <v>150</v>
      </c>
      <c r="L1118" t="n">
        <v>0</v>
      </c>
      <c r="M1118" t="n">
        <v>0</v>
      </c>
      <c r="N1118" t="n">
        <v>750</v>
      </c>
      <c r="O1118" s="1">
        <f>IFERROR(L1118*G1118,0)</f>
        <v/>
      </c>
      <c r="P1118">
        <f>IF(N1118-L1118-M1118&gt;0,N1118-L1118-M1118,0)</f>
        <v/>
      </c>
      <c r="Q1118" s="1">
        <f>IFERROR(P1118*G1118,0)</f>
        <v/>
      </c>
    </row>
    <row r="1119">
      <c r="A1119" t="inlineStr">
        <is>
          <t>M16*1</t>
        </is>
      </c>
      <c r="B1119" t="inlineStr">
        <is>
          <t>MM16*1 M/S THREADED ROD Z/BLUE - 16*1 975 ZB</t>
        </is>
      </c>
      <c r="C1119" t="inlineStr"/>
      <c r="D1119" t="n">
        <v>6</v>
      </c>
      <c r="E1119" t="n">
        <v>30</v>
      </c>
      <c r="F1119" t="inlineStr">
        <is>
          <t>M&amp;D SPECIALISED FASTENERS (PTY) LTD</t>
        </is>
      </c>
      <c r="G1119" s="1" t="n">
        <v>75</v>
      </c>
      <c r="H1119" t="n">
        <v>0</v>
      </c>
      <c r="I1119" t="n">
        <v>0.5</v>
      </c>
      <c r="J1119" t="n">
        <v>5</v>
      </c>
      <c r="K1119" t="n">
        <v>2</v>
      </c>
      <c r="L1119" t="n">
        <v>0</v>
      </c>
      <c r="M1119" t="n">
        <v>0</v>
      </c>
      <c r="N1119" t="n">
        <v>12</v>
      </c>
      <c r="O1119" s="1">
        <f>IFERROR(L1119*G1119,0)</f>
        <v/>
      </c>
      <c r="P1119">
        <f>IF(N1119-L1119-M1119&gt;0,N1119-L1119-M1119,0)</f>
        <v/>
      </c>
      <c r="Q1119" s="1">
        <f>IFERROR(P1119*G1119,0)</f>
        <v/>
      </c>
    </row>
    <row r="1120">
      <c r="A1120" t="inlineStr">
        <is>
          <t>M16*110</t>
        </is>
      </c>
      <c r="B1120" t="inlineStr">
        <is>
          <t>M16*110 GR8.8 HEX BOLT HOT</t>
        </is>
      </c>
      <c r="C1120" t="inlineStr"/>
      <c r="D1120" t="n">
        <v>1</v>
      </c>
      <c r="E1120" t="n">
        <v>4</v>
      </c>
      <c r="F1120" t="inlineStr">
        <is>
          <t>M&amp;D SPECIALISED FASTENERS (PTY) LTD</t>
        </is>
      </c>
      <c r="G1120" s="1" t="n">
        <v>20</v>
      </c>
      <c r="H1120" t="n">
        <v>0</v>
      </c>
      <c r="I1120" t="n">
        <v>0.5</v>
      </c>
      <c r="J1120" t="n">
        <v>4</v>
      </c>
      <c r="K1120" t="n">
        <v>2</v>
      </c>
      <c r="L1120" t="n">
        <v>0</v>
      </c>
      <c r="M1120" t="n">
        <v>0</v>
      </c>
      <c r="N1120" t="n">
        <v>10</v>
      </c>
      <c r="O1120" s="1">
        <f>IFERROR(L1120*G1120,0)</f>
        <v/>
      </c>
      <c r="P1120">
        <f>IF(N1120-L1120-M1120&gt;0,N1120-L1120-M1120,0)</f>
        <v/>
      </c>
      <c r="Q1120" s="1">
        <f>IFERROR(P1120*G1120,0)</f>
        <v/>
      </c>
    </row>
    <row r="1121">
      <c r="A1121" t="inlineStr">
        <is>
          <t>M16*120 (S/S)</t>
        </is>
      </c>
      <c r="B1121" t="inlineStr">
        <is>
          <t>M16*120 HT HEX SET SCREW (S/S) A2</t>
        </is>
      </c>
      <c r="C1121" t="inlineStr">
        <is>
          <t>FASTENERS</t>
        </is>
      </c>
      <c r="D1121" t="n">
        <v>1</v>
      </c>
      <c r="E1121" t="n">
        <v>150</v>
      </c>
      <c r="F1121" t="inlineStr">
        <is>
          <t>M&amp;D SPECIALISED FASTENERS (PTY) LTD</t>
        </is>
      </c>
      <c r="G1121" s="1" t="n">
        <v>45</v>
      </c>
      <c r="H1121" t="n">
        <v>0</v>
      </c>
      <c r="I1121" t="n">
        <v>0.5</v>
      </c>
      <c r="J1121" t="n">
        <v>150</v>
      </c>
      <c r="K1121" t="n">
        <v>75</v>
      </c>
      <c r="L1121" t="n">
        <v>0</v>
      </c>
      <c r="M1121" t="n">
        <v>0</v>
      </c>
      <c r="N1121" t="n">
        <v>375</v>
      </c>
      <c r="O1121" s="1">
        <f>IFERROR(L1121*G1121,0)</f>
        <v/>
      </c>
      <c r="P1121">
        <f>IF(N1121-L1121-M1121&gt;0,N1121-L1121-M1121,0)</f>
        <v/>
      </c>
      <c r="Q1121" s="1">
        <f>IFERROR(P1121*G1121,0)</f>
        <v/>
      </c>
    </row>
    <row r="1122">
      <c r="A1122" t="inlineStr">
        <is>
          <t>M16*120 HT HEX SET SCREW</t>
        </is>
      </c>
      <c r="B1122" t="inlineStr">
        <is>
          <t>M16*120 HT HEX SET SCREW 16X120 933 8.8</t>
        </is>
      </c>
      <c r="C1122" t="inlineStr"/>
      <c r="D1122" t="n">
        <v>20</v>
      </c>
      <c r="E1122" t="n">
        <v>1450</v>
      </c>
      <c r="F1122" t="inlineStr">
        <is>
          <t>M&amp;D SPECIALISED FASTENERS (PTY) LTD</t>
        </is>
      </c>
      <c r="G1122" s="1" t="n">
        <v>18.05</v>
      </c>
      <c r="H1122" t="n">
        <v>0</v>
      </c>
      <c r="I1122" t="n">
        <v>0.5</v>
      </c>
      <c r="J1122" t="n">
        <v>72.5</v>
      </c>
      <c r="K1122" t="n">
        <v>36</v>
      </c>
      <c r="L1122" t="n">
        <v>0</v>
      </c>
      <c r="M1122" t="n">
        <v>0</v>
      </c>
      <c r="N1122" t="n">
        <v>181</v>
      </c>
      <c r="O1122" s="1">
        <f>IFERROR(L1122*G1122,0)</f>
        <v/>
      </c>
      <c r="P1122">
        <f>IF(N1122-L1122-M1122&gt;0,N1122-L1122-M1122,0)</f>
        <v/>
      </c>
      <c r="Q1122" s="1">
        <f>IFERROR(P1122*G1122,0)</f>
        <v/>
      </c>
    </row>
    <row r="1123">
      <c r="A1123" t="inlineStr">
        <is>
          <t>M16*20</t>
        </is>
      </c>
      <c r="B1123" t="inlineStr">
        <is>
          <t>M16*20 Hex Set Screws</t>
        </is>
      </c>
      <c r="C1123" t="inlineStr"/>
      <c r="D1123" t="n">
        <v>3</v>
      </c>
      <c r="E1123" t="n">
        <v>420</v>
      </c>
      <c r="F1123" t="inlineStr">
        <is>
          <t>M&amp;D SPECIALISED FASTENERS (PTY) LTD</t>
        </is>
      </c>
      <c r="G1123" s="1" t="n">
        <v>7.14</v>
      </c>
      <c r="H1123" t="n">
        <v>0</v>
      </c>
      <c r="I1123" t="n">
        <v>0.5</v>
      </c>
      <c r="J1123" t="n">
        <v>140</v>
      </c>
      <c r="K1123" t="n">
        <v>70</v>
      </c>
      <c r="L1123" t="n">
        <v>0</v>
      </c>
      <c r="M1123" t="n">
        <v>0</v>
      </c>
      <c r="N1123" t="n">
        <v>350</v>
      </c>
      <c r="O1123" s="1">
        <f>IFERROR(L1123*G1123,0)</f>
        <v/>
      </c>
      <c r="P1123">
        <f>IF(N1123-L1123-M1123&gt;0,N1123-L1123-M1123,0)</f>
        <v/>
      </c>
      <c r="Q1123" s="1">
        <f>IFERROR(P1123*G1123,0)</f>
        <v/>
      </c>
    </row>
    <row r="1124">
      <c r="A1124" t="inlineStr">
        <is>
          <t>M16*20(S/S)</t>
        </is>
      </c>
      <c r="B1124" t="inlineStr">
        <is>
          <t>M16*20 Hex Set Screws A2</t>
        </is>
      </c>
      <c r="C1124" t="inlineStr">
        <is>
          <t>CONSUMABLES</t>
        </is>
      </c>
      <c r="D1124" t="n">
        <v>1</v>
      </c>
      <c r="E1124" t="n">
        <v>85</v>
      </c>
      <c r="F1124" t="inlineStr"/>
      <c r="G1124" s="1" t="n">
        <v>11</v>
      </c>
      <c r="H1124" t="n">
        <v>0</v>
      </c>
      <c r="I1124" t="n">
        <v>0.5</v>
      </c>
      <c r="J1124" t="n">
        <v>85</v>
      </c>
      <c r="K1124" t="n">
        <v>42</v>
      </c>
      <c r="L1124" t="n">
        <v>0</v>
      </c>
      <c r="M1124" t="n">
        <v>0</v>
      </c>
      <c r="N1124" t="n">
        <v>212</v>
      </c>
      <c r="O1124" s="1">
        <f>IFERROR(L1124*G1124,0)</f>
        <v/>
      </c>
      <c r="P1124">
        <f>IF(N1124-L1124-M1124&gt;0,N1124-L1124-M1124,0)</f>
        <v/>
      </c>
      <c r="Q1124" s="1">
        <f>IFERROR(P1124*G1124,0)</f>
        <v/>
      </c>
    </row>
    <row r="1125">
      <c r="A1125" t="inlineStr">
        <is>
          <t>M16*25(S/S)</t>
        </is>
      </c>
      <c r="B1125" t="inlineStr">
        <is>
          <t>M16*25 A2 HEX SET SCREW 933 A2</t>
        </is>
      </c>
      <c r="C1125" t="inlineStr">
        <is>
          <t>CONSUMABLES</t>
        </is>
      </c>
      <c r="D1125" t="n">
        <v>1</v>
      </c>
      <c r="E1125" t="n">
        <v>65</v>
      </c>
      <c r="F1125" t="inlineStr"/>
      <c r="G1125" s="1" t="n">
        <v>11</v>
      </c>
      <c r="H1125" t="n">
        <v>0</v>
      </c>
      <c r="I1125" t="n">
        <v>0.5</v>
      </c>
      <c r="J1125" t="n">
        <v>65</v>
      </c>
      <c r="K1125" t="n">
        <v>32</v>
      </c>
      <c r="L1125" t="n">
        <v>0</v>
      </c>
      <c r="M1125" t="n">
        <v>0</v>
      </c>
      <c r="N1125" t="n">
        <v>162</v>
      </c>
      <c r="O1125" s="1">
        <f>IFERROR(L1125*G1125,0)</f>
        <v/>
      </c>
      <c r="P1125">
        <f>IF(N1125-L1125-M1125&gt;0,N1125-L1125-M1125,0)</f>
        <v/>
      </c>
      <c r="Q1125" s="1">
        <f>IFERROR(P1125*G1125,0)</f>
        <v/>
      </c>
    </row>
    <row r="1126">
      <c r="A1126" t="inlineStr">
        <is>
          <t>M16*40 HT HEX SET SCREW 8 . 8 Z/BLUE 16X40 933 8 . 8 ZB</t>
        </is>
      </c>
      <c r="B1126" t="inlineStr">
        <is>
          <t>M16*40 HT HEX SET SCREW 8 . 8 Z/BLUE 16X40 933 8 . 8 ZB</t>
        </is>
      </c>
      <c r="C1126" t="inlineStr"/>
      <c r="D1126" t="n">
        <v>5</v>
      </c>
      <c r="E1126" t="n">
        <v>320</v>
      </c>
      <c r="F1126" t="inlineStr">
        <is>
          <t>M&amp;D SPECIALISED FASTENERS (PTY) LTD</t>
        </is>
      </c>
      <c r="G1126" s="1" t="n">
        <v>6</v>
      </c>
      <c r="H1126" t="n">
        <v>0</v>
      </c>
      <c r="I1126" t="n">
        <v>0.5</v>
      </c>
      <c r="J1126" t="n">
        <v>64</v>
      </c>
      <c r="K1126" t="n">
        <v>32</v>
      </c>
      <c r="L1126" t="n">
        <v>0</v>
      </c>
      <c r="M1126" t="n">
        <v>0</v>
      </c>
      <c r="N1126" t="n">
        <v>160</v>
      </c>
      <c r="O1126" s="1">
        <f>IFERROR(L1126*G1126,0)</f>
        <v/>
      </c>
      <c r="P1126">
        <f>IF(N1126-L1126-M1126&gt;0,N1126-L1126-M1126,0)</f>
        <v/>
      </c>
      <c r="Q1126" s="1">
        <f>IFERROR(P1126*G1126,0)</f>
        <v/>
      </c>
    </row>
    <row r="1127">
      <c r="A1127" t="inlineStr">
        <is>
          <t>M16X110 HT SET SCREW 16X110 933 8.8</t>
        </is>
      </c>
      <c r="B1127" t="inlineStr">
        <is>
          <t>M16X110 HT SET SCREW 16X110 933 8.8</t>
        </is>
      </c>
      <c r="C1127" t="inlineStr"/>
      <c r="D1127" t="n">
        <v>1</v>
      </c>
      <c r="E1127" t="n">
        <v>10</v>
      </c>
      <c r="F1127" t="inlineStr">
        <is>
          <t>M&amp;D SPECIALISED FASTENERS (PTY) LTD</t>
        </is>
      </c>
      <c r="G1127" s="1" t="n">
        <v>20</v>
      </c>
      <c r="H1127" t="n">
        <v>0</v>
      </c>
      <c r="I1127" t="n">
        <v>1.6</v>
      </c>
      <c r="J1127" t="n">
        <v>10</v>
      </c>
      <c r="K1127" t="n">
        <v>16</v>
      </c>
      <c r="L1127" t="n">
        <v>0</v>
      </c>
      <c r="M1127" t="n">
        <v>0</v>
      </c>
      <c r="N1127" t="n">
        <v>36</v>
      </c>
      <c r="O1127" s="1">
        <f>IFERROR(L1127*G1127,0)</f>
        <v/>
      </c>
      <c r="P1127">
        <f>IF(N1127-L1127-M1127&gt;0,N1127-L1127-M1127,0)</f>
        <v/>
      </c>
      <c r="Q1127" s="1">
        <f>IFERROR(P1127*G1127,0)</f>
        <v/>
      </c>
    </row>
    <row r="1128">
      <c r="A1128" t="inlineStr">
        <is>
          <t>M16X130 HT</t>
        </is>
      </c>
      <c r="B1128" t="inlineStr">
        <is>
          <t>M16X130 HT SET SCREW MECH</t>
        </is>
      </c>
      <c r="C1128" t="inlineStr"/>
      <c r="D1128" t="n">
        <v>1</v>
      </c>
      <c r="E1128" t="n">
        <v>2</v>
      </c>
      <c r="F1128" t="inlineStr">
        <is>
          <t>M&amp;D SPECIALISED FASTENERS (PTY) LTD</t>
        </is>
      </c>
      <c r="G1128" s="1" t="n">
        <v>65</v>
      </c>
      <c r="H1128" t="n">
        <v>0</v>
      </c>
      <c r="I1128" t="n">
        <v>0.5</v>
      </c>
      <c r="J1128" t="n">
        <v>2</v>
      </c>
      <c r="K1128" t="n">
        <v>1</v>
      </c>
      <c r="L1128" t="n">
        <v>0</v>
      </c>
      <c r="M1128" t="n">
        <v>0</v>
      </c>
      <c r="N1128" t="n">
        <v>5</v>
      </c>
      <c r="O1128" s="1">
        <f>IFERROR(L1128*G1128,0)</f>
        <v/>
      </c>
      <c r="P1128">
        <f>IF(N1128-L1128-M1128&gt;0,N1128-L1128-M1128,0)</f>
        <v/>
      </c>
      <c r="Q1128" s="1">
        <f>IFERROR(P1128*G1128,0)</f>
        <v/>
      </c>
    </row>
    <row r="1129">
      <c r="A1129" t="inlineStr">
        <is>
          <t>M16X90</t>
        </is>
      </c>
      <c r="B1129" t="inlineStr">
        <is>
          <t>M16X90 HT HEX SET SCREWS Z/BLUE</t>
        </is>
      </c>
      <c r="C1129" t="inlineStr"/>
      <c r="D1129" t="n">
        <v>1</v>
      </c>
      <c r="E1129" t="n">
        <v>300</v>
      </c>
      <c r="F1129" t="inlineStr">
        <is>
          <t>M&amp;D SPECIALISED FASTENERS (PTY) LTD</t>
        </is>
      </c>
      <c r="G1129" s="1" t="n">
        <v>12</v>
      </c>
      <c r="H1129" t="n">
        <v>0</v>
      </c>
      <c r="I1129" t="n">
        <v>0.5</v>
      </c>
      <c r="J1129" t="n">
        <v>300</v>
      </c>
      <c r="K1129" t="n">
        <v>150</v>
      </c>
      <c r="L1129" t="n">
        <v>0</v>
      </c>
      <c r="M1129" t="n">
        <v>0</v>
      </c>
      <c r="N1129" t="n">
        <v>750</v>
      </c>
      <c r="O1129" s="1">
        <f>IFERROR(L1129*G1129,0)</f>
        <v/>
      </c>
      <c r="P1129">
        <f>IF(N1129-L1129-M1129&gt;0,N1129-L1129-M1129,0)</f>
        <v/>
      </c>
      <c r="Q1129" s="1">
        <f>IFERROR(P1129*G1129,0)</f>
        <v/>
      </c>
    </row>
    <row r="1130">
      <c r="A1130" t="inlineStr">
        <is>
          <t>M20 DIN 580 TESTED EYE BOLT GALV M20EYE OLD</t>
        </is>
      </c>
      <c r="B1130" t="inlineStr">
        <is>
          <t>M20 DIN 580 TESTED EYE BOLT GALV M20EYE OLD</t>
        </is>
      </c>
      <c r="C1130" t="inlineStr"/>
      <c r="D1130" t="n">
        <v>1</v>
      </c>
      <c r="E1130" t="n">
        <v>8</v>
      </c>
      <c r="F1130" t="inlineStr">
        <is>
          <t>M&amp;D SPECIALISED FASTENERS (PTY) LTD</t>
        </is>
      </c>
      <c r="G1130" s="1" t="n">
        <v>43.15</v>
      </c>
      <c r="H1130" t="n">
        <v>0</v>
      </c>
      <c r="I1130" t="n">
        <v>0.5</v>
      </c>
      <c r="J1130" t="n">
        <v>8</v>
      </c>
      <c r="K1130" t="n">
        <v>4</v>
      </c>
      <c r="L1130" t="n">
        <v>0</v>
      </c>
      <c r="M1130" t="n">
        <v>0</v>
      </c>
      <c r="N1130" t="n">
        <v>20</v>
      </c>
      <c r="O1130" s="1">
        <f>IFERROR(L1130*G1130,0)</f>
        <v/>
      </c>
      <c r="P1130">
        <f>IF(N1130-L1130-M1130&gt;0,N1130-L1130-M1130,0)</f>
        <v/>
      </c>
      <c r="Q1130" s="1">
        <f>IFERROR(P1130*G1130,0)</f>
        <v/>
      </c>
    </row>
    <row r="1131">
      <c r="A1131" t="inlineStr">
        <is>
          <t>M20*20 GRUB SCREW Z/BLUE 20X20 916 14.9 ZB</t>
        </is>
      </c>
      <c r="B1131" t="inlineStr">
        <is>
          <t>M20*20 GRUB SCREW Z/BLUE 20X20 916 14.9 ZB</t>
        </is>
      </c>
      <c r="C1131" t="inlineStr"/>
      <c r="D1131" t="n">
        <v>1</v>
      </c>
      <c r="E1131" t="n">
        <v>1</v>
      </c>
      <c r="F1131" t="inlineStr">
        <is>
          <t>M&amp;D SPECIALISED FASTENERS (PTY) LTD</t>
        </is>
      </c>
      <c r="G1131" s="1" t="n">
        <v>8</v>
      </c>
      <c r="H1131" t="n">
        <v>0</v>
      </c>
      <c r="I1131" t="n">
        <v>0.5</v>
      </c>
      <c r="J1131" t="n">
        <v>1</v>
      </c>
      <c r="K1131" t="n">
        <v>1</v>
      </c>
      <c r="L1131" t="n">
        <v>0</v>
      </c>
      <c r="M1131" t="n">
        <v>0</v>
      </c>
      <c r="N1131" t="n">
        <v>2</v>
      </c>
      <c r="O1131" s="1">
        <f>IFERROR(L1131*G1131,0)</f>
        <v/>
      </c>
      <c r="P1131">
        <f>IF(N1131-L1131-M1131&gt;0,N1131-L1131-M1131,0)</f>
        <v/>
      </c>
      <c r="Q1131" s="1">
        <f>IFERROR(P1131*G1131,0)</f>
        <v/>
      </c>
    </row>
    <row r="1132">
      <c r="A1132" t="inlineStr">
        <is>
          <t>M5 HT NUT Z/BLUE 5 934 GR8 ZB</t>
        </is>
      </c>
      <c r="B1132" t="inlineStr">
        <is>
          <t>M5 HT NUT Z/BLUE 5 934 GR8 ZB</t>
        </is>
      </c>
      <c r="C1132" t="inlineStr"/>
      <c r="D1132" t="n">
        <v>16</v>
      </c>
      <c r="E1132" t="n">
        <v>1450</v>
      </c>
      <c r="F1132" t="inlineStr">
        <is>
          <t>M&amp;D SPECIALISED FASTENERS (PTY) LTD</t>
        </is>
      </c>
      <c r="G1132" s="1" t="n">
        <v>0.15</v>
      </c>
      <c r="H1132" t="n">
        <v>0</v>
      </c>
      <c r="I1132" t="n">
        <v>0.5</v>
      </c>
      <c r="J1132" t="n">
        <v>91</v>
      </c>
      <c r="K1132" t="n">
        <v>46</v>
      </c>
      <c r="L1132" t="n">
        <v>0</v>
      </c>
      <c r="M1132" t="n">
        <v>0</v>
      </c>
      <c r="N1132" t="n">
        <v>228</v>
      </c>
      <c r="O1132" s="1">
        <f>IFERROR(L1132*G1132,0)</f>
        <v/>
      </c>
      <c r="P1132">
        <f>IF(N1132-L1132-M1132&gt;0,N1132-L1132-M1132,0)</f>
        <v/>
      </c>
      <c r="Q1132" s="1">
        <f>IFERROR(P1132*G1132,0)</f>
        <v/>
      </c>
    </row>
    <row r="1133">
      <c r="A1133" t="inlineStr">
        <is>
          <t>M5*16 HT HEX SET SCREW Z/BLUE 5X16 933 8.8 ZB</t>
        </is>
      </c>
      <c r="B1133" t="inlineStr">
        <is>
          <t>M5*16 HT HEX SET SCREW Z/BLUE 5X16 933 8.8 ZB</t>
        </is>
      </c>
      <c r="C1133" t="inlineStr"/>
      <c r="D1133" t="n">
        <v>19</v>
      </c>
      <c r="E1133" t="n">
        <v>1820</v>
      </c>
      <c r="F1133" t="inlineStr">
        <is>
          <t>M&amp;D SPECIALISED FASTENERS (PTY) LTD</t>
        </is>
      </c>
      <c r="G1133" s="1" t="n">
        <v>0.36</v>
      </c>
      <c r="H1133" t="n">
        <v>0</v>
      </c>
      <c r="I1133" t="n">
        <v>0.5</v>
      </c>
      <c r="J1133" t="n">
        <v>96</v>
      </c>
      <c r="K1133" t="n">
        <v>48</v>
      </c>
      <c r="L1133" t="n">
        <v>0</v>
      </c>
      <c r="M1133" t="n">
        <v>0</v>
      </c>
      <c r="N1133" t="n">
        <v>240</v>
      </c>
      <c r="O1133" s="1">
        <f>IFERROR(L1133*G1133,0)</f>
        <v/>
      </c>
      <c r="P1133">
        <f>IF(N1133-L1133-M1133&gt;0,N1133-L1133-M1133,0)</f>
        <v/>
      </c>
      <c r="Q1133" s="1">
        <f>IFERROR(P1133*G1133,0)</f>
        <v/>
      </c>
    </row>
    <row r="1134">
      <c r="A1134" t="inlineStr">
        <is>
          <t>M5*45 HT HEX SET SCREW 5X45 933 8 . 8</t>
        </is>
      </c>
      <c r="B1134" t="inlineStr">
        <is>
          <t>M5*45 HT HEX SET SCREW 5X45 933 8 . 8</t>
        </is>
      </c>
      <c r="C1134" t="inlineStr"/>
      <c r="D1134" t="n">
        <v>17</v>
      </c>
      <c r="E1134" t="n">
        <v>460</v>
      </c>
      <c r="F1134" t="inlineStr">
        <is>
          <t>M&amp;D SPECIALISED FASTENERS (PTY) LTD</t>
        </is>
      </c>
      <c r="G1134" s="1" t="n">
        <v>0.95</v>
      </c>
      <c r="H1134" t="n">
        <v>0</v>
      </c>
      <c r="I1134" t="n">
        <v>0.5</v>
      </c>
      <c r="J1134" t="n">
        <v>27.5</v>
      </c>
      <c r="K1134" t="n">
        <v>14</v>
      </c>
      <c r="L1134" t="n">
        <v>0</v>
      </c>
      <c r="M1134" t="n">
        <v>0</v>
      </c>
      <c r="N1134" t="n">
        <v>69</v>
      </c>
      <c r="O1134" s="1">
        <f>IFERROR(L1134*G1134,0)</f>
        <v/>
      </c>
      <c r="P1134">
        <f>IF(N1134-L1134-M1134&gt;0,N1134-L1134-M1134,0)</f>
        <v/>
      </c>
      <c r="Q1134" s="1">
        <f>IFERROR(P1134*G1134,0)</f>
        <v/>
      </c>
    </row>
    <row r="1135">
      <c r="A1135" t="inlineStr">
        <is>
          <t>M5-ROD</t>
        </is>
      </c>
      <c r="B1135" t="inlineStr">
        <is>
          <t>M5 Threaded Rod</t>
        </is>
      </c>
      <c r="C1135" t="inlineStr">
        <is>
          <t>CONSUMABLES</t>
        </is>
      </c>
      <c r="D1135" t="n">
        <v>1</v>
      </c>
      <c r="E1135" t="n">
        <v>1</v>
      </c>
      <c r="F1135" t="inlineStr">
        <is>
          <t>M&amp;D SPECIALISED FASTENERS (PTY) LTD</t>
        </is>
      </c>
      <c r="G1135" s="1" t="n">
        <v>15</v>
      </c>
      <c r="H1135" t="n">
        <v>0</v>
      </c>
      <c r="I1135" t="n">
        <v>0.5</v>
      </c>
      <c r="J1135" t="n">
        <v>1</v>
      </c>
      <c r="K1135" t="n">
        <v>1</v>
      </c>
      <c r="L1135" t="n">
        <v>0</v>
      </c>
      <c r="M1135" t="n">
        <v>0</v>
      </c>
      <c r="N1135" t="n">
        <v>2</v>
      </c>
      <c r="O1135" s="1">
        <f>IFERROR(L1135*G1135,0)</f>
        <v/>
      </c>
      <c r="P1135">
        <f>IF(N1135-L1135-M1135&gt;0,N1135-L1135-M1135,0)</f>
        <v/>
      </c>
      <c r="Q1135" s="1">
        <f>IFERROR(P1135*G1135,0)</f>
        <v/>
      </c>
    </row>
    <row r="1136">
      <c r="A1136" t="inlineStr">
        <is>
          <t>M5001-</t>
        </is>
      </c>
      <c r="B1136" t="inlineStr">
        <is>
          <t>Majax-2 500 20.C.8 Mancooler c/w 2.2 kW 2P 525V With Start/Stop Box</t>
        </is>
      </c>
      <c r="C1136" t="inlineStr"/>
      <c r="D1136" t="n">
        <v>15</v>
      </c>
      <c r="E1136" t="n">
        <v>2</v>
      </c>
      <c r="F1136" t="inlineStr">
        <is>
          <t>Air Speration</t>
        </is>
      </c>
      <c r="G1136" s="1" t="n">
        <v>18017.61</v>
      </c>
      <c r="H1136" t="n">
        <v>1</v>
      </c>
      <c r="I1136" t="n">
        <v>0.7</v>
      </c>
      <c r="J1136" t="n">
        <v>1</v>
      </c>
      <c r="K1136" t="n">
        <v>1</v>
      </c>
      <c r="L1136" t="n">
        <v>0</v>
      </c>
      <c r="M1136" t="n">
        <v>0</v>
      </c>
      <c r="N1136" t="n">
        <v>3</v>
      </c>
      <c r="O1136" s="1">
        <f>IFERROR(L1136*G1136,0)</f>
        <v/>
      </c>
      <c r="P1136">
        <f>IF(N1136-L1136-M1136&gt;0,N1136-L1136-M1136,0)</f>
        <v/>
      </c>
      <c r="Q1136" s="1">
        <f>IFERROR(P1136*G1136,0)</f>
        <v/>
      </c>
    </row>
    <row r="1137">
      <c r="A1137" t="inlineStr">
        <is>
          <t>M5X16X1.5</t>
        </is>
      </c>
      <c r="B1137" t="inlineStr">
        <is>
          <t>HT Flat washer</t>
        </is>
      </c>
      <c r="C1137" t="inlineStr"/>
      <c r="D1137" t="n">
        <v>5</v>
      </c>
      <c r="E1137" t="n">
        <v>900</v>
      </c>
      <c r="F1137" t="inlineStr">
        <is>
          <t>M&amp;D SPECIALISED FASTENERS (PTY) LTD</t>
        </is>
      </c>
      <c r="G1137" s="1" t="n">
        <v>0.15</v>
      </c>
      <c r="H1137" t="n">
        <v>0</v>
      </c>
      <c r="I1137" t="n">
        <v>0.5</v>
      </c>
      <c r="J1137" t="n">
        <v>180</v>
      </c>
      <c r="K1137" t="n">
        <v>90</v>
      </c>
      <c r="L1137" t="n">
        <v>0</v>
      </c>
      <c r="M1137" t="n">
        <v>0</v>
      </c>
      <c r="N1137" t="n">
        <v>450</v>
      </c>
      <c r="O1137" s="1">
        <f>IFERROR(L1137*G1137,0)</f>
        <v/>
      </c>
      <c r="P1137">
        <f>IF(N1137-L1137-M1137&gt;0,N1137-L1137-M1137,0)</f>
        <v/>
      </c>
      <c r="Q1137" s="1">
        <f>IFERROR(P1137*G1137,0)</f>
        <v/>
      </c>
    </row>
    <row r="1138">
      <c r="A1138" t="inlineStr">
        <is>
          <t>M5X25</t>
        </is>
      </c>
      <c r="B1138" t="inlineStr">
        <is>
          <t>HEX SET SCREW - S/S 304 - A2</t>
        </is>
      </c>
      <c r="C1138" t="inlineStr"/>
      <c r="D1138" t="n">
        <v>1</v>
      </c>
      <c r="E1138" t="n">
        <v>240</v>
      </c>
      <c r="F1138" t="inlineStr">
        <is>
          <t>M&amp;D SPECIALISED FASTENERS (PTY) LTD</t>
        </is>
      </c>
      <c r="G1138" s="1" t="n">
        <v>0.9</v>
      </c>
      <c r="H1138" t="n">
        <v>0</v>
      </c>
      <c r="I1138" t="n">
        <v>0.5</v>
      </c>
      <c r="J1138" t="n">
        <v>240</v>
      </c>
      <c r="K1138" t="n">
        <v>120</v>
      </c>
      <c r="L1138" t="n">
        <v>0</v>
      </c>
      <c r="M1138" t="n">
        <v>0</v>
      </c>
      <c r="N1138" t="n">
        <v>600</v>
      </c>
      <c r="O1138" s="1">
        <f>IFERROR(L1138*G1138,0)</f>
        <v/>
      </c>
      <c r="P1138">
        <f>IF(N1138-L1138-M1138&gt;0,N1138-L1138-M1138,0)</f>
        <v/>
      </c>
      <c r="Q1138" s="1">
        <f>IFERROR(P1138*G1138,0)</f>
        <v/>
      </c>
    </row>
    <row r="1139">
      <c r="A1139" t="inlineStr">
        <is>
          <t>M6 (6.4 X12X1.6) FLAT WASHER DIN 125A ZINC BLUE</t>
        </is>
      </c>
      <c r="B1139" t="inlineStr">
        <is>
          <t>M6 (6.4 X12X1.6) FLAT WASHER DIN 125A ZINC BLUE</t>
        </is>
      </c>
      <c r="C1139" t="inlineStr"/>
      <c r="D1139" t="n">
        <v>21</v>
      </c>
      <c r="E1139" t="n">
        <v>5700</v>
      </c>
      <c r="F1139" t="inlineStr">
        <is>
          <t>M&amp;D SPECIALISED FASTENERS (PTY) LTD</t>
        </is>
      </c>
      <c r="G1139" s="1" t="n">
        <v>0.09</v>
      </c>
      <c r="H1139" t="n">
        <v>0</v>
      </c>
      <c r="I1139" t="n">
        <v>0.5</v>
      </c>
      <c r="J1139" t="n">
        <v>271.5</v>
      </c>
      <c r="K1139" t="n">
        <v>136</v>
      </c>
      <c r="L1139" t="n">
        <v>0</v>
      </c>
      <c r="M1139" t="n">
        <v>0</v>
      </c>
      <c r="N1139" t="n">
        <v>679</v>
      </c>
      <c r="O1139" s="1">
        <f>IFERROR(L1139*G1139,0)</f>
        <v/>
      </c>
      <c r="P1139">
        <f>IF(N1139-L1139-M1139&gt;0,N1139-L1139-M1139,0)</f>
        <v/>
      </c>
      <c r="Q1139" s="1">
        <f>IFERROR(P1139*G1139,0)</f>
        <v/>
      </c>
    </row>
    <row r="1140">
      <c r="A1140" t="inlineStr">
        <is>
          <t>M6 HT HEX NUT Z/BLUE 6 934 GR8 ZB</t>
        </is>
      </c>
      <c r="B1140" t="inlineStr">
        <is>
          <t>M6 HT HEX NUT Z/BLUE 6 934 GR8 ZB</t>
        </is>
      </c>
      <c r="C1140" t="inlineStr"/>
      <c r="D1140" t="n">
        <v>18</v>
      </c>
      <c r="E1140" t="n">
        <v>800</v>
      </c>
      <c r="F1140" t="inlineStr">
        <is>
          <t>M&amp;D SPECIALISED FASTENERS (PTY) LTD</t>
        </is>
      </c>
      <c r="G1140" s="1" t="n">
        <v>0.12</v>
      </c>
      <c r="H1140" t="n">
        <v>0</v>
      </c>
      <c r="I1140" t="n">
        <v>0.5</v>
      </c>
      <c r="J1140" t="n">
        <v>44.5</v>
      </c>
      <c r="K1140" t="n">
        <v>22</v>
      </c>
      <c r="L1140" t="n">
        <v>0</v>
      </c>
      <c r="M1140" t="n">
        <v>0</v>
      </c>
      <c r="N1140" t="n">
        <v>111</v>
      </c>
      <c r="O1140" s="1">
        <f>IFERROR(L1140*G1140,0)</f>
        <v/>
      </c>
      <c r="P1140">
        <f>IF(N1140-L1140-M1140&gt;0,N1140-L1140-M1140,0)</f>
        <v/>
      </c>
      <c r="Q1140" s="1">
        <f>IFERROR(P1140*G1140,0)</f>
        <v/>
      </c>
    </row>
    <row r="1141">
      <c r="A1141" t="inlineStr">
        <is>
          <t>M6 HT NYLOCK NUT</t>
        </is>
      </c>
      <c r="B1141" t="inlineStr">
        <is>
          <t>M6 HT NYLOCK NUT</t>
        </is>
      </c>
      <c r="C1141" t="inlineStr"/>
      <c r="D1141" t="n">
        <v>18</v>
      </c>
      <c r="E1141" t="n">
        <v>2850</v>
      </c>
      <c r="F1141" t="inlineStr">
        <is>
          <t>M&amp;D SPECIALISED FASTENERS (PTY) LTD</t>
        </is>
      </c>
      <c r="G1141" s="1" t="n">
        <v>0.2</v>
      </c>
      <c r="H1141" t="n">
        <v>0</v>
      </c>
      <c r="I1141" t="n">
        <v>0.5</v>
      </c>
      <c r="J1141" t="n">
        <v>158.5</v>
      </c>
      <c r="K1141" t="n">
        <v>79</v>
      </c>
      <c r="L1141" t="n">
        <v>0</v>
      </c>
      <c r="M1141" t="n">
        <v>0</v>
      </c>
      <c r="N1141" t="n">
        <v>396</v>
      </c>
      <c r="O1141" s="1">
        <f>IFERROR(L1141*G1141,0)</f>
        <v/>
      </c>
      <c r="P1141">
        <f>IF(N1141-L1141-M1141&gt;0,N1141-L1141-M1141,0)</f>
        <v/>
      </c>
      <c r="Q1141" s="1">
        <f>IFERROR(P1141*G1141,0)</f>
        <v/>
      </c>
    </row>
    <row r="1142">
      <c r="A1142" t="inlineStr">
        <is>
          <t>M6*16 CSK ALLEN CAP SCREW MECHANICAL YELLOW 6X16 7991 10.9 MY</t>
        </is>
      </c>
      <c r="B1142" t="inlineStr">
        <is>
          <t>M6*16 CSK ALLEN CAP SCREW MECHANICAL YELLOW 6X16 7991 10.9 MY</t>
        </is>
      </c>
      <c r="C1142" t="inlineStr"/>
      <c r="D1142" t="n">
        <v>1</v>
      </c>
      <c r="E1142" t="n">
        <v>30</v>
      </c>
      <c r="F1142" t="inlineStr">
        <is>
          <t>M&amp;D SPECIALISED FASTENERS (PTY) LTD</t>
        </is>
      </c>
      <c r="G1142" s="1" t="n">
        <v>6</v>
      </c>
      <c r="H1142" t="n">
        <v>0</v>
      </c>
      <c r="I1142" t="n">
        <v>0.5</v>
      </c>
      <c r="J1142" t="n">
        <v>30</v>
      </c>
      <c r="K1142" t="n">
        <v>15</v>
      </c>
      <c r="L1142" t="n">
        <v>0</v>
      </c>
      <c r="M1142" t="n">
        <v>0</v>
      </c>
      <c r="N1142" t="n">
        <v>75</v>
      </c>
      <c r="O1142" s="1">
        <f>IFERROR(L1142*G1142,0)</f>
        <v/>
      </c>
      <c r="P1142">
        <f>IF(N1142-L1142-M1142&gt;0,N1142-L1142-M1142,0)</f>
        <v/>
      </c>
      <c r="Q1142" s="1">
        <f>IFERROR(P1142*G1142,0)</f>
        <v/>
      </c>
    </row>
    <row r="1143">
      <c r="A1143" t="inlineStr">
        <is>
          <t>M6*16 HT HEX SET SCREW ENVIROPAS 6X16 933 8.8 EN</t>
        </is>
      </c>
      <c r="B1143" t="inlineStr">
        <is>
          <t>M6*16 HT HEX SET SCREW ENVIROPAS 6X16 933 8.8 EN</t>
        </is>
      </c>
      <c r="C1143" t="inlineStr"/>
      <c r="D1143" t="n">
        <v>18</v>
      </c>
      <c r="E1143" t="n">
        <v>1000</v>
      </c>
      <c r="F1143" t="inlineStr">
        <is>
          <t>M&amp;D SPECIALISED FASTENERS (PTY) LTD</t>
        </is>
      </c>
      <c r="G1143" s="1" t="n">
        <v>0.59</v>
      </c>
      <c r="H1143" t="n">
        <v>0</v>
      </c>
      <c r="I1143" t="n">
        <v>0.5</v>
      </c>
      <c r="J1143" t="n">
        <v>56</v>
      </c>
      <c r="K1143" t="n">
        <v>28</v>
      </c>
      <c r="L1143" t="n">
        <v>0</v>
      </c>
      <c r="M1143" t="n">
        <v>0</v>
      </c>
      <c r="N1143" t="n">
        <v>140</v>
      </c>
      <c r="O1143" s="1">
        <f>IFERROR(L1143*G1143,0)</f>
        <v/>
      </c>
      <c r="P1143">
        <f>IF(N1143-L1143-M1143&gt;0,N1143-L1143-M1143,0)</f>
        <v/>
      </c>
      <c r="Q1143" s="1">
        <f>IFERROR(P1143*G1143,0)</f>
        <v/>
      </c>
    </row>
    <row r="1144">
      <c r="A1144" t="inlineStr">
        <is>
          <t>M6*25</t>
        </is>
      </c>
      <c r="B1144" t="inlineStr">
        <is>
          <t>M6*25 HT HEX SET SCREW S/S A2</t>
        </is>
      </c>
      <c r="C1144" t="inlineStr"/>
      <c r="D1144" t="n">
        <v>1</v>
      </c>
      <c r="E1144" t="n">
        <v>300</v>
      </c>
      <c r="F1144" t="inlineStr">
        <is>
          <t>M&amp;D SPECIALISED FASTENERS (PTY) LTD</t>
        </is>
      </c>
      <c r="G1144" s="1" t="n">
        <v>1</v>
      </c>
      <c r="H1144" t="n">
        <v>0</v>
      </c>
      <c r="I1144" t="n">
        <v>0.5</v>
      </c>
      <c r="J1144" t="n">
        <v>300</v>
      </c>
      <c r="K1144" t="n">
        <v>150</v>
      </c>
      <c r="L1144" t="n">
        <v>0</v>
      </c>
      <c r="M1144" t="n">
        <v>0</v>
      </c>
      <c r="N1144" t="n">
        <v>750</v>
      </c>
      <c r="O1144" s="1">
        <f>IFERROR(L1144*G1144,0)</f>
        <v/>
      </c>
      <c r="P1144">
        <f>IF(N1144-L1144-M1144&gt;0,N1144-L1144-M1144,0)</f>
        <v/>
      </c>
      <c r="Q1144" s="1">
        <f>IFERROR(P1144*G1144,0)</f>
        <v/>
      </c>
    </row>
    <row r="1145">
      <c r="A1145" t="inlineStr">
        <is>
          <t>M6*25 HT HEX SET SCREW Z/BLUE</t>
        </is>
      </c>
      <c r="B1145" t="inlineStr">
        <is>
          <t>M6*25 HT HEX SET SCREW Z/BLUE</t>
        </is>
      </c>
      <c r="C1145" t="inlineStr"/>
      <c r="D1145" t="n">
        <v>20</v>
      </c>
      <c r="E1145" t="n">
        <v>3300</v>
      </c>
      <c r="F1145" t="inlineStr">
        <is>
          <t>M&amp;D SPECIALISED FASTENERS (PTY) LTD</t>
        </is>
      </c>
      <c r="G1145" s="1" t="n">
        <v>0.65</v>
      </c>
      <c r="H1145" t="n">
        <v>0</v>
      </c>
      <c r="I1145" t="n">
        <v>0.5</v>
      </c>
      <c r="J1145" t="n">
        <v>165</v>
      </c>
      <c r="K1145" t="n">
        <v>82</v>
      </c>
      <c r="L1145" t="n">
        <v>0</v>
      </c>
      <c r="M1145" t="n">
        <v>0</v>
      </c>
      <c r="N1145" t="n">
        <v>412</v>
      </c>
      <c r="O1145" s="1">
        <f>IFERROR(L1145*G1145,0)</f>
        <v/>
      </c>
      <c r="P1145">
        <f>IF(N1145-L1145-M1145&gt;0,N1145-L1145-M1145,0)</f>
        <v/>
      </c>
      <c r="Q1145" s="1">
        <f>IFERROR(P1145*G1145,0)</f>
        <v/>
      </c>
    </row>
    <row r="1146">
      <c r="A1146" t="inlineStr">
        <is>
          <t>M6*35 HT SET SCREW Z/BLUE 6X35 933 8.8 ZB</t>
        </is>
      </c>
      <c r="B1146" t="inlineStr">
        <is>
          <t>M6*35 HT SET SCREW Z/BLUE 6X35 933 8.8 ZB</t>
        </is>
      </c>
      <c r="C1146" t="inlineStr"/>
      <c r="D1146" t="n">
        <v>18</v>
      </c>
      <c r="E1146" t="n">
        <v>800</v>
      </c>
      <c r="F1146" t="inlineStr">
        <is>
          <t>M&amp;D SPECIALISED FASTENERS (PTY) LTD</t>
        </is>
      </c>
      <c r="G1146" s="1" t="n">
        <v>0.91</v>
      </c>
      <c r="H1146" t="n">
        <v>0</v>
      </c>
      <c r="I1146" t="n">
        <v>0.5</v>
      </c>
      <c r="J1146" t="n">
        <v>44.5</v>
      </c>
      <c r="K1146" t="n">
        <v>22</v>
      </c>
      <c r="L1146" t="n">
        <v>0</v>
      </c>
      <c r="M1146" t="n">
        <v>0</v>
      </c>
      <c r="N1146" t="n">
        <v>111</v>
      </c>
      <c r="O1146" s="1">
        <f>IFERROR(L1146*G1146,0)</f>
        <v/>
      </c>
      <c r="P1146">
        <f>IF(N1146-L1146-M1146&gt;0,N1146-L1146-M1146,0)</f>
        <v/>
      </c>
      <c r="Q1146" s="1">
        <f>IFERROR(P1146*G1146,0)</f>
        <v/>
      </c>
    </row>
    <row r="1147">
      <c r="A1147" t="inlineStr">
        <is>
          <t>M6X1</t>
        </is>
      </c>
      <c r="B1147" t="inlineStr">
        <is>
          <t>M6*1 M/S THREADED ROD Z/BLUE - 6*1 975 ZB</t>
        </is>
      </c>
      <c r="C1147" t="inlineStr">
        <is>
          <t>CONSUMABLES</t>
        </is>
      </c>
      <c r="D1147" t="n">
        <v>1</v>
      </c>
      <c r="E1147" t="n">
        <v>1</v>
      </c>
      <c r="F1147" t="inlineStr">
        <is>
          <t>M&amp;D SPECIALISED FASTENERS (PTY) LTD</t>
        </is>
      </c>
      <c r="G1147" s="1" t="n">
        <v>16</v>
      </c>
      <c r="H1147" t="n">
        <v>0</v>
      </c>
      <c r="I1147" t="n">
        <v>0.5</v>
      </c>
      <c r="J1147" t="n">
        <v>1</v>
      </c>
      <c r="K1147" t="n">
        <v>1</v>
      </c>
      <c r="L1147" t="n">
        <v>0</v>
      </c>
      <c r="M1147" t="n">
        <v>0</v>
      </c>
      <c r="N1147" t="n">
        <v>2</v>
      </c>
      <c r="O1147" s="1">
        <f>IFERROR(L1147*G1147,0)</f>
        <v/>
      </c>
      <c r="P1147">
        <f>IF(N1147-L1147-M1147&gt;0,N1147-L1147-M1147,0)</f>
        <v/>
      </c>
      <c r="Q1147" s="1">
        <f>IFERROR(P1147*G1147,0)</f>
        <v/>
      </c>
    </row>
    <row r="1148">
      <c r="A1148" t="inlineStr">
        <is>
          <t>M6X16</t>
        </is>
      </c>
      <c r="B1148" t="inlineStr">
        <is>
          <t>GRUB SCREW</t>
        </is>
      </c>
      <c r="C1148" t="inlineStr">
        <is>
          <t>CONSUMABLES</t>
        </is>
      </c>
      <c r="D1148" t="n">
        <v>1</v>
      </c>
      <c r="E1148" t="n">
        <v>34</v>
      </c>
      <c r="F1148" t="inlineStr">
        <is>
          <t>M&amp;D SPECIALISED FASTENERS (PTY) LTD</t>
        </is>
      </c>
      <c r="G1148" s="1" t="n">
        <v>0.65</v>
      </c>
      <c r="H1148" t="n">
        <v>0</v>
      </c>
      <c r="I1148" t="n">
        <v>0.5</v>
      </c>
      <c r="J1148" t="n">
        <v>34</v>
      </c>
      <c r="K1148" t="n">
        <v>17</v>
      </c>
      <c r="L1148" t="n">
        <v>0</v>
      </c>
      <c r="M1148" t="n">
        <v>0</v>
      </c>
      <c r="N1148" t="n">
        <v>85</v>
      </c>
      <c r="O1148" s="1">
        <f>IFERROR(L1148*G1148,0)</f>
        <v/>
      </c>
      <c r="P1148">
        <f>IF(N1148-L1148-M1148&gt;0,N1148-L1148-M1148,0)</f>
        <v/>
      </c>
      <c r="Q1148" s="1">
        <f>IFERROR(P1148*G1148,0)</f>
        <v/>
      </c>
    </row>
    <row r="1149">
      <c r="A1149" t="inlineStr">
        <is>
          <t>M6X16 COUNTER SUNK</t>
        </is>
      </c>
      <c r="B1149" t="inlineStr">
        <is>
          <t>M6X16 COUNTER SUNK BOLTS - Allen key screw in - Zinc blue</t>
        </is>
      </c>
      <c r="C1149" t="inlineStr">
        <is>
          <t>CONSUMABLES</t>
        </is>
      </c>
      <c r="D1149" t="n">
        <v>1</v>
      </c>
      <c r="E1149" t="n">
        <v>40</v>
      </c>
      <c r="F1149" t="inlineStr">
        <is>
          <t>M&amp;D SPECIALISED FASTENERS (PTY) LTD</t>
        </is>
      </c>
      <c r="G1149" s="1" t="n">
        <v>1.2</v>
      </c>
      <c r="H1149" t="n">
        <v>0</v>
      </c>
      <c r="I1149" t="n">
        <v>0.5</v>
      </c>
      <c r="J1149" t="n">
        <v>40</v>
      </c>
      <c r="K1149" t="n">
        <v>20</v>
      </c>
      <c r="L1149" t="n">
        <v>0</v>
      </c>
      <c r="M1149" t="n">
        <v>0</v>
      </c>
      <c r="N1149" t="n">
        <v>100</v>
      </c>
      <c r="O1149" s="1">
        <f>IFERROR(L1149*G1149,0)</f>
        <v/>
      </c>
      <c r="P1149">
        <f>IF(N1149-L1149-M1149&gt;0,N1149-L1149-M1149,0)</f>
        <v/>
      </c>
      <c r="Q1149" s="1">
        <f>IFERROR(P1149*G1149,0)</f>
        <v/>
      </c>
    </row>
    <row r="1150">
      <c r="A1150" t="inlineStr">
        <is>
          <t>M6X16 COUNTER SUNK-MACH</t>
        </is>
      </c>
      <c r="B1150" t="inlineStr">
        <is>
          <t>M6X16 COUNTER SUNK BOLTS - Machine screw in - zinc blue</t>
        </is>
      </c>
      <c r="C1150" t="inlineStr">
        <is>
          <t>CONSUMABLES</t>
        </is>
      </c>
      <c r="D1150" t="n">
        <v>1</v>
      </c>
      <c r="E1150" t="n">
        <v>40</v>
      </c>
      <c r="F1150" t="inlineStr">
        <is>
          <t>M&amp;D SPECIALISED FASTENERS (PTY) LTD</t>
        </is>
      </c>
      <c r="G1150" s="1" t="n">
        <v>0.15</v>
      </c>
      <c r="H1150" t="n">
        <v>0</v>
      </c>
      <c r="I1150" t="n">
        <v>0.5</v>
      </c>
      <c r="J1150" t="n">
        <v>40</v>
      </c>
      <c r="K1150" t="n">
        <v>20</v>
      </c>
      <c r="L1150" t="n">
        <v>0</v>
      </c>
      <c r="M1150" t="n">
        <v>0</v>
      </c>
      <c r="N1150" t="n">
        <v>100</v>
      </c>
      <c r="O1150" s="1">
        <f>IFERROR(L1150*G1150,0)</f>
        <v/>
      </c>
      <c r="P1150">
        <f>IF(N1150-L1150-M1150&gt;0,N1150-L1150-M1150,0)</f>
        <v/>
      </c>
      <c r="Q1150" s="1">
        <f>IFERROR(P1150*G1150,0)</f>
        <v/>
      </c>
    </row>
    <row r="1151">
      <c r="A1151" t="inlineStr">
        <is>
          <t>M6X20X2</t>
        </is>
      </c>
      <c r="B1151" t="inlineStr">
        <is>
          <t>M6x20x2 - Flat Washer Zinc Blue</t>
        </is>
      </c>
      <c r="C1151" t="inlineStr">
        <is>
          <t>Accessories</t>
        </is>
      </c>
      <c r="D1151" t="n">
        <v>7</v>
      </c>
      <c r="E1151" t="n">
        <v>1600</v>
      </c>
      <c r="F1151" t="inlineStr">
        <is>
          <t>M&amp;D SPECIALISED FASTENERS (PTY) LTD</t>
        </is>
      </c>
      <c r="G1151" s="1" t="n">
        <v>0.3</v>
      </c>
      <c r="H1151" t="n">
        <v>0</v>
      </c>
      <c r="I1151" t="n">
        <v>0.5</v>
      </c>
      <c r="J1151" t="n">
        <v>229</v>
      </c>
      <c r="K1151" t="n">
        <v>114</v>
      </c>
      <c r="L1151" t="n">
        <v>0</v>
      </c>
      <c r="M1151" t="n">
        <v>0</v>
      </c>
      <c r="N1151" t="n">
        <v>572</v>
      </c>
      <c r="O1151" s="1">
        <f>IFERROR(L1151*G1151,0)</f>
        <v/>
      </c>
      <c r="P1151">
        <f>IF(N1151-L1151-M1151&gt;0,N1151-L1151-M1151,0)</f>
        <v/>
      </c>
      <c r="Q1151" s="1">
        <f>IFERROR(P1151*G1151,0)</f>
        <v/>
      </c>
    </row>
    <row r="1152">
      <c r="A1152" t="inlineStr">
        <is>
          <t>M8 . 4*20*3 FLAT WASHER Z/BLUE 8X20X3 OLD ZB</t>
        </is>
      </c>
      <c r="B1152" t="inlineStr">
        <is>
          <t>M8 . 4*20*3 FLAT WASHER Z/BLUE 8X20X3 OLD ZB</t>
        </is>
      </c>
      <c r="C1152" t="inlineStr"/>
      <c r="D1152" t="n">
        <v>20</v>
      </c>
      <c r="E1152" t="n">
        <v>900</v>
      </c>
      <c r="F1152" t="inlineStr">
        <is>
          <t>M&amp;D SPECIALISED FASTENERS (PTY) LTD</t>
        </is>
      </c>
      <c r="G1152" s="1" t="n">
        <v>1.8</v>
      </c>
      <c r="H1152" t="n">
        <v>0</v>
      </c>
      <c r="I1152" t="n">
        <v>0.5</v>
      </c>
      <c r="J1152" t="n">
        <v>45</v>
      </c>
      <c r="K1152" t="n">
        <v>22</v>
      </c>
      <c r="L1152" t="n">
        <v>0</v>
      </c>
      <c r="M1152" t="n">
        <v>0</v>
      </c>
      <c r="N1152" t="n">
        <v>112</v>
      </c>
      <c r="O1152" s="1">
        <f>IFERROR(L1152*G1152,0)</f>
        <v/>
      </c>
      <c r="P1152">
        <f>IF(N1152-L1152-M1152&gt;0,N1152-L1152-M1152,0)</f>
        <v/>
      </c>
      <c r="Q1152" s="1">
        <f>IFERROR(P1152*G1152,0)</f>
        <v/>
      </c>
    </row>
    <row r="1153">
      <c r="A1153" t="inlineStr">
        <is>
          <t>M8 ANCHOR BOLTS</t>
        </is>
      </c>
      <c r="B1153" t="inlineStr">
        <is>
          <t>M8 ANCHOR BOLTS</t>
        </is>
      </c>
      <c r="C1153" t="inlineStr"/>
      <c r="D1153" t="n">
        <v>1</v>
      </c>
      <c r="E1153" t="n">
        <v>20</v>
      </c>
      <c r="F1153" t="inlineStr">
        <is>
          <t>M&amp;D SPECIALISED FASTENERS (PTY) LTD</t>
        </is>
      </c>
      <c r="G1153" s="1" t="n">
        <v>5</v>
      </c>
      <c r="H1153" t="n">
        <v>0</v>
      </c>
      <c r="I1153" t="n">
        <v>1.4</v>
      </c>
      <c r="J1153" t="n">
        <v>20</v>
      </c>
      <c r="K1153" t="n">
        <v>28</v>
      </c>
      <c r="L1153" t="n">
        <v>0</v>
      </c>
      <c r="M1153" t="n">
        <v>0</v>
      </c>
      <c r="N1153" t="n">
        <v>68</v>
      </c>
      <c r="O1153" s="1">
        <f>IFERROR(L1153*G1153,0)</f>
        <v/>
      </c>
      <c r="P1153">
        <f>IF(N1153-L1153-M1153&gt;0,N1153-L1153-M1153,0)</f>
        <v/>
      </c>
      <c r="Q1153" s="1">
        <f>IFERROR(P1153*G1153,0)</f>
        <v/>
      </c>
    </row>
    <row r="1154">
      <c r="A1154" t="inlineStr">
        <is>
          <t>M8 FLAT WASHER DIN 125A ZINC BLUE (8 . 4ID*16OD*1.6THICK) 8 125A ZB</t>
        </is>
      </c>
      <c r="B1154" t="inlineStr">
        <is>
          <t>M8 FLAT WASHER DIN 125A ZINC BLUE (8 . 4ID*16OD*1.6THICK) 8 125A ZB</t>
        </is>
      </c>
      <c r="C1154" t="inlineStr"/>
      <c r="D1154" t="n">
        <v>17</v>
      </c>
      <c r="E1154" t="n">
        <v>2300</v>
      </c>
      <c r="F1154" t="inlineStr">
        <is>
          <t>M&amp;D SPECIALISED FASTENERS (PTY) LTD</t>
        </is>
      </c>
      <c r="G1154" s="1" t="n">
        <v>0.12</v>
      </c>
      <c r="H1154" t="n">
        <v>0</v>
      </c>
      <c r="I1154" t="n">
        <v>0.5</v>
      </c>
      <c r="J1154" t="n">
        <v>135.5</v>
      </c>
      <c r="K1154" t="n">
        <v>68</v>
      </c>
      <c r="L1154" t="n">
        <v>0</v>
      </c>
      <c r="M1154" t="n">
        <v>0</v>
      </c>
      <c r="N1154" t="n">
        <v>339</v>
      </c>
      <c r="O1154" s="1">
        <f>IFERROR(L1154*G1154,0)</f>
        <v/>
      </c>
      <c r="P1154">
        <f>IF(N1154-L1154-M1154&gt;0,N1154-L1154-M1154,0)</f>
        <v/>
      </c>
      <c r="Q1154" s="1">
        <f>IFERROR(P1154*G1154,0)</f>
        <v/>
      </c>
    </row>
    <row r="1155">
      <c r="A1155" t="inlineStr">
        <is>
          <t>M8 HT NYLOCK NUT 8 985 GR8</t>
        </is>
      </c>
      <c r="B1155" t="inlineStr">
        <is>
          <t>M8 HT NYLOCK NUT 8 985 GR8</t>
        </is>
      </c>
      <c r="C1155" t="inlineStr"/>
      <c r="D1155" t="n">
        <v>19</v>
      </c>
      <c r="E1155" t="n">
        <v>2050</v>
      </c>
      <c r="F1155" t="inlineStr">
        <is>
          <t>M&amp;D SPECIALISED FASTENERS (PTY) LTD</t>
        </is>
      </c>
      <c r="G1155" s="1" t="n">
        <v>0.3</v>
      </c>
      <c r="H1155" t="n">
        <v>0</v>
      </c>
      <c r="I1155" t="n">
        <v>0.5</v>
      </c>
      <c r="J1155" t="n">
        <v>108</v>
      </c>
      <c r="K1155" t="n">
        <v>54</v>
      </c>
      <c r="L1155" t="n">
        <v>0</v>
      </c>
      <c r="M1155" t="n">
        <v>0</v>
      </c>
      <c r="N1155" t="n">
        <v>270</v>
      </c>
      <c r="O1155" s="1">
        <f>IFERROR(L1155*G1155,0)</f>
        <v/>
      </c>
      <c r="P1155">
        <f>IF(N1155-L1155-M1155&gt;0,N1155-L1155-M1155,0)</f>
        <v/>
      </c>
      <c r="Q1155" s="1">
        <f>IFERROR(P1155*G1155,0)</f>
        <v/>
      </c>
    </row>
    <row r="1156">
      <c r="A1156" t="inlineStr">
        <is>
          <t>M8 NUT</t>
        </is>
      </c>
      <c r="B1156" t="inlineStr">
        <is>
          <t>M8 HEX NUT ZINC/BLUE</t>
        </is>
      </c>
      <c r="C1156" t="inlineStr"/>
      <c r="D1156" t="n">
        <v>6</v>
      </c>
      <c r="E1156" t="n">
        <v>350</v>
      </c>
      <c r="F1156" t="inlineStr">
        <is>
          <t>M&amp;D SPECIALISED FASTENERS (PTY) LTD</t>
        </is>
      </c>
      <c r="G1156" s="1" t="n">
        <v>0.4</v>
      </c>
      <c r="H1156" t="n">
        <v>0</v>
      </c>
      <c r="I1156" t="n">
        <v>0.5</v>
      </c>
      <c r="J1156" t="n">
        <v>58.5</v>
      </c>
      <c r="K1156" t="n">
        <v>29</v>
      </c>
      <c r="L1156" t="n">
        <v>0</v>
      </c>
      <c r="M1156" t="n">
        <v>0</v>
      </c>
      <c r="N1156" t="n">
        <v>146</v>
      </c>
      <c r="O1156" s="1">
        <f>IFERROR(L1156*G1156,0)</f>
        <v/>
      </c>
      <c r="P1156">
        <f>IF(N1156-L1156-M1156&gt;0,N1156-L1156-M1156,0)</f>
        <v/>
      </c>
      <c r="Q1156" s="1">
        <f>IFERROR(P1156*G1156,0)</f>
        <v/>
      </c>
    </row>
    <row r="1157">
      <c r="A1157" t="inlineStr">
        <is>
          <t>M8*16</t>
        </is>
      </c>
      <c r="B1157" t="inlineStr">
        <is>
          <t>M8*16 HT SET SCREW S/S A2</t>
        </is>
      </c>
      <c r="C1157" t="inlineStr"/>
      <c r="D1157" t="n">
        <v>1</v>
      </c>
      <c r="E1157" t="n">
        <v>300</v>
      </c>
      <c r="F1157" t="inlineStr">
        <is>
          <t>M&amp;D SPECIALISED FASTENERS (PTY) LTD</t>
        </is>
      </c>
      <c r="G1157" s="1" t="n">
        <v>1.2</v>
      </c>
      <c r="H1157" t="n">
        <v>0</v>
      </c>
      <c r="I1157" t="n">
        <v>0.5</v>
      </c>
      <c r="J1157" t="n">
        <v>300</v>
      </c>
      <c r="K1157" t="n">
        <v>150</v>
      </c>
      <c r="L1157" t="n">
        <v>0</v>
      </c>
      <c r="M1157" t="n">
        <v>0</v>
      </c>
      <c r="N1157" t="n">
        <v>750</v>
      </c>
      <c r="O1157" s="1">
        <f>IFERROR(L1157*G1157,0)</f>
        <v/>
      </c>
      <c r="P1157">
        <f>IF(N1157-L1157-M1157&gt;0,N1157-L1157-M1157,0)</f>
        <v/>
      </c>
      <c r="Q1157" s="1">
        <f>IFERROR(P1157*G1157,0)</f>
        <v/>
      </c>
    </row>
    <row r="1158">
      <c r="A1158" t="inlineStr">
        <is>
          <t>M8*16 HT SET SCREW Z/BLUE</t>
        </is>
      </c>
      <c r="B1158" t="inlineStr">
        <is>
          <t>M8*16 HT SET SCREW Z/BLUE</t>
        </is>
      </c>
      <c r="C1158" t="inlineStr"/>
      <c r="D1158" t="n">
        <v>21</v>
      </c>
      <c r="E1158" t="n">
        <v>1790</v>
      </c>
      <c r="F1158" t="inlineStr">
        <is>
          <t>M&amp;D SPECIALISED FASTENERS (PTY) LTD</t>
        </is>
      </c>
      <c r="G1158" s="1" t="n">
        <v>0.93</v>
      </c>
      <c r="H1158" t="n">
        <v>0</v>
      </c>
      <c r="I1158" t="n">
        <v>0.5</v>
      </c>
      <c r="J1158" t="n">
        <v>85.5</v>
      </c>
      <c r="K1158" t="n">
        <v>43</v>
      </c>
      <c r="L1158" t="n">
        <v>0</v>
      </c>
      <c r="M1158" t="n">
        <v>0</v>
      </c>
      <c r="N1158" t="n">
        <v>214</v>
      </c>
      <c r="O1158" s="1">
        <f>IFERROR(L1158*G1158,0)</f>
        <v/>
      </c>
      <c r="P1158">
        <f>IF(N1158-L1158-M1158&gt;0,N1158-L1158-M1158,0)</f>
        <v/>
      </c>
      <c r="Q1158" s="1">
        <f>IFERROR(P1158*G1158,0)</f>
        <v/>
      </c>
    </row>
    <row r="1159">
      <c r="A1159" t="inlineStr">
        <is>
          <t>M8*25 HT HEX 8 . 8 SET SCREW Z/BLUE 8X25 933 8 . 8 ZB</t>
        </is>
      </c>
      <c r="B1159" t="inlineStr">
        <is>
          <t>M8*25 HT HEX 8 . 8 SET SCREW Z/BLUE 8X25 933 8 . 8 ZB</t>
        </is>
      </c>
      <c r="C1159" t="inlineStr"/>
      <c r="D1159" t="n">
        <v>19</v>
      </c>
      <c r="E1159" t="n">
        <v>900</v>
      </c>
      <c r="F1159" t="inlineStr">
        <is>
          <t>M&amp;D SPECIALISED FASTENERS (PTY) LTD</t>
        </is>
      </c>
      <c r="G1159" s="1" t="n">
        <v>1</v>
      </c>
      <c r="H1159" t="n">
        <v>0</v>
      </c>
      <c r="I1159" t="n">
        <v>0.5</v>
      </c>
      <c r="J1159" t="n">
        <v>47.5</v>
      </c>
      <c r="K1159" t="n">
        <v>24</v>
      </c>
      <c r="L1159" t="n">
        <v>0</v>
      </c>
      <c r="M1159" t="n">
        <v>0</v>
      </c>
      <c r="N1159" t="n">
        <v>119</v>
      </c>
      <c r="O1159" s="1">
        <f>IFERROR(L1159*G1159,0)</f>
        <v/>
      </c>
      <c r="P1159">
        <f>IF(N1159-L1159-M1159&gt;0,N1159-L1159-M1159,0)</f>
        <v/>
      </c>
      <c r="Q1159" s="1">
        <f>IFERROR(P1159*G1159,0)</f>
        <v/>
      </c>
    </row>
    <row r="1160">
      <c r="A1160" t="inlineStr">
        <is>
          <t>M8X25</t>
        </is>
      </c>
      <c r="B1160" t="inlineStr">
        <is>
          <t>HEX SET SCREW - S/S 304 - A2</t>
        </is>
      </c>
      <c r="C1160" t="inlineStr"/>
      <c r="D1160" t="n">
        <v>1</v>
      </c>
      <c r="E1160" t="n">
        <v>240</v>
      </c>
      <c r="F1160" t="inlineStr">
        <is>
          <t>M&amp;D SPECIALISED FASTENERS (PTY) LTD</t>
        </is>
      </c>
      <c r="G1160" s="1" t="n">
        <v>1.5</v>
      </c>
      <c r="H1160" t="n">
        <v>0</v>
      </c>
      <c r="I1160" t="n">
        <v>0.5</v>
      </c>
      <c r="J1160" t="n">
        <v>240</v>
      </c>
      <c r="K1160" t="n">
        <v>120</v>
      </c>
      <c r="L1160" t="n">
        <v>0</v>
      </c>
      <c r="M1160" t="n">
        <v>0</v>
      </c>
      <c r="N1160" t="n">
        <v>600</v>
      </c>
      <c r="O1160" s="1">
        <f>IFERROR(L1160*G1160,0)</f>
        <v/>
      </c>
      <c r="P1160">
        <f>IF(N1160-L1160-M1160&gt;0,N1160-L1160-M1160,0)</f>
        <v/>
      </c>
      <c r="Q1160" s="1">
        <f>IFERROR(P1160*G1160,0)</f>
        <v/>
      </c>
    </row>
    <row r="1161">
      <c r="A1161" t="inlineStr">
        <is>
          <t>M8X70</t>
        </is>
      </c>
      <c r="B1161" t="inlineStr">
        <is>
          <t>M8X70 HT HEX SET SCREWS ZINC/BLUE</t>
        </is>
      </c>
      <c r="C1161" t="inlineStr"/>
      <c r="D1161" t="n">
        <v>4</v>
      </c>
      <c r="E1161" t="n">
        <v>520</v>
      </c>
      <c r="F1161" t="inlineStr">
        <is>
          <t>M&amp;D SPECIALISED FASTENERS (PTY) LTD</t>
        </is>
      </c>
      <c r="G1161" s="1" t="n">
        <v>2</v>
      </c>
      <c r="H1161" t="n">
        <v>0</v>
      </c>
      <c r="I1161" t="n">
        <v>0.5</v>
      </c>
      <c r="J1161" t="n">
        <v>130</v>
      </c>
      <c r="K1161" t="n">
        <v>65</v>
      </c>
      <c r="L1161" t="n">
        <v>0</v>
      </c>
      <c r="M1161" t="n">
        <v>0</v>
      </c>
      <c r="N1161" t="n">
        <v>325</v>
      </c>
      <c r="O1161" s="1">
        <f>IFERROR(L1161*G1161,0)</f>
        <v/>
      </c>
      <c r="P1161">
        <f>IF(N1161-L1161-M1161&gt;0,N1161-L1161-M1161,0)</f>
        <v/>
      </c>
      <c r="Q1161" s="1">
        <f>IFERROR(P1161*G1161,0)</f>
        <v/>
      </c>
    </row>
    <row r="1162">
      <c r="A1162" t="inlineStr">
        <is>
          <t>MANUFACTURE RAW CASINGS</t>
        </is>
      </c>
      <c r="B1162" t="inlineStr">
        <is>
          <t>RAW CASING</t>
        </is>
      </c>
      <c r="C1162" t="inlineStr"/>
      <c r="D1162" t="n">
        <v>2</v>
      </c>
      <c r="E1162" t="n">
        <v>94</v>
      </c>
      <c r="F1162" t="inlineStr">
        <is>
          <t>TS TELEKI T/A VENT SYSTEM AND PROJECTS</t>
        </is>
      </c>
      <c r="G1162" s="1" t="n">
        <v>1609.25</v>
      </c>
      <c r="H1162" t="n">
        <v>0</v>
      </c>
      <c r="I1162" t="n">
        <v>0.5</v>
      </c>
      <c r="J1162" t="n">
        <v>47</v>
      </c>
      <c r="K1162" t="n">
        <v>24</v>
      </c>
      <c r="L1162" t="n">
        <v>0</v>
      </c>
      <c r="M1162" t="n">
        <v>0</v>
      </c>
      <c r="N1162" t="n">
        <v>118</v>
      </c>
      <c r="O1162" s="1">
        <f>IFERROR(L1162*G1162,0)</f>
        <v/>
      </c>
      <c r="P1162">
        <f>IF(N1162-L1162-M1162&gt;0,N1162-L1162-M1162,0)</f>
        <v/>
      </c>
      <c r="Q1162" s="1">
        <f>IFERROR(P1162*G1162,0)</f>
        <v/>
      </c>
    </row>
    <row r="1163">
      <c r="A1163" t="inlineStr">
        <is>
          <t>MB1000UG</t>
        </is>
      </c>
      <c r="B1163" t="inlineStr">
        <is>
          <t>1000diam mounting brackets Ungalvanized (4 per set)</t>
        </is>
      </c>
      <c r="C1163" t="inlineStr">
        <is>
          <t>FM - DONKIN</t>
        </is>
      </c>
      <c r="D1163" t="n">
        <v>1</v>
      </c>
      <c r="E1163" t="n">
        <v>12</v>
      </c>
      <c r="F1163" t="inlineStr">
        <is>
          <t>ULTIMATENG (PTY) LTD</t>
        </is>
      </c>
      <c r="G1163" s="1" t="n">
        <v>0</v>
      </c>
      <c r="H1163" t="n">
        <v>0</v>
      </c>
      <c r="I1163" t="n">
        <v>0.5</v>
      </c>
      <c r="J1163" t="n">
        <v>12</v>
      </c>
      <c r="K1163" t="n">
        <v>6</v>
      </c>
      <c r="L1163" t="n">
        <v>0</v>
      </c>
      <c r="M1163" t="n">
        <v>0</v>
      </c>
      <c r="N1163" t="n">
        <v>30</v>
      </c>
      <c r="O1163" s="1">
        <f>IFERROR(L1163*G1163,0)</f>
        <v/>
      </c>
      <c r="P1163">
        <f>IF(N1163-L1163-M1163&gt;0,N1163-L1163-M1163,0)</f>
        <v/>
      </c>
      <c r="Q1163" s="1">
        <f>IFERROR(P1163*G1163,0)</f>
        <v/>
      </c>
    </row>
    <row r="1164">
      <c r="A1164" t="inlineStr">
        <is>
          <t>MB315</t>
        </is>
      </c>
      <c r="B1164" t="inlineStr">
        <is>
          <t>315diam mounting brackets</t>
        </is>
      </c>
      <c r="C1164" t="inlineStr"/>
      <c r="D1164" t="n">
        <v>1</v>
      </c>
      <c r="E1164" t="n">
        <v>2</v>
      </c>
      <c r="F1164" t="inlineStr">
        <is>
          <t>CFW Fans (Pty) Ltd</t>
        </is>
      </c>
      <c r="G1164" s="1" t="n">
        <v>172</v>
      </c>
      <c r="H1164" t="n">
        <v>0</v>
      </c>
      <c r="I1164" t="n">
        <v>1.2</v>
      </c>
      <c r="J1164" t="n">
        <v>2</v>
      </c>
      <c r="K1164" t="n">
        <v>2</v>
      </c>
      <c r="L1164" t="n">
        <v>0</v>
      </c>
      <c r="M1164" t="n">
        <v>0</v>
      </c>
      <c r="N1164" t="n">
        <v>6</v>
      </c>
      <c r="O1164" s="1">
        <f>IFERROR(L1164*G1164,0)</f>
        <v/>
      </c>
      <c r="P1164">
        <f>IF(N1164-L1164-M1164&gt;0,N1164-L1164-M1164,0)</f>
        <v/>
      </c>
      <c r="Q1164" s="1">
        <f>IFERROR(P1164*G1164,0)</f>
        <v/>
      </c>
    </row>
    <row r="1165">
      <c r="A1165" t="inlineStr">
        <is>
          <t>MB400</t>
        </is>
      </c>
      <c r="B1165" t="inlineStr">
        <is>
          <t>400diam mounting brackets</t>
        </is>
      </c>
      <c r="C1165" t="inlineStr"/>
      <c r="D1165" t="n">
        <v>1</v>
      </c>
      <c r="E1165" t="n">
        <v>2</v>
      </c>
      <c r="F1165" t="inlineStr">
        <is>
          <t>CFW Fans (Pty) Ltd</t>
        </is>
      </c>
      <c r="G1165" s="1" t="n">
        <v>187</v>
      </c>
      <c r="H1165" t="n">
        <v>0</v>
      </c>
      <c r="I1165" t="n">
        <v>1.2</v>
      </c>
      <c r="J1165" t="n">
        <v>2</v>
      </c>
      <c r="K1165" t="n">
        <v>2</v>
      </c>
      <c r="L1165" t="n">
        <v>0</v>
      </c>
      <c r="M1165" t="n">
        <v>0</v>
      </c>
      <c r="N1165" t="n">
        <v>6</v>
      </c>
      <c r="O1165" s="1">
        <f>IFERROR(L1165*G1165,0)</f>
        <v/>
      </c>
      <c r="P1165">
        <f>IF(N1165-L1165-M1165&gt;0,N1165-L1165-M1165,0)</f>
        <v/>
      </c>
      <c r="Q1165" s="1">
        <f>IFERROR(P1165*G1165,0)</f>
        <v/>
      </c>
    </row>
    <row r="1166">
      <c r="A1166" t="inlineStr">
        <is>
          <t>MB500</t>
        </is>
      </c>
      <c r="B1166" t="inlineStr">
        <is>
          <t>500diam mounting brackets</t>
        </is>
      </c>
      <c r="C1166" t="inlineStr"/>
      <c r="D1166" t="n">
        <v>1</v>
      </c>
      <c r="E1166" t="n">
        <v>1</v>
      </c>
      <c r="F1166" t="inlineStr">
        <is>
          <t>CFW Fans (Pty) Ltd</t>
        </is>
      </c>
      <c r="G1166" s="1" t="n">
        <v>208</v>
      </c>
      <c r="H1166" t="n">
        <v>0</v>
      </c>
      <c r="I1166" t="n">
        <v>1.2</v>
      </c>
      <c r="J1166" t="n">
        <v>1</v>
      </c>
      <c r="K1166" t="n">
        <v>1</v>
      </c>
      <c r="L1166" t="n">
        <v>0</v>
      </c>
      <c r="M1166" t="n">
        <v>0</v>
      </c>
      <c r="N1166" t="n">
        <v>3</v>
      </c>
      <c r="O1166" s="1">
        <f>IFERROR(L1166*G1166,0)</f>
        <v/>
      </c>
      <c r="P1166">
        <f>IF(N1166-L1166-M1166&gt;0,N1166-L1166-M1166,0)</f>
        <v/>
      </c>
      <c r="Q1166" s="1">
        <f>IFERROR(P1166*G1166,0)</f>
        <v/>
      </c>
    </row>
    <row r="1167">
      <c r="A1167" t="inlineStr">
        <is>
          <t>MB560</t>
        </is>
      </c>
      <c r="B1167" t="inlineStr">
        <is>
          <t>560diam mounting brackets</t>
        </is>
      </c>
      <c r="C1167" t="inlineStr"/>
      <c r="D1167" t="n">
        <v>1</v>
      </c>
      <c r="E1167" t="n">
        <v>1</v>
      </c>
      <c r="F1167" t="inlineStr">
        <is>
          <t>CFW Fans (Pty) Ltd</t>
        </is>
      </c>
      <c r="G1167" s="1" t="n">
        <v>223</v>
      </c>
      <c r="H1167" t="n">
        <v>0</v>
      </c>
      <c r="I1167" t="n">
        <v>1.2</v>
      </c>
      <c r="J1167" t="n">
        <v>1</v>
      </c>
      <c r="K1167" t="n">
        <v>1</v>
      </c>
      <c r="L1167" t="n">
        <v>0</v>
      </c>
      <c r="M1167" t="n">
        <v>0</v>
      </c>
      <c r="N1167" t="n">
        <v>3</v>
      </c>
      <c r="O1167" s="1">
        <f>IFERROR(L1167*G1167,0)</f>
        <v/>
      </c>
      <c r="P1167">
        <f>IF(N1167-L1167-M1167&gt;0,N1167-L1167-M1167,0)</f>
        <v/>
      </c>
      <c r="Q1167" s="1">
        <f>IFERROR(P1167*G1167,0)</f>
        <v/>
      </c>
    </row>
    <row r="1168">
      <c r="A1168" t="inlineStr">
        <is>
          <t>MB630</t>
        </is>
      </c>
      <c r="B1168" t="inlineStr">
        <is>
          <t>630diam Mounting Brackets (4 per set)</t>
        </is>
      </c>
      <c r="C1168" t="inlineStr">
        <is>
          <t>FM - DONKIN</t>
        </is>
      </c>
      <c r="D1168" t="n">
        <v>1</v>
      </c>
      <c r="E1168" t="n">
        <v>10</v>
      </c>
      <c r="F1168" t="inlineStr">
        <is>
          <t>GALVAGLOW (PTY) LTD</t>
        </is>
      </c>
      <c r="G1168" s="1" t="n">
        <v>0</v>
      </c>
      <c r="H1168" t="n">
        <v>0</v>
      </c>
      <c r="I1168" t="n">
        <v>0.5</v>
      </c>
      <c r="J1168" t="n">
        <v>10</v>
      </c>
      <c r="K1168" t="n">
        <v>5</v>
      </c>
      <c r="L1168" t="n">
        <v>0</v>
      </c>
      <c r="M1168" t="n">
        <v>0</v>
      </c>
      <c r="N1168" t="n">
        <v>25</v>
      </c>
      <c r="O1168" s="1">
        <f>IFERROR(L1168*G1168,0)</f>
        <v/>
      </c>
      <c r="P1168">
        <f>IF(N1168-L1168-M1168&gt;0,N1168-L1168-M1168,0)</f>
        <v/>
      </c>
      <c r="Q1168" s="1">
        <f>IFERROR(P1168*G1168,0)</f>
        <v/>
      </c>
    </row>
    <row r="1169">
      <c r="A1169" t="inlineStr">
        <is>
          <t>MB630UG</t>
        </is>
      </c>
      <c r="B1169" t="inlineStr">
        <is>
          <t>630diam Mounting Brackets Ungalvanized (4 per set)</t>
        </is>
      </c>
      <c r="C1169" t="inlineStr">
        <is>
          <t>FM - DONKIN</t>
        </is>
      </c>
      <c r="D1169" t="n">
        <v>1</v>
      </c>
      <c r="E1169" t="n">
        <v>35</v>
      </c>
      <c r="F1169" t="inlineStr">
        <is>
          <t>ULTIMATENG (PTY) LTD</t>
        </is>
      </c>
      <c r="G1169" s="1" t="n">
        <v>0</v>
      </c>
      <c r="H1169" t="n">
        <v>0</v>
      </c>
      <c r="I1169" t="n">
        <v>0.5</v>
      </c>
      <c r="J1169" t="n">
        <v>35</v>
      </c>
      <c r="K1169" t="n">
        <v>18</v>
      </c>
      <c r="L1169" t="n">
        <v>0</v>
      </c>
      <c r="M1169" t="n">
        <v>0</v>
      </c>
      <c r="N1169" t="n">
        <v>88</v>
      </c>
      <c r="O1169" s="1">
        <f>IFERROR(L1169*G1169,0)</f>
        <v/>
      </c>
      <c r="P1169">
        <f>IF(N1169-L1169-M1169&gt;0,N1169-L1169-M1169,0)</f>
        <v/>
      </c>
      <c r="Q1169" s="1">
        <f>IFERROR(P1169*G1169,0)</f>
        <v/>
      </c>
    </row>
    <row r="1170">
      <c r="A1170" t="inlineStr">
        <is>
          <t>MB710</t>
        </is>
      </c>
      <c r="B1170" t="inlineStr">
        <is>
          <t>710diam mounting brackets (4 per set)</t>
        </is>
      </c>
      <c r="C1170" t="inlineStr">
        <is>
          <t>FM - DONKIN</t>
        </is>
      </c>
      <c r="D1170" t="n">
        <v>1</v>
      </c>
      <c r="E1170" t="n">
        <v>9</v>
      </c>
      <c r="F1170" t="inlineStr">
        <is>
          <t>GALVAGLOW (PTY) LTD</t>
        </is>
      </c>
      <c r="G1170" s="1" t="n">
        <v>0</v>
      </c>
      <c r="H1170" t="n">
        <v>0</v>
      </c>
      <c r="I1170" t="n">
        <v>0.5</v>
      </c>
      <c r="J1170" t="n">
        <v>9</v>
      </c>
      <c r="K1170" t="n">
        <v>4</v>
      </c>
      <c r="L1170" t="n">
        <v>0</v>
      </c>
      <c r="M1170" t="n">
        <v>0</v>
      </c>
      <c r="N1170" t="n">
        <v>22</v>
      </c>
      <c r="O1170" s="1">
        <f>IFERROR(L1170*G1170,0)</f>
        <v/>
      </c>
      <c r="P1170">
        <f>IF(N1170-L1170-M1170&gt;0,N1170-L1170-M1170,0)</f>
        <v/>
      </c>
      <c r="Q1170" s="1">
        <f>IFERROR(P1170*G1170,0)</f>
        <v/>
      </c>
    </row>
    <row r="1171">
      <c r="A1171" t="inlineStr">
        <is>
          <t>MB710UG</t>
        </is>
      </c>
      <c r="B1171" t="inlineStr">
        <is>
          <t>710diam mounting brackets Ungalvanized (4 per set)</t>
        </is>
      </c>
      <c r="C1171" t="inlineStr">
        <is>
          <t>FM - DONKIN</t>
        </is>
      </c>
      <c r="D1171" t="n">
        <v>1</v>
      </c>
      <c r="E1171" t="n">
        <v>32</v>
      </c>
      <c r="F1171" t="inlineStr">
        <is>
          <t>ULTIMATENG (PTY) LTD</t>
        </is>
      </c>
      <c r="G1171" s="1" t="n">
        <v>0</v>
      </c>
      <c r="H1171" t="n">
        <v>0</v>
      </c>
      <c r="I1171" t="n">
        <v>0.5</v>
      </c>
      <c r="J1171" t="n">
        <v>32</v>
      </c>
      <c r="K1171" t="n">
        <v>16</v>
      </c>
      <c r="L1171" t="n">
        <v>0</v>
      </c>
      <c r="M1171" t="n">
        <v>0</v>
      </c>
      <c r="N1171" t="n">
        <v>80</v>
      </c>
      <c r="O1171" s="1">
        <f>IFERROR(L1171*G1171,0)</f>
        <v/>
      </c>
      <c r="P1171">
        <f>IF(N1171-L1171-M1171&gt;0,N1171-L1171-M1171,0)</f>
        <v/>
      </c>
      <c r="Q1171" s="1">
        <f>IFERROR(P1171*G1171,0)</f>
        <v/>
      </c>
    </row>
    <row r="1172">
      <c r="A1172" t="inlineStr">
        <is>
          <t>MB800</t>
        </is>
      </c>
      <c r="B1172" t="inlineStr">
        <is>
          <t>800diam mounting brackets</t>
        </is>
      </c>
      <c r="C1172" t="inlineStr"/>
      <c r="D1172" t="n">
        <v>21</v>
      </c>
      <c r="E1172" t="n">
        <v>9</v>
      </c>
      <c r="F1172" t="inlineStr">
        <is>
          <t>CFW Fans (Pty) Ltd</t>
        </is>
      </c>
      <c r="G1172" s="1" t="n">
        <v>48.78</v>
      </c>
      <c r="H1172" t="n">
        <v>0</v>
      </c>
      <c r="I1172" t="n">
        <v>0.6</v>
      </c>
      <c r="J1172" t="n">
        <v>1</v>
      </c>
      <c r="K1172" t="n">
        <v>1</v>
      </c>
      <c r="L1172" t="n">
        <v>0</v>
      </c>
      <c r="M1172" t="n">
        <v>0</v>
      </c>
      <c r="N1172" t="n">
        <v>3</v>
      </c>
      <c r="O1172" s="1">
        <f>IFERROR(L1172*G1172,0)</f>
        <v/>
      </c>
      <c r="P1172">
        <f>IF(N1172-L1172-M1172&gt;0,N1172-L1172-M1172,0)</f>
        <v/>
      </c>
      <c r="Q1172" s="1">
        <f>IFERROR(P1172*G1172,0)</f>
        <v/>
      </c>
    </row>
    <row r="1173">
      <c r="A1173" t="inlineStr">
        <is>
          <t>MB800UG</t>
        </is>
      </c>
      <c r="B1173" t="inlineStr">
        <is>
          <t>800diam mounting brackets Ungalvanized (4 per set)</t>
        </is>
      </c>
      <c r="C1173" t="inlineStr">
        <is>
          <t>FM - DONKIN</t>
        </is>
      </c>
      <c r="D1173" t="n">
        <v>2</v>
      </c>
      <c r="E1173" t="n">
        <v>44</v>
      </c>
      <c r="F1173" t="inlineStr">
        <is>
          <t>ULTIMATENG (PTY) LTD</t>
        </is>
      </c>
      <c r="G1173" s="1" t="n">
        <v>0</v>
      </c>
      <c r="H1173" t="n">
        <v>0</v>
      </c>
      <c r="I1173" t="n">
        <v>0.5</v>
      </c>
      <c r="J1173" t="n">
        <v>22</v>
      </c>
      <c r="K1173" t="n">
        <v>11</v>
      </c>
      <c r="L1173" t="n">
        <v>0</v>
      </c>
      <c r="M1173" t="n">
        <v>0</v>
      </c>
      <c r="N1173" t="n">
        <v>55</v>
      </c>
      <c r="O1173" s="1">
        <f>IFERROR(L1173*G1173,0)</f>
        <v/>
      </c>
      <c r="P1173">
        <f>IF(N1173-L1173-M1173&gt;0,N1173-L1173-M1173,0)</f>
        <v/>
      </c>
      <c r="Q1173" s="1">
        <f>IFERROR(P1173*G1173,0)</f>
        <v/>
      </c>
    </row>
    <row r="1174">
      <c r="A1174" t="inlineStr">
        <is>
          <t>MB900UG</t>
        </is>
      </c>
      <c r="B1174" t="inlineStr">
        <is>
          <t>900diam mounting brackets Ungalvanized (4 per set)</t>
        </is>
      </c>
      <c r="C1174" t="inlineStr">
        <is>
          <t>FM - DONKIN</t>
        </is>
      </c>
      <c r="D1174" t="n">
        <v>1</v>
      </c>
      <c r="E1174" t="n">
        <v>24</v>
      </c>
      <c r="F1174" t="inlineStr">
        <is>
          <t>ULTIMATENG (PTY) LTD</t>
        </is>
      </c>
      <c r="G1174" s="1" t="n">
        <v>0</v>
      </c>
      <c r="H1174" t="n">
        <v>0</v>
      </c>
      <c r="I1174" t="n">
        <v>0.5</v>
      </c>
      <c r="J1174" t="n">
        <v>24</v>
      </c>
      <c r="K1174" t="n">
        <v>12</v>
      </c>
      <c r="L1174" t="n">
        <v>0</v>
      </c>
      <c r="M1174" t="n">
        <v>0</v>
      </c>
      <c r="N1174" t="n">
        <v>60</v>
      </c>
      <c r="O1174" s="1">
        <f>IFERROR(L1174*G1174,0)</f>
        <v/>
      </c>
      <c r="P1174">
        <f>IF(N1174-L1174-M1174&gt;0,N1174-L1174-M1174,0)</f>
        <v/>
      </c>
      <c r="Q1174" s="1">
        <f>IFERROR(P1174*G1174,0)</f>
        <v/>
      </c>
    </row>
    <row r="1175">
      <c r="A1175" t="inlineStr">
        <is>
          <t>MF12504008</t>
        </is>
      </c>
      <c r="B1175" t="inlineStr">
        <is>
          <t>MFAJAX-3 1250 c/w 4,00KW 8P 380V</t>
        </is>
      </c>
      <c r="C1175" t="inlineStr">
        <is>
          <t>FM - DONKIN</t>
        </is>
      </c>
      <c r="D1175" t="n">
        <v>3</v>
      </c>
      <c r="E1175" t="n">
        <v>0</v>
      </c>
      <c r="F1175" t="inlineStr"/>
      <c r="G1175" s="1" t="n">
        <v>0</v>
      </c>
      <c r="H1175" t="n">
        <v>2</v>
      </c>
      <c r="I1175" t="n">
        <v>0.5</v>
      </c>
      <c r="J1175" t="n">
        <v>1</v>
      </c>
      <c r="K1175" t="n">
        <v>1</v>
      </c>
      <c r="L1175" t="n">
        <v>0</v>
      </c>
      <c r="M1175" t="n">
        <v>0</v>
      </c>
      <c r="N1175" t="n">
        <v>2</v>
      </c>
      <c r="O1175" s="1">
        <f>IFERROR(L1175*G1175,0)</f>
        <v/>
      </c>
      <c r="P1175">
        <f>IF(N1175-L1175-M1175&gt;0,N1175-L1175-M1175,0)</f>
        <v/>
      </c>
      <c r="Q1175" s="1">
        <f>IFERROR(P1175*G1175,0)</f>
        <v/>
      </c>
    </row>
    <row r="1176">
      <c r="A1176" t="inlineStr">
        <is>
          <t>MFA100011004</t>
        </is>
      </c>
      <c r="B1176" t="inlineStr">
        <is>
          <t>MAXFLO 1000/250/14 A c/w 11,00KW 4P 380V</t>
        </is>
      </c>
      <c r="C1176" t="inlineStr">
        <is>
          <t>FM - DONKIN</t>
        </is>
      </c>
      <c r="D1176" t="n">
        <v>32</v>
      </c>
      <c r="E1176" t="n">
        <v>5</v>
      </c>
      <c r="F1176" t="inlineStr">
        <is>
          <t>Centrifab (Pty) Ltd</t>
        </is>
      </c>
      <c r="G1176" s="1" t="n">
        <v>3774</v>
      </c>
      <c r="H1176" t="n">
        <v>2</v>
      </c>
      <c r="I1176" t="n">
        <v>0.8</v>
      </c>
      <c r="J1176" t="n">
        <v>1</v>
      </c>
      <c r="K1176" t="n">
        <v>1</v>
      </c>
      <c r="L1176" t="n">
        <v>0</v>
      </c>
      <c r="M1176" t="n">
        <v>0</v>
      </c>
      <c r="N1176" t="n">
        <v>3</v>
      </c>
      <c r="O1176" s="1">
        <f>IFERROR(L1176*G1176,0)</f>
        <v/>
      </c>
      <c r="P1176">
        <f>IF(N1176-L1176-M1176&gt;0,N1176-L1176-M1176,0)</f>
        <v/>
      </c>
      <c r="Q1176" s="1">
        <f>IFERROR(P1176*G1176,0)</f>
        <v/>
      </c>
    </row>
    <row r="1177">
      <c r="A1177" t="inlineStr">
        <is>
          <t>MFA10004004</t>
        </is>
      </c>
      <c r="B1177" t="inlineStr">
        <is>
          <t>MAXFLO 1000/250/14 A c/w 4,00KW 4P 380V</t>
        </is>
      </c>
      <c r="C1177" t="inlineStr">
        <is>
          <t>FM - DONKIN</t>
        </is>
      </c>
      <c r="D1177" t="n">
        <v>1</v>
      </c>
      <c r="E1177" t="n">
        <v>1</v>
      </c>
      <c r="F1177" t="inlineStr">
        <is>
          <t>Centrifab (Pty) Ltd</t>
        </is>
      </c>
      <c r="G1177" s="1" t="n">
        <v>11554.27</v>
      </c>
      <c r="H1177" t="n">
        <v>0</v>
      </c>
      <c r="I1177" t="n">
        <v>0.5</v>
      </c>
      <c r="J1177" t="n">
        <v>1</v>
      </c>
      <c r="K1177" t="n">
        <v>1</v>
      </c>
      <c r="L1177" t="n">
        <v>0</v>
      </c>
      <c r="M1177" t="n">
        <v>0</v>
      </c>
      <c r="N1177" t="n">
        <v>2</v>
      </c>
      <c r="O1177" s="1">
        <f>IFERROR(L1177*G1177,0)</f>
        <v/>
      </c>
      <c r="P1177">
        <f>IF(N1177-L1177-M1177&gt;0,N1177-L1177-M1177,0)</f>
        <v/>
      </c>
      <c r="Q1177" s="1">
        <f>IFERROR(P1177*G1177,0)</f>
        <v/>
      </c>
    </row>
    <row r="1178">
      <c r="A1178" t="inlineStr">
        <is>
          <t>MFA10005504</t>
        </is>
      </c>
      <c r="B1178" t="inlineStr">
        <is>
          <t>MAXFLO 1000/250/14 A c/w 5,50KW 4P 380V</t>
        </is>
      </c>
      <c r="C1178" t="inlineStr">
        <is>
          <t>FM - DONKIN</t>
        </is>
      </c>
      <c r="D1178" t="n">
        <v>11</v>
      </c>
      <c r="E1178" t="n">
        <v>0</v>
      </c>
      <c r="F1178" t="inlineStr"/>
      <c r="G1178" s="1" t="n">
        <v>0</v>
      </c>
      <c r="H1178" t="n">
        <v>2</v>
      </c>
      <c r="I1178" t="n">
        <v>0.5</v>
      </c>
      <c r="J1178" t="n">
        <v>1</v>
      </c>
      <c r="K1178" t="n">
        <v>1</v>
      </c>
      <c r="L1178" t="n">
        <v>0</v>
      </c>
      <c r="M1178" t="n">
        <v>0</v>
      </c>
      <c r="N1178" t="n">
        <v>2</v>
      </c>
      <c r="O1178" s="1">
        <f>IFERROR(L1178*G1178,0)</f>
        <v/>
      </c>
      <c r="P1178">
        <f>IF(N1178-L1178-M1178&gt;0,N1178-L1178-M1178,0)</f>
        <v/>
      </c>
      <c r="Q1178" s="1">
        <f>IFERROR(P1178*G1178,0)</f>
        <v/>
      </c>
    </row>
    <row r="1179">
      <c r="A1179" t="inlineStr">
        <is>
          <t>MFA3150552</t>
        </is>
      </c>
      <c r="B1179" t="inlineStr">
        <is>
          <t>MAXFLO 315/150/10 A c/w 0,55KW 2P 380V</t>
        </is>
      </c>
      <c r="C1179" t="inlineStr">
        <is>
          <t>FM - DONKIN</t>
        </is>
      </c>
      <c r="D1179" t="n">
        <v>20</v>
      </c>
      <c r="E1179" t="n">
        <v>0</v>
      </c>
      <c r="F1179" t="inlineStr"/>
      <c r="G1179" s="1" t="n">
        <v>0</v>
      </c>
      <c r="H1179" t="n">
        <v>18</v>
      </c>
      <c r="I1179" t="n">
        <v>0.5</v>
      </c>
      <c r="J1179" t="n">
        <v>1</v>
      </c>
      <c r="K1179" t="n">
        <v>1</v>
      </c>
      <c r="L1179" t="n">
        <v>0</v>
      </c>
      <c r="M1179" t="n">
        <v>0</v>
      </c>
      <c r="N1179" t="n">
        <v>2</v>
      </c>
      <c r="O1179" s="1">
        <f>IFERROR(L1179*G1179,0)</f>
        <v/>
      </c>
      <c r="P1179">
        <f>IF(N1179-L1179-M1179&gt;0,N1179-L1179-M1179,0)</f>
        <v/>
      </c>
      <c r="Q1179" s="1">
        <f>IFERROR(P1179*G1179,0)</f>
        <v/>
      </c>
    </row>
    <row r="1180">
      <c r="A1180" t="inlineStr">
        <is>
          <t>MFA3150752</t>
        </is>
      </c>
      <c r="B1180" t="inlineStr">
        <is>
          <t>MAXFLO 315/150/10 A c/w 0,75KW 2P 380V</t>
        </is>
      </c>
      <c r="C1180" t="inlineStr">
        <is>
          <t>FM - DONKIN</t>
        </is>
      </c>
      <c r="D1180" t="n">
        <v>18</v>
      </c>
      <c r="E1180" t="n">
        <v>0</v>
      </c>
      <c r="F1180" t="inlineStr"/>
      <c r="G1180" s="1" t="n">
        <v>0</v>
      </c>
      <c r="H1180" t="n">
        <v>10</v>
      </c>
      <c r="I1180" t="n">
        <v>0.5</v>
      </c>
      <c r="J1180" t="n">
        <v>1</v>
      </c>
      <c r="K1180" t="n">
        <v>1</v>
      </c>
      <c r="L1180" t="n">
        <v>0</v>
      </c>
      <c r="M1180" t="n">
        <v>0</v>
      </c>
      <c r="N1180" t="n">
        <v>2</v>
      </c>
      <c r="O1180" s="1">
        <f>IFERROR(L1180*G1180,0)</f>
        <v/>
      </c>
      <c r="P1180">
        <f>IF(N1180-L1180-M1180&gt;0,N1180-L1180-M1180,0)</f>
        <v/>
      </c>
      <c r="Q1180" s="1">
        <f>IFERROR(P1180*G1180,0)</f>
        <v/>
      </c>
    </row>
    <row r="1181">
      <c r="A1181" t="inlineStr">
        <is>
          <t>MFA4000374</t>
        </is>
      </c>
      <c r="B1181" t="inlineStr">
        <is>
          <t>MAXFLO 400/150/10 A c/w 0,37KW 4P 380V</t>
        </is>
      </c>
      <c r="C1181" t="inlineStr">
        <is>
          <t>FM - DONKIN</t>
        </is>
      </c>
      <c r="D1181" t="n">
        <v>16</v>
      </c>
      <c r="E1181" t="n">
        <v>0</v>
      </c>
      <c r="F1181" t="inlineStr"/>
      <c r="G1181" s="1" t="n">
        <v>0</v>
      </c>
      <c r="H1181" t="n">
        <v>7</v>
      </c>
      <c r="I1181" t="n">
        <v>0.5</v>
      </c>
      <c r="J1181" t="n">
        <v>1</v>
      </c>
      <c r="K1181" t="n">
        <v>1</v>
      </c>
      <c r="L1181" t="n">
        <v>0</v>
      </c>
      <c r="M1181" t="n">
        <v>0</v>
      </c>
      <c r="N1181" t="n">
        <v>2</v>
      </c>
      <c r="O1181" s="1">
        <f>IFERROR(L1181*G1181,0)</f>
        <v/>
      </c>
      <c r="P1181">
        <f>IF(N1181-L1181-M1181&gt;0,N1181-L1181-M1181,0)</f>
        <v/>
      </c>
      <c r="Q1181" s="1">
        <f>IFERROR(P1181*G1181,0)</f>
        <v/>
      </c>
    </row>
    <row r="1182">
      <c r="A1182" t="inlineStr">
        <is>
          <t>MFA4000552</t>
        </is>
      </c>
      <c r="B1182" t="inlineStr">
        <is>
          <t>MAXFLO 400/150/10 A c/w 0,55KW 2P 380V</t>
        </is>
      </c>
      <c r="C1182" t="inlineStr">
        <is>
          <t>FM - DONKIN</t>
        </is>
      </c>
      <c r="D1182" t="n">
        <v>1</v>
      </c>
      <c r="E1182" t="n">
        <v>0</v>
      </c>
      <c r="F1182" t="inlineStr"/>
      <c r="G1182" s="1" t="n">
        <v>0</v>
      </c>
      <c r="H1182" t="n">
        <v>1</v>
      </c>
      <c r="I1182" t="n">
        <v>0.5</v>
      </c>
      <c r="J1182" t="n">
        <v>1</v>
      </c>
      <c r="K1182" t="n">
        <v>1</v>
      </c>
      <c r="L1182" t="n">
        <v>0</v>
      </c>
      <c r="M1182" t="n">
        <v>0</v>
      </c>
      <c r="N1182" t="n">
        <v>2</v>
      </c>
      <c r="O1182" s="1">
        <f>IFERROR(L1182*G1182,0)</f>
        <v/>
      </c>
      <c r="P1182">
        <f>IF(N1182-L1182-M1182&gt;0,N1182-L1182-M1182,0)</f>
        <v/>
      </c>
      <c r="Q1182" s="1">
        <f>IFERROR(P1182*G1182,0)</f>
        <v/>
      </c>
    </row>
    <row r="1183">
      <c r="A1183" t="inlineStr">
        <is>
          <t>MFA4000752</t>
        </is>
      </c>
      <c r="B1183" t="inlineStr">
        <is>
          <t>MAXFLO 400/150/10 A c/w 0,75KW 2P 380V</t>
        </is>
      </c>
      <c r="C1183" t="inlineStr">
        <is>
          <t>FM - DONKIN</t>
        </is>
      </c>
      <c r="D1183" t="n">
        <v>10</v>
      </c>
      <c r="E1183" t="n">
        <v>0</v>
      </c>
      <c r="F1183" t="inlineStr"/>
      <c r="G1183" s="1" t="n">
        <v>0</v>
      </c>
      <c r="H1183" t="n">
        <v>4</v>
      </c>
      <c r="I1183" t="n">
        <v>0.5</v>
      </c>
      <c r="J1183" t="n">
        <v>1</v>
      </c>
      <c r="K1183" t="n">
        <v>1</v>
      </c>
      <c r="L1183" t="n">
        <v>0</v>
      </c>
      <c r="M1183" t="n">
        <v>0</v>
      </c>
      <c r="N1183" t="n">
        <v>2</v>
      </c>
      <c r="O1183" s="1">
        <f>IFERROR(L1183*G1183,0)</f>
        <v/>
      </c>
      <c r="P1183">
        <f>IF(N1183-L1183-M1183&gt;0,N1183-L1183-M1183,0)</f>
        <v/>
      </c>
      <c r="Q1183" s="1">
        <f>IFERROR(P1183*G1183,0)</f>
        <v/>
      </c>
    </row>
    <row r="1184">
      <c r="A1184" t="inlineStr">
        <is>
          <t>MFA4001102</t>
        </is>
      </c>
      <c r="B1184" t="inlineStr">
        <is>
          <t>MAXFLO 400/150/10 A c/w 1,10KW 2P 380V</t>
        </is>
      </c>
      <c r="C1184" t="inlineStr">
        <is>
          <t>FM - DONKIN</t>
        </is>
      </c>
      <c r="D1184" t="n">
        <v>27</v>
      </c>
      <c r="E1184" t="n">
        <v>4</v>
      </c>
      <c r="F1184" t="inlineStr">
        <is>
          <t>Centrifab (Pty) Ltd</t>
        </is>
      </c>
      <c r="G1184" s="1" t="n">
        <v>7100</v>
      </c>
      <c r="H1184" t="n">
        <v>18</v>
      </c>
      <c r="I1184" t="n">
        <v>0.5</v>
      </c>
      <c r="J1184" t="n">
        <v>1</v>
      </c>
      <c r="K1184" t="n">
        <v>1</v>
      </c>
      <c r="L1184" t="n">
        <v>0</v>
      </c>
      <c r="M1184" t="n">
        <v>0</v>
      </c>
      <c r="N1184" t="n">
        <v>2</v>
      </c>
      <c r="O1184" s="1">
        <f>IFERROR(L1184*G1184,0)</f>
        <v/>
      </c>
      <c r="P1184">
        <f>IF(N1184-L1184-M1184&gt;0,N1184-L1184-M1184,0)</f>
        <v/>
      </c>
      <c r="Q1184" s="1">
        <f>IFERROR(P1184*G1184,0)</f>
        <v/>
      </c>
    </row>
    <row r="1185">
      <c r="A1185" t="inlineStr">
        <is>
          <t>MFA4001502</t>
        </is>
      </c>
      <c r="B1185" t="inlineStr">
        <is>
          <t>MAXFLO 400/150/10 A c/w 1.50KW 2P 380V</t>
        </is>
      </c>
      <c r="C1185" t="inlineStr">
        <is>
          <t>FM - DONKIN</t>
        </is>
      </c>
      <c r="D1185" t="n">
        <v>1</v>
      </c>
      <c r="E1185" t="n">
        <v>0</v>
      </c>
      <c r="F1185" t="inlineStr"/>
      <c r="G1185" s="1" t="n">
        <v>0</v>
      </c>
      <c r="H1185" t="n">
        <v>1</v>
      </c>
      <c r="I1185" t="n">
        <v>0.5</v>
      </c>
      <c r="J1185" t="n">
        <v>1</v>
      </c>
      <c r="K1185" t="n">
        <v>1</v>
      </c>
      <c r="L1185" t="n">
        <v>0</v>
      </c>
      <c r="M1185" t="n">
        <v>0</v>
      </c>
      <c r="N1185" t="n">
        <v>2</v>
      </c>
      <c r="O1185" s="1">
        <f>IFERROR(L1185*G1185,0)</f>
        <v/>
      </c>
      <c r="P1185">
        <f>IF(N1185-L1185-M1185&gt;0,N1185-L1185-M1185,0)</f>
        <v/>
      </c>
      <c r="Q1185" s="1">
        <f>IFERROR(P1185*G1185,0)</f>
        <v/>
      </c>
    </row>
    <row r="1186">
      <c r="A1186" t="inlineStr">
        <is>
          <t>MFA5000554</t>
        </is>
      </c>
      <c r="B1186" t="inlineStr">
        <is>
          <t>MAXFLO 500/150/10 A c/w 0,55KW 4P 380V</t>
        </is>
      </c>
      <c r="C1186" t="inlineStr">
        <is>
          <t>FM - DONKIN</t>
        </is>
      </c>
      <c r="D1186" t="n">
        <v>30</v>
      </c>
      <c r="E1186" t="n">
        <v>1</v>
      </c>
      <c r="F1186" t="inlineStr">
        <is>
          <t>Air Speration</t>
        </is>
      </c>
      <c r="G1186" s="1" t="n">
        <v>5824.76</v>
      </c>
      <c r="H1186" t="n">
        <v>9</v>
      </c>
      <c r="I1186" t="n">
        <v>0.5</v>
      </c>
      <c r="J1186" t="n">
        <v>1</v>
      </c>
      <c r="K1186" t="n">
        <v>1</v>
      </c>
      <c r="L1186" t="n">
        <v>0</v>
      </c>
      <c r="M1186" t="n">
        <v>0</v>
      </c>
      <c r="N1186" t="n">
        <v>2</v>
      </c>
      <c r="O1186" s="1">
        <f>IFERROR(L1186*G1186,0)</f>
        <v/>
      </c>
      <c r="P1186">
        <f>IF(N1186-L1186-M1186&gt;0,N1186-L1186-M1186,0)</f>
        <v/>
      </c>
      <c r="Q1186" s="1">
        <f>IFERROR(P1186*G1186,0)</f>
        <v/>
      </c>
    </row>
    <row r="1187">
      <c r="A1187" t="inlineStr">
        <is>
          <t>MFA5000754</t>
        </is>
      </c>
      <c r="B1187" t="inlineStr">
        <is>
          <t>MAXFLO 500/150/10 A c/w 0,75KW 4P 380V</t>
        </is>
      </c>
      <c r="C1187" t="inlineStr">
        <is>
          <t>FM - DONKIN</t>
        </is>
      </c>
      <c r="D1187" t="n">
        <v>6</v>
      </c>
      <c r="E1187" t="n">
        <v>0</v>
      </c>
      <c r="F1187" t="inlineStr"/>
      <c r="G1187" s="1" t="n">
        <v>0</v>
      </c>
      <c r="H1187" t="n">
        <v>5</v>
      </c>
      <c r="I1187" t="n">
        <v>0.5</v>
      </c>
      <c r="J1187" t="n">
        <v>1</v>
      </c>
      <c r="K1187" t="n">
        <v>1</v>
      </c>
      <c r="L1187" t="n">
        <v>0</v>
      </c>
      <c r="M1187" t="n">
        <v>0</v>
      </c>
      <c r="N1187" t="n">
        <v>2</v>
      </c>
      <c r="O1187" s="1">
        <f>IFERROR(L1187*G1187,0)</f>
        <v/>
      </c>
      <c r="P1187">
        <f>IF(N1187-L1187-M1187&gt;0,N1187-L1187-M1187,0)</f>
        <v/>
      </c>
      <c r="Q1187" s="1">
        <f>IFERROR(P1187*G1187,0)</f>
        <v/>
      </c>
    </row>
    <row r="1188">
      <c r="A1188" t="inlineStr">
        <is>
          <t>MFA5001102</t>
        </is>
      </c>
      <c r="B1188" t="inlineStr">
        <is>
          <t>MAXFLO 500/150/10 A c/w 1,10KW 2P 380V</t>
        </is>
      </c>
      <c r="C1188" t="inlineStr">
        <is>
          <t>FM - DONKIN</t>
        </is>
      </c>
      <c r="D1188" t="n">
        <v>13</v>
      </c>
      <c r="E1188" t="n">
        <v>0</v>
      </c>
      <c r="F1188" t="inlineStr"/>
      <c r="G1188" s="1" t="n">
        <v>0</v>
      </c>
      <c r="H1188" t="n">
        <v>8</v>
      </c>
      <c r="I1188" t="n">
        <v>0.5</v>
      </c>
      <c r="J1188" t="n">
        <v>1</v>
      </c>
      <c r="K1188" t="n">
        <v>1</v>
      </c>
      <c r="L1188" t="n">
        <v>0</v>
      </c>
      <c r="M1188" t="n">
        <v>0</v>
      </c>
      <c r="N1188" t="n">
        <v>2</v>
      </c>
      <c r="O1188" s="1">
        <f>IFERROR(L1188*G1188,0)</f>
        <v/>
      </c>
      <c r="P1188">
        <f>IF(N1188-L1188-M1188&gt;0,N1188-L1188-M1188,0)</f>
        <v/>
      </c>
      <c r="Q1188" s="1">
        <f>IFERROR(P1188*G1188,0)</f>
        <v/>
      </c>
    </row>
    <row r="1189">
      <c r="A1189" t="inlineStr">
        <is>
          <t>MFA5001104</t>
        </is>
      </c>
      <c r="B1189" t="inlineStr">
        <is>
          <t>MAXFLO 500/150/10 A c/w 1,10KW 4P 380V</t>
        </is>
      </c>
      <c r="C1189" t="inlineStr">
        <is>
          <t>FM - DONKIN</t>
        </is>
      </c>
      <c r="D1189" t="n">
        <v>13</v>
      </c>
      <c r="E1189" t="n">
        <v>0</v>
      </c>
      <c r="F1189" t="inlineStr"/>
      <c r="G1189" s="1" t="n">
        <v>0</v>
      </c>
      <c r="H1189" t="n">
        <v>4</v>
      </c>
      <c r="I1189" t="n">
        <v>0.5</v>
      </c>
      <c r="J1189" t="n">
        <v>1</v>
      </c>
      <c r="K1189" t="n">
        <v>1</v>
      </c>
      <c r="L1189" t="n">
        <v>0</v>
      </c>
      <c r="M1189" t="n">
        <v>0</v>
      </c>
      <c r="N1189" t="n">
        <v>2</v>
      </c>
      <c r="O1189" s="1">
        <f>IFERROR(L1189*G1189,0)</f>
        <v/>
      </c>
      <c r="P1189">
        <f>IF(N1189-L1189-M1189&gt;0,N1189-L1189-M1189,0)</f>
        <v/>
      </c>
      <c r="Q1189" s="1">
        <f>IFERROR(P1189*G1189,0)</f>
        <v/>
      </c>
    </row>
    <row r="1190">
      <c r="A1190" t="inlineStr">
        <is>
          <t>MFA5002202</t>
        </is>
      </c>
      <c r="B1190" t="inlineStr">
        <is>
          <t>MAXFLO 500/150/10 A c/w 2,20KW 2P 380V</t>
        </is>
      </c>
      <c r="C1190" t="inlineStr">
        <is>
          <t>FM - DONKIN</t>
        </is>
      </c>
      <c r="D1190" t="n">
        <v>30</v>
      </c>
      <c r="E1190" t="n">
        <v>2</v>
      </c>
      <c r="F1190" t="inlineStr">
        <is>
          <t>Air Speration</t>
        </is>
      </c>
      <c r="G1190" s="1" t="n">
        <v>8942.15</v>
      </c>
      <c r="H1190" t="n">
        <v>2</v>
      </c>
      <c r="I1190" t="n">
        <v>0.9</v>
      </c>
      <c r="J1190" t="n">
        <v>1</v>
      </c>
      <c r="K1190" t="n">
        <v>1</v>
      </c>
      <c r="L1190" t="n">
        <v>0</v>
      </c>
      <c r="M1190" t="n">
        <v>0</v>
      </c>
      <c r="N1190" t="n">
        <v>3</v>
      </c>
      <c r="O1190" s="1">
        <f>IFERROR(L1190*G1190,0)</f>
        <v/>
      </c>
      <c r="P1190">
        <f>IF(N1190-L1190-M1190&gt;0,N1190-L1190-M1190,0)</f>
        <v/>
      </c>
      <c r="Q1190" s="1">
        <f>IFERROR(P1190*G1190,0)</f>
        <v/>
      </c>
    </row>
    <row r="1191">
      <c r="A1191" t="inlineStr">
        <is>
          <t>MFA5003002</t>
        </is>
      </c>
      <c r="B1191" t="inlineStr">
        <is>
          <t>MAXFLO 500/150/10 A c/w 3.00kW 2P 380V</t>
        </is>
      </c>
      <c r="C1191" t="inlineStr">
        <is>
          <t>FM - DONKIN</t>
        </is>
      </c>
      <c r="D1191" t="n">
        <v>1</v>
      </c>
      <c r="E1191" t="n">
        <v>0</v>
      </c>
      <c r="F1191" t="inlineStr"/>
      <c r="G1191" s="1" t="n">
        <v>0</v>
      </c>
      <c r="H1191" t="n">
        <v>1</v>
      </c>
      <c r="I1191" t="n">
        <v>0.5</v>
      </c>
      <c r="J1191" t="n">
        <v>1</v>
      </c>
      <c r="K1191" t="n">
        <v>1</v>
      </c>
      <c r="L1191" t="n">
        <v>0</v>
      </c>
      <c r="M1191" t="n">
        <v>0</v>
      </c>
      <c r="N1191" t="n">
        <v>2</v>
      </c>
      <c r="O1191" s="1">
        <f>IFERROR(L1191*G1191,0)</f>
        <v/>
      </c>
      <c r="P1191">
        <f>IF(N1191-L1191-M1191&gt;0,N1191-L1191-M1191,0)</f>
        <v/>
      </c>
      <c r="Q1191" s="1">
        <f>IFERROR(P1191*G1191,0)</f>
        <v/>
      </c>
    </row>
    <row r="1192">
      <c r="A1192" t="inlineStr">
        <is>
          <t>MFA5004002</t>
        </is>
      </c>
      <c r="B1192" t="inlineStr">
        <is>
          <t>MAXFLO 500/150/10 A c/w 4,00KW 2P 380V</t>
        </is>
      </c>
      <c r="C1192" t="inlineStr">
        <is>
          <t>FM - DONKIN</t>
        </is>
      </c>
      <c r="D1192" t="n">
        <v>30</v>
      </c>
      <c r="E1192" t="n">
        <v>0</v>
      </c>
      <c r="F1192" t="inlineStr"/>
      <c r="G1192" s="1" t="n">
        <v>0</v>
      </c>
      <c r="H1192" t="n">
        <v>11</v>
      </c>
      <c r="I1192" t="n">
        <v>0.5</v>
      </c>
      <c r="J1192" t="n">
        <v>1</v>
      </c>
      <c r="K1192" t="n">
        <v>1</v>
      </c>
      <c r="L1192" t="n">
        <v>0</v>
      </c>
      <c r="M1192" t="n">
        <v>0</v>
      </c>
      <c r="N1192" t="n">
        <v>2</v>
      </c>
      <c r="O1192" s="1">
        <f>IFERROR(L1192*G1192,0)</f>
        <v/>
      </c>
      <c r="P1192">
        <f>IF(N1192-L1192-M1192&gt;0,N1192-L1192-M1192,0)</f>
        <v/>
      </c>
      <c r="Q1192" s="1">
        <f>IFERROR(P1192*G1192,0)</f>
        <v/>
      </c>
    </row>
    <row r="1193">
      <c r="A1193" t="inlineStr">
        <is>
          <t>MFA90011004</t>
        </is>
      </c>
      <c r="B1193" t="inlineStr">
        <is>
          <t>MAXFLO 900/250/14 A c/w 11,00KW 4P 380V</t>
        </is>
      </c>
      <c r="C1193" t="inlineStr">
        <is>
          <t>FM - DONKIN</t>
        </is>
      </c>
      <c r="D1193" t="n">
        <v>1</v>
      </c>
      <c r="E1193" t="n">
        <v>1</v>
      </c>
      <c r="F1193" t="inlineStr">
        <is>
          <t>Air Speration</t>
        </is>
      </c>
      <c r="G1193" s="1" t="n">
        <v>8127.2</v>
      </c>
      <c r="H1193" t="n">
        <v>0</v>
      </c>
      <c r="I1193" t="n">
        <v>0.5</v>
      </c>
      <c r="J1193" t="n">
        <v>1</v>
      </c>
      <c r="K1193" t="n">
        <v>1</v>
      </c>
      <c r="L1193" t="n">
        <v>0</v>
      </c>
      <c r="M1193" t="n">
        <v>0</v>
      </c>
      <c r="N1193" t="n">
        <v>2</v>
      </c>
      <c r="O1193" s="1">
        <f>IFERROR(L1193*G1193,0)</f>
        <v/>
      </c>
      <c r="P1193">
        <f>IF(N1193-L1193-M1193&gt;0,N1193-L1193-M1193,0)</f>
        <v/>
      </c>
      <c r="Q1193" s="1">
        <f>IFERROR(P1193*G1193,0)</f>
        <v/>
      </c>
    </row>
    <row r="1194">
      <c r="A1194" t="inlineStr">
        <is>
          <t>MFA9001506</t>
        </is>
      </c>
      <c r="B1194" t="inlineStr">
        <is>
          <t>MAXFLO 900/250/14 A c/w 1,50KW 6P 380V</t>
        </is>
      </c>
      <c r="C1194" t="inlineStr">
        <is>
          <t>FM - DONKIN</t>
        </is>
      </c>
      <c r="D1194" t="n">
        <v>1</v>
      </c>
      <c r="E1194" t="n">
        <v>0</v>
      </c>
      <c r="F1194" t="inlineStr"/>
      <c r="G1194" s="1" t="n">
        <v>0</v>
      </c>
      <c r="H1194" t="n">
        <v>1</v>
      </c>
      <c r="I1194" t="n">
        <v>0.5</v>
      </c>
      <c r="J1194" t="n">
        <v>1</v>
      </c>
      <c r="K1194" t="n">
        <v>1</v>
      </c>
      <c r="L1194" t="n">
        <v>0</v>
      </c>
      <c r="M1194" t="n">
        <v>0</v>
      </c>
      <c r="N1194" t="n">
        <v>2</v>
      </c>
      <c r="O1194" s="1">
        <f>IFERROR(L1194*G1194,0)</f>
        <v/>
      </c>
      <c r="P1194">
        <f>IF(N1194-L1194-M1194&gt;0,N1194-L1194-M1194,0)</f>
        <v/>
      </c>
      <c r="Q1194" s="1">
        <f>IFERROR(P1194*G1194,0)</f>
        <v/>
      </c>
    </row>
    <row r="1195">
      <c r="A1195" t="inlineStr">
        <is>
          <t>MFA9002204</t>
        </is>
      </c>
      <c r="B1195" t="inlineStr">
        <is>
          <t>MAXFLO 900/250/14 A c/w 2,20KW 4P 380V</t>
        </is>
      </c>
      <c r="C1195" t="inlineStr">
        <is>
          <t>FM - DONKIN</t>
        </is>
      </c>
      <c r="D1195" t="n">
        <v>1</v>
      </c>
      <c r="E1195" t="n">
        <v>1</v>
      </c>
      <c r="F1195" t="inlineStr">
        <is>
          <t>Centrifab (Pty) Ltd</t>
        </is>
      </c>
      <c r="G1195" s="1" t="n">
        <v>8127.2</v>
      </c>
      <c r="H1195" t="n">
        <v>0</v>
      </c>
      <c r="I1195" t="n">
        <v>0.5</v>
      </c>
      <c r="J1195" t="n">
        <v>1</v>
      </c>
      <c r="K1195" t="n">
        <v>1</v>
      </c>
      <c r="L1195" t="n">
        <v>0</v>
      </c>
      <c r="M1195" t="n">
        <v>0</v>
      </c>
      <c r="N1195" t="n">
        <v>2</v>
      </c>
      <c r="O1195" s="1">
        <f>IFERROR(L1195*G1195,0)</f>
        <v/>
      </c>
      <c r="P1195">
        <f>IF(N1195-L1195-M1195&gt;0,N1195-L1195-M1195,0)</f>
        <v/>
      </c>
      <c r="Q1195" s="1">
        <f>IFERROR(P1195*G1195,0)</f>
        <v/>
      </c>
    </row>
    <row r="1196">
      <c r="A1196" t="inlineStr">
        <is>
          <t>MFA9003004</t>
        </is>
      </c>
      <c r="B1196" t="inlineStr">
        <is>
          <t>MAXFLO 900/250/14 A c/w 3,00KW 4P 380V</t>
        </is>
      </c>
      <c r="C1196" t="inlineStr">
        <is>
          <t>FM - DONKIN</t>
        </is>
      </c>
      <c r="D1196" t="n">
        <v>5</v>
      </c>
      <c r="E1196" t="n">
        <v>0</v>
      </c>
      <c r="F1196" t="inlineStr"/>
      <c r="G1196" s="1" t="n">
        <v>0</v>
      </c>
      <c r="H1196" t="n">
        <v>2</v>
      </c>
      <c r="I1196" t="n">
        <v>0.5</v>
      </c>
      <c r="J1196" t="n">
        <v>1</v>
      </c>
      <c r="K1196" t="n">
        <v>1</v>
      </c>
      <c r="L1196" t="n">
        <v>0</v>
      </c>
      <c r="M1196" t="n">
        <v>0</v>
      </c>
      <c r="N1196" t="n">
        <v>2</v>
      </c>
      <c r="O1196" s="1">
        <f>IFERROR(L1196*G1196,0)</f>
        <v/>
      </c>
      <c r="P1196">
        <f>IF(N1196-L1196-M1196&gt;0,N1196-L1196-M1196,0)</f>
        <v/>
      </c>
      <c r="Q1196" s="1">
        <f>IFERROR(P1196*G1196,0)</f>
        <v/>
      </c>
    </row>
    <row r="1197">
      <c r="A1197" t="inlineStr">
        <is>
          <t>MFA9004004</t>
        </is>
      </c>
      <c r="B1197" t="inlineStr">
        <is>
          <t>MAXFLO 900/250/14 A c/w 4,00KW 4P 380V</t>
        </is>
      </c>
      <c r="C1197" t="inlineStr">
        <is>
          <t>FM - DONKIN</t>
        </is>
      </c>
      <c r="D1197" t="n">
        <v>1</v>
      </c>
      <c r="E1197" t="n">
        <v>0</v>
      </c>
      <c r="F1197" t="inlineStr"/>
      <c r="G1197" s="1" t="n">
        <v>0</v>
      </c>
      <c r="H1197" t="n">
        <v>1</v>
      </c>
      <c r="I1197" t="n">
        <v>0.5</v>
      </c>
      <c r="J1197" t="n">
        <v>1</v>
      </c>
      <c r="K1197" t="n">
        <v>1</v>
      </c>
      <c r="L1197" t="n">
        <v>0</v>
      </c>
      <c r="M1197" t="n">
        <v>0</v>
      </c>
      <c r="N1197" t="n">
        <v>2</v>
      </c>
      <c r="O1197" s="1">
        <f>IFERROR(L1197*G1197,0)</f>
        <v/>
      </c>
      <c r="P1197">
        <f>IF(N1197-L1197-M1197&gt;0,N1197-L1197-M1197,0)</f>
        <v/>
      </c>
      <c r="Q1197" s="1">
        <f>IFERROR(P1197*G1197,0)</f>
        <v/>
      </c>
    </row>
    <row r="1198">
      <c r="A1198" t="inlineStr">
        <is>
          <t>MFA9005504</t>
        </is>
      </c>
      <c r="B1198" t="inlineStr">
        <is>
          <t>MAXFLO 900/250/14 A c/w 5,50KW 4P 380V</t>
        </is>
      </c>
      <c r="C1198" t="inlineStr">
        <is>
          <t>FM - DONKIN</t>
        </is>
      </c>
      <c r="D1198" t="n">
        <v>8</v>
      </c>
      <c r="E1198" t="n">
        <v>0</v>
      </c>
      <c r="F1198" t="inlineStr"/>
      <c r="G1198" s="1" t="n">
        <v>0</v>
      </c>
      <c r="H1198" t="n">
        <v>5</v>
      </c>
      <c r="I1198" t="n">
        <v>0.5</v>
      </c>
      <c r="J1198" t="n">
        <v>1</v>
      </c>
      <c r="K1198" t="n">
        <v>1</v>
      </c>
      <c r="L1198" t="n">
        <v>0</v>
      </c>
      <c r="M1198" t="n">
        <v>0</v>
      </c>
      <c r="N1198" t="n">
        <v>2</v>
      </c>
      <c r="O1198" s="1">
        <f>IFERROR(L1198*G1198,0)</f>
        <v/>
      </c>
      <c r="P1198">
        <f>IF(N1198-L1198-M1198&gt;0,N1198-L1198-M1198,0)</f>
        <v/>
      </c>
      <c r="Q1198" s="1">
        <f>IFERROR(P1198*G1198,0)</f>
        <v/>
      </c>
    </row>
    <row r="1199">
      <c r="A1199" t="inlineStr">
        <is>
          <t>MFA9007504</t>
        </is>
      </c>
      <c r="B1199" t="inlineStr">
        <is>
          <t>MAXFLO 900/250/14 A c/w 7,50KW 4P 380V</t>
        </is>
      </c>
      <c r="C1199" t="inlineStr">
        <is>
          <t>FM - DONKIN</t>
        </is>
      </c>
      <c r="D1199" t="n">
        <v>1</v>
      </c>
      <c r="E1199" t="n">
        <v>0</v>
      </c>
      <c r="F1199" t="inlineStr"/>
      <c r="G1199" s="1" t="n">
        <v>0</v>
      </c>
      <c r="H1199" t="n">
        <v>1</v>
      </c>
      <c r="I1199" t="n">
        <v>0.5</v>
      </c>
      <c r="J1199" t="n">
        <v>1</v>
      </c>
      <c r="K1199" t="n">
        <v>1</v>
      </c>
      <c r="L1199" t="n">
        <v>0</v>
      </c>
      <c r="M1199" t="n">
        <v>0</v>
      </c>
      <c r="N1199" t="n">
        <v>2</v>
      </c>
      <c r="O1199" s="1">
        <f>IFERROR(L1199*G1199,0)</f>
        <v/>
      </c>
      <c r="P1199">
        <f>IF(N1199-L1199-M1199&gt;0,N1199-L1199-M1199,0)</f>
        <v/>
      </c>
      <c r="Q1199" s="1">
        <f>IFERROR(P1199*G1199,0)</f>
        <v/>
      </c>
    </row>
    <row r="1200">
      <c r="A1200" t="inlineStr">
        <is>
          <t>MFAY5600374</t>
        </is>
      </c>
      <c r="B1200" t="inlineStr">
        <is>
          <t>MAXFLO 560/150/10 A c/w 0,37KW 4P 380V</t>
        </is>
      </c>
      <c r="C1200" t="inlineStr">
        <is>
          <t>FM - DONKIN</t>
        </is>
      </c>
      <c r="D1200" t="n">
        <v>1</v>
      </c>
      <c r="E1200" t="n">
        <v>0</v>
      </c>
      <c r="F1200" t="inlineStr"/>
      <c r="G1200" s="1" t="n">
        <v>0</v>
      </c>
      <c r="H1200" t="n">
        <v>1</v>
      </c>
      <c r="I1200" t="n">
        <v>0.5</v>
      </c>
      <c r="J1200" t="n">
        <v>1</v>
      </c>
      <c r="K1200" t="n">
        <v>1</v>
      </c>
      <c r="L1200" t="n">
        <v>0</v>
      </c>
      <c r="M1200" t="n">
        <v>0</v>
      </c>
      <c r="N1200" t="n">
        <v>2</v>
      </c>
      <c r="O1200" s="1">
        <f>IFERROR(L1200*G1200,0)</f>
        <v/>
      </c>
      <c r="P1200">
        <f>IF(N1200-L1200-M1200&gt;0,N1200-L1200-M1200,0)</f>
        <v/>
      </c>
      <c r="Q1200" s="1">
        <f>IFERROR(P1200*G1200,0)</f>
        <v/>
      </c>
    </row>
    <row r="1201">
      <c r="A1201" t="inlineStr">
        <is>
          <t>MFAY5600554</t>
        </is>
      </c>
      <c r="B1201" t="inlineStr">
        <is>
          <t>MAXFLO 560/150/10 A c/w 0,55KW 4P 380V</t>
        </is>
      </c>
      <c r="C1201" t="inlineStr">
        <is>
          <t>FM - DONKIN</t>
        </is>
      </c>
      <c r="D1201" t="n">
        <v>28</v>
      </c>
      <c r="E1201" t="n">
        <v>1</v>
      </c>
      <c r="F1201" t="inlineStr">
        <is>
          <t>Air Speration</t>
        </is>
      </c>
      <c r="G1201" s="1" t="n">
        <v>5685.45</v>
      </c>
      <c r="H1201" t="n">
        <v>8</v>
      </c>
      <c r="I1201" t="n">
        <v>0.5</v>
      </c>
      <c r="J1201" t="n">
        <v>1</v>
      </c>
      <c r="K1201" t="n">
        <v>1</v>
      </c>
      <c r="L1201" t="n">
        <v>0</v>
      </c>
      <c r="M1201" t="n">
        <v>0</v>
      </c>
      <c r="N1201" t="n">
        <v>2</v>
      </c>
      <c r="O1201" s="1">
        <f>IFERROR(L1201*G1201,0)</f>
        <v/>
      </c>
      <c r="P1201">
        <f>IF(N1201-L1201-M1201&gt;0,N1201-L1201-M1201,0)</f>
        <v/>
      </c>
      <c r="Q1201" s="1">
        <f>IFERROR(P1201*G1201,0)</f>
        <v/>
      </c>
    </row>
    <row r="1202">
      <c r="A1202" t="inlineStr">
        <is>
          <t>MFAY5600754</t>
        </is>
      </c>
      <c r="B1202" t="inlineStr">
        <is>
          <t>MAXFLO 560/150/10 A c/w 0,75KW 4P 380V</t>
        </is>
      </c>
      <c r="C1202" t="inlineStr">
        <is>
          <t>FM - DONKIN</t>
        </is>
      </c>
      <c r="D1202" t="n">
        <v>16</v>
      </c>
      <c r="E1202" t="n">
        <v>0</v>
      </c>
      <c r="F1202" t="inlineStr"/>
      <c r="G1202" s="1" t="n">
        <v>0</v>
      </c>
      <c r="H1202" t="n">
        <v>10</v>
      </c>
      <c r="I1202" t="n">
        <v>0.5</v>
      </c>
      <c r="J1202" t="n">
        <v>1</v>
      </c>
      <c r="K1202" t="n">
        <v>1</v>
      </c>
      <c r="L1202" t="n">
        <v>0</v>
      </c>
      <c r="M1202" t="n">
        <v>0</v>
      </c>
      <c r="N1202" t="n">
        <v>2</v>
      </c>
      <c r="O1202" s="1">
        <f>IFERROR(L1202*G1202,0)</f>
        <v/>
      </c>
      <c r="P1202">
        <f>IF(N1202-L1202-M1202&gt;0,N1202-L1202-M1202,0)</f>
        <v/>
      </c>
      <c r="Q1202" s="1">
        <f>IFERROR(P1202*G1202,0)</f>
        <v/>
      </c>
    </row>
    <row r="1203">
      <c r="A1203" t="inlineStr">
        <is>
          <t>MFAY5601104</t>
        </is>
      </c>
      <c r="B1203" t="inlineStr">
        <is>
          <t>MAXFLO 560/150/10 A c/w 1,10KW 4P 380V</t>
        </is>
      </c>
      <c r="C1203" t="inlineStr">
        <is>
          <t>FM - DONKIN</t>
        </is>
      </c>
      <c r="D1203" t="n">
        <v>33</v>
      </c>
      <c r="E1203" t="n">
        <v>0</v>
      </c>
      <c r="F1203" t="inlineStr"/>
      <c r="G1203" s="1" t="n">
        <v>0</v>
      </c>
      <c r="H1203" t="n">
        <v>11</v>
      </c>
      <c r="I1203" t="n">
        <v>0.5</v>
      </c>
      <c r="J1203" t="n">
        <v>1</v>
      </c>
      <c r="K1203" t="n">
        <v>1</v>
      </c>
      <c r="L1203" t="n">
        <v>0</v>
      </c>
      <c r="M1203" t="n">
        <v>0</v>
      </c>
      <c r="N1203" t="n">
        <v>2</v>
      </c>
      <c r="O1203" s="1">
        <f>IFERROR(L1203*G1203,0)</f>
        <v/>
      </c>
      <c r="P1203">
        <f>IF(N1203-L1203-M1203&gt;0,N1203-L1203-M1203,0)</f>
        <v/>
      </c>
      <c r="Q1203" s="1">
        <f>IFERROR(P1203*G1203,0)</f>
        <v/>
      </c>
    </row>
    <row r="1204">
      <c r="A1204" t="inlineStr">
        <is>
          <t>MFAY5601504</t>
        </is>
      </c>
      <c r="B1204" t="inlineStr">
        <is>
          <t>MAXFLO 560/150/10 A c/w 1,50KW 4P 380V</t>
        </is>
      </c>
      <c r="C1204" t="inlineStr">
        <is>
          <t>FM - DONKIN</t>
        </is>
      </c>
      <c r="D1204" t="n">
        <v>4</v>
      </c>
      <c r="E1204" t="n">
        <v>0</v>
      </c>
      <c r="F1204" t="inlineStr"/>
      <c r="G1204" s="1" t="n">
        <v>0</v>
      </c>
      <c r="H1204" t="n">
        <v>3</v>
      </c>
      <c r="I1204" t="n">
        <v>0.5</v>
      </c>
      <c r="J1204" t="n">
        <v>1</v>
      </c>
      <c r="K1204" t="n">
        <v>1</v>
      </c>
      <c r="L1204" t="n">
        <v>0</v>
      </c>
      <c r="M1204" t="n">
        <v>0</v>
      </c>
      <c r="N1204" t="n">
        <v>2</v>
      </c>
      <c r="O1204" s="1">
        <f>IFERROR(L1204*G1204,0)</f>
        <v/>
      </c>
      <c r="P1204">
        <f>IF(N1204-L1204-M1204&gt;0,N1204-L1204-M1204,0)</f>
        <v/>
      </c>
      <c r="Q1204" s="1">
        <f>IFERROR(P1204*G1204,0)</f>
        <v/>
      </c>
    </row>
    <row r="1205">
      <c r="A1205" t="inlineStr">
        <is>
          <t>MFAY5602202</t>
        </is>
      </c>
      <c r="B1205" t="inlineStr">
        <is>
          <t>MAXFLO 560/150/10 A c/w 2,20KW 2P 380V</t>
        </is>
      </c>
      <c r="C1205" t="inlineStr">
        <is>
          <t>FM - DONKIN</t>
        </is>
      </c>
      <c r="D1205" t="n">
        <v>1</v>
      </c>
      <c r="E1205" t="n">
        <v>0</v>
      </c>
      <c r="F1205" t="inlineStr"/>
      <c r="G1205" s="1" t="n">
        <v>0</v>
      </c>
      <c r="H1205" t="n">
        <v>2</v>
      </c>
      <c r="I1205" t="n">
        <v>0.5</v>
      </c>
      <c r="J1205" t="n">
        <v>2</v>
      </c>
      <c r="K1205" t="n">
        <v>1</v>
      </c>
      <c r="L1205" t="n">
        <v>0</v>
      </c>
      <c r="M1205" t="n">
        <v>0</v>
      </c>
      <c r="N1205" t="n">
        <v>5</v>
      </c>
      <c r="O1205" s="1">
        <f>IFERROR(L1205*G1205,0)</f>
        <v/>
      </c>
      <c r="P1205">
        <f>IF(N1205-L1205-M1205&gt;0,N1205-L1205-M1205,0)</f>
        <v/>
      </c>
      <c r="Q1205" s="1">
        <f>IFERROR(P1205*G1205,0)</f>
        <v/>
      </c>
    </row>
    <row r="1206">
      <c r="A1206" t="inlineStr">
        <is>
          <t>MFAY5604002</t>
        </is>
      </c>
      <c r="B1206" t="inlineStr">
        <is>
          <t>MAXFLO 560/150/10 A c/w 4,00KW 2P 380V</t>
        </is>
      </c>
      <c r="C1206" t="inlineStr">
        <is>
          <t>FM - DONKIN</t>
        </is>
      </c>
      <c r="D1206" t="n">
        <v>1</v>
      </c>
      <c r="E1206" t="n">
        <v>0</v>
      </c>
      <c r="F1206" t="inlineStr"/>
      <c r="G1206" s="1" t="n">
        <v>0</v>
      </c>
      <c r="H1206" t="n">
        <v>2</v>
      </c>
      <c r="I1206" t="n">
        <v>0.5</v>
      </c>
      <c r="J1206" t="n">
        <v>2</v>
      </c>
      <c r="K1206" t="n">
        <v>1</v>
      </c>
      <c r="L1206" t="n">
        <v>0</v>
      </c>
      <c r="M1206" t="n">
        <v>0</v>
      </c>
      <c r="N1206" t="n">
        <v>5</v>
      </c>
      <c r="O1206" s="1">
        <f>IFERROR(L1206*G1206,0)</f>
        <v/>
      </c>
      <c r="P1206">
        <f>IF(N1206-L1206-M1206&gt;0,N1206-L1206-M1206,0)</f>
        <v/>
      </c>
      <c r="Q1206" s="1">
        <f>IFERROR(P1206*G1206,0)</f>
        <v/>
      </c>
    </row>
    <row r="1207">
      <c r="A1207" t="inlineStr">
        <is>
          <t>MFAY6300554</t>
        </is>
      </c>
      <c r="B1207" t="inlineStr">
        <is>
          <t>MAXFLO 630/150/10 A c/w 0,55KW 4P 380V</t>
        </is>
      </c>
      <c r="C1207" t="inlineStr">
        <is>
          <t>FM - DONKIN</t>
        </is>
      </c>
      <c r="D1207" t="n">
        <v>1</v>
      </c>
      <c r="E1207" t="n">
        <v>2</v>
      </c>
      <c r="F1207" t="inlineStr">
        <is>
          <t>Centrifab (Pty) Ltd</t>
        </is>
      </c>
      <c r="G1207" s="1" t="n">
        <v>2700</v>
      </c>
      <c r="H1207" t="n">
        <v>0</v>
      </c>
      <c r="I1207" t="n">
        <v>0.5</v>
      </c>
      <c r="J1207" t="n">
        <v>2</v>
      </c>
      <c r="K1207" t="n">
        <v>1</v>
      </c>
      <c r="L1207" t="n">
        <v>0</v>
      </c>
      <c r="M1207" t="n">
        <v>0</v>
      </c>
      <c r="N1207" t="n">
        <v>5</v>
      </c>
      <c r="O1207" s="1">
        <f>IFERROR(L1207*G1207,0)</f>
        <v/>
      </c>
      <c r="P1207">
        <f>IF(N1207-L1207-M1207&gt;0,N1207-L1207-M1207,0)</f>
        <v/>
      </c>
      <c r="Q1207" s="1">
        <f>IFERROR(P1207*G1207,0)</f>
        <v/>
      </c>
    </row>
    <row r="1208">
      <c r="A1208" t="inlineStr">
        <is>
          <t>MFAY6300556</t>
        </is>
      </c>
      <c r="B1208" t="inlineStr">
        <is>
          <t>MAXFLO 630/150/10 A c/w 0,55KW 6P 380V</t>
        </is>
      </c>
      <c r="C1208" t="inlineStr">
        <is>
          <t>FM - DONKIN</t>
        </is>
      </c>
      <c r="D1208" t="n">
        <v>1</v>
      </c>
      <c r="E1208" t="n">
        <v>0</v>
      </c>
      <c r="F1208" t="inlineStr"/>
      <c r="G1208" s="1" t="n">
        <v>0</v>
      </c>
      <c r="H1208" t="n">
        <v>1</v>
      </c>
      <c r="I1208" t="n">
        <v>0.5</v>
      </c>
      <c r="J1208" t="n">
        <v>1</v>
      </c>
      <c r="K1208" t="n">
        <v>1</v>
      </c>
      <c r="L1208" t="n">
        <v>0</v>
      </c>
      <c r="M1208" t="n">
        <v>0</v>
      </c>
      <c r="N1208" t="n">
        <v>2</v>
      </c>
      <c r="O1208" s="1">
        <f>IFERROR(L1208*G1208,0)</f>
        <v/>
      </c>
      <c r="P1208">
        <f>IF(N1208-L1208-M1208&gt;0,N1208-L1208-M1208,0)</f>
        <v/>
      </c>
      <c r="Q1208" s="1">
        <f>IFERROR(P1208*G1208,0)</f>
        <v/>
      </c>
    </row>
    <row r="1209">
      <c r="A1209" t="inlineStr">
        <is>
          <t>MFAY6300754</t>
        </is>
      </c>
      <c r="B1209" t="inlineStr">
        <is>
          <t>MAXFLO 630/150/10 A c/w 0,75KW 4P 380V</t>
        </is>
      </c>
      <c r="C1209" t="inlineStr">
        <is>
          <t>FM - DONKIN</t>
        </is>
      </c>
      <c r="D1209" t="n">
        <v>1</v>
      </c>
      <c r="E1209" t="n">
        <v>0</v>
      </c>
      <c r="F1209" t="inlineStr"/>
      <c r="G1209" s="1" t="n">
        <v>0</v>
      </c>
      <c r="H1209" t="n">
        <v>4</v>
      </c>
      <c r="I1209" t="n">
        <v>0.5</v>
      </c>
      <c r="J1209" t="n">
        <v>4</v>
      </c>
      <c r="K1209" t="n">
        <v>2</v>
      </c>
      <c r="L1209" t="n">
        <v>0</v>
      </c>
      <c r="M1209" t="n">
        <v>0</v>
      </c>
      <c r="N1209" t="n">
        <v>10</v>
      </c>
      <c r="O1209" s="1">
        <f>IFERROR(L1209*G1209,0)</f>
        <v/>
      </c>
      <c r="P1209">
        <f>IF(N1209-L1209-M1209&gt;0,N1209-L1209-M1209,0)</f>
        <v/>
      </c>
      <c r="Q1209" s="1">
        <f>IFERROR(P1209*G1209,0)</f>
        <v/>
      </c>
    </row>
    <row r="1210">
      <c r="A1210" t="inlineStr">
        <is>
          <t>MFAY6301104</t>
        </is>
      </c>
      <c r="B1210" t="inlineStr">
        <is>
          <t>MAXFLO 630/150/10 A c/w 1,10KW 4P 380V</t>
        </is>
      </c>
      <c r="C1210" t="inlineStr">
        <is>
          <t>FM - DONKIN</t>
        </is>
      </c>
      <c r="D1210" t="n">
        <v>4</v>
      </c>
      <c r="E1210" t="n">
        <v>0</v>
      </c>
      <c r="F1210" t="inlineStr"/>
      <c r="G1210" s="1" t="n">
        <v>0</v>
      </c>
      <c r="H1210" t="n">
        <v>3</v>
      </c>
      <c r="I1210" t="n">
        <v>0.5</v>
      </c>
      <c r="J1210" t="n">
        <v>1</v>
      </c>
      <c r="K1210" t="n">
        <v>1</v>
      </c>
      <c r="L1210" t="n">
        <v>0</v>
      </c>
      <c r="M1210" t="n">
        <v>0</v>
      </c>
      <c r="N1210" t="n">
        <v>2</v>
      </c>
      <c r="O1210" s="1">
        <f>IFERROR(L1210*G1210,0)</f>
        <v/>
      </c>
      <c r="P1210">
        <f>IF(N1210-L1210-M1210&gt;0,N1210-L1210-M1210,0)</f>
        <v/>
      </c>
      <c r="Q1210" s="1">
        <f>IFERROR(P1210*G1210,0)</f>
        <v/>
      </c>
    </row>
    <row r="1211">
      <c r="A1211" t="inlineStr">
        <is>
          <t>MFAY6301504</t>
        </is>
      </c>
      <c r="B1211" t="inlineStr">
        <is>
          <t>MAXFLO 630/150/10 A c/w 1,50KW 4P 380V</t>
        </is>
      </c>
      <c r="C1211" t="inlineStr">
        <is>
          <t>FM - DONKIN</t>
        </is>
      </c>
      <c r="D1211" t="n">
        <v>12</v>
      </c>
      <c r="E1211" t="n">
        <v>0</v>
      </c>
      <c r="F1211" t="inlineStr"/>
      <c r="G1211" s="1" t="n">
        <v>0</v>
      </c>
      <c r="H1211" t="n">
        <v>8</v>
      </c>
      <c r="I1211" t="n">
        <v>0.5</v>
      </c>
      <c r="J1211" t="n">
        <v>1</v>
      </c>
      <c r="K1211" t="n">
        <v>1</v>
      </c>
      <c r="L1211" t="n">
        <v>0</v>
      </c>
      <c r="M1211" t="n">
        <v>0</v>
      </c>
      <c r="N1211" t="n">
        <v>2</v>
      </c>
      <c r="O1211" s="1">
        <f>IFERROR(L1211*G1211,0)</f>
        <v/>
      </c>
      <c r="P1211">
        <f>IF(N1211-L1211-M1211&gt;0,N1211-L1211-M1211,0)</f>
        <v/>
      </c>
      <c r="Q1211" s="1">
        <f>IFERROR(P1211*G1211,0)</f>
        <v/>
      </c>
    </row>
    <row r="1212">
      <c r="A1212" t="inlineStr">
        <is>
          <t>MFAY6302204</t>
        </is>
      </c>
      <c r="B1212" t="inlineStr">
        <is>
          <t>MAXFLO 630/150/10 A c/w 2,20KW 4P 380V</t>
        </is>
      </c>
      <c r="C1212" t="inlineStr">
        <is>
          <t>FM - DONKIN</t>
        </is>
      </c>
      <c r="D1212" t="n">
        <v>11</v>
      </c>
      <c r="E1212" t="n">
        <v>0</v>
      </c>
      <c r="F1212" t="inlineStr"/>
      <c r="G1212" s="1" t="n">
        <v>0</v>
      </c>
      <c r="H1212" t="n">
        <v>8</v>
      </c>
      <c r="I1212" t="n">
        <v>0.5</v>
      </c>
      <c r="J1212" t="n">
        <v>1</v>
      </c>
      <c r="K1212" t="n">
        <v>1</v>
      </c>
      <c r="L1212" t="n">
        <v>0</v>
      </c>
      <c r="M1212" t="n">
        <v>0</v>
      </c>
      <c r="N1212" t="n">
        <v>2</v>
      </c>
      <c r="O1212" s="1">
        <f>IFERROR(L1212*G1212,0)</f>
        <v/>
      </c>
      <c r="P1212">
        <f>IF(N1212-L1212-M1212&gt;0,N1212-L1212-M1212,0)</f>
        <v/>
      </c>
      <c r="Q1212" s="1">
        <f>IFERROR(P1212*G1212,0)</f>
        <v/>
      </c>
    </row>
    <row r="1213">
      <c r="A1213" t="inlineStr">
        <is>
          <t>MFAY7101104</t>
        </is>
      </c>
      <c r="B1213" t="inlineStr">
        <is>
          <t>MAXFLO 710/150/10 A c/w 1,10KW 4P 380V</t>
        </is>
      </c>
      <c r="C1213" t="inlineStr">
        <is>
          <t>FM - DONKIN</t>
        </is>
      </c>
      <c r="D1213" t="n">
        <v>24</v>
      </c>
      <c r="E1213" t="n">
        <v>12</v>
      </c>
      <c r="F1213" t="inlineStr">
        <is>
          <t>Centrifab (Pty) Ltd</t>
        </is>
      </c>
      <c r="G1213" s="1" t="n">
        <v>8558.02</v>
      </c>
      <c r="H1213" t="n">
        <v>3</v>
      </c>
      <c r="I1213" t="n">
        <v>0.8</v>
      </c>
      <c r="J1213" t="n">
        <v>1</v>
      </c>
      <c r="K1213" t="n">
        <v>1</v>
      </c>
      <c r="L1213" t="n">
        <v>0</v>
      </c>
      <c r="M1213" t="n">
        <v>0</v>
      </c>
      <c r="N1213" t="n">
        <v>3</v>
      </c>
      <c r="O1213" s="1">
        <f>IFERROR(L1213*G1213,0)</f>
        <v/>
      </c>
      <c r="P1213">
        <f>IF(N1213-L1213-M1213&gt;0,N1213-L1213-M1213,0)</f>
        <v/>
      </c>
      <c r="Q1213" s="1">
        <f>IFERROR(P1213*G1213,0)</f>
        <v/>
      </c>
    </row>
    <row r="1214">
      <c r="A1214" t="inlineStr">
        <is>
          <t>MFAY7101504</t>
        </is>
      </c>
      <c r="B1214" t="inlineStr">
        <is>
          <t>MAXFLO 710/150/10 A c/w 1,50KW 4P 380V</t>
        </is>
      </c>
      <c r="C1214" t="inlineStr">
        <is>
          <t>FM - DONKIN</t>
        </is>
      </c>
      <c r="D1214" t="n">
        <v>4</v>
      </c>
      <c r="E1214" t="n">
        <v>0</v>
      </c>
      <c r="F1214" t="inlineStr"/>
      <c r="G1214" s="1" t="n">
        <v>0</v>
      </c>
      <c r="H1214" t="n">
        <v>8</v>
      </c>
      <c r="I1214" t="n">
        <v>0.5</v>
      </c>
      <c r="J1214" t="n">
        <v>2</v>
      </c>
      <c r="K1214" t="n">
        <v>1</v>
      </c>
      <c r="L1214" t="n">
        <v>0</v>
      </c>
      <c r="M1214" t="n">
        <v>0</v>
      </c>
      <c r="N1214" t="n">
        <v>5</v>
      </c>
      <c r="O1214" s="1">
        <f>IFERROR(L1214*G1214,0)</f>
        <v/>
      </c>
      <c r="P1214">
        <f>IF(N1214-L1214-M1214&gt;0,N1214-L1214-M1214,0)</f>
        <v/>
      </c>
      <c r="Q1214" s="1">
        <f>IFERROR(P1214*G1214,0)</f>
        <v/>
      </c>
    </row>
    <row r="1215">
      <c r="A1215" t="inlineStr">
        <is>
          <t>MFAY7102204</t>
        </is>
      </c>
      <c r="B1215" t="inlineStr">
        <is>
          <t>MAXFLO 710/150/10 A c/w 2,20KW 4P 380V</t>
        </is>
      </c>
      <c r="C1215" t="inlineStr">
        <is>
          <t>FM - DONKIN</t>
        </is>
      </c>
      <c r="D1215" t="n">
        <v>1</v>
      </c>
      <c r="E1215" t="n">
        <v>0</v>
      </c>
      <c r="F1215" t="inlineStr"/>
      <c r="G1215" s="1" t="n">
        <v>0</v>
      </c>
      <c r="H1215" t="n">
        <v>1</v>
      </c>
      <c r="I1215" t="n">
        <v>0.5</v>
      </c>
      <c r="J1215" t="n">
        <v>1</v>
      </c>
      <c r="K1215" t="n">
        <v>1</v>
      </c>
      <c r="L1215" t="n">
        <v>0</v>
      </c>
      <c r="M1215" t="n">
        <v>0</v>
      </c>
      <c r="N1215" t="n">
        <v>2</v>
      </c>
      <c r="O1215" s="1">
        <f>IFERROR(L1215*G1215,0)</f>
        <v/>
      </c>
      <c r="P1215">
        <f>IF(N1215-L1215-M1215&gt;0,N1215-L1215-M1215,0)</f>
        <v/>
      </c>
      <c r="Q1215" s="1">
        <f>IFERROR(P1215*G1215,0)</f>
        <v/>
      </c>
    </row>
    <row r="1216">
      <c r="A1216" t="inlineStr">
        <is>
          <t>MFAY7104004</t>
        </is>
      </c>
      <c r="B1216" t="inlineStr">
        <is>
          <t>MAXFLO 710/150/10 A c/w 4,00KW 4P 380V</t>
        </is>
      </c>
      <c r="C1216" t="inlineStr">
        <is>
          <t>FM - DONKIN</t>
        </is>
      </c>
      <c r="D1216" t="n">
        <v>17</v>
      </c>
      <c r="E1216" t="n">
        <v>1</v>
      </c>
      <c r="F1216" t="inlineStr">
        <is>
          <t>Air Speration</t>
        </is>
      </c>
      <c r="G1216" s="1" t="n">
        <v>9521.1</v>
      </c>
      <c r="H1216" t="n">
        <v>6</v>
      </c>
      <c r="I1216" t="n">
        <v>1.7</v>
      </c>
      <c r="J1216" t="n">
        <v>1</v>
      </c>
      <c r="K1216" t="n">
        <v>2</v>
      </c>
      <c r="L1216" t="n">
        <v>0</v>
      </c>
      <c r="M1216" t="n">
        <v>0</v>
      </c>
      <c r="N1216" t="n">
        <v>4</v>
      </c>
      <c r="O1216" s="1">
        <f>IFERROR(L1216*G1216,0)</f>
        <v/>
      </c>
      <c r="P1216">
        <f>IF(N1216-L1216-M1216&gt;0,N1216-L1216-M1216,0)</f>
        <v/>
      </c>
      <c r="Q1216" s="1">
        <f>IFERROR(P1216*G1216,0)</f>
        <v/>
      </c>
    </row>
    <row r="1217">
      <c r="A1217" t="inlineStr">
        <is>
          <t>MFAY8001504</t>
        </is>
      </c>
      <c r="B1217" t="inlineStr">
        <is>
          <t>MAXFLO 800/150/10 A c/w 1,50KW 4P 380V</t>
        </is>
      </c>
      <c r="C1217" t="inlineStr">
        <is>
          <t>FM - DONKIN</t>
        </is>
      </c>
      <c r="D1217" t="n">
        <v>1</v>
      </c>
      <c r="E1217" t="n">
        <v>0</v>
      </c>
      <c r="F1217" t="inlineStr"/>
      <c r="G1217" s="1" t="n">
        <v>0</v>
      </c>
      <c r="H1217" t="n">
        <v>1</v>
      </c>
      <c r="I1217" t="n">
        <v>0.5</v>
      </c>
      <c r="J1217" t="n">
        <v>1</v>
      </c>
      <c r="K1217" t="n">
        <v>1</v>
      </c>
      <c r="L1217" t="n">
        <v>0</v>
      </c>
      <c r="M1217" t="n">
        <v>0</v>
      </c>
      <c r="N1217" t="n">
        <v>2</v>
      </c>
      <c r="O1217" s="1">
        <f>IFERROR(L1217*G1217,0)</f>
        <v/>
      </c>
      <c r="P1217">
        <f>IF(N1217-L1217-M1217&gt;0,N1217-L1217-M1217,0)</f>
        <v/>
      </c>
      <c r="Q1217" s="1">
        <f>IFERROR(P1217*G1217,0)</f>
        <v/>
      </c>
    </row>
    <row r="1218">
      <c r="A1218" t="inlineStr">
        <is>
          <t>MFAY8002204</t>
        </is>
      </c>
      <c r="B1218" t="inlineStr">
        <is>
          <t>MAXFLO 800/150/10 A c/w 2,20KW 4P 380V</t>
        </is>
      </c>
      <c r="C1218" t="inlineStr">
        <is>
          <t>FM - DONKIN</t>
        </is>
      </c>
      <c r="D1218" t="n">
        <v>1</v>
      </c>
      <c r="E1218" t="n">
        <v>0</v>
      </c>
      <c r="F1218" t="inlineStr"/>
      <c r="G1218" s="1" t="n">
        <v>0</v>
      </c>
      <c r="H1218" t="n">
        <v>3</v>
      </c>
      <c r="I1218" t="n">
        <v>0.5</v>
      </c>
      <c r="J1218" t="n">
        <v>3</v>
      </c>
      <c r="K1218" t="n">
        <v>2</v>
      </c>
      <c r="L1218" t="n">
        <v>0</v>
      </c>
      <c r="M1218" t="n">
        <v>0</v>
      </c>
      <c r="N1218" t="n">
        <v>8</v>
      </c>
      <c r="O1218" s="1">
        <f>IFERROR(L1218*G1218,0)</f>
        <v/>
      </c>
      <c r="P1218">
        <f>IF(N1218-L1218-M1218&gt;0,N1218-L1218-M1218,0)</f>
        <v/>
      </c>
      <c r="Q1218" s="1">
        <f>IFERROR(P1218*G1218,0)</f>
        <v/>
      </c>
    </row>
    <row r="1219">
      <c r="A1219" t="inlineStr">
        <is>
          <t>MFAY8003004</t>
        </is>
      </c>
      <c r="B1219" t="inlineStr">
        <is>
          <t>MAXFLO 800/150/10 A c/w 3,00KW 4P 380V</t>
        </is>
      </c>
      <c r="C1219" t="inlineStr">
        <is>
          <t>FM - DONKIN</t>
        </is>
      </c>
      <c r="D1219" t="n">
        <v>6</v>
      </c>
      <c r="E1219" t="n">
        <v>0</v>
      </c>
      <c r="F1219" t="inlineStr"/>
      <c r="G1219" s="1" t="n">
        <v>0</v>
      </c>
      <c r="H1219" t="n">
        <v>3</v>
      </c>
      <c r="I1219" t="n">
        <v>0.5</v>
      </c>
      <c r="J1219" t="n">
        <v>1</v>
      </c>
      <c r="K1219" t="n">
        <v>1</v>
      </c>
      <c r="L1219" t="n">
        <v>0</v>
      </c>
      <c r="M1219" t="n">
        <v>0</v>
      </c>
      <c r="N1219" t="n">
        <v>2</v>
      </c>
      <c r="O1219" s="1">
        <f>IFERROR(L1219*G1219,0)</f>
        <v/>
      </c>
      <c r="P1219">
        <f>IF(N1219-L1219-M1219&gt;0,N1219-L1219-M1219,0)</f>
        <v/>
      </c>
      <c r="Q1219" s="1">
        <f>IFERROR(P1219*G1219,0)</f>
        <v/>
      </c>
    </row>
    <row r="1220">
      <c r="A1220" t="inlineStr">
        <is>
          <t>MFAY8004004</t>
        </is>
      </c>
      <c r="B1220" t="inlineStr">
        <is>
          <t>MAXFLO 800/150/10 A c/w 4,00KW 4P 380V</t>
        </is>
      </c>
      <c r="C1220" t="inlineStr">
        <is>
          <t>FM - DONKIN</t>
        </is>
      </c>
      <c r="D1220" t="n">
        <v>1</v>
      </c>
      <c r="E1220" t="n">
        <v>0</v>
      </c>
      <c r="F1220" t="inlineStr"/>
      <c r="G1220" s="1" t="n">
        <v>0</v>
      </c>
      <c r="H1220" t="n">
        <v>1</v>
      </c>
      <c r="I1220" t="n">
        <v>0.5</v>
      </c>
      <c r="J1220" t="n">
        <v>1</v>
      </c>
      <c r="K1220" t="n">
        <v>1</v>
      </c>
      <c r="L1220" t="n">
        <v>0</v>
      </c>
      <c r="M1220" t="n">
        <v>0</v>
      </c>
      <c r="N1220" t="n">
        <v>2</v>
      </c>
      <c r="O1220" s="1">
        <f>IFERROR(L1220*G1220,0)</f>
        <v/>
      </c>
      <c r="P1220">
        <f>IF(N1220-L1220-M1220&gt;0,N1220-L1220-M1220,0)</f>
        <v/>
      </c>
      <c r="Q1220" s="1">
        <f>IFERROR(P1220*G1220,0)</f>
        <v/>
      </c>
    </row>
    <row r="1221">
      <c r="A1221" t="inlineStr">
        <is>
          <t>MFAY8007504</t>
        </is>
      </c>
      <c r="B1221" t="inlineStr">
        <is>
          <t>MAXFLO 800/150/10 A c/w 7,50KW 4P 380V</t>
        </is>
      </c>
      <c r="C1221" t="inlineStr">
        <is>
          <t>FM - DONKIN</t>
        </is>
      </c>
      <c r="D1221" t="n">
        <v>1</v>
      </c>
      <c r="E1221" t="n">
        <v>0</v>
      </c>
      <c r="F1221" t="inlineStr"/>
      <c r="G1221" s="1" t="n">
        <v>0</v>
      </c>
      <c r="H1221" t="n">
        <v>1</v>
      </c>
      <c r="I1221" t="n">
        <v>0.5</v>
      </c>
      <c r="J1221" t="n">
        <v>1</v>
      </c>
      <c r="K1221" t="n">
        <v>1</v>
      </c>
      <c r="L1221" t="n">
        <v>0</v>
      </c>
      <c r="M1221" t="n">
        <v>0</v>
      </c>
      <c r="N1221" t="n">
        <v>2</v>
      </c>
      <c r="O1221" s="1">
        <f>IFERROR(L1221*G1221,0)</f>
        <v/>
      </c>
      <c r="P1221">
        <f>IF(N1221-L1221-M1221&gt;0,N1221-L1221-M1221,0)</f>
        <v/>
      </c>
      <c r="Q1221" s="1">
        <f>IFERROR(P1221*G1221,0)</f>
        <v/>
      </c>
    </row>
    <row r="1222">
      <c r="A1222" t="inlineStr">
        <is>
          <t>MFAZ5600554</t>
        </is>
      </c>
      <c r="B1222" t="inlineStr">
        <is>
          <t>MAXFLO 560/250/14 A c/w 0,55KW 4P 380V</t>
        </is>
      </c>
      <c r="C1222" t="inlineStr">
        <is>
          <t>FM - DONKIN</t>
        </is>
      </c>
      <c r="D1222" t="n">
        <v>17</v>
      </c>
      <c r="E1222" t="n">
        <v>0</v>
      </c>
      <c r="F1222" t="inlineStr"/>
      <c r="G1222" s="1" t="n">
        <v>0</v>
      </c>
      <c r="H1222" t="n">
        <v>6</v>
      </c>
      <c r="I1222" t="n">
        <v>0.5</v>
      </c>
      <c r="J1222" t="n">
        <v>1</v>
      </c>
      <c r="K1222" t="n">
        <v>1</v>
      </c>
      <c r="L1222" t="n">
        <v>0</v>
      </c>
      <c r="M1222" t="n">
        <v>0</v>
      </c>
      <c r="N1222" t="n">
        <v>2</v>
      </c>
      <c r="O1222" s="1">
        <f>IFERROR(L1222*G1222,0)</f>
        <v/>
      </c>
      <c r="P1222">
        <f>IF(N1222-L1222-M1222&gt;0,N1222-L1222-M1222,0)</f>
        <v/>
      </c>
      <c r="Q1222" s="1">
        <f>IFERROR(P1222*G1222,0)</f>
        <v/>
      </c>
    </row>
    <row r="1223">
      <c r="A1223" t="inlineStr">
        <is>
          <t>MFAZ5600754</t>
        </is>
      </c>
      <c r="B1223" t="inlineStr">
        <is>
          <t>MAXFLO 560/250/14 A c/w 0,75KW 4P 380V</t>
        </is>
      </c>
      <c r="C1223" t="inlineStr">
        <is>
          <t>FM - DONKIN</t>
        </is>
      </c>
      <c r="D1223" t="n">
        <v>12</v>
      </c>
      <c r="E1223" t="n">
        <v>0</v>
      </c>
      <c r="F1223" t="inlineStr"/>
      <c r="G1223" s="1" t="n">
        <v>0</v>
      </c>
      <c r="H1223" t="n">
        <v>15</v>
      </c>
      <c r="I1223" t="n">
        <v>0.5</v>
      </c>
      <c r="J1223" t="n">
        <v>1.5</v>
      </c>
      <c r="K1223" t="n">
        <v>1</v>
      </c>
      <c r="L1223" t="n">
        <v>0</v>
      </c>
      <c r="M1223" t="n">
        <v>0</v>
      </c>
      <c r="N1223" t="n">
        <v>4</v>
      </c>
      <c r="O1223" s="1">
        <f>IFERROR(L1223*G1223,0)</f>
        <v/>
      </c>
      <c r="P1223">
        <f>IF(N1223-L1223-M1223&gt;0,N1223-L1223-M1223,0)</f>
        <v/>
      </c>
      <c r="Q1223" s="1">
        <f>IFERROR(P1223*G1223,0)</f>
        <v/>
      </c>
    </row>
    <row r="1224">
      <c r="A1224" t="inlineStr">
        <is>
          <t>MFAZ5601104</t>
        </is>
      </c>
      <c r="B1224" t="inlineStr">
        <is>
          <t>MAXFLO 560/250/14 A c/w 1,10KW 4P 380V</t>
        </is>
      </c>
      <c r="C1224" t="inlineStr">
        <is>
          <t>FM - DONKIN</t>
        </is>
      </c>
      <c r="D1224" t="n">
        <v>13</v>
      </c>
      <c r="E1224" t="n">
        <v>0</v>
      </c>
      <c r="F1224" t="inlineStr"/>
      <c r="G1224" s="1" t="n">
        <v>0</v>
      </c>
      <c r="H1224" t="n">
        <v>5</v>
      </c>
      <c r="I1224" t="n">
        <v>0.5</v>
      </c>
      <c r="J1224" t="n">
        <v>1</v>
      </c>
      <c r="K1224" t="n">
        <v>1</v>
      </c>
      <c r="L1224" t="n">
        <v>0</v>
      </c>
      <c r="M1224" t="n">
        <v>0</v>
      </c>
      <c r="N1224" t="n">
        <v>2</v>
      </c>
      <c r="O1224" s="1">
        <f>IFERROR(L1224*G1224,0)</f>
        <v/>
      </c>
      <c r="P1224">
        <f>IF(N1224-L1224-M1224&gt;0,N1224-L1224-M1224,0)</f>
        <v/>
      </c>
      <c r="Q1224" s="1">
        <f>IFERROR(P1224*G1224,0)</f>
        <v/>
      </c>
    </row>
    <row r="1225">
      <c r="A1225" t="inlineStr">
        <is>
          <t>MFAZ5601504</t>
        </is>
      </c>
      <c r="B1225" t="inlineStr">
        <is>
          <t>MAXFLO 560/250/14 A c/w 1,50KW 4P 380V</t>
        </is>
      </c>
      <c r="C1225" t="inlineStr">
        <is>
          <t>FM - DONKIN</t>
        </is>
      </c>
      <c r="D1225" t="n">
        <v>1</v>
      </c>
      <c r="E1225" t="n">
        <v>0</v>
      </c>
      <c r="F1225" t="inlineStr"/>
      <c r="G1225" s="1" t="n">
        <v>0</v>
      </c>
      <c r="H1225" t="n">
        <v>3</v>
      </c>
      <c r="I1225" t="n">
        <v>0.5</v>
      </c>
      <c r="J1225" t="n">
        <v>3</v>
      </c>
      <c r="K1225" t="n">
        <v>2</v>
      </c>
      <c r="L1225" t="n">
        <v>0</v>
      </c>
      <c r="M1225" t="n">
        <v>0</v>
      </c>
      <c r="N1225" t="n">
        <v>8</v>
      </c>
      <c r="O1225" s="1">
        <f>IFERROR(L1225*G1225,0)</f>
        <v/>
      </c>
      <c r="P1225">
        <f>IF(N1225-L1225-M1225&gt;0,N1225-L1225-M1225,0)</f>
        <v/>
      </c>
      <c r="Q1225" s="1">
        <f>IFERROR(P1225*G1225,0)</f>
        <v/>
      </c>
    </row>
    <row r="1226">
      <c r="A1226" t="inlineStr">
        <is>
          <t>MFAZ5602202</t>
        </is>
      </c>
      <c r="B1226" t="inlineStr">
        <is>
          <t>MAXFLO 560/250/14 A c/w 2,20KW 2P 380V</t>
        </is>
      </c>
      <c r="C1226" t="inlineStr">
        <is>
          <t>FM - DONKIN</t>
        </is>
      </c>
      <c r="D1226" t="n">
        <v>10</v>
      </c>
      <c r="E1226" t="n">
        <v>0</v>
      </c>
      <c r="F1226" t="inlineStr"/>
      <c r="G1226" s="1" t="n">
        <v>0</v>
      </c>
      <c r="H1226" t="n">
        <v>3</v>
      </c>
      <c r="I1226" t="n">
        <v>0.5</v>
      </c>
      <c r="J1226" t="n">
        <v>1</v>
      </c>
      <c r="K1226" t="n">
        <v>1</v>
      </c>
      <c r="L1226" t="n">
        <v>0</v>
      </c>
      <c r="M1226" t="n">
        <v>0</v>
      </c>
      <c r="N1226" t="n">
        <v>2</v>
      </c>
      <c r="O1226" s="1">
        <f>IFERROR(L1226*G1226,0)</f>
        <v/>
      </c>
      <c r="P1226">
        <f>IF(N1226-L1226-M1226&gt;0,N1226-L1226-M1226,0)</f>
        <v/>
      </c>
      <c r="Q1226" s="1">
        <f>IFERROR(P1226*G1226,0)</f>
        <v/>
      </c>
    </row>
    <row r="1227">
      <c r="A1227" t="inlineStr">
        <is>
          <t>MFAZ5604002</t>
        </is>
      </c>
      <c r="B1227" t="inlineStr">
        <is>
          <t>MAXFLO 560/250/14 A c/w 4,00KW 2P 380V</t>
        </is>
      </c>
      <c r="C1227" t="inlineStr">
        <is>
          <t>FM - DONKIN</t>
        </is>
      </c>
      <c r="D1227" t="n">
        <v>31</v>
      </c>
      <c r="E1227" t="n">
        <v>1</v>
      </c>
      <c r="F1227" t="inlineStr">
        <is>
          <t>Air Speration</t>
        </is>
      </c>
      <c r="G1227" s="1" t="n">
        <v>9281.52</v>
      </c>
      <c r="H1227" t="n">
        <v>2</v>
      </c>
      <c r="I1227" t="n">
        <v>0.5</v>
      </c>
      <c r="J1227" t="n">
        <v>1</v>
      </c>
      <c r="K1227" t="n">
        <v>1</v>
      </c>
      <c r="L1227" t="n">
        <v>0</v>
      </c>
      <c r="M1227" t="n">
        <v>0</v>
      </c>
      <c r="N1227" t="n">
        <v>2</v>
      </c>
      <c r="O1227" s="1">
        <f>IFERROR(L1227*G1227,0)</f>
        <v/>
      </c>
      <c r="P1227">
        <f>IF(N1227-L1227-M1227&gt;0,N1227-L1227-M1227,0)</f>
        <v/>
      </c>
      <c r="Q1227" s="1">
        <f>IFERROR(P1227*G1227,0)</f>
        <v/>
      </c>
    </row>
    <row r="1228">
      <c r="A1228" t="inlineStr">
        <is>
          <t>MFAZ6300374</t>
        </is>
      </c>
      <c r="B1228" t="inlineStr">
        <is>
          <t>MAXFLO 630/250/14 A c/w 0,37KW 4P 380V</t>
        </is>
      </c>
      <c r="C1228" t="inlineStr">
        <is>
          <t>FM - DONKIN</t>
        </is>
      </c>
      <c r="D1228" t="n">
        <v>1</v>
      </c>
      <c r="E1228" t="n">
        <v>1</v>
      </c>
      <c r="F1228" t="inlineStr">
        <is>
          <t>Centrifab (Pty) Ltd</t>
        </is>
      </c>
      <c r="G1228" s="1" t="n">
        <v>3511.53</v>
      </c>
      <c r="H1228" t="n">
        <v>0</v>
      </c>
      <c r="I1228" t="n">
        <v>1.4</v>
      </c>
      <c r="J1228" t="n">
        <v>1</v>
      </c>
      <c r="K1228" t="n">
        <v>1</v>
      </c>
      <c r="L1228" t="n">
        <v>0</v>
      </c>
      <c r="M1228" t="n">
        <v>0</v>
      </c>
      <c r="N1228" t="n">
        <v>3</v>
      </c>
      <c r="O1228" s="1">
        <f>IFERROR(L1228*G1228,0)</f>
        <v/>
      </c>
      <c r="P1228">
        <f>IF(N1228-L1228-M1228&gt;0,N1228-L1228-M1228,0)</f>
        <v/>
      </c>
      <c r="Q1228" s="1">
        <f>IFERROR(P1228*G1228,0)</f>
        <v/>
      </c>
    </row>
    <row r="1229">
      <c r="A1229" t="inlineStr">
        <is>
          <t>MFAZ6300554</t>
        </is>
      </c>
      <c r="B1229" t="inlineStr">
        <is>
          <t>MAXFLO 630/250/14 A c/w 0,55KW 4P 380V</t>
        </is>
      </c>
      <c r="C1229" t="inlineStr">
        <is>
          <t>FM - DONKIN</t>
        </is>
      </c>
      <c r="D1229" t="n">
        <v>1</v>
      </c>
      <c r="E1229" t="n">
        <v>0</v>
      </c>
      <c r="F1229" t="inlineStr"/>
      <c r="G1229" s="1" t="n">
        <v>0</v>
      </c>
      <c r="H1229" t="n">
        <v>1</v>
      </c>
      <c r="I1229" t="n">
        <v>0.5</v>
      </c>
      <c r="J1229" t="n">
        <v>1</v>
      </c>
      <c r="K1229" t="n">
        <v>1</v>
      </c>
      <c r="L1229" t="n">
        <v>0</v>
      </c>
      <c r="M1229" t="n">
        <v>0</v>
      </c>
      <c r="N1229" t="n">
        <v>2</v>
      </c>
      <c r="O1229" s="1">
        <f>IFERROR(L1229*G1229,0)</f>
        <v/>
      </c>
      <c r="P1229">
        <f>IF(N1229-L1229-M1229&gt;0,N1229-L1229-M1229,0)</f>
        <v/>
      </c>
      <c r="Q1229" s="1">
        <f>IFERROR(P1229*G1229,0)</f>
        <v/>
      </c>
    </row>
    <row r="1230">
      <c r="A1230" t="inlineStr">
        <is>
          <t>MFAZ6300754</t>
        </is>
      </c>
      <c r="B1230" t="inlineStr">
        <is>
          <t>MAXFLO 630/250/14 A c/w 0,75KW 4P 380V</t>
        </is>
      </c>
      <c r="C1230" t="inlineStr">
        <is>
          <t>FM - DONKIN</t>
        </is>
      </c>
      <c r="D1230" t="n">
        <v>1</v>
      </c>
      <c r="E1230" t="n">
        <v>0</v>
      </c>
      <c r="F1230" t="inlineStr"/>
      <c r="G1230" s="1" t="n">
        <v>0</v>
      </c>
      <c r="H1230" t="n">
        <v>1</v>
      </c>
      <c r="I1230" t="n">
        <v>0.5</v>
      </c>
      <c r="J1230" t="n">
        <v>1</v>
      </c>
      <c r="K1230" t="n">
        <v>1</v>
      </c>
      <c r="L1230" t="n">
        <v>0</v>
      </c>
      <c r="M1230" t="n">
        <v>0</v>
      </c>
      <c r="N1230" t="n">
        <v>2</v>
      </c>
      <c r="O1230" s="1">
        <f>IFERROR(L1230*G1230,0)</f>
        <v/>
      </c>
      <c r="P1230">
        <f>IF(N1230-L1230-M1230&gt;0,N1230-L1230-M1230,0)</f>
        <v/>
      </c>
      <c r="Q1230" s="1">
        <f>IFERROR(P1230*G1230,0)</f>
        <v/>
      </c>
    </row>
    <row r="1231">
      <c r="A1231" t="inlineStr">
        <is>
          <t>MFAZ6301104</t>
        </is>
      </c>
      <c r="B1231" t="inlineStr">
        <is>
          <t>MAXFLO 630/250/14 A c/w 1,10KW 4P 380V</t>
        </is>
      </c>
      <c r="C1231" t="inlineStr">
        <is>
          <t>FM - DONKIN</t>
        </is>
      </c>
      <c r="D1231" t="n">
        <v>26</v>
      </c>
      <c r="E1231" t="n">
        <v>3</v>
      </c>
      <c r="F1231" t="inlineStr">
        <is>
          <t>Air Speration</t>
        </is>
      </c>
      <c r="G1231" s="1" t="n">
        <v>8775</v>
      </c>
      <c r="H1231" t="n">
        <v>5</v>
      </c>
      <c r="I1231" t="n">
        <v>0.7</v>
      </c>
      <c r="J1231" t="n">
        <v>1</v>
      </c>
      <c r="K1231" t="n">
        <v>1</v>
      </c>
      <c r="L1231" t="n">
        <v>0</v>
      </c>
      <c r="M1231" t="n">
        <v>0</v>
      </c>
      <c r="N1231" t="n">
        <v>3</v>
      </c>
      <c r="O1231" s="1">
        <f>IFERROR(L1231*G1231,0)</f>
        <v/>
      </c>
      <c r="P1231">
        <f>IF(N1231-L1231-M1231&gt;0,N1231-L1231-M1231,0)</f>
        <v/>
      </c>
      <c r="Q1231" s="1">
        <f>IFERROR(P1231*G1231,0)</f>
        <v/>
      </c>
    </row>
    <row r="1232">
      <c r="A1232" t="inlineStr">
        <is>
          <t>MFAZ6301504</t>
        </is>
      </c>
      <c r="B1232" t="inlineStr">
        <is>
          <t>MAXFLO 630/250/14 A c/w 1,50KW 4P 380V</t>
        </is>
      </c>
      <c r="C1232" t="inlineStr">
        <is>
          <t>FM - DONKIN</t>
        </is>
      </c>
      <c r="D1232" t="n">
        <v>19</v>
      </c>
      <c r="E1232" t="n">
        <v>1</v>
      </c>
      <c r="F1232" t="inlineStr">
        <is>
          <t>Centrifab (Pty) Ltd</t>
        </is>
      </c>
      <c r="G1232" s="1" t="n">
        <v>8058</v>
      </c>
      <c r="H1232" t="n">
        <v>8</v>
      </c>
      <c r="I1232" t="n">
        <v>0.5</v>
      </c>
      <c r="J1232" t="n">
        <v>1</v>
      </c>
      <c r="K1232" t="n">
        <v>1</v>
      </c>
      <c r="L1232" t="n">
        <v>0</v>
      </c>
      <c r="M1232" t="n">
        <v>0</v>
      </c>
      <c r="N1232" t="n">
        <v>2</v>
      </c>
      <c r="O1232" s="1">
        <f>IFERROR(L1232*G1232,0)</f>
        <v/>
      </c>
      <c r="P1232">
        <f>IF(N1232-L1232-M1232&gt;0,N1232-L1232-M1232,0)</f>
        <v/>
      </c>
      <c r="Q1232" s="1">
        <f>IFERROR(P1232*G1232,0)</f>
        <v/>
      </c>
    </row>
    <row r="1233">
      <c r="A1233" t="inlineStr">
        <is>
          <t>MFAZ6302204</t>
        </is>
      </c>
      <c r="B1233" t="inlineStr">
        <is>
          <t>MAXFLO 630/250/14 A c/w 2,20KW 4P 380V</t>
        </is>
      </c>
      <c r="C1233" t="inlineStr">
        <is>
          <t>FM - DONKIN</t>
        </is>
      </c>
      <c r="D1233" t="n">
        <v>19</v>
      </c>
      <c r="E1233" t="n">
        <v>0</v>
      </c>
      <c r="F1233" t="inlineStr"/>
      <c r="G1233" s="1" t="n">
        <v>0</v>
      </c>
      <c r="H1233" t="n">
        <v>17</v>
      </c>
      <c r="I1233" t="n">
        <v>0.5</v>
      </c>
      <c r="J1233" t="n">
        <v>1</v>
      </c>
      <c r="K1233" t="n">
        <v>1</v>
      </c>
      <c r="L1233" t="n">
        <v>0</v>
      </c>
      <c r="M1233" t="n">
        <v>0</v>
      </c>
      <c r="N1233" t="n">
        <v>2</v>
      </c>
      <c r="O1233" s="1">
        <f>IFERROR(L1233*G1233,0)</f>
        <v/>
      </c>
      <c r="P1233">
        <f>IF(N1233-L1233-M1233&gt;0,N1233-L1233-M1233,0)</f>
        <v/>
      </c>
      <c r="Q1233" s="1">
        <f>IFERROR(P1233*G1233,0)</f>
        <v/>
      </c>
    </row>
    <row r="1234">
      <c r="A1234" t="inlineStr">
        <is>
          <t>MFAZ6303004</t>
        </is>
      </c>
      <c r="B1234" t="inlineStr">
        <is>
          <t>MAXFLO 630/250/14 A c/w 3,00KW 4P 380V</t>
        </is>
      </c>
      <c r="C1234" t="inlineStr">
        <is>
          <t>FM - DONKIN</t>
        </is>
      </c>
      <c r="D1234" t="n">
        <v>20</v>
      </c>
      <c r="E1234" t="n">
        <v>0</v>
      </c>
      <c r="F1234" t="inlineStr"/>
      <c r="G1234" s="1" t="n">
        <v>0</v>
      </c>
      <c r="H1234" t="n">
        <v>3</v>
      </c>
      <c r="I1234" t="n">
        <v>0.5</v>
      </c>
      <c r="J1234" t="n">
        <v>1</v>
      </c>
      <c r="K1234" t="n">
        <v>1</v>
      </c>
      <c r="L1234" t="n">
        <v>0</v>
      </c>
      <c r="M1234" t="n">
        <v>0</v>
      </c>
      <c r="N1234" t="n">
        <v>2</v>
      </c>
      <c r="O1234" s="1">
        <f>IFERROR(L1234*G1234,0)</f>
        <v/>
      </c>
      <c r="P1234">
        <f>IF(N1234-L1234-M1234&gt;0,N1234-L1234-M1234,0)</f>
        <v/>
      </c>
      <c r="Q1234" s="1">
        <f>IFERROR(P1234*G1234,0)</f>
        <v/>
      </c>
    </row>
    <row r="1235">
      <c r="A1235" t="inlineStr">
        <is>
          <t>MFAZ6304004</t>
        </is>
      </c>
      <c r="B1235" t="inlineStr">
        <is>
          <t>MAXFLO 630/250/14 A c/w 4,00KW 4P 380V</t>
        </is>
      </c>
      <c r="C1235" t="inlineStr">
        <is>
          <t>FM - DONKIN</t>
        </is>
      </c>
      <c r="D1235" t="n">
        <v>1</v>
      </c>
      <c r="E1235" t="n">
        <v>0</v>
      </c>
      <c r="F1235" t="inlineStr"/>
      <c r="G1235" s="1" t="n">
        <v>0</v>
      </c>
      <c r="H1235" t="n">
        <v>1</v>
      </c>
      <c r="I1235" t="n">
        <v>0.5</v>
      </c>
      <c r="J1235" t="n">
        <v>1</v>
      </c>
      <c r="K1235" t="n">
        <v>1</v>
      </c>
      <c r="L1235" t="n">
        <v>0</v>
      </c>
      <c r="M1235" t="n">
        <v>0</v>
      </c>
      <c r="N1235" t="n">
        <v>2</v>
      </c>
      <c r="O1235" s="1">
        <f>IFERROR(L1235*G1235,0)</f>
        <v/>
      </c>
      <c r="P1235">
        <f>IF(N1235-L1235-M1235&gt;0,N1235-L1235-M1235,0)</f>
        <v/>
      </c>
      <c r="Q1235" s="1">
        <f>IFERROR(P1235*G1235,0)</f>
        <v/>
      </c>
    </row>
    <row r="1236">
      <c r="A1236" t="inlineStr">
        <is>
          <t>MFAZ7101104</t>
        </is>
      </c>
      <c r="B1236" t="inlineStr">
        <is>
          <t>MAXFLO 710/250/14 A c/w 1,10KW 4P 380V</t>
        </is>
      </c>
      <c r="C1236" t="inlineStr">
        <is>
          <t>FM - DONKIN</t>
        </is>
      </c>
      <c r="D1236" t="n">
        <v>25</v>
      </c>
      <c r="E1236" t="n">
        <v>2</v>
      </c>
      <c r="F1236" t="inlineStr">
        <is>
          <t>Air Speration</t>
        </is>
      </c>
      <c r="G1236" s="1" t="n">
        <v>10080</v>
      </c>
      <c r="H1236" t="n">
        <v>14</v>
      </c>
      <c r="I1236" t="n">
        <v>1.1</v>
      </c>
      <c r="J1236" t="n">
        <v>1</v>
      </c>
      <c r="K1236" t="n">
        <v>1</v>
      </c>
      <c r="L1236" t="n">
        <v>0</v>
      </c>
      <c r="M1236" t="n">
        <v>0</v>
      </c>
      <c r="N1236" t="n">
        <v>3</v>
      </c>
      <c r="O1236" s="1">
        <f>IFERROR(L1236*G1236,0)</f>
        <v/>
      </c>
      <c r="P1236">
        <f>IF(N1236-L1236-M1236&gt;0,N1236-L1236-M1236,0)</f>
        <v/>
      </c>
      <c r="Q1236" s="1">
        <f>IFERROR(P1236*G1236,0)</f>
        <v/>
      </c>
    </row>
    <row r="1237">
      <c r="A1237" t="inlineStr">
        <is>
          <t>MFAZ7101504</t>
        </is>
      </c>
      <c r="B1237" t="inlineStr">
        <is>
          <t>MAXFLO 710/250/14 A c/w 1,50KW 4P 380V</t>
        </is>
      </c>
      <c r="C1237" t="inlineStr">
        <is>
          <t>FM - DONKIN</t>
        </is>
      </c>
      <c r="D1237" t="n">
        <v>5</v>
      </c>
      <c r="E1237" t="n">
        <v>0</v>
      </c>
      <c r="F1237" t="inlineStr"/>
      <c r="G1237" s="1" t="n">
        <v>0</v>
      </c>
      <c r="H1237" t="n">
        <v>2</v>
      </c>
      <c r="I1237" t="n">
        <v>0.5</v>
      </c>
      <c r="J1237" t="n">
        <v>1</v>
      </c>
      <c r="K1237" t="n">
        <v>1</v>
      </c>
      <c r="L1237" t="n">
        <v>0</v>
      </c>
      <c r="M1237" t="n">
        <v>0</v>
      </c>
      <c r="N1237" t="n">
        <v>2</v>
      </c>
      <c r="O1237" s="1">
        <f>IFERROR(L1237*G1237,0)</f>
        <v/>
      </c>
      <c r="P1237">
        <f>IF(N1237-L1237-M1237&gt;0,N1237-L1237-M1237,0)</f>
        <v/>
      </c>
      <c r="Q1237" s="1">
        <f>IFERROR(P1237*G1237,0)</f>
        <v/>
      </c>
    </row>
    <row r="1238">
      <c r="A1238" t="inlineStr">
        <is>
          <t>MFAZ7102204</t>
        </is>
      </c>
      <c r="B1238" t="inlineStr">
        <is>
          <t>MAXFLO 710/250/14 A c/w 2,20KW 4P 380V</t>
        </is>
      </c>
      <c r="C1238" t="inlineStr">
        <is>
          <t>FM - DONKIN</t>
        </is>
      </c>
      <c r="D1238" t="n">
        <v>12</v>
      </c>
      <c r="E1238" t="n">
        <v>0</v>
      </c>
      <c r="F1238" t="inlineStr"/>
      <c r="G1238" s="1" t="n">
        <v>0</v>
      </c>
      <c r="H1238" t="n">
        <v>3</v>
      </c>
      <c r="I1238" t="n">
        <v>0.5</v>
      </c>
      <c r="J1238" t="n">
        <v>1</v>
      </c>
      <c r="K1238" t="n">
        <v>1</v>
      </c>
      <c r="L1238" t="n">
        <v>0</v>
      </c>
      <c r="M1238" t="n">
        <v>0</v>
      </c>
      <c r="N1238" t="n">
        <v>2</v>
      </c>
      <c r="O1238" s="1">
        <f>IFERROR(L1238*G1238,0)</f>
        <v/>
      </c>
      <c r="P1238">
        <f>IF(N1238-L1238-M1238&gt;0,N1238-L1238-M1238,0)</f>
        <v/>
      </c>
      <c r="Q1238" s="1">
        <f>IFERROR(P1238*G1238,0)</f>
        <v/>
      </c>
    </row>
    <row r="1239">
      <c r="A1239" t="inlineStr">
        <is>
          <t>MFAZ7104004</t>
        </is>
      </c>
      <c r="B1239" t="inlineStr">
        <is>
          <t>MAXFLO 710/250/14 A c/w 4,00KW 4P 380V</t>
        </is>
      </c>
      <c r="C1239" t="inlineStr">
        <is>
          <t>FM - DONKIN</t>
        </is>
      </c>
      <c r="D1239" t="n">
        <v>11</v>
      </c>
      <c r="E1239" t="n">
        <v>0</v>
      </c>
      <c r="F1239" t="inlineStr"/>
      <c r="G1239" s="1" t="n">
        <v>0</v>
      </c>
      <c r="H1239" t="n">
        <v>7</v>
      </c>
      <c r="I1239" t="n">
        <v>0.5</v>
      </c>
      <c r="J1239" t="n">
        <v>1</v>
      </c>
      <c r="K1239" t="n">
        <v>1</v>
      </c>
      <c r="L1239" t="n">
        <v>0</v>
      </c>
      <c r="M1239" t="n">
        <v>0</v>
      </c>
      <c r="N1239" t="n">
        <v>2</v>
      </c>
      <c r="O1239" s="1">
        <f>IFERROR(L1239*G1239,0)</f>
        <v/>
      </c>
      <c r="P1239">
        <f>IF(N1239-L1239-M1239&gt;0,N1239-L1239-M1239,0)</f>
        <v/>
      </c>
      <c r="Q1239" s="1">
        <f>IFERROR(P1239*G1239,0)</f>
        <v/>
      </c>
    </row>
    <row r="1240">
      <c r="A1240" t="inlineStr">
        <is>
          <t>MFAZ7105504</t>
        </is>
      </c>
      <c r="B1240" t="inlineStr">
        <is>
          <t>MAXFLO 710/250/14 A c/w 5,50KW 4P 380V</t>
        </is>
      </c>
      <c r="C1240" t="inlineStr">
        <is>
          <t>FM - DONKIN</t>
        </is>
      </c>
      <c r="D1240" t="n">
        <v>22</v>
      </c>
      <c r="E1240" t="n">
        <v>2</v>
      </c>
      <c r="F1240" t="inlineStr">
        <is>
          <t>Air Speration</t>
        </is>
      </c>
      <c r="G1240" s="1" t="n">
        <v>9912</v>
      </c>
      <c r="H1240" t="n">
        <v>3</v>
      </c>
      <c r="I1240" t="n">
        <v>0.5</v>
      </c>
      <c r="J1240" t="n">
        <v>1</v>
      </c>
      <c r="K1240" t="n">
        <v>1</v>
      </c>
      <c r="L1240" t="n">
        <v>0</v>
      </c>
      <c r="M1240" t="n">
        <v>0</v>
      </c>
      <c r="N1240" t="n">
        <v>2</v>
      </c>
      <c r="O1240" s="1">
        <f>IFERROR(L1240*G1240,0)</f>
        <v/>
      </c>
      <c r="P1240">
        <f>IF(N1240-L1240-M1240&gt;0,N1240-L1240-M1240,0)</f>
        <v/>
      </c>
      <c r="Q1240" s="1">
        <f>IFERROR(P1240*G1240,0)</f>
        <v/>
      </c>
    </row>
    <row r="1241">
      <c r="A1241" t="inlineStr">
        <is>
          <t>MFAZ8002204</t>
        </is>
      </c>
      <c r="B1241" t="inlineStr">
        <is>
          <t>MAXFLO 800/250/14 A c/w 2,20KW 4P 380V</t>
        </is>
      </c>
      <c r="C1241" t="inlineStr">
        <is>
          <t>FM - DONKIN</t>
        </is>
      </c>
      <c r="D1241" t="n">
        <v>16</v>
      </c>
      <c r="E1241" t="n">
        <v>1</v>
      </c>
      <c r="F1241" t="inlineStr">
        <is>
          <t>Air Speration</t>
        </is>
      </c>
      <c r="G1241" s="1" t="n">
        <v>8492.74</v>
      </c>
      <c r="H1241" t="n">
        <v>2</v>
      </c>
      <c r="I1241" t="n">
        <v>0.5</v>
      </c>
      <c r="J1241" t="n">
        <v>1</v>
      </c>
      <c r="K1241" t="n">
        <v>1</v>
      </c>
      <c r="L1241" t="n">
        <v>0</v>
      </c>
      <c r="M1241" t="n">
        <v>0</v>
      </c>
      <c r="N1241" t="n">
        <v>2</v>
      </c>
      <c r="O1241" s="1">
        <f>IFERROR(L1241*G1241,0)</f>
        <v/>
      </c>
      <c r="P1241">
        <f>IF(N1241-L1241-M1241&gt;0,N1241-L1241-M1241,0)</f>
        <v/>
      </c>
      <c r="Q1241" s="1">
        <f>IFERROR(P1241*G1241,0)</f>
        <v/>
      </c>
    </row>
    <row r="1242">
      <c r="A1242" t="inlineStr">
        <is>
          <t>MFAZ8003004</t>
        </is>
      </c>
      <c r="B1242" t="inlineStr">
        <is>
          <t>MAXFLO 800/250/14 A c/w 3,00KW 4P 380V</t>
        </is>
      </c>
      <c r="C1242" t="inlineStr">
        <is>
          <t>FM - DONKIN</t>
        </is>
      </c>
      <c r="D1242" t="n">
        <v>4</v>
      </c>
      <c r="E1242" t="n">
        <v>0</v>
      </c>
      <c r="F1242" t="inlineStr"/>
      <c r="G1242" s="1" t="n">
        <v>0</v>
      </c>
      <c r="H1242" t="n">
        <v>3</v>
      </c>
      <c r="I1242" t="n">
        <v>0.5</v>
      </c>
      <c r="J1242" t="n">
        <v>1</v>
      </c>
      <c r="K1242" t="n">
        <v>1</v>
      </c>
      <c r="L1242" t="n">
        <v>0</v>
      </c>
      <c r="M1242" t="n">
        <v>0</v>
      </c>
      <c r="N1242" t="n">
        <v>2</v>
      </c>
      <c r="O1242" s="1">
        <f>IFERROR(L1242*G1242,0)</f>
        <v/>
      </c>
      <c r="P1242">
        <f>IF(N1242-L1242-M1242&gt;0,N1242-L1242-M1242,0)</f>
        <v/>
      </c>
      <c r="Q1242" s="1">
        <f>IFERROR(P1242*G1242,0)</f>
        <v/>
      </c>
    </row>
    <row r="1243">
      <c r="A1243" t="inlineStr">
        <is>
          <t>MFAZ8004004</t>
        </is>
      </c>
      <c r="B1243" t="inlineStr">
        <is>
          <t>MAXFLO 800/250/14 A c/w 4,00KW 4P 380V</t>
        </is>
      </c>
      <c r="C1243" t="inlineStr">
        <is>
          <t>FM - DONKIN</t>
        </is>
      </c>
      <c r="D1243" t="n">
        <v>1</v>
      </c>
      <c r="E1243" t="n">
        <v>0</v>
      </c>
      <c r="F1243" t="inlineStr"/>
      <c r="G1243" s="1" t="n">
        <v>0</v>
      </c>
      <c r="H1243" t="n">
        <v>3</v>
      </c>
      <c r="I1243" t="n">
        <v>0.5</v>
      </c>
      <c r="J1243" t="n">
        <v>3</v>
      </c>
      <c r="K1243" t="n">
        <v>2</v>
      </c>
      <c r="L1243" t="n">
        <v>0</v>
      </c>
      <c r="M1243" t="n">
        <v>0</v>
      </c>
      <c r="N1243" t="n">
        <v>8</v>
      </c>
      <c r="O1243" s="1">
        <f>IFERROR(L1243*G1243,0)</f>
        <v/>
      </c>
      <c r="P1243">
        <f>IF(N1243-L1243-M1243&gt;0,N1243-L1243-M1243,0)</f>
        <v/>
      </c>
      <c r="Q1243" s="1">
        <f>IFERROR(P1243*G1243,0)</f>
        <v/>
      </c>
    </row>
    <row r="1244">
      <c r="A1244" t="inlineStr">
        <is>
          <t>MFAZ8005504</t>
        </is>
      </c>
      <c r="B1244" t="inlineStr">
        <is>
          <t>MAXFLO 800/250/14 A c/w 5,50KW 4P 380V</t>
        </is>
      </c>
      <c r="C1244" t="inlineStr">
        <is>
          <t>FM - DONKIN</t>
        </is>
      </c>
      <c r="D1244" t="n">
        <v>1</v>
      </c>
      <c r="E1244" t="n">
        <v>0</v>
      </c>
      <c r="F1244" t="inlineStr"/>
      <c r="G1244" s="1" t="n">
        <v>0</v>
      </c>
      <c r="H1244" t="n">
        <v>5</v>
      </c>
      <c r="I1244" t="n">
        <v>0.5</v>
      </c>
      <c r="J1244" t="n">
        <v>5</v>
      </c>
      <c r="K1244" t="n">
        <v>2</v>
      </c>
      <c r="L1244" t="n">
        <v>0</v>
      </c>
      <c r="M1244" t="n">
        <v>0</v>
      </c>
      <c r="N1244" t="n">
        <v>12</v>
      </c>
      <c r="O1244" s="1">
        <f>IFERROR(L1244*G1244,0)</f>
        <v/>
      </c>
      <c r="P1244">
        <f>IF(N1244-L1244-M1244&gt;0,N1244-L1244-M1244,0)</f>
        <v/>
      </c>
      <c r="Q1244" s="1">
        <f>IFERROR(P1244*G1244,0)</f>
        <v/>
      </c>
    </row>
    <row r="1245">
      <c r="A1245" t="inlineStr">
        <is>
          <t>MFP10005504</t>
        </is>
      </c>
      <c r="B1245" t="inlineStr">
        <is>
          <t>MAXFLO 1000/250/14 P c/w 5,50KW 4P 380V</t>
        </is>
      </c>
      <c r="C1245" t="inlineStr">
        <is>
          <t>FM - DONKIN</t>
        </is>
      </c>
      <c r="D1245" t="n">
        <v>17</v>
      </c>
      <c r="E1245" t="n">
        <v>0</v>
      </c>
      <c r="F1245" t="inlineStr"/>
      <c r="G1245" s="1" t="n">
        <v>0</v>
      </c>
      <c r="H1245" t="n">
        <v>2</v>
      </c>
      <c r="I1245" t="n">
        <v>0.5</v>
      </c>
      <c r="J1245" t="n">
        <v>1</v>
      </c>
      <c r="K1245" t="n">
        <v>1</v>
      </c>
      <c r="L1245" t="n">
        <v>0</v>
      </c>
      <c r="M1245" t="n">
        <v>0</v>
      </c>
      <c r="N1245" t="n">
        <v>2</v>
      </c>
      <c r="O1245" s="1">
        <f>IFERROR(L1245*G1245,0)</f>
        <v/>
      </c>
      <c r="P1245">
        <f>IF(N1245-L1245-M1245&gt;0,N1245-L1245-M1245,0)</f>
        <v/>
      </c>
      <c r="Q1245" s="1">
        <f>IFERROR(P1245*G1245,0)</f>
        <v/>
      </c>
    </row>
    <row r="1246">
      <c r="A1246" t="inlineStr">
        <is>
          <t>MFP10007504</t>
        </is>
      </c>
      <c r="B1246" t="inlineStr">
        <is>
          <t>MAXFLO 1000/250/14 P c/w 7,50KW 4P 380V</t>
        </is>
      </c>
      <c r="C1246" t="inlineStr">
        <is>
          <t>FM - DONKIN</t>
        </is>
      </c>
      <c r="D1246" t="n">
        <v>4</v>
      </c>
      <c r="E1246" t="n">
        <v>0</v>
      </c>
      <c r="F1246" t="inlineStr"/>
      <c r="G1246" s="1" t="n">
        <v>0</v>
      </c>
      <c r="H1246" t="n">
        <v>2</v>
      </c>
      <c r="I1246" t="n">
        <v>0.5</v>
      </c>
      <c r="J1246" t="n">
        <v>1</v>
      </c>
      <c r="K1246" t="n">
        <v>1</v>
      </c>
      <c r="L1246" t="n">
        <v>0</v>
      </c>
      <c r="M1246" t="n">
        <v>0</v>
      </c>
      <c r="N1246" t="n">
        <v>2</v>
      </c>
      <c r="O1246" s="1">
        <f>IFERROR(L1246*G1246,0)</f>
        <v/>
      </c>
      <c r="P1246">
        <f>IF(N1246-L1246-M1246&gt;0,N1246-L1246-M1246,0)</f>
        <v/>
      </c>
      <c r="Q1246" s="1">
        <f>IFERROR(P1246*G1246,0)</f>
        <v/>
      </c>
    </row>
    <row r="1247">
      <c r="A1247" t="inlineStr">
        <is>
          <t>MFP3150254</t>
        </is>
      </c>
      <c r="B1247" t="inlineStr">
        <is>
          <t>MAXFLO 315/150/10 P c/w 0,25KW 4P 380V</t>
        </is>
      </c>
      <c r="C1247" t="inlineStr">
        <is>
          <t>FM - DONKIN</t>
        </is>
      </c>
      <c r="D1247" t="n">
        <v>27</v>
      </c>
      <c r="E1247" t="n">
        <v>4</v>
      </c>
      <c r="F1247" t="inlineStr">
        <is>
          <t>Air Speration</t>
        </is>
      </c>
      <c r="G1247" s="1" t="n">
        <v>4150.17</v>
      </c>
      <c r="H1247" t="n">
        <v>10</v>
      </c>
      <c r="I1247" t="n">
        <v>0.5</v>
      </c>
      <c r="J1247" t="n">
        <v>1</v>
      </c>
      <c r="K1247" t="n">
        <v>1</v>
      </c>
      <c r="L1247" t="n">
        <v>0</v>
      </c>
      <c r="M1247" t="n">
        <v>0</v>
      </c>
      <c r="N1247" t="n">
        <v>2</v>
      </c>
      <c r="O1247" s="1">
        <f>IFERROR(L1247*G1247,0)</f>
        <v/>
      </c>
      <c r="P1247">
        <f>IF(N1247-L1247-M1247&gt;0,N1247-L1247-M1247,0)</f>
        <v/>
      </c>
      <c r="Q1247" s="1">
        <f>IFERROR(P1247*G1247,0)</f>
        <v/>
      </c>
    </row>
    <row r="1248">
      <c r="A1248" t="inlineStr">
        <is>
          <t>MFP3150374</t>
        </is>
      </c>
      <c r="B1248" t="inlineStr">
        <is>
          <t>MAXFLO 315/150/10 P c/w 0,37KW 4P 380V</t>
        </is>
      </c>
      <c r="C1248" t="inlineStr">
        <is>
          <t>FM - DONKIN</t>
        </is>
      </c>
      <c r="D1248" t="n">
        <v>19</v>
      </c>
      <c r="E1248" t="n">
        <v>0</v>
      </c>
      <c r="F1248" t="inlineStr"/>
      <c r="G1248" s="1" t="n">
        <v>0</v>
      </c>
      <c r="H1248" t="n">
        <v>5</v>
      </c>
      <c r="I1248" t="n">
        <v>0.5</v>
      </c>
      <c r="J1248" t="n">
        <v>1</v>
      </c>
      <c r="K1248" t="n">
        <v>1</v>
      </c>
      <c r="L1248" t="n">
        <v>0</v>
      </c>
      <c r="M1248" t="n">
        <v>0</v>
      </c>
      <c r="N1248" t="n">
        <v>2</v>
      </c>
      <c r="O1248" s="1">
        <f>IFERROR(L1248*G1248,0)</f>
        <v/>
      </c>
      <c r="P1248">
        <f>IF(N1248-L1248-M1248&gt;0,N1248-L1248-M1248,0)</f>
        <v/>
      </c>
      <c r="Q1248" s="1">
        <f>IFERROR(P1248*G1248,0)</f>
        <v/>
      </c>
    </row>
    <row r="1249">
      <c r="A1249" t="inlineStr">
        <is>
          <t>MFP3150552</t>
        </is>
      </c>
      <c r="B1249" t="inlineStr">
        <is>
          <t>MAXFLO 315/150/10 P c/w 0,55KW 2P 380V</t>
        </is>
      </c>
      <c r="C1249" t="inlineStr">
        <is>
          <t>FM - DONKIN</t>
        </is>
      </c>
      <c r="D1249" t="n">
        <v>25</v>
      </c>
      <c r="E1249" t="n">
        <v>4</v>
      </c>
      <c r="F1249" t="inlineStr">
        <is>
          <t>Air Speration</t>
        </is>
      </c>
      <c r="G1249" s="1" t="n">
        <v>4157</v>
      </c>
      <c r="H1249" t="n">
        <v>30</v>
      </c>
      <c r="I1249" t="n">
        <v>0.6</v>
      </c>
      <c r="J1249" t="n">
        <v>1.5</v>
      </c>
      <c r="K1249" t="n">
        <v>1</v>
      </c>
      <c r="L1249" t="n">
        <v>0</v>
      </c>
      <c r="M1249" t="n">
        <v>0</v>
      </c>
      <c r="N1249" t="n">
        <v>4</v>
      </c>
      <c r="O1249" s="1">
        <f>IFERROR(L1249*G1249,0)</f>
        <v/>
      </c>
      <c r="P1249">
        <f>IF(N1249-L1249-M1249&gt;0,N1249-L1249-M1249,0)</f>
        <v/>
      </c>
      <c r="Q1249" s="1">
        <f>IFERROR(P1249*G1249,0)</f>
        <v/>
      </c>
    </row>
    <row r="1250">
      <c r="A1250" t="inlineStr">
        <is>
          <t>MFP3150752</t>
        </is>
      </c>
      <c r="B1250" t="inlineStr">
        <is>
          <t>MAXFLO 315/150/10 P c/w 0,75KW 2P 380V</t>
        </is>
      </c>
      <c r="C1250" t="inlineStr">
        <is>
          <t>FM - DONKIN</t>
        </is>
      </c>
      <c r="D1250" t="n">
        <v>19</v>
      </c>
      <c r="E1250" t="n">
        <v>1</v>
      </c>
      <c r="F1250" t="inlineStr">
        <is>
          <t>Air Speration</t>
        </is>
      </c>
      <c r="G1250" s="1" t="n">
        <v>4633</v>
      </c>
      <c r="H1250" t="n">
        <v>2</v>
      </c>
      <c r="I1250" t="n">
        <v>0.5</v>
      </c>
      <c r="J1250" t="n">
        <v>1</v>
      </c>
      <c r="K1250" t="n">
        <v>1</v>
      </c>
      <c r="L1250" t="n">
        <v>0</v>
      </c>
      <c r="M1250" t="n">
        <v>0</v>
      </c>
      <c r="N1250" t="n">
        <v>2</v>
      </c>
      <c r="O1250" s="1">
        <f>IFERROR(L1250*G1250,0)</f>
        <v/>
      </c>
      <c r="P1250">
        <f>IF(N1250-L1250-M1250&gt;0,N1250-L1250-M1250,0)</f>
        <v/>
      </c>
      <c r="Q1250" s="1">
        <f>IFERROR(P1250*G1250,0)</f>
        <v/>
      </c>
    </row>
    <row r="1251">
      <c r="A1251" t="inlineStr">
        <is>
          <t>MFP4000254</t>
        </is>
      </c>
      <c r="B1251" t="inlineStr">
        <is>
          <t>MAXFLO 400/150/10 P c/w 0,25KW 4P 380V</t>
        </is>
      </c>
      <c r="C1251" t="inlineStr">
        <is>
          <t>FM - DONKIN</t>
        </is>
      </c>
      <c r="D1251" t="n">
        <v>12</v>
      </c>
      <c r="E1251" t="n">
        <v>7</v>
      </c>
      <c r="F1251" t="inlineStr">
        <is>
          <t>Centrifab (Pty) Ltd</t>
        </is>
      </c>
      <c r="G1251" s="1" t="n">
        <v>4402.8</v>
      </c>
      <c r="H1251" t="n">
        <v>9</v>
      </c>
      <c r="I1251" t="n">
        <v>0.5</v>
      </c>
      <c r="J1251" t="n">
        <v>1</v>
      </c>
      <c r="K1251" t="n">
        <v>1</v>
      </c>
      <c r="L1251" t="n">
        <v>0</v>
      </c>
      <c r="M1251" t="n">
        <v>0</v>
      </c>
      <c r="N1251" t="n">
        <v>2</v>
      </c>
      <c r="O1251" s="1">
        <f>IFERROR(L1251*G1251,0)</f>
        <v/>
      </c>
      <c r="P1251">
        <f>IF(N1251-L1251-M1251&gt;0,N1251-L1251-M1251,0)</f>
        <v/>
      </c>
      <c r="Q1251" s="1">
        <f>IFERROR(P1251*G1251,0)</f>
        <v/>
      </c>
    </row>
    <row r="1252">
      <c r="A1252" t="inlineStr">
        <is>
          <t>MFP4000374</t>
        </is>
      </c>
      <c r="B1252" t="inlineStr">
        <is>
          <t>MAXFLO 400/150/10 P c/w 0,37KW 4P 380V</t>
        </is>
      </c>
      <c r="C1252" t="inlineStr">
        <is>
          <t>FM - DONKIN</t>
        </is>
      </c>
      <c r="D1252" t="n">
        <v>7</v>
      </c>
      <c r="E1252" t="n">
        <v>3</v>
      </c>
      <c r="F1252" t="inlineStr">
        <is>
          <t>Centrifab (Pty) Ltd</t>
        </is>
      </c>
      <c r="G1252" s="1" t="n">
        <v>4559.13</v>
      </c>
      <c r="H1252" t="n">
        <v>5</v>
      </c>
      <c r="I1252" t="n">
        <v>0.5</v>
      </c>
      <c r="J1252" t="n">
        <v>1</v>
      </c>
      <c r="K1252" t="n">
        <v>1</v>
      </c>
      <c r="L1252" t="n">
        <v>0</v>
      </c>
      <c r="M1252" t="n">
        <v>0</v>
      </c>
      <c r="N1252" t="n">
        <v>2</v>
      </c>
      <c r="O1252" s="1">
        <f>IFERROR(L1252*G1252,0)</f>
        <v/>
      </c>
      <c r="P1252">
        <f>IF(N1252-L1252-M1252&gt;0,N1252-L1252-M1252,0)</f>
        <v/>
      </c>
      <c r="Q1252" s="1">
        <f>IFERROR(P1252*G1252,0)</f>
        <v/>
      </c>
    </row>
    <row r="1253">
      <c r="A1253" t="inlineStr">
        <is>
          <t>MFP4000552</t>
        </is>
      </c>
      <c r="B1253" t="inlineStr">
        <is>
          <t>MAXFLO 400/150/10 P c/w 0,55KW 2P 380V</t>
        </is>
      </c>
      <c r="C1253" t="inlineStr">
        <is>
          <t>FM - DONKIN</t>
        </is>
      </c>
      <c r="D1253" t="n">
        <v>15</v>
      </c>
      <c r="E1253" t="n">
        <v>0</v>
      </c>
      <c r="F1253" t="inlineStr"/>
      <c r="G1253" s="1" t="n">
        <v>0</v>
      </c>
      <c r="H1253" t="n">
        <v>2</v>
      </c>
      <c r="I1253" t="n">
        <v>0.5</v>
      </c>
      <c r="J1253" t="n">
        <v>1</v>
      </c>
      <c r="K1253" t="n">
        <v>1</v>
      </c>
      <c r="L1253" t="n">
        <v>0</v>
      </c>
      <c r="M1253" t="n">
        <v>0</v>
      </c>
      <c r="N1253" t="n">
        <v>2</v>
      </c>
      <c r="O1253" s="1">
        <f>IFERROR(L1253*G1253,0)</f>
        <v/>
      </c>
      <c r="P1253">
        <f>IF(N1253-L1253-M1253&gt;0,N1253-L1253-M1253,0)</f>
        <v/>
      </c>
      <c r="Q1253" s="1">
        <f>IFERROR(P1253*G1253,0)</f>
        <v/>
      </c>
    </row>
    <row r="1254">
      <c r="A1254" t="inlineStr">
        <is>
          <t>MFP4000554</t>
        </is>
      </c>
      <c r="B1254" t="inlineStr">
        <is>
          <t>MAXFLO 400/150/10 P c/w 0,55KW 4P 380V</t>
        </is>
      </c>
      <c r="C1254" t="inlineStr">
        <is>
          <t>FM - DONKIN</t>
        </is>
      </c>
      <c r="D1254" t="n">
        <v>4</v>
      </c>
      <c r="E1254" t="n">
        <v>0</v>
      </c>
      <c r="F1254" t="inlineStr"/>
      <c r="G1254" s="1" t="n">
        <v>0</v>
      </c>
      <c r="H1254" t="n">
        <v>4</v>
      </c>
      <c r="I1254" t="n">
        <v>0.5</v>
      </c>
      <c r="J1254" t="n">
        <v>1</v>
      </c>
      <c r="K1254" t="n">
        <v>1</v>
      </c>
      <c r="L1254" t="n">
        <v>0</v>
      </c>
      <c r="M1254" t="n">
        <v>0</v>
      </c>
      <c r="N1254" t="n">
        <v>2</v>
      </c>
      <c r="O1254" s="1">
        <f>IFERROR(L1254*G1254,0)</f>
        <v/>
      </c>
      <c r="P1254">
        <f>IF(N1254-L1254-M1254&gt;0,N1254-L1254-M1254,0)</f>
        <v/>
      </c>
      <c r="Q1254" s="1">
        <f>IFERROR(P1254*G1254,0)</f>
        <v/>
      </c>
    </row>
    <row r="1255">
      <c r="A1255" t="inlineStr">
        <is>
          <t>MFP4000752</t>
        </is>
      </c>
      <c r="B1255" t="inlineStr">
        <is>
          <t>MAXFLO 400/150/10 P c/w 0,75KW 2P 380V</t>
        </is>
      </c>
      <c r="C1255" t="inlineStr">
        <is>
          <t>FM - DONKIN</t>
        </is>
      </c>
      <c r="D1255" t="n">
        <v>9</v>
      </c>
      <c r="E1255" t="n">
        <v>0</v>
      </c>
      <c r="F1255" t="inlineStr"/>
      <c r="G1255" s="1" t="n">
        <v>0</v>
      </c>
      <c r="H1255" t="n">
        <v>3</v>
      </c>
      <c r="I1255" t="n">
        <v>0.5</v>
      </c>
      <c r="J1255" t="n">
        <v>1</v>
      </c>
      <c r="K1255" t="n">
        <v>1</v>
      </c>
      <c r="L1255" t="n">
        <v>0</v>
      </c>
      <c r="M1255" t="n">
        <v>0</v>
      </c>
      <c r="N1255" t="n">
        <v>2</v>
      </c>
      <c r="O1255" s="1">
        <f>IFERROR(L1255*G1255,0)</f>
        <v/>
      </c>
      <c r="P1255">
        <f>IF(N1255-L1255-M1255&gt;0,N1255-L1255-M1255,0)</f>
        <v/>
      </c>
      <c r="Q1255" s="1">
        <f>IFERROR(P1255*G1255,0)</f>
        <v/>
      </c>
    </row>
    <row r="1256">
      <c r="A1256" t="inlineStr">
        <is>
          <t>MFP4001102</t>
        </is>
      </c>
      <c r="B1256" t="inlineStr">
        <is>
          <t>MAXFLO 400/150/10 P c/w 1,10KW 2P 380V</t>
        </is>
      </c>
      <c r="C1256" t="inlineStr">
        <is>
          <t>FM - DONKIN</t>
        </is>
      </c>
      <c r="D1256" t="n">
        <v>27</v>
      </c>
      <c r="E1256" t="n">
        <v>2</v>
      </c>
      <c r="F1256" t="inlineStr">
        <is>
          <t>Air Speration</t>
        </is>
      </c>
      <c r="G1256" s="1" t="n">
        <v>4935.88</v>
      </c>
      <c r="H1256" t="n">
        <v>26</v>
      </c>
      <c r="I1256" t="n">
        <v>1.1</v>
      </c>
      <c r="J1256" t="n">
        <v>1</v>
      </c>
      <c r="K1256" t="n">
        <v>1</v>
      </c>
      <c r="L1256" t="n">
        <v>0</v>
      </c>
      <c r="M1256" t="n">
        <v>0</v>
      </c>
      <c r="N1256" t="n">
        <v>3</v>
      </c>
      <c r="O1256" s="1">
        <f>IFERROR(L1256*G1256,0)</f>
        <v/>
      </c>
      <c r="P1256">
        <f>IF(N1256-L1256-M1256&gt;0,N1256-L1256-M1256,0)</f>
        <v/>
      </c>
      <c r="Q1256" s="1">
        <f>IFERROR(P1256*G1256,0)</f>
        <v/>
      </c>
    </row>
    <row r="1257">
      <c r="A1257" t="inlineStr">
        <is>
          <t>MFP5000374</t>
        </is>
      </c>
      <c r="B1257" t="inlineStr">
        <is>
          <t>MAXFLO 500/150/10 P c/w 0,37KW 4P 380V</t>
        </is>
      </c>
      <c r="C1257" t="inlineStr">
        <is>
          <t>FM - DONKIN</t>
        </is>
      </c>
      <c r="D1257" t="n">
        <v>31</v>
      </c>
      <c r="E1257" t="n">
        <v>3</v>
      </c>
      <c r="F1257" t="inlineStr">
        <is>
          <t>Air Speration</t>
        </is>
      </c>
      <c r="G1257" s="1" t="n">
        <v>4138</v>
      </c>
      <c r="H1257" t="n">
        <v>16</v>
      </c>
      <c r="I1257" t="n">
        <v>0.5</v>
      </c>
      <c r="J1257" t="n">
        <v>1</v>
      </c>
      <c r="K1257" t="n">
        <v>1</v>
      </c>
      <c r="L1257" t="n">
        <v>0</v>
      </c>
      <c r="M1257" t="n">
        <v>0</v>
      </c>
      <c r="N1257" t="n">
        <v>2</v>
      </c>
      <c r="O1257" s="1">
        <f>IFERROR(L1257*G1257,0)</f>
        <v/>
      </c>
      <c r="P1257">
        <f>IF(N1257-L1257-M1257&gt;0,N1257-L1257-M1257,0)</f>
        <v/>
      </c>
      <c r="Q1257" s="1">
        <f>IFERROR(P1257*G1257,0)</f>
        <v/>
      </c>
    </row>
    <row r="1258">
      <c r="A1258" t="inlineStr">
        <is>
          <t>MFP5000554</t>
        </is>
      </c>
      <c r="B1258" t="inlineStr">
        <is>
          <t>MAXFLO 500/150/10 P c/w 0,55KW 4P 380V</t>
        </is>
      </c>
      <c r="C1258" t="inlineStr">
        <is>
          <t>FM - DONKIN</t>
        </is>
      </c>
      <c r="D1258" t="n">
        <v>19</v>
      </c>
      <c r="E1258" t="n">
        <v>1</v>
      </c>
      <c r="F1258" t="inlineStr">
        <is>
          <t>Air Speration</t>
        </is>
      </c>
      <c r="G1258" s="1" t="n">
        <v>5284.43</v>
      </c>
      <c r="H1258" t="n">
        <v>7</v>
      </c>
      <c r="I1258" t="n">
        <v>0.5</v>
      </c>
      <c r="J1258" t="n">
        <v>1</v>
      </c>
      <c r="K1258" t="n">
        <v>1</v>
      </c>
      <c r="L1258" t="n">
        <v>0</v>
      </c>
      <c r="M1258" t="n">
        <v>0</v>
      </c>
      <c r="N1258" t="n">
        <v>2</v>
      </c>
      <c r="O1258" s="1">
        <f>IFERROR(L1258*G1258,0)</f>
        <v/>
      </c>
      <c r="P1258">
        <f>IF(N1258-L1258-M1258&gt;0,N1258-L1258-M1258,0)</f>
        <v/>
      </c>
      <c r="Q1258" s="1">
        <f>IFERROR(P1258*G1258,0)</f>
        <v/>
      </c>
    </row>
    <row r="1259">
      <c r="A1259" t="inlineStr">
        <is>
          <t>MFP5000754</t>
        </is>
      </c>
      <c r="B1259" t="inlineStr">
        <is>
          <t>MAXFLO 500/150/10 P c/w 0,75KW 4P 380V</t>
        </is>
      </c>
      <c r="C1259" t="inlineStr">
        <is>
          <t>FM - DONKIN</t>
        </is>
      </c>
      <c r="D1259" t="n">
        <v>16</v>
      </c>
      <c r="E1259" t="n">
        <v>0</v>
      </c>
      <c r="F1259" t="inlineStr"/>
      <c r="G1259" s="1" t="n">
        <v>0</v>
      </c>
      <c r="H1259" t="n">
        <v>2</v>
      </c>
      <c r="I1259" t="n">
        <v>0.5</v>
      </c>
      <c r="J1259" t="n">
        <v>1</v>
      </c>
      <c r="K1259" t="n">
        <v>1</v>
      </c>
      <c r="L1259" t="n">
        <v>0</v>
      </c>
      <c r="M1259" t="n">
        <v>0</v>
      </c>
      <c r="N1259" t="n">
        <v>2</v>
      </c>
      <c r="O1259" s="1">
        <f>IFERROR(L1259*G1259,0)</f>
        <v/>
      </c>
      <c r="P1259">
        <f>IF(N1259-L1259-M1259&gt;0,N1259-L1259-M1259,0)</f>
        <v/>
      </c>
      <c r="Q1259" s="1">
        <f>IFERROR(P1259*G1259,0)</f>
        <v/>
      </c>
    </row>
    <row r="1260">
      <c r="A1260" t="inlineStr">
        <is>
          <t>MFP5001102</t>
        </is>
      </c>
      <c r="B1260" t="inlineStr">
        <is>
          <t>MAXFLO 500/150/10 P c/w 1,10KW 2P 380V</t>
        </is>
      </c>
      <c r="C1260" t="inlineStr">
        <is>
          <t>FM - DONKIN</t>
        </is>
      </c>
      <c r="D1260" t="n">
        <v>1</v>
      </c>
      <c r="E1260" t="n">
        <v>0</v>
      </c>
      <c r="F1260" t="inlineStr"/>
      <c r="G1260" s="1" t="n">
        <v>0</v>
      </c>
      <c r="H1260" t="n">
        <v>1</v>
      </c>
      <c r="I1260" t="n">
        <v>0.5</v>
      </c>
      <c r="J1260" t="n">
        <v>1</v>
      </c>
      <c r="K1260" t="n">
        <v>1</v>
      </c>
      <c r="L1260" t="n">
        <v>0</v>
      </c>
      <c r="M1260" t="n">
        <v>0</v>
      </c>
      <c r="N1260" t="n">
        <v>2</v>
      </c>
      <c r="O1260" s="1">
        <f>IFERROR(L1260*G1260,0)</f>
        <v/>
      </c>
      <c r="P1260">
        <f>IF(N1260-L1260-M1260&gt;0,N1260-L1260-M1260,0)</f>
        <v/>
      </c>
      <c r="Q1260" s="1">
        <f>IFERROR(P1260*G1260,0)</f>
        <v/>
      </c>
    </row>
    <row r="1261">
      <c r="A1261" t="inlineStr">
        <is>
          <t>MFP5001104</t>
        </is>
      </c>
      <c r="B1261" t="inlineStr">
        <is>
          <t>MAXFLO 500/150/10 P c/w 1,10KW 4P 380V</t>
        </is>
      </c>
      <c r="C1261" t="inlineStr">
        <is>
          <t>FM - DONKIN</t>
        </is>
      </c>
      <c r="D1261" t="n">
        <v>1</v>
      </c>
      <c r="E1261" t="n">
        <v>0</v>
      </c>
      <c r="F1261" t="inlineStr"/>
      <c r="G1261" s="1" t="n">
        <v>0</v>
      </c>
      <c r="H1261" t="n">
        <v>1</v>
      </c>
      <c r="I1261" t="n">
        <v>0.5</v>
      </c>
      <c r="J1261" t="n">
        <v>1</v>
      </c>
      <c r="K1261" t="n">
        <v>1</v>
      </c>
      <c r="L1261" t="n">
        <v>0</v>
      </c>
      <c r="M1261" t="n">
        <v>0</v>
      </c>
      <c r="N1261" t="n">
        <v>2</v>
      </c>
      <c r="O1261" s="1">
        <f>IFERROR(L1261*G1261,0)</f>
        <v/>
      </c>
      <c r="P1261">
        <f>IF(N1261-L1261-M1261&gt;0,N1261-L1261-M1261,0)</f>
        <v/>
      </c>
      <c r="Q1261" s="1">
        <f>IFERROR(P1261*G1261,0)</f>
        <v/>
      </c>
    </row>
    <row r="1262">
      <c r="A1262" t="inlineStr">
        <is>
          <t>MFP5001504</t>
        </is>
      </c>
      <c r="B1262" t="inlineStr">
        <is>
          <t>MAXFLO 500/150/10 P c/w 1,50KW 4P 380V</t>
        </is>
      </c>
      <c r="C1262" t="inlineStr">
        <is>
          <t>FM - DONKIN</t>
        </is>
      </c>
      <c r="D1262" t="n">
        <v>1</v>
      </c>
      <c r="E1262" t="n">
        <v>0</v>
      </c>
      <c r="F1262" t="inlineStr"/>
      <c r="G1262" s="1" t="n">
        <v>0</v>
      </c>
      <c r="H1262" t="n">
        <v>1</v>
      </c>
      <c r="I1262" t="n">
        <v>0.5</v>
      </c>
      <c r="J1262" t="n">
        <v>1</v>
      </c>
      <c r="K1262" t="n">
        <v>1</v>
      </c>
      <c r="L1262" t="n">
        <v>0</v>
      </c>
      <c r="M1262" t="n">
        <v>0</v>
      </c>
      <c r="N1262" t="n">
        <v>2</v>
      </c>
      <c r="O1262" s="1">
        <f>IFERROR(L1262*G1262,0)</f>
        <v/>
      </c>
      <c r="P1262">
        <f>IF(N1262-L1262-M1262&gt;0,N1262-L1262-M1262,0)</f>
        <v/>
      </c>
      <c r="Q1262" s="1">
        <f>IFERROR(P1262*G1262,0)</f>
        <v/>
      </c>
    </row>
    <row r="1263">
      <c r="A1263" t="inlineStr">
        <is>
          <t>MFP5002202</t>
        </is>
      </c>
      <c r="B1263" t="inlineStr">
        <is>
          <t>MAXFLO 500/150/10 P c/w 2,20KW 2P 380V</t>
        </is>
      </c>
      <c r="C1263" t="inlineStr">
        <is>
          <t>FM - DONKIN</t>
        </is>
      </c>
      <c r="D1263" t="n">
        <v>1</v>
      </c>
      <c r="E1263" t="n">
        <v>1</v>
      </c>
      <c r="F1263" t="inlineStr">
        <is>
          <t>Air Speration</t>
        </is>
      </c>
      <c r="G1263" s="1" t="n">
        <v>6487.29</v>
      </c>
      <c r="H1263" t="n">
        <v>1</v>
      </c>
      <c r="I1263" t="n">
        <v>0.5</v>
      </c>
      <c r="J1263" t="n">
        <v>1</v>
      </c>
      <c r="K1263" t="n">
        <v>1</v>
      </c>
      <c r="L1263" t="n">
        <v>0</v>
      </c>
      <c r="M1263" t="n">
        <v>0</v>
      </c>
      <c r="N1263" t="n">
        <v>2</v>
      </c>
      <c r="O1263" s="1">
        <f>IFERROR(L1263*G1263,0)</f>
        <v/>
      </c>
      <c r="P1263">
        <f>IF(N1263-L1263-M1263&gt;0,N1263-L1263-M1263,0)</f>
        <v/>
      </c>
      <c r="Q1263" s="1">
        <f>IFERROR(P1263*G1263,0)</f>
        <v/>
      </c>
    </row>
    <row r="1264">
      <c r="A1264" t="inlineStr">
        <is>
          <t>MFP5004002</t>
        </is>
      </c>
      <c r="B1264" t="inlineStr">
        <is>
          <t>MAXFLO 500/150/10 P c/w 4,00KW 2P 380V</t>
        </is>
      </c>
      <c r="C1264" t="inlineStr">
        <is>
          <t>FM - DONKIN</t>
        </is>
      </c>
      <c r="D1264" t="n">
        <v>1</v>
      </c>
      <c r="E1264" t="n">
        <v>4</v>
      </c>
      <c r="F1264" t="inlineStr">
        <is>
          <t>Centrifab (Pty) Ltd</t>
        </is>
      </c>
      <c r="G1264" s="1" t="n">
        <v>8039</v>
      </c>
      <c r="H1264" t="n">
        <v>0</v>
      </c>
      <c r="I1264" t="n">
        <v>0.5</v>
      </c>
      <c r="J1264" t="n">
        <v>4</v>
      </c>
      <c r="K1264" t="n">
        <v>2</v>
      </c>
      <c r="L1264" t="n">
        <v>0</v>
      </c>
      <c r="M1264" t="n">
        <v>0</v>
      </c>
      <c r="N1264" t="n">
        <v>10</v>
      </c>
      <c r="O1264" s="1">
        <f>IFERROR(L1264*G1264,0)</f>
        <v/>
      </c>
      <c r="P1264">
        <f>IF(N1264-L1264-M1264&gt;0,N1264-L1264-M1264,0)</f>
        <v/>
      </c>
      <c r="Q1264" s="1">
        <f>IFERROR(P1264*G1264,0)</f>
        <v/>
      </c>
    </row>
    <row r="1265">
      <c r="A1265" t="inlineStr">
        <is>
          <t>MFP9002204</t>
        </is>
      </c>
      <c r="B1265" t="inlineStr">
        <is>
          <t>MAXFLO 900/250/14 P c/w 2,20KW 4P 380V</t>
        </is>
      </c>
      <c r="C1265" t="inlineStr">
        <is>
          <t>FM - DONKIN</t>
        </is>
      </c>
      <c r="D1265" t="n">
        <v>1</v>
      </c>
      <c r="E1265" t="n">
        <v>0</v>
      </c>
      <c r="F1265" t="inlineStr"/>
      <c r="G1265" s="1" t="n">
        <v>0</v>
      </c>
      <c r="H1265" t="n">
        <v>1</v>
      </c>
      <c r="I1265" t="n">
        <v>0.5</v>
      </c>
      <c r="J1265" t="n">
        <v>1</v>
      </c>
      <c r="K1265" t="n">
        <v>1</v>
      </c>
      <c r="L1265" t="n">
        <v>0</v>
      </c>
      <c r="M1265" t="n">
        <v>0</v>
      </c>
      <c r="N1265" t="n">
        <v>2</v>
      </c>
      <c r="O1265" s="1">
        <f>IFERROR(L1265*G1265,0)</f>
        <v/>
      </c>
      <c r="P1265">
        <f>IF(N1265-L1265-M1265&gt;0,N1265-L1265-M1265,0)</f>
        <v/>
      </c>
      <c r="Q1265" s="1">
        <f>IFERROR(P1265*G1265,0)</f>
        <v/>
      </c>
    </row>
    <row r="1266">
      <c r="A1266" t="inlineStr">
        <is>
          <t>MFP9004004</t>
        </is>
      </c>
      <c r="B1266" t="inlineStr">
        <is>
          <t>MAXFLO 900/250/14 P c/w 4,00KW 4P 380V</t>
        </is>
      </c>
      <c r="C1266" t="inlineStr">
        <is>
          <t>FM - DONKIN</t>
        </is>
      </c>
      <c r="D1266" t="n">
        <v>1</v>
      </c>
      <c r="E1266" t="n">
        <v>0</v>
      </c>
      <c r="F1266" t="inlineStr"/>
      <c r="G1266" s="1" t="n">
        <v>0</v>
      </c>
      <c r="H1266" t="n">
        <v>1</v>
      </c>
      <c r="I1266" t="n">
        <v>0.5</v>
      </c>
      <c r="J1266" t="n">
        <v>1</v>
      </c>
      <c r="K1266" t="n">
        <v>1</v>
      </c>
      <c r="L1266" t="n">
        <v>0</v>
      </c>
      <c r="M1266" t="n">
        <v>0</v>
      </c>
      <c r="N1266" t="n">
        <v>2</v>
      </c>
      <c r="O1266" s="1">
        <f>IFERROR(L1266*G1266,0)</f>
        <v/>
      </c>
      <c r="P1266">
        <f>IF(N1266-L1266-M1266&gt;0,N1266-L1266-M1266,0)</f>
        <v/>
      </c>
      <c r="Q1266" s="1">
        <f>IFERROR(P1266*G1266,0)</f>
        <v/>
      </c>
    </row>
    <row r="1267">
      <c r="A1267" t="inlineStr">
        <is>
          <t>MFP9005504</t>
        </is>
      </c>
      <c r="B1267" t="inlineStr">
        <is>
          <t>MAXFLO 900/250/14 P c/w 5,50KW 4P 380V</t>
        </is>
      </c>
      <c r="C1267" t="inlineStr">
        <is>
          <t>FM - DONKIN</t>
        </is>
      </c>
      <c r="D1267" t="n">
        <v>1</v>
      </c>
      <c r="E1267" t="n">
        <v>0</v>
      </c>
      <c r="F1267" t="inlineStr"/>
      <c r="G1267" s="1" t="n">
        <v>0</v>
      </c>
      <c r="H1267" t="n">
        <v>1</v>
      </c>
      <c r="I1267" t="n">
        <v>0.5</v>
      </c>
      <c r="J1267" t="n">
        <v>1</v>
      </c>
      <c r="K1267" t="n">
        <v>1</v>
      </c>
      <c r="L1267" t="n">
        <v>0</v>
      </c>
      <c r="M1267" t="n">
        <v>0</v>
      </c>
      <c r="N1267" t="n">
        <v>2</v>
      </c>
      <c r="O1267" s="1">
        <f>IFERROR(L1267*G1267,0)</f>
        <v/>
      </c>
      <c r="P1267">
        <f>IF(N1267-L1267-M1267&gt;0,N1267-L1267-M1267,0)</f>
        <v/>
      </c>
      <c r="Q1267" s="1">
        <f>IFERROR(P1267*G1267,0)</f>
        <v/>
      </c>
    </row>
    <row r="1268">
      <c r="A1268" t="inlineStr">
        <is>
          <t>MFPY5600374</t>
        </is>
      </c>
      <c r="B1268" t="inlineStr">
        <is>
          <t>MAXFLO 560/150/10 P c/w 0,37KW 4P 380V</t>
        </is>
      </c>
      <c r="C1268" t="inlineStr">
        <is>
          <t>FM - DONKIN</t>
        </is>
      </c>
      <c r="D1268" t="n">
        <v>1</v>
      </c>
      <c r="E1268" t="n">
        <v>0</v>
      </c>
      <c r="F1268" t="inlineStr"/>
      <c r="G1268" s="1" t="n">
        <v>0</v>
      </c>
      <c r="H1268" t="n">
        <v>1</v>
      </c>
      <c r="I1268" t="n">
        <v>0.5</v>
      </c>
      <c r="J1268" t="n">
        <v>1</v>
      </c>
      <c r="K1268" t="n">
        <v>1</v>
      </c>
      <c r="L1268" t="n">
        <v>0</v>
      </c>
      <c r="M1268" t="n">
        <v>0</v>
      </c>
      <c r="N1268" t="n">
        <v>2</v>
      </c>
      <c r="O1268" s="1">
        <f>IFERROR(L1268*G1268,0)</f>
        <v/>
      </c>
      <c r="P1268">
        <f>IF(N1268-L1268-M1268&gt;0,N1268-L1268-M1268,0)</f>
        <v/>
      </c>
      <c r="Q1268" s="1">
        <f>IFERROR(P1268*G1268,0)</f>
        <v/>
      </c>
    </row>
    <row r="1269">
      <c r="A1269" t="inlineStr">
        <is>
          <t>MFPY5600554</t>
        </is>
      </c>
      <c r="B1269" t="inlineStr">
        <is>
          <t>MAXFLO 560/150/10 P c/w 0,55KW 4P 380V</t>
        </is>
      </c>
      <c r="C1269" t="inlineStr">
        <is>
          <t>FM - DONKIN</t>
        </is>
      </c>
      <c r="D1269" t="n">
        <v>33</v>
      </c>
      <c r="E1269" t="n">
        <v>5</v>
      </c>
      <c r="F1269" t="inlineStr">
        <is>
          <t>Air Speration</t>
        </is>
      </c>
      <c r="G1269" s="1" t="n">
        <v>5138.69</v>
      </c>
      <c r="H1269" t="n">
        <v>9</v>
      </c>
      <c r="I1269" t="n">
        <v>0.5</v>
      </c>
      <c r="J1269" t="n">
        <v>1</v>
      </c>
      <c r="K1269" t="n">
        <v>1</v>
      </c>
      <c r="L1269" t="n">
        <v>0</v>
      </c>
      <c r="M1269" t="n">
        <v>0</v>
      </c>
      <c r="N1269" t="n">
        <v>2</v>
      </c>
      <c r="O1269" s="1">
        <f>IFERROR(L1269*G1269,0)</f>
        <v/>
      </c>
      <c r="P1269">
        <f>IF(N1269-L1269-M1269&gt;0,N1269-L1269-M1269,0)</f>
        <v/>
      </c>
      <c r="Q1269" s="1">
        <f>IFERROR(P1269*G1269,0)</f>
        <v/>
      </c>
    </row>
    <row r="1270">
      <c r="A1270" t="inlineStr">
        <is>
          <t>MFPY5600754</t>
        </is>
      </c>
      <c r="B1270" t="inlineStr">
        <is>
          <t>MAXFLO 560/150/10 P c/w 0,75KW 4P 380V</t>
        </is>
      </c>
      <c r="C1270" t="inlineStr">
        <is>
          <t>FM - DONKIN</t>
        </is>
      </c>
      <c r="D1270" t="n">
        <v>11</v>
      </c>
      <c r="E1270" t="n">
        <v>3</v>
      </c>
      <c r="F1270" t="inlineStr">
        <is>
          <t>Centrifab (Pty) Ltd</t>
        </is>
      </c>
      <c r="G1270" s="1" t="n">
        <v>3606.45</v>
      </c>
      <c r="H1270" t="n">
        <v>7</v>
      </c>
      <c r="I1270" t="n">
        <v>0.5</v>
      </c>
      <c r="J1270" t="n">
        <v>1</v>
      </c>
      <c r="K1270" t="n">
        <v>1</v>
      </c>
      <c r="L1270" t="n">
        <v>0</v>
      </c>
      <c r="M1270" t="n">
        <v>0</v>
      </c>
      <c r="N1270" t="n">
        <v>2</v>
      </c>
      <c r="O1270" s="1">
        <f>IFERROR(L1270*G1270,0)</f>
        <v/>
      </c>
      <c r="P1270">
        <f>IF(N1270-L1270-M1270&gt;0,N1270-L1270-M1270,0)</f>
        <v/>
      </c>
      <c r="Q1270" s="1">
        <f>IFERROR(P1270*G1270,0)</f>
        <v/>
      </c>
    </row>
    <row r="1271">
      <c r="A1271" t="inlineStr">
        <is>
          <t>MFPY5601104</t>
        </is>
      </c>
      <c r="B1271" t="inlineStr">
        <is>
          <t>MAXFLO 560/150/10 P c/w 1,10KW 4P 380V</t>
        </is>
      </c>
      <c r="C1271" t="inlineStr">
        <is>
          <t>FM - DONKIN</t>
        </is>
      </c>
      <c r="D1271" t="n">
        <v>16</v>
      </c>
      <c r="E1271" t="n">
        <v>2</v>
      </c>
      <c r="F1271" t="inlineStr">
        <is>
          <t>Air Speration</t>
        </is>
      </c>
      <c r="G1271" s="1" t="n">
        <v>5419</v>
      </c>
      <c r="H1271" t="n">
        <v>5</v>
      </c>
      <c r="I1271" t="n">
        <v>0.9</v>
      </c>
      <c r="J1271" t="n">
        <v>1</v>
      </c>
      <c r="K1271" t="n">
        <v>1</v>
      </c>
      <c r="L1271" t="n">
        <v>0</v>
      </c>
      <c r="M1271" t="n">
        <v>0</v>
      </c>
      <c r="N1271" t="n">
        <v>3</v>
      </c>
      <c r="O1271" s="1">
        <f>IFERROR(L1271*G1271,0)</f>
        <v/>
      </c>
      <c r="P1271">
        <f>IF(N1271-L1271-M1271&gt;0,N1271-L1271-M1271,0)</f>
        <v/>
      </c>
      <c r="Q1271" s="1">
        <f>IFERROR(P1271*G1271,0)</f>
        <v/>
      </c>
    </row>
    <row r="1272">
      <c r="A1272" t="inlineStr">
        <is>
          <t>MFPY6300554</t>
        </is>
      </c>
      <c r="B1272" t="inlineStr">
        <is>
          <t>MAXFLO 630/150/10 P c/w 0,55KW 4P 380V</t>
        </is>
      </c>
      <c r="C1272" t="inlineStr">
        <is>
          <t>FM - DONKIN</t>
        </is>
      </c>
      <c r="D1272" t="n">
        <v>1</v>
      </c>
      <c r="E1272" t="n">
        <v>0</v>
      </c>
      <c r="F1272" t="inlineStr"/>
      <c r="G1272" s="1" t="n">
        <v>0</v>
      </c>
      <c r="H1272" t="n">
        <v>2</v>
      </c>
      <c r="I1272" t="n">
        <v>0.5</v>
      </c>
      <c r="J1272" t="n">
        <v>2</v>
      </c>
      <c r="K1272" t="n">
        <v>1</v>
      </c>
      <c r="L1272" t="n">
        <v>0</v>
      </c>
      <c r="M1272" t="n">
        <v>0</v>
      </c>
      <c r="N1272" t="n">
        <v>5</v>
      </c>
      <c r="O1272" s="1">
        <f>IFERROR(L1272*G1272,0)</f>
        <v/>
      </c>
      <c r="P1272">
        <f>IF(N1272-L1272-M1272&gt;0,N1272-L1272-M1272,0)</f>
        <v/>
      </c>
      <c r="Q1272" s="1">
        <f>IFERROR(P1272*G1272,0)</f>
        <v/>
      </c>
    </row>
    <row r="1273">
      <c r="A1273" t="inlineStr">
        <is>
          <t>MFPY6300754</t>
        </is>
      </c>
      <c r="B1273" t="inlineStr">
        <is>
          <t>MAXFLO 630/150/10 P c/w 0,75KW 4P 380V</t>
        </is>
      </c>
      <c r="C1273" t="inlineStr">
        <is>
          <t>FM - DONKIN</t>
        </is>
      </c>
      <c r="D1273" t="n">
        <v>30</v>
      </c>
      <c r="E1273" t="n">
        <v>4</v>
      </c>
      <c r="F1273" t="inlineStr">
        <is>
          <t>Air Speration</t>
        </is>
      </c>
      <c r="G1273" s="1" t="n">
        <v>5978.54</v>
      </c>
      <c r="H1273" t="n">
        <v>1</v>
      </c>
      <c r="I1273" t="n">
        <v>1.6</v>
      </c>
      <c r="J1273" t="n">
        <v>1</v>
      </c>
      <c r="K1273" t="n">
        <v>2</v>
      </c>
      <c r="L1273" t="n">
        <v>0</v>
      </c>
      <c r="M1273" t="n">
        <v>0</v>
      </c>
      <c r="N1273" t="n">
        <v>4</v>
      </c>
      <c r="O1273" s="1">
        <f>IFERROR(L1273*G1273,0)</f>
        <v/>
      </c>
      <c r="P1273">
        <f>IF(N1273-L1273-M1273&gt;0,N1273-L1273-M1273,0)</f>
        <v/>
      </c>
      <c r="Q1273" s="1">
        <f>IFERROR(P1273*G1273,0)</f>
        <v/>
      </c>
    </row>
    <row r="1274">
      <c r="A1274" t="inlineStr">
        <is>
          <t>MFPY6301104</t>
        </is>
      </c>
      <c r="B1274" t="inlineStr">
        <is>
          <t>MAXFLO 630/150/10 P c/w 1,10KW 4P 380V</t>
        </is>
      </c>
      <c r="C1274" t="inlineStr">
        <is>
          <t>FM - DONKIN</t>
        </is>
      </c>
      <c r="D1274" t="n">
        <v>1</v>
      </c>
      <c r="E1274" t="n">
        <v>1</v>
      </c>
      <c r="F1274" t="inlineStr">
        <is>
          <t>Centrifab (Pty) Ltd</t>
        </is>
      </c>
      <c r="G1274" s="1" t="n">
        <v>5809.2</v>
      </c>
      <c r="H1274" t="n">
        <v>2</v>
      </c>
      <c r="I1274" t="n">
        <v>0.5</v>
      </c>
      <c r="J1274" t="n">
        <v>2</v>
      </c>
      <c r="K1274" t="n">
        <v>1</v>
      </c>
      <c r="L1274" t="n">
        <v>0</v>
      </c>
      <c r="M1274" t="n">
        <v>0</v>
      </c>
      <c r="N1274" t="n">
        <v>5</v>
      </c>
      <c r="O1274" s="1">
        <f>IFERROR(L1274*G1274,0)</f>
        <v/>
      </c>
      <c r="P1274">
        <f>IF(N1274-L1274-M1274&gt;0,N1274-L1274-M1274,0)</f>
        <v/>
      </c>
      <c r="Q1274" s="1">
        <f>IFERROR(P1274*G1274,0)</f>
        <v/>
      </c>
    </row>
    <row r="1275">
      <c r="A1275" t="inlineStr">
        <is>
          <t>MFPY6302204</t>
        </is>
      </c>
      <c r="B1275" t="inlineStr">
        <is>
          <t>MAXFLO 630/150/10 P c/w 2,20KW 4P 380V</t>
        </is>
      </c>
      <c r="C1275" t="inlineStr">
        <is>
          <t>FM - DONKIN</t>
        </is>
      </c>
      <c r="D1275" t="n">
        <v>1</v>
      </c>
      <c r="E1275" t="n">
        <v>0</v>
      </c>
      <c r="F1275" t="inlineStr"/>
      <c r="G1275" s="1" t="n">
        <v>0</v>
      </c>
      <c r="H1275" t="n">
        <v>3</v>
      </c>
      <c r="I1275" t="n">
        <v>0.5</v>
      </c>
      <c r="J1275" t="n">
        <v>3</v>
      </c>
      <c r="K1275" t="n">
        <v>2</v>
      </c>
      <c r="L1275" t="n">
        <v>0</v>
      </c>
      <c r="M1275" t="n">
        <v>0</v>
      </c>
      <c r="N1275" t="n">
        <v>8</v>
      </c>
      <c r="O1275" s="1">
        <f>IFERROR(L1275*G1275,0)</f>
        <v/>
      </c>
      <c r="P1275">
        <f>IF(N1275-L1275-M1275&gt;0,N1275-L1275-M1275,0)</f>
        <v/>
      </c>
      <c r="Q1275" s="1">
        <f>IFERROR(P1275*G1275,0)</f>
        <v/>
      </c>
    </row>
    <row r="1276">
      <c r="A1276" t="inlineStr">
        <is>
          <t>MFPY6303004</t>
        </is>
      </c>
      <c r="B1276" t="inlineStr">
        <is>
          <t>MAXFLO 630/150/10 P c/w 3,00KW 4P 380V</t>
        </is>
      </c>
      <c r="C1276" t="inlineStr">
        <is>
          <t>FM - DONKIN</t>
        </is>
      </c>
      <c r="D1276" t="n">
        <v>12</v>
      </c>
      <c r="E1276" t="n">
        <v>0</v>
      </c>
      <c r="F1276" t="inlineStr"/>
      <c r="G1276" s="1" t="n">
        <v>0</v>
      </c>
      <c r="H1276" t="n">
        <v>2</v>
      </c>
      <c r="I1276" t="n">
        <v>0.5</v>
      </c>
      <c r="J1276" t="n">
        <v>1</v>
      </c>
      <c r="K1276" t="n">
        <v>1</v>
      </c>
      <c r="L1276" t="n">
        <v>0</v>
      </c>
      <c r="M1276" t="n">
        <v>0</v>
      </c>
      <c r="N1276" t="n">
        <v>2</v>
      </c>
      <c r="O1276" s="1">
        <f>IFERROR(L1276*G1276,0)</f>
        <v/>
      </c>
      <c r="P1276">
        <f>IF(N1276-L1276-M1276&gt;0,N1276-L1276-M1276,0)</f>
        <v/>
      </c>
      <c r="Q1276" s="1">
        <f>IFERROR(P1276*G1276,0)</f>
        <v/>
      </c>
    </row>
    <row r="1277">
      <c r="A1277" t="inlineStr">
        <is>
          <t>MFPY7101104</t>
        </is>
      </c>
      <c r="B1277" t="inlineStr">
        <is>
          <t>MAXFLO 710/150/10 P c/w 1,10KW 4P 380V</t>
        </is>
      </c>
      <c r="C1277" t="inlineStr">
        <is>
          <t>FM - DONKIN</t>
        </is>
      </c>
      <c r="D1277" t="n">
        <v>1</v>
      </c>
      <c r="E1277" t="n">
        <v>0</v>
      </c>
      <c r="F1277" t="inlineStr"/>
      <c r="G1277" s="1" t="n">
        <v>0</v>
      </c>
      <c r="H1277" t="n">
        <v>2</v>
      </c>
      <c r="I1277" t="n">
        <v>0.5</v>
      </c>
      <c r="J1277" t="n">
        <v>2</v>
      </c>
      <c r="K1277" t="n">
        <v>1</v>
      </c>
      <c r="L1277" t="n">
        <v>0</v>
      </c>
      <c r="M1277" t="n">
        <v>0</v>
      </c>
      <c r="N1277" t="n">
        <v>5</v>
      </c>
      <c r="O1277" s="1">
        <f>IFERROR(L1277*G1277,0)</f>
        <v/>
      </c>
      <c r="P1277">
        <f>IF(N1277-L1277-M1277&gt;0,N1277-L1277-M1277,0)</f>
        <v/>
      </c>
      <c r="Q1277" s="1">
        <f>IFERROR(P1277*G1277,0)</f>
        <v/>
      </c>
    </row>
    <row r="1278">
      <c r="A1278" t="inlineStr">
        <is>
          <t>MFPY7102204</t>
        </is>
      </c>
      <c r="B1278" t="inlineStr">
        <is>
          <t>MAXFLO 710/150/10 P c/w 2,20KW 4P 380V</t>
        </is>
      </c>
      <c r="C1278" t="inlineStr">
        <is>
          <t>FM - DONKIN</t>
        </is>
      </c>
      <c r="D1278" t="n">
        <v>1</v>
      </c>
      <c r="E1278" t="n">
        <v>0</v>
      </c>
      <c r="F1278" t="inlineStr"/>
      <c r="G1278" s="1" t="n">
        <v>0</v>
      </c>
      <c r="H1278" t="n">
        <v>1</v>
      </c>
      <c r="I1278" t="n">
        <v>0.5</v>
      </c>
      <c r="J1278" t="n">
        <v>1</v>
      </c>
      <c r="K1278" t="n">
        <v>1</v>
      </c>
      <c r="L1278" t="n">
        <v>0</v>
      </c>
      <c r="M1278" t="n">
        <v>0</v>
      </c>
      <c r="N1278" t="n">
        <v>2</v>
      </c>
      <c r="O1278" s="1">
        <f>IFERROR(L1278*G1278,0)</f>
        <v/>
      </c>
      <c r="P1278">
        <f>IF(N1278-L1278-M1278&gt;0,N1278-L1278-M1278,0)</f>
        <v/>
      </c>
      <c r="Q1278" s="1">
        <f>IFERROR(P1278*G1278,0)</f>
        <v/>
      </c>
    </row>
    <row r="1279">
      <c r="A1279" t="inlineStr">
        <is>
          <t>MFPY7104004</t>
        </is>
      </c>
      <c r="B1279" t="inlineStr">
        <is>
          <t>MAXFLO 710/150/10 P c/w 4,00KW 4P 380V</t>
        </is>
      </c>
      <c r="C1279" t="inlineStr">
        <is>
          <t>FM - DONKIN</t>
        </is>
      </c>
      <c r="D1279" t="n">
        <v>1</v>
      </c>
      <c r="E1279" t="n">
        <v>0</v>
      </c>
      <c r="F1279" t="inlineStr"/>
      <c r="G1279" s="1" t="n">
        <v>0</v>
      </c>
      <c r="H1279" t="n">
        <v>1</v>
      </c>
      <c r="I1279" t="n">
        <v>0.5</v>
      </c>
      <c r="J1279" t="n">
        <v>1</v>
      </c>
      <c r="K1279" t="n">
        <v>1</v>
      </c>
      <c r="L1279" t="n">
        <v>0</v>
      </c>
      <c r="M1279" t="n">
        <v>0</v>
      </c>
      <c r="N1279" t="n">
        <v>2</v>
      </c>
      <c r="O1279" s="1">
        <f>IFERROR(L1279*G1279,0)</f>
        <v/>
      </c>
      <c r="P1279">
        <f>IF(N1279-L1279-M1279&gt;0,N1279-L1279-M1279,0)</f>
        <v/>
      </c>
      <c r="Q1279" s="1">
        <f>IFERROR(P1279*G1279,0)</f>
        <v/>
      </c>
    </row>
    <row r="1280">
      <c r="A1280" t="inlineStr">
        <is>
          <t>MFPY8003004</t>
        </is>
      </c>
      <c r="B1280" t="inlineStr">
        <is>
          <t>MAXFLO 800/150/10 P c/w 3,00KW 4P 380V</t>
        </is>
      </c>
      <c r="C1280" t="inlineStr">
        <is>
          <t>FM - DONKIN</t>
        </is>
      </c>
      <c r="D1280" t="n">
        <v>1</v>
      </c>
      <c r="E1280" t="n">
        <v>0</v>
      </c>
      <c r="F1280" t="inlineStr"/>
      <c r="G1280" s="1" t="n">
        <v>0</v>
      </c>
      <c r="H1280" t="n">
        <v>1</v>
      </c>
      <c r="I1280" t="n">
        <v>0.5</v>
      </c>
      <c r="J1280" t="n">
        <v>1</v>
      </c>
      <c r="K1280" t="n">
        <v>1</v>
      </c>
      <c r="L1280" t="n">
        <v>0</v>
      </c>
      <c r="M1280" t="n">
        <v>0</v>
      </c>
      <c r="N1280" t="n">
        <v>2</v>
      </c>
      <c r="O1280" s="1">
        <f>IFERROR(L1280*G1280,0)</f>
        <v/>
      </c>
      <c r="P1280">
        <f>IF(N1280-L1280-M1280&gt;0,N1280-L1280-M1280,0)</f>
        <v/>
      </c>
      <c r="Q1280" s="1">
        <f>IFERROR(P1280*G1280,0)</f>
        <v/>
      </c>
    </row>
    <row r="1281">
      <c r="A1281" t="inlineStr">
        <is>
          <t>MFPY8005504</t>
        </is>
      </c>
      <c r="B1281" t="inlineStr">
        <is>
          <t>MAXFLO 800/150/10 P c/w 5,50KW 4P 380V</t>
        </is>
      </c>
      <c r="C1281" t="inlineStr">
        <is>
          <t>FM - DONKIN</t>
        </is>
      </c>
      <c r="D1281" t="n">
        <v>1</v>
      </c>
      <c r="E1281" t="n">
        <v>0</v>
      </c>
      <c r="F1281" t="inlineStr"/>
      <c r="G1281" s="1" t="n">
        <v>0</v>
      </c>
      <c r="H1281" t="n">
        <v>1</v>
      </c>
      <c r="I1281" t="n">
        <v>0.5</v>
      </c>
      <c r="J1281" t="n">
        <v>1</v>
      </c>
      <c r="K1281" t="n">
        <v>1</v>
      </c>
      <c r="L1281" t="n">
        <v>0</v>
      </c>
      <c r="M1281" t="n">
        <v>0</v>
      </c>
      <c r="N1281" t="n">
        <v>2</v>
      </c>
      <c r="O1281" s="1">
        <f>IFERROR(L1281*G1281,0)</f>
        <v/>
      </c>
      <c r="P1281">
        <f>IF(N1281-L1281-M1281&gt;0,N1281-L1281-M1281,0)</f>
        <v/>
      </c>
      <c r="Q1281" s="1">
        <f>IFERROR(P1281*G1281,0)</f>
        <v/>
      </c>
    </row>
    <row r="1282">
      <c r="A1282" t="inlineStr">
        <is>
          <t>MFPZ5600554</t>
        </is>
      </c>
      <c r="B1282" t="inlineStr">
        <is>
          <t>MAXFLO 560/250/14 P c/w 0,55KW 4P 380V</t>
        </is>
      </c>
      <c r="C1282" t="inlineStr">
        <is>
          <t>FM - DONKIN</t>
        </is>
      </c>
      <c r="D1282" t="n">
        <v>25</v>
      </c>
      <c r="E1282" t="n">
        <v>5</v>
      </c>
      <c r="F1282" t="inlineStr">
        <is>
          <t>Air Speration</t>
        </is>
      </c>
      <c r="G1282" s="1" t="n">
        <v>5219.33</v>
      </c>
      <c r="H1282" t="n">
        <v>3</v>
      </c>
      <c r="I1282" t="n">
        <v>0.9</v>
      </c>
      <c r="J1282" t="n">
        <v>1</v>
      </c>
      <c r="K1282" t="n">
        <v>1</v>
      </c>
      <c r="L1282" t="n">
        <v>0</v>
      </c>
      <c r="M1282" t="n">
        <v>0</v>
      </c>
      <c r="N1282" t="n">
        <v>3</v>
      </c>
      <c r="O1282" s="1">
        <f>IFERROR(L1282*G1282,0)</f>
        <v/>
      </c>
      <c r="P1282">
        <f>IF(N1282-L1282-M1282&gt;0,N1282-L1282-M1282,0)</f>
        <v/>
      </c>
      <c r="Q1282" s="1">
        <f>IFERROR(P1282*G1282,0)</f>
        <v/>
      </c>
    </row>
    <row r="1283">
      <c r="A1283" t="inlineStr">
        <is>
          <t>MFPZ5600556</t>
        </is>
      </c>
      <c r="B1283" t="inlineStr">
        <is>
          <t>MAXFLO 560/250/14 P c/w 0,55KW 6P 380V</t>
        </is>
      </c>
      <c r="C1283" t="inlineStr">
        <is>
          <t>FM - DONKIN</t>
        </is>
      </c>
      <c r="D1283" t="n">
        <v>1</v>
      </c>
      <c r="E1283" t="n">
        <v>0</v>
      </c>
      <c r="F1283" t="inlineStr"/>
      <c r="G1283" s="1" t="n">
        <v>0</v>
      </c>
      <c r="H1283" t="n">
        <v>1</v>
      </c>
      <c r="I1283" t="n">
        <v>0.5</v>
      </c>
      <c r="J1283" t="n">
        <v>1</v>
      </c>
      <c r="K1283" t="n">
        <v>1</v>
      </c>
      <c r="L1283" t="n">
        <v>0</v>
      </c>
      <c r="M1283" t="n">
        <v>0</v>
      </c>
      <c r="N1283" t="n">
        <v>2</v>
      </c>
      <c r="O1283" s="1">
        <f>IFERROR(L1283*G1283,0)</f>
        <v/>
      </c>
      <c r="P1283">
        <f>IF(N1283-L1283-M1283&gt;0,N1283-L1283-M1283,0)</f>
        <v/>
      </c>
      <c r="Q1283" s="1">
        <f>IFERROR(P1283*G1283,0)</f>
        <v/>
      </c>
    </row>
    <row r="1284">
      <c r="A1284" t="inlineStr">
        <is>
          <t>MFPZ5600754</t>
        </is>
      </c>
      <c r="B1284" t="inlineStr">
        <is>
          <t>MAXFLO 560/250/14 P c/w 0,75KW 4P 380V</t>
        </is>
      </c>
      <c r="C1284" t="inlineStr">
        <is>
          <t>FM - DONKIN</t>
        </is>
      </c>
      <c r="D1284" t="n">
        <v>25</v>
      </c>
      <c r="E1284" t="n">
        <v>1</v>
      </c>
      <c r="F1284" t="inlineStr">
        <is>
          <t>Air Speration</t>
        </is>
      </c>
      <c r="G1284" s="1" t="n">
        <v>5355.45</v>
      </c>
      <c r="H1284" t="n">
        <v>5</v>
      </c>
      <c r="I1284" t="n">
        <v>1.2</v>
      </c>
      <c r="J1284" t="n">
        <v>1</v>
      </c>
      <c r="K1284" t="n">
        <v>1</v>
      </c>
      <c r="L1284" t="n">
        <v>0</v>
      </c>
      <c r="M1284" t="n">
        <v>0</v>
      </c>
      <c r="N1284" t="n">
        <v>3</v>
      </c>
      <c r="O1284" s="1">
        <f>IFERROR(L1284*G1284,0)</f>
        <v/>
      </c>
      <c r="P1284">
        <f>IF(N1284-L1284-M1284&gt;0,N1284-L1284-M1284,0)</f>
        <v/>
      </c>
      <c r="Q1284" s="1">
        <f>IFERROR(P1284*G1284,0)</f>
        <v/>
      </c>
    </row>
    <row r="1285">
      <c r="A1285" t="inlineStr">
        <is>
          <t>MFPZ5601104</t>
        </is>
      </c>
      <c r="B1285" t="inlineStr">
        <is>
          <t>MAXFLO 560/250/14 P c/w 1,10KW 4P 380V</t>
        </is>
      </c>
      <c r="C1285" t="inlineStr">
        <is>
          <t>FM - DONKIN</t>
        </is>
      </c>
      <c r="D1285" t="n">
        <v>25</v>
      </c>
      <c r="E1285" t="n">
        <v>1</v>
      </c>
      <c r="F1285" t="inlineStr">
        <is>
          <t>Air Speration</t>
        </is>
      </c>
      <c r="G1285" s="1" t="n">
        <v>5601</v>
      </c>
      <c r="H1285" t="n">
        <v>2</v>
      </c>
      <c r="I1285" t="n">
        <v>1.7</v>
      </c>
      <c r="J1285" t="n">
        <v>1</v>
      </c>
      <c r="K1285" t="n">
        <v>2</v>
      </c>
      <c r="L1285" t="n">
        <v>0</v>
      </c>
      <c r="M1285" t="n">
        <v>0</v>
      </c>
      <c r="N1285" t="n">
        <v>4</v>
      </c>
      <c r="O1285" s="1">
        <f>IFERROR(L1285*G1285,0)</f>
        <v/>
      </c>
      <c r="P1285">
        <f>IF(N1285-L1285-M1285&gt;0,N1285-L1285-M1285,0)</f>
        <v/>
      </c>
      <c r="Q1285" s="1">
        <f>IFERROR(P1285*G1285,0)</f>
        <v/>
      </c>
    </row>
    <row r="1286">
      <c r="A1286" t="inlineStr">
        <is>
          <t>MFPZ5601504</t>
        </is>
      </c>
      <c r="B1286" t="inlineStr">
        <is>
          <t>MAXFLO 560/250/14 P c/w 1,50KW 4P 380V</t>
        </is>
      </c>
      <c r="C1286" t="inlineStr">
        <is>
          <t>FM - DONKIN</t>
        </is>
      </c>
      <c r="D1286" t="n">
        <v>2</v>
      </c>
      <c r="E1286" t="n">
        <v>0</v>
      </c>
      <c r="F1286" t="inlineStr"/>
      <c r="G1286" s="1" t="n">
        <v>0</v>
      </c>
      <c r="H1286" t="n">
        <v>2</v>
      </c>
      <c r="I1286" t="n">
        <v>0.5</v>
      </c>
      <c r="J1286" t="n">
        <v>1</v>
      </c>
      <c r="K1286" t="n">
        <v>1</v>
      </c>
      <c r="L1286" t="n">
        <v>0</v>
      </c>
      <c r="M1286" t="n">
        <v>0</v>
      </c>
      <c r="N1286" t="n">
        <v>2</v>
      </c>
      <c r="O1286" s="1">
        <f>IFERROR(L1286*G1286,0)</f>
        <v/>
      </c>
      <c r="P1286">
        <f>IF(N1286-L1286-M1286&gt;0,N1286-L1286-M1286,0)</f>
        <v/>
      </c>
      <c r="Q1286" s="1">
        <f>IFERROR(P1286*G1286,0)</f>
        <v/>
      </c>
    </row>
    <row r="1287">
      <c r="A1287" t="inlineStr">
        <is>
          <t>MFPZ5602202</t>
        </is>
      </c>
      <c r="B1287" t="inlineStr">
        <is>
          <t>MAXFLO 560/250/14 P c/w 2,20KW 2P 380V</t>
        </is>
      </c>
      <c r="C1287" t="inlineStr">
        <is>
          <t>FM - DONKIN</t>
        </is>
      </c>
      <c r="D1287" t="n">
        <v>1</v>
      </c>
      <c r="E1287" t="n">
        <v>0</v>
      </c>
      <c r="F1287" t="inlineStr"/>
      <c r="G1287" s="1" t="n">
        <v>0</v>
      </c>
      <c r="H1287" t="n">
        <v>1</v>
      </c>
      <c r="I1287" t="n">
        <v>0.5</v>
      </c>
      <c r="J1287" t="n">
        <v>1</v>
      </c>
      <c r="K1287" t="n">
        <v>1</v>
      </c>
      <c r="L1287" t="n">
        <v>0</v>
      </c>
      <c r="M1287" t="n">
        <v>0</v>
      </c>
      <c r="N1287" t="n">
        <v>2</v>
      </c>
      <c r="O1287" s="1">
        <f>IFERROR(L1287*G1287,0)</f>
        <v/>
      </c>
      <c r="P1287">
        <f>IF(N1287-L1287-M1287&gt;0,N1287-L1287-M1287,0)</f>
        <v/>
      </c>
      <c r="Q1287" s="1">
        <f>IFERROR(P1287*G1287,0)</f>
        <v/>
      </c>
    </row>
    <row r="1288">
      <c r="A1288" t="inlineStr">
        <is>
          <t>MFPZ6300554</t>
        </is>
      </c>
      <c r="B1288" t="inlineStr">
        <is>
          <t>MAXFLO 630/250/14 P c/w 0,55KW 4P 380V</t>
        </is>
      </c>
      <c r="C1288" t="inlineStr">
        <is>
          <t>FM - DONKIN</t>
        </is>
      </c>
      <c r="D1288" t="n">
        <v>16</v>
      </c>
      <c r="E1288" t="n">
        <v>1</v>
      </c>
      <c r="F1288" t="inlineStr">
        <is>
          <t>Centrifab (Pty) Ltd</t>
        </is>
      </c>
      <c r="G1288" s="1" t="n">
        <v>2032.3</v>
      </c>
      <c r="H1288" t="n">
        <v>1</v>
      </c>
      <c r="I1288" t="n">
        <v>1.4</v>
      </c>
      <c r="J1288" t="n">
        <v>1</v>
      </c>
      <c r="K1288" t="n">
        <v>1</v>
      </c>
      <c r="L1288" t="n">
        <v>0</v>
      </c>
      <c r="M1288" t="n">
        <v>0</v>
      </c>
      <c r="N1288" t="n">
        <v>3</v>
      </c>
      <c r="O1288" s="1">
        <f>IFERROR(L1288*G1288,0)</f>
        <v/>
      </c>
      <c r="P1288">
        <f>IF(N1288-L1288-M1288&gt;0,N1288-L1288-M1288,0)</f>
        <v/>
      </c>
      <c r="Q1288" s="1">
        <f>IFERROR(P1288*G1288,0)</f>
        <v/>
      </c>
    </row>
    <row r="1289">
      <c r="A1289" t="inlineStr">
        <is>
          <t>MFPZ6300754</t>
        </is>
      </c>
      <c r="B1289" t="inlineStr">
        <is>
          <t>MAXFLO 630/250/14 P c/w 0,75KW 4P 380V</t>
        </is>
      </c>
      <c r="C1289" t="inlineStr">
        <is>
          <t>FM - DONKIN</t>
        </is>
      </c>
      <c r="D1289" t="n">
        <v>1</v>
      </c>
      <c r="E1289" t="n">
        <v>0</v>
      </c>
      <c r="F1289" t="inlineStr"/>
      <c r="G1289" s="1" t="n">
        <v>0</v>
      </c>
      <c r="H1289" t="n">
        <v>4</v>
      </c>
      <c r="I1289" t="n">
        <v>0.5</v>
      </c>
      <c r="J1289" t="n">
        <v>4</v>
      </c>
      <c r="K1289" t="n">
        <v>2</v>
      </c>
      <c r="L1289" t="n">
        <v>0</v>
      </c>
      <c r="M1289" t="n">
        <v>0</v>
      </c>
      <c r="N1289" t="n">
        <v>10</v>
      </c>
      <c r="O1289" s="1">
        <f>IFERROR(L1289*G1289,0)</f>
        <v/>
      </c>
      <c r="P1289">
        <f>IF(N1289-L1289-M1289&gt;0,N1289-L1289-M1289,0)</f>
        <v/>
      </c>
      <c r="Q1289" s="1">
        <f>IFERROR(P1289*G1289,0)</f>
        <v/>
      </c>
    </row>
    <row r="1290">
      <c r="A1290" t="inlineStr">
        <is>
          <t>MFPZ6301104</t>
        </is>
      </c>
      <c r="B1290" t="inlineStr">
        <is>
          <t>MAXFLO 630/250/14 P c/w 1,10KW 4P 380V</t>
        </is>
      </c>
      <c r="C1290" t="inlineStr">
        <is>
          <t>FM - DONKIN</t>
        </is>
      </c>
      <c r="D1290" t="n">
        <v>20</v>
      </c>
      <c r="E1290" t="n">
        <v>2</v>
      </c>
      <c r="F1290" t="inlineStr">
        <is>
          <t>Air Speration</t>
        </is>
      </c>
      <c r="G1290" s="1" t="n">
        <v>2032.3</v>
      </c>
      <c r="H1290" t="n">
        <v>3</v>
      </c>
      <c r="I1290" t="n">
        <v>0.5</v>
      </c>
      <c r="J1290" t="n">
        <v>1</v>
      </c>
      <c r="K1290" t="n">
        <v>1</v>
      </c>
      <c r="L1290" t="n">
        <v>0</v>
      </c>
      <c r="M1290" t="n">
        <v>0</v>
      </c>
      <c r="N1290" t="n">
        <v>2</v>
      </c>
      <c r="O1290" s="1">
        <f>IFERROR(L1290*G1290,0)</f>
        <v/>
      </c>
      <c r="P1290">
        <f>IF(N1290-L1290-M1290&gt;0,N1290-L1290-M1290,0)</f>
        <v/>
      </c>
      <c r="Q1290" s="1">
        <f>IFERROR(P1290*G1290,0)</f>
        <v/>
      </c>
    </row>
    <row r="1291">
      <c r="A1291" t="inlineStr">
        <is>
          <t>MFPZ6301504</t>
        </is>
      </c>
      <c r="B1291" t="inlineStr">
        <is>
          <t>MAXFLO 630/250/14 P c/w 1,50KW 4P 380V</t>
        </is>
      </c>
      <c r="C1291" t="inlineStr">
        <is>
          <t>FM - DONKIN</t>
        </is>
      </c>
      <c r="D1291" t="n">
        <v>1</v>
      </c>
      <c r="E1291" t="n">
        <v>0</v>
      </c>
      <c r="F1291" t="inlineStr"/>
      <c r="G1291" s="1" t="n">
        <v>0</v>
      </c>
      <c r="H1291" t="n">
        <v>2</v>
      </c>
      <c r="I1291" t="n">
        <v>0.5</v>
      </c>
      <c r="J1291" t="n">
        <v>2</v>
      </c>
      <c r="K1291" t="n">
        <v>1</v>
      </c>
      <c r="L1291" t="n">
        <v>0</v>
      </c>
      <c r="M1291" t="n">
        <v>0</v>
      </c>
      <c r="N1291" t="n">
        <v>5</v>
      </c>
      <c r="O1291" s="1">
        <f>IFERROR(L1291*G1291,0)</f>
        <v/>
      </c>
      <c r="P1291">
        <f>IF(N1291-L1291-M1291&gt;0,N1291-L1291-M1291,0)</f>
        <v/>
      </c>
      <c r="Q1291" s="1">
        <f>IFERROR(P1291*G1291,0)</f>
        <v/>
      </c>
    </row>
    <row r="1292">
      <c r="A1292" t="inlineStr">
        <is>
          <t>MFPZ6302204</t>
        </is>
      </c>
      <c r="B1292" t="inlineStr">
        <is>
          <t>MAXFLO 630/250/14 P c/w 2,20KW 4P 380V</t>
        </is>
      </c>
      <c r="C1292" t="inlineStr">
        <is>
          <t>FM - DONKIN</t>
        </is>
      </c>
      <c r="D1292" t="n">
        <v>1</v>
      </c>
      <c r="E1292" t="n">
        <v>0</v>
      </c>
      <c r="F1292" t="inlineStr"/>
      <c r="G1292" s="1" t="n">
        <v>0</v>
      </c>
      <c r="H1292" t="n">
        <v>1</v>
      </c>
      <c r="I1292" t="n">
        <v>0.5</v>
      </c>
      <c r="J1292" t="n">
        <v>1</v>
      </c>
      <c r="K1292" t="n">
        <v>1</v>
      </c>
      <c r="L1292" t="n">
        <v>0</v>
      </c>
      <c r="M1292" t="n">
        <v>0</v>
      </c>
      <c r="N1292" t="n">
        <v>2</v>
      </c>
      <c r="O1292" s="1">
        <f>IFERROR(L1292*G1292,0)</f>
        <v/>
      </c>
      <c r="P1292">
        <f>IF(N1292-L1292-M1292&gt;0,N1292-L1292-M1292,0)</f>
        <v/>
      </c>
      <c r="Q1292" s="1">
        <f>IFERROR(P1292*G1292,0)</f>
        <v/>
      </c>
    </row>
    <row r="1293">
      <c r="A1293" t="inlineStr">
        <is>
          <t>MFPZ6303004</t>
        </is>
      </c>
      <c r="B1293" t="inlineStr">
        <is>
          <t>MAXFLO 630/250/14 P c/w 3,00KW 4P 380V</t>
        </is>
      </c>
      <c r="C1293" t="inlineStr">
        <is>
          <t>FM - DONKIN</t>
        </is>
      </c>
      <c r="D1293" t="n">
        <v>17</v>
      </c>
      <c r="E1293" t="n">
        <v>1</v>
      </c>
      <c r="F1293" t="inlineStr">
        <is>
          <t>Centrifab (Pty) Ltd</t>
        </is>
      </c>
      <c r="G1293" s="1" t="n">
        <v>6348.78</v>
      </c>
      <c r="H1293" t="n">
        <v>4</v>
      </c>
      <c r="I1293" t="n">
        <v>1.6</v>
      </c>
      <c r="J1293" t="n">
        <v>1</v>
      </c>
      <c r="K1293" t="n">
        <v>2</v>
      </c>
      <c r="L1293" t="n">
        <v>0</v>
      </c>
      <c r="M1293" t="n">
        <v>0</v>
      </c>
      <c r="N1293" t="n">
        <v>4</v>
      </c>
      <c r="O1293" s="1">
        <f>IFERROR(L1293*G1293,0)</f>
        <v/>
      </c>
      <c r="P1293">
        <f>IF(N1293-L1293-M1293&gt;0,N1293-L1293-M1293,0)</f>
        <v/>
      </c>
      <c r="Q1293" s="1">
        <f>IFERROR(P1293*G1293,0)</f>
        <v/>
      </c>
    </row>
    <row r="1294">
      <c r="A1294" t="inlineStr">
        <is>
          <t>MFPZ7101504</t>
        </is>
      </c>
      <c r="B1294" t="inlineStr">
        <is>
          <t>MAXFLO 710/250/14 P c/w 1,50KW 4P 380V</t>
        </is>
      </c>
      <c r="C1294" t="inlineStr">
        <is>
          <t>FM - DONKIN</t>
        </is>
      </c>
      <c r="D1294" t="n">
        <v>21</v>
      </c>
      <c r="E1294" t="n">
        <v>1</v>
      </c>
      <c r="F1294" t="inlineStr">
        <is>
          <t>Air Speration</t>
        </is>
      </c>
      <c r="G1294" s="1" t="n">
        <v>6479.3</v>
      </c>
      <c r="H1294" t="n">
        <v>7</v>
      </c>
      <c r="I1294" t="n">
        <v>0.5</v>
      </c>
      <c r="J1294" t="n">
        <v>1</v>
      </c>
      <c r="K1294" t="n">
        <v>1</v>
      </c>
      <c r="L1294" t="n">
        <v>0</v>
      </c>
      <c r="M1294" t="n">
        <v>0</v>
      </c>
      <c r="N1294" t="n">
        <v>2</v>
      </c>
      <c r="O1294" s="1">
        <f>IFERROR(L1294*G1294,0)</f>
        <v/>
      </c>
      <c r="P1294">
        <f>IF(N1294-L1294-M1294&gt;0,N1294-L1294-M1294,0)</f>
        <v/>
      </c>
      <c r="Q1294" s="1">
        <f>IFERROR(P1294*G1294,0)</f>
        <v/>
      </c>
    </row>
    <row r="1295">
      <c r="A1295" t="inlineStr">
        <is>
          <t>MFPZ7103004</t>
        </is>
      </c>
      <c r="B1295" t="inlineStr">
        <is>
          <t>MAXFLO 710/250/14 P c/w 3,00KW 4P 380V</t>
        </is>
      </c>
      <c r="C1295" t="inlineStr">
        <is>
          <t>FM - DONKIN</t>
        </is>
      </c>
      <c r="D1295" t="n">
        <v>12</v>
      </c>
      <c r="E1295" t="n">
        <v>0</v>
      </c>
      <c r="F1295" t="inlineStr"/>
      <c r="G1295" s="1" t="n">
        <v>0</v>
      </c>
      <c r="H1295" t="n">
        <v>3</v>
      </c>
      <c r="I1295" t="n">
        <v>0.5</v>
      </c>
      <c r="J1295" t="n">
        <v>1</v>
      </c>
      <c r="K1295" t="n">
        <v>1</v>
      </c>
      <c r="L1295" t="n">
        <v>0</v>
      </c>
      <c r="M1295" t="n">
        <v>0</v>
      </c>
      <c r="N1295" t="n">
        <v>2</v>
      </c>
      <c r="O1295" s="1">
        <f>IFERROR(L1295*G1295,0)</f>
        <v/>
      </c>
      <c r="P1295">
        <f>IF(N1295-L1295-M1295&gt;0,N1295-L1295-M1295,0)</f>
        <v/>
      </c>
      <c r="Q1295" s="1">
        <f>IFERROR(P1295*G1295,0)</f>
        <v/>
      </c>
    </row>
    <row r="1296">
      <c r="A1296" t="inlineStr">
        <is>
          <t>MFPZ7104004</t>
        </is>
      </c>
      <c r="B1296" t="inlineStr">
        <is>
          <t>MAXFLO 710/250/14 P c/w 4,00KW 4P 380V</t>
        </is>
      </c>
      <c r="C1296" t="inlineStr">
        <is>
          <t>FM - DONKIN</t>
        </is>
      </c>
      <c r="D1296" t="n">
        <v>1</v>
      </c>
      <c r="E1296" t="n">
        <v>0</v>
      </c>
      <c r="F1296" t="inlineStr"/>
      <c r="G1296" s="1" t="n">
        <v>0</v>
      </c>
      <c r="H1296" t="n">
        <v>1</v>
      </c>
      <c r="I1296" t="n">
        <v>0.5</v>
      </c>
      <c r="J1296" t="n">
        <v>1</v>
      </c>
      <c r="K1296" t="n">
        <v>1</v>
      </c>
      <c r="L1296" t="n">
        <v>0</v>
      </c>
      <c r="M1296" t="n">
        <v>0</v>
      </c>
      <c r="N1296" t="n">
        <v>2</v>
      </c>
      <c r="O1296" s="1">
        <f>IFERROR(L1296*G1296,0)</f>
        <v/>
      </c>
      <c r="P1296">
        <f>IF(N1296-L1296-M1296&gt;0,N1296-L1296-M1296,0)</f>
        <v/>
      </c>
      <c r="Q1296" s="1">
        <f>IFERROR(P1296*G1296,0)</f>
        <v/>
      </c>
    </row>
    <row r="1297">
      <c r="A1297" t="inlineStr">
        <is>
          <t>MFPZ8002204</t>
        </is>
      </c>
      <c r="B1297" t="inlineStr">
        <is>
          <t>MAXFLO 800/250/14 P c/w 2,20KW 4P 380V</t>
        </is>
      </c>
      <c r="C1297" t="inlineStr">
        <is>
          <t>FM - DONKIN</t>
        </is>
      </c>
      <c r="D1297" t="n">
        <v>1</v>
      </c>
      <c r="E1297" t="n">
        <v>1</v>
      </c>
      <c r="F1297" t="inlineStr">
        <is>
          <t>Air Speration</t>
        </is>
      </c>
      <c r="G1297" s="1" t="n">
        <v>8203</v>
      </c>
      <c r="H1297" t="n">
        <v>1</v>
      </c>
      <c r="I1297" t="n">
        <v>0.5</v>
      </c>
      <c r="J1297" t="n">
        <v>1</v>
      </c>
      <c r="K1297" t="n">
        <v>1</v>
      </c>
      <c r="L1297" t="n">
        <v>0</v>
      </c>
      <c r="M1297" t="n">
        <v>0</v>
      </c>
      <c r="N1297" t="n">
        <v>2</v>
      </c>
      <c r="O1297" s="1">
        <f>IFERROR(L1297*G1297,0)</f>
        <v/>
      </c>
      <c r="P1297">
        <f>IF(N1297-L1297-M1297&gt;0,N1297-L1297-M1297,0)</f>
        <v/>
      </c>
      <c r="Q1297" s="1">
        <f>IFERROR(P1297*G1297,0)</f>
        <v/>
      </c>
    </row>
    <row r="1298">
      <c r="A1298" t="inlineStr">
        <is>
          <t>MFPZ8003004</t>
        </is>
      </c>
      <c r="B1298" t="inlineStr">
        <is>
          <t>MAXFLO 800/250/14 P c/w 3,00KW 4P 380V</t>
        </is>
      </c>
      <c r="C1298" t="inlineStr">
        <is>
          <t>FM - DONKIN</t>
        </is>
      </c>
      <c r="D1298" t="n">
        <v>10</v>
      </c>
      <c r="E1298" t="n">
        <v>0</v>
      </c>
      <c r="F1298" t="inlineStr"/>
      <c r="G1298" s="1" t="n">
        <v>0</v>
      </c>
      <c r="H1298" t="n">
        <v>4</v>
      </c>
      <c r="I1298" t="n">
        <v>0.5</v>
      </c>
      <c r="J1298" t="n">
        <v>1</v>
      </c>
      <c r="K1298" t="n">
        <v>1</v>
      </c>
      <c r="L1298" t="n">
        <v>0</v>
      </c>
      <c r="M1298" t="n">
        <v>0</v>
      </c>
      <c r="N1298" t="n">
        <v>2</v>
      </c>
      <c r="O1298" s="1">
        <f>IFERROR(L1298*G1298,0)</f>
        <v/>
      </c>
      <c r="P1298">
        <f>IF(N1298-L1298-M1298&gt;0,N1298-L1298-M1298,0)</f>
        <v/>
      </c>
      <c r="Q1298" s="1">
        <f>IFERROR(P1298*G1298,0)</f>
        <v/>
      </c>
    </row>
    <row r="1299">
      <c r="A1299" t="inlineStr">
        <is>
          <t>MFPZ8004004</t>
        </is>
      </c>
      <c r="B1299" t="inlineStr">
        <is>
          <t>MAXFLO 800/250/14 P c/w 4,00KW 4P 380V</t>
        </is>
      </c>
      <c r="C1299" t="inlineStr">
        <is>
          <t>FM - DONKIN</t>
        </is>
      </c>
      <c r="D1299" t="n">
        <v>1</v>
      </c>
      <c r="E1299" t="n">
        <v>0</v>
      </c>
      <c r="F1299" t="inlineStr"/>
      <c r="G1299" s="1" t="n">
        <v>0</v>
      </c>
      <c r="H1299" t="n">
        <v>2</v>
      </c>
      <c r="I1299" t="n">
        <v>0.5</v>
      </c>
      <c r="J1299" t="n">
        <v>2</v>
      </c>
      <c r="K1299" t="n">
        <v>1</v>
      </c>
      <c r="L1299" t="n">
        <v>0</v>
      </c>
      <c r="M1299" t="n">
        <v>0</v>
      </c>
      <c r="N1299" t="n">
        <v>5</v>
      </c>
      <c r="O1299" s="1">
        <f>IFERROR(L1299*G1299,0)</f>
        <v/>
      </c>
      <c r="P1299">
        <f>IF(N1299-L1299-M1299&gt;0,N1299-L1299-M1299,0)</f>
        <v/>
      </c>
      <c r="Q1299" s="1">
        <f>IFERROR(P1299*G1299,0)</f>
        <v/>
      </c>
    </row>
    <row r="1300">
      <c r="A1300" t="inlineStr">
        <is>
          <t>MFPZ8005504</t>
        </is>
      </c>
      <c r="B1300" t="inlineStr">
        <is>
          <t>MAXFLO 800/250/14 P c/w 5,50KW 4P 380V</t>
        </is>
      </c>
      <c r="C1300" t="inlineStr">
        <is>
          <t>FM - DONKIN</t>
        </is>
      </c>
      <c r="D1300" t="n">
        <v>1</v>
      </c>
      <c r="E1300" t="n">
        <v>0</v>
      </c>
      <c r="F1300" t="inlineStr"/>
      <c r="G1300" s="1" t="n">
        <v>0</v>
      </c>
      <c r="H1300" t="n">
        <v>1</v>
      </c>
      <c r="I1300" t="n">
        <v>0.5</v>
      </c>
      <c r="J1300" t="n">
        <v>1</v>
      </c>
      <c r="K1300" t="n">
        <v>1</v>
      </c>
      <c r="L1300" t="n">
        <v>0</v>
      </c>
      <c r="M1300" t="n">
        <v>0</v>
      </c>
      <c r="N1300" t="n">
        <v>2</v>
      </c>
      <c r="O1300" s="1">
        <f>IFERROR(L1300*G1300,0)</f>
        <v/>
      </c>
      <c r="P1300">
        <f>IF(N1300-L1300-M1300&gt;0,N1300-L1300-M1300,0)</f>
        <v/>
      </c>
      <c r="Q1300" s="1">
        <f>IFERROR(P1300*G1300,0)</f>
        <v/>
      </c>
    </row>
    <row r="1301">
      <c r="A1301" t="inlineStr">
        <is>
          <t>MH125045004</t>
        </is>
      </c>
      <c r="B1301" t="inlineStr">
        <is>
          <t>MFAJAX-3 1250 c/w 45,00KW 4P 380V</t>
        </is>
      </c>
      <c r="C1301" t="inlineStr">
        <is>
          <t>FM - DONKIN</t>
        </is>
      </c>
      <c r="D1301" t="n">
        <v>1</v>
      </c>
      <c r="E1301" t="n">
        <v>2</v>
      </c>
      <c r="F1301" t="inlineStr">
        <is>
          <t>Air Speration</t>
        </is>
      </c>
      <c r="G1301" s="1" t="n">
        <v>61563.24</v>
      </c>
      <c r="H1301" t="n">
        <v>2</v>
      </c>
      <c r="I1301" t="n">
        <v>0.6</v>
      </c>
      <c r="J1301" t="n">
        <v>2</v>
      </c>
      <c r="K1301" t="n">
        <v>1</v>
      </c>
      <c r="L1301" t="n">
        <v>0</v>
      </c>
      <c r="M1301" t="n">
        <v>0</v>
      </c>
      <c r="N1301" t="n">
        <v>5</v>
      </c>
      <c r="O1301" s="1">
        <f>IFERROR(L1301*G1301,0)</f>
        <v/>
      </c>
      <c r="P1301">
        <f>IF(N1301-L1301-M1301&gt;0,N1301-L1301-M1301,0)</f>
        <v/>
      </c>
      <c r="Q1301" s="1">
        <f>IFERROR(P1301*G1301,0)</f>
        <v/>
      </c>
    </row>
    <row r="1302">
      <c r="A1302" t="inlineStr">
        <is>
          <t>MJ1500</t>
        </is>
      </c>
      <c r="B1302" t="inlineStr">
        <is>
          <t>Majax-1 470 Impeller</t>
        </is>
      </c>
      <c r="C1302" t="inlineStr"/>
      <c r="D1302" t="n">
        <v>1</v>
      </c>
      <c r="E1302" t="n">
        <v>0</v>
      </c>
      <c r="F1302" t="inlineStr"/>
      <c r="G1302" s="1" t="n">
        <v>0</v>
      </c>
      <c r="H1302" t="n">
        <v>2</v>
      </c>
      <c r="I1302" t="n">
        <v>0.5</v>
      </c>
      <c r="J1302" t="n">
        <v>2</v>
      </c>
      <c r="K1302" t="n">
        <v>1</v>
      </c>
      <c r="L1302" t="n">
        <v>0</v>
      </c>
      <c r="M1302" t="n">
        <v>0</v>
      </c>
      <c r="N1302" t="n">
        <v>5</v>
      </c>
      <c r="O1302" s="1">
        <f>IFERROR(L1302*G1302,0)</f>
        <v/>
      </c>
      <c r="P1302">
        <f>IF(N1302-L1302-M1302&gt;0,N1302-L1302-M1302,0)</f>
        <v/>
      </c>
      <c r="Q1302" s="1">
        <f>IFERROR(P1302*G1302,0)</f>
        <v/>
      </c>
    </row>
    <row r="1303">
      <c r="A1303" t="inlineStr">
        <is>
          <t>MR60Hz</t>
        </is>
      </c>
      <c r="B1303" t="inlineStr">
        <is>
          <t>Rewind motor to 60Hz incl. SATMOS Treatment</t>
        </is>
      </c>
      <c r="C1303" t="inlineStr"/>
      <c r="D1303" t="n">
        <v>1</v>
      </c>
      <c r="E1303" t="n">
        <v>0</v>
      </c>
      <c r="F1303" t="inlineStr"/>
      <c r="G1303" s="1" t="n">
        <v>0</v>
      </c>
      <c r="H1303" t="n">
        <v>1</v>
      </c>
      <c r="I1303" t="n">
        <v>0.5</v>
      </c>
      <c r="J1303" t="n">
        <v>1</v>
      </c>
      <c r="K1303" t="n">
        <v>1</v>
      </c>
      <c r="L1303" t="n">
        <v>0</v>
      </c>
      <c r="M1303" t="n">
        <v>0</v>
      </c>
      <c r="N1303" t="n">
        <v>2</v>
      </c>
      <c r="O1303" s="1">
        <f>IFERROR(L1303*G1303,0)</f>
        <v/>
      </c>
      <c r="P1303">
        <f>IF(N1303-L1303-M1303&gt;0,N1303-L1303-M1303,0)</f>
        <v/>
      </c>
      <c r="Q1303" s="1">
        <f>IFERROR(P1303*G1303,0)</f>
        <v/>
      </c>
    </row>
    <row r="1304">
      <c r="A1304" t="inlineStr">
        <is>
          <t>MRAD315</t>
        </is>
      </c>
      <c r="B1304" t="inlineStr">
        <is>
          <t>MRAD 315</t>
        </is>
      </c>
      <c r="C1304" t="inlineStr">
        <is>
          <t>FM - KAYITES</t>
        </is>
      </c>
      <c r="D1304" t="n">
        <v>29</v>
      </c>
      <c r="E1304" t="n">
        <v>0</v>
      </c>
      <c r="F1304" t="inlineStr">
        <is>
          <t>Kayites</t>
        </is>
      </c>
      <c r="G1304" s="1" t="n">
        <v>0</v>
      </c>
      <c r="H1304" t="n">
        <v>2</v>
      </c>
      <c r="I1304" t="n">
        <v>0.5</v>
      </c>
      <c r="J1304" t="n">
        <v>1</v>
      </c>
      <c r="K1304" t="n">
        <v>1</v>
      </c>
      <c r="L1304" t="n">
        <v>0</v>
      </c>
      <c r="M1304" t="n">
        <v>0</v>
      </c>
      <c r="N1304" t="n">
        <v>2</v>
      </c>
      <c r="O1304" s="1">
        <f>IFERROR(L1304*G1304,0)</f>
        <v/>
      </c>
      <c r="P1304">
        <f>IF(N1304-L1304-M1304&gt;0,N1304-L1304-M1304,0)</f>
        <v/>
      </c>
      <c r="Q1304" s="1">
        <f>IFERROR(P1304*G1304,0)</f>
        <v/>
      </c>
    </row>
    <row r="1305">
      <c r="A1305" t="inlineStr">
        <is>
          <t>MS3150552</t>
        </is>
      </c>
      <c r="B1305" t="inlineStr">
        <is>
          <t>MAJAX-3 315 c/w 0,55KW 2P 220V</t>
        </is>
      </c>
      <c r="C1305" t="inlineStr">
        <is>
          <t>FM - DONKIN</t>
        </is>
      </c>
      <c r="D1305" t="n">
        <v>1</v>
      </c>
      <c r="E1305" t="n">
        <v>0</v>
      </c>
      <c r="F1305" t="inlineStr"/>
      <c r="G1305" s="1" t="n">
        <v>0</v>
      </c>
      <c r="H1305" t="n">
        <v>1</v>
      </c>
      <c r="I1305" t="n">
        <v>0.5</v>
      </c>
      <c r="J1305" t="n">
        <v>1</v>
      </c>
      <c r="K1305" t="n">
        <v>1</v>
      </c>
      <c r="L1305" t="n">
        <v>0</v>
      </c>
      <c r="M1305" t="n">
        <v>0</v>
      </c>
      <c r="N1305" t="n">
        <v>2</v>
      </c>
      <c r="O1305" s="1">
        <f>IFERROR(L1305*G1305,0)</f>
        <v/>
      </c>
      <c r="P1305">
        <f>IF(N1305-L1305-M1305&gt;0,N1305-L1305-M1305,0)</f>
        <v/>
      </c>
      <c r="Q1305" s="1">
        <f>IFERROR(P1305*G1305,0)</f>
        <v/>
      </c>
    </row>
    <row r="1306">
      <c r="A1306" t="inlineStr">
        <is>
          <t>MS5605502</t>
        </is>
      </c>
      <c r="B1306" t="inlineStr">
        <is>
          <t>MAJAX-3 560 c/w 5,50KW 2P 220V</t>
        </is>
      </c>
      <c r="C1306" t="inlineStr">
        <is>
          <t>FM - DONKIN</t>
        </is>
      </c>
      <c r="D1306" t="n">
        <v>1</v>
      </c>
      <c r="E1306" t="n">
        <v>1</v>
      </c>
      <c r="F1306" t="inlineStr">
        <is>
          <t>Air Speration</t>
        </is>
      </c>
      <c r="G1306" s="1" t="n">
        <v>10432.26</v>
      </c>
      <c r="H1306" t="n">
        <v>1</v>
      </c>
      <c r="I1306" t="n">
        <v>0.5</v>
      </c>
      <c r="J1306" t="n">
        <v>1</v>
      </c>
      <c r="K1306" t="n">
        <v>1</v>
      </c>
      <c r="L1306" t="n">
        <v>0</v>
      </c>
      <c r="M1306" t="n">
        <v>0</v>
      </c>
      <c r="N1306" t="n">
        <v>2</v>
      </c>
      <c r="O1306" s="1">
        <f>IFERROR(L1306*G1306,0)</f>
        <v/>
      </c>
      <c r="P1306">
        <f>IF(N1306-L1306-M1306&gt;0,N1306-L1306-M1306,0)</f>
        <v/>
      </c>
      <c r="Q1306" s="1">
        <f>IFERROR(P1306*G1306,0)</f>
        <v/>
      </c>
    </row>
    <row r="1307">
      <c r="A1307" t="inlineStr">
        <is>
          <t>MT-PROMIG 250T</t>
        </is>
      </c>
      <c r="B1307" t="inlineStr">
        <is>
          <t>PROMIG 250T MACHINE</t>
        </is>
      </c>
      <c r="C1307" t="inlineStr"/>
      <c r="D1307" t="n">
        <v>1</v>
      </c>
      <c r="E1307" t="n">
        <v>1</v>
      </c>
      <c r="F1307" t="inlineStr">
        <is>
          <t>INTROWELD CC</t>
        </is>
      </c>
      <c r="G1307" s="1" t="n">
        <v>15100</v>
      </c>
      <c r="H1307" t="n">
        <v>0</v>
      </c>
      <c r="I1307" t="n">
        <v>0.5</v>
      </c>
      <c r="J1307" t="n">
        <v>1</v>
      </c>
      <c r="K1307" t="n">
        <v>1</v>
      </c>
      <c r="L1307" t="n">
        <v>0</v>
      </c>
      <c r="M1307" t="n">
        <v>0</v>
      </c>
      <c r="N1307" t="n">
        <v>2</v>
      </c>
      <c r="O1307" s="1">
        <f>IFERROR(L1307*G1307,0)</f>
        <v/>
      </c>
      <c r="P1307">
        <f>IF(N1307-L1307-M1307&gt;0,N1307-L1307-M1307,0)</f>
        <v/>
      </c>
      <c r="Q1307" s="1">
        <f>IFERROR(P1307*G1307,0)</f>
        <v/>
      </c>
    </row>
    <row r="1308">
      <c r="A1308" t="inlineStr">
        <is>
          <t>MT100011004</t>
        </is>
      </c>
      <c r="B1308" t="inlineStr">
        <is>
          <t>MAJAX-3 1000 c/w 11,00KW 4P 380V</t>
        </is>
      </c>
      <c r="C1308" t="inlineStr">
        <is>
          <t>FM - DONKIN</t>
        </is>
      </c>
      <c r="D1308" t="n">
        <v>23</v>
      </c>
      <c r="E1308" t="n">
        <v>2</v>
      </c>
      <c r="F1308" t="inlineStr">
        <is>
          <t>Centrifab (Pty) Ltd</t>
        </is>
      </c>
      <c r="G1308" s="1" t="n">
        <v>3940.5</v>
      </c>
      <c r="H1308" t="n">
        <v>7</v>
      </c>
      <c r="I1308" t="n">
        <v>0.5</v>
      </c>
      <c r="J1308" t="n">
        <v>1</v>
      </c>
      <c r="K1308" t="n">
        <v>1</v>
      </c>
      <c r="L1308" t="n">
        <v>0</v>
      </c>
      <c r="M1308" t="n">
        <v>0</v>
      </c>
      <c r="N1308" t="n">
        <v>2</v>
      </c>
      <c r="O1308" s="1">
        <f>IFERROR(L1308*G1308,0)</f>
        <v/>
      </c>
      <c r="P1308">
        <f>IF(N1308-L1308-M1308&gt;0,N1308-L1308-M1308,0)</f>
        <v/>
      </c>
      <c r="Q1308" s="1">
        <f>IFERROR(P1308*G1308,0)</f>
        <v/>
      </c>
    </row>
    <row r="1309">
      <c r="A1309" t="inlineStr">
        <is>
          <t>MT100011006</t>
        </is>
      </c>
      <c r="B1309" t="inlineStr">
        <is>
          <t>MAJAX-3 1000 c/w 11,00KW 6P 380V</t>
        </is>
      </c>
      <c r="C1309" t="inlineStr">
        <is>
          <t>FM - DONKIN</t>
        </is>
      </c>
      <c r="D1309" t="n">
        <v>1</v>
      </c>
      <c r="E1309" t="n">
        <v>1</v>
      </c>
      <c r="F1309" t="inlineStr">
        <is>
          <t>Centrifab (Pty) Ltd</t>
        </is>
      </c>
      <c r="G1309" s="1" t="n">
        <v>3940.5</v>
      </c>
      <c r="H1309" t="n">
        <v>0</v>
      </c>
      <c r="I1309" t="n">
        <v>1.6</v>
      </c>
      <c r="J1309" t="n">
        <v>1</v>
      </c>
      <c r="K1309" t="n">
        <v>2</v>
      </c>
      <c r="L1309" t="n">
        <v>0</v>
      </c>
      <c r="M1309" t="n">
        <v>0</v>
      </c>
      <c r="N1309" t="n">
        <v>4</v>
      </c>
      <c r="O1309" s="1">
        <f>IFERROR(L1309*G1309,0)</f>
        <v/>
      </c>
      <c r="P1309">
        <f>IF(N1309-L1309-M1309&gt;0,N1309-L1309-M1309,0)</f>
        <v/>
      </c>
      <c r="Q1309" s="1">
        <f>IFERROR(P1309*G1309,0)</f>
        <v/>
      </c>
    </row>
    <row r="1310">
      <c r="A1310" t="inlineStr">
        <is>
          <t>MT100015004</t>
        </is>
      </c>
      <c r="B1310" t="inlineStr">
        <is>
          <t>MAJAX-3 1000 c/w 15,00KW 4P 380V</t>
        </is>
      </c>
      <c r="C1310" t="inlineStr">
        <is>
          <t>FM - DONKIN</t>
        </is>
      </c>
      <c r="D1310" t="n">
        <v>7</v>
      </c>
      <c r="E1310" t="n">
        <v>6</v>
      </c>
      <c r="F1310" t="inlineStr">
        <is>
          <t>Centrifab (Pty) Ltd</t>
        </is>
      </c>
      <c r="G1310" s="1" t="n">
        <v>3940.5</v>
      </c>
      <c r="H1310" t="n">
        <v>3</v>
      </c>
      <c r="I1310" t="n">
        <v>0.5</v>
      </c>
      <c r="J1310" t="n">
        <v>1</v>
      </c>
      <c r="K1310" t="n">
        <v>1</v>
      </c>
      <c r="L1310" t="n">
        <v>0</v>
      </c>
      <c r="M1310" t="n">
        <v>0</v>
      </c>
      <c r="N1310" t="n">
        <v>2</v>
      </c>
      <c r="O1310" s="1">
        <f>IFERROR(L1310*G1310,0)</f>
        <v/>
      </c>
      <c r="P1310">
        <f>IF(N1310-L1310-M1310&gt;0,N1310-L1310-M1310,0)</f>
        <v/>
      </c>
      <c r="Q1310" s="1">
        <f>IFERROR(P1310*G1310,0)</f>
        <v/>
      </c>
    </row>
    <row r="1311">
      <c r="A1311" t="inlineStr">
        <is>
          <t>MT100018504</t>
        </is>
      </c>
      <c r="B1311" t="inlineStr">
        <is>
          <t>MAJAX-3 1000 c/w 18,50KW 4P 380V</t>
        </is>
      </c>
      <c r="C1311" t="inlineStr">
        <is>
          <t>FM - DONKIN</t>
        </is>
      </c>
      <c r="D1311" t="n">
        <v>1</v>
      </c>
      <c r="E1311" t="n">
        <v>2</v>
      </c>
      <c r="F1311" t="inlineStr">
        <is>
          <t>Air Speration</t>
        </is>
      </c>
      <c r="G1311" s="1" t="n">
        <v>49784.83</v>
      </c>
      <c r="H1311" t="n">
        <v>2</v>
      </c>
      <c r="I1311" t="n">
        <v>0.5</v>
      </c>
      <c r="J1311" t="n">
        <v>2</v>
      </c>
      <c r="K1311" t="n">
        <v>1</v>
      </c>
      <c r="L1311" t="n">
        <v>0</v>
      </c>
      <c r="M1311" t="n">
        <v>0</v>
      </c>
      <c r="N1311" t="n">
        <v>5</v>
      </c>
      <c r="O1311" s="1">
        <f>IFERROR(L1311*G1311,0)</f>
        <v/>
      </c>
      <c r="P1311">
        <f>IF(N1311-L1311-M1311&gt;0,N1311-L1311-M1311,0)</f>
        <v/>
      </c>
      <c r="Q1311" s="1">
        <f>IFERROR(P1311*G1311,0)</f>
        <v/>
      </c>
    </row>
    <row r="1312">
      <c r="A1312" t="inlineStr">
        <is>
          <t>MT100022004</t>
        </is>
      </c>
      <c r="B1312" t="inlineStr">
        <is>
          <t>MAJAX-3 1000 c/w 22,00KW 4P 380V</t>
        </is>
      </c>
      <c r="C1312" t="inlineStr">
        <is>
          <t>FM - DONKIN</t>
        </is>
      </c>
      <c r="D1312" t="n">
        <v>8</v>
      </c>
      <c r="E1312" t="n">
        <v>0</v>
      </c>
      <c r="F1312" t="inlineStr"/>
      <c r="G1312" s="1" t="n">
        <v>0</v>
      </c>
      <c r="H1312" t="n">
        <v>3</v>
      </c>
      <c r="I1312" t="n">
        <v>0.5</v>
      </c>
      <c r="J1312" t="n">
        <v>1</v>
      </c>
      <c r="K1312" t="n">
        <v>1</v>
      </c>
      <c r="L1312" t="n">
        <v>0</v>
      </c>
      <c r="M1312" t="n">
        <v>0</v>
      </c>
      <c r="N1312" t="n">
        <v>2</v>
      </c>
      <c r="O1312" s="1">
        <f>IFERROR(L1312*G1312,0)</f>
        <v/>
      </c>
      <c r="P1312">
        <f>IF(N1312-L1312-M1312&gt;0,N1312-L1312-M1312,0)</f>
        <v/>
      </c>
      <c r="Q1312" s="1">
        <f>IFERROR(P1312*G1312,0)</f>
        <v/>
      </c>
    </row>
    <row r="1313">
      <c r="A1313" t="inlineStr">
        <is>
          <t>MT10004004</t>
        </is>
      </c>
      <c r="B1313" t="inlineStr">
        <is>
          <t>MAJAX-3 1000 c/w 4,00KW 4P 380V</t>
        </is>
      </c>
      <c r="C1313" t="inlineStr">
        <is>
          <t>FM - DONKIN</t>
        </is>
      </c>
      <c r="D1313" t="n">
        <v>8</v>
      </c>
      <c r="E1313" t="n">
        <v>1</v>
      </c>
      <c r="F1313" t="inlineStr">
        <is>
          <t>Centrifab (Pty) Ltd</t>
        </is>
      </c>
      <c r="G1313" s="1" t="n">
        <v>9552.190000000001</v>
      </c>
      <c r="H1313" t="n">
        <v>1</v>
      </c>
      <c r="I1313" t="n">
        <v>1.8</v>
      </c>
      <c r="J1313" t="n">
        <v>1</v>
      </c>
      <c r="K1313" t="n">
        <v>2</v>
      </c>
      <c r="L1313" t="n">
        <v>0</v>
      </c>
      <c r="M1313" t="n">
        <v>0</v>
      </c>
      <c r="N1313" t="n">
        <v>4</v>
      </c>
      <c r="O1313" s="1">
        <f>IFERROR(L1313*G1313,0)</f>
        <v/>
      </c>
      <c r="P1313">
        <f>IF(N1313-L1313-M1313&gt;0,N1313-L1313-M1313,0)</f>
        <v/>
      </c>
      <c r="Q1313" s="1">
        <f>IFERROR(P1313*G1313,0)</f>
        <v/>
      </c>
    </row>
    <row r="1314">
      <c r="A1314" t="inlineStr">
        <is>
          <t>MT10005504</t>
        </is>
      </c>
      <c r="B1314" t="inlineStr">
        <is>
          <t>MAJAX-3 1000 c/w 5,50KW 4P 380V</t>
        </is>
      </c>
      <c r="C1314" t="inlineStr">
        <is>
          <t>FM - DONKIN</t>
        </is>
      </c>
      <c r="D1314" t="n">
        <v>1</v>
      </c>
      <c r="E1314" t="n">
        <v>1</v>
      </c>
      <c r="F1314" t="inlineStr">
        <is>
          <t>Air Speration</t>
        </is>
      </c>
      <c r="G1314" s="1" t="n">
        <v>13279.03</v>
      </c>
      <c r="H1314" t="n">
        <v>1</v>
      </c>
      <c r="I1314" t="n">
        <v>0.5</v>
      </c>
      <c r="J1314" t="n">
        <v>1</v>
      </c>
      <c r="K1314" t="n">
        <v>1</v>
      </c>
      <c r="L1314" t="n">
        <v>0</v>
      </c>
      <c r="M1314" t="n">
        <v>0</v>
      </c>
      <c r="N1314" t="n">
        <v>2</v>
      </c>
      <c r="O1314" s="1">
        <f>IFERROR(L1314*G1314,0)</f>
        <v/>
      </c>
      <c r="P1314">
        <f>IF(N1314-L1314-M1314&gt;0,N1314-L1314-M1314,0)</f>
        <v/>
      </c>
      <c r="Q1314" s="1">
        <f>IFERROR(P1314*G1314,0)</f>
        <v/>
      </c>
    </row>
    <row r="1315">
      <c r="A1315" t="inlineStr">
        <is>
          <t>MT10005506</t>
        </is>
      </c>
      <c r="B1315" t="inlineStr">
        <is>
          <t>MAJAX-3 1000 c/w 5,50KW 6P 380V</t>
        </is>
      </c>
      <c r="C1315" t="inlineStr">
        <is>
          <t>FM - DONKIN</t>
        </is>
      </c>
      <c r="D1315" t="n">
        <v>1</v>
      </c>
      <c r="E1315" t="n">
        <v>1</v>
      </c>
      <c r="F1315" t="inlineStr">
        <is>
          <t>Centrifab (Pty) Ltd</t>
        </is>
      </c>
      <c r="G1315" s="1" t="n">
        <v>16136.44</v>
      </c>
      <c r="H1315" t="n">
        <v>1</v>
      </c>
      <c r="I1315" t="n">
        <v>1.6</v>
      </c>
      <c r="J1315" t="n">
        <v>1</v>
      </c>
      <c r="K1315" t="n">
        <v>2</v>
      </c>
      <c r="L1315" t="n">
        <v>0</v>
      </c>
      <c r="M1315" t="n">
        <v>0</v>
      </c>
      <c r="N1315" t="n">
        <v>4</v>
      </c>
      <c r="O1315" s="1">
        <f>IFERROR(L1315*G1315,0)</f>
        <v/>
      </c>
      <c r="P1315">
        <f>IF(N1315-L1315-M1315&gt;0,N1315-L1315-M1315,0)</f>
        <v/>
      </c>
      <c r="Q1315" s="1">
        <f>IFERROR(P1315*G1315,0)</f>
        <v/>
      </c>
    </row>
    <row r="1316">
      <c r="A1316" t="inlineStr">
        <is>
          <t>MT10007504</t>
        </is>
      </c>
      <c r="B1316" t="inlineStr">
        <is>
          <t>MAJAX-3 1000 c/w 7,50KW 4P 380V</t>
        </is>
      </c>
      <c r="C1316" t="inlineStr">
        <is>
          <t>FM - DONKIN</t>
        </is>
      </c>
      <c r="D1316" t="n">
        <v>6</v>
      </c>
      <c r="E1316" t="n">
        <v>0</v>
      </c>
      <c r="F1316" t="inlineStr"/>
      <c r="G1316" s="1" t="n">
        <v>0</v>
      </c>
      <c r="H1316" t="n">
        <v>4</v>
      </c>
      <c r="I1316" t="n">
        <v>0.5</v>
      </c>
      <c r="J1316" t="n">
        <v>1</v>
      </c>
      <c r="K1316" t="n">
        <v>1</v>
      </c>
      <c r="L1316" t="n">
        <v>0</v>
      </c>
      <c r="M1316" t="n">
        <v>0</v>
      </c>
      <c r="N1316" t="n">
        <v>2</v>
      </c>
      <c r="O1316" s="1">
        <f>IFERROR(L1316*G1316,0)</f>
        <v/>
      </c>
      <c r="P1316">
        <f>IF(N1316-L1316-M1316&gt;0,N1316-L1316-M1316,0)</f>
        <v/>
      </c>
      <c r="Q1316" s="1">
        <f>IFERROR(P1316*G1316,0)</f>
        <v/>
      </c>
    </row>
    <row r="1317">
      <c r="A1317" t="inlineStr">
        <is>
          <t>MT10007506</t>
        </is>
      </c>
      <c r="B1317" t="inlineStr">
        <is>
          <t>MAJAX-3 1000 c/w 7,50KW 6P 380V</t>
        </is>
      </c>
      <c r="C1317" t="inlineStr">
        <is>
          <t>FM - DONKIN</t>
        </is>
      </c>
      <c r="D1317" t="n">
        <v>1</v>
      </c>
      <c r="E1317" t="n">
        <v>1</v>
      </c>
      <c r="F1317" t="inlineStr">
        <is>
          <t>Centrifab (Pty) Ltd</t>
        </is>
      </c>
      <c r="G1317" s="1" t="n">
        <v>26555</v>
      </c>
      <c r="H1317" t="n">
        <v>1</v>
      </c>
      <c r="I1317" t="n">
        <v>0.5</v>
      </c>
      <c r="J1317" t="n">
        <v>1</v>
      </c>
      <c r="K1317" t="n">
        <v>1</v>
      </c>
      <c r="L1317" t="n">
        <v>0</v>
      </c>
      <c r="M1317" t="n">
        <v>0</v>
      </c>
      <c r="N1317" t="n">
        <v>2</v>
      </c>
      <c r="O1317" s="1">
        <f>IFERROR(L1317*G1317,0)</f>
        <v/>
      </c>
      <c r="P1317">
        <f>IF(N1317-L1317-M1317&gt;0,N1317-L1317-M1317,0)</f>
        <v/>
      </c>
      <c r="Q1317" s="1">
        <f>IFERROR(P1317*G1317,0)</f>
        <v/>
      </c>
    </row>
    <row r="1318">
      <c r="A1318" t="inlineStr">
        <is>
          <t>MT3150254</t>
        </is>
      </c>
      <c r="B1318" t="inlineStr">
        <is>
          <t>MAJAX-3 315 c/w 0,25KW 4P 380V</t>
        </is>
      </c>
      <c r="C1318" t="inlineStr">
        <is>
          <t>FM - DONKIN</t>
        </is>
      </c>
      <c r="D1318" t="n">
        <v>29</v>
      </c>
      <c r="E1318" t="n">
        <v>3</v>
      </c>
      <c r="F1318" t="inlineStr">
        <is>
          <t>Air Speration</t>
        </is>
      </c>
      <c r="G1318" s="1" t="n">
        <v>4018.68</v>
      </c>
      <c r="H1318" t="n">
        <v>21</v>
      </c>
      <c r="I1318" t="n">
        <v>0.5</v>
      </c>
      <c r="J1318" t="n">
        <v>1</v>
      </c>
      <c r="K1318" t="n">
        <v>1</v>
      </c>
      <c r="L1318" t="n">
        <v>0</v>
      </c>
      <c r="M1318" t="n">
        <v>0</v>
      </c>
      <c r="N1318" t="n">
        <v>2</v>
      </c>
      <c r="O1318" s="1">
        <f>IFERROR(L1318*G1318,0)</f>
        <v/>
      </c>
      <c r="P1318">
        <f>IF(N1318-L1318-M1318&gt;0,N1318-L1318-M1318,0)</f>
        <v/>
      </c>
      <c r="Q1318" s="1">
        <f>IFERROR(P1318*G1318,0)</f>
        <v/>
      </c>
    </row>
    <row r="1319">
      <c r="A1319" t="inlineStr">
        <is>
          <t>MT3150552</t>
        </is>
      </c>
      <c r="B1319" t="inlineStr">
        <is>
          <t>MAJAX-3 315 c/w 0,55KW 2P 380V</t>
        </is>
      </c>
      <c r="C1319" t="inlineStr">
        <is>
          <t>FM - DONKIN</t>
        </is>
      </c>
      <c r="D1319" t="n">
        <v>32</v>
      </c>
      <c r="E1319" t="n">
        <v>13</v>
      </c>
      <c r="F1319" t="inlineStr">
        <is>
          <t>Air Speration</t>
        </is>
      </c>
      <c r="G1319" s="1" t="n">
        <v>4018.68</v>
      </c>
      <c r="H1319" t="n">
        <v>36</v>
      </c>
      <c r="I1319" t="n">
        <v>0.9</v>
      </c>
      <c r="J1319" t="n">
        <v>1.5</v>
      </c>
      <c r="K1319" t="n">
        <v>1</v>
      </c>
      <c r="L1319" t="n">
        <v>0</v>
      </c>
      <c r="M1319" t="n">
        <v>0</v>
      </c>
      <c r="N1319" t="n">
        <v>4</v>
      </c>
      <c r="O1319" s="1">
        <f>IFERROR(L1319*G1319,0)</f>
        <v/>
      </c>
      <c r="P1319">
        <f>IF(N1319-L1319-M1319&gt;0,N1319-L1319-M1319,0)</f>
        <v/>
      </c>
      <c r="Q1319" s="1">
        <f>IFERROR(P1319*G1319,0)</f>
        <v/>
      </c>
    </row>
    <row r="1320">
      <c r="A1320" t="inlineStr">
        <is>
          <t>MT4000186</t>
        </is>
      </c>
      <c r="B1320" t="inlineStr">
        <is>
          <t>MAJAX-3 400 c/w 0,18KW 6P 380V</t>
        </is>
      </c>
      <c r="C1320" t="inlineStr">
        <is>
          <t>FM - DONKIN</t>
        </is>
      </c>
      <c r="D1320" t="n">
        <v>1</v>
      </c>
      <c r="E1320" t="n">
        <v>2</v>
      </c>
      <c r="F1320" t="inlineStr">
        <is>
          <t>Centrifab (Pty) Ltd</t>
        </is>
      </c>
      <c r="G1320" s="1" t="n">
        <v>2180</v>
      </c>
      <c r="H1320" t="n">
        <v>0</v>
      </c>
      <c r="I1320" t="n">
        <v>0.9</v>
      </c>
      <c r="J1320" t="n">
        <v>2</v>
      </c>
      <c r="K1320" t="n">
        <v>2</v>
      </c>
      <c r="L1320" t="n">
        <v>0</v>
      </c>
      <c r="M1320" t="n">
        <v>0</v>
      </c>
      <c r="N1320" t="n">
        <v>6</v>
      </c>
      <c r="O1320" s="1">
        <f>IFERROR(L1320*G1320,0)</f>
        <v/>
      </c>
      <c r="P1320">
        <f>IF(N1320-L1320-M1320&gt;0,N1320-L1320-M1320,0)</f>
        <v/>
      </c>
      <c r="Q1320" s="1">
        <f>IFERROR(P1320*G1320,0)</f>
        <v/>
      </c>
    </row>
    <row r="1321">
      <c r="A1321" t="inlineStr">
        <is>
          <t>MT4000254</t>
        </is>
      </c>
      <c r="B1321" t="inlineStr">
        <is>
          <t>MAJAX-3 400 c/w 0,25KW 4P 380V</t>
        </is>
      </c>
      <c r="C1321" t="inlineStr">
        <is>
          <t>FM - DONKIN</t>
        </is>
      </c>
      <c r="D1321" t="n">
        <v>25</v>
      </c>
      <c r="E1321" t="n">
        <v>1</v>
      </c>
      <c r="F1321" t="inlineStr">
        <is>
          <t>Air Speration</t>
        </is>
      </c>
      <c r="G1321" s="1" t="n">
        <v>4808.7</v>
      </c>
      <c r="H1321" t="n">
        <v>3</v>
      </c>
      <c r="I1321" t="n">
        <v>0.5</v>
      </c>
      <c r="J1321" t="n">
        <v>1</v>
      </c>
      <c r="K1321" t="n">
        <v>1</v>
      </c>
      <c r="L1321" t="n">
        <v>0</v>
      </c>
      <c r="M1321" t="n">
        <v>0</v>
      </c>
      <c r="N1321" t="n">
        <v>2</v>
      </c>
      <c r="O1321" s="1">
        <f>IFERROR(L1321*G1321,0)</f>
        <v/>
      </c>
      <c r="P1321">
        <f>IF(N1321-L1321-M1321&gt;0,N1321-L1321-M1321,0)</f>
        <v/>
      </c>
      <c r="Q1321" s="1">
        <f>IFERROR(P1321*G1321,0)</f>
        <v/>
      </c>
    </row>
    <row r="1322">
      <c r="A1322" t="inlineStr">
        <is>
          <t>MT4000374</t>
        </is>
      </c>
      <c r="B1322" t="inlineStr">
        <is>
          <t>MAJAX-3 400 c/w 0,37KW 4P 380V</t>
        </is>
      </c>
      <c r="C1322" t="inlineStr">
        <is>
          <t>FM - DONKIN</t>
        </is>
      </c>
      <c r="D1322" t="n">
        <v>3</v>
      </c>
      <c r="E1322" t="n">
        <v>3</v>
      </c>
      <c r="F1322" t="inlineStr">
        <is>
          <t>Air Speration</t>
        </is>
      </c>
      <c r="G1322" s="1" t="n">
        <v>3174.33</v>
      </c>
      <c r="H1322" t="n">
        <v>1</v>
      </c>
      <c r="I1322" t="n">
        <v>0.5</v>
      </c>
      <c r="J1322" t="n">
        <v>1</v>
      </c>
      <c r="K1322" t="n">
        <v>1</v>
      </c>
      <c r="L1322" t="n">
        <v>0</v>
      </c>
      <c r="M1322" t="n">
        <v>0</v>
      </c>
      <c r="N1322" t="n">
        <v>2</v>
      </c>
      <c r="O1322" s="1">
        <f>IFERROR(L1322*G1322,0)</f>
        <v/>
      </c>
      <c r="P1322">
        <f>IF(N1322-L1322-M1322&gt;0,N1322-L1322-M1322,0)</f>
        <v/>
      </c>
      <c r="Q1322" s="1">
        <f>IFERROR(P1322*G1322,0)</f>
        <v/>
      </c>
    </row>
    <row r="1323">
      <c r="A1323" t="inlineStr">
        <is>
          <t>MT4000552</t>
        </is>
      </c>
      <c r="B1323" t="inlineStr">
        <is>
          <t>MAJAX-3 400 c/w 0,55KW 2P 380V</t>
        </is>
      </c>
      <c r="C1323" t="inlineStr">
        <is>
          <t>FM - DONKIN</t>
        </is>
      </c>
      <c r="D1323" t="n">
        <v>30</v>
      </c>
      <c r="E1323" t="n">
        <v>16</v>
      </c>
      <c r="F1323" t="inlineStr">
        <is>
          <t>Air Speration</t>
        </is>
      </c>
      <c r="G1323" s="1" t="n">
        <v>4676.31</v>
      </c>
      <c r="H1323" t="n">
        <v>33</v>
      </c>
      <c r="I1323" t="n">
        <v>0.5</v>
      </c>
      <c r="J1323" t="n">
        <v>1.5</v>
      </c>
      <c r="K1323" t="n">
        <v>1</v>
      </c>
      <c r="L1323" t="n">
        <v>0</v>
      </c>
      <c r="M1323" t="n">
        <v>0</v>
      </c>
      <c r="N1323" t="n">
        <v>4</v>
      </c>
      <c r="O1323" s="1">
        <f>IFERROR(L1323*G1323,0)</f>
        <v/>
      </c>
      <c r="P1323">
        <f>IF(N1323-L1323-M1323&gt;0,N1323-L1323-M1323,0)</f>
        <v/>
      </c>
      <c r="Q1323" s="1">
        <f>IFERROR(P1323*G1323,0)</f>
        <v/>
      </c>
    </row>
    <row r="1324">
      <c r="A1324" t="inlineStr">
        <is>
          <t>MT4001102</t>
        </is>
      </c>
      <c r="B1324" t="inlineStr">
        <is>
          <t>MAJAX-3 400 c/w 1,10KW 2P 380V</t>
        </is>
      </c>
      <c r="C1324" t="inlineStr">
        <is>
          <t>FM - DONKIN</t>
        </is>
      </c>
      <c r="D1324" t="n">
        <v>33</v>
      </c>
      <c r="E1324" t="n">
        <v>6</v>
      </c>
      <c r="F1324" t="inlineStr">
        <is>
          <t>Air Speration</t>
        </is>
      </c>
      <c r="G1324" s="1" t="n">
        <v>3834.39</v>
      </c>
      <c r="H1324" t="n">
        <v>14</v>
      </c>
      <c r="I1324" t="n">
        <v>0.7</v>
      </c>
      <c r="J1324" t="n">
        <v>1</v>
      </c>
      <c r="K1324" t="n">
        <v>1</v>
      </c>
      <c r="L1324" t="n">
        <v>0</v>
      </c>
      <c r="M1324" t="n">
        <v>0</v>
      </c>
      <c r="N1324" t="n">
        <v>3</v>
      </c>
      <c r="O1324" s="1">
        <f>IFERROR(L1324*G1324,0)</f>
        <v/>
      </c>
      <c r="P1324">
        <f>IF(N1324-L1324-M1324&gt;0,N1324-L1324-M1324,0)</f>
        <v/>
      </c>
      <c r="Q1324" s="1">
        <f>IFERROR(P1324*G1324,0)</f>
        <v/>
      </c>
    </row>
    <row r="1325">
      <c r="A1325" t="inlineStr">
        <is>
          <t>MT4001502</t>
        </is>
      </c>
      <c r="B1325" t="inlineStr">
        <is>
          <t>MAJAX-3 400 c/w 1,50KW 2P 380V</t>
        </is>
      </c>
      <c r="C1325" t="inlineStr">
        <is>
          <t>FM - DONKIN</t>
        </is>
      </c>
      <c r="D1325" t="n">
        <v>14</v>
      </c>
      <c r="E1325" t="n">
        <v>2</v>
      </c>
      <c r="F1325" t="inlineStr">
        <is>
          <t>Air Speration</t>
        </is>
      </c>
      <c r="G1325" s="1" t="n">
        <v>5108.35</v>
      </c>
      <c r="H1325" t="n">
        <v>4</v>
      </c>
      <c r="I1325" t="n">
        <v>0.5</v>
      </c>
      <c r="J1325" t="n">
        <v>1</v>
      </c>
      <c r="K1325" t="n">
        <v>1</v>
      </c>
      <c r="L1325" t="n">
        <v>0</v>
      </c>
      <c r="M1325" t="n">
        <v>0</v>
      </c>
      <c r="N1325" t="n">
        <v>2</v>
      </c>
      <c r="O1325" s="1">
        <f>IFERROR(L1325*G1325,0)</f>
        <v/>
      </c>
      <c r="P1325">
        <f>IF(N1325-L1325-M1325&gt;0,N1325-L1325-M1325,0)</f>
        <v/>
      </c>
      <c r="Q1325" s="1">
        <f>IFERROR(P1325*G1325,0)</f>
        <v/>
      </c>
    </row>
    <row r="1326">
      <c r="A1326" t="inlineStr">
        <is>
          <t>MT4002202</t>
        </is>
      </c>
      <c r="B1326" t="inlineStr">
        <is>
          <t>MAJAX-3 400 c/w 2,20KW 2P 380V</t>
        </is>
      </c>
      <c r="C1326" t="inlineStr">
        <is>
          <t>FM - DONKIN</t>
        </is>
      </c>
      <c r="D1326" t="n">
        <v>1</v>
      </c>
      <c r="E1326" t="n">
        <v>2</v>
      </c>
      <c r="F1326" t="inlineStr">
        <is>
          <t>Air Speration</t>
        </is>
      </c>
      <c r="G1326" s="1" t="n">
        <v>5580.89</v>
      </c>
      <c r="H1326" t="n">
        <v>2</v>
      </c>
      <c r="I1326" t="n">
        <v>0.5</v>
      </c>
      <c r="J1326" t="n">
        <v>2</v>
      </c>
      <c r="K1326" t="n">
        <v>1</v>
      </c>
      <c r="L1326" t="n">
        <v>0</v>
      </c>
      <c r="M1326" t="n">
        <v>0</v>
      </c>
      <c r="N1326" t="n">
        <v>5</v>
      </c>
      <c r="O1326" s="1">
        <f>IFERROR(L1326*G1326,0)</f>
        <v/>
      </c>
      <c r="P1326">
        <f>IF(N1326-L1326-M1326&gt;0,N1326-L1326-M1326,0)</f>
        <v/>
      </c>
      <c r="Q1326" s="1">
        <f>IFERROR(P1326*G1326,0)</f>
        <v/>
      </c>
    </row>
    <row r="1327">
      <c r="A1327" t="inlineStr">
        <is>
          <t>MT4007502</t>
        </is>
      </c>
      <c r="B1327" t="inlineStr">
        <is>
          <t>MAJAX 400 c/w 0.75kW 2Pole 380V</t>
        </is>
      </c>
      <c r="C1327" t="inlineStr"/>
      <c r="D1327" t="n">
        <v>1</v>
      </c>
      <c r="E1327" t="n">
        <v>0</v>
      </c>
      <c r="F1327" t="inlineStr"/>
      <c r="G1327" s="1" t="n">
        <v>0</v>
      </c>
      <c r="H1327" t="n">
        <v>2</v>
      </c>
      <c r="I1327" t="n">
        <v>0.5</v>
      </c>
      <c r="J1327" t="n">
        <v>2</v>
      </c>
      <c r="K1327" t="n">
        <v>1</v>
      </c>
      <c r="L1327" t="n">
        <v>0</v>
      </c>
      <c r="M1327" t="n">
        <v>0</v>
      </c>
      <c r="N1327" t="n">
        <v>5</v>
      </c>
      <c r="O1327" s="1">
        <f>IFERROR(L1327*G1327,0)</f>
        <v/>
      </c>
      <c r="P1327">
        <f>IF(N1327-L1327-M1327&gt;0,N1327-L1327-M1327,0)</f>
        <v/>
      </c>
      <c r="Q1327" s="1">
        <f>IFERROR(P1327*G1327,0)</f>
        <v/>
      </c>
    </row>
    <row r="1328">
      <c r="A1328" t="inlineStr">
        <is>
          <t>MT5000186</t>
        </is>
      </c>
      <c r="B1328" t="inlineStr">
        <is>
          <t>MAJAX-3 500 c/w 0,18KW 6P 380V</t>
        </is>
      </c>
      <c r="C1328" t="inlineStr">
        <is>
          <t>FM - DONKIN</t>
        </is>
      </c>
      <c r="D1328" t="n">
        <v>1</v>
      </c>
      <c r="E1328" t="n">
        <v>1</v>
      </c>
      <c r="F1328" t="inlineStr">
        <is>
          <t>Centrifab (Pty) Ltd</t>
        </is>
      </c>
      <c r="G1328" s="1" t="n">
        <v>2180</v>
      </c>
      <c r="H1328" t="n">
        <v>0</v>
      </c>
      <c r="I1328" t="n">
        <v>1.7</v>
      </c>
      <c r="J1328" t="n">
        <v>1</v>
      </c>
      <c r="K1328" t="n">
        <v>2</v>
      </c>
      <c r="L1328" t="n">
        <v>0</v>
      </c>
      <c r="M1328" t="n">
        <v>0</v>
      </c>
      <c r="N1328" t="n">
        <v>4</v>
      </c>
      <c r="O1328" s="1">
        <f>IFERROR(L1328*G1328,0)</f>
        <v/>
      </c>
      <c r="P1328">
        <f>IF(N1328-L1328-M1328&gt;0,N1328-L1328-M1328,0)</f>
        <v/>
      </c>
      <c r="Q1328" s="1">
        <f>IFERROR(P1328*G1328,0)</f>
        <v/>
      </c>
    </row>
    <row r="1329">
      <c r="A1329" t="inlineStr">
        <is>
          <t>MT5000254</t>
        </is>
      </c>
      <c r="B1329" t="inlineStr">
        <is>
          <t>MAJAX-3 500 c/w 0,25KW 4P 380V</t>
        </is>
      </c>
      <c r="C1329" t="inlineStr">
        <is>
          <t>FM - DONKIN</t>
        </is>
      </c>
      <c r="D1329" t="n">
        <v>1</v>
      </c>
      <c r="E1329" t="n">
        <v>1</v>
      </c>
      <c r="F1329" t="inlineStr">
        <is>
          <t>Air Speration</t>
        </is>
      </c>
      <c r="G1329" s="1" t="n">
        <v>10392</v>
      </c>
      <c r="H1329" t="n">
        <v>1</v>
      </c>
      <c r="I1329" t="n">
        <v>0.5</v>
      </c>
      <c r="J1329" t="n">
        <v>1</v>
      </c>
      <c r="K1329" t="n">
        <v>1</v>
      </c>
      <c r="L1329" t="n">
        <v>0</v>
      </c>
      <c r="M1329" t="n">
        <v>0</v>
      </c>
      <c r="N1329" t="n">
        <v>2</v>
      </c>
      <c r="O1329" s="1">
        <f>IFERROR(L1329*G1329,0)</f>
        <v/>
      </c>
      <c r="P1329">
        <f>IF(N1329-L1329-M1329&gt;0,N1329-L1329-M1329,0)</f>
        <v/>
      </c>
      <c r="Q1329" s="1">
        <f>IFERROR(P1329*G1329,0)</f>
        <v/>
      </c>
    </row>
    <row r="1330">
      <c r="A1330" t="inlineStr">
        <is>
          <t>MT5000374</t>
        </is>
      </c>
      <c r="B1330" t="inlineStr">
        <is>
          <t>MAJAX-3 500 c/w 0,37KW 4P 380V</t>
        </is>
      </c>
      <c r="C1330" t="inlineStr">
        <is>
          <t>FM - DONKIN</t>
        </is>
      </c>
      <c r="D1330" t="n">
        <v>31</v>
      </c>
      <c r="E1330" t="n">
        <v>1</v>
      </c>
      <c r="F1330" t="inlineStr">
        <is>
          <t>Air Speration</t>
        </is>
      </c>
      <c r="G1330" s="1" t="n">
        <v>4963.5</v>
      </c>
      <c r="H1330" t="n">
        <v>6</v>
      </c>
      <c r="I1330" t="n">
        <v>1.7</v>
      </c>
      <c r="J1330" t="n">
        <v>1</v>
      </c>
      <c r="K1330" t="n">
        <v>2</v>
      </c>
      <c r="L1330" t="n">
        <v>0</v>
      </c>
      <c r="M1330" t="n">
        <v>0</v>
      </c>
      <c r="N1330" t="n">
        <v>4</v>
      </c>
      <c r="O1330" s="1">
        <f>IFERROR(L1330*G1330,0)</f>
        <v/>
      </c>
      <c r="P1330">
        <f>IF(N1330-L1330-M1330&gt;0,N1330-L1330-M1330,0)</f>
        <v/>
      </c>
      <c r="Q1330" s="1">
        <f>IFERROR(P1330*G1330,0)</f>
        <v/>
      </c>
    </row>
    <row r="1331">
      <c r="A1331" t="inlineStr">
        <is>
          <t>MT5000554</t>
        </is>
      </c>
      <c r="B1331" t="inlineStr">
        <is>
          <t>MAJAX-3 500 c/w 0,55KW 4P 380V</t>
        </is>
      </c>
      <c r="C1331" t="inlineStr">
        <is>
          <t>FM - DONKIN</t>
        </is>
      </c>
      <c r="D1331" t="n">
        <v>16</v>
      </c>
      <c r="E1331" t="n">
        <v>0</v>
      </c>
      <c r="F1331" t="inlineStr"/>
      <c r="G1331" s="1" t="n">
        <v>0</v>
      </c>
      <c r="H1331" t="n">
        <v>2</v>
      </c>
      <c r="I1331" t="n">
        <v>0.5</v>
      </c>
      <c r="J1331" t="n">
        <v>1</v>
      </c>
      <c r="K1331" t="n">
        <v>1</v>
      </c>
      <c r="L1331" t="n">
        <v>0</v>
      </c>
      <c r="M1331" t="n">
        <v>0</v>
      </c>
      <c r="N1331" t="n">
        <v>2</v>
      </c>
      <c r="O1331" s="1">
        <f>IFERROR(L1331*G1331,0)</f>
        <v/>
      </c>
      <c r="P1331">
        <f>IF(N1331-L1331-M1331&gt;0,N1331-L1331-M1331,0)</f>
        <v/>
      </c>
      <c r="Q1331" s="1">
        <f>IFERROR(P1331*G1331,0)</f>
        <v/>
      </c>
    </row>
    <row r="1332">
      <c r="A1332" t="inlineStr">
        <is>
          <t>MT5000556</t>
        </is>
      </c>
      <c r="B1332" t="inlineStr">
        <is>
          <t>MAJAX-3 500 c/w 0,55KW 6P 380V</t>
        </is>
      </c>
      <c r="C1332" t="inlineStr">
        <is>
          <t>FM - DONKIN</t>
        </is>
      </c>
      <c r="D1332" t="n">
        <v>1</v>
      </c>
      <c r="E1332" t="n">
        <v>1</v>
      </c>
      <c r="F1332" t="inlineStr">
        <is>
          <t>Air Speration</t>
        </is>
      </c>
      <c r="G1332" s="1" t="n">
        <v>6221.34</v>
      </c>
      <c r="H1332" t="n">
        <v>1</v>
      </c>
      <c r="I1332" t="n">
        <v>0.5</v>
      </c>
      <c r="J1332" t="n">
        <v>1</v>
      </c>
      <c r="K1332" t="n">
        <v>1</v>
      </c>
      <c r="L1332" t="n">
        <v>0</v>
      </c>
      <c r="M1332" t="n">
        <v>0</v>
      </c>
      <c r="N1332" t="n">
        <v>2</v>
      </c>
      <c r="O1332" s="1">
        <f>IFERROR(L1332*G1332,0)</f>
        <v/>
      </c>
      <c r="P1332">
        <f>IF(N1332-L1332-M1332&gt;0,N1332-L1332-M1332,0)</f>
        <v/>
      </c>
      <c r="Q1332" s="1">
        <f>IFERROR(P1332*G1332,0)</f>
        <v/>
      </c>
    </row>
    <row r="1333">
      <c r="A1333" t="inlineStr">
        <is>
          <t>MT5000754</t>
        </is>
      </c>
      <c r="B1333" t="inlineStr">
        <is>
          <t>MAJAX-3 500 c/w 0,75KW 4P 380V</t>
        </is>
      </c>
      <c r="C1333" t="inlineStr">
        <is>
          <t>FM - DONKIN</t>
        </is>
      </c>
      <c r="D1333" t="n">
        <v>31</v>
      </c>
      <c r="E1333" t="n">
        <v>0</v>
      </c>
      <c r="F1333" t="inlineStr"/>
      <c r="G1333" s="1" t="n">
        <v>0</v>
      </c>
      <c r="H1333" t="n">
        <v>6</v>
      </c>
      <c r="I1333" t="n">
        <v>0.5</v>
      </c>
      <c r="J1333" t="n">
        <v>1</v>
      </c>
      <c r="K1333" t="n">
        <v>1</v>
      </c>
      <c r="L1333" t="n">
        <v>0</v>
      </c>
      <c r="M1333" t="n">
        <v>0</v>
      </c>
      <c r="N1333" t="n">
        <v>2</v>
      </c>
      <c r="O1333" s="1">
        <f>IFERROR(L1333*G1333,0)</f>
        <v/>
      </c>
      <c r="P1333">
        <f>IF(N1333-L1333-M1333&gt;0,N1333-L1333-M1333,0)</f>
        <v/>
      </c>
      <c r="Q1333" s="1">
        <f>IFERROR(P1333*G1333,0)</f>
        <v/>
      </c>
    </row>
    <row r="1334">
      <c r="A1334" t="inlineStr">
        <is>
          <t>MT5001102</t>
        </is>
      </c>
      <c r="B1334" t="inlineStr">
        <is>
          <t>MAJAX-3 500 c/w 1,10KW 2P 380V</t>
        </is>
      </c>
      <c r="C1334" t="inlineStr">
        <is>
          <t>FM - DONKIN</t>
        </is>
      </c>
      <c r="D1334" t="n">
        <v>19</v>
      </c>
      <c r="E1334" t="n">
        <v>6</v>
      </c>
      <c r="F1334" t="inlineStr">
        <is>
          <t>Air Speration</t>
        </is>
      </c>
      <c r="G1334" s="1" t="n">
        <v>11773.24</v>
      </c>
      <c r="H1334" t="n">
        <v>14</v>
      </c>
      <c r="I1334" t="n">
        <v>0.5</v>
      </c>
      <c r="J1334" t="n">
        <v>1</v>
      </c>
      <c r="K1334" t="n">
        <v>1</v>
      </c>
      <c r="L1334" t="n">
        <v>0</v>
      </c>
      <c r="M1334" t="n">
        <v>0</v>
      </c>
      <c r="N1334" t="n">
        <v>2</v>
      </c>
      <c r="O1334" s="1">
        <f>IFERROR(L1334*G1334,0)</f>
        <v/>
      </c>
      <c r="P1334">
        <f>IF(N1334-L1334-M1334&gt;0,N1334-L1334-M1334,0)</f>
        <v/>
      </c>
      <c r="Q1334" s="1">
        <f>IFERROR(P1334*G1334,0)</f>
        <v/>
      </c>
    </row>
    <row r="1335">
      <c r="A1335" t="inlineStr">
        <is>
          <t>MT5001104</t>
        </is>
      </c>
      <c r="B1335" t="inlineStr">
        <is>
          <t>MAJAX-3 500 c/w 1,10KW 4P 380V</t>
        </is>
      </c>
      <c r="C1335" t="inlineStr">
        <is>
          <t>FM - DONKIN</t>
        </is>
      </c>
      <c r="D1335" t="n">
        <v>1</v>
      </c>
      <c r="E1335" t="n">
        <v>0</v>
      </c>
      <c r="F1335" t="inlineStr"/>
      <c r="G1335" s="1" t="n">
        <v>0</v>
      </c>
      <c r="H1335" t="n">
        <v>3</v>
      </c>
      <c r="I1335" t="n">
        <v>0.5</v>
      </c>
      <c r="J1335" t="n">
        <v>3</v>
      </c>
      <c r="K1335" t="n">
        <v>2</v>
      </c>
      <c r="L1335" t="n">
        <v>0</v>
      </c>
      <c r="M1335" t="n">
        <v>0</v>
      </c>
      <c r="N1335" t="n">
        <v>8</v>
      </c>
      <c r="O1335" s="1">
        <f>IFERROR(L1335*G1335,0)</f>
        <v/>
      </c>
      <c r="P1335">
        <f>IF(N1335-L1335-M1335&gt;0,N1335-L1335-M1335,0)</f>
        <v/>
      </c>
      <c r="Q1335" s="1">
        <f>IFERROR(P1335*G1335,0)</f>
        <v/>
      </c>
    </row>
    <row r="1336">
      <c r="A1336" t="inlineStr">
        <is>
          <t>MT5001502</t>
        </is>
      </c>
      <c r="B1336" t="inlineStr">
        <is>
          <t>MAJAX-3 500 c/w 1,50KW 2P 380V</t>
        </is>
      </c>
      <c r="C1336" t="inlineStr">
        <is>
          <t>FM - DONKIN</t>
        </is>
      </c>
      <c r="D1336" t="n">
        <v>25</v>
      </c>
      <c r="E1336" t="n">
        <v>2</v>
      </c>
      <c r="F1336" t="inlineStr">
        <is>
          <t>Air Speration</t>
        </is>
      </c>
      <c r="G1336" s="1" t="n">
        <v>10969</v>
      </c>
      <c r="H1336" t="n">
        <v>6</v>
      </c>
      <c r="I1336" t="n">
        <v>0.5</v>
      </c>
      <c r="J1336" t="n">
        <v>1</v>
      </c>
      <c r="K1336" t="n">
        <v>1</v>
      </c>
      <c r="L1336" t="n">
        <v>0</v>
      </c>
      <c r="M1336" t="n">
        <v>0</v>
      </c>
      <c r="N1336" t="n">
        <v>2</v>
      </c>
      <c r="O1336" s="1">
        <f>IFERROR(L1336*G1336,0)</f>
        <v/>
      </c>
      <c r="P1336">
        <f>IF(N1336-L1336-M1336&gt;0,N1336-L1336-M1336,0)</f>
        <v/>
      </c>
      <c r="Q1336" s="1">
        <f>IFERROR(P1336*G1336,0)</f>
        <v/>
      </c>
    </row>
    <row r="1337">
      <c r="A1337" t="inlineStr">
        <is>
          <t>MT5002202</t>
        </is>
      </c>
      <c r="B1337" t="inlineStr">
        <is>
          <t>MAJAX-3 500 c/w 2,20KW 2P 380V</t>
        </is>
      </c>
      <c r="C1337" t="inlineStr">
        <is>
          <t>FM - DONKIN</t>
        </is>
      </c>
      <c r="D1337" t="n">
        <v>24</v>
      </c>
      <c r="E1337" t="n">
        <v>4</v>
      </c>
      <c r="F1337" t="inlineStr">
        <is>
          <t>Air Speration</t>
        </is>
      </c>
      <c r="G1337" s="1" t="n">
        <v>10607.34</v>
      </c>
      <c r="H1337" t="n">
        <v>6</v>
      </c>
      <c r="I1337" t="n">
        <v>0.6</v>
      </c>
      <c r="J1337" t="n">
        <v>1</v>
      </c>
      <c r="K1337" t="n">
        <v>1</v>
      </c>
      <c r="L1337" t="n">
        <v>0</v>
      </c>
      <c r="M1337" t="n">
        <v>0</v>
      </c>
      <c r="N1337" t="n">
        <v>3</v>
      </c>
      <c r="O1337" s="1">
        <f>IFERROR(L1337*G1337,0)</f>
        <v/>
      </c>
      <c r="P1337">
        <f>IF(N1337-L1337-M1337&gt;0,N1337-L1337-M1337,0)</f>
        <v/>
      </c>
      <c r="Q1337" s="1">
        <f>IFERROR(P1337*G1337,0)</f>
        <v/>
      </c>
    </row>
    <row r="1338">
      <c r="A1338" t="inlineStr">
        <is>
          <t>MT5004002</t>
        </is>
      </c>
      <c r="B1338" t="inlineStr">
        <is>
          <t>MAJAX-3 500 c/w 4,00KW 2P 380V</t>
        </is>
      </c>
      <c r="C1338" t="inlineStr">
        <is>
          <t>FM - DONKIN</t>
        </is>
      </c>
      <c r="D1338" t="n">
        <v>27</v>
      </c>
      <c r="E1338" t="n">
        <v>2</v>
      </c>
      <c r="F1338" t="inlineStr">
        <is>
          <t>Air Speration</t>
        </is>
      </c>
      <c r="G1338" s="1" t="n">
        <v>7366</v>
      </c>
      <c r="H1338" t="n">
        <v>7</v>
      </c>
      <c r="I1338" t="n">
        <v>0.5</v>
      </c>
      <c r="J1338" t="n">
        <v>1</v>
      </c>
      <c r="K1338" t="n">
        <v>1</v>
      </c>
      <c r="L1338" t="n">
        <v>0</v>
      </c>
      <c r="M1338" t="n">
        <v>0</v>
      </c>
      <c r="N1338" t="n">
        <v>2</v>
      </c>
      <c r="O1338" s="1">
        <f>IFERROR(L1338*G1338,0)</f>
        <v/>
      </c>
      <c r="P1338">
        <f>IF(N1338-L1338-M1338&gt;0,N1338-L1338-M1338,0)</f>
        <v/>
      </c>
      <c r="Q1338" s="1">
        <f>IFERROR(P1338*G1338,0)</f>
        <v/>
      </c>
    </row>
    <row r="1339">
      <c r="A1339" t="inlineStr">
        <is>
          <t>MT5600374</t>
        </is>
      </c>
      <c r="B1339" t="inlineStr">
        <is>
          <t>MAJAX-3 560 c/w 0,37KW 4P 380V</t>
        </is>
      </c>
      <c r="C1339" t="inlineStr">
        <is>
          <t>FM - DONKIN</t>
        </is>
      </c>
      <c r="D1339" t="n">
        <v>16</v>
      </c>
      <c r="E1339" t="n">
        <v>0</v>
      </c>
      <c r="F1339" t="inlineStr"/>
      <c r="G1339" s="1" t="n">
        <v>0</v>
      </c>
      <c r="H1339" t="n">
        <v>8</v>
      </c>
      <c r="I1339" t="n">
        <v>0.5</v>
      </c>
      <c r="J1339" t="n">
        <v>1</v>
      </c>
      <c r="K1339" t="n">
        <v>1</v>
      </c>
      <c r="L1339" t="n">
        <v>0</v>
      </c>
      <c r="M1339" t="n">
        <v>0</v>
      </c>
      <c r="N1339" t="n">
        <v>2</v>
      </c>
      <c r="O1339" s="1">
        <f>IFERROR(L1339*G1339,0)</f>
        <v/>
      </c>
      <c r="P1339">
        <f>IF(N1339-L1339-M1339&gt;0,N1339-L1339-M1339,0)</f>
        <v/>
      </c>
      <c r="Q1339" s="1">
        <f>IFERROR(P1339*G1339,0)</f>
        <v/>
      </c>
    </row>
    <row r="1340">
      <c r="A1340" t="inlineStr">
        <is>
          <t>MT5600554</t>
        </is>
      </c>
      <c r="B1340" t="inlineStr">
        <is>
          <t>MAJAX-3 560 c/w 0,55KW 4P 380V</t>
        </is>
      </c>
      <c r="C1340" t="inlineStr">
        <is>
          <t>FM - DONKIN</t>
        </is>
      </c>
      <c r="D1340" t="n">
        <v>25</v>
      </c>
      <c r="E1340" t="n">
        <v>4</v>
      </c>
      <c r="F1340" t="inlineStr">
        <is>
          <t>Air Speration</t>
        </is>
      </c>
      <c r="G1340" s="1" t="n">
        <v>6057.42</v>
      </c>
      <c r="H1340" t="n">
        <v>5</v>
      </c>
      <c r="I1340" t="n">
        <v>0.5</v>
      </c>
      <c r="J1340" t="n">
        <v>1</v>
      </c>
      <c r="K1340" t="n">
        <v>1</v>
      </c>
      <c r="L1340" t="n">
        <v>0</v>
      </c>
      <c r="M1340" t="n">
        <v>0</v>
      </c>
      <c r="N1340" t="n">
        <v>2</v>
      </c>
      <c r="O1340" s="1">
        <f>IFERROR(L1340*G1340,0)</f>
        <v/>
      </c>
      <c r="P1340">
        <f>IF(N1340-L1340-M1340&gt;0,N1340-L1340-M1340,0)</f>
        <v/>
      </c>
      <c r="Q1340" s="1">
        <f>IFERROR(P1340*G1340,0)</f>
        <v/>
      </c>
    </row>
    <row r="1341">
      <c r="A1341" t="inlineStr">
        <is>
          <t>MT5600556</t>
        </is>
      </c>
      <c r="B1341" t="inlineStr">
        <is>
          <t>MAJAX-3 560 c/w 0,55KW 6P 380V</t>
        </is>
      </c>
      <c r="C1341" t="inlineStr">
        <is>
          <t>FM - DONKIN</t>
        </is>
      </c>
      <c r="D1341" t="n">
        <v>1</v>
      </c>
      <c r="E1341" t="n">
        <v>1</v>
      </c>
      <c r="F1341" t="inlineStr">
        <is>
          <t>Air Speration</t>
        </is>
      </c>
      <c r="G1341" s="1" t="n">
        <v>518.9400000000001</v>
      </c>
      <c r="H1341" t="n">
        <v>0</v>
      </c>
      <c r="I1341" t="n">
        <v>0.5</v>
      </c>
      <c r="J1341" t="n">
        <v>1</v>
      </c>
      <c r="K1341" t="n">
        <v>1</v>
      </c>
      <c r="L1341" t="n">
        <v>0</v>
      </c>
      <c r="M1341" t="n">
        <v>0</v>
      </c>
      <c r="N1341" t="n">
        <v>2</v>
      </c>
      <c r="O1341" s="1">
        <f>IFERROR(L1341*G1341,0)</f>
        <v/>
      </c>
      <c r="P1341">
        <f>IF(N1341-L1341-M1341&gt;0,N1341-L1341-M1341,0)</f>
        <v/>
      </c>
      <c r="Q1341" s="1">
        <f>IFERROR(P1341*G1341,0)</f>
        <v/>
      </c>
    </row>
    <row r="1342">
      <c r="A1342" t="inlineStr">
        <is>
          <t>MT5600754</t>
        </is>
      </c>
      <c r="B1342" t="inlineStr">
        <is>
          <t>MAJAX-3 560 c/w 0,75KW 4P 380V</t>
        </is>
      </c>
      <c r="C1342" t="inlineStr">
        <is>
          <t>FM - DONKIN</t>
        </is>
      </c>
      <c r="D1342" t="n">
        <v>25</v>
      </c>
      <c r="E1342" t="n">
        <v>2</v>
      </c>
      <c r="F1342" t="inlineStr">
        <is>
          <t>Air Speration</t>
        </is>
      </c>
      <c r="G1342" s="1" t="n">
        <v>5649</v>
      </c>
      <c r="H1342" t="n">
        <v>4</v>
      </c>
      <c r="I1342" t="n">
        <v>0.5</v>
      </c>
      <c r="J1342" t="n">
        <v>1</v>
      </c>
      <c r="K1342" t="n">
        <v>1</v>
      </c>
      <c r="L1342" t="n">
        <v>0</v>
      </c>
      <c r="M1342" t="n">
        <v>0</v>
      </c>
      <c r="N1342" t="n">
        <v>2</v>
      </c>
      <c r="O1342" s="1">
        <f>IFERROR(L1342*G1342,0)</f>
        <v/>
      </c>
      <c r="P1342">
        <f>IF(N1342-L1342-M1342&gt;0,N1342-L1342-M1342,0)</f>
        <v/>
      </c>
      <c r="Q1342" s="1">
        <f>IFERROR(P1342*G1342,0)</f>
        <v/>
      </c>
    </row>
    <row r="1343">
      <c r="A1343" t="inlineStr">
        <is>
          <t>MT5601104</t>
        </is>
      </c>
      <c r="B1343" t="inlineStr">
        <is>
          <t>MAJAX-3 560 c/w 1,10KW 4P 380V</t>
        </is>
      </c>
      <c r="C1343" t="inlineStr">
        <is>
          <t>FM - DONKIN</t>
        </is>
      </c>
      <c r="D1343" t="n">
        <v>18</v>
      </c>
      <c r="E1343" t="n">
        <v>8</v>
      </c>
      <c r="F1343" t="inlineStr">
        <is>
          <t>Air Speration</t>
        </is>
      </c>
      <c r="G1343" s="1" t="n">
        <v>6230.54</v>
      </c>
      <c r="H1343" t="n">
        <v>7</v>
      </c>
      <c r="I1343" t="n">
        <v>0.5</v>
      </c>
      <c r="J1343" t="n">
        <v>1</v>
      </c>
      <c r="K1343" t="n">
        <v>1</v>
      </c>
      <c r="L1343" t="n">
        <v>0</v>
      </c>
      <c r="M1343" t="n">
        <v>0</v>
      </c>
      <c r="N1343" t="n">
        <v>2</v>
      </c>
      <c r="O1343" s="1">
        <f>IFERROR(L1343*G1343,0)</f>
        <v/>
      </c>
      <c r="P1343">
        <f>IF(N1343-L1343-M1343&gt;0,N1343-L1343-M1343,0)</f>
        <v/>
      </c>
      <c r="Q1343" s="1">
        <f>IFERROR(P1343*G1343,0)</f>
        <v/>
      </c>
    </row>
    <row r="1344">
      <c r="A1344" t="inlineStr">
        <is>
          <t>MT5601502</t>
        </is>
      </c>
      <c r="B1344" t="inlineStr">
        <is>
          <t>MAJAX-3 560 c/w 1,50KW 2P 380V</t>
        </is>
      </c>
      <c r="C1344" t="inlineStr">
        <is>
          <t>FM - DONKIN</t>
        </is>
      </c>
      <c r="D1344" t="n">
        <v>1</v>
      </c>
      <c r="E1344" t="n">
        <v>1</v>
      </c>
      <c r="F1344" t="inlineStr">
        <is>
          <t>Centrifab (Pty) Ltd</t>
        </is>
      </c>
      <c r="G1344" s="1" t="n">
        <v>6395</v>
      </c>
      <c r="H1344" t="n">
        <v>0</v>
      </c>
      <c r="I1344" t="n">
        <v>0.5</v>
      </c>
      <c r="J1344" t="n">
        <v>1</v>
      </c>
      <c r="K1344" t="n">
        <v>1</v>
      </c>
      <c r="L1344" t="n">
        <v>0</v>
      </c>
      <c r="M1344" t="n">
        <v>0</v>
      </c>
      <c r="N1344" t="n">
        <v>2</v>
      </c>
      <c r="O1344" s="1">
        <f>IFERROR(L1344*G1344,0)</f>
        <v/>
      </c>
      <c r="P1344">
        <f>IF(N1344-L1344-M1344&gt;0,N1344-L1344-M1344,0)</f>
        <v/>
      </c>
      <c r="Q1344" s="1">
        <f>IFERROR(P1344*G1344,0)</f>
        <v/>
      </c>
    </row>
    <row r="1345">
      <c r="A1345" t="inlineStr">
        <is>
          <t>MT5601504</t>
        </is>
      </c>
      <c r="B1345" t="inlineStr">
        <is>
          <t>MAJAX-3 560 c/w 1,50KW 4P 380V</t>
        </is>
      </c>
      <c r="C1345" t="inlineStr">
        <is>
          <t>FM - DONKIN</t>
        </is>
      </c>
      <c r="D1345" t="n">
        <v>6</v>
      </c>
      <c r="E1345" t="n">
        <v>3</v>
      </c>
      <c r="F1345" t="inlineStr">
        <is>
          <t>Centrifab (Pty) Ltd</t>
        </is>
      </c>
      <c r="G1345" s="1" t="n">
        <v>7194.67</v>
      </c>
      <c r="H1345" t="n">
        <v>4</v>
      </c>
      <c r="I1345" t="n">
        <v>0.5</v>
      </c>
      <c r="J1345" t="n">
        <v>1</v>
      </c>
      <c r="K1345" t="n">
        <v>1</v>
      </c>
      <c r="L1345" t="n">
        <v>0</v>
      </c>
      <c r="M1345" t="n">
        <v>0</v>
      </c>
      <c r="N1345" t="n">
        <v>2</v>
      </c>
      <c r="O1345" s="1">
        <f>IFERROR(L1345*G1345,0)</f>
        <v/>
      </c>
      <c r="P1345">
        <f>IF(N1345-L1345-M1345&gt;0,N1345-L1345-M1345,0)</f>
        <v/>
      </c>
      <c r="Q1345" s="1">
        <f>IFERROR(P1345*G1345,0)</f>
        <v/>
      </c>
    </row>
    <row r="1346">
      <c r="A1346" t="inlineStr">
        <is>
          <t>MT5602202</t>
        </is>
      </c>
      <c r="B1346" t="inlineStr">
        <is>
          <t>MAJAX-3 560 c/w 2,20KW 2P 380V</t>
        </is>
      </c>
      <c r="C1346" t="inlineStr">
        <is>
          <t>FM - DONKIN</t>
        </is>
      </c>
      <c r="D1346" t="n">
        <v>20</v>
      </c>
      <c r="E1346" t="n">
        <v>1</v>
      </c>
      <c r="F1346" t="inlineStr">
        <is>
          <t>Air Speration</t>
        </is>
      </c>
      <c r="G1346" s="1" t="n">
        <v>7167.96</v>
      </c>
      <c r="H1346" t="n">
        <v>6</v>
      </c>
      <c r="I1346" t="n">
        <v>0.5</v>
      </c>
      <c r="J1346" t="n">
        <v>1</v>
      </c>
      <c r="K1346" t="n">
        <v>1</v>
      </c>
      <c r="L1346" t="n">
        <v>0</v>
      </c>
      <c r="M1346" t="n">
        <v>0</v>
      </c>
      <c r="N1346" t="n">
        <v>2</v>
      </c>
      <c r="O1346" s="1">
        <f>IFERROR(L1346*G1346,0)</f>
        <v/>
      </c>
      <c r="P1346">
        <f>IF(N1346-L1346-M1346&gt;0,N1346-L1346-M1346,0)</f>
        <v/>
      </c>
      <c r="Q1346" s="1">
        <f>IFERROR(P1346*G1346,0)</f>
        <v/>
      </c>
    </row>
    <row r="1347">
      <c r="A1347" t="inlineStr">
        <is>
          <t>MT5604002</t>
        </is>
      </c>
      <c r="B1347" t="inlineStr">
        <is>
          <t>MAJAX-3 560 c/w 4,00KW 2P 380V</t>
        </is>
      </c>
      <c r="C1347" t="inlineStr">
        <is>
          <t>FM - DONKIN</t>
        </is>
      </c>
      <c r="D1347" t="n">
        <v>13</v>
      </c>
      <c r="E1347" t="n">
        <v>10</v>
      </c>
      <c r="F1347" t="inlineStr">
        <is>
          <t>Wide Range Engineering (Pty) Ltd</t>
        </is>
      </c>
      <c r="G1347" s="1" t="n">
        <v>7876.05</v>
      </c>
      <c r="H1347" t="n">
        <v>9</v>
      </c>
      <c r="I1347" t="n">
        <v>0.5</v>
      </c>
      <c r="J1347" t="n">
        <v>1</v>
      </c>
      <c r="K1347" t="n">
        <v>1</v>
      </c>
      <c r="L1347" t="n">
        <v>0</v>
      </c>
      <c r="M1347" t="n">
        <v>0</v>
      </c>
      <c r="N1347" t="n">
        <v>2</v>
      </c>
      <c r="O1347" s="1">
        <f>IFERROR(L1347*G1347,0)</f>
        <v/>
      </c>
      <c r="P1347">
        <f>IF(N1347-L1347-M1347&gt;0,N1347-L1347-M1347,0)</f>
        <v/>
      </c>
      <c r="Q1347" s="1">
        <f>IFERROR(P1347*G1347,0)</f>
        <v/>
      </c>
    </row>
    <row r="1348">
      <c r="A1348" t="inlineStr">
        <is>
          <t>MT6300186</t>
        </is>
      </c>
      <c r="B1348" t="inlineStr">
        <is>
          <t>MAJAX-3 630 c/w 0,18KW 6P 380V</t>
        </is>
      </c>
      <c r="C1348" t="inlineStr">
        <is>
          <t>FM - DONKIN</t>
        </is>
      </c>
      <c r="D1348" t="n">
        <v>18</v>
      </c>
      <c r="E1348" t="n">
        <v>9</v>
      </c>
      <c r="F1348" t="inlineStr">
        <is>
          <t>Centrifab (Pty) Ltd</t>
        </is>
      </c>
      <c r="G1348" s="1" t="n">
        <v>2597.6</v>
      </c>
      <c r="H1348" t="n">
        <v>4</v>
      </c>
      <c r="I1348" t="n">
        <v>0.5</v>
      </c>
      <c r="J1348" t="n">
        <v>1</v>
      </c>
      <c r="K1348" t="n">
        <v>1</v>
      </c>
      <c r="L1348" t="n">
        <v>0</v>
      </c>
      <c r="M1348" t="n">
        <v>0</v>
      </c>
      <c r="N1348" t="n">
        <v>2</v>
      </c>
      <c r="O1348" s="1">
        <f>IFERROR(L1348*G1348,0)</f>
        <v/>
      </c>
      <c r="P1348">
        <f>IF(N1348-L1348-M1348&gt;0,N1348-L1348-M1348,0)</f>
        <v/>
      </c>
      <c r="Q1348" s="1">
        <f>IFERROR(P1348*G1348,0)</f>
        <v/>
      </c>
    </row>
    <row r="1349">
      <c r="A1349" t="inlineStr">
        <is>
          <t>MT6300374</t>
        </is>
      </c>
      <c r="B1349" t="inlineStr">
        <is>
          <t>MAJAX-3 630 c/w 0,37KW 4P 380V</t>
        </is>
      </c>
      <c r="C1349" t="inlineStr">
        <is>
          <t>FM - DONKIN</t>
        </is>
      </c>
      <c r="D1349" t="n">
        <v>1</v>
      </c>
      <c r="E1349" t="n">
        <v>0</v>
      </c>
      <c r="F1349" t="inlineStr"/>
      <c r="G1349" s="1" t="n">
        <v>0</v>
      </c>
      <c r="H1349" t="n">
        <v>1</v>
      </c>
      <c r="I1349" t="n">
        <v>0.5</v>
      </c>
      <c r="J1349" t="n">
        <v>1</v>
      </c>
      <c r="K1349" t="n">
        <v>1</v>
      </c>
      <c r="L1349" t="n">
        <v>0</v>
      </c>
      <c r="M1349" t="n">
        <v>0</v>
      </c>
      <c r="N1349" t="n">
        <v>2</v>
      </c>
      <c r="O1349" s="1">
        <f>IFERROR(L1349*G1349,0)</f>
        <v/>
      </c>
      <c r="P1349">
        <f>IF(N1349-L1349-M1349&gt;0,N1349-L1349-M1349,0)</f>
        <v/>
      </c>
      <c r="Q1349" s="1">
        <f>IFERROR(P1349*G1349,0)</f>
        <v/>
      </c>
    </row>
    <row r="1350">
      <c r="A1350" t="inlineStr">
        <is>
          <t>MT6300554</t>
        </is>
      </c>
      <c r="B1350" t="inlineStr">
        <is>
          <t>MAJAX-3 630 c/w 0,55KW 4P 380V</t>
        </is>
      </c>
      <c r="C1350" t="inlineStr">
        <is>
          <t>FM - DONKIN</t>
        </is>
      </c>
      <c r="D1350" t="n">
        <v>7</v>
      </c>
      <c r="E1350" t="n">
        <v>1</v>
      </c>
      <c r="F1350" t="inlineStr">
        <is>
          <t>Centrifab (Pty) Ltd</t>
        </is>
      </c>
      <c r="G1350" s="1" t="n">
        <v>2770</v>
      </c>
      <c r="H1350" t="n">
        <v>3</v>
      </c>
      <c r="I1350" t="n">
        <v>0.5</v>
      </c>
      <c r="J1350" t="n">
        <v>1</v>
      </c>
      <c r="K1350" t="n">
        <v>1</v>
      </c>
      <c r="L1350" t="n">
        <v>0</v>
      </c>
      <c r="M1350" t="n">
        <v>0</v>
      </c>
      <c r="N1350" t="n">
        <v>2</v>
      </c>
      <c r="O1350" s="1">
        <f>IFERROR(L1350*G1350,0)</f>
        <v/>
      </c>
      <c r="P1350">
        <f>IF(N1350-L1350-M1350&gt;0,N1350-L1350-M1350,0)</f>
        <v/>
      </c>
      <c r="Q1350" s="1">
        <f>IFERROR(P1350*G1350,0)</f>
        <v/>
      </c>
    </row>
    <row r="1351">
      <c r="A1351" t="inlineStr">
        <is>
          <t>MT6300556</t>
        </is>
      </c>
      <c r="B1351" t="inlineStr">
        <is>
          <t>MAJAX-3 630 c/w 0,55KW 6P 380V</t>
        </is>
      </c>
      <c r="C1351" t="inlineStr">
        <is>
          <t>FM - DONKIN</t>
        </is>
      </c>
      <c r="D1351" t="n">
        <v>2</v>
      </c>
      <c r="E1351" t="n">
        <v>1</v>
      </c>
      <c r="F1351" t="inlineStr">
        <is>
          <t>Centrifab (Pty) Ltd</t>
        </is>
      </c>
      <c r="G1351" s="1" t="n">
        <v>6943.86</v>
      </c>
      <c r="H1351" t="n">
        <v>1</v>
      </c>
      <c r="I1351" t="n">
        <v>1.1</v>
      </c>
      <c r="J1351" t="n">
        <v>1</v>
      </c>
      <c r="K1351" t="n">
        <v>1</v>
      </c>
      <c r="L1351" t="n">
        <v>0</v>
      </c>
      <c r="M1351" t="n">
        <v>0</v>
      </c>
      <c r="N1351" t="n">
        <v>3</v>
      </c>
      <c r="O1351" s="1">
        <f>IFERROR(L1351*G1351,0)</f>
        <v/>
      </c>
      <c r="P1351">
        <f>IF(N1351-L1351-M1351&gt;0,N1351-L1351-M1351,0)</f>
        <v/>
      </c>
      <c r="Q1351" s="1">
        <f>IFERROR(P1351*G1351,0)</f>
        <v/>
      </c>
    </row>
    <row r="1352">
      <c r="A1352" t="inlineStr">
        <is>
          <t>MT6300754</t>
        </is>
      </c>
      <c r="B1352" t="inlineStr">
        <is>
          <t>MAJAX-3 630 c/w 0,75KW 4P 380V</t>
        </is>
      </c>
      <c r="C1352" t="inlineStr">
        <is>
          <t>FM - DONKIN</t>
        </is>
      </c>
      <c r="D1352" t="n">
        <v>8</v>
      </c>
      <c r="E1352" t="n">
        <v>0</v>
      </c>
      <c r="F1352" t="inlineStr"/>
      <c r="G1352" s="1" t="n">
        <v>0</v>
      </c>
      <c r="H1352" t="n">
        <v>2</v>
      </c>
      <c r="I1352" t="n">
        <v>0.5</v>
      </c>
      <c r="J1352" t="n">
        <v>1</v>
      </c>
      <c r="K1352" t="n">
        <v>1</v>
      </c>
      <c r="L1352" t="n">
        <v>0</v>
      </c>
      <c r="M1352" t="n">
        <v>0</v>
      </c>
      <c r="N1352" t="n">
        <v>2</v>
      </c>
      <c r="O1352" s="1">
        <f>IFERROR(L1352*G1352,0)</f>
        <v/>
      </c>
      <c r="P1352">
        <f>IF(N1352-L1352-M1352&gt;0,N1352-L1352-M1352,0)</f>
        <v/>
      </c>
      <c r="Q1352" s="1">
        <f>IFERROR(P1352*G1352,0)</f>
        <v/>
      </c>
    </row>
    <row r="1353">
      <c r="A1353" t="inlineStr">
        <is>
          <t>MT6300756</t>
        </is>
      </c>
      <c r="B1353" t="inlineStr">
        <is>
          <t>MAJAX-3 630 c/w 0,75KW 6P 380V</t>
        </is>
      </c>
      <c r="C1353" t="inlineStr">
        <is>
          <t>FM - DONKIN</t>
        </is>
      </c>
      <c r="D1353" t="n">
        <v>1</v>
      </c>
      <c r="E1353" t="n">
        <v>0</v>
      </c>
      <c r="F1353" t="inlineStr"/>
      <c r="G1353" s="1" t="n">
        <v>0</v>
      </c>
      <c r="H1353" t="n">
        <v>1</v>
      </c>
      <c r="I1353" t="n">
        <v>0.5</v>
      </c>
      <c r="J1353" t="n">
        <v>1</v>
      </c>
      <c r="K1353" t="n">
        <v>1</v>
      </c>
      <c r="L1353" t="n">
        <v>0</v>
      </c>
      <c r="M1353" t="n">
        <v>0</v>
      </c>
      <c r="N1353" t="n">
        <v>2</v>
      </c>
      <c r="O1353" s="1">
        <f>IFERROR(L1353*G1353,0)</f>
        <v/>
      </c>
      <c r="P1353">
        <f>IF(N1353-L1353-M1353&gt;0,N1353-L1353-M1353,0)</f>
        <v/>
      </c>
      <c r="Q1353" s="1">
        <f>IFERROR(P1353*G1353,0)</f>
        <v/>
      </c>
    </row>
    <row r="1354">
      <c r="A1354" t="inlineStr">
        <is>
          <t>MT6301104</t>
        </is>
      </c>
      <c r="B1354" t="inlineStr">
        <is>
          <t>MAJAX-3 630 c/w 1,10KW 4P 380V</t>
        </is>
      </c>
      <c r="C1354" t="inlineStr">
        <is>
          <t>FM - DONKIN</t>
        </is>
      </c>
      <c r="D1354" t="n">
        <v>31</v>
      </c>
      <c r="E1354" t="n">
        <v>6</v>
      </c>
      <c r="F1354" t="inlineStr">
        <is>
          <t>Air Speration</t>
        </is>
      </c>
      <c r="G1354" s="1" t="n">
        <v>8466.290000000001</v>
      </c>
      <c r="H1354" t="n">
        <v>21</v>
      </c>
      <c r="I1354" t="n">
        <v>0.5</v>
      </c>
      <c r="J1354" t="n">
        <v>1</v>
      </c>
      <c r="K1354" t="n">
        <v>1</v>
      </c>
      <c r="L1354" t="n">
        <v>0</v>
      </c>
      <c r="M1354" t="n">
        <v>0</v>
      </c>
      <c r="N1354" t="n">
        <v>2</v>
      </c>
      <c r="O1354" s="1">
        <f>IFERROR(L1354*G1354,0)</f>
        <v/>
      </c>
      <c r="P1354">
        <f>IF(N1354-L1354-M1354&gt;0,N1354-L1354-M1354,0)</f>
        <v/>
      </c>
      <c r="Q1354" s="1">
        <f>IFERROR(P1354*G1354,0)</f>
        <v/>
      </c>
    </row>
    <row r="1355">
      <c r="A1355" t="inlineStr">
        <is>
          <t>MT6301504</t>
        </is>
      </c>
      <c r="B1355" t="inlineStr">
        <is>
          <t>MAJAX-3 630 c/w 1,50KW 4P 380V</t>
        </is>
      </c>
      <c r="C1355" t="inlineStr">
        <is>
          <t>FM - DONKIN</t>
        </is>
      </c>
      <c r="D1355" t="n">
        <v>21</v>
      </c>
      <c r="E1355" t="n">
        <v>1</v>
      </c>
      <c r="F1355" t="inlineStr">
        <is>
          <t>Centrifab (Pty) Ltd</t>
        </is>
      </c>
      <c r="G1355" s="1" t="n">
        <v>7314.9</v>
      </c>
      <c r="H1355" t="n">
        <v>8</v>
      </c>
      <c r="I1355" t="n">
        <v>0.5</v>
      </c>
      <c r="J1355" t="n">
        <v>1</v>
      </c>
      <c r="K1355" t="n">
        <v>1</v>
      </c>
      <c r="L1355" t="n">
        <v>0</v>
      </c>
      <c r="M1355" t="n">
        <v>0</v>
      </c>
      <c r="N1355" t="n">
        <v>2</v>
      </c>
      <c r="O1355" s="1">
        <f>IFERROR(L1355*G1355,0)</f>
        <v/>
      </c>
      <c r="P1355">
        <f>IF(N1355-L1355-M1355&gt;0,N1355-L1355-M1355,0)</f>
        <v/>
      </c>
      <c r="Q1355" s="1">
        <f>IFERROR(P1355*G1355,0)</f>
        <v/>
      </c>
    </row>
    <row r="1356">
      <c r="A1356" t="inlineStr">
        <is>
          <t>MT6302204</t>
        </is>
      </c>
      <c r="B1356" t="inlineStr">
        <is>
          <t>MAJAX-3 630 c/w 2,20KW 4P 380V</t>
        </is>
      </c>
      <c r="C1356" t="inlineStr">
        <is>
          <t>FM - DONKIN</t>
        </is>
      </c>
      <c r="D1356" t="n">
        <v>6</v>
      </c>
      <c r="E1356" t="n">
        <v>0</v>
      </c>
      <c r="F1356" t="inlineStr"/>
      <c r="G1356" s="1" t="n">
        <v>0</v>
      </c>
      <c r="H1356" t="n">
        <v>4</v>
      </c>
      <c r="I1356" t="n">
        <v>0.5</v>
      </c>
      <c r="J1356" t="n">
        <v>1</v>
      </c>
      <c r="K1356" t="n">
        <v>1</v>
      </c>
      <c r="L1356" t="n">
        <v>0</v>
      </c>
      <c r="M1356" t="n">
        <v>0</v>
      </c>
      <c r="N1356" t="n">
        <v>2</v>
      </c>
      <c r="O1356" s="1">
        <f>IFERROR(L1356*G1356,0)</f>
        <v/>
      </c>
      <c r="P1356">
        <f>IF(N1356-L1356-M1356&gt;0,N1356-L1356-M1356,0)</f>
        <v/>
      </c>
      <c r="Q1356" s="1">
        <f>IFERROR(P1356*G1356,0)</f>
        <v/>
      </c>
    </row>
    <row r="1357">
      <c r="A1357" t="inlineStr">
        <is>
          <t>MT6303004</t>
        </is>
      </c>
      <c r="B1357" t="inlineStr">
        <is>
          <t>MAJAX-3 630 c/w 3,00KW 4P 380V</t>
        </is>
      </c>
      <c r="C1357" t="inlineStr">
        <is>
          <t>FM - DONKIN</t>
        </is>
      </c>
      <c r="D1357" t="n">
        <v>10</v>
      </c>
      <c r="E1357" t="n">
        <v>0</v>
      </c>
      <c r="F1357" t="inlineStr"/>
      <c r="G1357" s="1" t="n">
        <v>0</v>
      </c>
      <c r="H1357" t="n">
        <v>3</v>
      </c>
      <c r="I1357" t="n">
        <v>0.5</v>
      </c>
      <c r="J1357" t="n">
        <v>1</v>
      </c>
      <c r="K1357" t="n">
        <v>1</v>
      </c>
      <c r="L1357" t="n">
        <v>0</v>
      </c>
      <c r="M1357" t="n">
        <v>0</v>
      </c>
      <c r="N1357" t="n">
        <v>2</v>
      </c>
      <c r="O1357" s="1">
        <f>IFERROR(L1357*G1357,0)</f>
        <v/>
      </c>
      <c r="P1357">
        <f>IF(N1357-L1357-M1357&gt;0,N1357-L1357-M1357,0)</f>
        <v/>
      </c>
      <c r="Q1357" s="1">
        <f>IFERROR(P1357*G1357,0)</f>
        <v/>
      </c>
    </row>
    <row r="1358">
      <c r="A1358" t="inlineStr">
        <is>
          <t>MT6305502</t>
        </is>
      </c>
      <c r="B1358" t="inlineStr">
        <is>
          <t>MAJAX-3 630 c/w 5,50KW 2P 380V</t>
        </is>
      </c>
      <c r="C1358" t="inlineStr">
        <is>
          <t>FM - DONKIN</t>
        </is>
      </c>
      <c r="D1358" t="n">
        <v>15</v>
      </c>
      <c r="E1358" t="n">
        <v>2</v>
      </c>
      <c r="F1358" t="inlineStr">
        <is>
          <t>Centrifab (Pty) Ltd</t>
        </is>
      </c>
      <c r="G1358" s="1" t="n">
        <v>2908</v>
      </c>
      <c r="H1358" t="n">
        <v>2</v>
      </c>
      <c r="I1358" t="n">
        <v>0.5</v>
      </c>
      <c r="J1358" t="n">
        <v>1</v>
      </c>
      <c r="K1358" t="n">
        <v>1</v>
      </c>
      <c r="L1358" t="n">
        <v>0</v>
      </c>
      <c r="M1358" t="n">
        <v>0</v>
      </c>
      <c r="N1358" t="n">
        <v>2</v>
      </c>
      <c r="O1358" s="1">
        <f>IFERROR(L1358*G1358,0)</f>
        <v/>
      </c>
      <c r="P1358">
        <f>IF(N1358-L1358-M1358&gt;0,N1358-L1358-M1358,0)</f>
        <v/>
      </c>
      <c r="Q1358" s="1">
        <f>IFERROR(P1358*G1358,0)</f>
        <v/>
      </c>
    </row>
    <row r="1359">
      <c r="A1359" t="inlineStr">
        <is>
          <t>MT6307502</t>
        </is>
      </c>
      <c r="B1359" t="inlineStr">
        <is>
          <t>MAJAX-3 630 c/w 7,50KW 2P 380V</t>
        </is>
      </c>
      <c r="C1359" t="inlineStr">
        <is>
          <t>FM - DONKIN</t>
        </is>
      </c>
      <c r="D1359" t="n">
        <v>32</v>
      </c>
      <c r="E1359" t="n">
        <v>4</v>
      </c>
      <c r="F1359" t="inlineStr">
        <is>
          <t>Air Speration</t>
        </is>
      </c>
      <c r="G1359" s="1" t="n">
        <v>11339.2</v>
      </c>
      <c r="H1359" t="n">
        <v>10</v>
      </c>
      <c r="I1359" t="n">
        <v>0.7</v>
      </c>
      <c r="J1359" t="n">
        <v>1</v>
      </c>
      <c r="K1359" t="n">
        <v>1</v>
      </c>
      <c r="L1359" t="n">
        <v>0</v>
      </c>
      <c r="M1359" t="n">
        <v>0</v>
      </c>
      <c r="N1359" t="n">
        <v>3</v>
      </c>
      <c r="O1359" s="1">
        <f>IFERROR(L1359*G1359,0)</f>
        <v/>
      </c>
      <c r="P1359">
        <f>IF(N1359-L1359-M1359&gt;0,N1359-L1359-M1359,0)</f>
        <v/>
      </c>
      <c r="Q1359" s="1">
        <f>IFERROR(P1359*G1359,0)</f>
        <v/>
      </c>
    </row>
    <row r="1360">
      <c r="A1360" t="inlineStr">
        <is>
          <t>MT7100554</t>
        </is>
      </c>
      <c r="B1360" t="inlineStr">
        <is>
          <t>MAJAX-3 710 c/w 0,55KW 4P 380V</t>
        </is>
      </c>
      <c r="C1360" t="inlineStr">
        <is>
          <t>FM - DONKIN</t>
        </is>
      </c>
      <c r="D1360" t="n">
        <v>1</v>
      </c>
      <c r="E1360" t="n">
        <v>0</v>
      </c>
      <c r="F1360" t="inlineStr"/>
      <c r="G1360" s="1" t="n">
        <v>0</v>
      </c>
      <c r="H1360" t="n">
        <v>1</v>
      </c>
      <c r="I1360" t="n">
        <v>0.5</v>
      </c>
      <c r="J1360" t="n">
        <v>1</v>
      </c>
      <c r="K1360" t="n">
        <v>1</v>
      </c>
      <c r="L1360" t="n">
        <v>0</v>
      </c>
      <c r="M1360" t="n">
        <v>0</v>
      </c>
      <c r="N1360" t="n">
        <v>2</v>
      </c>
      <c r="O1360" s="1">
        <f>IFERROR(L1360*G1360,0)</f>
        <v/>
      </c>
      <c r="P1360">
        <f>IF(N1360-L1360-M1360&gt;0,N1360-L1360-M1360,0)</f>
        <v/>
      </c>
      <c r="Q1360" s="1">
        <f>IFERROR(P1360*G1360,0)</f>
        <v/>
      </c>
    </row>
    <row r="1361">
      <c r="A1361" t="inlineStr">
        <is>
          <t>MT7100754</t>
        </is>
      </c>
      <c r="B1361" t="inlineStr">
        <is>
          <t>MAJAX-3 710 c/w 0,75KW 4P 380V</t>
        </is>
      </c>
      <c r="C1361" t="inlineStr">
        <is>
          <t>FM - DONKIN</t>
        </is>
      </c>
      <c r="D1361" t="n">
        <v>1</v>
      </c>
      <c r="E1361" t="n">
        <v>1</v>
      </c>
      <c r="F1361" t="inlineStr">
        <is>
          <t>Centrifab (Pty) Ltd</t>
        </is>
      </c>
      <c r="G1361" s="1" t="n">
        <v>6492.37</v>
      </c>
      <c r="H1361" t="n">
        <v>1</v>
      </c>
      <c r="I1361" t="n">
        <v>2</v>
      </c>
      <c r="J1361" t="n">
        <v>1</v>
      </c>
      <c r="K1361" t="n">
        <v>2</v>
      </c>
      <c r="L1361" t="n">
        <v>0</v>
      </c>
      <c r="M1361" t="n">
        <v>0</v>
      </c>
      <c r="N1361" t="n">
        <v>4</v>
      </c>
      <c r="O1361" s="1">
        <f>IFERROR(L1361*G1361,0)</f>
        <v/>
      </c>
      <c r="P1361">
        <f>IF(N1361-L1361-M1361&gt;0,N1361-L1361-M1361,0)</f>
        <v/>
      </c>
      <c r="Q1361" s="1">
        <f>IFERROR(P1361*G1361,0)</f>
        <v/>
      </c>
    </row>
    <row r="1362">
      <c r="A1362" t="inlineStr">
        <is>
          <t>MT7101104</t>
        </is>
      </c>
      <c r="B1362" t="inlineStr">
        <is>
          <t>MAJAX-3 710 c/w 1,10KW 4P 380V</t>
        </is>
      </c>
      <c r="C1362" t="inlineStr">
        <is>
          <t>FM - DONKIN</t>
        </is>
      </c>
      <c r="D1362" t="n">
        <v>20</v>
      </c>
      <c r="E1362" t="n">
        <v>0</v>
      </c>
      <c r="F1362" t="inlineStr"/>
      <c r="G1362" s="1" t="n">
        <v>0</v>
      </c>
      <c r="H1362" t="n">
        <v>4</v>
      </c>
      <c r="I1362" t="n">
        <v>0.5</v>
      </c>
      <c r="J1362" t="n">
        <v>1</v>
      </c>
      <c r="K1362" t="n">
        <v>1</v>
      </c>
      <c r="L1362" t="n">
        <v>0</v>
      </c>
      <c r="M1362" t="n">
        <v>0</v>
      </c>
      <c r="N1362" t="n">
        <v>2</v>
      </c>
      <c r="O1362" s="1">
        <f>IFERROR(L1362*G1362,0)</f>
        <v/>
      </c>
      <c r="P1362">
        <f>IF(N1362-L1362-M1362&gt;0,N1362-L1362-M1362,0)</f>
        <v/>
      </c>
      <c r="Q1362" s="1">
        <f>IFERROR(P1362*G1362,0)</f>
        <v/>
      </c>
    </row>
    <row r="1363">
      <c r="A1363" t="inlineStr">
        <is>
          <t>MT7101504</t>
        </is>
      </c>
      <c r="B1363" t="inlineStr">
        <is>
          <t>MAJAX-3 710 c/w 1,50KW 4P 380V</t>
        </is>
      </c>
      <c r="C1363" t="inlineStr">
        <is>
          <t>FM - DONKIN</t>
        </is>
      </c>
      <c r="D1363" t="n">
        <v>8</v>
      </c>
      <c r="E1363" t="n">
        <v>2</v>
      </c>
      <c r="F1363" t="inlineStr">
        <is>
          <t>Centrifab (Pty) Ltd</t>
        </is>
      </c>
      <c r="G1363" s="1" t="n">
        <v>14506</v>
      </c>
      <c r="H1363" t="n">
        <v>8</v>
      </c>
      <c r="I1363" t="n">
        <v>1.4</v>
      </c>
      <c r="J1363" t="n">
        <v>1</v>
      </c>
      <c r="K1363" t="n">
        <v>1</v>
      </c>
      <c r="L1363" t="n">
        <v>0</v>
      </c>
      <c r="M1363" t="n">
        <v>0</v>
      </c>
      <c r="N1363" t="n">
        <v>3</v>
      </c>
      <c r="O1363" s="1">
        <f>IFERROR(L1363*G1363,0)</f>
        <v/>
      </c>
      <c r="P1363">
        <f>IF(N1363-L1363-M1363&gt;0,N1363-L1363-M1363,0)</f>
        <v/>
      </c>
      <c r="Q1363" s="1">
        <f>IFERROR(P1363*G1363,0)</f>
        <v/>
      </c>
    </row>
    <row r="1364">
      <c r="A1364" t="inlineStr">
        <is>
          <t>MT7102204</t>
        </is>
      </c>
      <c r="B1364" t="inlineStr">
        <is>
          <t>MAJAX-3 710 c/w 2,20KW 4P 380V</t>
        </is>
      </c>
      <c r="C1364" t="inlineStr">
        <is>
          <t>FM - DONKIN</t>
        </is>
      </c>
      <c r="D1364" t="n">
        <v>16</v>
      </c>
      <c r="E1364" t="n">
        <v>2</v>
      </c>
      <c r="F1364" t="inlineStr">
        <is>
          <t>Air Speration</t>
        </is>
      </c>
      <c r="G1364" s="1" t="n">
        <v>9384.52</v>
      </c>
      <c r="H1364" t="n">
        <v>7</v>
      </c>
      <c r="I1364" t="n">
        <v>1.5</v>
      </c>
      <c r="J1364" t="n">
        <v>1</v>
      </c>
      <c r="K1364" t="n">
        <v>2</v>
      </c>
      <c r="L1364" t="n">
        <v>0</v>
      </c>
      <c r="M1364" t="n">
        <v>0</v>
      </c>
      <c r="N1364" t="n">
        <v>4</v>
      </c>
      <c r="O1364" s="1">
        <f>IFERROR(L1364*G1364,0)</f>
        <v/>
      </c>
      <c r="P1364">
        <f>IF(N1364-L1364-M1364&gt;0,N1364-L1364-M1364,0)</f>
        <v/>
      </c>
      <c r="Q1364" s="1">
        <f>IFERROR(P1364*G1364,0)</f>
        <v/>
      </c>
    </row>
    <row r="1365">
      <c r="A1365" t="inlineStr">
        <is>
          <t>MT7103004</t>
        </is>
      </c>
      <c r="B1365" t="inlineStr">
        <is>
          <t>MAJAX-3 710 c/w 3,00KW 4P 380V</t>
        </is>
      </c>
      <c r="C1365" t="inlineStr">
        <is>
          <t>FM - DONKIN</t>
        </is>
      </c>
      <c r="D1365" t="n">
        <v>3</v>
      </c>
      <c r="E1365" t="n">
        <v>0</v>
      </c>
      <c r="F1365" t="inlineStr"/>
      <c r="G1365" s="1" t="n">
        <v>0</v>
      </c>
      <c r="H1365" t="n">
        <v>2</v>
      </c>
      <c r="I1365" t="n">
        <v>0.5</v>
      </c>
      <c r="J1365" t="n">
        <v>1</v>
      </c>
      <c r="K1365" t="n">
        <v>1</v>
      </c>
      <c r="L1365" t="n">
        <v>0</v>
      </c>
      <c r="M1365" t="n">
        <v>0</v>
      </c>
      <c r="N1365" t="n">
        <v>2</v>
      </c>
      <c r="O1365" s="1">
        <f>IFERROR(L1365*G1365,0)</f>
        <v/>
      </c>
      <c r="P1365">
        <f>IF(N1365-L1365-M1365&gt;0,N1365-L1365-M1365,0)</f>
        <v/>
      </c>
      <c r="Q1365" s="1">
        <f>IFERROR(P1365*G1365,0)</f>
        <v/>
      </c>
    </row>
    <row r="1366">
      <c r="A1366" t="inlineStr">
        <is>
          <t>MT7104004</t>
        </is>
      </c>
      <c r="B1366" t="inlineStr">
        <is>
          <t>MAJAX-3 710 c/w 4,00KW 4P 380V</t>
        </is>
      </c>
      <c r="C1366" t="inlineStr">
        <is>
          <t>FM - DONKIN</t>
        </is>
      </c>
      <c r="D1366" t="n">
        <v>2</v>
      </c>
      <c r="E1366" t="n">
        <v>0</v>
      </c>
      <c r="F1366" t="inlineStr"/>
      <c r="G1366" s="1" t="n">
        <v>0</v>
      </c>
      <c r="H1366" t="n">
        <v>4</v>
      </c>
      <c r="I1366" t="n">
        <v>0.5</v>
      </c>
      <c r="J1366" t="n">
        <v>2</v>
      </c>
      <c r="K1366" t="n">
        <v>1</v>
      </c>
      <c r="L1366" t="n">
        <v>0</v>
      </c>
      <c r="M1366" t="n">
        <v>0</v>
      </c>
      <c r="N1366" t="n">
        <v>5</v>
      </c>
      <c r="O1366" s="1">
        <f>IFERROR(L1366*G1366,0)</f>
        <v/>
      </c>
      <c r="P1366">
        <f>IF(N1366-L1366-M1366&gt;0,N1366-L1366-M1366,0)</f>
        <v/>
      </c>
      <c r="Q1366" s="1">
        <f>IFERROR(P1366*G1366,0)</f>
        <v/>
      </c>
    </row>
    <row r="1367">
      <c r="A1367" t="inlineStr">
        <is>
          <t>MT7603004</t>
        </is>
      </c>
      <c r="B1367" t="inlineStr">
        <is>
          <t>Majax-2 760-32-E-8 c/w 3.0KW 4P 380V</t>
        </is>
      </c>
      <c r="C1367" t="inlineStr"/>
      <c r="D1367" t="n">
        <v>1</v>
      </c>
      <c r="E1367" t="n">
        <v>0</v>
      </c>
      <c r="F1367" t="inlineStr"/>
      <c r="G1367" s="1" t="n">
        <v>0</v>
      </c>
      <c r="H1367" t="n">
        <v>1</v>
      </c>
      <c r="I1367" t="n">
        <v>0.5</v>
      </c>
      <c r="J1367" t="n">
        <v>1</v>
      </c>
      <c r="K1367" t="n">
        <v>1</v>
      </c>
      <c r="L1367" t="n">
        <v>0</v>
      </c>
      <c r="M1367" t="n">
        <v>0</v>
      </c>
      <c r="N1367" t="n">
        <v>2</v>
      </c>
      <c r="O1367" s="1">
        <f>IFERROR(L1367*G1367,0)</f>
        <v/>
      </c>
      <c r="P1367">
        <f>IF(N1367-L1367-M1367&gt;0,N1367-L1367-M1367,0)</f>
        <v/>
      </c>
      <c r="Q1367" s="1">
        <f>IFERROR(P1367*G1367,0)</f>
        <v/>
      </c>
    </row>
    <row r="1368">
      <c r="A1368" t="inlineStr">
        <is>
          <t>MT8000556</t>
        </is>
      </c>
      <c r="B1368" t="inlineStr">
        <is>
          <t>MAJAX-3 800 c/w 0,55KW 6P 380V</t>
        </is>
      </c>
      <c r="C1368" t="inlineStr">
        <is>
          <t>FM - DONKIN</t>
        </is>
      </c>
      <c r="D1368" t="n">
        <v>1</v>
      </c>
      <c r="E1368" t="n">
        <v>0</v>
      </c>
      <c r="F1368" t="inlineStr"/>
      <c r="G1368" s="1" t="n">
        <v>0</v>
      </c>
      <c r="H1368" t="n">
        <v>3</v>
      </c>
      <c r="I1368" t="n">
        <v>0.5</v>
      </c>
      <c r="J1368" t="n">
        <v>3</v>
      </c>
      <c r="K1368" t="n">
        <v>2</v>
      </c>
      <c r="L1368" t="n">
        <v>0</v>
      </c>
      <c r="M1368" t="n">
        <v>0</v>
      </c>
      <c r="N1368" t="n">
        <v>8</v>
      </c>
      <c r="O1368" s="1">
        <f>IFERROR(L1368*G1368,0)</f>
        <v/>
      </c>
      <c r="P1368">
        <f>IF(N1368-L1368-M1368&gt;0,N1368-L1368-M1368,0)</f>
        <v/>
      </c>
      <c r="Q1368" s="1">
        <f>IFERROR(P1368*G1368,0)</f>
        <v/>
      </c>
    </row>
    <row r="1369">
      <c r="A1369" t="inlineStr">
        <is>
          <t>MT8001106</t>
        </is>
      </c>
      <c r="B1369" t="inlineStr">
        <is>
          <t>MAJAX-3 800 c/w 1,10KW 6P 380V</t>
        </is>
      </c>
      <c r="C1369" t="inlineStr">
        <is>
          <t>FM - DONKIN</t>
        </is>
      </c>
      <c r="D1369" t="n">
        <v>1</v>
      </c>
      <c r="E1369" t="n">
        <v>0</v>
      </c>
      <c r="F1369" t="inlineStr"/>
      <c r="G1369" s="1" t="n">
        <v>0</v>
      </c>
      <c r="H1369" t="n">
        <v>2</v>
      </c>
      <c r="I1369" t="n">
        <v>0.5</v>
      </c>
      <c r="J1369" t="n">
        <v>2</v>
      </c>
      <c r="K1369" t="n">
        <v>1</v>
      </c>
      <c r="L1369" t="n">
        <v>0</v>
      </c>
      <c r="M1369" t="n">
        <v>0</v>
      </c>
      <c r="N1369" t="n">
        <v>5</v>
      </c>
      <c r="O1369" s="1">
        <f>IFERROR(L1369*G1369,0)</f>
        <v/>
      </c>
      <c r="P1369">
        <f>IF(N1369-L1369-M1369&gt;0,N1369-L1369-M1369,0)</f>
        <v/>
      </c>
      <c r="Q1369" s="1">
        <f>IFERROR(P1369*G1369,0)</f>
        <v/>
      </c>
    </row>
    <row r="1370">
      <c r="A1370" t="inlineStr">
        <is>
          <t>MT8002204</t>
        </is>
      </c>
      <c r="B1370" t="inlineStr">
        <is>
          <t>MAJAX-3 800 c/w 2,20KW 4P 380V</t>
        </is>
      </c>
      <c r="C1370" t="inlineStr">
        <is>
          <t>FM - DONKIN</t>
        </is>
      </c>
      <c r="D1370" t="n">
        <v>10</v>
      </c>
      <c r="E1370" t="n">
        <v>4</v>
      </c>
      <c r="F1370" t="inlineStr">
        <is>
          <t>Centrifab (Pty) Ltd</t>
        </is>
      </c>
      <c r="G1370" s="1" t="n">
        <v>7954.28</v>
      </c>
      <c r="H1370" t="n">
        <v>3</v>
      </c>
      <c r="I1370" t="n">
        <v>1.1</v>
      </c>
      <c r="J1370" t="n">
        <v>1</v>
      </c>
      <c r="K1370" t="n">
        <v>1</v>
      </c>
      <c r="L1370" t="n">
        <v>0</v>
      </c>
      <c r="M1370" t="n">
        <v>0</v>
      </c>
      <c r="N1370" t="n">
        <v>3</v>
      </c>
      <c r="O1370" s="1">
        <f>IFERROR(L1370*G1370,0)</f>
        <v/>
      </c>
      <c r="P1370">
        <f>IF(N1370-L1370-M1370&gt;0,N1370-L1370-M1370,0)</f>
        <v/>
      </c>
      <c r="Q1370" s="1">
        <f>IFERROR(P1370*G1370,0)</f>
        <v/>
      </c>
    </row>
    <row r="1371">
      <c r="A1371" t="inlineStr">
        <is>
          <t>MT8003004</t>
        </is>
      </c>
      <c r="B1371" t="inlineStr">
        <is>
          <t>MAJAX-3 800 c/w 3,00KW 4P 380V</t>
        </is>
      </c>
      <c r="C1371" t="inlineStr">
        <is>
          <t>FM - DONKIN</t>
        </is>
      </c>
      <c r="D1371" t="n">
        <v>28</v>
      </c>
      <c r="E1371" t="n">
        <v>9</v>
      </c>
      <c r="F1371" t="inlineStr">
        <is>
          <t>Centrifab (Pty) Ltd</t>
        </is>
      </c>
      <c r="G1371" s="1" t="n">
        <v>8741.879999999999</v>
      </c>
      <c r="H1371" t="n">
        <v>29</v>
      </c>
      <c r="I1371" t="n">
        <v>0.6</v>
      </c>
      <c r="J1371" t="n">
        <v>1.5</v>
      </c>
      <c r="K1371" t="n">
        <v>1</v>
      </c>
      <c r="L1371" t="n">
        <v>0</v>
      </c>
      <c r="M1371" t="n">
        <v>0</v>
      </c>
      <c r="N1371" t="n">
        <v>4</v>
      </c>
      <c r="O1371" s="1">
        <f>IFERROR(L1371*G1371,0)</f>
        <v/>
      </c>
      <c r="P1371">
        <f>IF(N1371-L1371-M1371&gt;0,N1371-L1371-M1371,0)</f>
        <v/>
      </c>
      <c r="Q1371" s="1">
        <f>IFERROR(P1371*G1371,0)</f>
        <v/>
      </c>
    </row>
    <row r="1372">
      <c r="A1372" t="inlineStr">
        <is>
          <t>MT8004004</t>
        </is>
      </c>
      <c r="B1372" t="inlineStr">
        <is>
          <t>MAJAX-3 800 c/w 4,00KW 4P 380V</t>
        </is>
      </c>
      <c r="C1372" t="inlineStr">
        <is>
          <t>FM - DONKIN</t>
        </is>
      </c>
      <c r="D1372" t="n">
        <v>18</v>
      </c>
      <c r="E1372" t="n">
        <v>1</v>
      </c>
      <c r="F1372" t="inlineStr">
        <is>
          <t>Centrifab (Pty) Ltd</t>
        </is>
      </c>
      <c r="G1372" s="1" t="n">
        <v>17409.6</v>
      </c>
      <c r="H1372" t="n">
        <v>3</v>
      </c>
      <c r="I1372" t="n">
        <v>1.9</v>
      </c>
      <c r="J1372" t="n">
        <v>1</v>
      </c>
      <c r="K1372" t="n">
        <v>2</v>
      </c>
      <c r="L1372" t="n">
        <v>0</v>
      </c>
      <c r="M1372" t="n">
        <v>0</v>
      </c>
      <c r="N1372" t="n">
        <v>4</v>
      </c>
      <c r="O1372" s="1">
        <f>IFERROR(L1372*G1372,0)</f>
        <v/>
      </c>
      <c r="P1372">
        <f>IF(N1372-L1372-M1372&gt;0,N1372-L1372-M1372,0)</f>
        <v/>
      </c>
      <c r="Q1372" s="1">
        <f>IFERROR(P1372*G1372,0)</f>
        <v/>
      </c>
    </row>
    <row r="1373">
      <c r="A1373" t="inlineStr">
        <is>
          <t>MT8005504</t>
        </is>
      </c>
      <c r="B1373" t="inlineStr">
        <is>
          <t>MAJAX-3 800 c/w 5,50KW 4P 380V</t>
        </is>
      </c>
      <c r="C1373" t="inlineStr">
        <is>
          <t>FM - DONKIN</t>
        </is>
      </c>
      <c r="D1373" t="n">
        <v>25</v>
      </c>
      <c r="E1373" t="n">
        <v>5</v>
      </c>
      <c r="F1373" t="inlineStr">
        <is>
          <t>Centrifab (Pty) Ltd</t>
        </is>
      </c>
      <c r="G1373" s="1" t="n">
        <v>12400.02</v>
      </c>
      <c r="H1373" t="n">
        <v>7</v>
      </c>
      <c r="I1373" t="n">
        <v>0.6</v>
      </c>
      <c r="J1373" t="n">
        <v>1</v>
      </c>
      <c r="K1373" t="n">
        <v>1</v>
      </c>
      <c r="L1373" t="n">
        <v>0</v>
      </c>
      <c r="M1373" t="n">
        <v>0</v>
      </c>
      <c r="N1373" t="n">
        <v>3</v>
      </c>
      <c r="O1373" s="1">
        <f>IFERROR(L1373*G1373,0)</f>
        <v/>
      </c>
      <c r="P1373">
        <f>IF(N1373-L1373-M1373&gt;0,N1373-L1373-M1373,0)</f>
        <v/>
      </c>
      <c r="Q1373" s="1">
        <f>IFERROR(P1373*G1373,0)</f>
        <v/>
      </c>
    </row>
    <row r="1374">
      <c r="A1374" t="inlineStr">
        <is>
          <t>MT8007504</t>
        </is>
      </c>
      <c r="B1374" t="inlineStr">
        <is>
          <t>MAJAX-3 800 c/w 7,50KW 4P 380V</t>
        </is>
      </c>
      <c r="C1374" t="inlineStr">
        <is>
          <t>FM - DONKIN</t>
        </is>
      </c>
      <c r="D1374" t="n">
        <v>1</v>
      </c>
      <c r="E1374" t="n">
        <v>0</v>
      </c>
      <c r="F1374" t="inlineStr"/>
      <c r="G1374" s="1" t="n">
        <v>0</v>
      </c>
      <c r="H1374" t="n">
        <v>1</v>
      </c>
      <c r="I1374" t="n">
        <v>0.5</v>
      </c>
      <c r="J1374" t="n">
        <v>1</v>
      </c>
      <c r="K1374" t="n">
        <v>1</v>
      </c>
      <c r="L1374" t="n">
        <v>0</v>
      </c>
      <c r="M1374" t="n">
        <v>0</v>
      </c>
      <c r="N1374" t="n">
        <v>2</v>
      </c>
      <c r="O1374" s="1">
        <f>IFERROR(L1374*G1374,0)</f>
        <v/>
      </c>
      <c r="P1374">
        <f>IF(N1374-L1374-M1374&gt;0,N1374-L1374-M1374,0)</f>
        <v/>
      </c>
      <c r="Q1374" s="1">
        <f>IFERROR(P1374*G1374,0)</f>
        <v/>
      </c>
    </row>
    <row r="1375">
      <c r="A1375" t="inlineStr">
        <is>
          <t>MT9002204</t>
        </is>
      </c>
      <c r="B1375" t="inlineStr">
        <is>
          <t>MAJAX-3 900 c/w 2,20KW 4P 380V</t>
        </is>
      </c>
      <c r="C1375" t="inlineStr">
        <is>
          <t>FM - DONKIN</t>
        </is>
      </c>
      <c r="D1375" t="n">
        <v>1</v>
      </c>
      <c r="E1375" t="n">
        <v>1</v>
      </c>
      <c r="F1375" t="inlineStr">
        <is>
          <t>Air Speration</t>
        </is>
      </c>
      <c r="G1375" s="1" t="n">
        <v>9327.959999999999</v>
      </c>
      <c r="H1375" t="n">
        <v>0</v>
      </c>
      <c r="I1375" t="n">
        <v>0.5</v>
      </c>
      <c r="J1375" t="n">
        <v>1</v>
      </c>
      <c r="K1375" t="n">
        <v>1</v>
      </c>
      <c r="L1375" t="n">
        <v>0</v>
      </c>
      <c r="M1375" t="n">
        <v>0</v>
      </c>
      <c r="N1375" t="n">
        <v>2</v>
      </c>
      <c r="O1375" s="1">
        <f>IFERROR(L1375*G1375,0)</f>
        <v/>
      </c>
      <c r="P1375">
        <f>IF(N1375-L1375-M1375&gt;0,N1375-L1375-M1375,0)</f>
        <v/>
      </c>
      <c r="Q1375" s="1">
        <f>IFERROR(P1375*G1375,0)</f>
        <v/>
      </c>
    </row>
    <row r="1376">
      <c r="A1376" t="inlineStr">
        <is>
          <t>MT9005504</t>
        </is>
      </c>
      <c r="B1376" t="inlineStr">
        <is>
          <t>MAJAX-3 900 c/w 5,50KW 4P 380V</t>
        </is>
      </c>
      <c r="C1376" t="inlineStr">
        <is>
          <t>FM - DONKIN</t>
        </is>
      </c>
      <c r="D1376" t="n">
        <v>14</v>
      </c>
      <c r="E1376" t="n">
        <v>5</v>
      </c>
      <c r="F1376" t="inlineStr">
        <is>
          <t>Centrifab (Pty) Ltd</t>
        </is>
      </c>
      <c r="G1376" s="1" t="n">
        <v>18403.56</v>
      </c>
      <c r="H1376" t="n">
        <v>12</v>
      </c>
      <c r="I1376" t="n">
        <v>0.8</v>
      </c>
      <c r="J1376" t="n">
        <v>1</v>
      </c>
      <c r="K1376" t="n">
        <v>1</v>
      </c>
      <c r="L1376" t="n">
        <v>0</v>
      </c>
      <c r="M1376" t="n">
        <v>0</v>
      </c>
      <c r="N1376" t="n">
        <v>3</v>
      </c>
      <c r="O1376" s="1">
        <f>IFERROR(L1376*G1376,0)</f>
        <v/>
      </c>
      <c r="P1376">
        <f>IF(N1376-L1376-M1376&gt;0,N1376-L1376-M1376,0)</f>
        <v/>
      </c>
      <c r="Q1376" s="1">
        <f>IFERROR(P1376*G1376,0)</f>
        <v/>
      </c>
    </row>
    <row r="1377">
      <c r="A1377" t="inlineStr">
        <is>
          <t>MT9005506</t>
        </is>
      </c>
      <c r="B1377" t="inlineStr">
        <is>
          <t>MAJAX-3 900 c/w 5,50KW 6P 380V</t>
        </is>
      </c>
      <c r="C1377" t="inlineStr">
        <is>
          <t>FM - DONKIN</t>
        </is>
      </c>
      <c r="D1377" t="n">
        <v>1</v>
      </c>
      <c r="E1377" t="n">
        <v>0</v>
      </c>
      <c r="F1377" t="inlineStr"/>
      <c r="G1377" s="1" t="n">
        <v>0</v>
      </c>
      <c r="H1377" t="n">
        <v>1</v>
      </c>
      <c r="I1377" t="n">
        <v>0.5</v>
      </c>
      <c r="J1377" t="n">
        <v>1</v>
      </c>
      <c r="K1377" t="n">
        <v>1</v>
      </c>
      <c r="L1377" t="n">
        <v>0</v>
      </c>
      <c r="M1377" t="n">
        <v>0</v>
      </c>
      <c r="N1377" t="n">
        <v>2</v>
      </c>
      <c r="O1377" s="1">
        <f>IFERROR(L1377*G1377,0)</f>
        <v/>
      </c>
      <c r="P1377">
        <f>IF(N1377-L1377-M1377&gt;0,N1377-L1377-M1377,0)</f>
        <v/>
      </c>
      <c r="Q1377" s="1">
        <f>IFERROR(P1377*G1377,0)</f>
        <v/>
      </c>
    </row>
    <row r="1378">
      <c r="A1378" t="inlineStr">
        <is>
          <t>Material</t>
        </is>
      </c>
      <c r="B1378" t="inlineStr">
        <is>
          <t>Material</t>
        </is>
      </c>
      <c r="C1378" t="inlineStr">
        <is>
          <t>FM - ELECTRICAL WIRING</t>
        </is>
      </c>
      <c r="D1378" t="n">
        <v>1</v>
      </c>
      <c r="E1378" t="n">
        <v>1</v>
      </c>
      <c r="F1378" t="inlineStr">
        <is>
          <t>Downside Projects</t>
        </is>
      </c>
      <c r="G1378" s="1" t="n">
        <v>5400</v>
      </c>
      <c r="H1378" t="n">
        <v>0</v>
      </c>
      <c r="I1378" t="n">
        <v>0.7</v>
      </c>
      <c r="J1378" t="n">
        <v>1</v>
      </c>
      <c r="K1378" t="n">
        <v>1</v>
      </c>
      <c r="L1378" t="n">
        <v>0</v>
      </c>
      <c r="M1378" t="n">
        <v>0</v>
      </c>
      <c r="N1378" t="n">
        <v>3</v>
      </c>
      <c r="O1378" s="1">
        <f>IFERROR(L1378*G1378,0)</f>
        <v/>
      </c>
      <c r="P1378">
        <f>IF(N1378-L1378-M1378&gt;0,N1378-L1378-M1378,0)</f>
        <v/>
      </c>
      <c r="Q1378" s="1">
        <f>IFERROR(P1378*G1378,0)</f>
        <v/>
      </c>
    </row>
    <row r="1379">
      <c r="A1379" t="inlineStr">
        <is>
          <t>Mild Steel-200x200x1.6mm</t>
        </is>
      </c>
      <c r="B1379" t="inlineStr">
        <is>
          <t>Laser-Cut Mild Steel Plate 200x200x1.6mm</t>
        </is>
      </c>
      <c r="C1379" t="inlineStr"/>
      <c r="D1379" t="n">
        <v>1</v>
      </c>
      <c r="E1379" t="n">
        <v>8</v>
      </c>
      <c r="F1379" t="inlineStr">
        <is>
          <t>Mafilisti Trading and Projects (Pty) Ltd</t>
        </is>
      </c>
      <c r="G1379" s="1" t="n">
        <v>29.5</v>
      </c>
      <c r="H1379" t="n">
        <v>0</v>
      </c>
      <c r="I1379" t="n">
        <v>0.5</v>
      </c>
      <c r="J1379" t="n">
        <v>8</v>
      </c>
      <c r="K1379" t="n">
        <v>4</v>
      </c>
      <c r="L1379" t="n">
        <v>0</v>
      </c>
      <c r="M1379" t="n">
        <v>0</v>
      </c>
      <c r="N1379" t="n">
        <v>20</v>
      </c>
      <c r="O1379" s="1">
        <f>IFERROR(L1379*G1379,0)</f>
        <v/>
      </c>
      <c r="P1379">
        <f>IF(N1379-L1379-M1379&gt;0,N1379-L1379-M1379,0)</f>
        <v/>
      </c>
      <c r="Q1379" s="1">
        <f>IFERROR(P1379*G1379,0)</f>
        <v/>
      </c>
    </row>
    <row r="1380">
      <c r="A1380" t="inlineStr">
        <is>
          <t>Mild Steel-310x310x1.6mm</t>
        </is>
      </c>
      <c r="B1380" t="inlineStr">
        <is>
          <t>Laser-Cut Mild Steel Plate 310x310x1.6mm</t>
        </is>
      </c>
      <c r="C1380" t="inlineStr"/>
      <c r="D1380" t="n">
        <v>1</v>
      </c>
      <c r="E1380" t="n">
        <v>1</v>
      </c>
      <c r="F1380" t="inlineStr">
        <is>
          <t>Mafilisti Trading and Projects (Pty) Ltd</t>
        </is>
      </c>
      <c r="G1380" s="1" t="n">
        <v>61.45</v>
      </c>
      <c r="H1380" t="n">
        <v>0</v>
      </c>
      <c r="I1380" t="n">
        <v>0.5</v>
      </c>
      <c r="J1380" t="n">
        <v>1</v>
      </c>
      <c r="K1380" t="n">
        <v>1</v>
      </c>
      <c r="L1380" t="n">
        <v>0</v>
      </c>
      <c r="M1380" t="n">
        <v>0</v>
      </c>
      <c r="N1380" t="n">
        <v>2</v>
      </c>
      <c r="O1380" s="1">
        <f>IFERROR(L1380*G1380,0)</f>
        <v/>
      </c>
      <c r="P1380">
        <f>IF(N1380-L1380-M1380&gt;0,N1380-L1380-M1380,0)</f>
        <v/>
      </c>
      <c r="Q1380" s="1">
        <f>IFERROR(P1380*G1380,0)</f>
        <v/>
      </c>
    </row>
    <row r="1381">
      <c r="A1381" t="inlineStr">
        <is>
          <t>Mild Steel-620x620x1.6mm</t>
        </is>
      </c>
      <c r="B1381" t="inlineStr">
        <is>
          <t>Laser-Cut Mild Steel Plate 620x620x1.6mm</t>
        </is>
      </c>
      <c r="C1381" t="inlineStr"/>
      <c r="D1381" t="n">
        <v>1</v>
      </c>
      <c r="E1381" t="n">
        <v>1</v>
      </c>
      <c r="F1381" t="inlineStr">
        <is>
          <t>Mafilisti Trading and Projects (Pty) Ltd</t>
        </is>
      </c>
      <c r="G1381" s="1" t="n">
        <v>224</v>
      </c>
      <c r="H1381" t="n">
        <v>0</v>
      </c>
      <c r="I1381" t="n">
        <v>0.5</v>
      </c>
      <c r="J1381" t="n">
        <v>1</v>
      </c>
      <c r="K1381" t="n">
        <v>1</v>
      </c>
      <c r="L1381" t="n">
        <v>0</v>
      </c>
      <c r="M1381" t="n">
        <v>0</v>
      </c>
      <c r="N1381" t="n">
        <v>2</v>
      </c>
      <c r="O1381" s="1">
        <f>IFERROR(L1381*G1381,0)</f>
        <v/>
      </c>
      <c r="P1381">
        <f>IF(N1381-L1381-M1381&gt;0,N1381-L1381-M1381,0)</f>
        <v/>
      </c>
      <c r="Q1381" s="1">
        <f>IFERROR(P1381*G1381,0)</f>
        <v/>
      </c>
    </row>
    <row r="1382">
      <c r="A1382" t="inlineStr">
        <is>
          <t>NAME PLATES</t>
        </is>
      </c>
      <c r="B1382" t="inlineStr">
        <is>
          <t>Name plates/ engraving plates</t>
        </is>
      </c>
      <c r="C1382" t="inlineStr"/>
      <c r="D1382" t="n">
        <v>11</v>
      </c>
      <c r="E1382" t="n">
        <v>500</v>
      </c>
      <c r="F1382" t="inlineStr">
        <is>
          <t>Cuspal Manufacturing &amp; Anodising CC</t>
        </is>
      </c>
      <c r="G1382" s="1" t="n">
        <v>31.55</v>
      </c>
      <c r="H1382" t="n">
        <v>0</v>
      </c>
      <c r="I1382" t="n">
        <v>0.5</v>
      </c>
      <c r="J1382" t="n">
        <v>45.5</v>
      </c>
      <c r="K1382" t="n">
        <v>23</v>
      </c>
      <c r="L1382" t="n">
        <v>0</v>
      </c>
      <c r="M1382" t="n">
        <v>0</v>
      </c>
      <c r="N1382" t="n">
        <v>114</v>
      </c>
      <c r="O1382" s="1">
        <f>IFERROR(L1382*G1382,0)</f>
        <v/>
      </c>
      <c r="P1382">
        <f>IF(N1382-L1382-M1382&gt;0,N1382-L1382-M1382,0)</f>
        <v/>
      </c>
      <c r="Q1382" s="1">
        <f>IFERROR(P1382*G1382,0)</f>
        <v/>
      </c>
    </row>
    <row r="1383">
      <c r="A1383" t="inlineStr">
        <is>
          <t>NITRO PRO</t>
        </is>
      </c>
      <c r="B1383" t="inlineStr">
        <is>
          <t>includes PDF Editing (Windows, Mac, iOS), unlimited eSigning, and Customer Support.</t>
        </is>
      </c>
      <c r="C1383" t="inlineStr"/>
      <c r="D1383" t="n">
        <v>1</v>
      </c>
      <c r="E1383" t="n">
        <v>1</v>
      </c>
      <c r="F1383" t="inlineStr">
        <is>
          <t>Cleverbridge GmbH - NITRO</t>
        </is>
      </c>
      <c r="G1383" s="1" t="n">
        <v>3812.63</v>
      </c>
      <c r="H1383" t="n">
        <v>0</v>
      </c>
      <c r="I1383" t="n">
        <v>0.5</v>
      </c>
      <c r="J1383" t="n">
        <v>1</v>
      </c>
      <c r="K1383" t="n">
        <v>1</v>
      </c>
      <c r="L1383" t="n">
        <v>0</v>
      </c>
      <c r="M1383" t="n">
        <v>0</v>
      </c>
      <c r="N1383" t="n">
        <v>2</v>
      </c>
      <c r="O1383" s="1">
        <f>IFERROR(L1383*G1383,0)</f>
        <v/>
      </c>
      <c r="P1383">
        <f>IF(N1383-L1383-M1383&gt;0,N1383-L1383-M1383,0)</f>
        <v/>
      </c>
      <c r="Q1383" s="1">
        <f>IFERROR(P1383*G1383,0)</f>
        <v/>
      </c>
    </row>
    <row r="1384">
      <c r="A1384" t="inlineStr">
        <is>
          <t>NONE</t>
        </is>
      </c>
      <c r="B1384" t="inlineStr">
        <is>
          <t>AIRMAX-2.850 WALL MOUNT</t>
        </is>
      </c>
      <c r="C1384" t="inlineStr">
        <is>
          <t>FM - DONKIN</t>
        </is>
      </c>
      <c r="D1384" t="n">
        <v>1</v>
      </c>
      <c r="E1384" t="n">
        <v>0</v>
      </c>
      <c r="F1384" t="inlineStr"/>
      <c r="G1384" s="1" t="n">
        <v>0</v>
      </c>
      <c r="H1384" t="n">
        <v>4</v>
      </c>
      <c r="I1384" t="n">
        <v>0.5</v>
      </c>
      <c r="J1384" t="n">
        <v>4</v>
      </c>
      <c r="K1384" t="n">
        <v>2</v>
      </c>
      <c r="L1384" t="n">
        <v>0</v>
      </c>
      <c r="M1384" t="n">
        <v>0</v>
      </c>
      <c r="N1384" t="n">
        <v>10</v>
      </c>
      <c r="O1384" s="1">
        <f>IFERROR(L1384*G1384,0)</f>
        <v/>
      </c>
      <c r="P1384">
        <f>IF(N1384-L1384-M1384&gt;0,N1384-L1384-M1384,0)</f>
        <v/>
      </c>
      <c r="Q1384" s="1">
        <f>IFERROR(P1384*G1384,0)</f>
        <v/>
      </c>
    </row>
    <row r="1385">
      <c r="A1385" t="inlineStr">
        <is>
          <t>NRD</t>
        </is>
      </c>
      <c r="B1385" t="inlineStr">
        <is>
          <t>Non Return Discharge Dampers</t>
        </is>
      </c>
      <c r="C1385" t="inlineStr"/>
      <c r="D1385" t="n">
        <v>1</v>
      </c>
      <c r="E1385" t="n">
        <v>1</v>
      </c>
      <c r="F1385" t="inlineStr">
        <is>
          <t>Air Speration</t>
        </is>
      </c>
      <c r="G1385" s="1" t="n">
        <v>709.45</v>
      </c>
      <c r="H1385" t="n">
        <v>0</v>
      </c>
      <c r="I1385" t="n">
        <v>0.5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s="1">
        <f>IFERROR(L1385*G1385,0)</f>
        <v/>
      </c>
      <c r="P1385">
        <f>IF(N1385-L1385-M1385&gt;0,N1385-L1385-M1385,0)</f>
        <v/>
      </c>
      <c r="Q1385" s="1">
        <f>IFERROR(P1385*G1385,0)</f>
        <v/>
      </c>
    </row>
    <row r="1386">
      <c r="A1386" t="inlineStr">
        <is>
          <t>NS40/610/610/300</t>
        </is>
      </c>
      <c r="B1386" t="inlineStr">
        <is>
          <t>HEPA FILTER 4000M3/H</t>
        </is>
      </c>
      <c r="C1386" t="inlineStr"/>
      <c r="D1386" t="n">
        <v>1</v>
      </c>
      <c r="E1386" t="n">
        <v>5</v>
      </c>
      <c r="F1386" t="inlineStr">
        <is>
          <t>Filta Matix</t>
        </is>
      </c>
      <c r="G1386" s="1" t="n">
        <v>4928</v>
      </c>
      <c r="H1386" t="n">
        <v>0</v>
      </c>
      <c r="I1386" t="n">
        <v>0.5</v>
      </c>
      <c r="J1386" t="n">
        <v>5</v>
      </c>
      <c r="K1386" t="n">
        <v>2</v>
      </c>
      <c r="L1386" t="n">
        <v>0</v>
      </c>
      <c r="M1386" t="n">
        <v>0</v>
      </c>
      <c r="N1386" t="n">
        <v>12</v>
      </c>
      <c r="O1386" s="1">
        <f>IFERROR(L1386*G1386,0)</f>
        <v/>
      </c>
      <c r="P1386">
        <f>IF(N1386-L1386-M1386&gt;0,N1386-L1386-M1386,0)</f>
        <v/>
      </c>
      <c r="Q1386" s="1">
        <f>IFERROR(P1386*G1386,0)</f>
        <v/>
      </c>
    </row>
    <row r="1387">
      <c r="A1387" t="inlineStr">
        <is>
          <t>Non-Taxable Extra's</t>
        </is>
      </c>
      <c r="B1387" t="inlineStr">
        <is>
          <t>Non-Taxable Extra's</t>
        </is>
      </c>
      <c r="C1387" t="inlineStr">
        <is>
          <t>Accessories</t>
        </is>
      </c>
      <c r="D1387" t="n">
        <v>1</v>
      </c>
      <c r="E1387" t="n">
        <v>2</v>
      </c>
      <c r="F1387" t="inlineStr">
        <is>
          <t>Egoli Auto (Pty) Ltd t/a Mahindra JHB South</t>
        </is>
      </c>
      <c r="G1387" s="1" t="n">
        <v>1950</v>
      </c>
      <c r="H1387" t="n">
        <v>0</v>
      </c>
      <c r="I1387" t="n">
        <v>0.5</v>
      </c>
      <c r="J1387" t="n">
        <v>2</v>
      </c>
      <c r="K1387" t="n">
        <v>1</v>
      </c>
      <c r="L1387" t="n">
        <v>0</v>
      </c>
      <c r="M1387" t="n">
        <v>0</v>
      </c>
      <c r="N1387" t="n">
        <v>5</v>
      </c>
      <c r="O1387" s="1">
        <f>IFERROR(L1387*G1387,0)</f>
        <v/>
      </c>
      <c r="P1387">
        <f>IF(N1387-L1387-M1387&gt;0,N1387-L1387-M1387,0)</f>
        <v/>
      </c>
      <c r="Q1387" s="1">
        <f>IFERROR(P1387*G1387,0)</f>
        <v/>
      </c>
    </row>
    <row r="1388">
      <c r="A1388" t="inlineStr">
        <is>
          <t>OUTSTANDING BALANCE</t>
        </is>
      </c>
      <c r="B1388" t="inlineStr">
        <is>
          <t>Outstanding Balance for industrial Fans</t>
        </is>
      </c>
      <c r="C1388" t="inlineStr"/>
      <c r="D1388" t="n">
        <v>8</v>
      </c>
      <c r="E1388" t="n">
        <v>0</v>
      </c>
      <c r="F1388" t="inlineStr"/>
      <c r="G1388" s="1" t="n">
        <v>0</v>
      </c>
      <c r="H1388" t="n">
        <v>6</v>
      </c>
      <c r="I1388" t="n">
        <v>0.5</v>
      </c>
      <c r="J1388" t="n">
        <v>1</v>
      </c>
      <c r="K1388" t="n">
        <v>1</v>
      </c>
      <c r="L1388" t="n">
        <v>0</v>
      </c>
      <c r="M1388" t="n">
        <v>0</v>
      </c>
      <c r="N1388" t="n">
        <v>2</v>
      </c>
      <c r="O1388" s="1">
        <f>IFERROR(L1388*G1388,0)</f>
        <v/>
      </c>
      <c r="P1388">
        <f>IF(N1388-L1388-M1388&gt;0,N1388-L1388-M1388,0)</f>
        <v/>
      </c>
      <c r="Q1388" s="1">
        <f>IFERROR(P1388*G1388,0)</f>
        <v/>
      </c>
    </row>
    <row r="1389">
      <c r="A1389" t="inlineStr">
        <is>
          <t>PAINT-WORKS</t>
        </is>
      </c>
      <c r="B1389" t="inlineStr">
        <is>
          <t>SPRAY PAINT INLET CONES</t>
        </is>
      </c>
      <c r="C1389" t="inlineStr">
        <is>
          <t>FM - PAINTING</t>
        </is>
      </c>
      <c r="D1389" t="n">
        <v>1</v>
      </c>
      <c r="E1389" t="n">
        <v>0</v>
      </c>
      <c r="F1389" t="inlineStr"/>
      <c r="G1389" s="1" t="n">
        <v>0</v>
      </c>
      <c r="H1389" t="n">
        <v>2</v>
      </c>
      <c r="I1389" t="n">
        <v>0.5</v>
      </c>
      <c r="J1389" t="n">
        <v>2</v>
      </c>
      <c r="K1389" t="n">
        <v>1</v>
      </c>
      <c r="L1389" t="n">
        <v>0</v>
      </c>
      <c r="M1389" t="n">
        <v>0</v>
      </c>
      <c r="N1389" t="n">
        <v>5</v>
      </c>
      <c r="O1389" s="1">
        <f>IFERROR(L1389*G1389,0)</f>
        <v/>
      </c>
      <c r="P1389">
        <f>IF(N1389-L1389-M1389&gt;0,N1389-L1389-M1389,0)</f>
        <v/>
      </c>
      <c r="Q1389" s="1">
        <f>IFERROR(P1389*G1389,0)</f>
        <v/>
      </c>
    </row>
    <row r="1390">
      <c r="A1390" t="inlineStr">
        <is>
          <t>PD2</t>
        </is>
      </c>
      <c r="B1390" t="inlineStr">
        <is>
          <t>White</t>
        </is>
      </c>
      <c r="C1390" t="inlineStr"/>
      <c r="D1390" t="n">
        <v>1</v>
      </c>
      <c r="E1390" t="n">
        <v>8</v>
      </c>
      <c r="F1390" t="inlineStr">
        <is>
          <t>Seal 'N Devices (Pty) Ltd</t>
        </is>
      </c>
      <c r="G1390" s="1" t="n">
        <v>58.37</v>
      </c>
      <c r="H1390" t="n">
        <v>0</v>
      </c>
      <c r="I1390" t="n">
        <v>0.8</v>
      </c>
      <c r="J1390" t="n">
        <v>8</v>
      </c>
      <c r="K1390" t="n">
        <v>6</v>
      </c>
      <c r="L1390" t="n">
        <v>0</v>
      </c>
      <c r="M1390" t="n">
        <v>0</v>
      </c>
      <c r="N1390" t="n">
        <v>22</v>
      </c>
      <c r="O1390" s="1">
        <f>IFERROR(L1390*G1390,0)</f>
        <v/>
      </c>
      <c r="P1390">
        <f>IF(N1390-L1390-M1390&gt;0,N1390-L1390-M1390,0)</f>
        <v/>
      </c>
      <c r="Q1390" s="1">
        <f>IFERROR(P1390*G1390,0)</f>
        <v/>
      </c>
    </row>
    <row r="1391">
      <c r="A1391" t="inlineStr">
        <is>
          <t>PHPM20B</t>
        </is>
      </c>
      <c r="B1391" t="inlineStr">
        <is>
          <t>M20 SCREW-IN BLANKING PLUGS (BLK)</t>
        </is>
      </c>
      <c r="C1391" t="inlineStr"/>
      <c r="D1391" t="n">
        <v>4</v>
      </c>
      <c r="E1391" t="n">
        <v>300</v>
      </c>
      <c r="F1391" t="inlineStr">
        <is>
          <t>ElectroMechanica (Pty) Ltd</t>
        </is>
      </c>
      <c r="G1391" s="1" t="n">
        <v>6.96</v>
      </c>
      <c r="H1391" t="n">
        <v>0</v>
      </c>
      <c r="I1391" t="n">
        <v>0.5</v>
      </c>
      <c r="J1391" t="n">
        <v>75</v>
      </c>
      <c r="K1391" t="n">
        <v>38</v>
      </c>
      <c r="L1391" t="n">
        <v>0</v>
      </c>
      <c r="M1391" t="n">
        <v>0</v>
      </c>
      <c r="N1391" t="n">
        <v>188</v>
      </c>
      <c r="O1391" s="1">
        <f>IFERROR(L1391*G1391,0)</f>
        <v/>
      </c>
      <c r="P1391">
        <f>IF(N1391-L1391-M1391&gt;0,N1391-L1391-M1391,0)</f>
        <v/>
      </c>
      <c r="Q1391" s="1">
        <f>IFERROR(P1391*G1391,0)</f>
        <v/>
      </c>
    </row>
    <row r="1392">
      <c r="A1392" t="inlineStr">
        <is>
          <t>PINE</t>
        </is>
      </c>
      <c r="B1392" t="inlineStr">
        <is>
          <t>CRATING 25X114X1.8M</t>
        </is>
      </c>
      <c r="C1392" t="inlineStr"/>
      <c r="D1392" t="n">
        <v>9</v>
      </c>
      <c r="E1392" t="n">
        <v>682</v>
      </c>
      <c r="F1392" t="inlineStr">
        <is>
          <t>Foresta Timber &amp; Board (Pty) Ltd</t>
        </is>
      </c>
      <c r="G1392" s="1" t="n">
        <v>27.69</v>
      </c>
      <c r="H1392" t="n">
        <v>0</v>
      </c>
      <c r="I1392" t="n">
        <v>0.5</v>
      </c>
      <c r="J1392" t="n">
        <v>76</v>
      </c>
      <c r="K1392" t="n">
        <v>38</v>
      </c>
      <c r="L1392" t="n">
        <v>0</v>
      </c>
      <c r="M1392" t="n">
        <v>0</v>
      </c>
      <c r="N1392" t="n">
        <v>190</v>
      </c>
      <c r="O1392" s="1">
        <f>IFERROR(L1392*G1392,0)</f>
        <v/>
      </c>
      <c r="P1392">
        <f>IF(N1392-L1392-M1392&gt;0,N1392-L1392-M1392,0)</f>
        <v/>
      </c>
      <c r="Q1392" s="1">
        <f>IFERROR(P1392*G1392,0)</f>
        <v/>
      </c>
    </row>
    <row r="1393">
      <c r="A1393" t="inlineStr">
        <is>
          <t>PMGB20-13.5</t>
        </is>
      </c>
      <c r="B1393" t="inlineStr">
        <is>
          <t>M20 NYLON COMPRESSION GLAND GREY</t>
        </is>
      </c>
      <c r="C1393" t="inlineStr"/>
      <c r="D1393" t="n">
        <v>1</v>
      </c>
      <c r="E1393" t="n">
        <v>800</v>
      </c>
      <c r="F1393" t="inlineStr">
        <is>
          <t>ElectroMechanica (Pty) Ltd</t>
        </is>
      </c>
      <c r="G1393" s="1" t="n">
        <v>5.22</v>
      </c>
      <c r="H1393" t="n">
        <v>0</v>
      </c>
      <c r="I1393" t="n">
        <v>0.5</v>
      </c>
      <c r="J1393" t="n">
        <v>800</v>
      </c>
      <c r="K1393" t="n">
        <v>400</v>
      </c>
      <c r="L1393" t="n">
        <v>0</v>
      </c>
      <c r="M1393" t="n">
        <v>0</v>
      </c>
      <c r="N1393" t="n">
        <v>2000</v>
      </c>
      <c r="O1393" s="1">
        <f>IFERROR(L1393*G1393,0)</f>
        <v/>
      </c>
      <c r="P1393">
        <f>IF(N1393-L1393-M1393&gt;0,N1393-L1393-M1393,0)</f>
        <v/>
      </c>
      <c r="Q1393" s="1">
        <f>IFERROR(P1393*G1393,0)</f>
        <v/>
      </c>
    </row>
    <row r="1394">
      <c r="A1394" t="inlineStr">
        <is>
          <t>PMGB25-18</t>
        </is>
      </c>
      <c r="B1394" t="inlineStr">
        <is>
          <t>M25 NYLON COMPRESSION GLAND GREY</t>
        </is>
      </c>
      <c r="C1394" t="inlineStr"/>
      <c r="D1394" t="n">
        <v>1</v>
      </c>
      <c r="E1394" t="n">
        <v>400</v>
      </c>
      <c r="F1394" t="inlineStr">
        <is>
          <t>ElectroMechanica (Pty) Ltd</t>
        </is>
      </c>
      <c r="G1394" s="1" t="n">
        <v>7.11</v>
      </c>
      <c r="H1394" t="n">
        <v>0</v>
      </c>
      <c r="I1394" t="n">
        <v>0.5</v>
      </c>
      <c r="J1394" t="n">
        <v>400</v>
      </c>
      <c r="K1394" t="n">
        <v>200</v>
      </c>
      <c r="L1394" t="n">
        <v>0</v>
      </c>
      <c r="M1394" t="n">
        <v>0</v>
      </c>
      <c r="N1394" t="n">
        <v>1000</v>
      </c>
      <c r="O1394" s="1">
        <f>IFERROR(L1394*G1394,0)</f>
        <v/>
      </c>
      <c r="P1394">
        <f>IF(N1394-L1394-M1394&gt;0,N1394-L1394-M1394,0)</f>
        <v/>
      </c>
      <c r="Q1394" s="1">
        <f>IFERROR(P1394*G1394,0)</f>
        <v/>
      </c>
    </row>
    <row r="1395">
      <c r="A1395" t="inlineStr">
        <is>
          <t>POZI SELF TAPPER</t>
        </is>
      </c>
      <c r="B1395" t="inlineStr">
        <is>
          <t>10 - No10 (4 .8mm)x19 PAN/HD POZI SELF TAPPER 10X19 7981</t>
        </is>
      </c>
      <c r="C1395" t="inlineStr"/>
      <c r="D1395" t="n">
        <v>21</v>
      </c>
      <c r="E1395" t="n">
        <v>3740</v>
      </c>
      <c r="F1395" t="inlineStr">
        <is>
          <t>M&amp;D SPECIALISED FASTENERS (PTY) LTD</t>
        </is>
      </c>
      <c r="G1395" s="1" t="n">
        <v>0</v>
      </c>
      <c r="H1395" t="n">
        <v>0</v>
      </c>
      <c r="I1395" t="n">
        <v>0.5</v>
      </c>
      <c r="J1395" t="n">
        <v>178.5</v>
      </c>
      <c r="K1395" t="n">
        <v>89</v>
      </c>
      <c r="L1395" t="n">
        <v>0</v>
      </c>
      <c r="M1395" t="n">
        <v>0</v>
      </c>
      <c r="N1395" t="n">
        <v>446</v>
      </c>
      <c r="O1395" s="1">
        <f>IFERROR(L1395*G1395,0)</f>
        <v/>
      </c>
      <c r="P1395">
        <f>IF(N1395-L1395-M1395&gt;0,N1395-L1395-M1395,0)</f>
        <v/>
      </c>
      <c r="Q1395" s="1">
        <f>IFERROR(P1395*G1395,0)</f>
        <v/>
      </c>
    </row>
    <row r="1396">
      <c r="A1396" t="inlineStr">
        <is>
          <t>PR3mm x 1300mm</t>
        </is>
      </c>
      <c r="B1396" t="inlineStr">
        <is>
          <t>New W11F 3mm x 1300mm Plate Roller</t>
        </is>
      </c>
      <c r="C1396" t="inlineStr"/>
      <c r="D1396" t="n">
        <v>1</v>
      </c>
      <c r="E1396" t="n">
        <v>1</v>
      </c>
      <c r="F1396" t="inlineStr">
        <is>
          <t>Mech Tech Precision (Pty) Ltd</t>
        </is>
      </c>
      <c r="G1396" s="1" t="n">
        <v>77000</v>
      </c>
      <c r="H1396" t="n">
        <v>0</v>
      </c>
      <c r="I1396" t="n">
        <v>0.8</v>
      </c>
      <c r="J1396" t="n">
        <v>1</v>
      </c>
      <c r="K1396" t="n">
        <v>1</v>
      </c>
      <c r="L1396" t="n">
        <v>0</v>
      </c>
      <c r="M1396" t="n">
        <v>0</v>
      </c>
      <c r="N1396" t="n">
        <v>3</v>
      </c>
      <c r="O1396" s="1">
        <f>IFERROR(L1396*G1396,0)</f>
        <v/>
      </c>
      <c r="P1396">
        <f>IF(N1396-L1396-M1396&gt;0,N1396-L1396-M1396,0)</f>
        <v/>
      </c>
      <c r="Q1396" s="1">
        <f>IFERROR(P1396*G1396,0)</f>
        <v/>
      </c>
    </row>
    <row r="1397">
      <c r="A1397" t="inlineStr">
        <is>
          <t>PRA GLAND FLP Exde BRASS CPR N*1 M20</t>
        </is>
      </c>
      <c r="B1397" t="inlineStr">
        <is>
          <t>PRA GLAND FLP Exde BRASS CPR N*1 M20</t>
        </is>
      </c>
      <c r="C1397" t="inlineStr"/>
      <c r="D1397" t="n">
        <v>1</v>
      </c>
      <c r="E1397" t="n">
        <v>4</v>
      </c>
      <c r="F1397" t="inlineStr">
        <is>
          <t>Pratley (Pty) Ltd</t>
        </is>
      </c>
      <c r="G1397" s="1" t="n">
        <v>232.8</v>
      </c>
      <c r="H1397" t="n">
        <v>0</v>
      </c>
      <c r="I1397" t="n">
        <v>0.5</v>
      </c>
      <c r="J1397" t="n">
        <v>4</v>
      </c>
      <c r="K1397" t="n">
        <v>2</v>
      </c>
      <c r="L1397" t="n">
        <v>0</v>
      </c>
      <c r="M1397" t="n">
        <v>0</v>
      </c>
      <c r="N1397" t="n">
        <v>10</v>
      </c>
      <c r="O1397" s="1">
        <f>IFERROR(L1397*G1397,0)</f>
        <v/>
      </c>
      <c r="P1397">
        <f>IF(N1397-L1397-M1397&gt;0,N1397-L1397-M1397,0)</f>
        <v/>
      </c>
      <c r="Q1397" s="1">
        <f>IFERROR(P1397*G1397,0)</f>
        <v/>
      </c>
    </row>
    <row r="1398">
      <c r="A1398" t="inlineStr">
        <is>
          <t>PRA LOCKNUT BRASS No 0 &amp; 1</t>
        </is>
      </c>
      <c r="B1398" t="inlineStr">
        <is>
          <t>M20 - PRA LOCKNUT BRASS No 0 &amp; 1 - M20</t>
        </is>
      </c>
      <c r="C1398" t="inlineStr"/>
      <c r="D1398" t="n">
        <v>1</v>
      </c>
      <c r="E1398" t="n">
        <v>2</v>
      </c>
      <c r="F1398" t="inlineStr">
        <is>
          <t>Pratley (Pty) Ltd</t>
        </is>
      </c>
      <c r="G1398" s="1" t="n">
        <v>0</v>
      </c>
      <c r="H1398" t="n">
        <v>0</v>
      </c>
      <c r="I1398" t="n">
        <v>0.5</v>
      </c>
      <c r="J1398" t="n">
        <v>2</v>
      </c>
      <c r="K1398" t="n">
        <v>1</v>
      </c>
      <c r="L1398" t="n">
        <v>0</v>
      </c>
      <c r="M1398" t="n">
        <v>0</v>
      </c>
      <c r="N1398" t="n">
        <v>5</v>
      </c>
      <c r="O1398" s="1">
        <f>IFERROR(L1398*G1398,0)</f>
        <v/>
      </c>
      <c r="P1398">
        <f>IF(N1398-L1398-M1398&gt;0,N1398-L1398-M1398,0)</f>
        <v/>
      </c>
      <c r="Q1398" s="1">
        <f>IFERROR(P1398*G1398,0)</f>
        <v/>
      </c>
    </row>
    <row r="1399">
      <c r="A1399" t="inlineStr">
        <is>
          <t>PRA LOCKNUT BRASS No 2</t>
        </is>
      </c>
      <c r="B1399" t="inlineStr">
        <is>
          <t>M25 - PRA LOCKNUT BRASS No 2 - M25</t>
        </is>
      </c>
      <c r="C1399" t="inlineStr"/>
      <c r="D1399" t="n">
        <v>1</v>
      </c>
      <c r="E1399" t="n">
        <v>2</v>
      </c>
      <c r="F1399" t="inlineStr">
        <is>
          <t>Pratley (Pty) Ltd</t>
        </is>
      </c>
      <c r="G1399" s="1" t="n">
        <v>0</v>
      </c>
      <c r="H1399" t="n">
        <v>0</v>
      </c>
      <c r="I1399" t="n">
        <v>0.5</v>
      </c>
      <c r="J1399" t="n">
        <v>2</v>
      </c>
      <c r="K1399" t="n">
        <v>1</v>
      </c>
      <c r="L1399" t="n">
        <v>0</v>
      </c>
      <c r="M1399" t="n">
        <v>0</v>
      </c>
      <c r="N1399" t="n">
        <v>5</v>
      </c>
      <c r="O1399" s="1">
        <f>IFERROR(L1399*G1399,0)</f>
        <v/>
      </c>
      <c r="P1399">
        <f>IF(N1399-L1399-M1399&gt;0,N1399-L1399-M1399,0)</f>
        <v/>
      </c>
      <c r="Q1399" s="1">
        <f>IFERROR(P1399*G1399,0)</f>
        <v/>
      </c>
    </row>
    <row r="1400">
      <c r="A1400" t="inlineStr">
        <is>
          <t>PRA REDUCER FLP Ex d/e 25M-20F</t>
        </is>
      </c>
      <c r="B1400" t="inlineStr">
        <is>
          <t>PRA REDUCER FLP Ex d/e 25M-20F</t>
        </is>
      </c>
      <c r="C1400" t="inlineStr"/>
      <c r="D1400" t="n">
        <v>1</v>
      </c>
      <c r="E1400" t="n">
        <v>2</v>
      </c>
      <c r="F1400" t="inlineStr">
        <is>
          <t>Pratley (Pty) Ltd</t>
        </is>
      </c>
      <c r="G1400" s="1" t="n">
        <v>81.48999999999999</v>
      </c>
      <c r="H1400" t="n">
        <v>0</v>
      </c>
      <c r="I1400" t="n">
        <v>0.5</v>
      </c>
      <c r="J1400" t="n">
        <v>2</v>
      </c>
      <c r="K1400" t="n">
        <v>1</v>
      </c>
      <c r="L1400" t="n">
        <v>0</v>
      </c>
      <c r="M1400" t="n">
        <v>0</v>
      </c>
      <c r="N1400" t="n">
        <v>5</v>
      </c>
      <c r="O1400" s="1">
        <f>IFERROR(L1400*G1400,0)</f>
        <v/>
      </c>
      <c r="P1400">
        <f>IF(N1400-L1400-M1400&gt;0,N1400-L1400-M1400,0)</f>
        <v/>
      </c>
      <c r="Q1400" s="1">
        <f>IFERROR(P1400*G1400,0)</f>
        <v/>
      </c>
    </row>
    <row r="1401">
      <c r="A1401" t="inlineStr">
        <is>
          <t>PROGRAM</t>
        </is>
      </c>
      <c r="B1401" t="inlineStr">
        <is>
          <t>Customized Programming Service - Development of web Based Fan Selection Program</t>
        </is>
      </c>
      <c r="C1401" t="inlineStr"/>
      <c r="D1401" t="n">
        <v>15</v>
      </c>
      <c r="E1401" t="n">
        <v>6</v>
      </c>
      <c r="F1401" t="inlineStr">
        <is>
          <t>Holt Consulting Engineers</t>
        </is>
      </c>
      <c r="G1401" s="1" t="n">
        <v>0</v>
      </c>
      <c r="H1401" t="n">
        <v>0</v>
      </c>
      <c r="I1401" t="n">
        <v>0.5</v>
      </c>
      <c r="J1401" t="n">
        <v>1</v>
      </c>
      <c r="K1401" t="n">
        <v>1</v>
      </c>
      <c r="L1401" t="n">
        <v>0</v>
      </c>
      <c r="M1401" t="n">
        <v>0</v>
      </c>
      <c r="N1401" t="n">
        <v>2</v>
      </c>
      <c r="O1401" s="1">
        <f>IFERROR(L1401*G1401,0)</f>
        <v/>
      </c>
      <c r="P1401">
        <f>IF(N1401-L1401-M1401&gt;0,N1401-L1401-M1401,0)</f>
        <v/>
      </c>
      <c r="Q1401" s="1">
        <f>IFERROR(P1401*G1401,0)</f>
        <v/>
      </c>
    </row>
    <row r="1402">
      <c r="A1402" t="inlineStr">
        <is>
          <t>PRPFAN822</t>
        </is>
      </c>
      <c r="B1402" t="inlineStr">
        <is>
          <t>FAC30/4 Propeller Fan</t>
        </is>
      </c>
      <c r="C1402" t="inlineStr"/>
      <c r="D1402" t="n">
        <v>1</v>
      </c>
      <c r="E1402" t="n">
        <v>1</v>
      </c>
      <c r="F1402" t="inlineStr">
        <is>
          <t>CFW Fans (Pty) Ltd</t>
        </is>
      </c>
      <c r="G1402" s="1" t="n">
        <v>1447.5</v>
      </c>
      <c r="H1402" t="n">
        <v>0</v>
      </c>
      <c r="I1402" t="n">
        <v>0.6</v>
      </c>
      <c r="J1402" t="n">
        <v>1</v>
      </c>
      <c r="K1402" t="n">
        <v>1</v>
      </c>
      <c r="L1402" t="n">
        <v>0</v>
      </c>
      <c r="M1402" t="n">
        <v>0</v>
      </c>
      <c r="N1402" t="n">
        <v>3</v>
      </c>
      <c r="O1402" s="1">
        <f>IFERROR(L1402*G1402,0)</f>
        <v/>
      </c>
      <c r="P1402">
        <f>IF(N1402-L1402-M1402&gt;0,N1402-L1402-M1402,0)</f>
        <v/>
      </c>
      <c r="Q1402" s="1">
        <f>IFERROR(P1402*G1402,0)</f>
        <v/>
      </c>
    </row>
    <row r="1403">
      <c r="A1403" t="inlineStr">
        <is>
          <t>PVT/30</t>
        </is>
      </c>
      <c r="B1403" t="inlineStr">
        <is>
          <t>PVT/30 c/w 380W 2800RPM 220V</t>
        </is>
      </c>
      <c r="C1403" t="inlineStr"/>
      <c r="D1403" t="n">
        <v>31</v>
      </c>
      <c r="E1403" t="n">
        <v>5</v>
      </c>
      <c r="F1403" t="inlineStr">
        <is>
          <t>Luft Industries Natal (Pty) Ltd</t>
        </is>
      </c>
      <c r="G1403" s="1" t="n">
        <v>537.5</v>
      </c>
      <c r="H1403" t="n">
        <v>6</v>
      </c>
      <c r="I1403" t="n">
        <v>0.5</v>
      </c>
      <c r="J1403" t="n">
        <v>1</v>
      </c>
      <c r="K1403" t="n">
        <v>1</v>
      </c>
      <c r="L1403" t="n">
        <v>0</v>
      </c>
      <c r="M1403" t="n">
        <v>0</v>
      </c>
      <c r="N1403" t="n">
        <v>2</v>
      </c>
      <c r="O1403" s="1">
        <f>IFERROR(L1403*G1403,0)</f>
        <v/>
      </c>
      <c r="P1403">
        <f>IF(N1403-L1403-M1403&gt;0,N1403-L1403-M1403,0)</f>
        <v/>
      </c>
      <c r="Q1403" s="1">
        <f>IFERROR(P1403*G1403,0)</f>
        <v/>
      </c>
    </row>
    <row r="1404">
      <c r="A1404" t="inlineStr">
        <is>
          <t>PVT/50</t>
        </is>
      </c>
      <c r="B1404" t="inlineStr">
        <is>
          <t>PVT /50 c/w 2.2KkW 2800RPM 220V</t>
        </is>
      </c>
      <c r="C1404" t="inlineStr"/>
      <c r="D1404" t="n">
        <v>17</v>
      </c>
      <c r="E1404" t="n">
        <v>9</v>
      </c>
      <c r="F1404" t="inlineStr">
        <is>
          <t>Bluetech Fans (Pty) Ltd</t>
        </is>
      </c>
      <c r="G1404" s="1" t="n">
        <v>2965.69</v>
      </c>
      <c r="H1404" t="n">
        <v>9</v>
      </c>
      <c r="I1404" t="n">
        <v>0.6</v>
      </c>
      <c r="J1404" t="n">
        <v>1</v>
      </c>
      <c r="K1404" t="n">
        <v>1</v>
      </c>
      <c r="L1404" t="n">
        <v>0</v>
      </c>
      <c r="M1404" t="n">
        <v>0</v>
      </c>
      <c r="N1404" t="n">
        <v>3</v>
      </c>
      <c r="O1404" s="1">
        <f>IFERROR(L1404*G1404,0)</f>
        <v/>
      </c>
      <c r="P1404">
        <f>IF(N1404-L1404-M1404&gt;0,N1404-L1404-M1404,0)</f>
        <v/>
      </c>
      <c r="Q1404" s="1">
        <f>IFERROR(P1404*G1404,0)</f>
        <v/>
      </c>
    </row>
    <row r="1405">
      <c r="A1405" t="inlineStr">
        <is>
          <t>PWT PI150 0R7G3Z</t>
        </is>
      </c>
      <c r="B1405" t="inlineStr">
        <is>
          <t>PI150 VSD 0.75KW 380V IP20 BRK</t>
        </is>
      </c>
      <c r="C1405" t="inlineStr"/>
      <c r="D1405" t="n">
        <v>1</v>
      </c>
      <c r="E1405" t="n">
        <v>2</v>
      </c>
      <c r="F1405" t="inlineStr">
        <is>
          <t>Bearing Man Group</t>
        </is>
      </c>
      <c r="G1405" s="1" t="n">
        <v>3808.9</v>
      </c>
      <c r="H1405" t="n">
        <v>0</v>
      </c>
      <c r="I1405" t="n">
        <v>0.5</v>
      </c>
      <c r="J1405" t="n">
        <v>2</v>
      </c>
      <c r="K1405" t="n">
        <v>1</v>
      </c>
      <c r="L1405" t="n">
        <v>0</v>
      </c>
      <c r="M1405" t="n">
        <v>0</v>
      </c>
      <c r="N1405" t="n">
        <v>5</v>
      </c>
      <c r="O1405" s="1">
        <f>IFERROR(L1405*G1405,0)</f>
        <v/>
      </c>
      <c r="P1405">
        <f>IF(N1405-L1405-M1405&gt;0,N1405-L1405-M1405,0)</f>
        <v/>
      </c>
      <c r="Q1405" s="1">
        <f>IFERROR(P1405*G1405,0)</f>
        <v/>
      </c>
    </row>
    <row r="1406">
      <c r="A1406" t="inlineStr">
        <is>
          <t>Partial Payment</t>
        </is>
      </c>
      <c r="B1406" t="inlineStr">
        <is>
          <t>Industrial fan - Partial Payment</t>
        </is>
      </c>
      <c r="C1406" t="inlineStr"/>
      <c r="D1406" t="n">
        <v>1</v>
      </c>
      <c r="E1406" t="n">
        <v>0</v>
      </c>
      <c r="F1406" t="inlineStr"/>
      <c r="G1406" s="1" t="n">
        <v>0</v>
      </c>
      <c r="H1406" t="n">
        <v>1</v>
      </c>
      <c r="I1406" t="n">
        <v>0.5</v>
      </c>
      <c r="J1406" t="n">
        <v>1</v>
      </c>
      <c r="K1406" t="n">
        <v>1</v>
      </c>
      <c r="L1406" t="n">
        <v>0</v>
      </c>
      <c r="M1406" t="n">
        <v>0</v>
      </c>
      <c r="N1406" t="n">
        <v>2</v>
      </c>
      <c r="O1406" s="1">
        <f>IFERROR(L1406*G1406,0)</f>
        <v/>
      </c>
      <c r="P1406">
        <f>IF(N1406-L1406-M1406&gt;0,N1406-L1406-M1406,0)</f>
        <v/>
      </c>
      <c r="Q1406" s="1">
        <f>IFERROR(P1406*G1406,0)</f>
        <v/>
      </c>
    </row>
    <row r="1407">
      <c r="A1407" t="inlineStr">
        <is>
          <t>Pl Blades</t>
        </is>
      </c>
      <c r="B1407" t="inlineStr">
        <is>
          <t>Plastic Blades</t>
        </is>
      </c>
      <c r="C1407" t="inlineStr">
        <is>
          <t>FM - IMPELLER</t>
        </is>
      </c>
      <c r="D1407" t="n">
        <v>21</v>
      </c>
      <c r="E1407" t="n">
        <v>1205</v>
      </c>
      <c r="F1407" t="inlineStr">
        <is>
          <t>CFW Fans (Pty) Ltd</t>
        </is>
      </c>
      <c r="G1407" s="1" t="n">
        <v>42</v>
      </c>
      <c r="H1407" t="n">
        <v>0</v>
      </c>
      <c r="I1407" t="n">
        <v>0.5</v>
      </c>
      <c r="J1407" t="n">
        <v>57.5</v>
      </c>
      <c r="K1407" t="n">
        <v>29</v>
      </c>
      <c r="L1407" t="n">
        <v>0</v>
      </c>
      <c r="M1407" t="n">
        <v>100</v>
      </c>
      <c r="N1407" t="n">
        <v>144</v>
      </c>
      <c r="O1407" s="1">
        <f>IFERROR(L1407*G1407,0)</f>
        <v/>
      </c>
      <c r="P1407">
        <f>IF(N1407-L1407-M1407&gt;0,N1407-L1407-M1407,0)</f>
        <v/>
      </c>
      <c r="Q1407" s="1">
        <f>IFERROR(P1407*G1407,0)</f>
        <v/>
      </c>
    </row>
    <row r="1408">
      <c r="A1408" t="inlineStr">
        <is>
          <t>Pl Blanks</t>
        </is>
      </c>
      <c r="B1408" t="inlineStr">
        <is>
          <t>Plastic Blanks</t>
        </is>
      </c>
      <c r="C1408" t="inlineStr">
        <is>
          <t>FM - IMPELLER</t>
        </is>
      </c>
      <c r="D1408" t="n">
        <v>18</v>
      </c>
      <c r="E1408" t="n">
        <v>290</v>
      </c>
      <c r="F1408" t="inlineStr">
        <is>
          <t>CFW Fans (Pty) Ltd</t>
        </is>
      </c>
      <c r="G1408" s="1" t="n">
        <v>11</v>
      </c>
      <c r="H1408" t="n">
        <v>0</v>
      </c>
      <c r="I1408" t="n">
        <v>0.5</v>
      </c>
      <c r="J1408" t="n">
        <v>16.5</v>
      </c>
      <c r="K1408" t="n">
        <v>8</v>
      </c>
      <c r="L1408" t="n">
        <v>0</v>
      </c>
      <c r="M1408" t="n">
        <v>0</v>
      </c>
      <c r="N1408" t="n">
        <v>41</v>
      </c>
      <c r="O1408" s="1">
        <f>IFERROR(L1408*G1408,0)</f>
        <v/>
      </c>
      <c r="P1408">
        <f>IF(N1408-L1408-M1408&gt;0,N1408-L1408-M1408,0)</f>
        <v/>
      </c>
      <c r="Q1408" s="1">
        <f>IFERROR(P1408*G1408,0)</f>
        <v/>
      </c>
    </row>
    <row r="1409">
      <c r="A1409" t="inlineStr">
        <is>
          <t>Plasma Cuts</t>
        </is>
      </c>
      <c r="B1409" t="inlineStr">
        <is>
          <t>Sheets cut(10), Plates cut(56) &amp; Ends Cut(60)</t>
        </is>
      </c>
      <c r="C1409" t="inlineStr"/>
      <c r="D1409" t="n">
        <v>1</v>
      </c>
      <c r="E1409" t="n">
        <v>1</v>
      </c>
      <c r="F1409" t="inlineStr">
        <is>
          <t>Intervent-Universal (Pty) Ltd</t>
        </is>
      </c>
      <c r="G1409" s="1" t="n">
        <v>5600</v>
      </c>
      <c r="H1409" t="n">
        <v>0</v>
      </c>
      <c r="I1409" t="n">
        <v>0.5</v>
      </c>
      <c r="J1409" t="n">
        <v>1</v>
      </c>
      <c r="K1409" t="n">
        <v>1</v>
      </c>
      <c r="L1409" t="n">
        <v>0</v>
      </c>
      <c r="M1409" t="n">
        <v>0</v>
      </c>
      <c r="N1409" t="n">
        <v>2</v>
      </c>
      <c r="O1409" s="1">
        <f>IFERROR(L1409*G1409,0)</f>
        <v/>
      </c>
      <c r="P1409">
        <f>IF(N1409-L1409-M1409&gt;0,N1409-L1409-M1409,0)</f>
        <v/>
      </c>
      <c r="Q1409" s="1">
        <f>IFERROR(P1409*G1409,0)</f>
        <v/>
      </c>
    </row>
    <row r="1410">
      <c r="A1410" t="inlineStr">
        <is>
          <t>QCP-</t>
        </is>
      </c>
      <c r="B1410" t="inlineStr">
        <is>
          <t>Data Book</t>
        </is>
      </c>
      <c r="C1410" t="inlineStr"/>
      <c r="D1410" t="n">
        <v>24</v>
      </c>
      <c r="E1410" t="n">
        <v>0</v>
      </c>
      <c r="F1410" t="inlineStr"/>
      <c r="G1410" s="1" t="n">
        <v>0</v>
      </c>
      <c r="H1410" t="n">
        <v>16</v>
      </c>
      <c r="I1410" t="n">
        <v>0.5</v>
      </c>
      <c r="J1410" t="n">
        <v>1</v>
      </c>
      <c r="K1410" t="n">
        <v>1</v>
      </c>
      <c r="L1410" t="n">
        <v>0</v>
      </c>
      <c r="M1410" t="n">
        <v>0</v>
      </c>
      <c r="N1410" t="n">
        <v>2</v>
      </c>
      <c r="O1410" s="1">
        <f>IFERROR(L1410*G1410,0)</f>
        <v/>
      </c>
      <c r="P1410">
        <f>IF(N1410-L1410-M1410&gt;0,N1410-L1410-M1410,0)</f>
        <v/>
      </c>
      <c r="Q1410" s="1">
        <f>IFERROR(P1410*G1410,0)</f>
        <v/>
      </c>
    </row>
    <row r="1411">
      <c r="A1411" t="inlineStr">
        <is>
          <t>QD GP 25LT</t>
        </is>
      </c>
      <c r="B1411" t="inlineStr">
        <is>
          <t>QD GREY PRIMER 25LT</t>
        </is>
      </c>
      <c r="C1411" t="inlineStr">
        <is>
          <t>CONSUMABLES</t>
        </is>
      </c>
      <c r="D1411" t="n">
        <v>1</v>
      </c>
      <c r="E1411" t="n">
        <v>1</v>
      </c>
      <c r="F1411" t="inlineStr">
        <is>
          <t>MG AUTO PAINT (PTY) LTD</t>
        </is>
      </c>
      <c r="G1411" s="1" t="n">
        <v>1173.91</v>
      </c>
      <c r="H1411" t="n">
        <v>0</v>
      </c>
      <c r="I1411" t="n">
        <v>0.5</v>
      </c>
      <c r="J1411" t="n">
        <v>1</v>
      </c>
      <c r="K1411" t="n">
        <v>1</v>
      </c>
      <c r="L1411" t="n">
        <v>0</v>
      </c>
      <c r="M1411" t="n">
        <v>0</v>
      </c>
      <c r="N1411" t="n">
        <v>2</v>
      </c>
      <c r="O1411" s="1">
        <f>IFERROR(L1411*G1411,0)</f>
        <v/>
      </c>
      <c r="P1411">
        <f>IF(N1411-L1411-M1411&gt;0,N1411-L1411-M1411,0)</f>
        <v/>
      </c>
      <c r="Q1411" s="1">
        <f>IFERROR(P1411*G1411,0)</f>
        <v/>
      </c>
    </row>
    <row r="1412">
      <c r="A1412" t="inlineStr">
        <is>
          <t>QD GP 5LT</t>
        </is>
      </c>
      <c r="B1412" t="inlineStr">
        <is>
          <t>QD GREY PRIMER 5LT</t>
        </is>
      </c>
      <c r="C1412" t="inlineStr"/>
      <c r="D1412" t="n">
        <v>1</v>
      </c>
      <c r="E1412" t="n">
        <v>1</v>
      </c>
      <c r="F1412" t="inlineStr">
        <is>
          <t>MG AUTO PAINT (PTY) LTD</t>
        </is>
      </c>
      <c r="G1412" s="1" t="n">
        <v>243.48</v>
      </c>
      <c r="H1412" t="n">
        <v>0</v>
      </c>
      <c r="I1412" t="n">
        <v>0.5</v>
      </c>
      <c r="J1412" t="n">
        <v>1</v>
      </c>
      <c r="K1412" t="n">
        <v>1</v>
      </c>
      <c r="L1412" t="n">
        <v>0</v>
      </c>
      <c r="M1412" t="n">
        <v>0</v>
      </c>
      <c r="N1412" t="n">
        <v>2</v>
      </c>
      <c r="O1412" s="1">
        <f>IFERROR(L1412*G1412,0)</f>
        <v/>
      </c>
      <c r="P1412">
        <f>IF(N1412-L1412-M1412&gt;0,N1412-L1412-M1412,0)</f>
        <v/>
      </c>
      <c r="Q1412" s="1">
        <f>IFERROR(P1412*G1412,0)</f>
        <v/>
      </c>
    </row>
    <row r="1413">
      <c r="A1413" t="inlineStr">
        <is>
          <t>QD MIX 25LT</t>
        </is>
      </c>
      <c r="B1413" t="inlineStr">
        <is>
          <t>QD MIX 25LT MINES GREY</t>
        </is>
      </c>
      <c r="C1413" t="inlineStr">
        <is>
          <t>CONSUMABLES</t>
        </is>
      </c>
      <c r="D1413" t="n">
        <v>1</v>
      </c>
      <c r="E1413" t="n">
        <v>1</v>
      </c>
      <c r="F1413" t="inlineStr">
        <is>
          <t>MG AUTO PAINT (PTY) LTD</t>
        </is>
      </c>
      <c r="G1413" s="1" t="n">
        <v>1691.3</v>
      </c>
      <c r="H1413" t="n">
        <v>0</v>
      </c>
      <c r="I1413" t="n">
        <v>0.5</v>
      </c>
      <c r="J1413" t="n">
        <v>1</v>
      </c>
      <c r="K1413" t="n">
        <v>1</v>
      </c>
      <c r="L1413" t="n">
        <v>0</v>
      </c>
      <c r="M1413" t="n">
        <v>0</v>
      </c>
      <c r="N1413" t="n">
        <v>2</v>
      </c>
      <c r="O1413" s="1">
        <f>IFERROR(L1413*G1413,0)</f>
        <v/>
      </c>
      <c r="P1413">
        <f>IF(N1413-L1413-M1413&gt;0,N1413-L1413-M1413,0)</f>
        <v/>
      </c>
      <c r="Q1413" s="1">
        <f>IFERROR(P1413*G1413,0)</f>
        <v/>
      </c>
    </row>
    <row r="1414">
      <c r="A1414" t="inlineStr">
        <is>
          <t>RA</t>
        </is>
      </c>
      <c r="B1414" t="inlineStr">
        <is>
          <t>1500x600x850 long Rectangular Attenuator</t>
        </is>
      </c>
      <c r="C1414" t="inlineStr"/>
      <c r="D1414" t="n">
        <v>1</v>
      </c>
      <c r="E1414" t="n">
        <v>6</v>
      </c>
      <c r="F1414" t="inlineStr">
        <is>
          <t>Attenu-Tec</t>
        </is>
      </c>
      <c r="G1414" s="1" t="n">
        <v>7907</v>
      </c>
      <c r="H1414" t="n">
        <v>6</v>
      </c>
      <c r="I1414" t="n">
        <v>1.1</v>
      </c>
      <c r="J1414" t="n">
        <v>6</v>
      </c>
      <c r="K1414" t="n">
        <v>7</v>
      </c>
      <c r="L1414" t="n">
        <v>0</v>
      </c>
      <c r="M1414" t="n">
        <v>0</v>
      </c>
      <c r="N1414" t="n">
        <v>19</v>
      </c>
      <c r="O1414" s="1">
        <f>IFERROR(L1414*G1414,0)</f>
        <v/>
      </c>
      <c r="P1414">
        <f>IF(N1414-L1414-M1414&gt;0,N1414-L1414-M1414,0)</f>
        <v/>
      </c>
      <c r="Q1414" s="1">
        <f>IFERROR(P1414*G1414,0)</f>
        <v/>
      </c>
    </row>
    <row r="1415">
      <c r="A1415" t="inlineStr">
        <is>
          <t>RAD100</t>
        </is>
      </c>
      <c r="B1415" t="inlineStr">
        <is>
          <t>RAD 100</t>
        </is>
      </c>
      <c r="C1415" t="inlineStr">
        <is>
          <t>FM - KAYITES</t>
        </is>
      </c>
      <c r="D1415" t="n">
        <v>30</v>
      </c>
      <c r="E1415" t="n">
        <v>20</v>
      </c>
      <c r="F1415" t="inlineStr">
        <is>
          <t>Kayites</t>
        </is>
      </c>
      <c r="G1415" s="1" t="n">
        <v>460.87</v>
      </c>
      <c r="H1415" t="n">
        <v>38</v>
      </c>
      <c r="I1415" t="n">
        <v>0.5</v>
      </c>
      <c r="J1415" t="n">
        <v>1.5</v>
      </c>
      <c r="K1415" t="n">
        <v>1</v>
      </c>
      <c r="L1415" t="n">
        <v>0</v>
      </c>
      <c r="M1415" t="n">
        <v>0</v>
      </c>
      <c r="N1415" t="n">
        <v>4</v>
      </c>
      <c r="O1415" s="1">
        <f>IFERROR(L1415*G1415,0)</f>
        <v/>
      </c>
      <c r="P1415">
        <f>IF(N1415-L1415-M1415&gt;0,N1415-L1415-M1415,0)</f>
        <v/>
      </c>
      <c r="Q1415" s="1">
        <f>IFERROR(P1415*G1415,0)</f>
        <v/>
      </c>
    </row>
    <row r="1416">
      <c r="A1416" t="inlineStr">
        <is>
          <t>RAD125</t>
        </is>
      </c>
      <c r="B1416" t="inlineStr">
        <is>
          <t>RAD 125</t>
        </is>
      </c>
      <c r="C1416" t="inlineStr">
        <is>
          <t>FM - KAYITES</t>
        </is>
      </c>
      <c r="D1416" t="n">
        <v>17</v>
      </c>
      <c r="E1416" t="n">
        <v>20</v>
      </c>
      <c r="F1416" t="inlineStr">
        <is>
          <t>Kayites</t>
        </is>
      </c>
      <c r="G1416" s="1" t="n">
        <v>516.49</v>
      </c>
      <c r="H1416" t="n">
        <v>8</v>
      </c>
      <c r="I1416" t="n">
        <v>0.5</v>
      </c>
      <c r="J1416" t="n">
        <v>1.5</v>
      </c>
      <c r="K1416" t="n">
        <v>1</v>
      </c>
      <c r="L1416" t="n">
        <v>0</v>
      </c>
      <c r="M1416" t="n">
        <v>0</v>
      </c>
      <c r="N1416" t="n">
        <v>4</v>
      </c>
      <c r="O1416" s="1">
        <f>IFERROR(L1416*G1416,0)</f>
        <v/>
      </c>
      <c r="P1416">
        <f>IF(N1416-L1416-M1416&gt;0,N1416-L1416-M1416,0)</f>
        <v/>
      </c>
      <c r="Q1416" s="1">
        <f>IFERROR(P1416*G1416,0)</f>
        <v/>
      </c>
    </row>
    <row r="1417">
      <c r="A1417" t="inlineStr">
        <is>
          <t>RAD150</t>
        </is>
      </c>
      <c r="B1417" t="inlineStr">
        <is>
          <t>RAD 150</t>
        </is>
      </c>
      <c r="C1417" t="inlineStr">
        <is>
          <t>FM - KAYITES</t>
        </is>
      </c>
      <c r="D1417" t="n">
        <v>30</v>
      </c>
      <c r="E1417" t="n">
        <v>95</v>
      </c>
      <c r="F1417" t="inlineStr">
        <is>
          <t>Kayites</t>
        </is>
      </c>
      <c r="G1417" s="1" t="n">
        <v>517.79</v>
      </c>
      <c r="H1417" t="n">
        <v>97</v>
      </c>
      <c r="I1417" t="n">
        <v>0.6</v>
      </c>
      <c r="J1417" t="n">
        <v>3.5</v>
      </c>
      <c r="K1417" t="n">
        <v>2</v>
      </c>
      <c r="L1417" t="n">
        <v>0</v>
      </c>
      <c r="M1417" t="n">
        <v>0</v>
      </c>
      <c r="N1417" t="n">
        <v>9</v>
      </c>
      <c r="O1417" s="1">
        <f>IFERROR(L1417*G1417,0)</f>
        <v/>
      </c>
      <c r="P1417">
        <f>IF(N1417-L1417-M1417&gt;0,N1417-L1417-M1417,0)</f>
        <v/>
      </c>
      <c r="Q1417" s="1">
        <f>IFERROR(P1417*G1417,0)</f>
        <v/>
      </c>
    </row>
    <row r="1418">
      <c r="A1418" t="inlineStr">
        <is>
          <t>RAD200</t>
        </is>
      </c>
      <c r="B1418" t="inlineStr">
        <is>
          <t>RAD 200</t>
        </is>
      </c>
      <c r="C1418" t="inlineStr">
        <is>
          <t>FM - KAYITES</t>
        </is>
      </c>
      <c r="D1418" t="n">
        <v>34</v>
      </c>
      <c r="E1418" t="n">
        <v>177</v>
      </c>
      <c r="F1418" t="inlineStr">
        <is>
          <t>Kayites</t>
        </is>
      </c>
      <c r="G1418" s="1" t="n">
        <v>706.0700000000001</v>
      </c>
      <c r="H1418" t="n">
        <v>197</v>
      </c>
      <c r="I1418" t="n">
        <v>0.6</v>
      </c>
      <c r="J1418" t="n">
        <v>6</v>
      </c>
      <c r="K1418" t="n">
        <v>4</v>
      </c>
      <c r="L1418" t="n">
        <v>0</v>
      </c>
      <c r="M1418" t="n">
        <v>0</v>
      </c>
      <c r="N1418" t="n">
        <v>16</v>
      </c>
      <c r="O1418" s="1">
        <f>IFERROR(L1418*G1418,0)</f>
        <v/>
      </c>
      <c r="P1418">
        <f>IF(N1418-L1418-M1418&gt;0,N1418-L1418-M1418,0)</f>
        <v/>
      </c>
      <c r="Q1418" s="1">
        <f>IFERROR(P1418*G1418,0)</f>
        <v/>
      </c>
    </row>
    <row r="1419">
      <c r="A1419" t="inlineStr">
        <is>
          <t>RAD250</t>
        </is>
      </c>
      <c r="B1419" t="inlineStr">
        <is>
          <t>RAD 250</t>
        </is>
      </c>
      <c r="C1419" t="inlineStr">
        <is>
          <t>FM - KAYITES</t>
        </is>
      </c>
      <c r="D1419" t="n">
        <v>33</v>
      </c>
      <c r="E1419" t="n">
        <v>164</v>
      </c>
      <c r="F1419" t="inlineStr">
        <is>
          <t>Kayites</t>
        </is>
      </c>
      <c r="G1419" s="1" t="n">
        <v>776.6799999999999</v>
      </c>
      <c r="H1419" t="n">
        <v>151</v>
      </c>
      <c r="I1419" t="n">
        <v>0.5</v>
      </c>
      <c r="J1419" t="n">
        <v>5</v>
      </c>
      <c r="K1419" t="n">
        <v>2</v>
      </c>
      <c r="L1419" t="n">
        <v>0</v>
      </c>
      <c r="M1419" t="n">
        <v>0</v>
      </c>
      <c r="N1419" t="n">
        <v>12</v>
      </c>
      <c r="O1419" s="1">
        <f>IFERROR(L1419*G1419,0)</f>
        <v/>
      </c>
      <c r="P1419">
        <f>IF(N1419-L1419-M1419&gt;0,N1419-L1419-M1419,0)</f>
        <v/>
      </c>
      <c r="Q1419" s="1">
        <f>IFERROR(P1419*G1419,0)</f>
        <v/>
      </c>
    </row>
    <row r="1420">
      <c r="A1420" t="inlineStr">
        <is>
          <t>RAD315</t>
        </is>
      </c>
      <c r="B1420" t="inlineStr">
        <is>
          <t>RAD 315</t>
        </is>
      </c>
      <c r="C1420" t="inlineStr">
        <is>
          <t>FM - KAYITES</t>
        </is>
      </c>
      <c r="D1420" t="n">
        <v>33</v>
      </c>
      <c r="E1420" t="n">
        <v>174</v>
      </c>
      <c r="F1420" t="inlineStr">
        <is>
          <t>Kayites</t>
        </is>
      </c>
      <c r="G1420" s="1" t="n">
        <v>941.4299999999999</v>
      </c>
      <c r="H1420" t="n">
        <v>189</v>
      </c>
      <c r="I1420" t="n">
        <v>0.6</v>
      </c>
      <c r="J1420" t="n">
        <v>6</v>
      </c>
      <c r="K1420" t="n">
        <v>4</v>
      </c>
      <c r="L1420" t="n">
        <v>0</v>
      </c>
      <c r="M1420" t="n">
        <v>0</v>
      </c>
      <c r="N1420" t="n">
        <v>16</v>
      </c>
      <c r="O1420" s="1">
        <f>IFERROR(L1420*G1420,0)</f>
        <v/>
      </c>
      <c r="P1420">
        <f>IF(N1420-L1420-M1420&gt;0,N1420-L1420-M1420,0)</f>
        <v/>
      </c>
      <c r="Q1420" s="1">
        <f>IFERROR(P1420*G1420,0)</f>
        <v/>
      </c>
    </row>
    <row r="1421">
      <c r="A1421" t="inlineStr">
        <is>
          <t>RAD355</t>
        </is>
      </c>
      <c r="B1421" t="inlineStr">
        <is>
          <t>RAD 355</t>
        </is>
      </c>
      <c r="C1421" t="inlineStr">
        <is>
          <t>FM - KAYITES</t>
        </is>
      </c>
      <c r="D1421" t="n">
        <v>32</v>
      </c>
      <c r="E1421" t="n">
        <v>66</v>
      </c>
      <c r="F1421" t="inlineStr">
        <is>
          <t>Kayites</t>
        </is>
      </c>
      <c r="G1421" s="1" t="n">
        <v>1684.24</v>
      </c>
      <c r="H1421" t="n">
        <v>60</v>
      </c>
      <c r="I1421" t="n">
        <v>0.6</v>
      </c>
      <c r="J1421" t="n">
        <v>2.5</v>
      </c>
      <c r="K1421" t="n">
        <v>2</v>
      </c>
      <c r="L1421" t="n">
        <v>0</v>
      </c>
      <c r="M1421" t="n">
        <v>0</v>
      </c>
      <c r="N1421" t="n">
        <v>7</v>
      </c>
      <c r="O1421" s="1">
        <f>IFERROR(L1421*G1421,0)</f>
        <v/>
      </c>
      <c r="P1421">
        <f>IF(N1421-L1421-M1421&gt;0,N1421-L1421-M1421,0)</f>
        <v/>
      </c>
      <c r="Q1421" s="1">
        <f>IFERROR(P1421*G1421,0)</f>
        <v/>
      </c>
    </row>
    <row r="1422">
      <c r="A1422" t="inlineStr">
        <is>
          <t>REC10050</t>
        </is>
      </c>
      <c r="B1422" t="inlineStr">
        <is>
          <t>REC 100-50</t>
        </is>
      </c>
      <c r="C1422" t="inlineStr">
        <is>
          <t>FM - KAYITES</t>
        </is>
      </c>
      <c r="D1422" t="n">
        <v>1</v>
      </c>
      <c r="E1422" t="n">
        <v>1</v>
      </c>
      <c r="F1422" t="inlineStr">
        <is>
          <t>Kayites</t>
        </is>
      </c>
      <c r="G1422" s="1" t="n">
        <v>10123.17</v>
      </c>
      <c r="H1422" t="n">
        <v>0</v>
      </c>
      <c r="I1422" t="n">
        <v>0.7</v>
      </c>
      <c r="J1422" t="n">
        <v>1</v>
      </c>
      <c r="K1422" t="n">
        <v>1</v>
      </c>
      <c r="L1422" t="n">
        <v>0</v>
      </c>
      <c r="M1422" t="n">
        <v>0</v>
      </c>
      <c r="N1422" t="n">
        <v>3</v>
      </c>
      <c r="O1422" s="1">
        <f>IFERROR(L1422*G1422,0)</f>
        <v/>
      </c>
      <c r="P1422">
        <f>IF(N1422-L1422-M1422&gt;0,N1422-L1422-M1422,0)</f>
        <v/>
      </c>
      <c r="Q1422" s="1">
        <f>IFERROR(P1422*G1422,0)</f>
        <v/>
      </c>
    </row>
    <row r="1423">
      <c r="A1423" t="inlineStr">
        <is>
          <t>REC5025</t>
        </is>
      </c>
      <c r="B1423" t="inlineStr">
        <is>
          <t>REC 50-25</t>
        </is>
      </c>
      <c r="C1423" t="inlineStr">
        <is>
          <t>FM - KAYITES</t>
        </is>
      </c>
      <c r="D1423" t="n">
        <v>24</v>
      </c>
      <c r="E1423" t="n">
        <v>1</v>
      </c>
      <c r="F1423" t="inlineStr">
        <is>
          <t>Kayites</t>
        </is>
      </c>
      <c r="G1423" s="1" t="n">
        <v>989.28</v>
      </c>
      <c r="H1423" t="n">
        <v>3</v>
      </c>
      <c r="I1423" t="n">
        <v>0.7</v>
      </c>
      <c r="J1423" t="n">
        <v>1</v>
      </c>
      <c r="K1423" t="n">
        <v>1</v>
      </c>
      <c r="L1423" t="n">
        <v>0</v>
      </c>
      <c r="M1423" t="n">
        <v>0</v>
      </c>
      <c r="N1423" t="n">
        <v>3</v>
      </c>
      <c r="O1423" s="1">
        <f>IFERROR(L1423*G1423,0)</f>
        <v/>
      </c>
      <c r="P1423">
        <f>IF(N1423-L1423-M1423&gt;0,N1423-L1423-M1423,0)</f>
        <v/>
      </c>
      <c r="Q1423" s="1">
        <f>IFERROR(P1423*G1423,0)</f>
        <v/>
      </c>
    </row>
    <row r="1424">
      <c r="A1424" t="inlineStr">
        <is>
          <t>REC6035</t>
        </is>
      </c>
      <c r="B1424" t="inlineStr">
        <is>
          <t>REC 60-35</t>
        </is>
      </c>
      <c r="C1424" t="inlineStr">
        <is>
          <t>FM - KAYITES</t>
        </is>
      </c>
      <c r="D1424" t="n">
        <v>28</v>
      </c>
      <c r="E1424" t="n">
        <v>12</v>
      </c>
      <c r="F1424" t="inlineStr">
        <is>
          <t>Kayites</t>
        </is>
      </c>
      <c r="G1424" s="1" t="n">
        <v>3603.38</v>
      </c>
      <c r="H1424" t="n">
        <v>12</v>
      </c>
      <c r="I1424" t="n">
        <v>0.5</v>
      </c>
      <c r="J1424" t="n">
        <v>1</v>
      </c>
      <c r="K1424" t="n">
        <v>1</v>
      </c>
      <c r="L1424" t="n">
        <v>0</v>
      </c>
      <c r="M1424" t="n">
        <v>0</v>
      </c>
      <c r="N1424" t="n">
        <v>2</v>
      </c>
      <c r="O1424" s="1">
        <f>IFERROR(L1424*G1424,0)</f>
        <v/>
      </c>
      <c r="P1424">
        <f>IF(N1424-L1424-M1424&gt;0,N1424-L1424-M1424,0)</f>
        <v/>
      </c>
      <c r="Q1424" s="1">
        <f>IFERROR(P1424*G1424,0)</f>
        <v/>
      </c>
    </row>
    <row r="1425">
      <c r="A1425" t="inlineStr">
        <is>
          <t>REC7040</t>
        </is>
      </c>
      <c r="B1425" t="inlineStr">
        <is>
          <t>REC 70-40</t>
        </is>
      </c>
      <c r="C1425" t="inlineStr">
        <is>
          <t>FM - KAYITES</t>
        </is>
      </c>
      <c r="D1425" t="n">
        <v>28</v>
      </c>
      <c r="E1425" t="n">
        <v>2</v>
      </c>
      <c r="F1425" t="inlineStr">
        <is>
          <t>Kayites</t>
        </is>
      </c>
      <c r="G1425" s="1" t="n">
        <v>4569.86</v>
      </c>
      <c r="H1425" t="n">
        <v>4</v>
      </c>
      <c r="I1425" t="n">
        <v>0.5</v>
      </c>
      <c r="J1425" t="n">
        <v>1</v>
      </c>
      <c r="K1425" t="n">
        <v>1</v>
      </c>
      <c r="L1425" t="n">
        <v>0</v>
      </c>
      <c r="M1425" t="n">
        <v>0</v>
      </c>
      <c r="N1425" t="n">
        <v>2</v>
      </c>
      <c r="O1425" s="1">
        <f>IFERROR(L1425*G1425,0)</f>
        <v/>
      </c>
      <c r="P1425">
        <f>IF(N1425-L1425-M1425&gt;0,N1425-L1425-M1425,0)</f>
        <v/>
      </c>
      <c r="Q1425" s="1">
        <f>IFERROR(P1425*G1425,0)</f>
        <v/>
      </c>
    </row>
    <row r="1426">
      <c r="A1426" t="inlineStr">
        <is>
          <t>RECT ATT</t>
        </is>
      </c>
      <c r="B1426" t="inlineStr">
        <is>
          <t>1100 X 1100 and 1500mm Long</t>
        </is>
      </c>
      <c r="C1426" t="inlineStr"/>
      <c r="D1426" t="n">
        <v>1</v>
      </c>
      <c r="E1426" t="n">
        <v>4</v>
      </c>
      <c r="F1426" t="inlineStr">
        <is>
          <t>Attenu-Tec</t>
        </is>
      </c>
      <c r="G1426" s="1" t="n">
        <v>2985</v>
      </c>
      <c r="H1426" t="n">
        <v>18</v>
      </c>
      <c r="I1426" t="n">
        <v>0.5</v>
      </c>
      <c r="J1426" t="n">
        <v>18</v>
      </c>
      <c r="K1426" t="n">
        <v>9</v>
      </c>
      <c r="L1426" t="n">
        <v>0</v>
      </c>
      <c r="M1426" t="n">
        <v>0</v>
      </c>
      <c r="N1426" t="n">
        <v>45</v>
      </c>
      <c r="O1426" s="1">
        <f>IFERROR(L1426*G1426,0)</f>
        <v/>
      </c>
      <c r="P1426">
        <f>IF(N1426-L1426-M1426&gt;0,N1426-L1426-M1426,0)</f>
        <v/>
      </c>
      <c r="Q1426" s="1">
        <f>IFERROR(P1426*G1426,0)</f>
        <v/>
      </c>
    </row>
    <row r="1427">
      <c r="A1427" t="inlineStr">
        <is>
          <t>REFURBISHING</t>
        </is>
      </c>
      <c r="B1427" t="inlineStr">
        <is>
          <t>FAN REFURBISHMENT</t>
        </is>
      </c>
      <c r="C1427" t="inlineStr"/>
      <c r="D1427" t="n">
        <v>1</v>
      </c>
      <c r="E1427" t="n">
        <v>0</v>
      </c>
      <c r="F1427" t="inlineStr"/>
      <c r="G1427" s="1" t="n">
        <v>0</v>
      </c>
      <c r="H1427" t="n">
        <v>1</v>
      </c>
      <c r="I1427" t="n">
        <v>0.5</v>
      </c>
      <c r="J1427" t="n">
        <v>1</v>
      </c>
      <c r="K1427" t="n">
        <v>1</v>
      </c>
      <c r="L1427" t="n">
        <v>0</v>
      </c>
      <c r="M1427" t="n">
        <v>0</v>
      </c>
      <c r="N1427" t="n">
        <v>2</v>
      </c>
      <c r="O1427" s="1">
        <f>IFERROR(L1427*G1427,0)</f>
        <v/>
      </c>
      <c r="P1427">
        <f>IF(N1427-L1427-M1427&gt;0,N1427-L1427-M1427,0)</f>
        <v/>
      </c>
      <c r="Q1427" s="1">
        <f>IFERROR(P1427*G1427,0)</f>
        <v/>
      </c>
    </row>
    <row r="1428">
      <c r="A1428" t="inlineStr">
        <is>
          <t>RENTAL</t>
        </is>
      </c>
      <c r="B1428" t="inlineStr">
        <is>
          <t>RENTAL</t>
        </is>
      </c>
      <c r="C1428" t="inlineStr"/>
      <c r="D1428" t="n">
        <v>12</v>
      </c>
      <c r="E1428" t="n">
        <v>11</v>
      </c>
      <c r="F1428" t="inlineStr">
        <is>
          <t>Stand 231 Alrode South CC</t>
        </is>
      </c>
      <c r="G1428" s="1" t="n">
        <v>41745.45</v>
      </c>
      <c r="H1428" t="n">
        <v>0</v>
      </c>
      <c r="I1428" t="n">
        <v>0.5</v>
      </c>
      <c r="J1428" t="n">
        <v>1</v>
      </c>
      <c r="K1428" t="n">
        <v>1</v>
      </c>
      <c r="L1428" t="n">
        <v>0</v>
      </c>
      <c r="M1428" t="n">
        <v>0</v>
      </c>
      <c r="N1428" t="n">
        <v>2</v>
      </c>
      <c r="O1428" s="1">
        <f>IFERROR(L1428*G1428,0)</f>
        <v/>
      </c>
      <c r="P1428">
        <f>IF(N1428-L1428-M1428&gt;0,N1428-L1428-M1428,0)</f>
        <v/>
      </c>
      <c r="Q1428" s="1">
        <f>IFERROR(P1428*G1428,0)</f>
        <v/>
      </c>
    </row>
    <row r="1429">
      <c r="A1429" t="inlineStr">
        <is>
          <t>REPAIR-BLADE</t>
        </is>
      </c>
      <c r="B1429" t="inlineStr">
        <is>
          <t>315 X 70 Wide Radical Bladed Fan - Existing Inlet ring removed - New one Manufactured &amp; re-assembled</t>
        </is>
      </c>
      <c r="C1429" t="inlineStr">
        <is>
          <t>CONSUMABLES</t>
        </is>
      </c>
      <c r="D1429" t="n">
        <v>1</v>
      </c>
      <c r="E1429" t="n">
        <v>1</v>
      </c>
      <c r="F1429" t="inlineStr">
        <is>
          <t>Airtec Fans &amp; Engineering</t>
        </is>
      </c>
      <c r="G1429" s="1" t="n">
        <v>1625</v>
      </c>
      <c r="H1429" t="n">
        <v>1</v>
      </c>
      <c r="I1429" t="n">
        <v>0.5</v>
      </c>
      <c r="J1429" t="n">
        <v>1</v>
      </c>
      <c r="K1429" t="n">
        <v>1</v>
      </c>
      <c r="L1429" t="n">
        <v>0</v>
      </c>
      <c r="M1429" t="n">
        <v>0</v>
      </c>
      <c r="N1429" t="n">
        <v>2</v>
      </c>
      <c r="O1429" s="1">
        <f>IFERROR(L1429*G1429,0)</f>
        <v/>
      </c>
      <c r="P1429">
        <f>IF(N1429-L1429-M1429&gt;0,N1429-L1429-M1429,0)</f>
        <v/>
      </c>
      <c r="Q1429" s="1">
        <f>IFERROR(P1429*G1429,0)</f>
        <v/>
      </c>
    </row>
    <row r="1430">
      <c r="A1430" t="inlineStr">
        <is>
          <t>RIGM6</t>
        </is>
      </c>
      <c r="B1430" t="inlineStr">
        <is>
          <t>RIGID POC FILTERS 600X600X600 M6 6POC</t>
        </is>
      </c>
      <c r="C1430" t="inlineStr"/>
      <c r="D1430" t="n">
        <v>1</v>
      </c>
      <c r="E1430" t="n">
        <v>16</v>
      </c>
      <c r="F1430" t="inlineStr">
        <is>
          <t>Filtermac Design ( Pty) Ltd</t>
        </is>
      </c>
      <c r="G1430" s="1" t="n">
        <v>1050</v>
      </c>
      <c r="H1430" t="n">
        <v>0</v>
      </c>
      <c r="I1430" t="n">
        <v>0.8</v>
      </c>
      <c r="J1430" t="n">
        <v>16</v>
      </c>
      <c r="K1430" t="n">
        <v>13</v>
      </c>
      <c r="L1430" t="n">
        <v>0</v>
      </c>
      <c r="M1430" t="n">
        <v>0</v>
      </c>
      <c r="N1430" t="n">
        <v>45</v>
      </c>
      <c r="O1430" s="1">
        <f>IFERROR(L1430*G1430,0)</f>
        <v/>
      </c>
      <c r="P1430">
        <f>IF(N1430-L1430-M1430&gt;0,N1430-L1430-M1430,0)</f>
        <v/>
      </c>
      <c r="Q1430" s="1">
        <f>IFERROR(P1430*G1430,0)</f>
        <v/>
      </c>
    </row>
    <row r="1431">
      <c r="A1431" t="inlineStr">
        <is>
          <t>RS1-400</t>
        </is>
      </c>
      <c r="B1431" t="inlineStr">
        <is>
          <t>Controller 1.8 amp ( Excl.J.Box)</t>
        </is>
      </c>
      <c r="C1431" t="inlineStr"/>
      <c r="D1431" t="n">
        <v>1</v>
      </c>
      <c r="E1431" t="n">
        <v>0</v>
      </c>
      <c r="F1431" t="inlineStr">
        <is>
          <t>Luft Industries Natal (Pty) Ltd</t>
        </is>
      </c>
      <c r="G1431" s="1" t="n">
        <v>0</v>
      </c>
      <c r="H1431" t="n">
        <v>9</v>
      </c>
      <c r="I1431" t="n">
        <v>0.5</v>
      </c>
      <c r="J1431" t="n">
        <v>9</v>
      </c>
      <c r="K1431" t="n">
        <v>4</v>
      </c>
      <c r="L1431" t="n">
        <v>0</v>
      </c>
      <c r="M1431" t="n">
        <v>0</v>
      </c>
      <c r="N1431" t="n">
        <v>22</v>
      </c>
      <c r="O1431" s="1">
        <f>IFERROR(L1431*G1431,0)</f>
        <v/>
      </c>
      <c r="P1431">
        <f>IF(N1431-L1431-M1431&gt;0,N1431-L1431-M1431,0)</f>
        <v/>
      </c>
      <c r="Q1431" s="1">
        <f>IFERROR(P1431*G1431,0)</f>
        <v/>
      </c>
    </row>
    <row r="1432">
      <c r="A1432" t="inlineStr">
        <is>
          <t>RT1.25-4S</t>
        </is>
      </c>
      <c r="B1432" t="inlineStr">
        <is>
          <t>Red Ring Terminal 4mm Stud</t>
        </is>
      </c>
      <c r="C1432" t="inlineStr"/>
      <c r="D1432" t="n">
        <v>4</v>
      </c>
      <c r="E1432" t="n">
        <v>1600</v>
      </c>
      <c r="F1432" t="inlineStr">
        <is>
          <t>Cabrical (Pty) Ltd</t>
        </is>
      </c>
      <c r="G1432" s="1" t="n">
        <v>0.63</v>
      </c>
      <c r="H1432" t="n">
        <v>0</v>
      </c>
      <c r="I1432" t="n">
        <v>0.5</v>
      </c>
      <c r="J1432" t="n">
        <v>400</v>
      </c>
      <c r="K1432" t="n">
        <v>200</v>
      </c>
      <c r="L1432" t="n">
        <v>0</v>
      </c>
      <c r="M1432" t="n">
        <v>0</v>
      </c>
      <c r="N1432" t="n">
        <v>1000</v>
      </c>
      <c r="O1432" s="1">
        <f>IFERROR(L1432*G1432,0)</f>
        <v/>
      </c>
      <c r="P1432">
        <f>IF(N1432-L1432-M1432&gt;0,N1432-L1432-M1432,0)</f>
        <v/>
      </c>
      <c r="Q1432" s="1">
        <f>IFERROR(P1432*G1432,0)</f>
        <v/>
      </c>
    </row>
    <row r="1433">
      <c r="A1433" t="inlineStr">
        <is>
          <t>RT1.25-5S</t>
        </is>
      </c>
      <c r="B1433" t="inlineStr">
        <is>
          <t>Red Ring Terminal 5mm Stud</t>
        </is>
      </c>
      <c r="C1433" t="inlineStr"/>
      <c r="D1433" t="n">
        <v>4</v>
      </c>
      <c r="E1433" t="n">
        <v>1600</v>
      </c>
      <c r="F1433" t="inlineStr">
        <is>
          <t>Cabrical (Pty) Ltd</t>
        </is>
      </c>
      <c r="G1433" s="1" t="n">
        <v>0.7</v>
      </c>
      <c r="H1433" t="n">
        <v>0</v>
      </c>
      <c r="I1433" t="n">
        <v>0.5</v>
      </c>
      <c r="J1433" t="n">
        <v>400</v>
      </c>
      <c r="K1433" t="n">
        <v>200</v>
      </c>
      <c r="L1433" t="n">
        <v>0</v>
      </c>
      <c r="M1433" t="n">
        <v>0</v>
      </c>
      <c r="N1433" t="n">
        <v>1000</v>
      </c>
      <c r="O1433" s="1">
        <f>IFERROR(L1433*G1433,0)</f>
        <v/>
      </c>
      <c r="P1433">
        <f>IF(N1433-L1433-M1433&gt;0,N1433-L1433-M1433,0)</f>
        <v/>
      </c>
      <c r="Q1433" s="1">
        <f>IFERROR(P1433*G1433,0)</f>
        <v/>
      </c>
    </row>
    <row r="1434">
      <c r="A1434" t="inlineStr">
        <is>
          <t>RT1.25-6S</t>
        </is>
      </c>
      <c r="B1434" t="inlineStr">
        <is>
          <t>Red Ring Terminal 6mm Stud</t>
        </is>
      </c>
      <c r="C1434" t="inlineStr"/>
      <c r="D1434" t="n">
        <v>1</v>
      </c>
      <c r="E1434" t="n">
        <v>400</v>
      </c>
      <c r="F1434" t="inlineStr">
        <is>
          <t>Cabrical (Pty) Ltd</t>
        </is>
      </c>
      <c r="G1434" s="1" t="n">
        <v>0.91</v>
      </c>
      <c r="H1434" t="n">
        <v>0</v>
      </c>
      <c r="I1434" t="n">
        <v>0.5</v>
      </c>
      <c r="J1434" t="n">
        <v>400</v>
      </c>
      <c r="K1434" t="n">
        <v>200</v>
      </c>
      <c r="L1434" t="n">
        <v>0</v>
      </c>
      <c r="M1434" t="n">
        <v>0</v>
      </c>
      <c r="N1434" t="n">
        <v>1000</v>
      </c>
      <c r="O1434" s="1">
        <f>IFERROR(L1434*G1434,0)</f>
        <v/>
      </c>
      <c r="P1434">
        <f>IF(N1434-L1434-M1434&gt;0,N1434-L1434-M1434,0)</f>
        <v/>
      </c>
      <c r="Q1434" s="1">
        <f>IFERROR(P1434*G1434,0)</f>
        <v/>
      </c>
    </row>
    <row r="1435">
      <c r="A1435" t="inlineStr">
        <is>
          <t>RTube-25x1.9-6M</t>
        </is>
      </c>
      <c r="B1435" t="inlineStr">
        <is>
          <t>Round Tube 25x1.9-6M</t>
        </is>
      </c>
      <c r="C1435" t="inlineStr"/>
      <c r="D1435" t="n">
        <v>1</v>
      </c>
      <c r="E1435" t="n">
        <v>1</v>
      </c>
      <c r="F1435" t="inlineStr">
        <is>
          <t>NJR STEEL - ALRODE (PTY) LTD</t>
        </is>
      </c>
      <c r="G1435" s="1" t="n">
        <v>99.25</v>
      </c>
      <c r="H1435" t="n">
        <v>0</v>
      </c>
      <c r="I1435" t="n">
        <v>0.5</v>
      </c>
      <c r="J1435" t="n">
        <v>1</v>
      </c>
      <c r="K1435" t="n">
        <v>1</v>
      </c>
      <c r="L1435" t="n">
        <v>0</v>
      </c>
      <c r="M1435" t="n">
        <v>0</v>
      </c>
      <c r="N1435" t="n">
        <v>2</v>
      </c>
      <c r="O1435" s="1">
        <f>IFERROR(L1435*G1435,0)</f>
        <v/>
      </c>
      <c r="P1435">
        <f>IF(N1435-L1435-M1435&gt;0,N1435-L1435-M1435,0)</f>
        <v/>
      </c>
      <c r="Q1435" s="1">
        <f>IFERROR(P1435*G1435,0)</f>
        <v/>
      </c>
    </row>
    <row r="1436">
      <c r="A1436" t="inlineStr">
        <is>
          <t>RTube-32x1.9-6M</t>
        </is>
      </c>
      <c r="B1436" t="inlineStr">
        <is>
          <t>Round Tube 32x1.9-6M</t>
        </is>
      </c>
      <c r="C1436" t="inlineStr"/>
      <c r="D1436" t="n">
        <v>1</v>
      </c>
      <c r="E1436" t="n">
        <v>3</v>
      </c>
      <c r="F1436" t="inlineStr">
        <is>
          <t>NJR STEEL - ALRODE (PTY) LTD</t>
        </is>
      </c>
      <c r="G1436" s="1" t="n">
        <v>129.4</v>
      </c>
      <c r="H1436" t="n">
        <v>0</v>
      </c>
      <c r="I1436" t="n">
        <v>0.5</v>
      </c>
      <c r="J1436" t="n">
        <v>3</v>
      </c>
      <c r="K1436" t="n">
        <v>2</v>
      </c>
      <c r="L1436" t="n">
        <v>0</v>
      </c>
      <c r="M1436" t="n">
        <v>0</v>
      </c>
      <c r="N1436" t="n">
        <v>8</v>
      </c>
      <c r="O1436" s="1">
        <f>IFERROR(L1436*G1436,0)</f>
        <v/>
      </c>
      <c r="P1436">
        <f>IF(N1436-L1436-M1436&gt;0,N1436-L1436-M1436,0)</f>
        <v/>
      </c>
      <c r="Q1436" s="1">
        <f>IFERROR(P1436*G1436,0)</f>
        <v/>
      </c>
    </row>
    <row r="1437">
      <c r="A1437" t="inlineStr">
        <is>
          <t>RTube-38x1.9-6M</t>
        </is>
      </c>
      <c r="B1437" t="inlineStr">
        <is>
          <t>Round Tube 38x1.9-6M</t>
        </is>
      </c>
      <c r="C1437" t="inlineStr"/>
      <c r="D1437" t="n">
        <v>1</v>
      </c>
      <c r="E1437" t="n">
        <v>1</v>
      </c>
      <c r="F1437" t="inlineStr">
        <is>
          <t>NJR STEEL - ALRODE (PTY) LTD</t>
        </is>
      </c>
      <c r="G1437" s="1" t="n">
        <v>151.63</v>
      </c>
      <c r="H1437" t="n">
        <v>0</v>
      </c>
      <c r="I1437" t="n">
        <v>0.5</v>
      </c>
      <c r="J1437" t="n">
        <v>1</v>
      </c>
      <c r="K1437" t="n">
        <v>1</v>
      </c>
      <c r="L1437" t="n">
        <v>0</v>
      </c>
      <c r="M1437" t="n">
        <v>0</v>
      </c>
      <c r="N1437" t="n">
        <v>2</v>
      </c>
      <c r="O1437" s="1">
        <f>IFERROR(L1437*G1437,0)</f>
        <v/>
      </c>
      <c r="P1437">
        <f>IF(N1437-L1437-M1437&gt;0,N1437-L1437-M1437,0)</f>
        <v/>
      </c>
      <c r="Q1437" s="1">
        <f>IFERROR(P1437*G1437,0)</f>
        <v/>
      </c>
    </row>
    <row r="1438">
      <c r="A1438" t="inlineStr">
        <is>
          <t>RW0.14220</t>
        </is>
      </c>
      <c r="B1438" t="inlineStr">
        <is>
          <t>Rewind 0.1Kw 1430rpm 230V Motor Suitable for 60Hz Operation</t>
        </is>
      </c>
      <c r="C1438" t="inlineStr">
        <is>
          <t>FM - LUCK &amp; KING</t>
        </is>
      </c>
      <c r="D1438" t="n">
        <v>1</v>
      </c>
      <c r="E1438" t="n">
        <v>1</v>
      </c>
      <c r="F1438" t="inlineStr">
        <is>
          <t>Luck and King</t>
        </is>
      </c>
      <c r="G1438" s="1" t="n">
        <v>1930</v>
      </c>
      <c r="H1438" t="n">
        <v>0</v>
      </c>
      <c r="I1438" t="n">
        <v>0.5</v>
      </c>
      <c r="J1438" t="n">
        <v>1</v>
      </c>
      <c r="K1438" t="n">
        <v>1</v>
      </c>
      <c r="L1438" t="n">
        <v>0</v>
      </c>
      <c r="M1438" t="n">
        <v>0</v>
      </c>
      <c r="N1438" t="n">
        <v>2</v>
      </c>
      <c r="O1438" s="1">
        <f>IFERROR(L1438*G1438,0)</f>
        <v/>
      </c>
      <c r="P1438">
        <f>IF(N1438-L1438-M1438&gt;0,N1438-L1438-M1438,0)</f>
        <v/>
      </c>
      <c r="Q1438" s="1">
        <f>IFERROR(P1438*G1438,0)</f>
        <v/>
      </c>
    </row>
    <row r="1439">
      <c r="A1439" t="inlineStr">
        <is>
          <t>RepairCMP</t>
        </is>
      </c>
      <c r="B1439" t="inlineStr">
        <is>
          <t>Repair teh casing by replacing the flange to be 3mm thick and re-paint entire casing</t>
        </is>
      </c>
      <c r="C1439" t="inlineStr"/>
      <c r="D1439" t="n">
        <v>1</v>
      </c>
      <c r="E1439" t="n">
        <v>1</v>
      </c>
      <c r="F1439" t="inlineStr">
        <is>
          <t>Mafilisti Trading and Projects (Pty) Ltd</t>
        </is>
      </c>
      <c r="G1439" s="1" t="n">
        <v>550</v>
      </c>
      <c r="H1439" t="n">
        <v>0</v>
      </c>
      <c r="I1439" t="n">
        <v>0.5</v>
      </c>
      <c r="J1439" t="n">
        <v>1</v>
      </c>
      <c r="K1439" t="n">
        <v>1</v>
      </c>
      <c r="L1439" t="n">
        <v>0</v>
      </c>
      <c r="M1439" t="n">
        <v>0</v>
      </c>
      <c r="N1439" t="n">
        <v>2</v>
      </c>
      <c r="O1439" s="1">
        <f>IFERROR(L1439*G1439,0)</f>
        <v/>
      </c>
      <c r="P1439">
        <f>IF(N1439-L1439-M1439&gt;0,N1439-L1439-M1439,0)</f>
        <v/>
      </c>
      <c r="Q1439" s="1">
        <f>IFERROR(P1439*G1439,0)</f>
        <v/>
      </c>
    </row>
    <row r="1440">
      <c r="A1440" t="inlineStr">
        <is>
          <t>Rewind Motors</t>
        </is>
      </c>
      <c r="B1440" t="inlineStr">
        <is>
          <t>From 400V to 525V</t>
        </is>
      </c>
      <c r="C1440" t="inlineStr"/>
      <c r="D1440" t="n">
        <v>42</v>
      </c>
      <c r="E1440" t="n">
        <v>22</v>
      </c>
      <c r="F1440" t="inlineStr">
        <is>
          <t>Luck and King</t>
        </is>
      </c>
      <c r="G1440" s="1" t="n">
        <v>2431.5</v>
      </c>
      <c r="H1440" t="n">
        <v>0</v>
      </c>
      <c r="I1440" t="n">
        <v>0.5</v>
      </c>
      <c r="J1440" t="n">
        <v>1</v>
      </c>
      <c r="K1440" t="n">
        <v>1</v>
      </c>
      <c r="L1440" t="n">
        <v>0</v>
      </c>
      <c r="M1440" t="n">
        <v>0</v>
      </c>
      <c r="N1440" t="n">
        <v>2</v>
      </c>
      <c r="O1440" s="1">
        <f>IFERROR(L1440*G1440,0)</f>
        <v/>
      </c>
      <c r="P1440">
        <f>IF(N1440-L1440-M1440&gt;0,N1440-L1440-M1440,0)</f>
        <v/>
      </c>
      <c r="Q1440" s="1">
        <f>IFERROR(P1440*G1440,0)</f>
        <v/>
      </c>
    </row>
    <row r="1441">
      <c r="A1441" t="inlineStr">
        <is>
          <t>Rewind To</t>
        </is>
      </c>
      <c r="B1441" t="inlineStr">
        <is>
          <t>525V</t>
        </is>
      </c>
      <c r="C1441" t="inlineStr"/>
      <c r="D1441" t="n">
        <v>39</v>
      </c>
      <c r="E1441" t="n">
        <v>6</v>
      </c>
      <c r="F1441" t="inlineStr">
        <is>
          <t>Luck and King</t>
        </is>
      </c>
      <c r="G1441" s="1" t="n">
        <v>2193</v>
      </c>
      <c r="H1441" t="n">
        <v>3</v>
      </c>
      <c r="I1441" t="n">
        <v>1.3</v>
      </c>
      <c r="J1441" t="n">
        <v>1</v>
      </c>
      <c r="K1441" t="n">
        <v>1</v>
      </c>
      <c r="L1441" t="n">
        <v>0</v>
      </c>
      <c r="M1441" t="n">
        <v>0</v>
      </c>
      <c r="N1441" t="n">
        <v>3</v>
      </c>
      <c r="O1441" s="1">
        <f>IFERROR(L1441*G1441,0)</f>
        <v/>
      </c>
      <c r="P1441">
        <f>IF(N1441-L1441-M1441&gt;0,N1441-L1441-M1441,0)</f>
        <v/>
      </c>
      <c r="Q1441" s="1">
        <f>IFERROR(P1441*G1441,0)</f>
        <v/>
      </c>
    </row>
    <row r="1442">
      <c r="A1442" t="inlineStr">
        <is>
          <t>S-STARMIG-255</t>
        </is>
      </c>
      <c r="B1442" t="inlineStr">
        <is>
          <t>SMARTER STAR MIG 255 with Parker torch</t>
        </is>
      </c>
      <c r="C1442" t="inlineStr"/>
      <c r="D1442" t="n">
        <v>1</v>
      </c>
      <c r="E1442" t="n">
        <v>1</v>
      </c>
      <c r="F1442" t="inlineStr">
        <is>
          <t>INTROWELD CC</t>
        </is>
      </c>
      <c r="G1442" s="1" t="n">
        <v>15100</v>
      </c>
      <c r="H1442" t="n">
        <v>0</v>
      </c>
      <c r="I1442" t="n">
        <v>0.5</v>
      </c>
      <c r="J1442" t="n">
        <v>1</v>
      </c>
      <c r="K1442" t="n">
        <v>1</v>
      </c>
      <c r="L1442" t="n">
        <v>0</v>
      </c>
      <c r="M1442" t="n">
        <v>0</v>
      </c>
      <c r="N1442" t="n">
        <v>2</v>
      </c>
      <c r="O1442" s="1">
        <f>IFERROR(L1442*G1442,0)</f>
        <v/>
      </c>
      <c r="P1442">
        <f>IF(N1442-L1442-M1442&gt;0,N1442-L1442-M1442,0)</f>
        <v/>
      </c>
      <c r="Q1442" s="1">
        <f>IFERROR(P1442*G1442,0)</f>
        <v/>
      </c>
    </row>
    <row r="1443">
      <c r="A1443" t="inlineStr">
        <is>
          <t>S/S</t>
        </is>
      </c>
      <c r="B1443" t="inlineStr">
        <is>
          <t>Pleated Panel Filter 595 x 595 x 48</t>
        </is>
      </c>
      <c r="C1443" t="inlineStr"/>
      <c r="D1443" t="n">
        <v>1</v>
      </c>
      <c r="E1443" t="n">
        <v>12</v>
      </c>
      <c r="F1443" t="inlineStr">
        <is>
          <t>Airventfil (Pty) Ltd</t>
        </is>
      </c>
      <c r="G1443" s="1" t="n">
        <v>202.45</v>
      </c>
      <c r="H1443" t="n">
        <v>0</v>
      </c>
      <c r="I1443" t="n">
        <v>0.5</v>
      </c>
      <c r="J1443" t="n">
        <v>12</v>
      </c>
      <c r="K1443" t="n">
        <v>6</v>
      </c>
      <c r="L1443" t="n">
        <v>0</v>
      </c>
      <c r="M1443" t="n">
        <v>0</v>
      </c>
      <c r="N1443" t="n">
        <v>30</v>
      </c>
      <c r="O1443" s="1">
        <f>IFERROR(L1443*G1443,0)</f>
        <v/>
      </c>
      <c r="P1443">
        <f>IF(N1443-L1443-M1443&gt;0,N1443-L1443-M1443,0)</f>
        <v/>
      </c>
      <c r="Q1443" s="1">
        <f>IFERROR(P1443*G1443,0)</f>
        <v/>
      </c>
    </row>
    <row r="1444">
      <c r="A1444" t="inlineStr">
        <is>
          <t>S1</t>
        </is>
      </c>
      <c r="B1444" t="inlineStr">
        <is>
          <t>Silencers</t>
        </is>
      </c>
      <c r="C1444" t="inlineStr"/>
      <c r="D1444" t="n">
        <v>1</v>
      </c>
      <c r="E1444" t="n">
        <v>0</v>
      </c>
      <c r="F1444" t="inlineStr"/>
      <c r="G1444" s="1" t="n">
        <v>0</v>
      </c>
      <c r="H1444" t="n">
        <v>2</v>
      </c>
      <c r="I1444" t="n">
        <v>0.5</v>
      </c>
      <c r="J1444" t="n">
        <v>2</v>
      </c>
      <c r="K1444" t="n">
        <v>1</v>
      </c>
      <c r="L1444" t="n">
        <v>0</v>
      </c>
      <c r="M1444" t="n">
        <v>0</v>
      </c>
      <c r="N1444" t="n">
        <v>5</v>
      </c>
      <c r="O1444" s="1">
        <f>IFERROR(L1444*G1444,0)</f>
        <v/>
      </c>
      <c r="P1444">
        <f>IF(N1444-L1444-M1444&gt;0,N1444-L1444-M1444,0)</f>
        <v/>
      </c>
      <c r="Q1444" s="1">
        <f>IFERROR(P1444*G1444,0)</f>
        <v/>
      </c>
    </row>
    <row r="1445">
      <c r="A1445" t="inlineStr">
        <is>
          <t>SAL500</t>
        </is>
      </c>
      <c r="B1445" t="inlineStr">
        <is>
          <t>SAL 500</t>
        </is>
      </c>
      <c r="C1445" t="inlineStr">
        <is>
          <t>FM - KAYITES</t>
        </is>
      </c>
      <c r="D1445" t="n">
        <v>11</v>
      </c>
      <c r="E1445" t="n">
        <v>0</v>
      </c>
      <c r="F1445" t="inlineStr"/>
      <c r="G1445" s="1" t="n">
        <v>0</v>
      </c>
      <c r="H1445" t="n">
        <v>1</v>
      </c>
      <c r="I1445" t="n">
        <v>0.5</v>
      </c>
      <c r="J1445" t="n">
        <v>1</v>
      </c>
      <c r="K1445" t="n">
        <v>1</v>
      </c>
      <c r="L1445" t="n">
        <v>0</v>
      </c>
      <c r="M1445" t="n">
        <v>0</v>
      </c>
      <c r="N1445" t="n">
        <v>2</v>
      </c>
      <c r="O1445" s="1">
        <f>IFERROR(L1445*G1445,0)</f>
        <v/>
      </c>
      <c r="P1445">
        <f>IF(N1445-L1445-M1445&gt;0,N1445-L1445-M1445,0)</f>
        <v/>
      </c>
      <c r="Q1445" s="1">
        <f>IFERROR(P1445*G1445,0)</f>
        <v/>
      </c>
    </row>
    <row r="1446">
      <c r="A1446" t="inlineStr">
        <is>
          <t>SAV STICKERS</t>
        </is>
      </c>
      <c r="B1446" t="inlineStr">
        <is>
          <t>Solvent Printed SAV Stickers - Rounded Corners - (108mm x 88mm)</t>
        </is>
      </c>
      <c r="C1446" t="inlineStr"/>
      <c r="D1446" t="n">
        <v>8</v>
      </c>
      <c r="E1446" t="n">
        <v>600</v>
      </c>
      <c r="F1446" t="inlineStr">
        <is>
          <t>HC Soekoe CC</t>
        </is>
      </c>
      <c r="G1446" s="1" t="n">
        <v>1.69</v>
      </c>
      <c r="H1446" t="n">
        <v>0</v>
      </c>
      <c r="I1446" t="n">
        <v>0.5</v>
      </c>
      <c r="J1446" t="n">
        <v>75</v>
      </c>
      <c r="K1446" t="n">
        <v>38</v>
      </c>
      <c r="L1446" t="n">
        <v>0</v>
      </c>
      <c r="M1446" t="n">
        <v>0</v>
      </c>
      <c r="N1446" t="n">
        <v>188</v>
      </c>
      <c r="O1446" s="1">
        <f>IFERROR(L1446*G1446,0)</f>
        <v/>
      </c>
      <c r="P1446">
        <f>IF(N1446-L1446-M1446&gt;0,N1446-L1446-M1446,0)</f>
        <v/>
      </c>
      <c r="Q1446" s="1">
        <f>IFERROR(P1446*G1446,0)</f>
        <v/>
      </c>
    </row>
    <row r="1447">
      <c r="A1447" t="inlineStr">
        <is>
          <t>SCBFLT1.25B</t>
        </is>
      </c>
      <c r="B1447" t="inlineStr">
        <is>
          <t>SCB Blower Simple Intake Filter - 1 1/4</t>
        </is>
      </c>
      <c r="C1447" t="inlineStr">
        <is>
          <t>FM - BLOWER</t>
        </is>
      </c>
      <c r="D1447" t="n">
        <v>7</v>
      </c>
      <c r="E1447" t="n">
        <v>0</v>
      </c>
      <c r="F1447" t="inlineStr"/>
      <c r="G1447" s="1" t="n">
        <v>0</v>
      </c>
      <c r="H1447" t="n">
        <v>1</v>
      </c>
      <c r="I1447" t="n">
        <v>0.5</v>
      </c>
      <c r="J1447" t="n">
        <v>1</v>
      </c>
      <c r="K1447" t="n">
        <v>1</v>
      </c>
      <c r="L1447" t="n">
        <v>0</v>
      </c>
      <c r="M1447" t="n">
        <v>0</v>
      </c>
      <c r="N1447" t="n">
        <v>2</v>
      </c>
      <c r="O1447" s="1">
        <f>IFERROR(L1447*G1447,0)</f>
        <v/>
      </c>
      <c r="P1447">
        <f>IF(N1447-L1447-M1447&gt;0,N1447-L1447-M1447,0)</f>
        <v/>
      </c>
      <c r="Q1447" s="1">
        <f>IFERROR(P1447*G1447,0)</f>
        <v/>
      </c>
    </row>
    <row r="1448">
      <c r="A1448" t="inlineStr">
        <is>
          <t>SCOTCH BRI G</t>
        </is>
      </c>
      <c r="B1448" t="inlineStr">
        <is>
          <t>SCOTCH BRITE GREY BULLDOG</t>
        </is>
      </c>
      <c r="C1448" t="inlineStr">
        <is>
          <t>CONSUMABLES</t>
        </is>
      </c>
      <c r="D1448" t="n">
        <v>1</v>
      </c>
      <c r="E1448" t="n">
        <v>10</v>
      </c>
      <c r="F1448" t="inlineStr">
        <is>
          <t>MG AUTO PAINT (PTY) LTD</t>
        </is>
      </c>
      <c r="G1448" s="1" t="n">
        <v>26.09</v>
      </c>
      <c r="H1448" t="n">
        <v>0</v>
      </c>
      <c r="I1448" t="n">
        <v>0.5</v>
      </c>
      <c r="J1448" t="n">
        <v>10</v>
      </c>
      <c r="K1448" t="n">
        <v>5</v>
      </c>
      <c r="L1448" t="n">
        <v>0</v>
      </c>
      <c r="M1448" t="n">
        <v>0</v>
      </c>
      <c r="N1448" t="n">
        <v>25</v>
      </c>
      <c r="O1448" s="1">
        <f>IFERROR(L1448*G1448,0)</f>
        <v/>
      </c>
      <c r="P1448">
        <f>IF(N1448-L1448-M1448&gt;0,N1448-L1448-M1448,0)</f>
        <v/>
      </c>
      <c r="Q1448" s="1">
        <f>IFERROR(P1448*G1448,0)</f>
        <v/>
      </c>
    </row>
    <row r="1449">
      <c r="A1449" t="inlineStr">
        <is>
          <t>SE07MS50+0005</t>
        </is>
      </c>
      <c r="B1449" t="inlineStr">
        <is>
          <t>SCL e07-MS MOR IE3 M.E. 4.0-4.8KW - 2 POLI 345-415/200-240V 50Hz - 380-480/220-280V 60Hz. IP55</t>
        </is>
      </c>
      <c r="C1449" t="inlineStr"/>
      <c r="D1449" t="n">
        <v>1</v>
      </c>
      <c r="E1449" t="n">
        <v>1</v>
      </c>
      <c r="F1449" t="inlineStr">
        <is>
          <t>Effepizeta</t>
        </is>
      </c>
      <c r="G1449" s="1" t="n">
        <v>22683.25</v>
      </c>
      <c r="H1449" t="n">
        <v>0</v>
      </c>
      <c r="I1449" t="n">
        <v>2</v>
      </c>
      <c r="J1449" t="n">
        <v>1</v>
      </c>
      <c r="K1449" t="n">
        <v>2</v>
      </c>
      <c r="L1449" t="n">
        <v>0</v>
      </c>
      <c r="M1449" t="n">
        <v>0</v>
      </c>
      <c r="N1449" t="n">
        <v>4</v>
      </c>
      <c r="O1449" s="1">
        <f>IFERROR(L1449*G1449,0)</f>
        <v/>
      </c>
      <c r="P1449">
        <f>IF(N1449-L1449-M1449&gt;0,N1449-L1449-M1449,0)</f>
        <v/>
      </c>
      <c r="Q1449" s="1">
        <f>IFERROR(P1449*G1449,0)</f>
        <v/>
      </c>
    </row>
    <row r="1450">
      <c r="A1450" t="inlineStr">
        <is>
          <t>SE07MS50+0012</t>
        </is>
      </c>
      <c r="B1450" t="inlineStr">
        <is>
          <t>SCL e07-MS MOR IE3 M.E. 5.5 - 6.5 kW - 2 POLI -600-720/345-415V 50Hz - 660-830/380-480V 60Hz WR</t>
        </is>
      </c>
      <c r="C1450" t="inlineStr"/>
      <c r="D1450" t="n">
        <v>1</v>
      </c>
      <c r="E1450" t="n">
        <v>1</v>
      </c>
      <c r="F1450" t="inlineStr">
        <is>
          <t>Effepizeta</t>
        </is>
      </c>
      <c r="G1450" s="1" t="n">
        <v>25116.89</v>
      </c>
      <c r="H1450" t="n">
        <v>0</v>
      </c>
      <c r="I1450" t="n">
        <v>1.8</v>
      </c>
      <c r="J1450" t="n">
        <v>1</v>
      </c>
      <c r="K1450" t="n">
        <v>2</v>
      </c>
      <c r="L1450" t="n">
        <v>0</v>
      </c>
      <c r="M1450" t="n">
        <v>0</v>
      </c>
      <c r="N1450" t="n">
        <v>4</v>
      </c>
      <c r="O1450" s="1">
        <f>IFERROR(L1450*G1450,0)</f>
        <v/>
      </c>
      <c r="P1450">
        <f>IF(N1450-L1450-M1450&gt;0,N1450-L1450-M1450,0)</f>
        <v/>
      </c>
      <c r="Q1450" s="1">
        <f>IFERROR(P1450*G1450,0)</f>
        <v/>
      </c>
    </row>
    <row r="1451">
      <c r="A1451" t="inlineStr">
        <is>
          <t>SE08MS50+0014</t>
        </is>
      </c>
      <c r="B1451" t="inlineStr">
        <is>
          <t>SCL e08-MS MOR - IE3 M.E 7.5KW - 9.0KW - 2 POLI</t>
        </is>
      </c>
      <c r="C1451" t="inlineStr"/>
      <c r="D1451" t="n">
        <v>1</v>
      </c>
      <c r="E1451" t="n">
        <v>2</v>
      </c>
      <c r="F1451" t="inlineStr">
        <is>
          <t>Effepizeta</t>
        </is>
      </c>
      <c r="G1451" s="1" t="n">
        <v>30493.09</v>
      </c>
      <c r="H1451" t="n">
        <v>0</v>
      </c>
      <c r="I1451" t="n">
        <v>2</v>
      </c>
      <c r="J1451" t="n">
        <v>2</v>
      </c>
      <c r="K1451" t="n">
        <v>4</v>
      </c>
      <c r="L1451" t="n">
        <v>0</v>
      </c>
      <c r="M1451" t="n">
        <v>0</v>
      </c>
      <c r="N1451" t="n">
        <v>8</v>
      </c>
      <c r="O1451" s="1">
        <f>IFERROR(L1451*G1451,0)</f>
        <v/>
      </c>
      <c r="P1451">
        <f>IF(N1451-L1451-M1451&gt;0,N1451-L1451-M1451,0)</f>
        <v/>
      </c>
      <c r="Q1451" s="1">
        <f>IFERROR(P1451*G1451,0)</f>
        <v/>
      </c>
    </row>
    <row r="1452">
      <c r="A1452" t="inlineStr">
        <is>
          <t>SE08MS55</t>
        </is>
      </c>
      <c r="B1452" t="inlineStr">
        <is>
          <t>SCL e08-MS MOR IE3 - M.E. 5.5 kW- 525V -IE3 -IP55 NATURAL FINISH</t>
        </is>
      </c>
      <c r="C1452" t="inlineStr"/>
      <c r="D1452" t="n">
        <v>1</v>
      </c>
      <c r="E1452" t="n">
        <v>1</v>
      </c>
      <c r="F1452" t="inlineStr">
        <is>
          <t>Effepizeta</t>
        </is>
      </c>
      <c r="G1452" s="1" t="n">
        <v>34813.1</v>
      </c>
      <c r="H1452" t="n">
        <v>0</v>
      </c>
      <c r="I1452" t="n">
        <v>2</v>
      </c>
      <c r="J1452" t="n">
        <v>1</v>
      </c>
      <c r="K1452" t="n">
        <v>2</v>
      </c>
      <c r="L1452" t="n">
        <v>0</v>
      </c>
      <c r="M1452" t="n">
        <v>0</v>
      </c>
      <c r="N1452" t="n">
        <v>4</v>
      </c>
      <c r="O1452" s="1">
        <f>IFERROR(L1452*G1452,0)</f>
        <v/>
      </c>
      <c r="P1452">
        <f>IF(N1452-L1452-M1452&gt;0,N1452-L1452-M1452,0)</f>
        <v/>
      </c>
      <c r="Q1452" s="1">
        <f>IFERROR(P1452*G1452,0)</f>
        <v/>
      </c>
    </row>
    <row r="1453">
      <c r="A1453" t="inlineStr">
        <is>
          <t>SE10MS50+0005</t>
        </is>
      </c>
      <c r="B1453" t="inlineStr">
        <is>
          <t>SCL e10-MS MOR IE3 M.E. 11 - 13 kW - 2 POLI - 380V - IP55 Natural Finish</t>
        </is>
      </c>
      <c r="C1453" t="inlineStr"/>
      <c r="D1453" t="n">
        <v>6</v>
      </c>
      <c r="E1453" t="n">
        <v>3</v>
      </c>
      <c r="F1453" t="inlineStr">
        <is>
          <t>Effepizeta</t>
        </is>
      </c>
      <c r="G1453" s="1" t="n">
        <v>45412</v>
      </c>
      <c r="H1453" t="n">
        <v>0</v>
      </c>
      <c r="I1453" t="n">
        <v>1.7</v>
      </c>
      <c r="J1453" t="n">
        <v>1</v>
      </c>
      <c r="K1453" t="n">
        <v>2</v>
      </c>
      <c r="L1453" t="n">
        <v>0</v>
      </c>
      <c r="M1453" t="n">
        <v>1</v>
      </c>
      <c r="N1453" t="n">
        <v>4</v>
      </c>
      <c r="O1453" s="1">
        <f>IFERROR(L1453*G1453,0)</f>
        <v/>
      </c>
      <c r="P1453">
        <f>IF(N1453-L1453-M1453&gt;0,N1453-L1453-M1453,0)</f>
        <v/>
      </c>
      <c r="Q1453" s="1">
        <f>IFERROR(P1453*G1453,0)</f>
        <v/>
      </c>
    </row>
    <row r="1454">
      <c r="A1454" t="inlineStr">
        <is>
          <t>SE11MS00+0048</t>
        </is>
      </c>
      <c r="B1454" t="inlineStr">
        <is>
          <t>SCL e11-MS MOR IE2 M.E. 11 - 13 kW - 2 POLI - 300/525V 50HZ 360/630V 60HZ IE2 - CL. F TROP.</t>
        </is>
      </c>
      <c r="C1454" t="inlineStr"/>
      <c r="D1454" t="n">
        <v>12</v>
      </c>
      <c r="E1454" t="n">
        <v>9</v>
      </c>
      <c r="F1454" t="inlineStr">
        <is>
          <t>Effepizeta</t>
        </is>
      </c>
      <c r="G1454" s="1" t="n">
        <v>45524.96</v>
      </c>
      <c r="H1454" t="n">
        <v>0</v>
      </c>
      <c r="I1454" t="n">
        <v>2.1</v>
      </c>
      <c r="J1454" t="n">
        <v>1</v>
      </c>
      <c r="K1454" t="n">
        <v>2</v>
      </c>
      <c r="L1454" t="n">
        <v>0</v>
      </c>
      <c r="M1454" t="n">
        <v>3</v>
      </c>
      <c r="N1454" t="n">
        <v>4</v>
      </c>
      <c r="O1454" s="1">
        <f>IFERROR(L1454*G1454,0)</f>
        <v/>
      </c>
      <c r="P1454">
        <f>IF(N1454-L1454-M1454&gt;0,N1454-L1454-M1454,0)</f>
        <v/>
      </c>
      <c r="Q1454" s="1">
        <f>IFERROR(P1454*G1454,0)</f>
        <v/>
      </c>
    </row>
    <row r="1455">
      <c r="A1455" t="inlineStr">
        <is>
          <t>SE11TS50+0002</t>
        </is>
      </c>
      <c r="B1455" t="inlineStr">
        <is>
          <t>SCL e11-TS MOR IER - M.E 22 - 25.5 kW - 2 POLI - IE3 CL. F TROP. PTO IP55 - NATURAL FINISH</t>
        </is>
      </c>
      <c r="C1455" t="inlineStr"/>
      <c r="D1455" t="n">
        <v>13</v>
      </c>
      <c r="E1455" t="n">
        <v>5</v>
      </c>
      <c r="F1455" t="inlineStr">
        <is>
          <t>Effepizeta</t>
        </is>
      </c>
      <c r="G1455" s="1" t="n">
        <v>88303.75999999999</v>
      </c>
      <c r="H1455" t="n">
        <v>0</v>
      </c>
      <c r="I1455" t="n">
        <v>2</v>
      </c>
      <c r="J1455" t="n">
        <v>1</v>
      </c>
      <c r="K1455" t="n">
        <v>2</v>
      </c>
      <c r="L1455" t="n">
        <v>0</v>
      </c>
      <c r="M1455" t="n">
        <v>0</v>
      </c>
      <c r="N1455" t="n">
        <v>4</v>
      </c>
      <c r="O1455" s="1">
        <f>IFERROR(L1455*G1455,0)</f>
        <v/>
      </c>
      <c r="P1455">
        <f>IF(N1455-L1455-M1455&gt;0,N1455-L1455-M1455,0)</f>
        <v/>
      </c>
      <c r="Q1455" s="1">
        <f>IFERROR(P1455*G1455,0)</f>
        <v/>
      </c>
    </row>
    <row r="1456">
      <c r="A1456" t="inlineStr">
        <is>
          <t>SEF100</t>
        </is>
      </c>
      <c r="B1456" t="inlineStr">
        <is>
          <t>SEF 100</t>
        </is>
      </c>
      <c r="C1456" t="inlineStr">
        <is>
          <t>FM - KAYITES</t>
        </is>
      </c>
      <c r="D1456" t="n">
        <v>10</v>
      </c>
      <c r="E1456" t="n">
        <v>10</v>
      </c>
      <c r="F1456" t="inlineStr">
        <is>
          <t>Kayites</t>
        </is>
      </c>
      <c r="G1456" s="1" t="n">
        <v>143.08</v>
      </c>
      <c r="H1456" t="n">
        <v>4</v>
      </c>
      <c r="I1456" t="n">
        <v>0.5</v>
      </c>
      <c r="J1456" t="n">
        <v>1</v>
      </c>
      <c r="K1456" t="n">
        <v>1</v>
      </c>
      <c r="L1456" t="n">
        <v>0</v>
      </c>
      <c r="M1456" t="n">
        <v>0</v>
      </c>
      <c r="N1456" t="n">
        <v>2</v>
      </c>
      <c r="O1456" s="1">
        <f>IFERROR(L1456*G1456,0)</f>
        <v/>
      </c>
      <c r="P1456">
        <f>IF(N1456-L1456-M1456&gt;0,N1456-L1456-M1456,0)</f>
        <v/>
      </c>
      <c r="Q1456" s="1">
        <f>IFERROR(P1456*G1456,0)</f>
        <v/>
      </c>
    </row>
    <row r="1457">
      <c r="A1457" t="inlineStr">
        <is>
          <t>SEF125</t>
        </is>
      </c>
      <c r="B1457" t="inlineStr">
        <is>
          <t>SEF125</t>
        </is>
      </c>
      <c r="C1457" t="inlineStr">
        <is>
          <t>FM - KAYITES</t>
        </is>
      </c>
      <c r="D1457" t="n">
        <v>26</v>
      </c>
      <c r="E1457" t="n">
        <v>25</v>
      </c>
      <c r="F1457" t="inlineStr">
        <is>
          <t>Kayites</t>
        </is>
      </c>
      <c r="G1457" s="1" t="n">
        <v>361.37</v>
      </c>
      <c r="H1457" t="n">
        <v>18</v>
      </c>
      <c r="I1457" t="n">
        <v>0.5</v>
      </c>
      <c r="J1457" t="n">
        <v>1</v>
      </c>
      <c r="K1457" t="n">
        <v>1</v>
      </c>
      <c r="L1457" t="n">
        <v>0</v>
      </c>
      <c r="M1457" t="n">
        <v>0</v>
      </c>
      <c r="N1457" t="n">
        <v>2</v>
      </c>
      <c r="O1457" s="1">
        <f>IFERROR(L1457*G1457,0)</f>
        <v/>
      </c>
      <c r="P1457">
        <f>IF(N1457-L1457-M1457&gt;0,N1457-L1457-M1457,0)</f>
        <v/>
      </c>
      <c r="Q1457" s="1">
        <f>IFERROR(P1457*G1457,0)</f>
        <v/>
      </c>
    </row>
    <row r="1458">
      <c r="A1458" t="inlineStr">
        <is>
          <t>SFB04006006</t>
        </is>
      </c>
      <c r="B1458" t="inlineStr">
        <is>
          <t>Flat Bar CQ 40x6mm 6 Mtr</t>
        </is>
      </c>
      <c r="C1458" t="inlineStr"/>
      <c r="D1458" t="n">
        <v>1</v>
      </c>
      <c r="E1458" t="n">
        <v>3</v>
      </c>
      <c r="F1458" t="inlineStr">
        <is>
          <t>NJR STEEL - ALRODE (PTY) LTD</t>
        </is>
      </c>
      <c r="G1458" s="1" t="n">
        <v>175.34</v>
      </c>
      <c r="H1458" t="n">
        <v>0</v>
      </c>
      <c r="I1458" t="n">
        <v>0.5</v>
      </c>
      <c r="J1458" t="n">
        <v>3</v>
      </c>
      <c r="K1458" t="n">
        <v>2</v>
      </c>
      <c r="L1458" t="n">
        <v>0</v>
      </c>
      <c r="M1458" t="n">
        <v>0</v>
      </c>
      <c r="N1458" t="n">
        <v>8</v>
      </c>
      <c r="O1458" s="1">
        <f>IFERROR(L1458*G1458,0)</f>
        <v/>
      </c>
      <c r="P1458">
        <f>IF(N1458-L1458-M1458&gt;0,N1458-L1458-M1458,0)</f>
        <v/>
      </c>
      <c r="Q1458" s="1">
        <f>IFERROR(P1458*G1458,0)</f>
        <v/>
      </c>
    </row>
    <row r="1459">
      <c r="A1459" t="inlineStr">
        <is>
          <t>SH01</t>
        </is>
      </c>
      <c r="B1459" t="inlineStr">
        <is>
          <t>HAND STRAPPING 12X 1500M - BLACK</t>
        </is>
      </c>
      <c r="C1459" t="inlineStr">
        <is>
          <t>PACKAGING</t>
        </is>
      </c>
      <c r="D1459" t="n">
        <v>1</v>
      </c>
      <c r="E1459" t="n">
        <v>1</v>
      </c>
      <c r="F1459" t="inlineStr">
        <is>
          <t>Advantage Air Africa Pty Ltd</t>
        </is>
      </c>
      <c r="G1459" s="1" t="n">
        <v>496.99</v>
      </c>
      <c r="H1459" t="n">
        <v>0</v>
      </c>
      <c r="I1459" t="n">
        <v>0.5</v>
      </c>
      <c r="J1459" t="n">
        <v>1</v>
      </c>
      <c r="K1459" t="n">
        <v>1</v>
      </c>
      <c r="L1459" t="n">
        <v>0</v>
      </c>
      <c r="M1459" t="n">
        <v>0</v>
      </c>
      <c r="N1459" t="n">
        <v>2</v>
      </c>
      <c r="O1459" s="1">
        <f>IFERROR(L1459*G1459,0)</f>
        <v/>
      </c>
      <c r="P1459">
        <f>IF(N1459-L1459-M1459&gt;0,N1459-L1459-M1459,0)</f>
        <v/>
      </c>
      <c r="Q1459" s="1">
        <f>IFERROR(P1459*G1459,0)</f>
        <v/>
      </c>
    </row>
    <row r="1460">
      <c r="A1460" t="inlineStr">
        <is>
          <t>SHPBSW</t>
        </is>
      </c>
      <c r="B1460" t="inlineStr">
        <is>
          <t>BANDSAW WELD ONLY BIMETAL</t>
        </is>
      </c>
      <c r="C1460" t="inlineStr"/>
      <c r="D1460" t="n">
        <v>1</v>
      </c>
      <c r="E1460" t="n">
        <v>2</v>
      </c>
      <c r="F1460" t="inlineStr">
        <is>
          <t>SPARES 2000 CC t/a SHARP-RITE</t>
        </is>
      </c>
      <c r="G1460" s="1" t="n">
        <v>75</v>
      </c>
      <c r="H1460" t="n">
        <v>0</v>
      </c>
      <c r="I1460" t="n">
        <v>0.5</v>
      </c>
      <c r="J1460" t="n">
        <v>2</v>
      </c>
      <c r="K1460" t="n">
        <v>1</v>
      </c>
      <c r="L1460" t="n">
        <v>0</v>
      </c>
      <c r="M1460" t="n">
        <v>0</v>
      </c>
      <c r="N1460" t="n">
        <v>5</v>
      </c>
      <c r="O1460" s="1">
        <f>IFERROR(L1460*G1460,0)</f>
        <v/>
      </c>
      <c r="P1460">
        <f>IF(N1460-L1460-M1460&gt;0,N1460-L1460-M1460,0)</f>
        <v/>
      </c>
      <c r="Q1460" s="1">
        <f>IFERROR(P1460*G1460,0)</f>
        <v/>
      </c>
    </row>
    <row r="1461">
      <c r="A1461" t="inlineStr">
        <is>
          <t>SHR03012252450</t>
        </is>
      </c>
      <c r="B1461" t="inlineStr">
        <is>
          <t>HR Sheet SAE1008 2450x1225x3</t>
        </is>
      </c>
      <c r="C1461" t="inlineStr"/>
      <c r="D1461" t="n">
        <v>1</v>
      </c>
      <c r="E1461" t="n">
        <v>1</v>
      </c>
      <c r="F1461" t="inlineStr">
        <is>
          <t>NJR STEEL - ALRODE (PTY) LTD</t>
        </is>
      </c>
      <c r="G1461" s="1" t="n">
        <v>1067.28</v>
      </c>
      <c r="H1461" t="n">
        <v>0</v>
      </c>
      <c r="I1461" t="n">
        <v>0.5</v>
      </c>
      <c r="J1461" t="n">
        <v>1</v>
      </c>
      <c r="K1461" t="n">
        <v>1</v>
      </c>
      <c r="L1461" t="n">
        <v>0</v>
      </c>
      <c r="M1461" t="n">
        <v>0</v>
      </c>
      <c r="N1461" t="n">
        <v>2</v>
      </c>
      <c r="O1461" s="1">
        <f>IFERROR(L1461*G1461,0)</f>
        <v/>
      </c>
      <c r="P1461">
        <f>IF(N1461-L1461-M1461&gt;0,N1461-L1461-M1461,0)</f>
        <v/>
      </c>
      <c r="Q1461" s="1">
        <f>IFERROR(P1461*G1461,0)</f>
        <v/>
      </c>
    </row>
    <row r="1462">
      <c r="A1462" t="inlineStr">
        <is>
          <t>SITEW</t>
        </is>
      </c>
      <c r="B1462" t="inlineStr">
        <is>
          <t>Site Work - 8 hours</t>
        </is>
      </c>
      <c r="C1462" t="inlineStr"/>
      <c r="D1462" t="n">
        <v>1</v>
      </c>
      <c r="E1462" t="n">
        <v>0</v>
      </c>
      <c r="F1462" t="inlineStr"/>
      <c r="G1462" s="1" t="n">
        <v>0</v>
      </c>
      <c r="H1462" t="n">
        <v>8</v>
      </c>
      <c r="I1462" t="n">
        <v>0.5</v>
      </c>
      <c r="J1462" t="n">
        <v>8</v>
      </c>
      <c r="K1462" t="n">
        <v>4</v>
      </c>
      <c r="L1462" t="n">
        <v>0</v>
      </c>
      <c r="M1462" t="n">
        <v>0</v>
      </c>
      <c r="N1462" t="n">
        <v>20</v>
      </c>
      <c r="O1462" s="1">
        <f>IFERROR(L1462*G1462,0)</f>
        <v/>
      </c>
      <c r="P1462">
        <f>IF(N1462-L1462-M1462&gt;0,N1462-L1462-M1462,0)</f>
        <v/>
      </c>
      <c r="Q1462" s="1">
        <f>IFERROR(P1462*G1462,0)</f>
        <v/>
      </c>
    </row>
    <row r="1463">
      <c r="A1463" t="inlineStr">
        <is>
          <t>SK03MS50+0121</t>
        </is>
      </c>
      <c r="B1463" t="inlineStr">
        <is>
          <t>SCL K03-MS MOR IE3 M.E. 0.55 - 0.65 kW 2 POLI345-415/200-240V 50Hz - 380-480/220-280V 60Hz WR</t>
        </is>
      </c>
      <c r="C1463" t="inlineStr"/>
      <c r="D1463" t="n">
        <v>1</v>
      </c>
      <c r="E1463" t="n">
        <v>2</v>
      </c>
      <c r="F1463" t="inlineStr">
        <is>
          <t>Effepizeta</t>
        </is>
      </c>
      <c r="G1463" s="1" t="n">
        <v>5675.27</v>
      </c>
      <c r="H1463" t="n">
        <v>0</v>
      </c>
      <c r="I1463" t="n">
        <v>0.5</v>
      </c>
      <c r="J1463" t="n">
        <v>2</v>
      </c>
      <c r="K1463" t="n">
        <v>1</v>
      </c>
      <c r="L1463" t="n">
        <v>0</v>
      </c>
      <c r="M1463" t="n">
        <v>0</v>
      </c>
      <c r="N1463" t="n">
        <v>5</v>
      </c>
      <c r="O1463" s="1">
        <f>IFERROR(L1463*G1463,0)</f>
        <v/>
      </c>
      <c r="P1463">
        <f>IF(N1463-L1463-M1463&gt;0,N1463-L1463-M1463,0)</f>
        <v/>
      </c>
      <c r="Q1463" s="1">
        <f>IFERROR(P1463*G1463,0)</f>
        <v/>
      </c>
    </row>
    <row r="1464">
      <c r="A1464" t="inlineStr">
        <is>
          <t>SLA2025</t>
        </is>
      </c>
      <c r="B1464" t="inlineStr">
        <is>
          <t>Support SLA Mar</t>
        </is>
      </c>
      <c r="C1464" t="inlineStr"/>
      <c r="D1464" t="n">
        <v>12</v>
      </c>
      <c r="E1464" t="n">
        <v>9</v>
      </c>
      <c r="F1464" t="inlineStr">
        <is>
          <t>AXEGROUP</t>
        </is>
      </c>
      <c r="G1464" s="1" t="n">
        <v>4088.89</v>
      </c>
      <c r="H1464" t="n">
        <v>0</v>
      </c>
      <c r="I1464" t="n">
        <v>0.5</v>
      </c>
      <c r="J1464" t="n">
        <v>1</v>
      </c>
      <c r="K1464" t="n">
        <v>1</v>
      </c>
      <c r="L1464" t="n">
        <v>0</v>
      </c>
      <c r="M1464" t="n">
        <v>0</v>
      </c>
      <c r="N1464" t="n">
        <v>2</v>
      </c>
      <c r="O1464" s="1">
        <f>IFERROR(L1464*G1464,0)</f>
        <v/>
      </c>
      <c r="P1464">
        <f>IF(N1464-L1464-M1464&gt;0,N1464-L1464-M1464,0)</f>
        <v/>
      </c>
      <c r="Q1464" s="1">
        <f>IFERROR(P1464*G1464,0)</f>
        <v/>
      </c>
    </row>
    <row r="1465">
      <c r="A1465" t="inlineStr">
        <is>
          <t>SMOKE EXTRACTION FS 160/180</t>
        </is>
      </c>
      <c r="B1465" t="inlineStr">
        <is>
          <t>TERMINAL BLOCK 300c</t>
        </is>
      </c>
      <c r="C1465" t="inlineStr"/>
      <c r="D1465" t="n">
        <v>1</v>
      </c>
      <c r="E1465" t="n">
        <v>1</v>
      </c>
      <c r="F1465" t="inlineStr">
        <is>
          <t>WEG South Africa</t>
        </is>
      </c>
      <c r="G1465" s="1" t="n">
        <v>672</v>
      </c>
      <c r="H1465" t="n">
        <v>0</v>
      </c>
      <c r="I1465" t="n">
        <v>0.5</v>
      </c>
      <c r="J1465" t="n">
        <v>1</v>
      </c>
      <c r="K1465" t="n">
        <v>1</v>
      </c>
      <c r="L1465" t="n">
        <v>0</v>
      </c>
      <c r="M1465" t="n">
        <v>0</v>
      </c>
      <c r="N1465" t="n">
        <v>2</v>
      </c>
      <c r="O1465" s="1">
        <f>IFERROR(L1465*G1465,0)</f>
        <v/>
      </c>
      <c r="P1465">
        <f>IF(N1465-L1465-M1465&gt;0,N1465-L1465-M1465,0)</f>
        <v/>
      </c>
      <c r="Q1465" s="1">
        <f>IFERROR(P1465*G1465,0)</f>
        <v/>
      </c>
    </row>
    <row r="1466">
      <c r="A1466" t="inlineStr">
        <is>
          <t>SMR2005</t>
        </is>
      </c>
      <c r="B1466" t="inlineStr">
        <is>
          <t>Spring Mount 2 - 750 - White</t>
        </is>
      </c>
      <c r="C1466" t="inlineStr"/>
      <c r="D1466" t="n">
        <v>1</v>
      </c>
      <c r="E1466" t="n">
        <v>4</v>
      </c>
      <c r="F1466" t="inlineStr">
        <is>
          <t>Seal 'N Devices (Pty) Ltd</t>
        </is>
      </c>
      <c r="G1466" s="1" t="n">
        <v>302.33</v>
      </c>
      <c r="H1466" t="n">
        <v>0</v>
      </c>
      <c r="I1466" t="n">
        <v>0.5</v>
      </c>
      <c r="J1466" t="n">
        <v>4</v>
      </c>
      <c r="K1466" t="n">
        <v>2</v>
      </c>
      <c r="L1466" t="n">
        <v>0</v>
      </c>
      <c r="M1466" t="n">
        <v>0</v>
      </c>
      <c r="N1466" t="n">
        <v>10</v>
      </c>
      <c r="O1466" s="1">
        <f>IFERROR(L1466*G1466,0)</f>
        <v/>
      </c>
      <c r="P1466">
        <f>IF(N1466-L1466-M1466&gt;0,N1466-L1466-M1466,0)</f>
        <v/>
      </c>
      <c r="Q1466" s="1">
        <f>IFERROR(P1466*G1466,0)</f>
        <v/>
      </c>
    </row>
    <row r="1467">
      <c r="A1467" t="inlineStr">
        <is>
          <t>SMRH1003</t>
        </is>
      </c>
      <c r="B1467" t="inlineStr">
        <is>
          <t>Spring Mount H 1-125Red</t>
        </is>
      </c>
      <c r="C1467" t="inlineStr"/>
      <c r="D1467" t="n">
        <v>1</v>
      </c>
      <c r="E1467" t="n">
        <v>16</v>
      </c>
      <c r="F1467" t="inlineStr">
        <is>
          <t>Seal 'N Devices (Pty) Ltd</t>
        </is>
      </c>
      <c r="G1467" s="1" t="n">
        <v>186.94</v>
      </c>
      <c r="H1467" t="n">
        <v>16</v>
      </c>
      <c r="I1467" t="n">
        <v>0.5</v>
      </c>
      <c r="J1467" t="n">
        <v>16</v>
      </c>
      <c r="K1467" t="n">
        <v>8</v>
      </c>
      <c r="L1467" t="n">
        <v>0</v>
      </c>
      <c r="M1467" t="n">
        <v>0</v>
      </c>
      <c r="N1467" t="n">
        <v>40</v>
      </c>
      <c r="O1467" s="1">
        <f>IFERROR(L1467*G1467,0)</f>
        <v/>
      </c>
      <c r="P1467">
        <f>IF(N1467-L1467-M1467&gt;0,N1467-L1467-M1467,0)</f>
        <v/>
      </c>
      <c r="Q1467" s="1">
        <f>IFERROR(P1467*G1467,0)</f>
        <v/>
      </c>
    </row>
    <row r="1468">
      <c r="A1468" t="inlineStr">
        <is>
          <t>SMRH1004</t>
        </is>
      </c>
      <c r="B1468" t="inlineStr">
        <is>
          <t>Spring Mount H 1-200Black</t>
        </is>
      </c>
      <c r="C1468" t="inlineStr"/>
      <c r="D1468" t="n">
        <v>1</v>
      </c>
      <c r="E1468" t="n">
        <v>36</v>
      </c>
      <c r="F1468" t="inlineStr">
        <is>
          <t>Seal 'N Devices (Pty) Ltd</t>
        </is>
      </c>
      <c r="G1468" s="1" t="n">
        <v>209.64</v>
      </c>
      <c r="H1468" t="n">
        <v>36</v>
      </c>
      <c r="I1468" t="n">
        <v>0.5</v>
      </c>
      <c r="J1468" t="n">
        <v>36</v>
      </c>
      <c r="K1468" t="n">
        <v>18</v>
      </c>
      <c r="L1468" t="n">
        <v>0</v>
      </c>
      <c r="M1468" t="n">
        <v>0</v>
      </c>
      <c r="N1468" t="n">
        <v>90</v>
      </c>
      <c r="O1468" s="1">
        <f>IFERROR(L1468*G1468,0)</f>
        <v/>
      </c>
      <c r="P1468">
        <f>IF(N1468-L1468-M1468&gt;0,N1468-L1468-M1468,0)</f>
        <v/>
      </c>
      <c r="Q1468" s="1">
        <f>IFERROR(P1468*G1468,0)</f>
        <v/>
      </c>
    </row>
    <row r="1469">
      <c r="A1469" t="inlineStr">
        <is>
          <t>SMRH1005</t>
        </is>
      </c>
      <c r="B1469" t="inlineStr">
        <is>
          <t>Spring Mount H 1-310Yellow</t>
        </is>
      </c>
      <c r="C1469" t="inlineStr"/>
      <c r="D1469" t="n">
        <v>1</v>
      </c>
      <c r="E1469" t="n">
        <v>8</v>
      </c>
      <c r="F1469" t="inlineStr">
        <is>
          <t>Seal 'N Devices (Pty) Ltd</t>
        </is>
      </c>
      <c r="G1469" s="1" t="n">
        <v>209.64</v>
      </c>
      <c r="H1469" t="n">
        <v>8</v>
      </c>
      <c r="I1469" t="n">
        <v>0.5</v>
      </c>
      <c r="J1469" t="n">
        <v>8</v>
      </c>
      <c r="K1469" t="n">
        <v>4</v>
      </c>
      <c r="L1469" t="n">
        <v>0</v>
      </c>
      <c r="M1469" t="n">
        <v>0</v>
      </c>
      <c r="N1469" t="n">
        <v>20</v>
      </c>
      <c r="O1469" s="1">
        <f>IFERROR(L1469*G1469,0)</f>
        <v/>
      </c>
      <c r="P1469">
        <f>IF(N1469-L1469-M1469&gt;0,N1469-L1469-M1469,0)</f>
        <v/>
      </c>
      <c r="Q1469" s="1">
        <f>IFERROR(P1469*G1469,0)</f>
        <v/>
      </c>
    </row>
    <row r="1470">
      <c r="A1470" t="inlineStr">
        <is>
          <t>SMW23030</t>
        </is>
      </c>
      <c r="B1470" t="inlineStr">
        <is>
          <t>5.5KW 4P 380V IP55 300 C/2HR WEG SMOKEX PAD W22 MOTOR</t>
        </is>
      </c>
      <c r="C1470" t="inlineStr"/>
      <c r="D1470" t="n">
        <v>1</v>
      </c>
      <c r="E1470" t="n">
        <v>3</v>
      </c>
      <c r="F1470" t="inlineStr">
        <is>
          <t>WEG South Africa</t>
        </is>
      </c>
      <c r="G1470" s="1" t="n">
        <v>11569</v>
      </c>
      <c r="H1470" t="n">
        <v>0</v>
      </c>
      <c r="I1470" t="n">
        <v>1.8</v>
      </c>
      <c r="J1470" t="n">
        <v>3</v>
      </c>
      <c r="K1470" t="n">
        <v>5</v>
      </c>
      <c r="L1470" t="n">
        <v>0</v>
      </c>
      <c r="M1470" t="n">
        <v>0</v>
      </c>
      <c r="N1470" t="n">
        <v>11</v>
      </c>
      <c r="O1470" s="1">
        <f>IFERROR(L1470*G1470,0)</f>
        <v/>
      </c>
      <c r="P1470">
        <f>IF(N1470-L1470-M1470&gt;0,N1470-L1470-M1470,0)</f>
        <v/>
      </c>
      <c r="Q1470" s="1">
        <f>IFERROR(P1470*G1470,0)</f>
        <v/>
      </c>
    </row>
    <row r="1471">
      <c r="A1471" t="inlineStr">
        <is>
          <t>SP</t>
        </is>
      </c>
      <c r="B1471" t="inlineStr">
        <is>
          <t>Spark Proofing - SP</t>
        </is>
      </c>
      <c r="C1471" t="inlineStr"/>
      <c r="D1471" t="n">
        <v>16</v>
      </c>
      <c r="E1471" t="n">
        <v>4</v>
      </c>
      <c r="F1471" t="inlineStr">
        <is>
          <t>Luck and King</t>
        </is>
      </c>
      <c r="G1471" s="1" t="n">
        <v>6116</v>
      </c>
      <c r="H1471" t="n">
        <v>2</v>
      </c>
      <c r="I1471" t="n">
        <v>1.1</v>
      </c>
      <c r="J1471" t="n">
        <v>1</v>
      </c>
      <c r="K1471" t="n">
        <v>1</v>
      </c>
      <c r="L1471" t="n">
        <v>0</v>
      </c>
      <c r="M1471" t="n">
        <v>0</v>
      </c>
      <c r="N1471" t="n">
        <v>3</v>
      </c>
      <c r="O1471" s="1">
        <f>IFERROR(L1471*G1471,0)</f>
        <v/>
      </c>
      <c r="P1471">
        <f>IF(N1471-L1471-M1471&gt;0,N1471-L1471-M1471,0)</f>
        <v/>
      </c>
      <c r="Q1471" s="1">
        <f>IFERROR(P1471*G1471,0)</f>
        <v/>
      </c>
    </row>
    <row r="1472">
      <c r="A1472" t="inlineStr">
        <is>
          <t>SQ-TUBE32X32</t>
        </is>
      </c>
      <c r="B1472" t="inlineStr">
        <is>
          <t>SQ / TUBE 32X32X1.5 - 6M</t>
        </is>
      </c>
      <c r="C1472" t="inlineStr">
        <is>
          <t>FABRICATION</t>
        </is>
      </c>
      <c r="D1472" t="n">
        <v>1</v>
      </c>
      <c r="E1472" t="n">
        <v>10</v>
      </c>
      <c r="F1472" t="inlineStr">
        <is>
          <t>NJR STEEL - ALRODE (PTY) LTD</t>
        </is>
      </c>
      <c r="G1472" s="1" t="n">
        <v>133</v>
      </c>
      <c r="H1472" t="n">
        <v>0</v>
      </c>
      <c r="I1472" t="n">
        <v>0.5</v>
      </c>
      <c r="J1472" t="n">
        <v>10</v>
      </c>
      <c r="K1472" t="n">
        <v>5</v>
      </c>
      <c r="L1472" t="n">
        <v>0</v>
      </c>
      <c r="M1472" t="n">
        <v>0</v>
      </c>
      <c r="N1472" t="n">
        <v>25</v>
      </c>
      <c r="O1472" s="1">
        <f>IFERROR(L1472*G1472,0)</f>
        <v/>
      </c>
      <c r="P1472">
        <f>IF(N1472-L1472-M1472&gt;0,N1472-L1472-M1472,0)</f>
        <v/>
      </c>
      <c r="Q1472" s="1">
        <f>IFERROR(P1472*G1472,0)</f>
        <v/>
      </c>
    </row>
    <row r="1473">
      <c r="A1473" t="inlineStr">
        <is>
          <t>SQL-GLF12.5-D</t>
        </is>
      </c>
      <c r="B1473" t="inlineStr">
        <is>
          <t>Galvanised Industrial Extractor Fan + Grill &amp; Louvers: 1380sq, 220V, 1.1kw, 440rpm, 44000m3/hr</t>
        </is>
      </c>
      <c r="C1473" t="inlineStr"/>
      <c r="D1473" t="n">
        <v>7</v>
      </c>
      <c r="E1473" t="n">
        <v>5</v>
      </c>
      <c r="F1473" t="inlineStr">
        <is>
          <t>AF Fans CC</t>
        </is>
      </c>
      <c r="G1473" s="1" t="n">
        <v>7173.6</v>
      </c>
      <c r="H1473" t="n">
        <v>0</v>
      </c>
      <c r="I1473" t="n">
        <v>0.6</v>
      </c>
      <c r="J1473" t="n">
        <v>1</v>
      </c>
      <c r="K1473" t="n">
        <v>1</v>
      </c>
      <c r="L1473" t="n">
        <v>0</v>
      </c>
      <c r="M1473" t="n">
        <v>0</v>
      </c>
      <c r="N1473" t="n">
        <v>3</v>
      </c>
      <c r="O1473" s="1">
        <f>IFERROR(L1473*G1473,0)</f>
        <v/>
      </c>
      <c r="P1473">
        <f>IF(N1473-L1473-M1473&gt;0,N1473-L1473-M1473,0)</f>
        <v/>
      </c>
      <c r="Q1473" s="1">
        <f>IFERROR(P1473*G1473,0)</f>
        <v/>
      </c>
    </row>
    <row r="1474">
      <c r="A1474" t="inlineStr">
        <is>
          <t>SQL-GLF12.5-GR</t>
        </is>
      </c>
      <c r="B1474" t="inlineStr">
        <is>
          <t>GLF Grill: 1380sq.</t>
        </is>
      </c>
      <c r="C1474" t="inlineStr"/>
      <c r="D1474" t="n">
        <v>7</v>
      </c>
      <c r="E1474" t="n">
        <v>5</v>
      </c>
      <c r="F1474" t="inlineStr">
        <is>
          <t>AF Fans CC</t>
        </is>
      </c>
      <c r="G1474" s="1" t="n">
        <v>0</v>
      </c>
      <c r="H1474" t="n">
        <v>0</v>
      </c>
      <c r="I1474" t="n">
        <v>0.6</v>
      </c>
      <c r="J1474" t="n">
        <v>1</v>
      </c>
      <c r="K1474" t="n">
        <v>1</v>
      </c>
      <c r="L1474" t="n">
        <v>0</v>
      </c>
      <c r="M1474" t="n">
        <v>0</v>
      </c>
      <c r="N1474" t="n">
        <v>3</v>
      </c>
      <c r="O1474" s="1">
        <f>IFERROR(L1474*G1474,0)</f>
        <v/>
      </c>
      <c r="P1474">
        <f>IF(N1474-L1474-M1474&gt;0,N1474-L1474-M1474,0)</f>
        <v/>
      </c>
      <c r="Q1474" s="1">
        <f>IFERROR(P1474*G1474,0)</f>
        <v/>
      </c>
    </row>
    <row r="1475">
      <c r="A1475" t="inlineStr">
        <is>
          <t>SQL-GLF9.5-D</t>
        </is>
      </c>
      <c r="B1475" t="inlineStr">
        <is>
          <t>GLF 9.5 c/w 0.75kW 220v</t>
        </is>
      </c>
      <c r="C1475" t="inlineStr"/>
      <c r="D1475" t="n">
        <v>1</v>
      </c>
      <c r="E1475" t="n">
        <v>1</v>
      </c>
      <c r="F1475" t="inlineStr">
        <is>
          <t>AF Fans CC</t>
        </is>
      </c>
      <c r="G1475" s="1" t="n">
        <v>5516</v>
      </c>
      <c r="H1475" t="n">
        <v>0</v>
      </c>
      <c r="I1475" t="n">
        <v>0.5</v>
      </c>
      <c r="J1475" t="n">
        <v>1</v>
      </c>
      <c r="K1475" t="n">
        <v>1</v>
      </c>
      <c r="L1475" t="n">
        <v>0</v>
      </c>
      <c r="M1475" t="n">
        <v>0</v>
      </c>
      <c r="N1475" t="n">
        <v>2</v>
      </c>
      <c r="O1475" s="1">
        <f>IFERROR(L1475*G1475,0)</f>
        <v/>
      </c>
      <c r="P1475">
        <f>IF(N1475-L1475-M1475&gt;0,N1475-L1475-M1475,0)</f>
        <v/>
      </c>
      <c r="Q1475" s="1">
        <f>IFERROR(P1475*G1475,0)</f>
        <v/>
      </c>
    </row>
    <row r="1476">
      <c r="A1476" t="inlineStr">
        <is>
          <t>SQL-GR75F</t>
        </is>
      </c>
      <c r="B1476" t="inlineStr">
        <is>
          <t>GLF Fan Wheel - Fixed 70mm</t>
        </is>
      </c>
      <c r="C1476" t="inlineStr"/>
      <c r="D1476" t="n">
        <v>7</v>
      </c>
      <c r="E1476" t="n">
        <v>10</v>
      </c>
      <c r="F1476" t="inlineStr">
        <is>
          <t>AF Fans CC</t>
        </is>
      </c>
      <c r="G1476" s="1" t="n">
        <v>147</v>
      </c>
      <c r="H1476" t="n">
        <v>0</v>
      </c>
      <c r="I1476" t="n">
        <v>0.6</v>
      </c>
      <c r="J1476" t="n">
        <v>1.5</v>
      </c>
      <c r="K1476" t="n">
        <v>1</v>
      </c>
      <c r="L1476" t="n">
        <v>0</v>
      </c>
      <c r="M1476" t="n">
        <v>0</v>
      </c>
      <c r="N1476" t="n">
        <v>4</v>
      </c>
      <c r="O1476" s="1">
        <f>IFERROR(L1476*G1476,0)</f>
        <v/>
      </c>
      <c r="P1476">
        <f>IF(N1476-L1476-M1476&gt;0,N1476-L1476-M1476,0)</f>
        <v/>
      </c>
      <c r="Q1476" s="1">
        <f>IFERROR(P1476*G1476,0)</f>
        <v/>
      </c>
    </row>
    <row r="1477">
      <c r="A1477" t="inlineStr">
        <is>
          <t>SQL-GR75PBR</t>
        </is>
      </c>
      <c r="B1477" t="inlineStr">
        <is>
          <t>GLF Fan Wheel - PBK 70mm</t>
        </is>
      </c>
      <c r="C1477" t="inlineStr"/>
      <c r="D1477" t="n">
        <v>7</v>
      </c>
      <c r="E1477" t="n">
        <v>10</v>
      </c>
      <c r="F1477" t="inlineStr">
        <is>
          <t>AF Fans CC</t>
        </is>
      </c>
      <c r="G1477" s="1" t="n">
        <v>157.5</v>
      </c>
      <c r="H1477" t="n">
        <v>0</v>
      </c>
      <c r="I1477" t="n">
        <v>0.6</v>
      </c>
      <c r="J1477" t="n">
        <v>1.5</v>
      </c>
      <c r="K1477" t="n">
        <v>1</v>
      </c>
      <c r="L1477" t="n">
        <v>0</v>
      </c>
      <c r="M1477" t="n">
        <v>0</v>
      </c>
      <c r="N1477" t="n">
        <v>4</v>
      </c>
      <c r="O1477" s="1">
        <f>IFERROR(L1477*G1477,0)</f>
        <v/>
      </c>
      <c r="P1477">
        <f>IF(N1477-L1477-M1477&gt;0,N1477-L1477-M1477,0)</f>
        <v/>
      </c>
      <c r="Q1477" s="1">
        <f>IFERROR(P1477*G1477,0)</f>
        <v/>
      </c>
    </row>
    <row r="1478">
      <c r="A1478" t="inlineStr">
        <is>
          <t>SR30MD000069</t>
        </is>
      </c>
      <c r="B1478" t="inlineStr">
        <is>
          <t>SCL R30-MD MOR EU M.E 1.5KW 3Ph 380V</t>
        </is>
      </c>
      <c r="C1478" t="inlineStr">
        <is>
          <t>FM - FPZ</t>
        </is>
      </c>
      <c r="D1478" t="n">
        <v>1</v>
      </c>
      <c r="E1478" t="n">
        <v>2</v>
      </c>
      <c r="F1478" t="inlineStr">
        <is>
          <t>Effepizeta</t>
        </is>
      </c>
      <c r="G1478" s="1" t="n">
        <v>14161.01</v>
      </c>
      <c r="H1478" t="n">
        <v>2</v>
      </c>
      <c r="I1478" t="n">
        <v>1.7</v>
      </c>
      <c r="J1478" t="n">
        <v>2</v>
      </c>
      <c r="K1478" t="n">
        <v>3</v>
      </c>
      <c r="L1478" t="n">
        <v>0</v>
      </c>
      <c r="M1478" t="n">
        <v>0</v>
      </c>
      <c r="N1478" t="n">
        <v>7</v>
      </c>
      <c r="O1478" s="1">
        <f>IFERROR(L1478*G1478,0)</f>
        <v/>
      </c>
      <c r="P1478">
        <f>IF(N1478-L1478-M1478&gt;0,N1478-L1478-M1478,0)</f>
        <v/>
      </c>
      <c r="Q1478" s="1">
        <f>IFERROR(P1478*G1478,0)</f>
        <v/>
      </c>
    </row>
    <row r="1479">
      <c r="A1479" t="inlineStr">
        <is>
          <t>SR40MD00 + 0006</t>
        </is>
      </c>
      <c r="B1479" t="inlineStr">
        <is>
          <t>SCL R40-MD MOR EU M.E 2.2kW - 2 POLI 230-50 V-HZ - MF - CL.F TROP. + PTO - IP55 - PAINTED</t>
        </is>
      </c>
      <c r="C1479" t="inlineStr"/>
      <c r="D1479" t="n">
        <v>1</v>
      </c>
      <c r="E1479" t="n">
        <v>1</v>
      </c>
      <c r="F1479" t="inlineStr">
        <is>
          <t>Effepizeta</t>
        </is>
      </c>
      <c r="G1479" s="1" t="n">
        <v>20582.19</v>
      </c>
      <c r="H1479" t="n">
        <v>0</v>
      </c>
      <c r="I1479" t="n">
        <v>2</v>
      </c>
      <c r="J1479" t="n">
        <v>1</v>
      </c>
      <c r="K1479" t="n">
        <v>2</v>
      </c>
      <c r="L1479" t="n">
        <v>0</v>
      </c>
      <c r="M1479" t="n">
        <v>0</v>
      </c>
      <c r="N1479" t="n">
        <v>4</v>
      </c>
      <c r="O1479" s="1">
        <f>IFERROR(L1479*G1479,0)</f>
        <v/>
      </c>
      <c r="P1479">
        <f>IF(N1479-L1479-M1479&gt;0,N1479-L1479-M1479,0)</f>
        <v/>
      </c>
      <c r="Q1479" s="1">
        <f>IFERROR(P1479*G1479,0)</f>
        <v/>
      </c>
    </row>
    <row r="1480">
      <c r="A1480" t="inlineStr">
        <is>
          <t>SR40MD00+0006</t>
        </is>
      </c>
      <c r="B1480" t="inlineStr">
        <is>
          <t>SCL R40MD</t>
        </is>
      </c>
      <c r="C1480" t="inlineStr">
        <is>
          <t>FM - FPZ</t>
        </is>
      </c>
      <c r="D1480" t="n">
        <v>1</v>
      </c>
      <c r="E1480" t="n">
        <v>0</v>
      </c>
      <c r="F1480" t="inlineStr"/>
      <c r="G1480" s="1" t="n">
        <v>0</v>
      </c>
      <c r="H1480" t="n">
        <v>1</v>
      </c>
      <c r="I1480" t="n">
        <v>0.5</v>
      </c>
      <c r="J1480" t="n">
        <v>1</v>
      </c>
      <c r="K1480" t="n">
        <v>1</v>
      </c>
      <c r="L1480" t="n">
        <v>0</v>
      </c>
      <c r="M1480" t="n">
        <v>0</v>
      </c>
      <c r="N1480" t="n">
        <v>2</v>
      </c>
      <c r="O1480" s="1">
        <f>IFERROR(L1480*G1480,0)</f>
        <v/>
      </c>
      <c r="P1480">
        <f>IF(N1480-L1480-M1480&gt;0,N1480-L1480-M1480,0)</f>
        <v/>
      </c>
      <c r="Q1480" s="1">
        <f>IFERROR(P1480*G1480,0)</f>
        <v/>
      </c>
    </row>
    <row r="1481">
      <c r="A1481" t="inlineStr">
        <is>
          <t>SSD</t>
        </is>
      </c>
      <c r="B1481" t="inlineStr">
        <is>
          <t>New Disk replacement SSD 512gb from invoice AXG0205</t>
        </is>
      </c>
      <c r="C1481" t="inlineStr"/>
      <c r="D1481" t="n">
        <v>1</v>
      </c>
      <c r="E1481" t="n">
        <v>1</v>
      </c>
      <c r="F1481" t="inlineStr">
        <is>
          <t>AXEGROUP</t>
        </is>
      </c>
      <c r="G1481" s="1" t="n">
        <v>850</v>
      </c>
      <c r="H1481" t="n">
        <v>0</v>
      </c>
      <c r="I1481" t="n">
        <v>0.5</v>
      </c>
      <c r="J1481" t="n">
        <v>1</v>
      </c>
      <c r="K1481" t="n">
        <v>1</v>
      </c>
      <c r="L1481" t="n">
        <v>0</v>
      </c>
      <c r="M1481" t="n">
        <v>0</v>
      </c>
      <c r="N1481" t="n">
        <v>2</v>
      </c>
      <c r="O1481" s="1">
        <f>IFERROR(L1481*G1481,0)</f>
        <v/>
      </c>
      <c r="P1481">
        <f>IF(N1481-L1481-M1481&gt;0,N1481-L1481-M1481,0)</f>
        <v/>
      </c>
      <c r="Q1481" s="1">
        <f>IFERROR(P1481*G1481,0)</f>
        <v/>
      </c>
    </row>
    <row r="1482">
      <c r="A1482" t="inlineStr">
        <is>
          <t>ST0.14220</t>
        </is>
      </c>
      <c r="B1482" t="inlineStr">
        <is>
          <t>Satmos Treatment 0.1Kw 1430rpm 230V</t>
        </is>
      </c>
      <c r="C1482" t="inlineStr"/>
      <c r="D1482" t="n">
        <v>1</v>
      </c>
      <c r="E1482" t="n">
        <v>1</v>
      </c>
      <c r="F1482" t="inlineStr">
        <is>
          <t>Luck and King</t>
        </is>
      </c>
      <c r="G1482" s="1" t="n">
        <v>2100</v>
      </c>
      <c r="H1482" t="n">
        <v>0</v>
      </c>
      <c r="I1482" t="n">
        <v>0.5</v>
      </c>
      <c r="J1482" t="n">
        <v>1</v>
      </c>
      <c r="K1482" t="n">
        <v>1</v>
      </c>
      <c r="L1482" t="n">
        <v>0</v>
      </c>
      <c r="M1482" t="n">
        <v>0</v>
      </c>
      <c r="N1482" t="n">
        <v>2</v>
      </c>
      <c r="O1482" s="1">
        <f>IFERROR(L1482*G1482,0)</f>
        <v/>
      </c>
      <c r="P1482">
        <f>IF(N1482-L1482-M1482&gt;0,N1482-L1482-M1482,0)</f>
        <v/>
      </c>
      <c r="Q1482" s="1">
        <f>IFERROR(P1482*G1482,0)</f>
        <v/>
      </c>
    </row>
    <row r="1483">
      <c r="A1483" t="inlineStr">
        <is>
          <t>ST0001</t>
        </is>
      </c>
      <c r="B1483" t="inlineStr">
        <is>
          <t>760diam/9bladed/28mmbore/30deg/Impeller/FB</t>
        </is>
      </c>
      <c r="C1483" t="inlineStr"/>
      <c r="D1483" t="n">
        <v>8</v>
      </c>
      <c r="E1483" t="n">
        <v>10</v>
      </c>
      <c r="F1483" t="inlineStr">
        <is>
          <t>Phoenix Fans &amp; Engineering</t>
        </is>
      </c>
      <c r="G1483" s="1" t="n">
        <v>511.44</v>
      </c>
      <c r="H1483" t="n">
        <v>0</v>
      </c>
      <c r="I1483" t="n">
        <v>0.5</v>
      </c>
      <c r="J1483" t="n">
        <v>1.5</v>
      </c>
      <c r="K1483" t="n">
        <v>1</v>
      </c>
      <c r="L1483" t="n">
        <v>0</v>
      </c>
      <c r="M1483" t="n">
        <v>0</v>
      </c>
      <c r="N1483" t="n">
        <v>4</v>
      </c>
      <c r="O1483" s="1">
        <f>IFERROR(L1483*G1483,0)</f>
        <v/>
      </c>
      <c r="P1483">
        <f>IF(N1483-L1483-M1483&gt;0,N1483-L1483-M1483,0)</f>
        <v/>
      </c>
      <c r="Q1483" s="1">
        <f>IFERROR(P1483*G1483,0)</f>
        <v/>
      </c>
    </row>
    <row r="1484">
      <c r="A1484" t="inlineStr">
        <is>
          <t>STOCK GALVANIZING-12 JULY 2024</t>
        </is>
      </c>
      <c r="B1484" t="inlineStr">
        <is>
          <t>STOCK GALVANIZING-12 JULY 2024</t>
        </is>
      </c>
      <c r="C1484" t="inlineStr"/>
      <c r="D1484" t="n">
        <v>1</v>
      </c>
      <c r="E1484" t="n">
        <v>198</v>
      </c>
      <c r="F1484" t="inlineStr">
        <is>
          <t>GALVAGLOW (PTY) LTD</t>
        </is>
      </c>
      <c r="G1484" s="1" t="n">
        <v>13.8</v>
      </c>
      <c r="H1484" t="n">
        <v>0</v>
      </c>
      <c r="I1484" t="n">
        <v>0.5</v>
      </c>
      <c r="J1484" t="n">
        <v>198</v>
      </c>
      <c r="K1484" t="n">
        <v>99</v>
      </c>
      <c r="L1484" t="n">
        <v>0</v>
      </c>
      <c r="M1484" t="n">
        <v>0</v>
      </c>
      <c r="N1484" t="n">
        <v>495</v>
      </c>
      <c r="O1484" s="1">
        <f>IFERROR(L1484*G1484,0)</f>
        <v/>
      </c>
      <c r="P1484">
        <f>IF(N1484-L1484-M1484&gt;0,N1484-L1484-M1484,0)</f>
        <v/>
      </c>
      <c r="Q1484" s="1">
        <f>IFERROR(P1484*G1484,0)</f>
        <v/>
      </c>
    </row>
    <row r="1485">
      <c r="A1485" t="inlineStr">
        <is>
          <t>STORAGE1000000</t>
        </is>
      </c>
      <c r="B1485" t="inlineStr">
        <is>
          <t>Rental Space to Store Goods</t>
        </is>
      </c>
      <c r="C1485" t="inlineStr"/>
      <c r="D1485" t="n">
        <v>3</v>
      </c>
      <c r="E1485" t="n">
        <v>3</v>
      </c>
      <c r="F1485" t="inlineStr">
        <is>
          <t>Plant Service &amp; Maintenance (PTY) Ltd</t>
        </is>
      </c>
      <c r="G1485" s="1" t="n">
        <v>2500</v>
      </c>
      <c r="H1485" t="n">
        <v>0</v>
      </c>
      <c r="I1485" t="n">
        <v>0.5</v>
      </c>
      <c r="J1485" t="n">
        <v>1</v>
      </c>
      <c r="K1485" t="n">
        <v>1</v>
      </c>
      <c r="L1485" t="n">
        <v>0</v>
      </c>
      <c r="M1485" t="n">
        <v>0</v>
      </c>
      <c r="N1485" t="n">
        <v>2</v>
      </c>
      <c r="O1485" s="1">
        <f>IFERROR(L1485*G1485,0)</f>
        <v/>
      </c>
      <c r="P1485">
        <f>IF(N1485-L1485-M1485&gt;0,N1485-L1485-M1485,0)</f>
        <v/>
      </c>
      <c r="Q1485" s="1">
        <f>IFERROR(P1485*G1485,0)</f>
        <v/>
      </c>
    </row>
    <row r="1486">
      <c r="A1486" t="inlineStr">
        <is>
          <t>SWA02.5X4BKLH</t>
        </is>
      </c>
      <c r="B1486" t="inlineStr">
        <is>
          <t>STEEL WIRE ARMOURED 2.5MM X 4</t>
        </is>
      </c>
      <c r="C1486" t="inlineStr"/>
      <c r="D1486" t="n">
        <v>1</v>
      </c>
      <c r="E1486" t="n">
        <v>12</v>
      </c>
      <c r="F1486" t="inlineStr">
        <is>
          <t>Alvern Cables (Pty) Ltd</t>
        </is>
      </c>
      <c r="G1486" s="1" t="n">
        <v>43.33</v>
      </c>
      <c r="H1486" t="n">
        <v>0</v>
      </c>
      <c r="I1486" t="n">
        <v>0.5</v>
      </c>
      <c r="J1486" t="n">
        <v>12</v>
      </c>
      <c r="K1486" t="n">
        <v>6</v>
      </c>
      <c r="L1486" t="n">
        <v>0</v>
      </c>
      <c r="M1486" t="n">
        <v>0</v>
      </c>
      <c r="N1486" t="n">
        <v>30</v>
      </c>
      <c r="O1486" s="1">
        <f>IFERROR(L1486*G1486,0)</f>
        <v/>
      </c>
      <c r="P1486">
        <f>IF(N1486-L1486-M1486&gt;0,N1486-L1486-M1486,0)</f>
        <v/>
      </c>
      <c r="Q1486" s="1">
        <f>IFERROR(P1486*G1486,0)</f>
        <v/>
      </c>
    </row>
    <row r="1487">
      <c r="A1487" t="inlineStr">
        <is>
          <t>Search Engine</t>
        </is>
      </c>
      <c r="B1487" t="inlineStr">
        <is>
          <t>Search Engine Optimisation - Pro Package</t>
        </is>
      </c>
      <c r="C1487" t="inlineStr"/>
      <c r="D1487" t="n">
        <v>6</v>
      </c>
      <c r="E1487" t="n">
        <v>7</v>
      </c>
      <c r="F1487" t="inlineStr">
        <is>
          <t>ONPOINT MEDIA SA</t>
        </is>
      </c>
      <c r="G1487" s="1" t="n">
        <v>8000</v>
      </c>
      <c r="H1487" t="n">
        <v>0</v>
      </c>
      <c r="I1487" t="n">
        <v>0.5</v>
      </c>
      <c r="J1487" t="n">
        <v>1.5</v>
      </c>
      <c r="K1487" t="n">
        <v>1</v>
      </c>
      <c r="L1487" t="n">
        <v>0</v>
      </c>
      <c r="M1487" t="n">
        <v>0</v>
      </c>
      <c r="N1487" t="n">
        <v>4</v>
      </c>
      <c r="O1487" s="1">
        <f>IFERROR(L1487*G1487,0)</f>
        <v/>
      </c>
      <c r="P1487">
        <f>IF(N1487-L1487-M1487&gt;0,N1487-L1487-M1487,0)</f>
        <v/>
      </c>
      <c r="Q1487" s="1">
        <f>IFERROR(P1487*G1487,0)</f>
        <v/>
      </c>
    </row>
    <row r="1488">
      <c r="A1488" t="inlineStr">
        <is>
          <t>Service Provider</t>
        </is>
      </c>
      <c r="B1488" t="inlineStr">
        <is>
          <t>Service</t>
        </is>
      </c>
      <c r="C1488" t="inlineStr"/>
      <c r="D1488" t="n">
        <v>28</v>
      </c>
      <c r="E1488" t="n">
        <v>18</v>
      </c>
      <c r="F1488" t="inlineStr">
        <is>
          <t>Comtech Network Solutions</t>
        </is>
      </c>
      <c r="G1488" s="1" t="n">
        <v>0</v>
      </c>
      <c r="H1488" t="n">
        <v>0</v>
      </c>
      <c r="I1488" t="n">
        <v>0.5</v>
      </c>
      <c r="J1488" t="n">
        <v>1</v>
      </c>
      <c r="K1488" t="n">
        <v>1</v>
      </c>
      <c r="L1488" t="n">
        <v>0</v>
      </c>
      <c r="M1488" t="n">
        <v>0</v>
      </c>
      <c r="N1488" t="n">
        <v>2</v>
      </c>
      <c r="O1488" s="1">
        <f>IFERROR(L1488*G1488,0)</f>
        <v/>
      </c>
      <c r="P1488">
        <f>IF(N1488-L1488-M1488&gt;0,N1488-L1488-M1488,0)</f>
        <v/>
      </c>
      <c r="Q1488" s="1">
        <f>IFERROR(P1488*G1488,0)</f>
        <v/>
      </c>
    </row>
    <row r="1489">
      <c r="A1489" t="inlineStr">
        <is>
          <t>Spare Motor</t>
        </is>
      </c>
      <c r="B1489" t="inlineStr">
        <is>
          <t>Tiracamino</t>
        </is>
      </c>
      <c r="C1489" t="inlineStr"/>
      <c r="D1489" t="n">
        <v>1</v>
      </c>
      <c r="E1489" t="n">
        <v>0</v>
      </c>
      <c r="F1489" t="inlineStr"/>
      <c r="G1489" s="1" t="n">
        <v>0</v>
      </c>
      <c r="H1489" t="n">
        <v>10</v>
      </c>
      <c r="I1489" t="n">
        <v>0.5</v>
      </c>
      <c r="J1489" t="n">
        <v>10</v>
      </c>
      <c r="K1489" t="n">
        <v>5</v>
      </c>
      <c r="L1489" t="n">
        <v>0</v>
      </c>
      <c r="M1489" t="n">
        <v>0</v>
      </c>
      <c r="N1489" t="n">
        <v>25</v>
      </c>
      <c r="O1489" s="1">
        <f>IFERROR(L1489*G1489,0)</f>
        <v/>
      </c>
      <c r="P1489">
        <f>IF(N1489-L1489-M1489&gt;0,N1489-L1489-M1489,0)</f>
        <v/>
      </c>
      <c r="Q1489" s="1">
        <f>IFERROR(P1489*G1489,0)</f>
        <v/>
      </c>
    </row>
    <row r="1490">
      <c r="A1490" t="inlineStr">
        <is>
          <t>Stantionary</t>
        </is>
      </c>
      <c r="B1490" t="inlineStr">
        <is>
          <t>Stationary</t>
        </is>
      </c>
      <c r="C1490" t="inlineStr"/>
      <c r="D1490" t="n">
        <v>26</v>
      </c>
      <c r="E1490" t="n">
        <v>25</v>
      </c>
      <c r="F1490" t="inlineStr">
        <is>
          <t>Bond Stationers</t>
        </is>
      </c>
      <c r="G1490" s="1" t="n">
        <v>1176.43</v>
      </c>
      <c r="H1490" t="n">
        <v>0</v>
      </c>
      <c r="I1490" t="n">
        <v>0.5</v>
      </c>
      <c r="J1490" t="n">
        <v>1</v>
      </c>
      <c r="K1490" t="n">
        <v>1</v>
      </c>
      <c r="L1490" t="n">
        <v>0</v>
      </c>
      <c r="M1490" t="n">
        <v>0</v>
      </c>
      <c r="N1490" t="n">
        <v>2</v>
      </c>
      <c r="O1490" s="1">
        <f>IFERROR(L1490*G1490,0)</f>
        <v/>
      </c>
      <c r="P1490">
        <f>IF(N1490-L1490-M1490&gt;0,N1490-L1490-M1490,0)</f>
        <v/>
      </c>
      <c r="Q1490" s="1">
        <f>IFERROR(P1490*G1490,0)</f>
        <v/>
      </c>
    </row>
    <row r="1491">
      <c r="A1491" t="inlineStr">
        <is>
          <t>TAB10130</t>
        </is>
      </c>
      <c r="B1491" t="inlineStr">
        <is>
          <t>1.1kw 6P 400V B30 90L IE1 MOTOR WEG W21 IP55 AL BOX</t>
        </is>
      </c>
      <c r="C1491" t="inlineStr"/>
      <c r="D1491" t="n">
        <v>1</v>
      </c>
      <c r="E1491" t="n">
        <v>1</v>
      </c>
      <c r="F1491" t="inlineStr">
        <is>
          <t>WEG South Africa</t>
        </is>
      </c>
      <c r="G1491" s="1" t="n">
        <v>2958.8</v>
      </c>
      <c r="H1491" t="n">
        <v>0</v>
      </c>
      <c r="I1491" t="n">
        <v>1.5</v>
      </c>
      <c r="J1491" t="n">
        <v>1</v>
      </c>
      <c r="K1491" t="n">
        <v>2</v>
      </c>
      <c r="L1491" t="n">
        <v>0</v>
      </c>
      <c r="M1491" t="n">
        <v>0</v>
      </c>
      <c r="N1491" t="n">
        <v>4</v>
      </c>
      <c r="O1491" s="1">
        <f>IFERROR(L1491*G1491,0)</f>
        <v/>
      </c>
      <c r="P1491">
        <f>IF(N1491-L1491-M1491&gt;0,N1491-L1491-M1491,0)</f>
        <v/>
      </c>
      <c r="Q1491" s="1">
        <f>IFERROR(P1491*G1491,0)</f>
        <v/>
      </c>
    </row>
    <row r="1492">
      <c r="A1492" t="inlineStr">
        <is>
          <t>TAB15030-</t>
        </is>
      </c>
      <c r="B1492" t="inlineStr">
        <is>
          <t>2.2kW 2P 400V B30 90L IE1 MOTOR WEG W11 IP55 AL BOX</t>
        </is>
      </c>
      <c r="C1492" t="inlineStr"/>
      <c r="D1492" t="n">
        <v>1</v>
      </c>
      <c r="E1492" t="n">
        <v>1</v>
      </c>
      <c r="F1492" t="inlineStr">
        <is>
          <t>WEG South Africa</t>
        </is>
      </c>
      <c r="G1492" s="1" t="n">
        <v>2625</v>
      </c>
      <c r="H1492" t="n">
        <v>0</v>
      </c>
      <c r="I1492" t="n">
        <v>1.8</v>
      </c>
      <c r="J1492" t="n">
        <v>1</v>
      </c>
      <c r="K1492" t="n">
        <v>2</v>
      </c>
      <c r="L1492" t="n">
        <v>0</v>
      </c>
      <c r="M1492" t="n">
        <v>0</v>
      </c>
      <c r="N1492" t="n">
        <v>4</v>
      </c>
      <c r="O1492" s="1">
        <f>IFERROR(L1492*G1492,0)</f>
        <v/>
      </c>
      <c r="P1492">
        <f>IF(N1492-L1492-M1492&gt;0,N1492-L1492-M1492,0)</f>
        <v/>
      </c>
      <c r="Q1492" s="1">
        <f>IFERROR(P1492*G1492,0)</f>
        <v/>
      </c>
    </row>
    <row r="1493">
      <c r="A1493" t="inlineStr">
        <is>
          <t>TAP08130</t>
        </is>
      </c>
      <c r="B1493" t="inlineStr">
        <is>
          <t>0.75kw 6P 400V B30 90S IE1 MOTOR WEG W21 IP55 AL LEAD</t>
        </is>
      </c>
      <c r="C1493" t="inlineStr"/>
      <c r="D1493" t="n">
        <v>1</v>
      </c>
      <c r="E1493" t="n">
        <v>1</v>
      </c>
      <c r="F1493" t="inlineStr">
        <is>
          <t>WEG South Africa</t>
        </is>
      </c>
      <c r="G1493" s="1" t="n">
        <v>2385.5</v>
      </c>
      <c r="H1493" t="n">
        <v>0</v>
      </c>
      <c r="I1493" t="n">
        <v>1.5</v>
      </c>
      <c r="J1493" t="n">
        <v>1</v>
      </c>
      <c r="K1493" t="n">
        <v>2</v>
      </c>
      <c r="L1493" t="n">
        <v>0</v>
      </c>
      <c r="M1493" t="n">
        <v>0</v>
      </c>
      <c r="N1493" t="n">
        <v>4</v>
      </c>
      <c r="O1493" s="1">
        <f>IFERROR(L1493*G1493,0)</f>
        <v/>
      </c>
      <c r="P1493">
        <f>IF(N1493-L1493-M1493&gt;0,N1493-L1493-M1493,0)</f>
        <v/>
      </c>
      <c r="Q1493" s="1">
        <f>IFERROR(P1493*G1493,0)</f>
        <v/>
      </c>
    </row>
    <row r="1494">
      <c r="A1494" t="inlineStr">
        <is>
          <t>TB 315-560</t>
        </is>
      </c>
      <c r="B1494" t="inlineStr">
        <is>
          <t>Casing Terminal Box (315-560)</t>
        </is>
      </c>
      <c r="C1494" t="inlineStr">
        <is>
          <t>FM - DONKIN</t>
        </is>
      </c>
      <c r="D1494" t="n">
        <v>1</v>
      </c>
      <c r="E1494" t="n">
        <v>38</v>
      </c>
      <c r="F1494" t="inlineStr">
        <is>
          <t>ULTIMATENG (PTY) LTD</t>
        </is>
      </c>
      <c r="G1494" s="1" t="n">
        <v>0</v>
      </c>
      <c r="H1494" t="n">
        <v>0</v>
      </c>
      <c r="I1494" t="n">
        <v>0.5</v>
      </c>
      <c r="J1494" t="n">
        <v>38</v>
      </c>
      <c r="K1494" t="n">
        <v>19</v>
      </c>
      <c r="L1494" t="n">
        <v>0</v>
      </c>
      <c r="M1494" t="n">
        <v>0</v>
      </c>
      <c r="N1494" t="n">
        <v>95</v>
      </c>
      <c r="O1494" s="1">
        <f>IFERROR(L1494*G1494,0)</f>
        <v/>
      </c>
      <c r="P1494">
        <f>IF(N1494-L1494-M1494&gt;0,N1494-L1494-M1494,0)</f>
        <v/>
      </c>
      <c r="Q1494" s="1">
        <f>IFERROR(P1494*G1494,0)</f>
        <v/>
      </c>
    </row>
    <row r="1495">
      <c r="A1495" t="inlineStr">
        <is>
          <t>TB 630-800</t>
        </is>
      </c>
      <c r="B1495" t="inlineStr">
        <is>
          <t>Casing Terminal Box (560-800)</t>
        </is>
      </c>
      <c r="C1495" t="inlineStr">
        <is>
          <t>FM - DONKIN</t>
        </is>
      </c>
      <c r="D1495" t="n">
        <v>1</v>
      </c>
      <c r="E1495" t="n">
        <v>38</v>
      </c>
      <c r="F1495" t="inlineStr">
        <is>
          <t>ULTIMATENG (PTY) LTD</t>
        </is>
      </c>
      <c r="G1495" s="1" t="n">
        <v>0</v>
      </c>
      <c r="H1495" t="n">
        <v>0</v>
      </c>
      <c r="I1495" t="n">
        <v>0.5</v>
      </c>
      <c r="J1495" t="n">
        <v>38</v>
      </c>
      <c r="K1495" t="n">
        <v>19</v>
      </c>
      <c r="L1495" t="n">
        <v>0</v>
      </c>
      <c r="M1495" t="n">
        <v>0</v>
      </c>
      <c r="N1495" t="n">
        <v>95</v>
      </c>
      <c r="O1495" s="1">
        <f>IFERROR(L1495*G1495,0)</f>
        <v/>
      </c>
      <c r="P1495">
        <f>IF(N1495-L1495-M1495&gt;0,N1495-L1495-M1495,0)</f>
        <v/>
      </c>
      <c r="Q1495" s="1">
        <f>IFERROR(P1495*G1495,0)</f>
        <v/>
      </c>
    </row>
    <row r="1496">
      <c r="A1496" t="inlineStr">
        <is>
          <t>TC10.0X4BKHO7</t>
        </is>
      </c>
      <c r="B1496" t="inlineStr">
        <is>
          <t>Trailing Cable 10mm2 4 Core</t>
        </is>
      </c>
      <c r="C1496" t="inlineStr"/>
      <c r="D1496" t="n">
        <v>1</v>
      </c>
      <c r="E1496" t="n">
        <v>34</v>
      </c>
      <c r="F1496" t="inlineStr">
        <is>
          <t>Alvern Cables (Pty) Ltd</t>
        </is>
      </c>
      <c r="G1496" s="1" t="n">
        <v>138.58</v>
      </c>
      <c r="H1496" t="n">
        <v>0</v>
      </c>
      <c r="I1496" t="n">
        <v>0.5</v>
      </c>
      <c r="J1496" t="n">
        <v>34</v>
      </c>
      <c r="K1496" t="n">
        <v>17</v>
      </c>
      <c r="L1496" t="n">
        <v>0</v>
      </c>
      <c r="M1496" t="n">
        <v>0</v>
      </c>
      <c r="N1496" t="n">
        <v>85</v>
      </c>
      <c r="O1496" s="1">
        <f>IFERROR(L1496*G1496,0)</f>
        <v/>
      </c>
      <c r="P1496">
        <f>IF(N1496-L1496-M1496&gt;0,N1496-L1496-M1496,0)</f>
        <v/>
      </c>
      <c r="Q1496" s="1">
        <f>IFERROR(P1496*G1496,0)</f>
        <v/>
      </c>
    </row>
    <row r="1497">
      <c r="A1497" t="inlineStr">
        <is>
          <t>TCOVER</t>
        </is>
      </c>
      <c r="B1497" t="inlineStr">
        <is>
          <t>ROPE TIE DOWN - TONNEAU COVER - MAHINDRA SINGLE CAB</t>
        </is>
      </c>
      <c r="C1497" t="inlineStr">
        <is>
          <t>Car accessories</t>
        </is>
      </c>
      <c r="D1497" t="n">
        <v>1</v>
      </c>
      <c r="E1497" t="n">
        <v>1</v>
      </c>
      <c r="F1497" t="inlineStr">
        <is>
          <t>TONNEAU COVER MASTERS</t>
        </is>
      </c>
      <c r="G1497" s="1" t="n">
        <v>1700</v>
      </c>
      <c r="H1497" t="n">
        <v>0</v>
      </c>
      <c r="I1497" t="n">
        <v>0.5</v>
      </c>
      <c r="J1497" t="n">
        <v>1</v>
      </c>
      <c r="K1497" t="n">
        <v>1</v>
      </c>
      <c r="L1497" t="n">
        <v>0</v>
      </c>
      <c r="M1497" t="n">
        <v>0</v>
      </c>
      <c r="N1497" t="n">
        <v>2</v>
      </c>
      <c r="O1497" s="1">
        <f>IFERROR(L1497*G1497,0)</f>
        <v/>
      </c>
      <c r="P1497">
        <f>IF(N1497-L1497-M1497&gt;0,N1497-L1497-M1497,0)</f>
        <v/>
      </c>
      <c r="Q1497" s="1">
        <f>IFERROR(P1497*G1497,0)</f>
        <v/>
      </c>
    </row>
    <row r="1498">
      <c r="A1498" t="inlineStr">
        <is>
          <t>TEX1943033</t>
        </is>
      </c>
      <c r="B1498" t="inlineStr">
        <is>
          <t>3kW 4P 220/380-415V B3T 100L IE1 Motor WEG W21 IP55 FLP</t>
        </is>
      </c>
      <c r="C1498" t="inlineStr"/>
      <c r="D1498" t="n">
        <v>1</v>
      </c>
      <c r="E1498" t="n">
        <v>1</v>
      </c>
      <c r="F1498" t="inlineStr">
        <is>
          <t>WEG South Africa</t>
        </is>
      </c>
      <c r="G1498" s="1" t="n">
        <v>11305.25</v>
      </c>
      <c r="H1498" t="n">
        <v>0</v>
      </c>
      <c r="I1498" t="n">
        <v>0.5</v>
      </c>
      <c r="J1498" t="n">
        <v>1</v>
      </c>
      <c r="K1498" t="n">
        <v>1</v>
      </c>
      <c r="L1498" t="n">
        <v>0</v>
      </c>
      <c r="M1498" t="n">
        <v>0</v>
      </c>
      <c r="N1498" t="n">
        <v>2</v>
      </c>
      <c r="O1498" s="1">
        <f>IFERROR(L1498*G1498,0)</f>
        <v/>
      </c>
      <c r="P1498">
        <f>IF(N1498-L1498-M1498&gt;0,N1498-L1498-M1498,0)</f>
        <v/>
      </c>
      <c r="Q1498" s="1">
        <f>IFERROR(P1498*G1498,0)</f>
        <v/>
      </c>
    </row>
    <row r="1499">
      <c r="A1499" t="inlineStr">
        <is>
          <t>TEX2313030</t>
        </is>
      </c>
      <c r="B1499" t="inlineStr">
        <is>
          <t>5.5kW 6P 380-415/660V B3 132M IE1 MOTOR WEG W21 IP55 FLP</t>
        </is>
      </c>
      <c r="C1499" t="inlineStr"/>
      <c r="D1499" t="n">
        <v>1</v>
      </c>
      <c r="E1499" t="n">
        <v>1</v>
      </c>
      <c r="F1499" t="inlineStr">
        <is>
          <t>Weg SA</t>
        </is>
      </c>
      <c r="G1499" s="1" t="n">
        <v>22037.4</v>
      </c>
      <c r="H1499" t="n">
        <v>0</v>
      </c>
      <c r="I1499" t="n">
        <v>0.5</v>
      </c>
      <c r="J1499" t="n">
        <v>1</v>
      </c>
      <c r="K1499" t="n">
        <v>1</v>
      </c>
      <c r="L1499" t="n">
        <v>0</v>
      </c>
      <c r="M1499" t="n">
        <v>0</v>
      </c>
      <c r="N1499" t="n">
        <v>2</v>
      </c>
      <c r="O1499" s="1">
        <f>IFERROR(L1499*G1499,0)</f>
        <v/>
      </c>
      <c r="P1499">
        <f>IF(N1499-L1499-M1499&gt;0,N1499-L1499-M1499,0)</f>
        <v/>
      </c>
      <c r="Q1499" s="1">
        <f>IFERROR(P1499*G1499,0)</f>
        <v/>
      </c>
    </row>
    <row r="1500">
      <c r="A1500" t="inlineStr">
        <is>
          <t>TF5PUR/C</t>
        </is>
      </c>
      <c r="B1500" t="inlineStr">
        <is>
          <t>TF5PUR/C - Fixed Castor 125mm</t>
        </is>
      </c>
      <c r="C1500" t="inlineStr">
        <is>
          <t>CONSUMABLES</t>
        </is>
      </c>
      <c r="D1500" t="n">
        <v>1</v>
      </c>
      <c r="E1500" t="n">
        <v>2</v>
      </c>
      <c r="F1500" t="inlineStr">
        <is>
          <t>Caslad Agencies CC</t>
        </is>
      </c>
      <c r="G1500" s="1" t="n">
        <v>253</v>
      </c>
      <c r="H1500" t="n">
        <v>0</v>
      </c>
      <c r="I1500" t="n">
        <v>0.5</v>
      </c>
      <c r="J1500" t="n">
        <v>2</v>
      </c>
      <c r="K1500" t="n">
        <v>1</v>
      </c>
      <c r="L1500" t="n">
        <v>0</v>
      </c>
      <c r="M1500" t="n">
        <v>0</v>
      </c>
      <c r="N1500" t="n">
        <v>5</v>
      </c>
      <c r="O1500" s="1">
        <f>IFERROR(L1500*G1500,0)</f>
        <v/>
      </c>
      <c r="P1500">
        <f>IF(N1500-L1500-M1500&gt;0,N1500-L1500-M1500,0)</f>
        <v/>
      </c>
      <c r="Q1500" s="1">
        <f>IFERROR(P1500*G1500,0)</f>
        <v/>
      </c>
    </row>
    <row r="1501">
      <c r="A1501" t="inlineStr">
        <is>
          <t>THINNERS</t>
        </is>
      </c>
      <c r="B1501" t="inlineStr">
        <is>
          <t>25L - Thinners 25L</t>
        </is>
      </c>
      <c r="C1501" t="inlineStr"/>
      <c r="D1501" t="n">
        <v>2</v>
      </c>
      <c r="E1501" t="n">
        <v>7</v>
      </c>
      <c r="F1501" t="inlineStr">
        <is>
          <t>EIS - (Engineering And Industrial Supplies)</t>
        </is>
      </c>
      <c r="G1501" s="1" t="n">
        <v>0</v>
      </c>
      <c r="H1501" t="n">
        <v>0</v>
      </c>
      <c r="I1501" t="n">
        <v>0.5</v>
      </c>
      <c r="J1501" t="n">
        <v>3.5</v>
      </c>
      <c r="K1501" t="n">
        <v>2</v>
      </c>
      <c r="L1501" t="n">
        <v>0</v>
      </c>
      <c r="M1501" t="n">
        <v>0</v>
      </c>
      <c r="N1501" t="n">
        <v>9</v>
      </c>
      <c r="O1501" s="1">
        <f>IFERROR(L1501*G1501,0)</f>
        <v/>
      </c>
      <c r="P1501">
        <f>IF(N1501-L1501-M1501&gt;0,N1501-L1501-M1501,0)</f>
        <v/>
      </c>
      <c r="Q1501" s="1">
        <f>IFERROR(P1501*G1501,0)</f>
        <v/>
      </c>
    </row>
    <row r="1502">
      <c r="A1502" t="inlineStr">
        <is>
          <t>THREADED ROD 12X1 ZB</t>
        </is>
      </c>
      <c r="B1502" t="inlineStr">
        <is>
          <t>THREADED ROD 8.8 ZINC BLUE 12X1 975 8.8 ZB</t>
        </is>
      </c>
      <c r="C1502" t="inlineStr">
        <is>
          <t>FASTENERS</t>
        </is>
      </c>
      <c r="D1502" t="n">
        <v>1</v>
      </c>
      <c r="E1502" t="n">
        <v>2</v>
      </c>
      <c r="F1502" t="inlineStr">
        <is>
          <t>M&amp;D SPECIALISED FASTENERS (PTY) LTD</t>
        </is>
      </c>
      <c r="G1502" s="1" t="n">
        <v>42</v>
      </c>
      <c r="H1502" t="n">
        <v>0</v>
      </c>
      <c r="I1502" t="n">
        <v>1.5</v>
      </c>
      <c r="J1502" t="n">
        <v>2</v>
      </c>
      <c r="K1502" t="n">
        <v>3</v>
      </c>
      <c r="L1502" t="n">
        <v>0</v>
      </c>
      <c r="M1502" t="n">
        <v>0</v>
      </c>
      <c r="N1502" t="n">
        <v>7</v>
      </c>
      <c r="O1502" s="1">
        <f>IFERROR(L1502*G1502,0)</f>
        <v/>
      </c>
      <c r="P1502">
        <f>IF(N1502-L1502-M1502&gt;0,N1502-L1502-M1502,0)</f>
        <v/>
      </c>
      <c r="Q1502" s="1">
        <f>IFERROR(P1502*G1502,0)</f>
        <v/>
      </c>
    </row>
    <row r="1503">
      <c r="A1503" t="inlineStr">
        <is>
          <t>THREADED ROD 16X1 8 .8 ZB</t>
        </is>
      </c>
      <c r="B1503" t="inlineStr">
        <is>
          <t>16X1 THREADED ROD 8 . 8 ZINC BLUE 16X1 975 8 .8 ZB</t>
        </is>
      </c>
      <c r="C1503" t="inlineStr">
        <is>
          <t>FASTENERS</t>
        </is>
      </c>
      <c r="D1503" t="n">
        <v>2</v>
      </c>
      <c r="E1503" t="n">
        <v>10</v>
      </c>
      <c r="F1503" t="inlineStr">
        <is>
          <t>M&amp;D SPECIALISED FASTENERS (PTY) LTD</t>
        </is>
      </c>
      <c r="G1503" s="1" t="n">
        <v>96</v>
      </c>
      <c r="H1503" t="n">
        <v>0</v>
      </c>
      <c r="I1503" t="n">
        <v>0.5</v>
      </c>
      <c r="J1503" t="n">
        <v>5</v>
      </c>
      <c r="K1503" t="n">
        <v>2</v>
      </c>
      <c r="L1503" t="n">
        <v>0</v>
      </c>
      <c r="M1503" t="n">
        <v>0</v>
      </c>
      <c r="N1503" t="n">
        <v>12</v>
      </c>
      <c r="O1503" s="1">
        <f>IFERROR(L1503*G1503,0)</f>
        <v/>
      </c>
      <c r="P1503">
        <f>IF(N1503-L1503-M1503&gt;0,N1503-L1503-M1503,0)</f>
        <v/>
      </c>
      <c r="Q1503" s="1">
        <f>IFERROR(P1503*G1503,0)</f>
        <v/>
      </c>
    </row>
    <row r="1504">
      <c r="A1504" t="inlineStr">
        <is>
          <t>TRL</t>
        </is>
      </c>
      <c r="B1504" t="inlineStr">
        <is>
          <t>Traveling from Office to Airport</t>
        </is>
      </c>
      <c r="C1504" t="inlineStr"/>
      <c r="D1504" t="n">
        <v>1</v>
      </c>
      <c r="E1504" t="n">
        <v>0</v>
      </c>
      <c r="F1504" t="inlineStr"/>
      <c r="G1504" s="1" t="n">
        <v>0</v>
      </c>
      <c r="H1504" t="n">
        <v>76</v>
      </c>
      <c r="I1504" t="n">
        <v>0.5</v>
      </c>
      <c r="J1504" t="n">
        <v>76</v>
      </c>
      <c r="K1504" t="n">
        <v>38</v>
      </c>
      <c r="L1504" t="n">
        <v>0</v>
      </c>
      <c r="M1504" t="n">
        <v>0</v>
      </c>
      <c r="N1504" t="n">
        <v>190</v>
      </c>
      <c r="O1504" s="1">
        <f>IFERROR(L1504*G1504,0)</f>
        <v/>
      </c>
      <c r="P1504">
        <f>IF(N1504-L1504-M1504&gt;0,N1504-L1504-M1504,0)</f>
        <v/>
      </c>
      <c r="Q1504" s="1">
        <f>IFERROR(P1504*G1504,0)</f>
        <v/>
      </c>
    </row>
    <row r="1505">
      <c r="A1505" t="inlineStr">
        <is>
          <t>TS5PUR/BK</t>
        </is>
      </c>
      <c r="B1505" t="inlineStr">
        <is>
          <t>TS5PUR/BK - 125mm Brake Castor</t>
        </is>
      </c>
      <c r="C1505" t="inlineStr">
        <is>
          <t>CONSUMABLES</t>
        </is>
      </c>
      <c r="D1505" t="n">
        <v>1</v>
      </c>
      <c r="E1505" t="n">
        <v>2</v>
      </c>
      <c r="F1505" t="inlineStr">
        <is>
          <t>Caslad Agencies CC</t>
        </is>
      </c>
      <c r="G1505" s="1" t="n">
        <v>350</v>
      </c>
      <c r="H1505" t="n">
        <v>0</v>
      </c>
      <c r="I1505" t="n">
        <v>0.5</v>
      </c>
      <c r="J1505" t="n">
        <v>2</v>
      </c>
      <c r="K1505" t="n">
        <v>1</v>
      </c>
      <c r="L1505" t="n">
        <v>0</v>
      </c>
      <c r="M1505" t="n">
        <v>0</v>
      </c>
      <c r="N1505" t="n">
        <v>5</v>
      </c>
      <c r="O1505" s="1">
        <f>IFERROR(L1505*G1505,0)</f>
        <v/>
      </c>
      <c r="P1505">
        <f>IF(N1505-L1505-M1505&gt;0,N1505-L1505-M1505,0)</f>
        <v/>
      </c>
      <c r="Q1505" s="1">
        <f>IFERROR(P1505*G1505,0)</f>
        <v/>
      </c>
    </row>
    <row r="1506">
      <c r="A1506" t="inlineStr">
        <is>
          <t>TTS038030006</t>
        </is>
      </c>
      <c r="B1506" t="inlineStr">
        <is>
          <t>Sq / Tube 38X38X3.0-6M</t>
        </is>
      </c>
      <c r="C1506" t="inlineStr">
        <is>
          <t>FM - FABRICATION</t>
        </is>
      </c>
      <c r="D1506" t="n">
        <v>1</v>
      </c>
      <c r="E1506" t="n">
        <v>1</v>
      </c>
      <c r="F1506" t="inlineStr">
        <is>
          <t>NJR STEEL - ALRODE (PTY) LTD</t>
        </is>
      </c>
      <c r="G1506" s="1" t="n">
        <v>341.95</v>
      </c>
      <c r="H1506" t="n">
        <v>0</v>
      </c>
      <c r="I1506" t="n">
        <v>0.5</v>
      </c>
      <c r="J1506" t="n">
        <v>1</v>
      </c>
      <c r="K1506" t="n">
        <v>1</v>
      </c>
      <c r="L1506" t="n">
        <v>0</v>
      </c>
      <c r="M1506" t="n">
        <v>0</v>
      </c>
      <c r="N1506" t="n">
        <v>2</v>
      </c>
      <c r="O1506" s="1">
        <f>IFERROR(L1506*G1506,0)</f>
        <v/>
      </c>
      <c r="P1506">
        <f>IF(N1506-L1506-M1506&gt;0,N1506-L1506-M1506,0)</f>
        <v/>
      </c>
      <c r="Q1506" s="1">
        <f>IFERROR(P1506*G1506,0)</f>
        <v/>
      </c>
    </row>
    <row r="1507">
      <c r="A1507" t="inlineStr">
        <is>
          <t>TTSILENTM100</t>
        </is>
      </c>
      <c r="B1507" t="inlineStr">
        <is>
          <t>TTSILENTM100</t>
        </is>
      </c>
      <c r="C1507" t="inlineStr">
        <is>
          <t>Vents</t>
        </is>
      </c>
      <c r="D1507" t="n">
        <v>37</v>
      </c>
      <c r="E1507" t="n">
        <v>0</v>
      </c>
      <c r="F1507" t="inlineStr"/>
      <c r="G1507" s="1" t="n">
        <v>1175.53</v>
      </c>
      <c r="H1507" t="n">
        <v>15</v>
      </c>
      <c r="I1507" t="n">
        <v>0.5</v>
      </c>
      <c r="J1507" t="n">
        <v>1</v>
      </c>
      <c r="K1507" t="n">
        <v>1</v>
      </c>
      <c r="L1507" t="n">
        <v>0</v>
      </c>
      <c r="M1507" t="n">
        <v>0</v>
      </c>
      <c r="N1507" t="n">
        <v>2</v>
      </c>
      <c r="O1507" s="1">
        <f>IFERROR(L1507*G1507,0)</f>
        <v/>
      </c>
      <c r="P1507">
        <f>IF(N1507-L1507-M1507&gt;0,N1507-L1507-M1507,0)</f>
        <v/>
      </c>
      <c r="Q1507" s="1">
        <f>IFERROR(P1507*G1507,0)</f>
        <v/>
      </c>
    </row>
    <row r="1508">
      <c r="A1508" t="inlineStr">
        <is>
          <t>TTSILENTM125 Fan</t>
        </is>
      </c>
      <c r="B1508" t="inlineStr">
        <is>
          <t>TTSILENTM125</t>
        </is>
      </c>
      <c r="C1508" t="inlineStr"/>
      <c r="D1508" t="n">
        <v>1</v>
      </c>
      <c r="E1508" t="n">
        <v>0</v>
      </c>
      <c r="F1508" t="inlineStr"/>
      <c r="G1508" s="1" t="n">
        <v>0</v>
      </c>
      <c r="H1508" t="n">
        <v>130</v>
      </c>
      <c r="I1508" t="n">
        <v>0.5</v>
      </c>
      <c r="J1508" t="n">
        <v>130</v>
      </c>
      <c r="K1508" t="n">
        <v>65</v>
      </c>
      <c r="L1508" t="n">
        <v>0</v>
      </c>
      <c r="M1508" t="n">
        <v>0</v>
      </c>
      <c r="N1508" t="n">
        <v>325</v>
      </c>
      <c r="O1508" s="1">
        <f>IFERROR(L1508*G1508,0)</f>
        <v/>
      </c>
      <c r="P1508">
        <f>IF(N1508-L1508-M1508&gt;0,N1508-L1508-M1508,0)</f>
        <v/>
      </c>
      <c r="Q1508" s="1">
        <f>IFERROR(P1508*G1508,0)</f>
        <v/>
      </c>
    </row>
    <row r="1509">
      <c r="A1509" t="inlineStr">
        <is>
          <t>TTSILENTM250</t>
        </is>
      </c>
      <c r="B1509" t="inlineStr">
        <is>
          <t>TTSILENTM250</t>
        </is>
      </c>
      <c r="C1509" t="inlineStr">
        <is>
          <t>Vents</t>
        </is>
      </c>
      <c r="D1509" t="n">
        <v>28</v>
      </c>
      <c r="E1509" t="n">
        <v>0</v>
      </c>
      <c r="F1509" t="inlineStr"/>
      <c r="G1509" s="1" t="n">
        <v>3172.84</v>
      </c>
      <c r="H1509" t="n">
        <v>83</v>
      </c>
      <c r="I1509" t="n">
        <v>0.5</v>
      </c>
      <c r="J1509" t="n">
        <v>3</v>
      </c>
      <c r="K1509" t="n">
        <v>2</v>
      </c>
      <c r="L1509" t="n">
        <v>0</v>
      </c>
      <c r="M1509" t="n">
        <v>0</v>
      </c>
      <c r="N1509" t="n">
        <v>8</v>
      </c>
      <c r="O1509" s="1">
        <f>IFERROR(L1509*G1509,0)</f>
        <v/>
      </c>
      <c r="P1509">
        <f>IF(N1509-L1509-M1509&gt;0,N1509-L1509-M1509,0)</f>
        <v/>
      </c>
      <c r="Q1509" s="1">
        <f>IFERROR(P1509*G1509,0)</f>
        <v/>
      </c>
    </row>
    <row r="1510">
      <c r="A1510" t="inlineStr">
        <is>
          <t>Terminal-B56.36</t>
        </is>
      </c>
      <c r="B1510" t="inlineStr">
        <is>
          <t>Terminal Block 56.36 - 6TN 56.36 M5 Complete</t>
        </is>
      </c>
      <c r="C1510" t="inlineStr"/>
      <c r="D1510" t="n">
        <v>17</v>
      </c>
      <c r="E1510" t="n">
        <v>570</v>
      </c>
      <c r="F1510" t="inlineStr">
        <is>
          <t>Machine Electrical Components CC</t>
        </is>
      </c>
      <c r="G1510" s="1" t="n">
        <v>80.67</v>
      </c>
      <c r="H1510" t="n">
        <v>0</v>
      </c>
      <c r="I1510" t="n">
        <v>0.5</v>
      </c>
      <c r="J1510" t="n">
        <v>34</v>
      </c>
      <c r="K1510" t="n">
        <v>17</v>
      </c>
      <c r="L1510" t="n">
        <v>0</v>
      </c>
      <c r="M1510" t="n">
        <v>0</v>
      </c>
      <c r="N1510" t="n">
        <v>85</v>
      </c>
      <c r="O1510" s="1">
        <f>IFERROR(L1510*G1510,0)</f>
        <v/>
      </c>
      <c r="P1510">
        <f>IF(N1510-L1510-M1510&gt;0,N1510-L1510-M1510,0)</f>
        <v/>
      </c>
      <c r="Q1510" s="1">
        <f>IFERROR(P1510*G1510,0)</f>
        <v/>
      </c>
    </row>
    <row r="1511">
      <c r="A1511" t="inlineStr">
        <is>
          <t>Terminal-B70.45</t>
        </is>
      </c>
      <c r="B1511" t="inlineStr">
        <is>
          <t>Terminal Blocks 70.45 - 6TN10, M6</t>
        </is>
      </c>
      <c r="C1511" t="inlineStr"/>
      <c r="D1511" t="n">
        <v>7</v>
      </c>
      <c r="E1511" t="n">
        <v>35</v>
      </c>
      <c r="F1511" t="inlineStr">
        <is>
          <t>Machine Electrical Components CC</t>
        </is>
      </c>
      <c r="G1511" s="1" t="n">
        <v>169.6</v>
      </c>
      <c r="H1511" t="n">
        <v>0</v>
      </c>
      <c r="I1511" t="n">
        <v>0.5</v>
      </c>
      <c r="J1511" t="n">
        <v>5</v>
      </c>
      <c r="K1511" t="n">
        <v>2</v>
      </c>
      <c r="L1511" t="n">
        <v>0</v>
      </c>
      <c r="M1511" t="n">
        <v>0</v>
      </c>
      <c r="N1511" t="n">
        <v>12</v>
      </c>
      <c r="O1511" s="1">
        <f>IFERROR(L1511*G1511,0)</f>
        <v/>
      </c>
      <c r="P1511">
        <f>IF(N1511-L1511-M1511&gt;0,N1511-L1511-M1511,0)</f>
        <v/>
      </c>
      <c r="Q1511" s="1">
        <f>IFERROR(P1511*G1511,0)</f>
        <v/>
      </c>
    </row>
    <row r="1512">
      <c r="A1512" t="inlineStr">
        <is>
          <t>Toll</t>
        </is>
      </c>
      <c r="B1512" t="inlineStr">
        <is>
          <t>Toll</t>
        </is>
      </c>
      <c r="C1512" t="inlineStr">
        <is>
          <t>FM - MACHINERY</t>
        </is>
      </c>
      <c r="D1512" t="n">
        <v>1</v>
      </c>
      <c r="E1512" t="n">
        <v>1</v>
      </c>
      <c r="F1512" t="inlineStr">
        <is>
          <t>Lime Laser service</t>
        </is>
      </c>
      <c r="G1512" s="1" t="n">
        <v>100</v>
      </c>
      <c r="H1512" t="n">
        <v>0</v>
      </c>
      <c r="I1512" t="n">
        <v>0.5</v>
      </c>
      <c r="J1512" t="n">
        <v>1</v>
      </c>
      <c r="K1512" t="n">
        <v>1</v>
      </c>
      <c r="L1512" t="n">
        <v>0</v>
      </c>
      <c r="M1512" t="n">
        <v>0</v>
      </c>
      <c r="N1512" t="n">
        <v>2</v>
      </c>
      <c r="O1512" s="1">
        <f>IFERROR(L1512*G1512,0)</f>
        <v/>
      </c>
      <c r="P1512">
        <f>IF(N1512-L1512-M1512&gt;0,N1512-L1512-M1512,0)</f>
        <v/>
      </c>
      <c r="Q1512" s="1">
        <f>IFERROR(P1512*G1512,0)</f>
        <v/>
      </c>
    </row>
    <row r="1513">
      <c r="A1513" t="inlineStr">
        <is>
          <t>Transport</t>
        </is>
      </c>
      <c r="B1513" t="inlineStr">
        <is>
          <t>Delivery</t>
        </is>
      </c>
      <c r="C1513" t="inlineStr"/>
      <c r="D1513" t="n">
        <v>53</v>
      </c>
      <c r="E1513" t="n">
        <v>5</v>
      </c>
      <c r="F1513" t="inlineStr">
        <is>
          <t>Air Speration</t>
        </is>
      </c>
      <c r="G1513" s="1" t="n">
        <v>250</v>
      </c>
      <c r="H1513" t="n">
        <v>33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3</v>
      </c>
      <c r="O1513" s="1">
        <f>IFERROR(L1513*G1513,0)</f>
        <v/>
      </c>
      <c r="P1513">
        <f>IF(N1513-L1513-M1513&gt;0,N1513-L1513-M1513,0)</f>
        <v/>
      </c>
      <c r="Q1513" s="1">
        <f>IFERROR(P1513*G1513,0)</f>
        <v/>
      </c>
    </row>
    <row r="1514">
      <c r="A1514" t="inlineStr">
        <is>
          <t>Travel</t>
        </is>
      </c>
      <c r="B1514" t="inlineStr">
        <is>
          <t>Call Out</t>
        </is>
      </c>
      <c r="C1514" t="inlineStr"/>
      <c r="D1514" t="n">
        <v>1</v>
      </c>
      <c r="E1514" t="n">
        <v>1</v>
      </c>
      <c r="F1514" t="inlineStr">
        <is>
          <t>AXEGROUP</t>
        </is>
      </c>
      <c r="G1514" s="1" t="n">
        <v>550</v>
      </c>
      <c r="H1514" t="n">
        <v>0</v>
      </c>
      <c r="I1514" t="n">
        <v>0.5</v>
      </c>
      <c r="J1514" t="n">
        <v>1</v>
      </c>
      <c r="K1514" t="n">
        <v>1</v>
      </c>
      <c r="L1514" t="n">
        <v>0</v>
      </c>
      <c r="M1514" t="n">
        <v>0</v>
      </c>
      <c r="N1514" t="n">
        <v>2</v>
      </c>
      <c r="O1514" s="1">
        <f>IFERROR(L1514*G1514,0)</f>
        <v/>
      </c>
      <c r="P1514">
        <f>IF(N1514-L1514-M1514&gt;0,N1514-L1514-M1514,0)</f>
        <v/>
      </c>
      <c r="Q1514" s="1">
        <f>IFERROR(P1514*G1514,0)</f>
        <v/>
      </c>
    </row>
    <row r="1515">
      <c r="A1515" t="inlineStr">
        <is>
          <t>UV 400 SCREEN</t>
        </is>
      </c>
      <c r="B1515" t="inlineStr">
        <is>
          <t>400 SCREENS</t>
        </is>
      </c>
      <c r="C1515" t="inlineStr"/>
      <c r="D1515" t="n">
        <v>1</v>
      </c>
      <c r="E1515" t="n">
        <v>0</v>
      </c>
      <c r="F1515" t="inlineStr"/>
      <c r="G1515" s="1" t="n">
        <v>0</v>
      </c>
      <c r="H1515" t="n">
        <v>1</v>
      </c>
      <c r="I1515" t="n">
        <v>0.5</v>
      </c>
      <c r="J1515" t="n">
        <v>1</v>
      </c>
      <c r="K1515" t="n">
        <v>1</v>
      </c>
      <c r="L1515" t="n">
        <v>0</v>
      </c>
      <c r="M1515" t="n">
        <v>0</v>
      </c>
      <c r="N1515" t="n">
        <v>2</v>
      </c>
      <c r="O1515" s="1">
        <f>IFERROR(L1515*G1515,0)</f>
        <v/>
      </c>
      <c r="P1515">
        <f>IF(N1515-L1515-M1515&gt;0,N1515-L1515-M1515,0)</f>
        <v/>
      </c>
      <c r="Q1515" s="1">
        <f>IFERROR(P1515*G1515,0)</f>
        <v/>
      </c>
    </row>
    <row r="1516">
      <c r="A1516" t="inlineStr">
        <is>
          <t>UV 400-3-4</t>
        </is>
      </c>
      <c r="B1516" t="inlineStr">
        <is>
          <t>c/w 0.55 kW 4 Pole 380</t>
        </is>
      </c>
      <c r="C1516" t="inlineStr"/>
      <c r="D1516" t="n">
        <v>2</v>
      </c>
      <c r="E1516" t="n">
        <v>4</v>
      </c>
      <c r="F1516" t="inlineStr">
        <is>
          <t>Centrifab (Pty) Ltd</t>
        </is>
      </c>
      <c r="G1516" s="1" t="n">
        <v>10550</v>
      </c>
      <c r="H1516" t="n">
        <v>4</v>
      </c>
      <c r="I1516" t="n">
        <v>1.3</v>
      </c>
      <c r="J1516" t="n">
        <v>2</v>
      </c>
      <c r="K1516" t="n">
        <v>3</v>
      </c>
      <c r="L1516" t="n">
        <v>0</v>
      </c>
      <c r="M1516" t="n">
        <v>0</v>
      </c>
      <c r="N1516" t="n">
        <v>7</v>
      </c>
      <c r="O1516" s="1">
        <f>IFERROR(L1516*G1516,0)</f>
        <v/>
      </c>
      <c r="P1516">
        <f>IF(N1516-L1516-M1516&gt;0,N1516-L1516-M1516,0)</f>
        <v/>
      </c>
      <c r="Q1516" s="1">
        <f>IFERROR(P1516*G1516,0)</f>
        <v/>
      </c>
    </row>
    <row r="1517">
      <c r="A1517" t="inlineStr">
        <is>
          <t>UV 400-3-6</t>
        </is>
      </c>
      <c r="B1517" t="inlineStr">
        <is>
          <t>c/w 0.55 kW 6 Pole 380</t>
        </is>
      </c>
      <c r="C1517" t="inlineStr"/>
      <c r="D1517" t="n">
        <v>1</v>
      </c>
      <c r="E1517" t="n">
        <v>1</v>
      </c>
      <c r="F1517" t="inlineStr">
        <is>
          <t>Centrifab (Pty) Ltd</t>
        </is>
      </c>
      <c r="G1517" s="1" t="n">
        <v>9892</v>
      </c>
      <c r="H1517" t="n">
        <v>1</v>
      </c>
      <c r="I1517" t="n">
        <v>0.8</v>
      </c>
      <c r="J1517" t="n">
        <v>1</v>
      </c>
      <c r="K1517" t="n">
        <v>1</v>
      </c>
      <c r="L1517" t="n">
        <v>0</v>
      </c>
      <c r="M1517" t="n">
        <v>1</v>
      </c>
      <c r="N1517" t="n">
        <v>3</v>
      </c>
      <c r="O1517" s="1">
        <f>IFERROR(L1517*G1517,0)</f>
        <v/>
      </c>
      <c r="P1517">
        <f>IF(N1517-L1517-M1517&gt;0,N1517-L1517-M1517,0)</f>
        <v/>
      </c>
      <c r="Q1517" s="1">
        <f>IFERROR(P1517*G1517,0)</f>
        <v/>
      </c>
    </row>
    <row r="1518">
      <c r="A1518" t="inlineStr">
        <is>
          <t>UV 500</t>
        </is>
      </c>
      <c r="B1518" t="inlineStr">
        <is>
          <t>Dome Only</t>
        </is>
      </c>
      <c r="C1518" t="inlineStr"/>
      <c r="D1518" t="n">
        <v>1</v>
      </c>
      <c r="E1518" t="n">
        <v>1</v>
      </c>
      <c r="F1518" t="inlineStr">
        <is>
          <t>Centrifab (Pty) Ltd</t>
        </is>
      </c>
      <c r="G1518" s="1" t="n">
        <v>900</v>
      </c>
      <c r="H1518" t="n">
        <v>1</v>
      </c>
      <c r="I1518" t="n">
        <v>1.8</v>
      </c>
      <c r="J1518" t="n">
        <v>1</v>
      </c>
      <c r="K1518" t="n">
        <v>2</v>
      </c>
      <c r="L1518" t="n">
        <v>0</v>
      </c>
      <c r="M1518" t="n">
        <v>0</v>
      </c>
      <c r="N1518" t="n">
        <v>4</v>
      </c>
      <c r="O1518" s="1">
        <f>IFERROR(L1518*G1518,0)</f>
        <v/>
      </c>
      <c r="P1518">
        <f>IF(N1518-L1518-M1518&gt;0,N1518-L1518-M1518,0)</f>
        <v/>
      </c>
      <c r="Q1518" s="1">
        <f>IFERROR(P1518*G1518,0)</f>
        <v/>
      </c>
    </row>
    <row r="1519">
      <c r="A1519" t="inlineStr">
        <is>
          <t>UV 630/3/6/W</t>
        </is>
      </c>
      <c r="B1519" t="inlineStr">
        <is>
          <t>c/w 1.5 kW 6 Pole 380 V Motor</t>
        </is>
      </c>
      <c r="C1519" t="inlineStr"/>
      <c r="D1519" t="n">
        <v>1</v>
      </c>
      <c r="E1519" t="n">
        <v>3</v>
      </c>
      <c r="F1519" t="inlineStr">
        <is>
          <t>Centrifab (Pty) Ltd</t>
        </is>
      </c>
      <c r="G1519" s="1" t="n">
        <v>10527.25</v>
      </c>
      <c r="H1519" t="n">
        <v>0</v>
      </c>
      <c r="I1519" t="n">
        <v>1.5</v>
      </c>
      <c r="J1519" t="n">
        <v>3</v>
      </c>
      <c r="K1519" t="n">
        <v>4</v>
      </c>
      <c r="L1519" t="n">
        <v>0</v>
      </c>
      <c r="M1519" t="n">
        <v>0</v>
      </c>
      <c r="N1519" t="n">
        <v>10</v>
      </c>
      <c r="O1519" s="1">
        <f>IFERROR(L1519*G1519,0)</f>
        <v/>
      </c>
      <c r="P1519">
        <f>IF(N1519-L1519-M1519&gt;0,N1519-L1519-M1519,0)</f>
        <v/>
      </c>
      <c r="Q1519" s="1">
        <f>IFERROR(P1519*G1519,0)</f>
        <v/>
      </c>
    </row>
    <row r="1520">
      <c r="A1520" t="inlineStr">
        <is>
          <t>UV 710/3/6</t>
        </is>
      </c>
      <c r="B1520" t="inlineStr">
        <is>
          <t>UV710/3/6</t>
        </is>
      </c>
      <c r="C1520" t="inlineStr">
        <is>
          <t>Roof Fans</t>
        </is>
      </c>
      <c r="D1520" t="n">
        <v>17</v>
      </c>
      <c r="E1520" t="n">
        <v>4</v>
      </c>
      <c r="F1520" t="inlineStr">
        <is>
          <t>Centrifab (Pty) Ltd</t>
        </is>
      </c>
      <c r="G1520" s="1" t="n">
        <v>14073</v>
      </c>
      <c r="H1520" t="n">
        <v>4</v>
      </c>
      <c r="I1520" t="n">
        <v>1</v>
      </c>
      <c r="J1520" t="n">
        <v>1</v>
      </c>
      <c r="K1520" t="n">
        <v>1</v>
      </c>
      <c r="L1520" t="n">
        <v>0</v>
      </c>
      <c r="M1520" t="n">
        <v>0</v>
      </c>
      <c r="N1520" t="n">
        <v>3</v>
      </c>
      <c r="O1520" s="1">
        <f>IFERROR(L1520*G1520,0)</f>
        <v/>
      </c>
      <c r="P1520">
        <f>IF(N1520-L1520-M1520&gt;0,N1520-L1520-M1520,0)</f>
        <v/>
      </c>
      <c r="Q1520" s="1">
        <f>IFERROR(P1520*G1520,0)</f>
        <v/>
      </c>
    </row>
    <row r="1521">
      <c r="A1521" t="inlineStr">
        <is>
          <t>VB10NX1320 F</t>
        </is>
      </c>
      <c r="B1521" t="inlineStr">
        <is>
          <t>Friction Belt wedge Envelope SPZ SE</t>
        </is>
      </c>
      <c r="C1521" t="inlineStr"/>
      <c r="D1521" t="n">
        <v>1</v>
      </c>
      <c r="E1521" t="n">
        <v>4</v>
      </c>
      <c r="F1521" t="inlineStr">
        <is>
          <t>Bearing Man Group</t>
        </is>
      </c>
      <c r="G1521" s="1" t="n">
        <v>52.19</v>
      </c>
      <c r="H1521" t="n">
        <v>0</v>
      </c>
      <c r="I1521" t="n">
        <v>0.5</v>
      </c>
      <c r="J1521" t="n">
        <v>4</v>
      </c>
      <c r="K1521" t="n">
        <v>2</v>
      </c>
      <c r="L1521" t="n">
        <v>0</v>
      </c>
      <c r="M1521" t="n">
        <v>0</v>
      </c>
      <c r="N1521" t="n">
        <v>10</v>
      </c>
      <c r="O1521" s="1">
        <f>IFERROR(L1521*G1521,0)</f>
        <v/>
      </c>
      <c r="P1521">
        <f>IF(N1521-L1521-M1521&gt;0,N1521-L1521-M1521,0)</f>
        <v/>
      </c>
      <c r="Q1521" s="1">
        <f>IFERROR(P1521*G1521,0)</f>
        <v/>
      </c>
    </row>
    <row r="1522">
      <c r="A1522" t="inlineStr">
        <is>
          <t>VB13NX1340 F</t>
        </is>
      </c>
      <c r="B1522" t="inlineStr">
        <is>
          <t>VB13NX1340 FENNER</t>
        </is>
      </c>
      <c r="C1522" t="inlineStr"/>
      <c r="D1522" t="n">
        <v>1</v>
      </c>
      <c r="E1522" t="n">
        <v>6</v>
      </c>
      <c r="F1522" t="inlineStr">
        <is>
          <t>Bearing Man Group</t>
        </is>
      </c>
      <c r="G1522" s="1" t="n">
        <v>48.65</v>
      </c>
      <c r="H1522" t="n">
        <v>0</v>
      </c>
      <c r="I1522" t="n">
        <v>0.5</v>
      </c>
      <c r="J1522" t="n">
        <v>6</v>
      </c>
      <c r="K1522" t="n">
        <v>3</v>
      </c>
      <c r="L1522" t="n">
        <v>0</v>
      </c>
      <c r="M1522" t="n">
        <v>0</v>
      </c>
      <c r="N1522" t="n">
        <v>15</v>
      </c>
      <c r="O1522" s="1">
        <f>IFERROR(L1522*G1522,0)</f>
        <v/>
      </c>
      <c r="P1522">
        <f>IF(N1522-L1522-M1522&gt;0,N1522-L1522-M1522,0)</f>
        <v/>
      </c>
      <c r="Q1522" s="1">
        <f>IFERROR(P1522*G1522,0)</f>
        <v/>
      </c>
    </row>
    <row r="1523">
      <c r="A1523" t="inlineStr">
        <is>
          <t>VB13NX1400 F</t>
        </is>
      </c>
      <c r="B1523" t="inlineStr">
        <is>
          <t>FRICTION BELT WEDGE ENVELOPE SPA SECTION 13 X 10 X 1400MM FENNER</t>
        </is>
      </c>
      <c r="C1523" t="inlineStr"/>
      <c r="D1523" t="n">
        <v>1</v>
      </c>
      <c r="E1523" t="n">
        <v>3</v>
      </c>
      <c r="F1523" t="inlineStr">
        <is>
          <t>Bearing Man Group</t>
        </is>
      </c>
      <c r="G1523" s="1" t="n">
        <v>55.88</v>
      </c>
      <c r="H1523" t="n">
        <v>0</v>
      </c>
      <c r="I1523" t="n">
        <v>0.5</v>
      </c>
      <c r="J1523" t="n">
        <v>3</v>
      </c>
      <c r="K1523" t="n">
        <v>2</v>
      </c>
      <c r="L1523" t="n">
        <v>0</v>
      </c>
      <c r="M1523" t="n">
        <v>0</v>
      </c>
      <c r="N1523" t="n">
        <v>8</v>
      </c>
      <c r="O1523" s="1">
        <f>IFERROR(L1523*G1523,0)</f>
        <v/>
      </c>
      <c r="P1523">
        <f>IF(N1523-L1523-M1523&gt;0,N1523-L1523-M1523,0)</f>
        <v/>
      </c>
      <c r="Q1523" s="1">
        <f>IFERROR(P1523*G1523,0)</f>
        <v/>
      </c>
    </row>
    <row r="1524">
      <c r="A1524" t="inlineStr">
        <is>
          <t>VB13NX1600 F</t>
        </is>
      </c>
      <c r="B1524" t="inlineStr">
        <is>
          <t>FRICTION BELT WEDGE ENVELOPE SPA -SECTION 13 X 10 X 1600MM FENNER</t>
        </is>
      </c>
      <c r="C1524" t="inlineStr"/>
      <c r="D1524" t="n">
        <v>1</v>
      </c>
      <c r="E1524" t="n">
        <v>15</v>
      </c>
      <c r="F1524" t="inlineStr">
        <is>
          <t>Bearing Man Group</t>
        </is>
      </c>
      <c r="G1524" s="1" t="n">
        <v>58.79</v>
      </c>
      <c r="H1524" t="n">
        <v>0</v>
      </c>
      <c r="I1524" t="n">
        <v>1.9</v>
      </c>
      <c r="J1524" t="n">
        <v>15</v>
      </c>
      <c r="K1524" t="n">
        <v>28</v>
      </c>
      <c r="L1524" t="n">
        <v>0</v>
      </c>
      <c r="M1524" t="n">
        <v>0</v>
      </c>
      <c r="N1524" t="n">
        <v>58</v>
      </c>
      <c r="O1524" s="1">
        <f>IFERROR(L1524*G1524,0)</f>
        <v/>
      </c>
      <c r="P1524">
        <f>IF(N1524-L1524-M1524&gt;0,N1524-L1524-M1524,0)</f>
        <v/>
      </c>
      <c r="Q1524" s="1">
        <f>IFERROR(P1524*G1524,0)</f>
        <v/>
      </c>
    </row>
    <row r="1525">
      <c r="A1525" t="inlineStr">
        <is>
          <t>VB13NX1682 F</t>
        </is>
      </c>
      <c r="B1525" t="inlineStr">
        <is>
          <t>FRICTION BELT WEDGE ENVELOPE SPA SECTION 13 X 10 X 1682MM FENNER</t>
        </is>
      </c>
      <c r="C1525" t="inlineStr"/>
      <c r="D1525" t="n">
        <v>1</v>
      </c>
      <c r="E1525" t="n">
        <v>6</v>
      </c>
      <c r="F1525" t="inlineStr">
        <is>
          <t>Bearing Man Group</t>
        </is>
      </c>
      <c r="G1525" s="1" t="n">
        <v>63.34</v>
      </c>
      <c r="H1525" t="n">
        <v>0</v>
      </c>
      <c r="I1525" t="n">
        <v>0.5</v>
      </c>
      <c r="J1525" t="n">
        <v>6</v>
      </c>
      <c r="K1525" t="n">
        <v>3</v>
      </c>
      <c r="L1525" t="n">
        <v>0</v>
      </c>
      <c r="M1525" t="n">
        <v>0</v>
      </c>
      <c r="N1525" t="n">
        <v>15</v>
      </c>
      <c r="O1525" s="1">
        <f>IFERROR(L1525*G1525,0)</f>
        <v/>
      </c>
      <c r="P1525">
        <f>IF(N1525-L1525-M1525&gt;0,N1525-L1525-M1525,0)</f>
        <v/>
      </c>
      <c r="Q1525" s="1">
        <f>IFERROR(P1525*G1525,0)</f>
        <v/>
      </c>
    </row>
    <row r="1526">
      <c r="A1526" t="inlineStr">
        <is>
          <t>VB13NX1700 FF</t>
        </is>
      </c>
      <c r="B1526" t="inlineStr">
        <is>
          <t>FRICTION BELT WEDGE ENVELOPE SPA SE</t>
        </is>
      </c>
      <c r="C1526" t="inlineStr"/>
      <c r="D1526" t="n">
        <v>1</v>
      </c>
      <c r="E1526" t="n">
        <v>3</v>
      </c>
      <c r="F1526" t="inlineStr">
        <is>
          <t>Bearing Man Group</t>
        </is>
      </c>
      <c r="G1526" s="1" t="n">
        <v>73.27</v>
      </c>
      <c r="H1526" t="n">
        <v>0</v>
      </c>
      <c r="I1526" t="n">
        <v>0.5</v>
      </c>
      <c r="J1526" t="n">
        <v>3</v>
      </c>
      <c r="K1526" t="n">
        <v>2</v>
      </c>
      <c r="L1526" t="n">
        <v>0</v>
      </c>
      <c r="M1526" t="n">
        <v>0</v>
      </c>
      <c r="N1526" t="n">
        <v>8</v>
      </c>
      <c r="O1526" s="1">
        <f>IFERROR(L1526*G1526,0)</f>
        <v/>
      </c>
      <c r="P1526">
        <f>IF(N1526-L1526-M1526&gt;0,N1526-L1526-M1526,0)</f>
        <v/>
      </c>
      <c r="Q1526" s="1">
        <f>IFERROR(P1526*G1526,0)</f>
        <v/>
      </c>
    </row>
    <row r="1527">
      <c r="A1527" t="inlineStr">
        <is>
          <t>VB13NX1800 F</t>
        </is>
      </c>
      <c r="B1527" t="inlineStr">
        <is>
          <t>FRICTION BELT WEDGE ENVELOPE SPA SECTION 13 X 10 X 1800MM FENNER</t>
        </is>
      </c>
      <c r="C1527" t="inlineStr"/>
      <c r="D1527" t="n">
        <v>2</v>
      </c>
      <c r="E1527" t="n">
        <v>6</v>
      </c>
      <c r="F1527" t="inlineStr">
        <is>
          <t>Bearing Man Group</t>
        </is>
      </c>
      <c r="G1527" s="1" t="n">
        <v>65.98</v>
      </c>
      <c r="H1527" t="n">
        <v>0</v>
      </c>
      <c r="I1527" t="n">
        <v>0.5</v>
      </c>
      <c r="J1527" t="n">
        <v>3</v>
      </c>
      <c r="K1527" t="n">
        <v>2</v>
      </c>
      <c r="L1527" t="n">
        <v>0</v>
      </c>
      <c r="M1527" t="n">
        <v>0</v>
      </c>
      <c r="N1527" t="n">
        <v>8</v>
      </c>
      <c r="O1527" s="1">
        <f>IFERROR(L1527*G1527,0)</f>
        <v/>
      </c>
      <c r="P1527">
        <f>IF(N1527-L1527-M1527&gt;0,N1527-L1527-M1527,0)</f>
        <v/>
      </c>
      <c r="Q1527" s="1">
        <f>IFERROR(P1527*G1527,0)</f>
        <v/>
      </c>
    </row>
    <row r="1528">
      <c r="A1528" t="inlineStr">
        <is>
          <t>VB13NX1900 F</t>
        </is>
      </c>
      <c r="B1528" t="inlineStr">
        <is>
          <t>FRICTION BELT WEDGE ENVELOPE SPA SECTION 13 X 10 X 1900MM FENNER</t>
        </is>
      </c>
      <c r="C1528" t="inlineStr"/>
      <c r="D1528" t="n">
        <v>1</v>
      </c>
      <c r="E1528" t="n">
        <v>2</v>
      </c>
      <c r="F1528" t="inlineStr">
        <is>
          <t>Bearing Man Group</t>
        </is>
      </c>
      <c r="G1528" s="1" t="n">
        <v>69.58</v>
      </c>
      <c r="H1528" t="n">
        <v>0</v>
      </c>
      <c r="I1528" t="n">
        <v>0.7</v>
      </c>
      <c r="J1528" t="n">
        <v>2</v>
      </c>
      <c r="K1528" t="n">
        <v>1</v>
      </c>
      <c r="L1528" t="n">
        <v>0</v>
      </c>
      <c r="M1528" t="n">
        <v>0</v>
      </c>
      <c r="N1528" t="n">
        <v>5</v>
      </c>
      <c r="O1528" s="1">
        <f>IFERROR(L1528*G1528,0)</f>
        <v/>
      </c>
      <c r="P1528">
        <f>IF(N1528-L1528-M1528&gt;0,N1528-L1528-M1528,0)</f>
        <v/>
      </c>
      <c r="Q1528" s="1">
        <f>IFERROR(P1528*G1528,0)</f>
        <v/>
      </c>
    </row>
    <row r="1529">
      <c r="A1529" t="inlineStr">
        <is>
          <t>VCN100</t>
        </is>
      </c>
      <c r="B1529" t="inlineStr">
        <is>
          <t>VCN100 - External Exhaust Fan - 100mm?</t>
        </is>
      </c>
      <c r="C1529" t="inlineStr">
        <is>
          <t>Vents</t>
        </is>
      </c>
      <c r="D1529" t="n">
        <v>53</v>
      </c>
      <c r="E1529" t="n">
        <v>0</v>
      </c>
      <c r="F1529" t="inlineStr"/>
      <c r="G1529" s="1" t="n">
        <v>990.91</v>
      </c>
      <c r="H1529" t="n">
        <v>1</v>
      </c>
      <c r="I1529" t="n">
        <v>0.5</v>
      </c>
      <c r="J1529" t="n">
        <v>1</v>
      </c>
      <c r="K1529" t="n">
        <v>1</v>
      </c>
      <c r="L1529" t="n">
        <v>0</v>
      </c>
      <c r="M1529" t="n">
        <v>0</v>
      </c>
      <c r="N1529" t="n">
        <v>2</v>
      </c>
      <c r="O1529" s="1">
        <f>IFERROR(L1529*G1529,0)</f>
        <v/>
      </c>
      <c r="P1529">
        <f>IF(N1529-L1529-M1529&gt;0,N1529-L1529-M1529,0)</f>
        <v/>
      </c>
      <c r="Q1529" s="1">
        <f>IFERROR(P1529*G1529,0)</f>
        <v/>
      </c>
    </row>
    <row r="1530">
      <c r="A1530" t="inlineStr">
        <is>
          <t>VCN150</t>
        </is>
      </c>
      <c r="B1530" t="inlineStr">
        <is>
          <t>VCN150 - External Exhaust Fan - 150mm?</t>
        </is>
      </c>
      <c r="C1530" t="inlineStr">
        <is>
          <t>Vents</t>
        </is>
      </c>
      <c r="D1530" t="n">
        <v>41</v>
      </c>
      <c r="E1530" t="n">
        <v>0</v>
      </c>
      <c r="F1530" t="inlineStr"/>
      <c r="G1530" s="1" t="n">
        <v>1188.07</v>
      </c>
      <c r="H1530" t="n">
        <v>1</v>
      </c>
      <c r="I1530" t="n">
        <v>0.5</v>
      </c>
      <c r="J1530" t="n">
        <v>1</v>
      </c>
      <c r="K1530" t="n">
        <v>1</v>
      </c>
      <c r="L1530" t="n">
        <v>0</v>
      </c>
      <c r="M1530" t="n">
        <v>0</v>
      </c>
      <c r="N1530" t="n">
        <v>2</v>
      </c>
      <c r="O1530" s="1">
        <f>IFERROR(L1530*G1530,0)</f>
        <v/>
      </c>
      <c r="P1530">
        <f>IF(N1530-L1530-M1530&gt;0,N1530-L1530-M1530,0)</f>
        <v/>
      </c>
      <c r="Q1530" s="1">
        <f>IFERROR(P1530*G1530,0)</f>
        <v/>
      </c>
    </row>
    <row r="1531">
      <c r="A1531" t="inlineStr">
        <is>
          <t>VLA3 &amp; RV3</t>
        </is>
      </c>
      <c r="B1531" t="inlineStr">
        <is>
          <t>VLA3 or RV3 - 1'</t>
        </is>
      </c>
      <c r="C1531" t="inlineStr">
        <is>
          <t>FM - FPZ</t>
        </is>
      </c>
      <c r="D1531" t="n">
        <v>33</v>
      </c>
      <c r="E1531" t="n">
        <v>0</v>
      </c>
      <c r="F1531" t="inlineStr"/>
      <c r="G1531" s="1" t="n">
        <v>0</v>
      </c>
      <c r="H1531" t="n">
        <v>2</v>
      </c>
      <c r="I1531" t="n">
        <v>0.5</v>
      </c>
      <c r="J1531" t="n">
        <v>1</v>
      </c>
      <c r="K1531" t="n">
        <v>1</v>
      </c>
      <c r="L1531" t="n">
        <v>0</v>
      </c>
      <c r="M1531" t="n">
        <v>0</v>
      </c>
      <c r="N1531" t="n">
        <v>2</v>
      </c>
      <c r="O1531" s="1">
        <f>IFERROR(L1531*G1531,0)</f>
        <v/>
      </c>
      <c r="P1531">
        <f>IF(N1531-L1531-M1531&gt;0,N1531-L1531-M1531,0)</f>
        <v/>
      </c>
      <c r="Q1531" s="1">
        <f>IFERROR(P1531*G1531,0)</f>
        <v/>
      </c>
    </row>
    <row r="1532">
      <c r="A1532" t="inlineStr">
        <is>
          <t>VOC</t>
        </is>
      </c>
      <c r="B1532" t="inlineStr">
        <is>
          <t>Creation, Conformity Review, Inspection &amp; Issuance</t>
        </is>
      </c>
      <c r="C1532" t="inlineStr"/>
      <c r="D1532" t="n">
        <v>1</v>
      </c>
      <c r="E1532" t="n">
        <v>2</v>
      </c>
      <c r="F1532" t="inlineStr">
        <is>
          <t>Bureau Veritas Testing Inspection SA Pty</t>
        </is>
      </c>
      <c r="G1532" s="1" t="n">
        <v>8161.02</v>
      </c>
      <c r="H1532" t="n">
        <v>0</v>
      </c>
      <c r="I1532" t="n">
        <v>0.6</v>
      </c>
      <c r="J1532" t="n">
        <v>2</v>
      </c>
      <c r="K1532" t="n">
        <v>1</v>
      </c>
      <c r="L1532" t="n">
        <v>0</v>
      </c>
      <c r="M1532" t="n">
        <v>0</v>
      </c>
      <c r="N1532" t="n">
        <v>5</v>
      </c>
      <c r="O1532" s="1">
        <f>IFERROR(L1532*G1532,0)</f>
        <v/>
      </c>
      <c r="P1532">
        <f>IF(N1532-L1532-M1532&gt;0,N1532-L1532-M1532,0)</f>
        <v/>
      </c>
      <c r="Q1532" s="1">
        <f>IFERROR(P1532*G1532,0)</f>
        <v/>
      </c>
    </row>
    <row r="1533">
      <c r="A1533" t="inlineStr">
        <is>
          <t>VP 15</t>
        </is>
      </c>
      <c r="B1533" t="inlineStr">
        <is>
          <t>VP 150K</t>
        </is>
      </c>
      <c r="C1533" t="inlineStr"/>
      <c r="D1533" t="n">
        <v>1</v>
      </c>
      <c r="E1533" t="n">
        <v>0</v>
      </c>
      <c r="F1533" t="inlineStr"/>
      <c r="G1533" s="1" t="n">
        <v>0</v>
      </c>
      <c r="H1533" t="n">
        <v>2</v>
      </c>
      <c r="I1533" t="n">
        <v>0.5</v>
      </c>
      <c r="J1533" t="n">
        <v>2</v>
      </c>
      <c r="K1533" t="n">
        <v>1</v>
      </c>
      <c r="L1533" t="n">
        <v>0</v>
      </c>
      <c r="M1533" t="n">
        <v>0</v>
      </c>
      <c r="N1533" t="n">
        <v>5</v>
      </c>
      <c r="O1533" s="1">
        <f>IFERROR(L1533*G1533,0)</f>
        <v/>
      </c>
      <c r="P1533">
        <f>IF(N1533-L1533-M1533&gt;0,N1533-L1533-M1533,0)</f>
        <v/>
      </c>
      <c r="Q1533" s="1">
        <f>IFERROR(P1533*G1533,0)</f>
        <v/>
      </c>
    </row>
    <row r="1534">
      <c r="A1534" t="inlineStr">
        <is>
          <t>VRL6</t>
        </is>
      </c>
      <c r="B1534" t="inlineStr">
        <is>
          <t>VRL6 - 2'</t>
        </is>
      </c>
      <c r="C1534" t="inlineStr">
        <is>
          <t>FM - FPZ</t>
        </is>
      </c>
      <c r="D1534" t="n">
        <v>57</v>
      </c>
      <c r="E1534" t="n">
        <v>0</v>
      </c>
      <c r="F1534" t="inlineStr"/>
      <c r="G1534" s="1" t="n">
        <v>0</v>
      </c>
      <c r="H1534" t="n">
        <v>9</v>
      </c>
      <c r="I1534" t="n">
        <v>0.5</v>
      </c>
      <c r="J1534" t="n">
        <v>1</v>
      </c>
      <c r="K1534" t="n">
        <v>1</v>
      </c>
      <c r="L1534" t="n">
        <v>0</v>
      </c>
      <c r="M1534" t="n">
        <v>0</v>
      </c>
      <c r="N1534" t="n">
        <v>2</v>
      </c>
      <c r="O1534" s="1">
        <f>IFERROR(L1534*G1534,0)</f>
        <v/>
      </c>
      <c r="P1534">
        <f>IF(N1534-L1534-M1534&gt;0,N1534-L1534-M1534,0)</f>
        <v/>
      </c>
      <c r="Q1534" s="1">
        <f>IFERROR(P1534*G1534,0)</f>
        <v/>
      </c>
    </row>
    <row r="1535">
      <c r="A1535" t="inlineStr">
        <is>
          <t>VRL8</t>
        </is>
      </c>
      <c r="B1535" t="inlineStr">
        <is>
          <t>VRL8 - 3'</t>
        </is>
      </c>
      <c r="C1535" t="inlineStr">
        <is>
          <t>FM - FPZ</t>
        </is>
      </c>
      <c r="D1535" t="n">
        <v>20</v>
      </c>
      <c r="E1535" t="n">
        <v>8</v>
      </c>
      <c r="F1535" t="inlineStr">
        <is>
          <t>Effepizeta</t>
        </is>
      </c>
      <c r="G1535" s="1" t="n">
        <v>0</v>
      </c>
      <c r="H1535" t="n">
        <v>3</v>
      </c>
      <c r="I1535" t="n">
        <v>1.4</v>
      </c>
      <c r="J1535" t="n">
        <v>1</v>
      </c>
      <c r="K1535" t="n">
        <v>1</v>
      </c>
      <c r="L1535" t="n">
        <v>0</v>
      </c>
      <c r="M1535" t="n">
        <v>0</v>
      </c>
      <c r="N1535" t="n">
        <v>3</v>
      </c>
      <c r="O1535" s="1">
        <f>IFERROR(L1535*G1535,0)</f>
        <v/>
      </c>
      <c r="P1535">
        <f>IF(N1535-L1535-M1535&gt;0,N1535-L1535-M1535,0)</f>
        <v/>
      </c>
      <c r="Q1535" s="1">
        <f>IFERROR(P1535*G1535,0)</f>
        <v/>
      </c>
    </row>
    <row r="1536">
      <c r="A1536" t="inlineStr">
        <is>
          <t>VRL9</t>
        </is>
      </c>
      <c r="B1536" t="inlineStr">
        <is>
          <t>VRL9 - 4'</t>
        </is>
      </c>
      <c r="C1536" t="inlineStr">
        <is>
          <t>FM - FPZ</t>
        </is>
      </c>
      <c r="D1536" t="n">
        <v>20</v>
      </c>
      <c r="E1536" t="n">
        <v>4</v>
      </c>
      <c r="F1536" t="inlineStr">
        <is>
          <t>Effepizeta</t>
        </is>
      </c>
      <c r="G1536" s="1" t="n">
        <v>0</v>
      </c>
      <c r="H1536" t="n">
        <v>0</v>
      </c>
      <c r="I1536" t="n">
        <v>1.1</v>
      </c>
      <c r="J1536" t="n">
        <v>1</v>
      </c>
      <c r="K1536" t="n">
        <v>1</v>
      </c>
      <c r="L1536" t="n">
        <v>0</v>
      </c>
      <c r="M1536" t="n">
        <v>0</v>
      </c>
      <c r="N1536" t="n">
        <v>3</v>
      </c>
      <c r="O1536" s="1">
        <f>IFERROR(L1536*G1536,0)</f>
        <v/>
      </c>
      <c r="P1536">
        <f>IF(N1536-L1536-M1536&gt;0,N1536-L1536-M1536,0)</f>
        <v/>
      </c>
      <c r="Q1536" s="1">
        <f>IFERROR(P1536*G1536,0)</f>
        <v/>
      </c>
    </row>
    <row r="1537">
      <c r="A1537" t="inlineStr">
        <is>
          <t>VSD</t>
        </is>
      </c>
      <c r="B1537" t="inlineStr">
        <is>
          <t>- 37 kW 380V variable speed drive</t>
        </is>
      </c>
      <c r="C1537" t="inlineStr"/>
      <c r="D1537" t="n">
        <v>1</v>
      </c>
      <c r="E1537" t="n">
        <v>0</v>
      </c>
      <c r="F1537" t="inlineStr"/>
      <c r="G1537" s="1" t="n">
        <v>0</v>
      </c>
      <c r="H1537" t="n">
        <v>1</v>
      </c>
      <c r="I1537" t="n">
        <v>0.5</v>
      </c>
      <c r="J1537" t="n">
        <v>1</v>
      </c>
      <c r="K1537" t="n">
        <v>1</v>
      </c>
      <c r="L1537" t="n">
        <v>0</v>
      </c>
      <c r="M1537" t="n">
        <v>0</v>
      </c>
      <c r="N1537" t="n">
        <v>2</v>
      </c>
      <c r="O1537" s="1">
        <f>IFERROR(L1537*G1537,0)</f>
        <v/>
      </c>
      <c r="P1537">
        <f>IF(N1537-L1537-M1537&gt;0,N1537-L1537-M1537,0)</f>
        <v/>
      </c>
      <c r="Q1537" s="1">
        <f>IFERROR(P1537*G1537,0)</f>
        <v/>
      </c>
    </row>
    <row r="1538">
      <c r="A1538" t="inlineStr">
        <is>
          <t>W1G250</t>
        </is>
      </c>
      <c r="B1538" t="inlineStr">
        <is>
          <t>HH67 - 52 - 48 V (36-57V-) DC. 105 W 2750 min 1</t>
        </is>
      </c>
      <c r="C1538" t="inlineStr"/>
      <c r="D1538" t="n">
        <v>1</v>
      </c>
      <c r="E1538" t="n">
        <v>4</v>
      </c>
      <c r="F1538" t="inlineStr">
        <is>
          <t>Ebmpapst</t>
        </is>
      </c>
      <c r="G1538" s="1" t="n">
        <v>0</v>
      </c>
      <c r="H1538" t="n">
        <v>4</v>
      </c>
      <c r="I1538" t="n">
        <v>0.5</v>
      </c>
      <c r="J1538" t="n">
        <v>4</v>
      </c>
      <c r="K1538" t="n">
        <v>2</v>
      </c>
      <c r="L1538" t="n">
        <v>0</v>
      </c>
      <c r="M1538" t="n">
        <v>0</v>
      </c>
      <c r="N1538" t="n">
        <v>10</v>
      </c>
      <c r="O1538" s="1">
        <f>IFERROR(L1538*G1538,0)</f>
        <v/>
      </c>
      <c r="P1538">
        <f>IF(N1538-L1538-M1538&gt;0,N1538-L1538-M1538,0)</f>
        <v/>
      </c>
      <c r="Q1538" s="1">
        <f>IFERROR(P1538*G1538,0)</f>
        <v/>
      </c>
    </row>
    <row r="1539">
      <c r="A1539" t="inlineStr">
        <is>
          <t>WAMCENTRIF</t>
        </is>
      </c>
      <c r="B1539" t="inlineStr">
        <is>
          <t>WAM Centrif c/w 1.5HP Nema Motor</t>
        </is>
      </c>
      <c r="C1539" t="inlineStr"/>
      <c r="D1539" t="n">
        <v>1</v>
      </c>
      <c r="E1539" t="n">
        <v>0</v>
      </c>
      <c r="F1539" t="inlineStr"/>
      <c r="G1539" s="1" t="n">
        <v>0</v>
      </c>
      <c r="H1539" t="n">
        <v>3</v>
      </c>
      <c r="I1539" t="n">
        <v>0.5</v>
      </c>
      <c r="J1539" t="n">
        <v>3</v>
      </c>
      <c r="K1539" t="n">
        <v>2</v>
      </c>
      <c r="L1539" t="n">
        <v>0</v>
      </c>
      <c r="M1539" t="n">
        <v>0</v>
      </c>
      <c r="N1539" t="n">
        <v>8</v>
      </c>
      <c r="O1539" s="1">
        <f>IFERROR(L1539*G1539,0)</f>
        <v/>
      </c>
      <c r="P1539">
        <f>IF(N1539-L1539-M1539&gt;0,N1539-L1539-M1539,0)</f>
        <v/>
      </c>
      <c r="Q1539" s="1">
        <f>IFERROR(P1539*G1539,0)</f>
        <v/>
      </c>
    </row>
    <row r="1540">
      <c r="A1540" t="inlineStr">
        <is>
          <t>WAREHOUSE-FAN1</t>
        </is>
      </c>
      <c r="B1540" t="inlineStr">
        <is>
          <t>HTMH-71-4T-4 IE3 380V 60Hz IE3 - Roof Top Exhaust Fan</t>
        </is>
      </c>
      <c r="C1540" t="inlineStr"/>
      <c r="D1540" t="n">
        <v>1</v>
      </c>
      <c r="E1540" t="n">
        <v>0</v>
      </c>
      <c r="F1540" t="inlineStr"/>
      <c r="G1540" s="1" t="n">
        <v>0</v>
      </c>
      <c r="H1540" t="n">
        <v>20</v>
      </c>
      <c r="I1540" t="n">
        <v>0.5</v>
      </c>
      <c r="J1540" t="n">
        <v>20</v>
      </c>
      <c r="K1540" t="n">
        <v>10</v>
      </c>
      <c r="L1540" t="n">
        <v>0</v>
      </c>
      <c r="M1540" t="n">
        <v>0</v>
      </c>
      <c r="N1540" t="n">
        <v>50</v>
      </c>
      <c r="O1540" s="1">
        <f>IFERROR(L1540*G1540,0)</f>
        <v/>
      </c>
      <c r="P1540">
        <f>IF(N1540-L1540-M1540&gt;0,N1540-L1540-M1540,0)</f>
        <v/>
      </c>
      <c r="Q1540" s="1">
        <f>IFERROR(P1540*G1540,0)</f>
        <v/>
      </c>
    </row>
    <row r="1541">
      <c r="A1541" t="inlineStr">
        <is>
          <t>WD002</t>
        </is>
      </c>
      <c r="B1541" t="inlineStr">
        <is>
          <t>FMD 600 x 600 x 50 W/D</t>
        </is>
      </c>
      <c r="C1541" t="inlineStr"/>
      <c r="D1541" t="n">
        <v>1</v>
      </c>
      <c r="E1541" t="n">
        <v>16</v>
      </c>
      <c r="F1541" t="inlineStr">
        <is>
          <t>Filtermac Design ( Pty) Ltd</t>
        </is>
      </c>
      <c r="G1541" s="1" t="n">
        <v>169</v>
      </c>
      <c r="H1541" t="n">
        <v>0</v>
      </c>
      <c r="I1541" t="n">
        <v>0.8</v>
      </c>
      <c r="J1541" t="n">
        <v>16</v>
      </c>
      <c r="K1541" t="n">
        <v>13</v>
      </c>
      <c r="L1541" t="n">
        <v>0</v>
      </c>
      <c r="M1541" t="n">
        <v>0</v>
      </c>
      <c r="N1541" t="n">
        <v>45</v>
      </c>
      <c r="O1541" s="1">
        <f>IFERROR(L1541*G1541,0)</f>
        <v/>
      </c>
      <c r="P1541">
        <f>IF(N1541-L1541-M1541&gt;0,N1541-L1541-M1541,0)</f>
        <v/>
      </c>
      <c r="Q1541" s="1">
        <f>IFERROR(P1541*G1541,0)</f>
        <v/>
      </c>
    </row>
    <row r="1542">
      <c r="A1542" t="inlineStr">
        <is>
          <t>WGP3603033</t>
        </is>
      </c>
      <c r="B1542" t="inlineStr">
        <is>
          <t>22kW 4P 380-400-415/660-690//460V B3T 180L IE1</t>
        </is>
      </c>
      <c r="C1542" t="inlineStr"/>
      <c r="D1542" t="n">
        <v>1</v>
      </c>
      <c r="E1542" t="n">
        <v>2</v>
      </c>
      <c r="F1542" t="inlineStr">
        <is>
          <t>WEG South Africa</t>
        </is>
      </c>
      <c r="G1542" s="1" t="n">
        <v>15923.7</v>
      </c>
      <c r="H1542" t="n">
        <v>0</v>
      </c>
      <c r="I1542" t="n">
        <v>1.6</v>
      </c>
      <c r="J1542" t="n">
        <v>2</v>
      </c>
      <c r="K1542" t="n">
        <v>3</v>
      </c>
      <c r="L1542" t="n">
        <v>0</v>
      </c>
      <c r="M1542" t="n">
        <v>0</v>
      </c>
      <c r="N1542" t="n">
        <v>7</v>
      </c>
      <c r="O1542" s="1">
        <f>IFERROR(L1542*G1542,0)</f>
        <v/>
      </c>
      <c r="P1542">
        <f>IF(N1542-L1542-M1542&gt;0,N1542-L1542-M1542,0)</f>
        <v/>
      </c>
      <c r="Q1542" s="1">
        <f>IFERROR(P1542*G1542,0)</f>
        <v/>
      </c>
    </row>
    <row r="1543">
      <c r="A1543" t="inlineStr">
        <is>
          <t>WIRING</t>
        </is>
      </c>
      <c r="B1543" t="inlineStr">
        <is>
          <t>Wiring of welding plug and installation of welding plug x2</t>
        </is>
      </c>
      <c r="C1543" t="inlineStr">
        <is>
          <t>FM - ELECTRICAL WIRING</t>
        </is>
      </c>
      <c r="D1543" t="n">
        <v>1</v>
      </c>
      <c r="E1543" t="n">
        <v>2</v>
      </c>
      <c r="F1543" t="inlineStr">
        <is>
          <t>Downside Projects</t>
        </is>
      </c>
      <c r="G1543" s="1" t="n">
        <v>2750</v>
      </c>
      <c r="H1543" t="n">
        <v>0</v>
      </c>
      <c r="I1543" t="n">
        <v>0.7</v>
      </c>
      <c r="J1543" t="n">
        <v>2</v>
      </c>
      <c r="K1543" t="n">
        <v>1</v>
      </c>
      <c r="L1543" t="n">
        <v>0</v>
      </c>
      <c r="M1543" t="n">
        <v>0</v>
      </c>
      <c r="N1543" t="n">
        <v>5</v>
      </c>
      <c r="O1543" s="1">
        <f>IFERROR(L1543*G1543,0)</f>
        <v/>
      </c>
      <c r="P1543">
        <f>IF(N1543-L1543-M1543&gt;0,N1543-L1543-M1543,0)</f>
        <v/>
      </c>
      <c r="Q1543" s="1">
        <f>IFERROR(P1543*G1543,0)</f>
        <v/>
      </c>
    </row>
    <row r="1544">
      <c r="A1544" t="inlineStr">
        <is>
          <t>WL 400</t>
        </is>
      </c>
      <c r="B1544" t="inlineStr">
        <is>
          <t>Wall Mount</t>
        </is>
      </c>
      <c r="C1544" t="inlineStr"/>
      <c r="D1544" t="n">
        <v>1</v>
      </c>
      <c r="E1544" t="n">
        <v>0</v>
      </c>
      <c r="F1544" t="inlineStr"/>
      <c r="G1544" s="1" t="n">
        <v>0</v>
      </c>
      <c r="H1544" t="n">
        <v>2</v>
      </c>
      <c r="I1544" t="n">
        <v>0.5</v>
      </c>
      <c r="J1544" t="n">
        <v>2</v>
      </c>
      <c r="K1544" t="n">
        <v>1</v>
      </c>
      <c r="L1544" t="n">
        <v>0</v>
      </c>
      <c r="M1544" t="n">
        <v>0</v>
      </c>
      <c r="N1544" t="n">
        <v>5</v>
      </c>
      <c r="O1544" s="1">
        <f>IFERROR(L1544*G1544,0)</f>
        <v/>
      </c>
      <c r="P1544">
        <f>IF(N1544-L1544-M1544&gt;0,N1544-L1544-M1544,0)</f>
        <v/>
      </c>
      <c r="Q1544" s="1">
        <f>IFERROR(P1544*G1544,0)</f>
        <v/>
      </c>
    </row>
    <row r="1545">
      <c r="A1545" t="inlineStr">
        <is>
          <t>WL2525</t>
        </is>
      </c>
      <c r="B1545" t="inlineStr">
        <is>
          <t>WEATHER LOUVRE 250*250 NS NA</t>
        </is>
      </c>
      <c r="C1545" t="inlineStr"/>
      <c r="D1545" t="n">
        <v>1</v>
      </c>
      <c r="E1545" t="n">
        <v>9</v>
      </c>
      <c r="F1545" t="inlineStr">
        <is>
          <t>Advantage Air Africa Pty Ltd</t>
        </is>
      </c>
      <c r="G1545" s="1" t="n">
        <v>430.34</v>
      </c>
      <c r="H1545" t="n">
        <v>9</v>
      </c>
      <c r="I1545" t="n">
        <v>1.6</v>
      </c>
      <c r="J1545" t="n">
        <v>9</v>
      </c>
      <c r="K1545" t="n">
        <v>14</v>
      </c>
      <c r="L1545" t="n">
        <v>0</v>
      </c>
      <c r="M1545" t="n">
        <v>0</v>
      </c>
      <c r="N1545" t="n">
        <v>32</v>
      </c>
      <c r="O1545" s="1">
        <f>IFERROR(L1545*G1545,0)</f>
        <v/>
      </c>
      <c r="P1545">
        <f>IF(N1545-L1545-M1545&gt;0,N1545-L1545-M1545,0)</f>
        <v/>
      </c>
      <c r="Q1545" s="1">
        <f>IFERROR(P1545*G1545,0)</f>
        <v/>
      </c>
    </row>
    <row r="1546">
      <c r="A1546" t="inlineStr">
        <is>
          <t>WL6060</t>
        </is>
      </c>
      <c r="B1546" t="inlineStr">
        <is>
          <t>WEATHER LOUVRE 600*600 NS NA</t>
        </is>
      </c>
      <c r="C1546" t="inlineStr"/>
      <c r="D1546" t="n">
        <v>1</v>
      </c>
      <c r="E1546" t="n">
        <v>6</v>
      </c>
      <c r="F1546" t="inlineStr">
        <is>
          <t>Advantage Air Africa Pty Ltd</t>
        </is>
      </c>
      <c r="G1546" s="1" t="n">
        <v>1115.22</v>
      </c>
      <c r="H1546" t="n">
        <v>0</v>
      </c>
      <c r="I1546" t="n">
        <v>1.9</v>
      </c>
      <c r="J1546" t="n">
        <v>6</v>
      </c>
      <c r="K1546" t="n">
        <v>11</v>
      </c>
      <c r="L1546" t="n">
        <v>0</v>
      </c>
      <c r="M1546" t="n">
        <v>0</v>
      </c>
      <c r="N1546" t="n">
        <v>23</v>
      </c>
      <c r="O1546" s="1">
        <f>IFERROR(L1546*G1546,0)</f>
        <v/>
      </c>
      <c r="P1546">
        <f>IF(N1546-L1546-M1546&gt;0,N1546-L1546-M1546,0)</f>
        <v/>
      </c>
      <c r="Q1546" s="1">
        <f>IFERROR(P1546*G1546,0)</f>
        <v/>
      </c>
    </row>
    <row r="1547">
      <c r="A1547" t="inlineStr">
        <is>
          <t>WP P800</t>
        </is>
      </c>
      <c r="B1547" t="inlineStr">
        <is>
          <t>WATERPAPER P800</t>
        </is>
      </c>
      <c r="C1547" t="inlineStr"/>
      <c r="D1547" t="n">
        <v>1</v>
      </c>
      <c r="E1547" t="n">
        <v>4</v>
      </c>
      <c r="F1547" t="inlineStr">
        <is>
          <t>MG AUTO PAINT (PTY) LTD</t>
        </is>
      </c>
      <c r="G1547" s="1" t="n">
        <v>5.22</v>
      </c>
      <c r="H1547" t="n">
        <v>0</v>
      </c>
      <c r="I1547" t="n">
        <v>0.5</v>
      </c>
      <c r="J1547" t="n">
        <v>4</v>
      </c>
      <c r="K1547" t="n">
        <v>2</v>
      </c>
      <c r="L1547" t="n">
        <v>0</v>
      </c>
      <c r="M1547" t="n">
        <v>0</v>
      </c>
      <c r="N1547" t="n">
        <v>10</v>
      </c>
      <c r="O1547" s="1">
        <f>IFERROR(L1547*G1547,0)</f>
        <v/>
      </c>
      <c r="P1547">
        <f>IF(N1547-L1547-M1547&gt;0,N1547-L1547-M1547,0)</f>
        <v/>
      </c>
      <c r="Q1547" s="1">
        <f>IFERROR(P1547*G1547,0)</f>
        <v/>
      </c>
    </row>
    <row r="1548">
      <c r="A1548" t="inlineStr">
        <is>
          <t>WPF50/600/600/50</t>
        </is>
      </c>
      <c r="B1548" t="inlineStr">
        <is>
          <t>Filter</t>
        </is>
      </c>
      <c r="C1548" t="inlineStr"/>
      <c r="D1548" t="n">
        <v>2</v>
      </c>
      <c r="E1548" t="n">
        <v>75</v>
      </c>
      <c r="F1548" t="inlineStr">
        <is>
          <t>Filta Matix</t>
        </is>
      </c>
      <c r="G1548" s="1" t="n">
        <v>175.85</v>
      </c>
      <c r="H1548" t="n">
        <v>0</v>
      </c>
      <c r="I1548" t="n">
        <v>0.9</v>
      </c>
      <c r="J1548" t="n">
        <v>37.5</v>
      </c>
      <c r="K1548" t="n">
        <v>34</v>
      </c>
      <c r="L1548" t="n">
        <v>0</v>
      </c>
      <c r="M1548" t="n">
        <v>0</v>
      </c>
      <c r="N1548" t="n">
        <v>109</v>
      </c>
      <c r="O1548" s="1">
        <f>IFERROR(L1548*G1548,0)</f>
        <v/>
      </c>
      <c r="P1548">
        <f>IF(N1548-L1548-M1548&gt;0,N1548-L1548-M1548,0)</f>
        <v/>
      </c>
      <c r="Q1548" s="1">
        <f>IFERROR(P1548*G1548,0)</f>
        <v/>
      </c>
    </row>
    <row r="1549">
      <c r="A1549" t="inlineStr">
        <is>
          <t>WPF50/600/600/50.</t>
        </is>
      </c>
      <c r="B1549" t="inlineStr">
        <is>
          <t>WPF50/600/600/50</t>
        </is>
      </c>
      <c r="C1549" t="inlineStr"/>
      <c r="D1549" t="n">
        <v>1</v>
      </c>
      <c r="E1549" t="n">
        <v>5</v>
      </c>
      <c r="F1549" t="inlineStr">
        <is>
          <t>Filta Matix</t>
        </is>
      </c>
      <c r="G1549" s="1" t="n">
        <v>175.85</v>
      </c>
      <c r="H1549" t="n">
        <v>0</v>
      </c>
      <c r="I1549" t="n">
        <v>0.5</v>
      </c>
      <c r="J1549" t="n">
        <v>5</v>
      </c>
      <c r="K1549" t="n">
        <v>2</v>
      </c>
      <c r="L1549" t="n">
        <v>0</v>
      </c>
      <c r="M1549" t="n">
        <v>0</v>
      </c>
      <c r="N1549" t="n">
        <v>12</v>
      </c>
      <c r="O1549" s="1">
        <f>IFERROR(L1549*G1549,0)</f>
        <v/>
      </c>
      <c r="P1549">
        <f>IF(N1549-L1549-M1549&gt;0,N1549-L1549-M1549,0)</f>
        <v/>
      </c>
      <c r="Q1549" s="1">
        <f>IFERROR(P1549*G1549,0)</f>
        <v/>
      </c>
    </row>
    <row r="1550">
      <c r="A1550" t="inlineStr">
        <is>
          <t>WS</t>
        </is>
      </c>
      <c r="B1550" t="inlineStr">
        <is>
          <t>Wall sleeve, plate and flashing</t>
        </is>
      </c>
      <c r="C1550" t="inlineStr"/>
      <c r="D1550" t="n">
        <v>1</v>
      </c>
      <c r="E1550" t="n">
        <v>3</v>
      </c>
      <c r="F1550" t="inlineStr">
        <is>
          <t>Intervent-Universal (Pty) Ltd</t>
        </is>
      </c>
      <c r="G1550" s="1" t="n">
        <v>701.67</v>
      </c>
      <c r="H1550" t="n">
        <v>0</v>
      </c>
      <c r="I1550" t="n">
        <v>0.9</v>
      </c>
      <c r="J1550" t="n">
        <v>3</v>
      </c>
      <c r="K1550" t="n">
        <v>3</v>
      </c>
      <c r="L1550" t="n">
        <v>0</v>
      </c>
      <c r="M1550" t="n">
        <v>0</v>
      </c>
      <c r="N1550" t="n">
        <v>9</v>
      </c>
      <c r="O1550" s="1">
        <f>IFERROR(L1550*G1550,0)</f>
        <v/>
      </c>
      <c r="P1550">
        <f>IF(N1550-L1550-M1550&gt;0,N1550-L1550-M1550,0)</f>
        <v/>
      </c>
      <c r="Q1550" s="1">
        <f>IFERROR(P1550*G1550,0)</f>
        <v/>
      </c>
    </row>
    <row r="1551">
      <c r="A1551" t="inlineStr">
        <is>
          <t>WSAWBS014</t>
        </is>
      </c>
      <c r="B1551" t="inlineStr">
        <is>
          <t>[D]HBS350N[1] 14inch WOODWORKING</t>
        </is>
      </c>
      <c r="C1551" t="inlineStr"/>
      <c r="D1551" t="n">
        <v>1</v>
      </c>
      <c r="E1551" t="n">
        <v>1</v>
      </c>
      <c r="F1551" t="inlineStr">
        <is>
          <t>Adendorff Machinery Mart</t>
        </is>
      </c>
      <c r="G1551" s="1" t="n">
        <v>11638.05</v>
      </c>
      <c r="H1551" t="n">
        <v>0</v>
      </c>
      <c r="I1551" t="n">
        <v>0.8</v>
      </c>
      <c r="J1551" t="n">
        <v>1</v>
      </c>
      <c r="K1551" t="n">
        <v>1</v>
      </c>
      <c r="L1551" t="n">
        <v>0</v>
      </c>
      <c r="M1551" t="n">
        <v>0</v>
      </c>
      <c r="N1551" t="n">
        <v>3</v>
      </c>
      <c r="O1551" s="1">
        <f>IFERROR(L1551*G1551,0)</f>
        <v/>
      </c>
      <c r="P1551">
        <f>IF(N1551-L1551-M1551&gt;0,N1551-L1551-M1551,0)</f>
        <v/>
      </c>
      <c r="Q1551" s="1">
        <f>IFERROR(P1551*G1551,0)</f>
        <v/>
      </c>
    </row>
    <row r="1552">
      <c r="A1552" t="inlineStr">
        <is>
          <t>Wooden crate charges</t>
        </is>
      </c>
      <c r="B1552" t="inlineStr">
        <is>
          <t>Wooden crate charges</t>
        </is>
      </c>
      <c r="C1552" t="inlineStr"/>
      <c r="D1552" t="n">
        <v>3</v>
      </c>
      <c r="E1552" t="n">
        <v>2</v>
      </c>
      <c r="F1552" t="inlineStr">
        <is>
          <t>Regal Beloit Italy S.p.A - Nicotra .</t>
        </is>
      </c>
      <c r="G1552" s="1" t="n">
        <v>1085.46</v>
      </c>
      <c r="H1552" t="n">
        <v>0</v>
      </c>
      <c r="I1552" t="n">
        <v>0.9</v>
      </c>
      <c r="J1552" t="n">
        <v>1</v>
      </c>
      <c r="K1552" t="n">
        <v>1</v>
      </c>
      <c r="L1552" t="n">
        <v>0</v>
      </c>
      <c r="M1552" t="n">
        <v>0</v>
      </c>
      <c r="N1552" t="n">
        <v>3</v>
      </c>
      <c r="O1552" s="1">
        <f>IFERROR(L1552*G1552,0)</f>
        <v/>
      </c>
      <c r="P1552">
        <f>IF(N1552-L1552-M1552&gt;0,N1552-L1552-M1552,0)</f>
        <v/>
      </c>
      <c r="Q1552" s="1">
        <f>IFERROR(P1552*G1552,0)</f>
        <v/>
      </c>
    </row>
    <row r="1553">
      <c r="A1553" t="inlineStr">
        <is>
          <t>Z4540002</t>
        </is>
      </c>
      <c r="B1553" t="inlineStr">
        <is>
          <t>Commission for HFEAVAO.AFM.000298-AECI CHEMICALS</t>
        </is>
      </c>
      <c r="C1553" t="inlineStr"/>
      <c r="D1553" t="n">
        <v>1</v>
      </c>
      <c r="E1553" t="n">
        <v>0</v>
      </c>
      <c r="F1553" t="inlineStr"/>
      <c r="G1553" s="1" t="n">
        <v>0</v>
      </c>
      <c r="H1553" t="n">
        <v>1</v>
      </c>
      <c r="I1553" t="n">
        <v>0.5</v>
      </c>
      <c r="J1553" t="n">
        <v>1</v>
      </c>
      <c r="K1553" t="n">
        <v>1</v>
      </c>
      <c r="L1553" t="n">
        <v>0</v>
      </c>
      <c r="M1553" t="n">
        <v>0</v>
      </c>
      <c r="N1553" t="n">
        <v>2</v>
      </c>
      <c r="O1553" s="1">
        <f>IFERROR(L1553*G1553,0)</f>
        <v/>
      </c>
      <c r="P1553">
        <f>IF(N1553-L1553-M1553&gt;0,N1553-L1553-M1553,0)</f>
        <v/>
      </c>
      <c r="Q1553" s="1">
        <f>IFERROR(P1553*G1553,0)</f>
        <v/>
      </c>
    </row>
    <row r="1554">
      <c r="A1554" t="inlineStr">
        <is>
          <t>ZZZ-SP 2200</t>
        </is>
      </c>
      <c r="B1554" t="inlineStr">
        <is>
          <t>0.37KW 4P 400 V B3 - IE2-OH71 M ORANGE1</t>
        </is>
      </c>
      <c r="C1554" t="inlineStr"/>
      <c r="D1554" t="n">
        <v>4</v>
      </c>
      <c r="E1554" t="n">
        <v>3</v>
      </c>
      <c r="F1554" t="inlineStr">
        <is>
          <t>Kurt Maier Motor-Press (South africa) (Pty) Ltd t/a EMAC</t>
        </is>
      </c>
      <c r="G1554" s="1" t="n">
        <v>7180</v>
      </c>
      <c r="H1554" t="n">
        <v>0</v>
      </c>
      <c r="I1554" t="n">
        <v>0.5</v>
      </c>
      <c r="J1554" t="n">
        <v>1</v>
      </c>
      <c r="K1554" t="n">
        <v>1</v>
      </c>
      <c r="L1554" t="n">
        <v>0</v>
      </c>
      <c r="M1554" t="n">
        <v>0</v>
      </c>
      <c r="N1554" t="n">
        <v>2</v>
      </c>
      <c r="O1554" s="1">
        <f>IFERROR(L1554*G1554,0)</f>
        <v/>
      </c>
      <c r="P1554">
        <f>IF(N1554-L1554-M1554&gt;0,N1554-L1554-M1554,0)</f>
        <v/>
      </c>
      <c r="Q1554" s="1">
        <f>IFERROR(P1554*G1554,0)</f>
        <v/>
      </c>
    </row>
    <row r="1555">
      <c r="A1555" t="inlineStr">
        <is>
          <t>TOTAL STOCK</t>
        </is>
      </c>
    </row>
  </sheetData>
  <printOptions horizontalCentered="1"/>
  <pageMargins left="1" right="1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-GLF12.5-S</t>
        </is>
      </c>
      <c r="B2" t="inlineStr">
        <is>
          <t>Galvanised Industrial Extractor Fan+ Grill &amp; Louvers 1380sq, 380V,1.1kw, 440rpm, 44000m3/hr</t>
        </is>
      </c>
      <c r="C2" t="inlineStr">
        <is>
          <t>AF Fans CC</t>
        </is>
      </c>
      <c r="D2" t="inlineStr"/>
      <c r="E2" s="1" t="n">
        <v>6515.6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.30 Duct</t>
        </is>
      </c>
      <c r="B3" t="inlineStr">
        <is>
          <t>300mm Diameter-10 meter Long</t>
        </is>
      </c>
      <c r="C3" t="inlineStr">
        <is>
          <t>Luft Industries Natal (Pty) Ltd</t>
        </is>
      </c>
      <c r="D3" t="inlineStr">
        <is>
          <t>DUCT</t>
        </is>
      </c>
      <c r="E3" s="1" t="n">
        <v>1500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0.2543PM</t>
        </is>
      </c>
      <c r="B4" t="inlineStr">
        <is>
          <t>0.25kW 4P 380V Pad Mount Motor</t>
        </is>
      </c>
      <c r="C4" t="inlineStr">
        <is>
          <t>ACTOM</t>
        </is>
      </c>
      <c r="D4" t="inlineStr">
        <is>
          <t>FM - MOTOR</t>
        </is>
      </c>
      <c r="E4" s="1" t="n">
        <v>1149.38</v>
      </c>
      <c r="F4" t="n">
        <v>2</v>
      </c>
      <c r="G4" t="n">
        <v>0</v>
      </c>
      <c r="H4" t="n">
        <v>6</v>
      </c>
      <c r="I4" t="n">
        <v>0</v>
      </c>
      <c r="J4" t="n">
        <v>6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0.3723PM</t>
        </is>
      </c>
      <c r="B5" t="inlineStr">
        <is>
          <t>0.37kW 2P 380V Pad Mount Motor</t>
        </is>
      </c>
      <c r="C5" t="inlineStr">
        <is>
          <t>ACTOM</t>
        </is>
      </c>
      <c r="D5" t="inlineStr">
        <is>
          <t>FM - MOTOR</t>
        </is>
      </c>
      <c r="E5" s="1" t="n">
        <v>1207.65</v>
      </c>
      <c r="F5" t="n">
        <v>2</v>
      </c>
      <c r="G5" t="n">
        <v>0</v>
      </c>
      <c r="H5" t="n">
        <v>8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0.3741PM</t>
        </is>
      </c>
      <c r="B6" t="inlineStr">
        <is>
          <t>0.37KW 4P 220V Pad Mount Motor</t>
        </is>
      </c>
      <c r="C6" t="inlineStr">
        <is>
          <t>WEG South Africa</t>
        </is>
      </c>
      <c r="D6" t="inlineStr">
        <is>
          <t>MOTORS</t>
        </is>
      </c>
      <c r="E6" s="1" t="n">
        <v>1430</v>
      </c>
      <c r="F6" t="n">
        <v>1</v>
      </c>
      <c r="G6" t="n">
        <v>0</v>
      </c>
      <c r="H6" t="n">
        <v>3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0.3743PM</t>
        </is>
      </c>
      <c r="B7" t="inlineStr">
        <is>
          <t>0.37kW 4P 380V Pad Mount Motor</t>
        </is>
      </c>
      <c r="C7" t="inlineStr">
        <is>
          <t>ACTOM</t>
        </is>
      </c>
      <c r="D7" t="inlineStr">
        <is>
          <t>FM - MOTOR</t>
        </is>
      </c>
      <c r="E7" s="1" t="n">
        <v>1251.89</v>
      </c>
      <c r="F7" t="n">
        <v>2</v>
      </c>
      <c r="G7" t="n">
        <v>0</v>
      </c>
      <c r="H7" t="n">
        <v>7</v>
      </c>
      <c r="I7" t="n">
        <v>0</v>
      </c>
      <c r="J7" t="n">
        <v>10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0.5523PM</t>
        </is>
      </c>
      <c r="B8" t="inlineStr">
        <is>
          <t>0.55kW 2P 380V Pad Mount Motor</t>
        </is>
      </c>
      <c r="C8" t="inlineStr">
        <is>
          <t>ACTOM</t>
        </is>
      </c>
      <c r="D8" t="inlineStr">
        <is>
          <t>FM - MOTOR</t>
        </is>
      </c>
      <c r="E8" s="1" t="n">
        <v>1304.81</v>
      </c>
      <c r="F8" t="n">
        <v>3</v>
      </c>
      <c r="G8" t="n">
        <v>0</v>
      </c>
      <c r="H8" t="n">
        <v>9</v>
      </c>
      <c r="I8" t="n">
        <v>0</v>
      </c>
      <c r="J8" t="n">
        <v>10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0.552P</t>
        </is>
      </c>
      <c r="B9" t="inlineStr">
        <is>
          <t>0.55Kw 2P 380V Pad Motor</t>
        </is>
      </c>
      <c r="C9" t="inlineStr">
        <is>
          <t>ACTOM</t>
        </is>
      </c>
      <c r="D9" t="inlineStr"/>
      <c r="E9" s="1" t="n">
        <v>1359</v>
      </c>
      <c r="F9" t="n">
        <v>1</v>
      </c>
      <c r="G9" t="n">
        <v>0</v>
      </c>
      <c r="H9" t="n">
        <v>3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0.5541PM</t>
        </is>
      </c>
      <c r="B10" t="inlineStr">
        <is>
          <t>0.55KW 4P 220V Pad Mount Motor</t>
        </is>
      </c>
      <c r="C10" t="inlineStr">
        <is>
          <t>ASKARI ELECTRIC (PTY) LTD</t>
        </is>
      </c>
      <c r="D10" t="inlineStr">
        <is>
          <t>MOTORS</t>
        </is>
      </c>
      <c r="E10" s="1" t="n">
        <v>1480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0.5543PM</t>
        </is>
      </c>
      <c r="B11" t="inlineStr">
        <is>
          <t>0.55kW 4P 380V Pad Mount Motor</t>
        </is>
      </c>
      <c r="C11" t="inlineStr">
        <is>
          <t>ACTOM</t>
        </is>
      </c>
      <c r="D11" t="inlineStr">
        <is>
          <t>FM - MOTOR</t>
        </is>
      </c>
      <c r="E11" s="1" t="n">
        <v>1539.27</v>
      </c>
      <c r="F11" t="n">
        <v>2</v>
      </c>
      <c r="G11" t="n">
        <v>0</v>
      </c>
      <c r="H11" t="n">
        <v>9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0.7523PM</t>
        </is>
      </c>
      <c r="B12" t="inlineStr">
        <is>
          <t>0.75kW 2P 380V Pad Mount Motor</t>
        </is>
      </c>
      <c r="C12" t="inlineStr">
        <is>
          <t>ACTOM</t>
        </is>
      </c>
      <c r="D12" t="inlineStr">
        <is>
          <t>FM - MOTOR</t>
        </is>
      </c>
      <c r="E12" s="1" t="n">
        <v>1590.52</v>
      </c>
      <c r="F12" t="n">
        <v>1</v>
      </c>
      <c r="G12" t="n">
        <v>0</v>
      </c>
      <c r="H12" t="n">
        <v>4</v>
      </c>
      <c r="I12" t="n">
        <v>0</v>
      </c>
      <c r="J12" t="n">
        <v>2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0.752P</t>
        </is>
      </c>
      <c r="B13" t="inlineStr">
        <is>
          <t>0.75Kw 2Pole 380V Pad Mount</t>
        </is>
      </c>
      <c r="C13" t="inlineStr">
        <is>
          <t>ACTOM</t>
        </is>
      </c>
      <c r="D13" t="inlineStr"/>
      <c r="E13" s="1" t="n">
        <v>1591</v>
      </c>
      <c r="F13" t="n">
        <v>4</v>
      </c>
      <c r="G13" t="n">
        <v>0</v>
      </c>
      <c r="H13" t="n">
        <v>10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0.7541FM</t>
        </is>
      </c>
      <c r="B14" t="inlineStr">
        <is>
          <t>0.75Kw 220v Foot Mount</t>
        </is>
      </c>
      <c r="C14" t="inlineStr">
        <is>
          <t>ACTOM</t>
        </is>
      </c>
      <c r="D14" t="inlineStr"/>
      <c r="E14" s="1" t="n">
        <v>1880</v>
      </c>
      <c r="F14" t="n">
        <v>1</v>
      </c>
      <c r="G14" t="n">
        <v>0</v>
      </c>
      <c r="H14" t="n">
        <v>3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0.7541PM</t>
        </is>
      </c>
      <c r="B15" t="inlineStr">
        <is>
          <t>0.75Kw 220v Pad Mount</t>
        </is>
      </c>
      <c r="C15" t="inlineStr">
        <is>
          <t>ASKARI ELECTRIC (PTY) LTD</t>
        </is>
      </c>
      <c r="D15" t="inlineStr"/>
      <c r="E15" s="1" t="n">
        <v>1630</v>
      </c>
      <c r="F15" t="n">
        <v>1</v>
      </c>
      <c r="G15" t="n">
        <v>0</v>
      </c>
      <c r="H15" t="n">
        <v>2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0.7543PM</t>
        </is>
      </c>
      <c r="B16" t="inlineStr">
        <is>
          <t>0.75kW 4P 380V Pad Mount Motor</t>
        </is>
      </c>
      <c r="C16" t="inlineStr">
        <is>
          <t>ACTOM</t>
        </is>
      </c>
      <c r="D16" t="inlineStr">
        <is>
          <t>FM - MOTOR</t>
        </is>
      </c>
      <c r="E16" s="1" t="n">
        <v>1445.96</v>
      </c>
      <c r="F16" t="n">
        <v>3</v>
      </c>
      <c r="G16" t="n">
        <v>0</v>
      </c>
      <c r="H16" t="n">
        <v>9</v>
      </c>
      <c r="I16" t="n">
        <v>0</v>
      </c>
      <c r="J16" t="n">
        <v>6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0.7563PM</t>
        </is>
      </c>
      <c r="B17" t="inlineStr">
        <is>
          <t>0.75kW 6P 380V Pad Mount Motor</t>
        </is>
      </c>
      <c r="C17" t="inlineStr">
        <is>
          <t>ACTOM</t>
        </is>
      </c>
      <c r="D17" t="inlineStr"/>
      <c r="E17" s="1" t="n">
        <v>1834</v>
      </c>
      <c r="F17" t="n">
        <v>2</v>
      </c>
      <c r="G17" t="n">
        <v>0</v>
      </c>
      <c r="H17" t="n">
        <v>4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0.75kW VSD</t>
        </is>
      </c>
      <c r="B18" t="inlineStr">
        <is>
          <t>Variable Speed Controller</t>
        </is>
      </c>
      <c r="C18" t="inlineStr">
        <is>
          <t>Drive Dynamics (Pty) Ltd</t>
        </is>
      </c>
      <c r="D18" t="inlineStr"/>
      <c r="E18" s="1" t="n">
        <v>2710</v>
      </c>
      <c r="F18" t="n">
        <v>1</v>
      </c>
      <c r="G18" t="n">
        <v>0</v>
      </c>
      <c r="H18" t="n">
        <v>3</v>
      </c>
      <c r="I18" t="n">
        <v>0</v>
      </c>
      <c r="J18" t="n">
        <v>1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0010</t>
        </is>
      </c>
      <c r="B19" t="inlineStr">
        <is>
          <t>SPARE MOTOR - TIRACAMINO - Vortice Spare Motor for Tiracamino 0.12kW 4P 230V</t>
        </is>
      </c>
      <c r="C19" t="inlineStr"/>
      <c r="D19" t="inlineStr"/>
      <c r="E19" s="1" t="n">
        <v>0</v>
      </c>
      <c r="F19" t="n">
        <v>1</v>
      </c>
      <c r="G19" t="n">
        <v>0</v>
      </c>
      <c r="H19" t="n">
        <v>6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009</t>
        </is>
      </c>
      <c r="B20" t="inlineStr">
        <is>
          <t>HVF/75N c/w 0.24kW 750mm 220V</t>
        </is>
      </c>
      <c r="C20" t="inlineStr"/>
      <c r="D20" t="inlineStr"/>
      <c r="E20" s="1" t="n">
        <v>0</v>
      </c>
      <c r="F20" t="n">
        <v>10</v>
      </c>
      <c r="G20" t="n">
        <v>0</v>
      </c>
      <c r="H20" t="n">
        <v>50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02880</t>
        </is>
      </c>
      <c r="B21" t="inlineStr">
        <is>
          <t>PRA LOCKNUT BRASS No 0 &amp; 1 - M20</t>
        </is>
      </c>
      <c r="C21" t="inlineStr">
        <is>
          <t>Pratley (Pty) Ltd</t>
        </is>
      </c>
      <c r="D21" t="inlineStr"/>
      <c r="E21" s="1" t="n">
        <v>4276.18</v>
      </c>
      <c r="F21" t="n">
        <v>1</v>
      </c>
      <c r="G21" t="n">
        <v>0</v>
      </c>
      <c r="H21" t="n">
        <v>2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053575</t>
        </is>
      </c>
      <c r="B22" t="inlineStr">
        <is>
          <t>AFROX PICKELING PASTE AOX 1LT</t>
        </is>
      </c>
      <c r="C22" t="inlineStr">
        <is>
          <t>INTROWELD CC</t>
        </is>
      </c>
      <c r="D22" t="inlineStr"/>
      <c r="E22" s="1" t="n">
        <v>520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1 IP 65</t>
        </is>
      </c>
      <c r="B23" t="inlineStr">
        <is>
          <t>Change IP Rating - Motor Size 90Watts 2Pole 380V to IP 65</t>
        </is>
      </c>
      <c r="C23" t="inlineStr">
        <is>
          <t>Luck and King</t>
        </is>
      </c>
      <c r="D23" t="inlineStr"/>
      <c r="E23" s="1" t="n">
        <v>1004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1.1.2Pad</t>
        </is>
      </c>
      <c r="B24" t="inlineStr">
        <is>
          <t>1.1Kw 2P 380V Pad Mount Motor</t>
        </is>
      </c>
      <c r="C24" t="inlineStr">
        <is>
          <t>ACTOM</t>
        </is>
      </c>
      <c r="D24" t="inlineStr"/>
      <c r="E24" s="1" t="n">
        <v>1768.63</v>
      </c>
      <c r="F24" t="n">
        <v>1</v>
      </c>
      <c r="G24" t="n">
        <v>0</v>
      </c>
      <c r="H24" t="n">
        <v>3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1.123PM</t>
        </is>
      </c>
      <c r="B25" t="inlineStr">
        <is>
          <t>1.1kW 2P 380V Pad Mount Motor</t>
        </is>
      </c>
      <c r="C25" t="inlineStr">
        <is>
          <t>ACTOM</t>
        </is>
      </c>
      <c r="D25" t="inlineStr">
        <is>
          <t>FM - MOTOR</t>
        </is>
      </c>
      <c r="E25" s="1" t="n">
        <v>1726.71</v>
      </c>
      <c r="F25" t="n">
        <v>1</v>
      </c>
      <c r="G25" t="n">
        <v>0</v>
      </c>
      <c r="H25" t="n">
        <v>4</v>
      </c>
      <c r="I25" t="n">
        <v>0</v>
      </c>
      <c r="J25" t="n">
        <v>8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1.141PM</t>
        </is>
      </c>
      <c r="B26" t="inlineStr">
        <is>
          <t>1.1kW 4P 220V Pad Mount Motor</t>
        </is>
      </c>
      <c r="C26" t="inlineStr">
        <is>
          <t>ASKARI ELECTRIC (PTY) LTD</t>
        </is>
      </c>
      <c r="D26" t="inlineStr"/>
      <c r="E26" s="1" t="n">
        <v>2276</v>
      </c>
      <c r="F26" t="n">
        <v>1</v>
      </c>
      <c r="G26" t="n">
        <v>0</v>
      </c>
      <c r="H26" t="n">
        <v>3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1.143FM</t>
        </is>
      </c>
      <c r="B27" t="inlineStr">
        <is>
          <t>1.1kW 4P 400V B3 QL3</t>
        </is>
      </c>
      <c r="C27" t="inlineStr">
        <is>
          <t>ACTOM</t>
        </is>
      </c>
      <c r="D27" t="inlineStr"/>
      <c r="E27" s="1" t="n">
        <v>1864</v>
      </c>
      <c r="F27" t="n">
        <v>1</v>
      </c>
      <c r="G27" t="n">
        <v>0</v>
      </c>
      <c r="H27" t="n">
        <v>2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1.143PM</t>
        </is>
      </c>
      <c r="B28" t="inlineStr">
        <is>
          <t>1.1kW 4P 380V Pad Mount Motor</t>
        </is>
      </c>
      <c r="C28" t="inlineStr">
        <is>
          <t>ACTOM</t>
        </is>
      </c>
      <c r="D28" t="inlineStr">
        <is>
          <t>FM - MOTOR</t>
        </is>
      </c>
      <c r="E28" s="1" t="n">
        <v>1751.92</v>
      </c>
      <c r="F28" t="n">
        <v>2</v>
      </c>
      <c r="G28" t="n">
        <v>0</v>
      </c>
      <c r="H28" t="n">
        <v>9</v>
      </c>
      <c r="I28" t="n">
        <v>0</v>
      </c>
      <c r="J28" t="n">
        <v>15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1.163PM</t>
        </is>
      </c>
      <c r="B29" t="inlineStr">
        <is>
          <t>1.1kW 6P 380V Pad Mount Motor</t>
        </is>
      </c>
      <c r="C29" t="inlineStr">
        <is>
          <t>WEG South Africa</t>
        </is>
      </c>
      <c r="D29" t="inlineStr"/>
      <c r="E29" s="1" t="n">
        <v>2430</v>
      </c>
      <c r="F29" t="n">
        <v>1</v>
      </c>
      <c r="G29" t="n">
        <v>0</v>
      </c>
      <c r="H29" t="n">
        <v>5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1.523PM</t>
        </is>
      </c>
      <c r="B30" t="inlineStr">
        <is>
          <t>1.5kW 2P 380V Pad Mount Motor</t>
        </is>
      </c>
      <c r="C30" t="inlineStr">
        <is>
          <t>ACTOM</t>
        </is>
      </c>
      <c r="D30" t="inlineStr">
        <is>
          <t>FM - MOTOR</t>
        </is>
      </c>
      <c r="E30" s="1" t="n">
        <v>1902.15</v>
      </c>
      <c r="F30" t="n">
        <v>1</v>
      </c>
      <c r="G30" t="n">
        <v>0</v>
      </c>
      <c r="H30" t="n">
        <v>3</v>
      </c>
      <c r="I30" t="n">
        <v>0</v>
      </c>
      <c r="J30" t="n">
        <v>5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1.543PM</t>
        </is>
      </c>
      <c r="B31" t="inlineStr">
        <is>
          <t>1.5kW 4P 380V Pad Mount Motor</t>
        </is>
      </c>
      <c r="C31" t="inlineStr">
        <is>
          <t>ACTOM</t>
        </is>
      </c>
      <c r="D31" t="inlineStr">
        <is>
          <t>FM - MOTOR</t>
        </is>
      </c>
      <c r="E31" s="1" t="n">
        <v>2747.74</v>
      </c>
      <c r="F31" t="n">
        <v>3</v>
      </c>
      <c r="G31" t="n">
        <v>0</v>
      </c>
      <c r="H31" t="n">
        <v>9</v>
      </c>
      <c r="I31" t="n">
        <v>0</v>
      </c>
      <c r="J31" t="n">
        <v>15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1.563PM</t>
        </is>
      </c>
      <c r="B32" t="inlineStr">
        <is>
          <t>1.5kW 6P 380V Pad Mount Motor</t>
        </is>
      </c>
      <c r="C32" t="inlineStr">
        <is>
          <t>ACTOM</t>
        </is>
      </c>
      <c r="D32" t="inlineStr"/>
      <c r="E32" s="1" t="n">
        <v>2681</v>
      </c>
      <c r="F32" t="n">
        <v>14</v>
      </c>
      <c r="G32" t="n">
        <v>0</v>
      </c>
      <c r="H32" t="n">
        <v>34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1.583PM</t>
        </is>
      </c>
      <c r="B33" t="inlineStr">
        <is>
          <t>1.5KW 8P 380V Pad Mount Motor</t>
        </is>
      </c>
      <c r="C33" t="inlineStr">
        <is>
          <t>Bearing Man Group</t>
        </is>
      </c>
      <c r="D33" t="inlineStr"/>
      <c r="E33" s="1" t="n">
        <v>2853.04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1.5kW VSD</t>
        </is>
      </c>
      <c r="B34" t="inlineStr">
        <is>
          <t>1.5kW Variable Speed Controller</t>
        </is>
      </c>
      <c r="C34" t="inlineStr">
        <is>
          <t>AM SYSTEMS INTEGRATIONS (PTY) LTD</t>
        </is>
      </c>
      <c r="D34" t="inlineStr">
        <is>
          <t>VSD</t>
        </is>
      </c>
      <c r="E34" s="1" t="n">
        <v>5996.25</v>
      </c>
      <c r="F34" t="n">
        <v>1</v>
      </c>
      <c r="G34" t="n">
        <v>0</v>
      </c>
      <c r="H34" t="n">
        <v>3</v>
      </c>
      <c r="I34" t="n">
        <v>0</v>
      </c>
      <c r="J34" t="n">
        <v>1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100/112 FR 27.8</t>
        </is>
      </c>
      <c r="B35" t="inlineStr">
        <is>
          <t>100/112 Motor Frame - 27.8 mm OD Spacer</t>
        </is>
      </c>
      <c r="C35" t="inlineStr">
        <is>
          <t>Hulmak Engineering cc</t>
        </is>
      </c>
      <c r="D35" t="inlineStr"/>
      <c r="E35" s="1" t="n">
        <v>30</v>
      </c>
      <c r="F35" t="n">
        <v>6</v>
      </c>
      <c r="G35" t="n">
        <v>0</v>
      </c>
      <c r="H35" t="n">
        <v>31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1000 HDG</t>
        </is>
      </c>
      <c r="B36" t="inlineStr">
        <is>
          <t>1000SC 1000mm Diam HDG Screen</t>
        </is>
      </c>
      <c r="C36" t="inlineStr">
        <is>
          <t>Heinmor Wire Products CC</t>
        </is>
      </c>
      <c r="D36" t="inlineStr"/>
      <c r="E36" s="1" t="n">
        <v>876</v>
      </c>
      <c r="F36" t="n">
        <v>1</v>
      </c>
      <c r="G36" t="n">
        <v>0</v>
      </c>
      <c r="H36" t="n">
        <v>5</v>
      </c>
      <c r="I36" t="n">
        <v>0</v>
      </c>
      <c r="J36" t="n">
        <v>0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1000 ICS</t>
        </is>
      </c>
      <c r="B37" t="inlineStr">
        <is>
          <t>Majax Inlet Cone &amp; Screen</t>
        </is>
      </c>
      <c r="C37" t="inlineStr"/>
      <c r="D37" t="inlineStr"/>
      <c r="E37" s="1" t="n">
        <v>0</v>
      </c>
      <c r="F37" t="n">
        <v>1</v>
      </c>
      <c r="G37" t="n">
        <v>0</v>
      </c>
      <c r="H37" t="n">
        <v>5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1000 SIL</t>
        </is>
      </c>
      <c r="B38" t="inlineStr">
        <is>
          <t>Inlet Silencer 1000 1.5D (1000mm Diameter to reduce noise on the dischargeside)</t>
        </is>
      </c>
      <c r="C38" t="inlineStr"/>
      <c r="D38" t="inlineStr"/>
      <c r="E38" s="1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1000 X 500 MM</t>
        </is>
      </c>
      <c r="B39" t="inlineStr">
        <is>
          <t>Sand Trap Air Louver</t>
        </is>
      </c>
      <c r="C39" t="inlineStr"/>
      <c r="D39" t="inlineStr"/>
      <c r="E39" s="1" t="n">
        <v>0</v>
      </c>
      <c r="F39" t="n">
        <v>1</v>
      </c>
      <c r="G39" t="n">
        <v>0</v>
      </c>
      <c r="H39" t="n">
        <v>5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10000000</t>
        </is>
      </c>
      <c r="B40" t="inlineStr">
        <is>
          <t>Impeller 0560mm 'B' 250A14PR19mm 080Frame</t>
        </is>
      </c>
      <c r="C40" t="inlineStr">
        <is>
          <t>Luft Industries Natal (Pty) Ltd</t>
        </is>
      </c>
      <c r="D40" t="inlineStr"/>
      <c r="E40" s="1" t="n">
        <v>1612</v>
      </c>
      <c r="F40" t="n">
        <v>1</v>
      </c>
      <c r="G40" t="n">
        <v>0</v>
      </c>
      <c r="H40" t="n">
        <v>2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1000002</t>
        </is>
      </c>
      <c r="B41" t="inlineStr">
        <is>
          <t>Monthly Retainer - March 2025</t>
        </is>
      </c>
      <c r="C41" t="inlineStr">
        <is>
          <t>KOBILAN PILLAY AND ASSOCIATES</t>
        </is>
      </c>
      <c r="D41" t="inlineStr"/>
      <c r="E41" s="1" t="n">
        <v>4000</v>
      </c>
      <c r="F41" t="n">
        <v>1</v>
      </c>
      <c r="G41" t="n">
        <v>0</v>
      </c>
      <c r="H41" t="n">
        <v>2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1000005</t>
        </is>
      </c>
      <c r="B42" t="inlineStr">
        <is>
          <t>TURBINA CMP 616 14 LG (Impeller for CMP616-2T-0.75 230/400V)</t>
        </is>
      </c>
      <c r="C42" t="inlineStr">
        <is>
          <t>SODECA</t>
        </is>
      </c>
      <c r="D42" t="inlineStr">
        <is>
          <t>FM - SODECA</t>
        </is>
      </c>
      <c r="E42" s="1" t="n">
        <v>1786.4</v>
      </c>
      <c r="F42" t="n">
        <v>3</v>
      </c>
      <c r="G42" t="n">
        <v>0</v>
      </c>
      <c r="H42" t="n">
        <v>5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1000012</t>
        </is>
      </c>
      <c r="B43" t="inlineStr">
        <is>
          <t>HCD 20 4M</t>
        </is>
      </c>
      <c r="C43" t="inlineStr">
        <is>
          <t>SODECA</t>
        </is>
      </c>
      <c r="D43" t="inlineStr">
        <is>
          <t>FM - SODECA</t>
        </is>
      </c>
      <c r="E43" s="1" t="n">
        <v>798.59</v>
      </c>
      <c r="F43" t="n">
        <v>1</v>
      </c>
      <c r="G43" t="n">
        <v>0</v>
      </c>
      <c r="H43" t="n">
        <v>3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1000013</t>
        </is>
      </c>
      <c r="B44" t="inlineStr">
        <is>
          <t>HCD 25 4M</t>
        </is>
      </c>
      <c r="C44" t="inlineStr">
        <is>
          <t>SODECA</t>
        </is>
      </c>
      <c r="D44" t="inlineStr">
        <is>
          <t>FM - SODECA</t>
        </is>
      </c>
      <c r="E44" s="1" t="n">
        <v>299.66</v>
      </c>
      <c r="F44" t="n">
        <v>3</v>
      </c>
      <c r="G44" t="n">
        <v>0</v>
      </c>
      <c r="H44" t="n">
        <v>5</v>
      </c>
      <c r="I44" t="n">
        <v>0</v>
      </c>
      <c r="J44" t="n">
        <v>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1000013.</t>
        </is>
      </c>
      <c r="B45" t="inlineStr">
        <is>
          <t>HCD-30-4M 230V. 50/60Hz</t>
        </is>
      </c>
      <c r="C45" t="inlineStr">
        <is>
          <t>SODECA</t>
        </is>
      </c>
      <c r="D45" t="inlineStr"/>
      <c r="E45" s="1" t="n">
        <v>1635.63</v>
      </c>
      <c r="F45" t="n">
        <v>17</v>
      </c>
      <c r="G45" t="n">
        <v>0</v>
      </c>
      <c r="H45" t="n">
        <v>33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1000015</t>
        </is>
      </c>
      <c r="B46" t="inlineStr">
        <is>
          <t>HCD 30 4M</t>
        </is>
      </c>
      <c r="C46" t="inlineStr">
        <is>
          <t>SODECA</t>
        </is>
      </c>
      <c r="D46" t="inlineStr">
        <is>
          <t>FM - SODECA</t>
        </is>
      </c>
      <c r="E46" s="1" t="n">
        <v>2222.02</v>
      </c>
      <c r="F46" t="n">
        <v>2</v>
      </c>
      <c r="G46" t="n">
        <v>0</v>
      </c>
      <c r="H46" t="n">
        <v>4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1000016</t>
        </is>
      </c>
      <c r="B47" t="inlineStr">
        <is>
          <t>HCD 35 4M</t>
        </is>
      </c>
      <c r="C47" t="inlineStr">
        <is>
          <t>Luck and King</t>
        </is>
      </c>
      <c r="D47" t="inlineStr">
        <is>
          <t>FM - SODECA</t>
        </is>
      </c>
      <c r="E47" s="1" t="n">
        <v>0</v>
      </c>
      <c r="F47" t="n">
        <v>2</v>
      </c>
      <c r="G47" t="n">
        <v>0</v>
      </c>
      <c r="H47" t="n">
        <v>4</v>
      </c>
      <c r="I47" t="n">
        <v>0</v>
      </c>
      <c r="J47" t="n">
        <v>0</v>
      </c>
      <c r="K47">
        <f>IF(H47-I47-J47&gt;0,H47-I47-J47,0)</f>
        <v/>
      </c>
      <c r="L47" s="1">
        <f>IFERROR(I47*E47,0)</f>
        <v/>
      </c>
      <c r="M47" s="1">
        <f>IFERROR(K47*E47,0)</f>
        <v/>
      </c>
    </row>
    <row r="48">
      <c r="A48" t="inlineStr">
        <is>
          <t>1000040</t>
        </is>
      </c>
      <c r="B48" t="inlineStr">
        <is>
          <t>HCT-25-2T/PL</t>
        </is>
      </c>
      <c r="C48" t="inlineStr"/>
      <c r="D48" t="inlineStr">
        <is>
          <t>FM - SODECA</t>
        </is>
      </c>
      <c r="E48" s="1" t="n">
        <v>0</v>
      </c>
      <c r="F48" t="n">
        <v>1</v>
      </c>
      <c r="G48" t="n">
        <v>0</v>
      </c>
      <c r="H48" t="n">
        <v>2</v>
      </c>
      <c r="I48" t="n">
        <v>0</v>
      </c>
      <c r="J48" t="n">
        <v>0</v>
      </c>
      <c r="K48">
        <f>IF(H48-I48-J48&gt;0,H48-I48-J48,0)</f>
        <v/>
      </c>
      <c r="L48" s="1">
        <f>IFERROR(I48*E48,0)</f>
        <v/>
      </c>
      <c r="M48" s="1">
        <f>IFERROR(K48*E48,0)</f>
        <v/>
      </c>
    </row>
    <row r="49">
      <c r="A49" t="inlineStr">
        <is>
          <t>1000046</t>
        </is>
      </c>
      <c r="B49" t="inlineStr">
        <is>
          <t>HCT-31-2M/PL</t>
        </is>
      </c>
      <c r="C49" t="inlineStr"/>
      <c r="D49" t="inlineStr">
        <is>
          <t>FM - SODECA</t>
        </is>
      </c>
      <c r="E49" s="1" t="n">
        <v>0</v>
      </c>
      <c r="F49" t="n">
        <v>1</v>
      </c>
      <c r="G49" t="n">
        <v>0</v>
      </c>
      <c r="H49" t="n">
        <v>2</v>
      </c>
      <c r="I49" t="n">
        <v>0</v>
      </c>
      <c r="J49" t="n">
        <v>0</v>
      </c>
      <c r="K49">
        <f>IF(H49-I49-J49&gt;0,H49-I49-J49,0)</f>
        <v/>
      </c>
      <c r="L49" s="1">
        <f>IFERROR(I49*E49,0)</f>
        <v/>
      </c>
      <c r="M49" s="1">
        <f>IFERROR(K49*E49,0)</f>
        <v/>
      </c>
    </row>
    <row r="50">
      <c r="A50" t="inlineStr">
        <is>
          <t>1000047</t>
        </is>
      </c>
      <c r="B50" t="inlineStr">
        <is>
          <t>HCT-31-2T/PL</t>
        </is>
      </c>
      <c r="C50" t="inlineStr"/>
      <c r="D50" t="inlineStr">
        <is>
          <t>FM - SODECA</t>
        </is>
      </c>
      <c r="E50" s="1" t="n">
        <v>0</v>
      </c>
      <c r="F50" t="n">
        <v>1</v>
      </c>
      <c r="G50" t="n">
        <v>0</v>
      </c>
      <c r="H50" t="n">
        <v>2</v>
      </c>
      <c r="I50" t="n">
        <v>0</v>
      </c>
      <c r="J50" t="n">
        <v>0</v>
      </c>
      <c r="K50">
        <f>IF(H50-I50-J50&gt;0,H50-I50-J50,0)</f>
        <v/>
      </c>
      <c r="L50" s="1">
        <f>IFERROR(I50*E50,0)</f>
        <v/>
      </c>
      <c r="M50" s="1">
        <f>IFERROR(K50*E50,0)</f>
        <v/>
      </c>
    </row>
    <row r="51">
      <c r="A51" t="inlineStr">
        <is>
          <t>1000049</t>
        </is>
      </c>
      <c r="B51" t="inlineStr">
        <is>
          <t>HCT-31-4M/PL</t>
        </is>
      </c>
      <c r="C51" t="inlineStr"/>
      <c r="D51" t="inlineStr">
        <is>
          <t>FM - SODECA</t>
        </is>
      </c>
      <c r="E51" s="1" t="n">
        <v>0</v>
      </c>
      <c r="F51" t="n">
        <v>1</v>
      </c>
      <c r="G51" t="n">
        <v>0</v>
      </c>
      <c r="H51" t="n">
        <v>2</v>
      </c>
      <c r="I51" t="n">
        <v>0</v>
      </c>
      <c r="J51" t="n">
        <v>0</v>
      </c>
      <c r="K51">
        <f>IF(H51-I51-J51&gt;0,H51-I51-J51,0)</f>
        <v/>
      </c>
      <c r="L51" s="1">
        <f>IFERROR(I51*E51,0)</f>
        <v/>
      </c>
      <c r="M51" s="1">
        <f>IFERROR(K51*E51,0)</f>
        <v/>
      </c>
    </row>
    <row r="52">
      <c r="A52" t="inlineStr">
        <is>
          <t>1000052</t>
        </is>
      </c>
      <c r="B52" t="inlineStr">
        <is>
          <t>HCT-35-2T/PL</t>
        </is>
      </c>
      <c r="C52" t="inlineStr"/>
      <c r="D52" t="inlineStr">
        <is>
          <t>FM - SODECA</t>
        </is>
      </c>
      <c r="E52" s="1" t="n">
        <v>0</v>
      </c>
      <c r="F52" t="n">
        <v>1</v>
      </c>
      <c r="G52" t="n">
        <v>0</v>
      </c>
      <c r="H52" t="n">
        <v>2</v>
      </c>
      <c r="I52" t="n">
        <v>0</v>
      </c>
      <c r="J52" t="n">
        <v>0</v>
      </c>
      <c r="K52">
        <f>IF(H52-I52-J52&gt;0,H52-I52-J52,0)</f>
        <v/>
      </c>
      <c r="L52" s="1">
        <f>IFERROR(I52*E52,0)</f>
        <v/>
      </c>
      <c r="M52" s="1">
        <f>IFERROR(K52*E52,0)</f>
        <v/>
      </c>
    </row>
    <row r="53">
      <c r="A53" t="inlineStr">
        <is>
          <t>100081</t>
        </is>
      </c>
      <c r="B53" t="inlineStr">
        <is>
          <t>OPTECH OUTER LENS 110 X 90</t>
        </is>
      </c>
      <c r="C53" t="inlineStr">
        <is>
          <t>INTROWELD CC</t>
        </is>
      </c>
      <c r="D53" t="inlineStr"/>
      <c r="E53" s="1" t="n">
        <v>0</v>
      </c>
      <c r="F53" t="n">
        <v>2</v>
      </c>
      <c r="G53" t="n">
        <v>0</v>
      </c>
      <c r="H53" t="n">
        <v>12</v>
      </c>
      <c r="I53" t="n">
        <v>0</v>
      </c>
      <c r="J53" t="n">
        <v>0</v>
      </c>
      <c r="K53">
        <f>IF(H53-I53-J53&gt;0,H53-I53-J53,0)</f>
        <v/>
      </c>
      <c r="L53" s="1">
        <f>IFERROR(I53*E53,0)</f>
        <v/>
      </c>
      <c r="M53" s="1">
        <f>IFERROR(K53*E53,0)</f>
        <v/>
      </c>
    </row>
    <row r="54">
      <c r="A54" t="inlineStr">
        <is>
          <t>100083</t>
        </is>
      </c>
      <c r="B54" t="inlineStr">
        <is>
          <t>OPTECH INNER LENS 108 X 51</t>
        </is>
      </c>
      <c r="C54" t="inlineStr">
        <is>
          <t>INTROWELD CC</t>
        </is>
      </c>
      <c r="D54" t="inlineStr"/>
      <c r="E54" s="1" t="n">
        <v>0</v>
      </c>
      <c r="F54" t="n">
        <v>2</v>
      </c>
      <c r="G54" t="n">
        <v>0</v>
      </c>
      <c r="H54" t="n">
        <v>12</v>
      </c>
      <c r="I54" t="n">
        <v>0</v>
      </c>
      <c r="J54" t="n">
        <v>0</v>
      </c>
      <c r="K54">
        <f>IF(H54-I54-J54&gt;0,H54-I54-J54,0)</f>
        <v/>
      </c>
      <c r="L54" s="1">
        <f>IFERROR(I54*E54,0)</f>
        <v/>
      </c>
      <c r="M54" s="1">
        <f>IFERROR(K54*E54,0)</f>
        <v/>
      </c>
    </row>
    <row r="55">
      <c r="A55" t="inlineStr">
        <is>
          <t>100087</t>
        </is>
      </c>
      <c r="B55" t="inlineStr">
        <is>
          <t>SOLAR HELMET ADJUSTABLE (84-210300-11</t>
        </is>
      </c>
      <c r="C55" t="inlineStr">
        <is>
          <t>INTROWELD CC</t>
        </is>
      </c>
      <c r="D55" t="inlineStr"/>
      <c r="E55" s="1" t="n">
        <v>0</v>
      </c>
      <c r="F55" t="n">
        <v>1</v>
      </c>
      <c r="G55" t="n">
        <v>0</v>
      </c>
      <c r="H55" t="n">
        <v>2</v>
      </c>
      <c r="I55" t="n">
        <v>0</v>
      </c>
      <c r="J55" t="n">
        <v>0</v>
      </c>
      <c r="K55">
        <f>IF(H55-I55-J55&gt;0,H55-I55-J55,0)</f>
        <v/>
      </c>
      <c r="L55" s="1">
        <f>IFERROR(I55*E55,0)</f>
        <v/>
      </c>
      <c r="M55" s="1">
        <f>IFERROR(K55*E55,0)</f>
        <v/>
      </c>
    </row>
    <row r="56">
      <c r="A56" t="inlineStr">
        <is>
          <t>1000CF</t>
        </is>
      </c>
      <c r="B56" t="inlineStr">
        <is>
          <t>1000 Diam Counter Flange</t>
        </is>
      </c>
      <c r="C56" t="inlineStr">
        <is>
          <t>Attenu-Tec HVAC Parts</t>
        </is>
      </c>
      <c r="D56" t="inlineStr">
        <is>
          <t>FM - C/FLANGE</t>
        </is>
      </c>
      <c r="E56" s="1" t="n">
        <v>503.22</v>
      </c>
      <c r="F56" t="n">
        <v>1</v>
      </c>
      <c r="G56" t="n">
        <v>0</v>
      </c>
      <c r="H56" t="n">
        <v>4</v>
      </c>
      <c r="I56" t="n">
        <v>0</v>
      </c>
      <c r="J56" t="n">
        <v>0</v>
      </c>
      <c r="K56">
        <f>IF(H56-I56-J56&gt;0,H56-I56-J56,0)</f>
        <v/>
      </c>
      <c r="L56" s="1">
        <f>IFERROR(I56*E56,0)</f>
        <v/>
      </c>
      <c r="M56" s="1">
        <f>IFERROR(K56*E56,0)</f>
        <v/>
      </c>
    </row>
    <row r="57">
      <c r="A57" t="inlineStr">
        <is>
          <t>1000CFUG</t>
        </is>
      </c>
      <c r="B57" t="inlineStr">
        <is>
          <t>1000 Diam Counter Flange Ungalvanised</t>
        </is>
      </c>
      <c r="C57" t="inlineStr">
        <is>
          <t>ULTIMATENG (PTY) LTD</t>
        </is>
      </c>
      <c r="D57" t="inlineStr">
        <is>
          <t>FM - C/FLANGE</t>
        </is>
      </c>
      <c r="E57" s="1" t="n">
        <v>0</v>
      </c>
      <c r="F57" t="n">
        <v>3</v>
      </c>
      <c r="G57" t="n">
        <v>0</v>
      </c>
      <c r="H57" t="n">
        <v>15</v>
      </c>
      <c r="I57" t="n">
        <v>0</v>
      </c>
      <c r="J57" t="n">
        <v>0</v>
      </c>
      <c r="K57">
        <f>IF(H57-I57-J57&gt;0,H57-I57-J57,0)</f>
        <v/>
      </c>
      <c r="L57" s="1">
        <f>IFERROR(I57*E57,0)</f>
        <v/>
      </c>
      <c r="M57" s="1">
        <f>IFERROR(K57*E57,0)</f>
        <v/>
      </c>
    </row>
    <row r="58">
      <c r="A58" t="inlineStr">
        <is>
          <t>1000IC</t>
        </is>
      </c>
      <c r="B58" t="inlineStr">
        <is>
          <t>Majax Inlet Cone</t>
        </is>
      </c>
      <c r="C58" t="inlineStr">
        <is>
          <t>Attenu-Tec HVAC Parts</t>
        </is>
      </c>
      <c r="D58" t="inlineStr"/>
      <c r="E58" s="1" t="n">
        <v>1478</v>
      </c>
      <c r="F58" t="n">
        <v>6</v>
      </c>
      <c r="G58" t="n">
        <v>0</v>
      </c>
      <c r="H58" t="n">
        <v>30</v>
      </c>
      <c r="I58" t="n">
        <v>0</v>
      </c>
      <c r="J58" t="n">
        <v>0</v>
      </c>
      <c r="K58">
        <f>IF(H58-I58-J58&gt;0,H58-I58-J58,0)</f>
        <v/>
      </c>
      <c r="L58" s="1">
        <f>IFERROR(I58*E58,0)</f>
        <v/>
      </c>
      <c r="M58" s="1">
        <f>IFERROR(K58*E58,0)</f>
        <v/>
      </c>
    </row>
    <row r="59">
      <c r="A59" t="inlineStr">
        <is>
          <t>1000MBP09</t>
        </is>
      </c>
      <c r="B59" t="inlineStr">
        <is>
          <t>1-0350-240 P09 - 1000 Motor Bracket</t>
        </is>
      </c>
      <c r="C59" t="inlineStr">
        <is>
          <t>Kart Shop TA Ultimate Laser Cutting</t>
        </is>
      </c>
      <c r="D59" t="inlineStr"/>
      <c r="E59" s="1" t="n">
        <v>72.61</v>
      </c>
      <c r="F59" t="n">
        <v>1</v>
      </c>
      <c r="G59" t="n">
        <v>0</v>
      </c>
      <c r="H59" t="n">
        <v>4</v>
      </c>
      <c r="I59" t="n">
        <v>0</v>
      </c>
      <c r="J59" t="n">
        <v>0</v>
      </c>
      <c r="K59">
        <f>IF(H59-I59-J59&gt;0,H59-I59-J59,0)</f>
        <v/>
      </c>
      <c r="L59" s="1">
        <f>IFERROR(I59*E59,0)</f>
        <v/>
      </c>
      <c r="M59" s="1">
        <f>IFERROR(K59*E59,0)</f>
        <v/>
      </c>
    </row>
    <row r="60">
      <c r="A60" t="inlineStr">
        <is>
          <t>1000MF</t>
        </is>
      </c>
      <c r="B60" t="inlineStr">
        <is>
          <t>1000 Diam Mounting Feet</t>
        </is>
      </c>
      <c r="C60" t="inlineStr">
        <is>
          <t>Air Speration</t>
        </is>
      </c>
      <c r="D60" t="inlineStr">
        <is>
          <t>FM - M/FEET</t>
        </is>
      </c>
      <c r="E60" s="1" t="n">
        <v>470.13</v>
      </c>
      <c r="F60" t="n">
        <v>1</v>
      </c>
      <c r="G60" t="n">
        <v>0</v>
      </c>
      <c r="H60" t="n">
        <v>5</v>
      </c>
      <c r="I60" t="n">
        <v>0</v>
      </c>
      <c r="J60" t="n">
        <v>0</v>
      </c>
      <c r="K60">
        <f>IF(H60-I60-J60&gt;0,H60-I60-J60,0)</f>
        <v/>
      </c>
      <c r="L60" s="1">
        <f>IFERROR(I60*E60,0)</f>
        <v/>
      </c>
      <c r="M60" s="1">
        <f>IFERROR(K60*E60,0)</f>
        <v/>
      </c>
    </row>
    <row r="61">
      <c r="A61" t="inlineStr">
        <is>
          <t>1000MFUG</t>
        </is>
      </c>
      <c r="B61" t="inlineStr">
        <is>
          <t>1000 Diam Mounting Feet Ungalvanized</t>
        </is>
      </c>
      <c r="C61" t="inlineStr">
        <is>
          <t>ULTIMATENG (PTY) LTD</t>
        </is>
      </c>
      <c r="D61" t="inlineStr">
        <is>
          <t>FM - M/FEET</t>
        </is>
      </c>
      <c r="E61" s="1" t="n">
        <v>0</v>
      </c>
      <c r="F61" t="n">
        <v>12</v>
      </c>
      <c r="G61" t="n">
        <v>0</v>
      </c>
      <c r="H61" t="n">
        <v>60</v>
      </c>
      <c r="I61" t="n">
        <v>0</v>
      </c>
      <c r="J61" t="n">
        <v>0</v>
      </c>
      <c r="K61">
        <f>IF(H61-I61-J61&gt;0,H61-I61-J61,0)</f>
        <v/>
      </c>
      <c r="L61" s="1">
        <f>IFERROR(I61*E61,0)</f>
        <v/>
      </c>
      <c r="M61" s="1">
        <f>IFERROR(K61*E61,0)</f>
        <v/>
      </c>
    </row>
    <row r="62">
      <c r="A62" t="inlineStr">
        <is>
          <t>1000S1.5DP</t>
        </is>
      </c>
      <c r="B62" t="inlineStr">
        <is>
          <t>1000 Diam Silencer 1.5D Podded</t>
        </is>
      </c>
      <c r="C62" t="inlineStr">
        <is>
          <t>Attenu-Tec</t>
        </is>
      </c>
      <c r="D62" t="inlineStr">
        <is>
          <t>FM - DONKIN</t>
        </is>
      </c>
      <c r="E62" s="1" t="n">
        <v>6255</v>
      </c>
      <c r="F62" t="n">
        <v>1</v>
      </c>
      <c r="G62" t="n">
        <v>0</v>
      </c>
      <c r="H62" t="n">
        <v>3</v>
      </c>
      <c r="I62" t="n">
        <v>0</v>
      </c>
      <c r="J62" t="n">
        <v>0</v>
      </c>
      <c r="K62">
        <f>IF(H62-I62-J62&gt;0,H62-I62-J62,0)</f>
        <v/>
      </c>
      <c r="L62" s="1">
        <f>IFERROR(I62*E62,0)</f>
        <v/>
      </c>
      <c r="M62" s="1">
        <f>IFERROR(K62*E62,0)</f>
        <v/>
      </c>
    </row>
    <row r="63">
      <c r="A63" t="inlineStr">
        <is>
          <t>1000S2.0DP</t>
        </is>
      </c>
      <c r="B63" t="inlineStr">
        <is>
          <t>1000 Diam Silencer 2.0D Podded</t>
        </is>
      </c>
      <c r="C63" t="inlineStr">
        <is>
          <t>Attenu-Tec</t>
        </is>
      </c>
      <c r="D63" t="inlineStr">
        <is>
          <t>FM - DONKIN</t>
        </is>
      </c>
      <c r="E63" s="1" t="n">
        <v>7900</v>
      </c>
      <c r="F63" t="n">
        <v>8</v>
      </c>
      <c r="G63" t="n">
        <v>0</v>
      </c>
      <c r="H63" t="n">
        <v>16</v>
      </c>
      <c r="I63" t="n">
        <v>0</v>
      </c>
      <c r="J63" t="n">
        <v>0</v>
      </c>
      <c r="K63">
        <f>IF(H63-I63-J63&gt;0,H63-I63-J63,0)</f>
        <v/>
      </c>
      <c r="L63" s="1">
        <f>IFERROR(I63*E63,0)</f>
        <v/>
      </c>
      <c r="M63" s="1">
        <f>IFERROR(K63*E63,0)</f>
        <v/>
      </c>
    </row>
    <row r="64">
      <c r="A64" t="inlineStr">
        <is>
          <t>1000SM1.0D</t>
        </is>
      </c>
      <c r="B64" t="inlineStr">
        <is>
          <t>1000 Diam Melinex Silencer 1.0D</t>
        </is>
      </c>
      <c r="C64" t="inlineStr">
        <is>
          <t>Attenu-Tec</t>
        </is>
      </c>
      <c r="D64" t="inlineStr">
        <is>
          <t>FM - DONKIN</t>
        </is>
      </c>
      <c r="E64" s="1" t="n">
        <v>4463</v>
      </c>
      <c r="F64" t="n">
        <v>2</v>
      </c>
      <c r="G64" t="n">
        <v>0</v>
      </c>
      <c r="H64" t="n">
        <v>10</v>
      </c>
      <c r="I64" t="n">
        <v>0</v>
      </c>
      <c r="J64" t="n">
        <v>0</v>
      </c>
      <c r="K64">
        <f>IF(H64-I64-J64&gt;0,H64-I64-J64,0)</f>
        <v/>
      </c>
      <c r="L64" s="1">
        <f>IFERROR(I64*E64,0)</f>
        <v/>
      </c>
      <c r="M64" s="1">
        <f>IFERROR(K64*E64,0)</f>
        <v/>
      </c>
    </row>
    <row r="65">
      <c r="A65" t="inlineStr">
        <is>
          <t>1000SM1.0DP</t>
        </is>
      </c>
      <c r="B65" t="inlineStr">
        <is>
          <t>1000 Diam Melinex Silencer 1.0D Podded</t>
        </is>
      </c>
      <c r="C65" t="inlineStr"/>
      <c r="D65" t="inlineStr">
        <is>
          <t>FM - DONKIN</t>
        </is>
      </c>
      <c r="E65" s="1" t="n">
        <v>0</v>
      </c>
      <c r="F65" t="n">
        <v>2</v>
      </c>
      <c r="G65" t="n">
        <v>0</v>
      </c>
      <c r="H65" t="n">
        <v>10</v>
      </c>
      <c r="I65" t="n">
        <v>0</v>
      </c>
      <c r="J65" t="n">
        <v>0</v>
      </c>
      <c r="K65">
        <f>IF(H65-I65-J65&gt;0,H65-I65-J65,0)</f>
        <v/>
      </c>
      <c r="L65" s="1">
        <f>IFERROR(I65*E65,0)</f>
        <v/>
      </c>
      <c r="M65" s="1">
        <f>IFERROR(K65*E65,0)</f>
        <v/>
      </c>
    </row>
    <row r="66">
      <c r="A66" t="inlineStr">
        <is>
          <t>1000SM1.5DP</t>
        </is>
      </c>
      <c r="B66" t="inlineStr">
        <is>
          <t>1000 Diam Melinex Silencer 1.5D Podded</t>
        </is>
      </c>
      <c r="C66" t="inlineStr">
        <is>
          <t>Attenu-Tec</t>
        </is>
      </c>
      <c r="D66" t="inlineStr">
        <is>
          <t>FM - DONKIN</t>
        </is>
      </c>
      <c r="E66" s="1" t="n">
        <v>5620</v>
      </c>
      <c r="F66" t="n">
        <v>1</v>
      </c>
      <c r="G66" t="n">
        <v>0</v>
      </c>
      <c r="H66" t="n">
        <v>5</v>
      </c>
      <c r="I66" t="n">
        <v>0</v>
      </c>
      <c r="J66" t="n">
        <v>0</v>
      </c>
      <c r="K66">
        <f>IF(H66-I66-J66&gt;0,H66-I66-J66,0)</f>
        <v/>
      </c>
      <c r="L66" s="1">
        <f>IFERROR(I66*E66,0)</f>
        <v/>
      </c>
      <c r="M66" s="1">
        <f>IFERROR(K66*E66,0)</f>
        <v/>
      </c>
    </row>
    <row r="67">
      <c r="A67" t="inlineStr">
        <is>
          <t>1002948</t>
        </is>
      </c>
      <c r="B67" t="inlineStr">
        <is>
          <t>HCT-40-4T-0.33/PL</t>
        </is>
      </c>
      <c r="C67" t="inlineStr">
        <is>
          <t>SODECA</t>
        </is>
      </c>
      <c r="D67" t="inlineStr">
        <is>
          <t>FM - SODECA</t>
        </is>
      </c>
      <c r="E67" s="1" t="n">
        <v>10445.1</v>
      </c>
      <c r="F67" t="n">
        <v>2</v>
      </c>
      <c r="G67" t="n">
        <v>0</v>
      </c>
      <c r="H67" t="n">
        <v>4</v>
      </c>
      <c r="I67" t="n">
        <v>0</v>
      </c>
      <c r="J67" t="n">
        <v>0</v>
      </c>
      <c r="K67">
        <f>IF(H67-I67-J67&gt;0,H67-I67-J67,0)</f>
        <v/>
      </c>
      <c r="L67" s="1">
        <f>IFERROR(I67*E67,0)</f>
        <v/>
      </c>
      <c r="M67" s="1">
        <f>IFERROR(K67*E67,0)</f>
        <v/>
      </c>
    </row>
    <row r="68">
      <c r="A68" t="inlineStr">
        <is>
          <t>1005878</t>
        </is>
      </c>
      <c r="B68" t="inlineStr">
        <is>
          <t>HTM-56-4M</t>
        </is>
      </c>
      <c r="C68" t="inlineStr"/>
      <c r="D68" t="inlineStr">
        <is>
          <t>FM - SODECA</t>
        </is>
      </c>
      <c r="E68" s="1" t="n">
        <v>0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>
        <f>IF(H68-I68-J68&gt;0,H68-I68-J68,0)</f>
        <v/>
      </c>
      <c r="L68" s="1">
        <f>IFERROR(I68*E68,0)</f>
        <v/>
      </c>
      <c r="M68" s="1">
        <f>IFERROR(K68*E68,0)</f>
        <v/>
      </c>
    </row>
    <row r="69">
      <c r="A69" t="inlineStr">
        <is>
          <t>1005879</t>
        </is>
      </c>
      <c r="B69" t="inlineStr">
        <is>
          <t>HTM-56-4T</t>
        </is>
      </c>
      <c r="C69" t="inlineStr"/>
      <c r="D69" t="inlineStr">
        <is>
          <t>FM - SODECA</t>
        </is>
      </c>
      <c r="E69" s="1" t="n">
        <v>0</v>
      </c>
      <c r="F69" t="n">
        <v>1</v>
      </c>
      <c r="G69" t="n">
        <v>0</v>
      </c>
      <c r="H69" t="n">
        <v>2</v>
      </c>
      <c r="I69" t="n">
        <v>0</v>
      </c>
      <c r="J69" t="n">
        <v>0</v>
      </c>
      <c r="K69">
        <f>IF(H69-I69-J69&gt;0,H69-I69-J69,0)</f>
        <v/>
      </c>
      <c r="L69" s="1">
        <f>IFERROR(I69*E69,0)</f>
        <v/>
      </c>
      <c r="M69" s="1">
        <f>IFERROR(K69*E69,0)</f>
        <v/>
      </c>
    </row>
    <row r="70">
      <c r="A70" t="inlineStr">
        <is>
          <t>1006313</t>
        </is>
      </c>
      <c r="B70" t="inlineStr">
        <is>
          <t>HCDF-31-4T / ATEX / EXII2G Ex d</t>
        </is>
      </c>
      <c r="C70" t="inlineStr">
        <is>
          <t>SODECA</t>
        </is>
      </c>
      <c r="D70" t="inlineStr">
        <is>
          <t>FM - SODECA</t>
        </is>
      </c>
      <c r="E70" s="1" t="n">
        <v>10228.92</v>
      </c>
      <c r="F70" t="n">
        <v>2</v>
      </c>
      <c r="G70" t="n">
        <v>0</v>
      </c>
      <c r="H70" t="n">
        <v>4</v>
      </c>
      <c r="I70" t="n">
        <v>0</v>
      </c>
      <c r="J70" t="n">
        <v>0</v>
      </c>
      <c r="K70">
        <f>IF(H70-I70-J70&gt;0,H70-I70-J70,0)</f>
        <v/>
      </c>
      <c r="L70" s="1">
        <f>IFERROR(I70*E70,0)</f>
        <v/>
      </c>
      <c r="M70" s="1">
        <f>IFERROR(K70*E70,0)</f>
        <v/>
      </c>
    </row>
    <row r="71">
      <c r="A71" t="inlineStr">
        <is>
          <t>1006315</t>
        </is>
      </c>
      <c r="B71" t="inlineStr">
        <is>
          <t>HCDF 35 - 4T - Flameproof</t>
        </is>
      </c>
      <c r="C71" t="inlineStr"/>
      <c r="D71" t="inlineStr">
        <is>
          <t>FM - SODECA</t>
        </is>
      </c>
      <c r="E71" s="1" t="n">
        <v>0</v>
      </c>
      <c r="F71" t="n">
        <v>1</v>
      </c>
      <c r="G71" t="n">
        <v>0</v>
      </c>
      <c r="H71" t="n">
        <v>2</v>
      </c>
      <c r="I71" t="n">
        <v>0</v>
      </c>
      <c r="J71" t="n">
        <v>0</v>
      </c>
      <c r="K71">
        <f>IF(H71-I71-J71&gt;0,H71-I71-J71,0)</f>
        <v/>
      </c>
      <c r="L71" s="1">
        <f>IFERROR(I71*E71,0)</f>
        <v/>
      </c>
      <c r="M71" s="1">
        <f>IFERROR(K71*E71,0)</f>
        <v/>
      </c>
    </row>
    <row r="72">
      <c r="A72" t="inlineStr">
        <is>
          <t>1006321</t>
        </is>
      </c>
      <c r="B72" t="inlineStr">
        <is>
          <t>HCDF 50 - 4T - Flameproof</t>
        </is>
      </c>
      <c r="C72" t="inlineStr"/>
      <c r="D72" t="inlineStr">
        <is>
          <t>FM - SODECA</t>
        </is>
      </c>
      <c r="E72" s="1" t="n">
        <v>0</v>
      </c>
      <c r="F72" t="n">
        <v>1</v>
      </c>
      <c r="G72" t="n">
        <v>0</v>
      </c>
      <c r="H72" t="n">
        <v>2</v>
      </c>
      <c r="I72" t="n">
        <v>0</v>
      </c>
      <c r="J72" t="n">
        <v>0</v>
      </c>
      <c r="K72">
        <f>IF(H72-I72-J72&gt;0,H72-I72-J72,0)</f>
        <v/>
      </c>
      <c r="L72" s="1">
        <f>IFERROR(I72*E72,0)</f>
        <v/>
      </c>
      <c r="M72" s="1">
        <f>IFERROR(K72*E72,0)</f>
        <v/>
      </c>
    </row>
    <row r="73">
      <c r="A73" t="inlineStr">
        <is>
          <t>1006663</t>
        </is>
      </c>
      <c r="B73" t="inlineStr">
        <is>
          <t>B-150</t>
        </is>
      </c>
      <c r="C73" t="inlineStr">
        <is>
          <t>SODECA</t>
        </is>
      </c>
      <c r="D73" t="inlineStr"/>
      <c r="E73" s="1" t="n">
        <v>553.55</v>
      </c>
      <c r="F73" t="n">
        <v>22</v>
      </c>
      <c r="G73" t="n">
        <v>0</v>
      </c>
      <c r="H73" t="n">
        <v>38</v>
      </c>
      <c r="I73" t="n">
        <v>0</v>
      </c>
      <c r="J73" t="n">
        <v>0</v>
      </c>
      <c r="K73">
        <f>IF(H73-I73-J73&gt;0,H73-I73-J73,0)</f>
        <v/>
      </c>
      <c r="L73" s="1">
        <f>IFERROR(I73*E73,0)</f>
        <v/>
      </c>
      <c r="M73" s="1">
        <f>IFERROR(K73*E73,0)</f>
        <v/>
      </c>
    </row>
    <row r="74">
      <c r="A74" t="inlineStr">
        <is>
          <t>1006974</t>
        </is>
      </c>
      <c r="B74" t="inlineStr">
        <is>
          <t>RPA-20</t>
        </is>
      </c>
      <c r="C74" t="inlineStr">
        <is>
          <t>SODECA</t>
        </is>
      </c>
      <c r="D74" t="inlineStr"/>
      <c r="E74" s="1" t="n">
        <v>281.92</v>
      </c>
      <c r="F74" t="n">
        <v>11</v>
      </c>
      <c r="G74" t="n">
        <v>0</v>
      </c>
      <c r="H74" t="n">
        <v>19</v>
      </c>
      <c r="I74" t="n">
        <v>0</v>
      </c>
      <c r="J74" t="n">
        <v>0</v>
      </c>
      <c r="K74">
        <f>IF(H74-I74-J74&gt;0,H74-I74-J74,0)</f>
        <v/>
      </c>
      <c r="L74" s="1">
        <f>IFERROR(I74*E74,0)</f>
        <v/>
      </c>
      <c r="M74" s="1">
        <f>IFERROR(K74*E74,0)</f>
        <v/>
      </c>
    </row>
    <row r="75">
      <c r="A75" t="inlineStr">
        <is>
          <t>1007140</t>
        </is>
      </c>
      <c r="B75" t="inlineStr">
        <is>
          <t>ACE-150</t>
        </is>
      </c>
      <c r="C75" t="inlineStr">
        <is>
          <t>SODECA</t>
        </is>
      </c>
      <c r="D75" t="inlineStr"/>
      <c r="E75" s="1" t="n">
        <v>754.8099999999999</v>
      </c>
      <c r="F75" t="n">
        <v>11</v>
      </c>
      <c r="G75" t="n">
        <v>0</v>
      </c>
      <c r="H75" t="n">
        <v>19</v>
      </c>
      <c r="I75" t="n">
        <v>0</v>
      </c>
      <c r="J75" t="n">
        <v>0</v>
      </c>
      <c r="K75">
        <f>IF(H75-I75-J75&gt;0,H75-I75-J75,0)</f>
        <v/>
      </c>
      <c r="L75" s="1">
        <f>IFERROR(I75*E75,0)</f>
        <v/>
      </c>
      <c r="M75" s="1">
        <f>IFERROR(K75*E75,0)</f>
        <v/>
      </c>
    </row>
    <row r="76">
      <c r="A76" t="inlineStr">
        <is>
          <t>1007944</t>
        </is>
      </c>
      <c r="B76" t="inlineStr">
        <is>
          <t>CPV 1020 4T</t>
        </is>
      </c>
      <c r="C76" t="inlineStr">
        <is>
          <t>SODECA</t>
        </is>
      </c>
      <c r="D76" t="inlineStr">
        <is>
          <t>FM - SODECA</t>
        </is>
      </c>
      <c r="E76" s="1" t="n">
        <v>7297.22</v>
      </c>
      <c r="F76" t="n">
        <v>2</v>
      </c>
      <c r="G76" t="n">
        <v>0</v>
      </c>
      <c r="H76" t="n">
        <v>4</v>
      </c>
      <c r="I76" t="n">
        <v>0</v>
      </c>
      <c r="J76" t="n">
        <v>0</v>
      </c>
      <c r="K76">
        <f>IF(H76-I76-J76&gt;0,H76-I76-J76,0)</f>
        <v/>
      </c>
      <c r="L76" s="1">
        <f>IFERROR(I76*E76,0)</f>
        <v/>
      </c>
      <c r="M76" s="1">
        <f>IFERROR(K76*E76,0)</f>
        <v/>
      </c>
    </row>
    <row r="77">
      <c r="A77" t="inlineStr">
        <is>
          <t>1007947</t>
        </is>
      </c>
      <c r="B77" t="inlineStr">
        <is>
          <t>CPV 1325 4T</t>
        </is>
      </c>
      <c r="C77" t="inlineStr">
        <is>
          <t>SODECA</t>
        </is>
      </c>
      <c r="D77" t="inlineStr">
        <is>
          <t>FM - SODECA</t>
        </is>
      </c>
      <c r="E77" s="1" t="n">
        <v>9057.07</v>
      </c>
      <c r="F77" t="n">
        <v>2</v>
      </c>
      <c r="G77" t="n">
        <v>0</v>
      </c>
      <c r="H77" t="n">
        <v>4</v>
      </c>
      <c r="I77" t="n">
        <v>0</v>
      </c>
      <c r="J77" t="n">
        <v>0</v>
      </c>
      <c r="K77">
        <f>IF(H77-I77-J77&gt;0,H77-I77-J77,0)</f>
        <v/>
      </c>
      <c r="L77" s="1">
        <f>IFERROR(I77*E77,0)</f>
        <v/>
      </c>
      <c r="M77" s="1">
        <f>IFERROR(K77*E77,0)</f>
        <v/>
      </c>
    </row>
    <row r="78">
      <c r="A78" t="inlineStr">
        <is>
          <t>1007957</t>
        </is>
      </c>
      <c r="B78" t="inlineStr">
        <is>
          <t>CPV 1020 2TIE3</t>
        </is>
      </c>
      <c r="C78" t="inlineStr">
        <is>
          <t>SODECA</t>
        </is>
      </c>
      <c r="D78" t="inlineStr">
        <is>
          <t>FM - SODECA</t>
        </is>
      </c>
      <c r="E78" s="1" t="n">
        <v>8659.74</v>
      </c>
      <c r="F78" t="n">
        <v>2</v>
      </c>
      <c r="G78" t="n">
        <v>0</v>
      </c>
      <c r="H78" t="n">
        <v>4</v>
      </c>
      <c r="I78" t="n">
        <v>0</v>
      </c>
      <c r="J78" t="n">
        <v>0</v>
      </c>
      <c r="K78">
        <f>IF(H78-I78-J78&gt;0,H78-I78-J78,0)</f>
        <v/>
      </c>
      <c r="L78" s="1">
        <f>IFERROR(I78*E78,0)</f>
        <v/>
      </c>
      <c r="M78" s="1">
        <f>IFERROR(K78*E78,0)</f>
        <v/>
      </c>
    </row>
    <row r="79">
      <c r="A79" t="inlineStr">
        <is>
          <t>1007960</t>
        </is>
      </c>
      <c r="B79" t="inlineStr">
        <is>
          <t>CPV 1325 2TIE3</t>
        </is>
      </c>
      <c r="C79" t="inlineStr">
        <is>
          <t>SODECA</t>
        </is>
      </c>
      <c r="D79" t="inlineStr">
        <is>
          <t>FM - SODECA</t>
        </is>
      </c>
      <c r="E79" s="1" t="n">
        <v>6576.53</v>
      </c>
      <c r="F79" t="n">
        <v>3</v>
      </c>
      <c r="G79" t="n">
        <v>0</v>
      </c>
      <c r="H79" t="n">
        <v>5</v>
      </c>
      <c r="I79" t="n">
        <v>0</v>
      </c>
      <c r="J79" t="n">
        <v>0</v>
      </c>
      <c r="K79">
        <f>IF(H79-I79-J79&gt;0,H79-I79-J79,0)</f>
        <v/>
      </c>
      <c r="L79" s="1">
        <f>IFERROR(I79*E79,0)</f>
        <v/>
      </c>
      <c r="M79" s="1">
        <f>IFERROR(K79*E79,0)</f>
        <v/>
      </c>
    </row>
    <row r="80">
      <c r="A80" t="inlineStr">
        <is>
          <t>1008843</t>
        </is>
      </c>
      <c r="B80" t="inlineStr">
        <is>
          <t>CMA-218-2M</t>
        </is>
      </c>
      <c r="C80" t="inlineStr"/>
      <c r="D80" t="inlineStr">
        <is>
          <t>FM - SODECA</t>
        </is>
      </c>
      <c r="E80" s="1" t="n">
        <v>0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>
        <f>IF(H80-I80-J80&gt;0,H80-I80-J80,0)</f>
        <v/>
      </c>
      <c r="L80" s="1">
        <f>IFERROR(I80*E80,0)</f>
        <v/>
      </c>
      <c r="M80" s="1">
        <f>IFERROR(K80*E80,0)</f>
        <v/>
      </c>
    </row>
    <row r="81">
      <c r="A81" t="inlineStr">
        <is>
          <t>1008844</t>
        </is>
      </c>
      <c r="B81" t="inlineStr">
        <is>
          <t>CMA-218-2T</t>
        </is>
      </c>
      <c r="C81" t="inlineStr">
        <is>
          <t>SODECA</t>
        </is>
      </c>
      <c r="D81" t="inlineStr">
        <is>
          <t>FM - SODECA</t>
        </is>
      </c>
      <c r="E81" s="1" t="n">
        <v>2161.93</v>
      </c>
      <c r="F81" t="n">
        <v>2</v>
      </c>
      <c r="G81" t="n">
        <v>0</v>
      </c>
      <c r="H81" t="n">
        <v>4</v>
      </c>
      <c r="I81" t="n">
        <v>0</v>
      </c>
      <c r="J81" t="n">
        <v>0</v>
      </c>
      <c r="K81">
        <f>IF(H81-I81-J81&gt;0,H81-I81-J81,0)</f>
        <v/>
      </c>
      <c r="L81" s="1">
        <f>IFERROR(I81*E81,0)</f>
        <v/>
      </c>
      <c r="M81" s="1">
        <f>IFERROR(K81*E81,0)</f>
        <v/>
      </c>
    </row>
    <row r="82">
      <c r="A82" t="inlineStr">
        <is>
          <t>1008847</t>
        </is>
      </c>
      <c r="B82" t="inlineStr">
        <is>
          <t>CMA-324-2M</t>
        </is>
      </c>
      <c r="C82" t="inlineStr">
        <is>
          <t>SODECA</t>
        </is>
      </c>
      <c r="D82" t="inlineStr">
        <is>
          <t>FM - SODECA</t>
        </is>
      </c>
      <c r="E82" s="1" t="n">
        <v>1227.76</v>
      </c>
      <c r="F82" t="n">
        <v>3</v>
      </c>
      <c r="G82" t="n">
        <v>0</v>
      </c>
      <c r="H82" t="n">
        <v>5</v>
      </c>
      <c r="I82" t="n">
        <v>0</v>
      </c>
      <c r="J82" t="n">
        <v>0</v>
      </c>
      <c r="K82">
        <f>IF(H82-I82-J82&gt;0,H82-I82-J82,0)</f>
        <v/>
      </c>
      <c r="L82" s="1">
        <f>IFERROR(I82*E82,0)</f>
        <v/>
      </c>
      <c r="M82" s="1">
        <f>IFERROR(K82*E82,0)</f>
        <v/>
      </c>
    </row>
    <row r="83">
      <c r="A83" t="inlineStr">
        <is>
          <t>1008849</t>
        </is>
      </c>
      <c r="B83" t="inlineStr">
        <is>
          <t>CMA-324-2T</t>
        </is>
      </c>
      <c r="C83" t="inlineStr">
        <is>
          <t>SODECA</t>
        </is>
      </c>
      <c r="D83" t="inlineStr">
        <is>
          <t>FM - SODECA</t>
        </is>
      </c>
      <c r="E83" s="1" t="n">
        <v>3195.59</v>
      </c>
      <c r="F83" t="n">
        <v>2</v>
      </c>
      <c r="G83" t="n">
        <v>0</v>
      </c>
      <c r="H83" t="n">
        <v>4</v>
      </c>
      <c r="I83" t="n">
        <v>0</v>
      </c>
      <c r="J83" t="n">
        <v>0</v>
      </c>
      <c r="K83">
        <f>IF(H83-I83-J83&gt;0,H83-I83-J83,0)</f>
        <v/>
      </c>
      <c r="L83" s="1">
        <f>IFERROR(I83*E83,0)</f>
        <v/>
      </c>
      <c r="M83" s="1">
        <f>IFERROR(K83*E83,0)</f>
        <v/>
      </c>
    </row>
    <row r="84">
      <c r="A84" t="inlineStr">
        <is>
          <t>1008851</t>
        </is>
      </c>
      <c r="B84" t="inlineStr">
        <is>
          <t>CMA-325-2M</t>
        </is>
      </c>
      <c r="C84" t="inlineStr">
        <is>
          <t>SODECA</t>
        </is>
      </c>
      <c r="D84" t="inlineStr">
        <is>
          <t>FM - SODECA</t>
        </is>
      </c>
      <c r="E84" s="1" t="n">
        <v>4623.77</v>
      </c>
      <c r="F84" t="n">
        <v>3</v>
      </c>
      <c r="G84" t="n">
        <v>0</v>
      </c>
      <c r="H84" t="n">
        <v>6</v>
      </c>
      <c r="I84" t="n">
        <v>0</v>
      </c>
      <c r="J84" t="n">
        <v>0</v>
      </c>
      <c r="K84">
        <f>IF(H84-I84-J84&gt;0,H84-I84-J84,0)</f>
        <v/>
      </c>
      <c r="L84" s="1">
        <f>IFERROR(I84*E84,0)</f>
        <v/>
      </c>
      <c r="M84" s="1">
        <f>IFERROR(K84*E84,0)</f>
        <v/>
      </c>
    </row>
    <row r="85">
      <c r="A85" t="inlineStr">
        <is>
          <t>1008852</t>
        </is>
      </c>
      <c r="B85" t="inlineStr">
        <is>
          <t>CMA-325-2T</t>
        </is>
      </c>
      <c r="C85" t="inlineStr">
        <is>
          <t>SODECA</t>
        </is>
      </c>
      <c r="D85" t="inlineStr">
        <is>
          <t>FM - SODECA</t>
        </is>
      </c>
      <c r="E85" s="1" t="n">
        <v>3573.35</v>
      </c>
      <c r="F85" t="n">
        <v>2</v>
      </c>
      <c r="G85" t="n">
        <v>0</v>
      </c>
      <c r="H85" t="n">
        <v>4</v>
      </c>
      <c r="I85" t="n">
        <v>0</v>
      </c>
      <c r="J85" t="n">
        <v>0</v>
      </c>
      <c r="K85">
        <f>IF(H85-I85-J85&gt;0,H85-I85-J85,0)</f>
        <v/>
      </c>
      <c r="L85" s="1">
        <f>IFERROR(I85*E85,0)</f>
        <v/>
      </c>
      <c r="M85" s="1">
        <f>IFERROR(K85*E85,0)</f>
        <v/>
      </c>
    </row>
    <row r="86">
      <c r="A86" t="inlineStr">
        <is>
          <t>1008854</t>
        </is>
      </c>
      <c r="B86" t="inlineStr">
        <is>
          <t>CMA-426-2M</t>
        </is>
      </c>
      <c r="C86" t="inlineStr">
        <is>
          <t>SODECA</t>
        </is>
      </c>
      <c r="D86" t="inlineStr">
        <is>
          <t>FM - SODECA</t>
        </is>
      </c>
      <c r="E86" s="1" t="n">
        <v>4990.01</v>
      </c>
      <c r="F86" t="n">
        <v>2</v>
      </c>
      <c r="G86" t="n">
        <v>0</v>
      </c>
      <c r="H86" t="n">
        <v>4</v>
      </c>
      <c r="I86" t="n">
        <v>0</v>
      </c>
      <c r="J86" t="n">
        <v>0</v>
      </c>
      <c r="K86">
        <f>IF(H86-I86-J86&gt;0,H86-I86-J86,0)</f>
        <v/>
      </c>
      <c r="L86" s="1">
        <f>IFERROR(I86*E86,0)</f>
        <v/>
      </c>
      <c r="M86" s="1">
        <f>IFERROR(K86*E86,0)</f>
        <v/>
      </c>
    </row>
    <row r="87">
      <c r="A87" t="inlineStr">
        <is>
          <t>1008856</t>
        </is>
      </c>
      <c r="B87" t="inlineStr">
        <is>
          <t>CMA-426-2T</t>
        </is>
      </c>
      <c r="C87" t="inlineStr">
        <is>
          <t>SODECA</t>
        </is>
      </c>
      <c r="D87" t="inlineStr">
        <is>
          <t>FM - SODECA</t>
        </is>
      </c>
      <c r="E87" s="1" t="n">
        <v>3795.3</v>
      </c>
      <c r="F87" t="n">
        <v>2</v>
      </c>
      <c r="G87" t="n">
        <v>0</v>
      </c>
      <c r="H87" t="n">
        <v>4</v>
      </c>
      <c r="I87" t="n">
        <v>0</v>
      </c>
      <c r="J87" t="n">
        <v>0</v>
      </c>
      <c r="K87">
        <f>IF(H87-I87-J87&gt;0,H87-I87-J87,0)</f>
        <v/>
      </c>
      <c r="L87" s="1">
        <f>IFERROR(I87*E87,0)</f>
        <v/>
      </c>
      <c r="M87" s="1">
        <f>IFERROR(K87*E87,0)</f>
        <v/>
      </c>
    </row>
    <row r="88">
      <c r="A88" t="inlineStr">
        <is>
          <t>1008860</t>
        </is>
      </c>
      <c r="B88" t="inlineStr">
        <is>
          <t>CMA-527-2M</t>
        </is>
      </c>
      <c r="C88" t="inlineStr">
        <is>
          <t>SODECA</t>
        </is>
      </c>
      <c r="D88" t="inlineStr">
        <is>
          <t>FM - SODECA</t>
        </is>
      </c>
      <c r="E88" s="1" t="n">
        <v>7066.18</v>
      </c>
      <c r="F88" t="n">
        <v>5</v>
      </c>
      <c r="G88" t="n">
        <v>0</v>
      </c>
      <c r="H88" t="n">
        <v>9</v>
      </c>
      <c r="I88" t="n">
        <v>0</v>
      </c>
      <c r="J88" t="n">
        <v>0</v>
      </c>
      <c r="K88">
        <f>IF(H88-I88-J88&gt;0,H88-I88-J88,0)</f>
        <v/>
      </c>
      <c r="L88" s="1">
        <f>IFERROR(I88*E88,0)</f>
        <v/>
      </c>
      <c r="M88" s="1">
        <f>IFERROR(K88*E88,0)</f>
        <v/>
      </c>
    </row>
    <row r="89">
      <c r="A89" t="inlineStr">
        <is>
          <t>1008861</t>
        </is>
      </c>
      <c r="B89" t="inlineStr">
        <is>
          <t>CMA-527-2T</t>
        </is>
      </c>
      <c r="C89" t="inlineStr">
        <is>
          <t>SODECA</t>
        </is>
      </c>
      <c r="D89" t="inlineStr">
        <is>
          <t>FM - SODECA</t>
        </is>
      </c>
      <c r="E89" s="1" t="n">
        <v>6501.35</v>
      </c>
      <c r="F89" t="n">
        <v>3</v>
      </c>
      <c r="G89" t="n">
        <v>0</v>
      </c>
      <c r="H89" t="n">
        <v>5</v>
      </c>
      <c r="I89" t="n">
        <v>0</v>
      </c>
      <c r="J89" t="n">
        <v>0</v>
      </c>
      <c r="K89">
        <f>IF(H89-I89-J89&gt;0,H89-I89-J89,0)</f>
        <v/>
      </c>
      <c r="L89" s="1">
        <f>IFERROR(I89*E89,0)</f>
        <v/>
      </c>
      <c r="M89" s="1">
        <f>IFERROR(K89*E89,0)</f>
        <v/>
      </c>
    </row>
    <row r="90">
      <c r="A90" t="inlineStr">
        <is>
          <t>1008864</t>
        </is>
      </c>
      <c r="B90" t="inlineStr">
        <is>
          <t>CMA-528-2M - 1.5</t>
        </is>
      </c>
      <c r="C90" t="inlineStr"/>
      <c r="D90" t="inlineStr">
        <is>
          <t>FM - SODECA</t>
        </is>
      </c>
      <c r="E90" s="1" t="n">
        <v>0</v>
      </c>
      <c r="F90" t="n">
        <v>1</v>
      </c>
      <c r="G90" t="n">
        <v>0</v>
      </c>
      <c r="H90" t="n">
        <v>2</v>
      </c>
      <c r="I90" t="n">
        <v>0</v>
      </c>
      <c r="J90" t="n">
        <v>0</v>
      </c>
      <c r="K90">
        <f>IF(H90-I90-J90&gt;0,H90-I90-J90,0)</f>
        <v/>
      </c>
      <c r="L90" s="1">
        <f>IFERROR(I90*E90,0)</f>
        <v/>
      </c>
      <c r="M90" s="1">
        <f>IFERROR(K90*E90,0)</f>
        <v/>
      </c>
    </row>
    <row r="91">
      <c r="A91" t="inlineStr">
        <is>
          <t>1008867</t>
        </is>
      </c>
      <c r="B91" t="inlineStr">
        <is>
          <t>CMA-531-2M-2</t>
        </is>
      </c>
      <c r="C91" t="inlineStr"/>
      <c r="D91" t="inlineStr">
        <is>
          <t>FM - SODECA</t>
        </is>
      </c>
      <c r="E91" s="1" t="n">
        <v>0</v>
      </c>
      <c r="F91" t="n">
        <v>1</v>
      </c>
      <c r="G91" t="n">
        <v>0</v>
      </c>
      <c r="H91" t="n">
        <v>2</v>
      </c>
      <c r="I91" t="n">
        <v>0</v>
      </c>
      <c r="J91" t="n">
        <v>0</v>
      </c>
      <c r="K91">
        <f>IF(H91-I91-J91&gt;0,H91-I91-J91,0)</f>
        <v/>
      </c>
      <c r="L91" s="1">
        <f>IFERROR(I91*E91,0)</f>
        <v/>
      </c>
      <c r="M91" s="1">
        <f>IFERROR(K91*E91,0)</f>
        <v/>
      </c>
    </row>
    <row r="92">
      <c r="A92" t="inlineStr">
        <is>
          <t>1008870</t>
        </is>
      </c>
      <c r="B92" t="inlineStr">
        <is>
          <t>CMA-528-2T-1.5 IE3</t>
        </is>
      </c>
      <c r="C92" t="inlineStr">
        <is>
          <t>SODECA</t>
        </is>
      </c>
      <c r="D92" t="inlineStr">
        <is>
          <t>FM - SODECA</t>
        </is>
      </c>
      <c r="E92" s="1" t="n">
        <v>8327.860000000001</v>
      </c>
      <c r="F92" t="n">
        <v>3</v>
      </c>
      <c r="G92" t="n">
        <v>0</v>
      </c>
      <c r="H92" t="n">
        <v>5</v>
      </c>
      <c r="I92" t="n">
        <v>0</v>
      </c>
      <c r="J92" t="n">
        <v>0</v>
      </c>
      <c r="K92">
        <f>IF(H92-I92-J92&gt;0,H92-I92-J92,0)</f>
        <v/>
      </c>
      <c r="L92" s="1">
        <f>IFERROR(I92*E92,0)</f>
        <v/>
      </c>
      <c r="M92" s="1">
        <f>IFERROR(K92*E92,0)</f>
        <v/>
      </c>
    </row>
    <row r="93">
      <c r="A93" t="inlineStr">
        <is>
          <t>1008871</t>
        </is>
      </c>
      <c r="B93" t="inlineStr">
        <is>
          <t>CMA-528-2T-1 IE3</t>
        </is>
      </c>
      <c r="C93" t="inlineStr">
        <is>
          <t>SODECA</t>
        </is>
      </c>
      <c r="D93" t="inlineStr">
        <is>
          <t>FM - SODECA</t>
        </is>
      </c>
      <c r="E93" s="1" t="n">
        <v>7791.64</v>
      </c>
      <c r="F93" t="n">
        <v>2</v>
      </c>
      <c r="G93" t="n">
        <v>0</v>
      </c>
      <c r="H93" t="n">
        <v>4</v>
      </c>
      <c r="I93" t="n">
        <v>0</v>
      </c>
      <c r="J93" t="n">
        <v>0</v>
      </c>
      <c r="K93">
        <f>IF(H93-I93-J93&gt;0,H93-I93-J93,0)</f>
        <v/>
      </c>
      <c r="L93" s="1">
        <f>IFERROR(I93*E93,0)</f>
        <v/>
      </c>
      <c r="M93" s="1">
        <f>IFERROR(K93*E93,0)</f>
        <v/>
      </c>
    </row>
    <row r="94">
      <c r="A94" t="inlineStr">
        <is>
          <t>1008873</t>
        </is>
      </c>
      <c r="B94" t="inlineStr">
        <is>
          <t>CMA-531-2T-1.5 IE3</t>
        </is>
      </c>
      <c r="C94" t="inlineStr"/>
      <c r="D94" t="inlineStr">
        <is>
          <t>FM - SODECA</t>
        </is>
      </c>
      <c r="E94" s="1" t="n">
        <v>0</v>
      </c>
      <c r="F94" t="n">
        <v>1</v>
      </c>
      <c r="G94" t="n">
        <v>0</v>
      </c>
      <c r="H94" t="n">
        <v>2</v>
      </c>
      <c r="I94" t="n">
        <v>0</v>
      </c>
      <c r="J94" t="n">
        <v>0</v>
      </c>
      <c r="K94">
        <f>IF(H94-I94-J94&gt;0,H94-I94-J94,0)</f>
        <v/>
      </c>
      <c r="L94" s="1">
        <f>IFERROR(I94*E94,0)</f>
        <v/>
      </c>
      <c r="M94" s="1">
        <f>IFERROR(K94*E94,0)</f>
        <v/>
      </c>
    </row>
    <row r="95">
      <c r="A95" t="inlineStr">
        <is>
          <t>1008874</t>
        </is>
      </c>
      <c r="B95" t="inlineStr">
        <is>
          <t>CMA-531-2T-2 IE3</t>
        </is>
      </c>
      <c r="C95" t="inlineStr"/>
      <c r="D95" t="inlineStr">
        <is>
          <t>FM - SODECA</t>
        </is>
      </c>
      <c r="E95" s="1" t="n">
        <v>0</v>
      </c>
      <c r="F95" t="n">
        <v>1</v>
      </c>
      <c r="G95" t="n">
        <v>0</v>
      </c>
      <c r="H95" t="n">
        <v>2</v>
      </c>
      <c r="I95" t="n">
        <v>0</v>
      </c>
      <c r="J95" t="n">
        <v>0</v>
      </c>
      <c r="K95">
        <f>IF(H95-I95-J95&gt;0,H95-I95-J95,0)</f>
        <v/>
      </c>
      <c r="L95" s="1">
        <f>IFERROR(I95*E95,0)</f>
        <v/>
      </c>
      <c r="M95" s="1">
        <f>IFERROR(K95*E95,0)</f>
        <v/>
      </c>
    </row>
    <row r="96">
      <c r="A96" t="inlineStr">
        <is>
          <t>1008875</t>
        </is>
      </c>
      <c r="B96" t="inlineStr">
        <is>
          <t>CMA-531-2T-3 IE3</t>
        </is>
      </c>
      <c r="C96" t="inlineStr">
        <is>
          <t>SODECA</t>
        </is>
      </c>
      <c r="D96" t="inlineStr">
        <is>
          <t>FM - SODECA</t>
        </is>
      </c>
      <c r="E96" s="1" t="n">
        <v>13272.68</v>
      </c>
      <c r="F96" t="n">
        <v>3</v>
      </c>
      <c r="G96" t="n">
        <v>0</v>
      </c>
      <c r="H96" t="n">
        <v>5</v>
      </c>
      <c r="I96" t="n">
        <v>0</v>
      </c>
      <c r="J96" t="n">
        <v>0</v>
      </c>
      <c r="K96">
        <f>IF(H96-I96-J96&gt;0,H96-I96-J96,0)</f>
        <v/>
      </c>
      <c r="L96" s="1">
        <f>IFERROR(I96*E96,0)</f>
        <v/>
      </c>
      <c r="M96" s="1">
        <f>IFERROR(K96*E96,0)</f>
        <v/>
      </c>
    </row>
    <row r="97">
      <c r="A97" t="inlineStr">
        <is>
          <t>1009166</t>
        </is>
      </c>
      <c r="B97" t="inlineStr">
        <is>
          <t>CBD-2828-4M 3/4/HE</t>
        </is>
      </c>
      <c r="C97" t="inlineStr">
        <is>
          <t>SODECA</t>
        </is>
      </c>
      <c r="D97" t="inlineStr"/>
      <c r="E97" s="1" t="n">
        <v>3198.31</v>
      </c>
      <c r="F97" t="n">
        <v>22</v>
      </c>
      <c r="G97" t="n">
        <v>0</v>
      </c>
      <c r="H97" t="n">
        <v>44</v>
      </c>
      <c r="I97" t="n">
        <v>0</v>
      </c>
      <c r="J97" t="n">
        <v>0</v>
      </c>
      <c r="K97">
        <f>IF(H97-I97-J97&gt;0,H97-I97-J97,0)</f>
        <v/>
      </c>
      <c r="L97" s="1">
        <f>IFERROR(I97*E97,0)</f>
        <v/>
      </c>
      <c r="M97" s="1">
        <f>IFERROR(K97*E97,0)</f>
        <v/>
      </c>
    </row>
    <row r="98">
      <c r="A98" t="inlineStr">
        <is>
          <t>100NB x 135mm</t>
        </is>
      </c>
      <c r="B98" t="inlineStr">
        <is>
          <t>100NB x 135mm Style 10 Linkflex 100% (Inner &amp; Outer Tube) EPDM rubber bellows c/w mild steel</t>
        </is>
      </c>
      <c r="C98" t="inlineStr">
        <is>
          <t>Malcolm Arnot CC ( Linkflex)</t>
        </is>
      </c>
      <c r="D98" t="inlineStr"/>
      <c r="E98" s="1" t="n">
        <v>2020</v>
      </c>
      <c r="F98" t="n">
        <v>8</v>
      </c>
      <c r="G98" t="n">
        <v>0</v>
      </c>
      <c r="H98" t="n">
        <v>42</v>
      </c>
      <c r="I98" t="n">
        <v>0</v>
      </c>
      <c r="J98" t="n">
        <v>0</v>
      </c>
      <c r="K98">
        <f>IF(H98-I98-J98&gt;0,H98-I98-J98,0)</f>
        <v/>
      </c>
      <c r="L98" s="1">
        <f>IFERROR(I98*E98,0)</f>
        <v/>
      </c>
      <c r="M98" s="1">
        <f>IFERROR(K98*E98,0)</f>
        <v/>
      </c>
    </row>
    <row r="99">
      <c r="A99" t="inlineStr">
        <is>
          <t>100T600</t>
        </is>
      </c>
      <c r="B99" t="inlineStr">
        <is>
          <t>100 Diam Tube Silencer 600L</t>
        </is>
      </c>
      <c r="C99" t="inlineStr">
        <is>
          <t>Attenu-Tec</t>
        </is>
      </c>
      <c r="D99" t="inlineStr">
        <is>
          <t>FM - DONKIN</t>
        </is>
      </c>
      <c r="E99" s="1" t="n">
        <v>360</v>
      </c>
      <c r="F99" t="n">
        <v>2</v>
      </c>
      <c r="G99" t="n">
        <v>0</v>
      </c>
      <c r="H99" t="n">
        <v>9</v>
      </c>
      <c r="I99" t="n">
        <v>0</v>
      </c>
      <c r="J99" t="n">
        <v>0</v>
      </c>
      <c r="K99">
        <f>IF(H99-I99-J99&gt;0,H99-I99-J99,0)</f>
        <v/>
      </c>
      <c r="L99" s="1">
        <f>IFERROR(I99*E99,0)</f>
        <v/>
      </c>
      <c r="M99" s="1">
        <f>IFERROR(K99*E99,0)</f>
        <v/>
      </c>
    </row>
    <row r="100">
      <c r="A100" t="inlineStr">
        <is>
          <t>1010396</t>
        </is>
      </c>
      <c r="B100" t="inlineStr">
        <is>
          <t>CAM 540 2T</t>
        </is>
      </c>
      <c r="C100" t="inlineStr"/>
      <c r="D100" t="inlineStr">
        <is>
          <t>FM - SODECA</t>
        </is>
      </c>
      <c r="E100" s="1" t="n">
        <v>0</v>
      </c>
      <c r="F100" t="n">
        <v>1</v>
      </c>
      <c r="G100" t="n">
        <v>0</v>
      </c>
      <c r="H100" t="n">
        <v>2</v>
      </c>
      <c r="I100" t="n">
        <v>0</v>
      </c>
      <c r="J100" t="n">
        <v>0</v>
      </c>
      <c r="K100">
        <f>IF(H100-I100-J100&gt;0,H100-I100-J100,0)</f>
        <v/>
      </c>
      <c r="L100" s="1">
        <f>IFERROR(I100*E100,0)</f>
        <v/>
      </c>
      <c r="M100" s="1">
        <f>IFERROR(K100*E100,0)</f>
        <v/>
      </c>
    </row>
    <row r="101">
      <c r="A101" t="inlineStr">
        <is>
          <t>1010401</t>
        </is>
      </c>
      <c r="B101" t="inlineStr">
        <is>
          <t>CAM 545 2T 4 c/w 3.0kw 2P 400V</t>
        </is>
      </c>
      <c r="C101" t="inlineStr">
        <is>
          <t>SODECA</t>
        </is>
      </c>
      <c r="D101" t="inlineStr">
        <is>
          <t>FM - SODECA</t>
        </is>
      </c>
      <c r="E101" s="1" t="n">
        <v>14410.33</v>
      </c>
      <c r="F101" t="n">
        <v>2</v>
      </c>
      <c r="G101" t="n">
        <v>0</v>
      </c>
      <c r="H101" t="n">
        <v>4</v>
      </c>
      <c r="I101" t="n">
        <v>0</v>
      </c>
      <c r="J101" t="n">
        <v>0</v>
      </c>
      <c r="K101">
        <f>IF(H101-I101-J101&gt;0,H101-I101-J101,0)</f>
        <v/>
      </c>
      <c r="L101" s="1">
        <f>IFERROR(I101*E101,0)</f>
        <v/>
      </c>
      <c r="M101" s="1">
        <f>IFERROR(K101*E101,0)</f>
        <v/>
      </c>
    </row>
    <row r="102">
      <c r="A102" t="inlineStr">
        <is>
          <t>1010405</t>
        </is>
      </c>
      <c r="B102" t="inlineStr">
        <is>
          <t>CAM 550-2T-5.5 230/400V. IE3</t>
        </is>
      </c>
      <c r="C102" t="inlineStr">
        <is>
          <t>SODECA</t>
        </is>
      </c>
      <c r="D102" t="inlineStr"/>
      <c r="E102" s="1" t="n">
        <v>20655.41</v>
      </c>
      <c r="F102" t="n">
        <v>2</v>
      </c>
      <c r="G102" t="n">
        <v>0</v>
      </c>
      <c r="H102" t="n">
        <v>6</v>
      </c>
      <c r="I102" t="n">
        <v>0</v>
      </c>
      <c r="J102" t="n">
        <v>0</v>
      </c>
      <c r="K102">
        <f>IF(H102-I102-J102&gt;0,H102-I102-J102,0)</f>
        <v/>
      </c>
      <c r="L102" s="1">
        <f>IFERROR(I102*E102,0)</f>
        <v/>
      </c>
      <c r="M102" s="1">
        <f>IFERROR(K102*E102,0)</f>
        <v/>
      </c>
    </row>
    <row r="103">
      <c r="A103" t="inlineStr">
        <is>
          <t>1010407</t>
        </is>
      </c>
      <c r="B103" t="inlineStr">
        <is>
          <t>CAM 550 2T 7.5</t>
        </is>
      </c>
      <c r="C103" t="inlineStr">
        <is>
          <t>SODECA</t>
        </is>
      </c>
      <c r="D103" t="inlineStr">
        <is>
          <t>FM - SODECA</t>
        </is>
      </c>
      <c r="E103" s="1" t="n">
        <v>23609.05</v>
      </c>
      <c r="F103" t="n">
        <v>2</v>
      </c>
      <c r="G103" t="n">
        <v>0</v>
      </c>
      <c r="H103" t="n">
        <v>4</v>
      </c>
      <c r="I103" t="n">
        <v>0</v>
      </c>
      <c r="J103" t="n">
        <v>0</v>
      </c>
      <c r="K103">
        <f>IF(H103-I103-J103&gt;0,H103-I103-J103,0)</f>
        <v/>
      </c>
      <c r="L103" s="1">
        <f>IFERROR(I103*E103,0)</f>
        <v/>
      </c>
      <c r="M103" s="1">
        <f>IFERROR(K103*E103,0)</f>
        <v/>
      </c>
    </row>
    <row r="104">
      <c r="A104" t="inlineStr">
        <is>
          <t>1010522</t>
        </is>
      </c>
      <c r="B104" t="inlineStr">
        <is>
          <t>AT 10/10 SC2 - Double Unit</t>
        </is>
      </c>
      <c r="C104" t="inlineStr"/>
      <c r="D104" t="inlineStr">
        <is>
          <t>FM - NICOTRA</t>
        </is>
      </c>
      <c r="E104" s="1" t="n">
        <v>0</v>
      </c>
      <c r="F104" t="n">
        <v>1</v>
      </c>
      <c r="G104" t="n">
        <v>0</v>
      </c>
      <c r="H104" t="n">
        <v>2</v>
      </c>
      <c r="I104" t="n">
        <v>0</v>
      </c>
      <c r="J104" t="n">
        <v>0</v>
      </c>
      <c r="K104">
        <f>IF(H104-I104-J104&gt;0,H104-I104-J104,0)</f>
        <v/>
      </c>
      <c r="L104" s="1">
        <f>IFERROR(I104*E104,0)</f>
        <v/>
      </c>
      <c r="M104" s="1">
        <f>IFERROR(K104*E104,0)</f>
        <v/>
      </c>
    </row>
    <row r="105">
      <c r="A105" t="inlineStr">
        <is>
          <t>1010596</t>
        </is>
      </c>
      <c r="B105" t="inlineStr">
        <is>
          <t>CAS 254 - 2T - 3</t>
        </is>
      </c>
      <c r="C105" t="inlineStr"/>
      <c r="D105" t="inlineStr">
        <is>
          <t>FM - SODECA</t>
        </is>
      </c>
      <c r="E105" s="1" t="n">
        <v>0</v>
      </c>
      <c r="F105" t="n">
        <v>1</v>
      </c>
      <c r="G105" t="n">
        <v>0</v>
      </c>
      <c r="H105" t="n">
        <v>2</v>
      </c>
      <c r="I105" t="n">
        <v>0</v>
      </c>
      <c r="J105" t="n">
        <v>0</v>
      </c>
      <c r="K105">
        <f>IF(H105-I105-J105&gt;0,H105-I105-J105,0)</f>
        <v/>
      </c>
      <c r="L105" s="1">
        <f>IFERROR(I105*E105,0)</f>
        <v/>
      </c>
      <c r="M105" s="1">
        <f>IFERROR(K105*E105,0)</f>
        <v/>
      </c>
    </row>
    <row r="106">
      <c r="A106" t="inlineStr">
        <is>
          <t>1010606</t>
        </is>
      </c>
      <c r="B106" t="inlineStr">
        <is>
          <t>CAS 463 - 2T - 7.5</t>
        </is>
      </c>
      <c r="C106" t="inlineStr"/>
      <c r="D106" t="inlineStr">
        <is>
          <t>FM - SODECA</t>
        </is>
      </c>
      <c r="E106" s="1" t="n">
        <v>0</v>
      </c>
      <c r="F106" t="n">
        <v>1</v>
      </c>
      <c r="G106" t="n">
        <v>0</v>
      </c>
      <c r="H106" t="n">
        <v>2</v>
      </c>
      <c r="I106" t="n">
        <v>0</v>
      </c>
      <c r="J106" t="n">
        <v>0</v>
      </c>
      <c r="K106">
        <f>IF(H106-I106-J106&gt;0,H106-I106-J106,0)</f>
        <v/>
      </c>
      <c r="L106" s="1">
        <f>IFERROR(I106*E106,0)</f>
        <v/>
      </c>
      <c r="M106" s="1">
        <f>IFERROR(K106*E106,0)</f>
        <v/>
      </c>
    </row>
    <row r="107">
      <c r="A107" t="inlineStr">
        <is>
          <t>101065</t>
        </is>
      </c>
      <c r="B107" t="inlineStr">
        <is>
          <t>ER70S MILD STEEL MIG WIRE 1.0MM</t>
        </is>
      </c>
      <c r="C107" t="inlineStr">
        <is>
          <t>INTROWELD CC</t>
        </is>
      </c>
      <c r="D107" t="inlineStr"/>
      <c r="E107" s="1" t="n">
        <v>35</v>
      </c>
      <c r="F107" t="n">
        <v>45</v>
      </c>
      <c r="G107" t="n">
        <v>0</v>
      </c>
      <c r="H107" t="n">
        <v>225</v>
      </c>
      <c r="I107" t="n">
        <v>0</v>
      </c>
      <c r="J107" t="n">
        <v>30</v>
      </c>
      <c r="K107">
        <f>IF(H107-I107-J107&gt;0,H107-I107-J107,0)</f>
        <v/>
      </c>
      <c r="L107" s="1">
        <f>IFERROR(I107*E107,0)</f>
        <v/>
      </c>
      <c r="M107" s="1">
        <f>IFERROR(K107*E107,0)</f>
        <v/>
      </c>
    </row>
    <row r="108">
      <c r="A108" t="inlineStr">
        <is>
          <t>1012-2010-A</t>
        </is>
      </c>
      <c r="B108" t="inlineStr">
        <is>
          <t>SQUARE COMBINATION SET 4PC DASQUA</t>
        </is>
      </c>
      <c r="C108" t="inlineStr">
        <is>
          <t>SPARES 2000 CC t/a SHARP-RITE</t>
        </is>
      </c>
      <c r="D108" t="inlineStr"/>
      <c r="E108" s="1" t="n">
        <v>1500</v>
      </c>
      <c r="F108" t="n">
        <v>1</v>
      </c>
      <c r="G108" t="n">
        <v>0</v>
      </c>
      <c r="H108" t="n">
        <v>3</v>
      </c>
      <c r="I108" t="n">
        <v>0</v>
      </c>
      <c r="J108" t="n">
        <v>0</v>
      </c>
      <c r="K108">
        <f>IF(H108-I108-J108&gt;0,H108-I108-J108,0)</f>
        <v/>
      </c>
      <c r="L108" s="1">
        <f>IFERROR(I108*E108,0)</f>
        <v/>
      </c>
      <c r="M108" s="1">
        <f>IFERROR(K108*E108,0)</f>
        <v/>
      </c>
    </row>
    <row r="109">
      <c r="A109" t="inlineStr">
        <is>
          <t>1012391</t>
        </is>
      </c>
      <c r="B109" t="inlineStr">
        <is>
          <t>CMP 38 2M</t>
        </is>
      </c>
      <c r="C109" t="inlineStr"/>
      <c r="D109" t="inlineStr">
        <is>
          <t>FM - SODECA</t>
        </is>
      </c>
      <c r="E109" s="1" t="n">
        <v>0</v>
      </c>
      <c r="F109" t="n">
        <v>1</v>
      </c>
      <c r="G109" t="n">
        <v>0</v>
      </c>
      <c r="H109" t="n">
        <v>2</v>
      </c>
      <c r="I109" t="n">
        <v>0</v>
      </c>
      <c r="J109" t="n">
        <v>0</v>
      </c>
      <c r="K109">
        <f>IF(H109-I109-J109&gt;0,H109-I109-J109,0)</f>
        <v/>
      </c>
      <c r="L109" s="1">
        <f>IFERROR(I109*E109,0)</f>
        <v/>
      </c>
      <c r="M109" s="1">
        <f>IFERROR(K109*E109,0)</f>
        <v/>
      </c>
    </row>
    <row r="110">
      <c r="A110" t="inlineStr">
        <is>
          <t>1012392</t>
        </is>
      </c>
      <c r="B110" t="inlineStr">
        <is>
          <t>CMP-38-2M/E 230V</t>
        </is>
      </c>
      <c r="C110" t="inlineStr">
        <is>
          <t>SODECA</t>
        </is>
      </c>
      <c r="D110" t="inlineStr"/>
      <c r="E110" s="1" t="n">
        <v>2093.91</v>
      </c>
      <c r="F110" t="n">
        <v>4</v>
      </c>
      <c r="G110" t="n">
        <v>0</v>
      </c>
      <c r="H110" t="n">
        <v>7</v>
      </c>
      <c r="I110" t="n">
        <v>0</v>
      </c>
      <c r="J110" t="n">
        <v>0</v>
      </c>
      <c r="K110">
        <f>IF(H110-I110-J110&gt;0,H110-I110-J110,0)</f>
        <v/>
      </c>
      <c r="L110" s="1">
        <f>IFERROR(I110*E110,0)</f>
        <v/>
      </c>
      <c r="M110" s="1">
        <f>IFERROR(K110*E110,0)</f>
        <v/>
      </c>
    </row>
    <row r="111">
      <c r="A111" t="inlineStr">
        <is>
          <t>1012398</t>
        </is>
      </c>
      <c r="B111" t="inlineStr">
        <is>
          <t>CMP 512 2M</t>
        </is>
      </c>
      <c r="C111" t="inlineStr">
        <is>
          <t>SODECA</t>
        </is>
      </c>
      <c r="D111" t="inlineStr">
        <is>
          <t>FM - SODECA</t>
        </is>
      </c>
      <c r="E111" s="1" t="n">
        <v>735.24</v>
      </c>
      <c r="F111" t="n">
        <v>2</v>
      </c>
      <c r="G111" t="n">
        <v>0</v>
      </c>
      <c r="H111" t="n">
        <v>4</v>
      </c>
      <c r="I111" t="n">
        <v>0</v>
      </c>
      <c r="J111" t="n">
        <v>0</v>
      </c>
      <c r="K111">
        <f>IF(H111-I111-J111&gt;0,H111-I111-J111,0)</f>
        <v/>
      </c>
      <c r="L111" s="1">
        <f>IFERROR(I111*E111,0)</f>
        <v/>
      </c>
      <c r="M111" s="1">
        <f>IFERROR(K111*E111,0)</f>
        <v/>
      </c>
    </row>
    <row r="112">
      <c r="A112" t="inlineStr">
        <is>
          <t>1012411</t>
        </is>
      </c>
      <c r="B112" t="inlineStr">
        <is>
          <t>CMP 512 2T</t>
        </is>
      </c>
      <c r="C112" t="inlineStr">
        <is>
          <t>SODECA</t>
        </is>
      </c>
      <c r="D112" t="inlineStr">
        <is>
          <t>FM - SODECA</t>
        </is>
      </c>
      <c r="E112" s="1" t="n">
        <v>1727.72</v>
      </c>
      <c r="F112" t="n">
        <v>4</v>
      </c>
      <c r="G112" t="n">
        <v>0</v>
      </c>
      <c r="H112" t="n">
        <v>8</v>
      </c>
      <c r="I112" t="n">
        <v>0</v>
      </c>
      <c r="J112" t="n">
        <v>0</v>
      </c>
      <c r="K112">
        <f>IF(H112-I112-J112&gt;0,H112-I112-J112,0)</f>
        <v/>
      </c>
      <c r="L112" s="1">
        <f>IFERROR(I112*E112,0)</f>
        <v/>
      </c>
      <c r="M112" s="1">
        <f>IFERROR(K112*E112,0)</f>
        <v/>
      </c>
    </row>
    <row r="113">
      <c r="A113" t="inlineStr">
        <is>
          <t>1012446</t>
        </is>
      </c>
      <c r="B113" t="inlineStr">
        <is>
          <t>CMP 514 2M</t>
        </is>
      </c>
      <c r="C113" t="inlineStr">
        <is>
          <t>SODECA</t>
        </is>
      </c>
      <c r="D113" t="inlineStr">
        <is>
          <t>FM - SODECA</t>
        </is>
      </c>
      <c r="E113" s="1" t="n">
        <v>1993.97</v>
      </c>
      <c r="F113" t="n">
        <v>4</v>
      </c>
      <c r="G113" t="n">
        <v>0</v>
      </c>
      <c r="H113" t="n">
        <v>8</v>
      </c>
      <c r="I113" t="n">
        <v>0</v>
      </c>
      <c r="J113" t="n">
        <v>0</v>
      </c>
      <c r="K113">
        <f>IF(H113-I113-J113&gt;0,H113-I113-J113,0)</f>
        <v/>
      </c>
      <c r="L113" s="1">
        <f>IFERROR(I113*E113,0)</f>
        <v/>
      </c>
      <c r="M113" s="1">
        <f>IFERROR(K113*E113,0)</f>
        <v/>
      </c>
    </row>
    <row r="114">
      <c r="A114" t="inlineStr">
        <is>
          <t>1012461</t>
        </is>
      </c>
      <c r="B114" t="inlineStr">
        <is>
          <t>CMP 514 2T</t>
        </is>
      </c>
      <c r="C114" t="inlineStr">
        <is>
          <t>SODECA</t>
        </is>
      </c>
      <c r="D114" t="inlineStr">
        <is>
          <t>FM - SODECA</t>
        </is>
      </c>
      <c r="E114" s="1" t="n">
        <v>2095.15</v>
      </c>
      <c r="F114" t="n">
        <v>4</v>
      </c>
      <c r="G114" t="n">
        <v>0</v>
      </c>
      <c r="H114" t="n">
        <v>8</v>
      </c>
      <c r="I114" t="n">
        <v>0</v>
      </c>
      <c r="J114" t="n">
        <v>0</v>
      </c>
      <c r="K114">
        <f>IF(H114-I114-J114&gt;0,H114-I114-J114,0)</f>
        <v/>
      </c>
      <c r="L114" s="1">
        <f>IFERROR(I114*E114,0)</f>
        <v/>
      </c>
      <c r="M114" s="1">
        <f>IFERROR(K114*E114,0)</f>
        <v/>
      </c>
    </row>
    <row r="115">
      <c r="A115" t="inlineStr">
        <is>
          <t>1012504</t>
        </is>
      </c>
      <c r="B115" t="inlineStr">
        <is>
          <t>CMP 616 2M</t>
        </is>
      </c>
      <c r="C115" t="inlineStr">
        <is>
          <t>SODECA</t>
        </is>
      </c>
      <c r="D115" t="inlineStr">
        <is>
          <t>FM - SODECA</t>
        </is>
      </c>
      <c r="E115" s="1" t="n">
        <v>1429.71</v>
      </c>
      <c r="F115" t="n">
        <v>2</v>
      </c>
      <c r="G115" t="n">
        <v>0</v>
      </c>
      <c r="H115" t="n">
        <v>4</v>
      </c>
      <c r="I115" t="n">
        <v>0</v>
      </c>
      <c r="J115" t="n">
        <v>0</v>
      </c>
      <c r="K115">
        <f>IF(H115-I115-J115&gt;0,H115-I115-J115,0)</f>
        <v/>
      </c>
      <c r="L115" s="1">
        <f>IFERROR(I115*E115,0)</f>
        <v/>
      </c>
      <c r="M115" s="1">
        <f>IFERROR(K115*E115,0)</f>
        <v/>
      </c>
    </row>
    <row r="116">
      <c r="A116" t="inlineStr">
        <is>
          <t>1012516</t>
        </is>
      </c>
      <c r="B116" t="inlineStr">
        <is>
          <t>CMP 616 2T</t>
        </is>
      </c>
      <c r="C116" t="inlineStr">
        <is>
          <t>SODECA</t>
        </is>
      </c>
      <c r="D116" t="inlineStr">
        <is>
          <t>FM - SODECA</t>
        </is>
      </c>
      <c r="E116" s="1" t="n">
        <v>2732.17</v>
      </c>
      <c r="F116" t="n">
        <v>5</v>
      </c>
      <c r="G116" t="n">
        <v>0</v>
      </c>
      <c r="H116" t="n">
        <v>10</v>
      </c>
      <c r="I116" t="n">
        <v>0</v>
      </c>
      <c r="J116" t="n">
        <v>0</v>
      </c>
      <c r="K116">
        <f>IF(H116-I116-J116&gt;0,H116-I116-J116,0)</f>
        <v/>
      </c>
      <c r="L116" s="1">
        <f>IFERROR(I116*E116,0)</f>
        <v/>
      </c>
      <c r="M116" s="1">
        <f>IFERROR(K116*E116,0)</f>
        <v/>
      </c>
    </row>
    <row r="117">
      <c r="A117" t="inlineStr">
        <is>
          <t>1012571</t>
        </is>
      </c>
      <c r="B117" t="inlineStr">
        <is>
          <t>CMP 718 2M</t>
        </is>
      </c>
      <c r="C117" t="inlineStr"/>
      <c r="D117" t="inlineStr">
        <is>
          <t>FM - SODECA</t>
        </is>
      </c>
      <c r="E117" s="1" t="n">
        <v>0</v>
      </c>
      <c r="F117" t="n">
        <v>1</v>
      </c>
      <c r="G117" t="n">
        <v>0</v>
      </c>
      <c r="H117" t="n">
        <v>2</v>
      </c>
      <c r="I117" t="n">
        <v>0</v>
      </c>
      <c r="J117" t="n">
        <v>0</v>
      </c>
      <c r="K117">
        <f>IF(H117-I117-J117&gt;0,H117-I117-J117,0)</f>
        <v/>
      </c>
      <c r="L117" s="1">
        <f>IFERROR(I117*E117,0)</f>
        <v/>
      </c>
      <c r="M117" s="1">
        <f>IFERROR(K117*E117,0)</f>
        <v/>
      </c>
    </row>
    <row r="118">
      <c r="A118" t="inlineStr">
        <is>
          <t>1012594</t>
        </is>
      </c>
      <c r="B118" t="inlineStr">
        <is>
          <t>CMP 820 2M</t>
        </is>
      </c>
      <c r="C118" t="inlineStr"/>
      <c r="D118" t="inlineStr">
        <is>
          <t>FM - SODECA</t>
        </is>
      </c>
      <c r="E118" s="1" t="n">
        <v>0</v>
      </c>
      <c r="F118" t="n">
        <v>1</v>
      </c>
      <c r="G118" t="n">
        <v>0</v>
      </c>
      <c r="H118" t="n">
        <v>2</v>
      </c>
      <c r="I118" t="n">
        <v>0</v>
      </c>
      <c r="J118" t="n">
        <v>0</v>
      </c>
      <c r="K118">
        <f>IF(H118-I118-J118&gt;0,H118-I118-J118,0)</f>
        <v/>
      </c>
      <c r="L118" s="1">
        <f>IFERROR(I118*E118,0)</f>
        <v/>
      </c>
      <c r="M118" s="1">
        <f>IFERROR(K118*E118,0)</f>
        <v/>
      </c>
    </row>
    <row r="119">
      <c r="A119" t="inlineStr">
        <is>
          <t>1012607</t>
        </is>
      </c>
      <c r="B119" t="inlineStr">
        <is>
          <t>CMP 820 4T</t>
        </is>
      </c>
      <c r="C119" t="inlineStr">
        <is>
          <t>SODECA</t>
        </is>
      </c>
      <c r="D119" t="inlineStr">
        <is>
          <t>FM - SODECA</t>
        </is>
      </c>
      <c r="E119" s="1" t="n">
        <v>2967.12</v>
      </c>
      <c r="F119" t="n">
        <v>3</v>
      </c>
      <c r="G119" t="n">
        <v>0</v>
      </c>
      <c r="H119" t="n">
        <v>5</v>
      </c>
      <c r="I119" t="n">
        <v>0</v>
      </c>
      <c r="J119" t="n">
        <v>0</v>
      </c>
      <c r="K119">
        <f>IF(H119-I119-J119&gt;0,H119-I119-J119,0)</f>
        <v/>
      </c>
      <c r="L119" s="1">
        <f>IFERROR(I119*E119,0)</f>
        <v/>
      </c>
      <c r="M119" s="1">
        <f>IFERROR(K119*E119,0)</f>
        <v/>
      </c>
    </row>
    <row r="120">
      <c r="A120" t="inlineStr">
        <is>
          <t>1012658</t>
        </is>
      </c>
      <c r="B120" t="inlineStr">
        <is>
          <t>CMP 718 2T</t>
        </is>
      </c>
      <c r="C120" t="inlineStr">
        <is>
          <t>SODECA</t>
        </is>
      </c>
      <c r="D120" t="inlineStr">
        <is>
          <t>FM - SODECA</t>
        </is>
      </c>
      <c r="E120" s="1" t="n">
        <v>4105.16</v>
      </c>
      <c r="F120" t="n">
        <v>2</v>
      </c>
      <c r="G120" t="n">
        <v>0</v>
      </c>
      <c r="H120" t="n">
        <v>4</v>
      </c>
      <c r="I120" t="n">
        <v>0</v>
      </c>
      <c r="J120" t="n">
        <v>0</v>
      </c>
      <c r="K120">
        <f>IF(H120-I120-J120&gt;0,H120-I120-J120,0)</f>
        <v/>
      </c>
      <c r="L120" s="1">
        <f>IFERROR(I120*E120,0)</f>
        <v/>
      </c>
      <c r="M120" s="1">
        <f>IFERROR(K120*E120,0)</f>
        <v/>
      </c>
    </row>
    <row r="121">
      <c r="A121" t="inlineStr">
        <is>
          <t>1012671</t>
        </is>
      </c>
      <c r="B121" t="inlineStr">
        <is>
          <t>CMP 820 2T</t>
        </is>
      </c>
      <c r="C121" t="inlineStr">
        <is>
          <t>SODECA</t>
        </is>
      </c>
      <c r="D121" t="inlineStr">
        <is>
          <t>FM - SODECA</t>
        </is>
      </c>
      <c r="E121" s="1" t="n">
        <v>4679.14</v>
      </c>
      <c r="F121" t="n">
        <v>2</v>
      </c>
      <c r="G121" t="n">
        <v>0</v>
      </c>
      <c r="H121" t="n">
        <v>4</v>
      </c>
      <c r="I121" t="n">
        <v>0</v>
      </c>
      <c r="J121" t="n">
        <v>0</v>
      </c>
      <c r="K121">
        <f>IF(H121-I121-J121&gt;0,H121-I121-J121,0)</f>
        <v/>
      </c>
      <c r="L121" s="1">
        <f>IFERROR(I121*E121,0)</f>
        <v/>
      </c>
      <c r="M121" s="1">
        <f>IFERROR(K121*E121,0)</f>
        <v/>
      </c>
    </row>
    <row r="122">
      <c r="A122" t="inlineStr">
        <is>
          <t>1012695</t>
        </is>
      </c>
      <c r="B122" t="inlineStr">
        <is>
          <t>CMP 1025 2T 3</t>
        </is>
      </c>
      <c r="C122" t="inlineStr">
        <is>
          <t>SODECA</t>
        </is>
      </c>
      <c r="D122" t="inlineStr">
        <is>
          <t>FM - SODECA</t>
        </is>
      </c>
      <c r="E122" s="1" t="n">
        <v>6886.04</v>
      </c>
      <c r="F122" t="n">
        <v>4</v>
      </c>
      <c r="G122" t="n">
        <v>0</v>
      </c>
      <c r="H122" t="n">
        <v>8</v>
      </c>
      <c r="I122" t="n">
        <v>0</v>
      </c>
      <c r="J122" t="n">
        <v>0</v>
      </c>
      <c r="K122">
        <f>IF(H122-I122-J122&gt;0,H122-I122-J122,0)</f>
        <v/>
      </c>
      <c r="L122" s="1">
        <f>IFERROR(I122*E122,0)</f>
        <v/>
      </c>
      <c r="M122" s="1">
        <f>IFERROR(K122*E122,0)</f>
        <v/>
      </c>
    </row>
    <row r="123">
      <c r="A123" t="inlineStr">
        <is>
          <t>101397</t>
        </is>
      </c>
      <c r="B123" t="inlineStr">
        <is>
          <t>ANTI SPATTER 500ML</t>
        </is>
      </c>
      <c r="C123" t="inlineStr">
        <is>
          <t>INTROWELD CC</t>
        </is>
      </c>
      <c r="D123" t="inlineStr"/>
      <c r="E123" s="1" t="n">
        <v>75.06999999999999</v>
      </c>
      <c r="F123" t="n">
        <v>10</v>
      </c>
      <c r="G123" t="n">
        <v>0</v>
      </c>
      <c r="H123" t="n">
        <v>50</v>
      </c>
      <c r="I123" t="n">
        <v>0</v>
      </c>
      <c r="J123" t="n">
        <v>0</v>
      </c>
      <c r="K123">
        <f>IF(H123-I123-J123&gt;0,H123-I123-J123,0)</f>
        <v/>
      </c>
      <c r="L123" s="1">
        <f>IFERROR(I123*E123,0)</f>
        <v/>
      </c>
      <c r="M123" s="1">
        <f>IFERROR(K123*E123,0)</f>
        <v/>
      </c>
    </row>
    <row r="124">
      <c r="A124" t="inlineStr">
        <is>
          <t>101430</t>
        </is>
      </c>
      <c r="B124" t="inlineStr">
        <is>
          <t>SOAP STONE (1 Box = 144 or ea)</t>
        </is>
      </c>
      <c r="C124" t="inlineStr">
        <is>
          <t>INTROWELD CC</t>
        </is>
      </c>
      <c r="D124" t="inlineStr">
        <is>
          <t>CONSUMABLES</t>
        </is>
      </c>
      <c r="E124" s="1" t="n">
        <v>2.85</v>
      </c>
      <c r="F124" t="n">
        <v>86</v>
      </c>
      <c r="G124" t="n">
        <v>0</v>
      </c>
      <c r="H124" t="n">
        <v>374</v>
      </c>
      <c r="I124" t="n">
        <v>0</v>
      </c>
      <c r="J124" t="n">
        <v>0</v>
      </c>
      <c r="K124">
        <f>IF(H124-I124-J124&gt;0,H124-I124-J124,0)</f>
        <v/>
      </c>
      <c r="L124" s="1">
        <f>IFERROR(I124*E124,0)</f>
        <v/>
      </c>
      <c r="M124" s="1">
        <f>IFERROR(K124*E124,0)</f>
        <v/>
      </c>
    </row>
    <row r="125">
      <c r="A125" t="inlineStr">
        <is>
          <t>1016608</t>
        </is>
      </c>
      <c r="B125" t="inlineStr">
        <is>
          <t>HEP-25-2T/H 220-240/380-415V</t>
        </is>
      </c>
      <c r="C125" t="inlineStr">
        <is>
          <t>SODECA</t>
        </is>
      </c>
      <c r="D125" t="inlineStr"/>
      <c r="E125" s="1" t="n">
        <v>3617.41</v>
      </c>
      <c r="F125" t="n">
        <v>8</v>
      </c>
      <c r="G125" t="n">
        <v>0</v>
      </c>
      <c r="H125" t="n">
        <v>14</v>
      </c>
      <c r="I125" t="n">
        <v>0</v>
      </c>
      <c r="J125" t="n">
        <v>0</v>
      </c>
      <c r="K125">
        <f>IF(H125-I125-J125&gt;0,H125-I125-J125,0)</f>
        <v/>
      </c>
      <c r="L125" s="1">
        <f>IFERROR(I125*E125,0)</f>
        <v/>
      </c>
      <c r="M125" s="1">
        <f>IFERROR(K125*E125,0)</f>
        <v/>
      </c>
    </row>
    <row r="126">
      <c r="A126" t="inlineStr">
        <is>
          <t>1016614</t>
        </is>
      </c>
      <c r="B126" t="inlineStr">
        <is>
          <t>HEP-31-2M/H 220-240V</t>
        </is>
      </c>
      <c r="C126" t="inlineStr">
        <is>
          <t>SODECA</t>
        </is>
      </c>
      <c r="D126" t="inlineStr">
        <is>
          <t>Sodeca</t>
        </is>
      </c>
      <c r="E126" s="1" t="n">
        <v>2971.02</v>
      </c>
      <c r="F126" t="n">
        <v>2</v>
      </c>
      <c r="G126" t="n">
        <v>0</v>
      </c>
      <c r="H126" t="n">
        <v>4</v>
      </c>
      <c r="I126" t="n">
        <v>0</v>
      </c>
      <c r="J126" t="n">
        <v>0</v>
      </c>
      <c r="K126">
        <f>IF(H126-I126-J126&gt;0,H126-I126-J126,0)</f>
        <v/>
      </c>
      <c r="L126" s="1">
        <f>IFERROR(I126*E126,0)</f>
        <v/>
      </c>
      <c r="M126" s="1">
        <f>IFERROR(K126*E126,0)</f>
        <v/>
      </c>
    </row>
    <row r="127">
      <c r="A127" t="inlineStr">
        <is>
          <t>1017052</t>
        </is>
      </c>
      <c r="B127" t="inlineStr">
        <is>
          <t>HC-25-2M/H</t>
        </is>
      </c>
      <c r="C127" t="inlineStr"/>
      <c r="D127" t="inlineStr">
        <is>
          <t>FM - SODECA</t>
        </is>
      </c>
      <c r="E127" s="1" t="n">
        <v>0</v>
      </c>
      <c r="F127" t="n">
        <v>1</v>
      </c>
      <c r="G127" t="n">
        <v>0</v>
      </c>
      <c r="H127" t="n">
        <v>2</v>
      </c>
      <c r="I127" t="n">
        <v>0</v>
      </c>
      <c r="J127" t="n">
        <v>0</v>
      </c>
      <c r="K127">
        <f>IF(H127-I127-J127&gt;0,H127-I127-J127,0)</f>
        <v/>
      </c>
      <c r="L127" s="1">
        <f>IFERROR(I127*E127,0)</f>
        <v/>
      </c>
      <c r="M127" s="1">
        <f>IFERROR(K127*E127,0)</f>
        <v/>
      </c>
    </row>
    <row r="128">
      <c r="A128" t="inlineStr">
        <is>
          <t>1017069</t>
        </is>
      </c>
      <c r="B128" t="inlineStr">
        <is>
          <t>HC-25-4M/H</t>
        </is>
      </c>
      <c r="C128" t="inlineStr">
        <is>
          <t>SODECA</t>
        </is>
      </c>
      <c r="D128" t="inlineStr">
        <is>
          <t>FM - SODECA</t>
        </is>
      </c>
      <c r="E128" s="1" t="n">
        <v>1464.39</v>
      </c>
      <c r="F128" t="n">
        <v>3</v>
      </c>
      <c r="G128" t="n">
        <v>0</v>
      </c>
      <c r="H128" t="n">
        <v>5</v>
      </c>
      <c r="I128" t="n">
        <v>0</v>
      </c>
      <c r="J128" t="n">
        <v>0</v>
      </c>
      <c r="K128">
        <f>IF(H128-I128-J128&gt;0,H128-I128-J128,0)</f>
        <v/>
      </c>
      <c r="L128" s="1">
        <f>IFERROR(I128*E128,0)</f>
        <v/>
      </c>
      <c r="M128" s="1">
        <f>IFERROR(K128*E128,0)</f>
        <v/>
      </c>
    </row>
    <row r="129">
      <c r="A129" t="inlineStr">
        <is>
          <t>1017082</t>
        </is>
      </c>
      <c r="B129" t="inlineStr">
        <is>
          <t>HC-31-2M/H</t>
        </is>
      </c>
      <c r="C129" t="inlineStr"/>
      <c r="D129" t="inlineStr">
        <is>
          <t>FM - SODECA</t>
        </is>
      </c>
      <c r="E129" s="1" t="n">
        <v>0</v>
      </c>
      <c r="F129" t="n">
        <v>1</v>
      </c>
      <c r="G129" t="n">
        <v>0</v>
      </c>
      <c r="H129" t="n">
        <v>2</v>
      </c>
      <c r="I129" t="n">
        <v>0</v>
      </c>
      <c r="J129" t="n">
        <v>0</v>
      </c>
      <c r="K129">
        <f>IF(H129-I129-J129&gt;0,H129-I129-J129,0)</f>
        <v/>
      </c>
      <c r="L129" s="1">
        <f>IFERROR(I129*E129,0)</f>
        <v/>
      </c>
      <c r="M129" s="1">
        <f>IFERROR(K129*E129,0)</f>
        <v/>
      </c>
    </row>
    <row r="130">
      <c r="A130" t="inlineStr">
        <is>
          <t>1017097</t>
        </is>
      </c>
      <c r="B130" t="inlineStr">
        <is>
          <t>HC-31-4M/H</t>
        </is>
      </c>
      <c r="C130" t="inlineStr">
        <is>
          <t>Luft Industries Natal (Pty) Ltd</t>
        </is>
      </c>
      <c r="D130" t="inlineStr">
        <is>
          <t>FM - SODECA</t>
        </is>
      </c>
      <c r="E130" s="1" t="n">
        <v>1340.63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>
        <f>IF(H130-I130-J130&gt;0,H130-I130-J130,0)</f>
        <v/>
      </c>
      <c r="L130" s="1">
        <f>IFERROR(I130*E130,0)</f>
        <v/>
      </c>
      <c r="M130" s="1">
        <f>IFERROR(K130*E130,0)</f>
        <v/>
      </c>
    </row>
    <row r="131">
      <c r="A131" t="inlineStr">
        <is>
          <t>1017106</t>
        </is>
      </c>
      <c r="B131" t="inlineStr">
        <is>
          <t>HC-35-4M/H</t>
        </is>
      </c>
      <c r="C131" t="inlineStr"/>
      <c r="D131" t="inlineStr">
        <is>
          <t>FM - SODECA</t>
        </is>
      </c>
      <c r="E131" s="1" t="n">
        <v>0</v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>
        <f>IF(H131-I131-J131&gt;0,H131-I131-J131,0)</f>
        <v/>
      </c>
      <c r="L131" s="1">
        <f>IFERROR(I131*E131,0)</f>
        <v/>
      </c>
      <c r="M131" s="1">
        <f>IFERROR(K131*E131,0)</f>
        <v/>
      </c>
    </row>
    <row r="132">
      <c r="A132" t="inlineStr">
        <is>
          <t>1017125</t>
        </is>
      </c>
      <c r="B132" t="inlineStr">
        <is>
          <t>HC-40-4M/H</t>
        </is>
      </c>
      <c r="C132" t="inlineStr"/>
      <c r="D132" t="inlineStr">
        <is>
          <t>FM - SODECA</t>
        </is>
      </c>
      <c r="E132" s="1" t="n">
        <v>0</v>
      </c>
      <c r="F132" t="n">
        <v>1</v>
      </c>
      <c r="G132" t="n">
        <v>0</v>
      </c>
      <c r="H132" t="n">
        <v>2</v>
      </c>
      <c r="I132" t="n">
        <v>0</v>
      </c>
      <c r="J132" t="n">
        <v>0</v>
      </c>
      <c r="K132">
        <f>IF(H132-I132-J132&gt;0,H132-I132-J132,0)</f>
        <v/>
      </c>
      <c r="L132" s="1">
        <f>IFERROR(I132*E132,0)</f>
        <v/>
      </c>
      <c r="M132" s="1">
        <f>IFERROR(K132*E132,0)</f>
        <v/>
      </c>
    </row>
    <row r="133">
      <c r="A133" t="inlineStr">
        <is>
          <t>1017127</t>
        </is>
      </c>
      <c r="B133" t="inlineStr">
        <is>
          <t>HC-40-4T/H</t>
        </is>
      </c>
      <c r="C133" t="inlineStr"/>
      <c r="D133" t="inlineStr">
        <is>
          <t>FM - SODECA</t>
        </is>
      </c>
      <c r="E133" s="1" t="n">
        <v>0</v>
      </c>
      <c r="F133" t="n">
        <v>1</v>
      </c>
      <c r="G133" t="n">
        <v>0</v>
      </c>
      <c r="H133" t="n">
        <v>2</v>
      </c>
      <c r="I133" t="n">
        <v>0</v>
      </c>
      <c r="J133" t="n">
        <v>0</v>
      </c>
      <c r="K133">
        <f>IF(H133-I133-J133&gt;0,H133-I133-J133,0)</f>
        <v/>
      </c>
      <c r="L133" s="1">
        <f>IFERROR(I133*E133,0)</f>
        <v/>
      </c>
      <c r="M133" s="1">
        <f>IFERROR(K133*E133,0)</f>
        <v/>
      </c>
    </row>
    <row r="134">
      <c r="A134" t="inlineStr">
        <is>
          <t>1017130</t>
        </is>
      </c>
      <c r="B134" t="inlineStr">
        <is>
          <t>HC-40-6T/H</t>
        </is>
      </c>
      <c r="C134" t="inlineStr"/>
      <c r="D134" t="inlineStr">
        <is>
          <t>FM - SODECA</t>
        </is>
      </c>
      <c r="E134" s="1" t="n">
        <v>0</v>
      </c>
      <c r="F134" t="n">
        <v>1</v>
      </c>
      <c r="G134" t="n">
        <v>0</v>
      </c>
      <c r="H134" t="n">
        <v>2</v>
      </c>
      <c r="I134" t="n">
        <v>0</v>
      </c>
      <c r="J134" t="n">
        <v>0</v>
      </c>
      <c r="K134">
        <f>IF(H134-I134-J134&gt;0,H134-I134-J134,0)</f>
        <v/>
      </c>
      <c r="L134" s="1">
        <f>IFERROR(I134*E134,0)</f>
        <v/>
      </c>
      <c r="M134" s="1">
        <f>IFERROR(K134*E134,0)</f>
        <v/>
      </c>
    </row>
    <row r="135">
      <c r="A135" t="inlineStr">
        <is>
          <t>1017131</t>
        </is>
      </c>
      <c r="B135" t="inlineStr">
        <is>
          <t>HC-45-4M/H</t>
        </is>
      </c>
      <c r="C135" t="inlineStr"/>
      <c r="D135" t="inlineStr">
        <is>
          <t>FM - SODECA</t>
        </is>
      </c>
      <c r="E135" s="1" t="n">
        <v>0</v>
      </c>
      <c r="F135" t="n">
        <v>1</v>
      </c>
      <c r="G135" t="n">
        <v>0</v>
      </c>
      <c r="H135" t="n">
        <v>2</v>
      </c>
      <c r="I135" t="n">
        <v>0</v>
      </c>
      <c r="J135" t="n">
        <v>0</v>
      </c>
      <c r="K135">
        <f>IF(H135-I135-J135&gt;0,H135-I135-J135,0)</f>
        <v/>
      </c>
      <c r="L135" s="1">
        <f>IFERROR(I135*E135,0)</f>
        <v/>
      </c>
      <c r="M135" s="1">
        <f>IFERROR(K135*E135,0)</f>
        <v/>
      </c>
    </row>
    <row r="136">
      <c r="A136" t="inlineStr">
        <is>
          <t>1017138</t>
        </is>
      </c>
      <c r="B136" t="inlineStr">
        <is>
          <t>HC-45-6M/H</t>
        </is>
      </c>
      <c r="C136" t="inlineStr">
        <is>
          <t>Luft Industries Natal (Pty) Ltd</t>
        </is>
      </c>
      <c r="D136" t="inlineStr">
        <is>
          <t>FM - SODECA</t>
        </is>
      </c>
      <c r="E136" s="1" t="n">
        <v>2993.25</v>
      </c>
      <c r="F136" t="n">
        <v>1</v>
      </c>
      <c r="G136" t="n">
        <v>0</v>
      </c>
      <c r="H136" t="n">
        <v>2</v>
      </c>
      <c r="I136" t="n">
        <v>0</v>
      </c>
      <c r="J136" t="n">
        <v>0</v>
      </c>
      <c r="K136">
        <f>IF(H136-I136-J136&gt;0,H136-I136-J136,0)</f>
        <v/>
      </c>
      <c r="L136" s="1">
        <f>IFERROR(I136*E136,0)</f>
        <v/>
      </c>
      <c r="M136" s="1">
        <f>IFERROR(K136*E136,0)</f>
        <v/>
      </c>
    </row>
    <row r="137">
      <c r="A137" t="inlineStr">
        <is>
          <t>1017139</t>
        </is>
      </c>
      <c r="B137" t="inlineStr">
        <is>
          <t>HC-45-6T/H</t>
        </is>
      </c>
      <c r="C137" t="inlineStr"/>
      <c r="D137" t="inlineStr">
        <is>
          <t>FM - SODECA</t>
        </is>
      </c>
      <c r="E137" s="1" t="n">
        <v>0</v>
      </c>
      <c r="F137" t="n">
        <v>1</v>
      </c>
      <c r="G137" t="n">
        <v>0</v>
      </c>
      <c r="H137" t="n">
        <v>2</v>
      </c>
      <c r="I137" t="n">
        <v>0</v>
      </c>
      <c r="J137" t="n">
        <v>0</v>
      </c>
      <c r="K137">
        <f>IF(H137-I137-J137&gt;0,H137-I137-J137,0)</f>
        <v/>
      </c>
      <c r="L137" s="1">
        <f>IFERROR(I137*E137,0)</f>
        <v/>
      </c>
      <c r="M137" s="1">
        <f>IFERROR(K137*E137,0)</f>
        <v/>
      </c>
    </row>
    <row r="138">
      <c r="A138" t="inlineStr">
        <is>
          <t>1017140</t>
        </is>
      </c>
      <c r="B138" t="inlineStr">
        <is>
          <t>HC-50-4M/H</t>
        </is>
      </c>
      <c r="C138" t="inlineStr">
        <is>
          <t>Luft Industries Natal (Pty) Ltd</t>
        </is>
      </c>
      <c r="D138" t="inlineStr">
        <is>
          <t>FM - SODECA</t>
        </is>
      </c>
      <c r="E138" s="1" t="n">
        <v>2783.25</v>
      </c>
      <c r="F138" t="n">
        <v>1</v>
      </c>
      <c r="G138" t="n">
        <v>0</v>
      </c>
      <c r="H138" t="n">
        <v>2</v>
      </c>
      <c r="I138" t="n">
        <v>0</v>
      </c>
      <c r="J138" t="n">
        <v>0</v>
      </c>
      <c r="K138">
        <f>IF(H138-I138-J138&gt;0,H138-I138-J138,0)</f>
        <v/>
      </c>
      <c r="L138" s="1">
        <f>IFERROR(I138*E138,0)</f>
        <v/>
      </c>
      <c r="M138" s="1">
        <f>IFERROR(K138*E138,0)</f>
        <v/>
      </c>
    </row>
    <row r="139">
      <c r="A139" t="inlineStr">
        <is>
          <t>1017142</t>
        </is>
      </c>
      <c r="B139" t="inlineStr">
        <is>
          <t>HC-50-4T/H</t>
        </is>
      </c>
      <c r="C139" t="inlineStr">
        <is>
          <t>SODECA</t>
        </is>
      </c>
      <c r="D139" t="inlineStr">
        <is>
          <t>FM - SODECA</t>
        </is>
      </c>
      <c r="E139" s="1" t="n">
        <v>5554.99</v>
      </c>
      <c r="F139" t="n">
        <v>1</v>
      </c>
      <c r="G139" t="n">
        <v>0</v>
      </c>
      <c r="H139" t="n">
        <v>3</v>
      </c>
      <c r="I139" t="n">
        <v>0</v>
      </c>
      <c r="J139" t="n">
        <v>0</v>
      </c>
      <c r="K139">
        <f>IF(H139-I139-J139&gt;0,H139-I139-J139,0)</f>
        <v/>
      </c>
      <c r="L139" s="1">
        <f>IFERROR(I139*E139,0)</f>
        <v/>
      </c>
      <c r="M139" s="1">
        <f>IFERROR(K139*E139,0)</f>
        <v/>
      </c>
    </row>
    <row r="140">
      <c r="A140" t="inlineStr">
        <is>
          <t>1017147</t>
        </is>
      </c>
      <c r="B140" t="inlineStr">
        <is>
          <t>HC-50-6M/H</t>
        </is>
      </c>
      <c r="C140" t="inlineStr"/>
      <c r="D140" t="inlineStr">
        <is>
          <t>FM - SODECA</t>
        </is>
      </c>
      <c r="E140" s="1" t="n">
        <v>0</v>
      </c>
      <c r="F140" t="n">
        <v>1</v>
      </c>
      <c r="G140" t="n">
        <v>0</v>
      </c>
      <c r="H140" t="n">
        <v>2</v>
      </c>
      <c r="I140" t="n">
        <v>0</v>
      </c>
      <c r="J140" t="n">
        <v>0</v>
      </c>
      <c r="K140">
        <f>IF(H140-I140-J140&gt;0,H140-I140-J140,0)</f>
        <v/>
      </c>
      <c r="L140" s="1">
        <f>IFERROR(I140*E140,0)</f>
        <v/>
      </c>
      <c r="M140" s="1">
        <f>IFERROR(K140*E140,0)</f>
        <v/>
      </c>
    </row>
    <row r="141">
      <c r="A141" t="inlineStr">
        <is>
          <t>1017148</t>
        </is>
      </c>
      <c r="B141" t="inlineStr">
        <is>
          <t>HC-50-6T/H</t>
        </is>
      </c>
      <c r="C141" t="inlineStr"/>
      <c r="D141" t="inlineStr">
        <is>
          <t>FM - SODECA</t>
        </is>
      </c>
      <c r="E141" s="1" t="n">
        <v>0</v>
      </c>
      <c r="F141" t="n">
        <v>1</v>
      </c>
      <c r="G141" t="n">
        <v>0</v>
      </c>
      <c r="H141" t="n">
        <v>2</v>
      </c>
      <c r="I141" t="n">
        <v>0</v>
      </c>
      <c r="J141" t="n">
        <v>0</v>
      </c>
      <c r="K141">
        <f>IF(H141-I141-J141&gt;0,H141-I141-J141,0)</f>
        <v/>
      </c>
      <c r="L141" s="1">
        <f>IFERROR(I141*E141,0)</f>
        <v/>
      </c>
      <c r="M141" s="1">
        <f>IFERROR(K141*E141,0)</f>
        <v/>
      </c>
    </row>
    <row r="142">
      <c r="A142" t="inlineStr">
        <is>
          <t>1017177</t>
        </is>
      </c>
      <c r="B142" t="inlineStr">
        <is>
          <t>HC-56-4T/H IE3</t>
        </is>
      </c>
      <c r="C142" t="inlineStr">
        <is>
          <t>Luft Industries Natal (Pty) Ltd</t>
        </is>
      </c>
      <c r="D142" t="inlineStr">
        <is>
          <t>FM - SODECA</t>
        </is>
      </c>
      <c r="E142" s="1" t="n">
        <v>2428.5</v>
      </c>
      <c r="F142" t="n">
        <v>1</v>
      </c>
      <c r="G142" t="n">
        <v>0</v>
      </c>
      <c r="H142" t="n">
        <v>5</v>
      </c>
      <c r="I142" t="n">
        <v>0</v>
      </c>
      <c r="J142" t="n">
        <v>0</v>
      </c>
      <c r="K142">
        <f>IF(H142-I142-J142&gt;0,H142-I142-J142,0)</f>
        <v/>
      </c>
      <c r="L142" s="1">
        <f>IFERROR(I142*E142,0)</f>
        <v/>
      </c>
      <c r="M142" s="1">
        <f>IFERROR(K142*E142,0)</f>
        <v/>
      </c>
    </row>
    <row r="143">
      <c r="A143" t="inlineStr">
        <is>
          <t>1030701</t>
        </is>
      </c>
      <c r="B143" t="inlineStr">
        <is>
          <t>TIRACANO</t>
        </is>
      </c>
      <c r="C143" t="inlineStr">
        <is>
          <t>SODECA</t>
        </is>
      </c>
      <c r="D143" t="inlineStr"/>
      <c r="E143" s="1" t="n">
        <v>4831.25</v>
      </c>
      <c r="F143" t="n">
        <v>7</v>
      </c>
      <c r="G143" t="n">
        <v>0</v>
      </c>
      <c r="H143" t="n">
        <v>17</v>
      </c>
      <c r="I143" t="n">
        <v>0</v>
      </c>
      <c r="J143" t="n">
        <v>20</v>
      </c>
      <c r="K143">
        <f>IF(H143-I143-J143&gt;0,H143-I143-J143,0)</f>
        <v/>
      </c>
      <c r="L143" s="1">
        <f>IFERROR(I143*E143,0)</f>
        <v/>
      </c>
      <c r="M143" s="1">
        <f>IFERROR(K143*E143,0)</f>
        <v/>
      </c>
    </row>
    <row r="144">
      <c r="A144" t="inlineStr">
        <is>
          <t>1034783</t>
        </is>
      </c>
      <c r="B144" t="inlineStr">
        <is>
          <t>NEOLINEO-125/V</t>
        </is>
      </c>
      <c r="C144" t="inlineStr">
        <is>
          <t>SODECA</t>
        </is>
      </c>
      <c r="D144" t="inlineStr"/>
      <c r="E144" s="1" t="n">
        <v>357.27</v>
      </c>
      <c r="F144" t="n">
        <v>52</v>
      </c>
      <c r="G144" t="n">
        <v>0</v>
      </c>
      <c r="H144" t="n">
        <v>104</v>
      </c>
      <c r="I144" t="n">
        <v>0</v>
      </c>
      <c r="J144" t="n">
        <v>0</v>
      </c>
      <c r="K144">
        <f>IF(H144-I144-J144&gt;0,H144-I144-J144,0)</f>
        <v/>
      </c>
      <c r="L144" s="1">
        <f>IFERROR(I144*E144,0)</f>
        <v/>
      </c>
      <c r="M144" s="1">
        <f>IFERROR(K144*E144,0)</f>
        <v/>
      </c>
    </row>
    <row r="145">
      <c r="A145" t="inlineStr">
        <is>
          <t>1034784</t>
        </is>
      </c>
      <c r="B145" t="inlineStr">
        <is>
          <t>NEOLINEO-150/V</t>
        </is>
      </c>
      <c r="C145" t="inlineStr">
        <is>
          <t>SODECA</t>
        </is>
      </c>
      <c r="D145" t="inlineStr">
        <is>
          <t>FM - SODECA</t>
        </is>
      </c>
      <c r="E145" s="1" t="n">
        <v>657.41</v>
      </c>
      <c r="F145" t="n">
        <v>52</v>
      </c>
      <c r="G145" t="n">
        <v>0</v>
      </c>
      <c r="H145" t="n">
        <v>104</v>
      </c>
      <c r="I145" t="n">
        <v>0</v>
      </c>
      <c r="J145" t="n">
        <v>0</v>
      </c>
      <c r="K145">
        <f>IF(H145-I145-J145&gt;0,H145-I145-J145,0)</f>
        <v/>
      </c>
      <c r="L145" s="1">
        <f>IFERROR(I145*E145,0)</f>
        <v/>
      </c>
      <c r="M145" s="1">
        <f>IFERROR(K145*E145,0)</f>
        <v/>
      </c>
    </row>
    <row r="146">
      <c r="A146" t="inlineStr">
        <is>
          <t>1034786</t>
        </is>
      </c>
      <c r="B146" t="inlineStr">
        <is>
          <t>NEOLINEO-200/V</t>
        </is>
      </c>
      <c r="C146" t="inlineStr">
        <is>
          <t>SODECA</t>
        </is>
      </c>
      <c r="D146" t="inlineStr">
        <is>
          <t>FM - SODECA</t>
        </is>
      </c>
      <c r="E146" s="1" t="n">
        <v>1004.27</v>
      </c>
      <c r="F146" t="n">
        <v>52</v>
      </c>
      <c r="G146" t="n">
        <v>0</v>
      </c>
      <c r="H146" t="n">
        <v>104</v>
      </c>
      <c r="I146" t="n">
        <v>0</v>
      </c>
      <c r="J146" t="n">
        <v>0</v>
      </c>
      <c r="K146">
        <f>IF(H146-I146-J146&gt;0,H146-I146-J146,0)</f>
        <v/>
      </c>
      <c r="L146" s="1">
        <f>IFERROR(I146*E146,0)</f>
        <v/>
      </c>
      <c r="M146" s="1">
        <f>IFERROR(K146*E146,0)</f>
        <v/>
      </c>
    </row>
    <row r="147">
      <c r="A147" t="inlineStr">
        <is>
          <t>1034787</t>
        </is>
      </c>
      <c r="B147" t="inlineStr">
        <is>
          <t>NEOLINEO-250/V</t>
        </is>
      </c>
      <c r="C147" t="inlineStr">
        <is>
          <t>SODECA</t>
        </is>
      </c>
      <c r="D147" t="inlineStr">
        <is>
          <t>FM - SODECA</t>
        </is>
      </c>
      <c r="E147" s="1" t="n">
        <v>1887.42</v>
      </c>
      <c r="F147" t="n">
        <v>52</v>
      </c>
      <c r="G147" t="n">
        <v>0</v>
      </c>
      <c r="H147" t="n">
        <v>104</v>
      </c>
      <c r="I147" t="n">
        <v>0</v>
      </c>
      <c r="J147" t="n">
        <v>0</v>
      </c>
      <c r="K147">
        <f>IF(H147-I147-J147&gt;0,H147-I147-J147,0)</f>
        <v/>
      </c>
      <c r="L147" s="1">
        <f>IFERROR(I147*E147,0)</f>
        <v/>
      </c>
      <c r="M147" s="1">
        <f>IFERROR(K147*E147,0)</f>
        <v/>
      </c>
    </row>
    <row r="148">
      <c r="A148" t="inlineStr">
        <is>
          <t>1034788</t>
        </is>
      </c>
      <c r="B148" t="inlineStr">
        <is>
          <t>NEOLINEO-315/V</t>
        </is>
      </c>
      <c r="C148" t="inlineStr">
        <is>
          <t>SODECA</t>
        </is>
      </c>
      <c r="D148" t="inlineStr">
        <is>
          <t>FM - SODECA</t>
        </is>
      </c>
      <c r="E148" s="1" t="n">
        <v>2583.6</v>
      </c>
      <c r="F148" t="n">
        <v>11</v>
      </c>
      <c r="G148" t="n">
        <v>0</v>
      </c>
      <c r="H148" t="n">
        <v>22</v>
      </c>
      <c r="I148" t="n">
        <v>0</v>
      </c>
      <c r="J148" t="n">
        <v>0</v>
      </c>
      <c r="K148">
        <f>IF(H148-I148-J148&gt;0,H148-I148-J148,0)</f>
        <v/>
      </c>
      <c r="L148" s="1">
        <f>IFERROR(I148*E148,0)</f>
        <v/>
      </c>
      <c r="M148" s="1">
        <f>IFERROR(K148*E148,0)</f>
        <v/>
      </c>
    </row>
    <row r="149">
      <c r="A149" t="inlineStr">
        <is>
          <t>106X3SPA</t>
        </is>
      </c>
      <c r="B149" t="inlineStr">
        <is>
          <t>PULLEY FRICTION BELT V-WEDGE 3 GROOVE SPA 1610 TAPER 106MM FENNER</t>
        </is>
      </c>
      <c r="C149" t="inlineStr">
        <is>
          <t>Bearing Man Group</t>
        </is>
      </c>
      <c r="D149" t="inlineStr"/>
      <c r="E149" s="1" t="n">
        <v>232.51</v>
      </c>
      <c r="F149" t="n">
        <v>1</v>
      </c>
      <c r="G149" t="n">
        <v>0</v>
      </c>
      <c r="H149" t="n">
        <v>5</v>
      </c>
      <c r="I149" t="n">
        <v>0</v>
      </c>
      <c r="J149" t="n">
        <v>0</v>
      </c>
      <c r="K149">
        <f>IF(H149-I149-J149&gt;0,H149-I149-J149,0)</f>
        <v/>
      </c>
      <c r="L149" s="1">
        <f>IFERROR(I149*E149,0)</f>
        <v/>
      </c>
      <c r="M149" s="1">
        <f>IFERROR(K149*E149,0)</f>
        <v/>
      </c>
    </row>
    <row r="150">
      <c r="A150" t="inlineStr">
        <is>
          <t>1100999</t>
        </is>
      </c>
      <c r="B150" t="inlineStr">
        <is>
          <t>Rental Sharp BP 30C25 Copier</t>
        </is>
      </c>
      <c r="C150" t="inlineStr">
        <is>
          <t>CRS Corporate Rental Solutions (Pty) Ltd</t>
        </is>
      </c>
      <c r="D150" t="inlineStr"/>
      <c r="E150" s="1" t="n">
        <v>1388.54</v>
      </c>
      <c r="F150" t="n">
        <v>1</v>
      </c>
      <c r="G150" t="n">
        <v>0</v>
      </c>
      <c r="H150" t="n">
        <v>2</v>
      </c>
      <c r="I150" t="n">
        <v>0</v>
      </c>
      <c r="J150" t="n">
        <v>0</v>
      </c>
      <c r="K150">
        <f>IF(H150-I150-J150&gt;0,H150-I150-J150,0)</f>
        <v/>
      </c>
      <c r="L150" s="1">
        <f>IFERROR(I150*E150,0)</f>
        <v/>
      </c>
      <c r="M150" s="1">
        <f>IFERROR(K150*E150,0)</f>
        <v/>
      </c>
    </row>
    <row r="151">
      <c r="A151" t="inlineStr">
        <is>
          <t>1105306</t>
        </is>
      </c>
      <c r="B151" t="inlineStr">
        <is>
          <t>CMP-1128-2T-5.5/S/PIE RD 230/400V. IE3</t>
        </is>
      </c>
      <c r="C151" t="inlineStr">
        <is>
          <t>SODECA</t>
        </is>
      </c>
      <c r="D151" t="inlineStr">
        <is>
          <t>FM - SODECA</t>
        </is>
      </c>
      <c r="E151" s="1" t="n">
        <v>7659.2</v>
      </c>
      <c r="F151" t="n">
        <v>3</v>
      </c>
      <c r="G151" t="n">
        <v>0</v>
      </c>
      <c r="H151" t="n">
        <v>5</v>
      </c>
      <c r="I151" t="n">
        <v>0</v>
      </c>
      <c r="J151" t="n">
        <v>0</v>
      </c>
      <c r="K151">
        <f>IF(H151-I151-J151&gt;0,H151-I151-J151,0)</f>
        <v/>
      </c>
      <c r="L151" s="1">
        <f>IFERROR(I151*E151,0)</f>
        <v/>
      </c>
      <c r="M151" s="1">
        <f>IFERROR(K151*E151,0)</f>
        <v/>
      </c>
    </row>
    <row r="152">
      <c r="A152" t="inlineStr">
        <is>
          <t>11102</t>
        </is>
      </c>
      <c r="B152" t="inlineStr">
        <is>
          <t>MG 120/5 LL</t>
        </is>
      </c>
      <c r="C152" t="inlineStr"/>
      <c r="D152" t="inlineStr">
        <is>
          <t>FM - VORTICE</t>
        </is>
      </c>
      <c r="E152" s="1" t="n">
        <v>0</v>
      </c>
      <c r="F152" t="n">
        <v>1</v>
      </c>
      <c r="G152" t="n">
        <v>0</v>
      </c>
      <c r="H152" t="n">
        <v>2</v>
      </c>
      <c r="I152" t="n">
        <v>0</v>
      </c>
      <c r="J152" t="n">
        <v>0</v>
      </c>
      <c r="K152">
        <f>IF(H152-I152-J152&gt;0,H152-I152-J152,0)</f>
        <v/>
      </c>
      <c r="L152" s="1">
        <f>IFERROR(I152*E152,0)</f>
        <v/>
      </c>
      <c r="M152" s="1">
        <f>IFERROR(K152*E152,0)</f>
        <v/>
      </c>
    </row>
    <row r="153">
      <c r="A153" t="inlineStr">
        <is>
          <t>11103</t>
        </is>
      </c>
      <c r="B153" t="inlineStr">
        <is>
          <t>MG 120/5 LL T</t>
        </is>
      </c>
      <c r="C153" t="inlineStr"/>
      <c r="D153" t="inlineStr">
        <is>
          <t>FM - VORTICE</t>
        </is>
      </c>
      <c r="E153" s="1" t="n">
        <v>0</v>
      </c>
      <c r="F153" t="n">
        <v>1</v>
      </c>
      <c r="G153" t="n">
        <v>0</v>
      </c>
      <c r="H153" t="n">
        <v>2</v>
      </c>
      <c r="I153" t="n">
        <v>0</v>
      </c>
      <c r="J153" t="n">
        <v>0</v>
      </c>
      <c r="K153">
        <f>IF(H153-I153-J153&gt;0,H153-I153-J153,0)</f>
        <v/>
      </c>
      <c r="L153" s="1">
        <f>IFERROR(I153*E153,0)</f>
        <v/>
      </c>
      <c r="M153" s="1">
        <f>IFERROR(K153*E153,0)</f>
        <v/>
      </c>
    </row>
    <row r="154">
      <c r="A154" t="inlineStr">
        <is>
          <t>11125</t>
        </is>
      </c>
      <c r="B154" t="inlineStr">
        <is>
          <t>MF 150</t>
        </is>
      </c>
      <c r="C154" t="inlineStr">
        <is>
          <t>Vortice Elettrosociali SpA</t>
        </is>
      </c>
      <c r="D154" t="inlineStr">
        <is>
          <t>FM - VORTICE</t>
        </is>
      </c>
      <c r="E154" s="1" t="n">
        <v>129.55</v>
      </c>
      <c r="F154" t="n">
        <v>1</v>
      </c>
      <c r="G154" t="n">
        <v>0</v>
      </c>
      <c r="H154" t="n">
        <v>2</v>
      </c>
      <c r="I154" t="n">
        <v>0</v>
      </c>
      <c r="J154" t="n">
        <v>0</v>
      </c>
      <c r="K154">
        <f>IF(H154-I154-J154&gt;0,H154-I154-J154,0)</f>
        <v/>
      </c>
      <c r="L154" s="1">
        <f>IFERROR(I154*E154,0)</f>
        <v/>
      </c>
      <c r="M154" s="1">
        <f>IFERROR(K154*E154,0)</f>
        <v/>
      </c>
    </row>
    <row r="155">
      <c r="A155" t="inlineStr">
        <is>
          <t>11128</t>
        </is>
      </c>
      <c r="B155" t="inlineStr">
        <is>
          <t>MF 120 T</t>
        </is>
      </c>
      <c r="C155" t="inlineStr"/>
      <c r="D155" t="inlineStr">
        <is>
          <t>FM - VORTICE</t>
        </is>
      </c>
      <c r="E155" s="1" t="n">
        <v>0</v>
      </c>
      <c r="F155" t="n">
        <v>1</v>
      </c>
      <c r="G155" t="n">
        <v>0</v>
      </c>
      <c r="H155" t="n">
        <v>2</v>
      </c>
      <c r="I155" t="n">
        <v>0</v>
      </c>
      <c r="J155" t="n">
        <v>0</v>
      </c>
      <c r="K155">
        <f>IF(H155-I155-J155&gt;0,H155-I155-J155,0)</f>
        <v/>
      </c>
      <c r="L155" s="1">
        <f>IFERROR(I155*E155,0)</f>
        <v/>
      </c>
      <c r="M155" s="1">
        <f>IFERROR(K155*E155,0)</f>
        <v/>
      </c>
    </row>
    <row r="156">
      <c r="A156" t="inlineStr">
        <is>
          <t>11133</t>
        </is>
      </c>
      <c r="B156" t="inlineStr">
        <is>
          <t>MF 150 LL</t>
        </is>
      </c>
      <c r="C156" t="inlineStr">
        <is>
          <t>Vortice Elettrosociali SpA</t>
        </is>
      </c>
      <c r="D156" t="inlineStr">
        <is>
          <t>FM - VORTICE</t>
        </is>
      </c>
      <c r="E156" s="1" t="n">
        <v>887.76</v>
      </c>
      <c r="F156" t="n">
        <v>2</v>
      </c>
      <c r="G156" t="n">
        <v>0</v>
      </c>
      <c r="H156" t="n">
        <v>5</v>
      </c>
      <c r="I156" t="n">
        <v>0</v>
      </c>
      <c r="J156" t="n">
        <v>0</v>
      </c>
      <c r="K156">
        <f>IF(H156-I156-J156&gt;0,H156-I156-J156,0)</f>
        <v/>
      </c>
      <c r="L156" s="1">
        <f>IFERROR(I156*E156,0)</f>
        <v/>
      </c>
      <c r="M156" s="1">
        <f>IFERROR(K156*E156,0)</f>
        <v/>
      </c>
    </row>
    <row r="157">
      <c r="A157" t="inlineStr">
        <is>
          <t>11145</t>
        </is>
      </c>
      <c r="B157" t="inlineStr">
        <is>
          <t>MFO 100/4</t>
        </is>
      </c>
      <c r="C157" t="inlineStr"/>
      <c r="D157" t="inlineStr">
        <is>
          <t>FM - VORTICE</t>
        </is>
      </c>
      <c r="E157" s="1" t="n">
        <v>0</v>
      </c>
      <c r="F157" t="n">
        <v>1</v>
      </c>
      <c r="G157" t="n">
        <v>0</v>
      </c>
      <c r="H157" t="n">
        <v>2</v>
      </c>
      <c r="I157" t="n">
        <v>0</v>
      </c>
      <c r="J157" t="n">
        <v>0</v>
      </c>
      <c r="K157">
        <f>IF(H157-I157-J157&gt;0,H157-I157-J157,0)</f>
        <v/>
      </c>
      <c r="L157" s="1">
        <f>IFERROR(I157*E157,0)</f>
        <v/>
      </c>
      <c r="M157" s="1">
        <f>IFERROR(K157*E157,0)</f>
        <v/>
      </c>
    </row>
    <row r="158">
      <c r="A158" t="inlineStr">
        <is>
          <t>11147</t>
        </is>
      </c>
      <c r="B158" t="inlineStr">
        <is>
          <t>MFO 120/5</t>
        </is>
      </c>
      <c r="C158" t="inlineStr"/>
      <c r="D158" t="inlineStr">
        <is>
          <t>FM - VORTICE</t>
        </is>
      </c>
      <c r="E158" s="1" t="n">
        <v>0</v>
      </c>
      <c r="F158" t="n">
        <v>1</v>
      </c>
      <c r="G158" t="n">
        <v>0</v>
      </c>
      <c r="H158" t="n">
        <v>2</v>
      </c>
      <c r="I158" t="n">
        <v>0</v>
      </c>
      <c r="J158" t="n">
        <v>0</v>
      </c>
      <c r="K158">
        <f>IF(H158-I158-J158&gt;0,H158-I158-J158,0)</f>
        <v/>
      </c>
      <c r="L158" s="1">
        <f>IFERROR(I158*E158,0)</f>
        <v/>
      </c>
      <c r="M158" s="1">
        <f>IFERROR(K158*E158,0)</f>
        <v/>
      </c>
    </row>
    <row r="159">
      <c r="A159" t="inlineStr">
        <is>
          <t>112 TBLOCK AL F</t>
        </is>
      </c>
      <c r="B159" t="inlineStr">
        <is>
          <t>BMG MOTORLINE SPARES</t>
        </is>
      </c>
      <c r="C159" t="inlineStr">
        <is>
          <t>Bearing Man Group</t>
        </is>
      </c>
      <c r="D159" t="inlineStr"/>
      <c r="E159" s="1" t="n">
        <v>83.2</v>
      </c>
      <c r="F159" t="n">
        <v>2</v>
      </c>
      <c r="G159" t="n">
        <v>0</v>
      </c>
      <c r="H159" t="n">
        <v>4</v>
      </c>
      <c r="I159" t="n">
        <v>0</v>
      </c>
      <c r="J159" t="n">
        <v>0</v>
      </c>
      <c r="K159">
        <f>IF(H159-I159-J159&gt;0,H159-I159-J159,0)</f>
        <v/>
      </c>
      <c r="L159" s="1">
        <f>IFERROR(I159*E159,0)</f>
        <v/>
      </c>
      <c r="M159" s="1">
        <f>IFERROR(K159*E159,0)</f>
        <v/>
      </c>
    </row>
    <row r="160">
      <c r="A160" t="inlineStr">
        <is>
          <t>11201</t>
        </is>
      </c>
      <c r="B160" t="inlineStr">
        <is>
          <t>M 100 / 4</t>
        </is>
      </c>
      <c r="C160" t="inlineStr"/>
      <c r="D160" t="inlineStr">
        <is>
          <t>FM - VORTICE</t>
        </is>
      </c>
      <c r="E160" s="1" t="n">
        <v>0</v>
      </c>
      <c r="F160" t="n">
        <v>1</v>
      </c>
      <c r="G160" t="n">
        <v>0</v>
      </c>
      <c r="H160" t="n">
        <v>2</v>
      </c>
      <c r="I160" t="n">
        <v>0</v>
      </c>
      <c r="J160" t="n">
        <v>0</v>
      </c>
      <c r="K160">
        <f>IF(H160-I160-J160&gt;0,H160-I160-J160,0)</f>
        <v/>
      </c>
      <c r="L160" s="1">
        <f>IFERROR(I160*E160,0)</f>
        <v/>
      </c>
      <c r="M160" s="1">
        <f>IFERROR(K160*E160,0)</f>
        <v/>
      </c>
    </row>
    <row r="161">
      <c r="A161" t="inlineStr">
        <is>
          <t>112525</t>
        </is>
      </c>
      <c r="B161" t="inlineStr">
        <is>
          <t>11Kw 2P 525V motor to suit 630 Fans</t>
        </is>
      </c>
      <c r="C161" t="inlineStr">
        <is>
          <t>ACTOM</t>
        </is>
      </c>
      <c r="D161" t="inlineStr"/>
      <c r="E161" s="1" t="n">
        <v>11439</v>
      </c>
      <c r="F161" t="n">
        <v>2</v>
      </c>
      <c r="G161" t="n">
        <v>0</v>
      </c>
      <c r="H161" t="n">
        <v>7</v>
      </c>
      <c r="I161" t="n">
        <v>0</v>
      </c>
      <c r="J161" t="n">
        <v>0</v>
      </c>
      <c r="K161">
        <f>IF(H161-I161-J161&gt;0,H161-I161-J161,0)</f>
        <v/>
      </c>
      <c r="L161" s="1">
        <f>IFERROR(I161*E161,0)</f>
        <v/>
      </c>
      <c r="M161" s="1">
        <f>IFERROR(K161*E161,0)</f>
        <v/>
      </c>
    </row>
    <row r="162">
      <c r="A162" t="inlineStr">
        <is>
          <t>11270</t>
        </is>
      </c>
      <c r="B162" t="inlineStr">
        <is>
          <t>ME 120/5 LL</t>
        </is>
      </c>
      <c r="C162" t="inlineStr"/>
      <c r="D162" t="inlineStr">
        <is>
          <t>FM - VORTICE</t>
        </is>
      </c>
      <c r="E162" s="1" t="n">
        <v>0</v>
      </c>
      <c r="F162" t="n">
        <v>1</v>
      </c>
      <c r="G162" t="n">
        <v>0</v>
      </c>
      <c r="H162" t="n">
        <v>2</v>
      </c>
      <c r="I162" t="n">
        <v>0</v>
      </c>
      <c r="J162" t="n">
        <v>0</v>
      </c>
      <c r="K162">
        <f>IF(H162-I162-J162&gt;0,H162-I162-J162,0)</f>
        <v/>
      </c>
      <c r="L162" s="1">
        <f>IFERROR(I162*E162,0)</f>
        <v/>
      </c>
      <c r="M162" s="1">
        <f>IFERROR(K162*E162,0)</f>
        <v/>
      </c>
    </row>
    <row r="163">
      <c r="A163" t="inlineStr">
        <is>
          <t>112X3SPA</t>
        </is>
      </c>
      <c r="B163" t="inlineStr">
        <is>
          <t>PULLEY FRICTION BELT V-WEDGE 3 GROOVE SPA 2012 TAPER 112MM FENNER</t>
        </is>
      </c>
      <c r="C163" t="inlineStr">
        <is>
          <t>Bearing Man Group</t>
        </is>
      </c>
      <c r="D163" t="inlineStr"/>
      <c r="E163" s="1" t="n">
        <v>243.11</v>
      </c>
      <c r="F163" t="n">
        <v>1</v>
      </c>
      <c r="G163" t="n">
        <v>0</v>
      </c>
      <c r="H163" t="n">
        <v>3</v>
      </c>
      <c r="I163" t="n">
        <v>0</v>
      </c>
      <c r="J163" t="n">
        <v>0</v>
      </c>
      <c r="K163">
        <f>IF(H163-I163-J163&gt;0,H163-I163-J163,0)</f>
        <v/>
      </c>
      <c r="L163" s="1">
        <f>IFERROR(I163*E163,0)</f>
        <v/>
      </c>
      <c r="M163" s="1">
        <f>IFERROR(K163*E163,0)</f>
        <v/>
      </c>
    </row>
    <row r="164">
      <c r="A164" t="inlineStr">
        <is>
          <t>11301</t>
        </is>
      </c>
      <c r="B164" t="inlineStr">
        <is>
          <t>M 120 / 5</t>
        </is>
      </c>
      <c r="C164" t="inlineStr"/>
      <c r="D164" t="inlineStr">
        <is>
          <t>FM - VORTICE</t>
        </is>
      </c>
      <c r="E164" s="1" t="n">
        <v>0</v>
      </c>
      <c r="F164" t="n">
        <v>1</v>
      </c>
      <c r="G164" t="n">
        <v>0</v>
      </c>
      <c r="H164" t="n">
        <v>2</v>
      </c>
      <c r="I164" t="n">
        <v>0</v>
      </c>
      <c r="J164" t="n">
        <v>0</v>
      </c>
      <c r="K164">
        <f>IF(H164-I164-J164&gt;0,H164-I164-J164,0)</f>
        <v/>
      </c>
      <c r="L164" s="1">
        <f>IFERROR(I164*E164,0)</f>
        <v/>
      </c>
      <c r="M164" s="1">
        <f>IFERROR(K164*E164,0)</f>
        <v/>
      </c>
    </row>
    <row r="165">
      <c r="A165" t="inlineStr">
        <is>
          <t>11302</t>
        </is>
      </c>
      <c r="B165" t="inlineStr">
        <is>
          <t>M 120 / 5 LL</t>
        </is>
      </c>
      <c r="C165" t="inlineStr"/>
      <c r="D165" t="inlineStr">
        <is>
          <t>FM - VORTICE</t>
        </is>
      </c>
      <c r="E165" s="1" t="n">
        <v>0</v>
      </c>
      <c r="F165" t="n">
        <v>1</v>
      </c>
      <c r="G165" t="n">
        <v>0</v>
      </c>
      <c r="H165" t="n">
        <v>2</v>
      </c>
      <c r="I165" t="n">
        <v>0</v>
      </c>
      <c r="J165" t="n">
        <v>0</v>
      </c>
      <c r="K165">
        <f>IF(H165-I165-J165&gt;0,H165-I165-J165,0)</f>
        <v/>
      </c>
      <c r="L165" s="1">
        <f>IFERROR(I165*E165,0)</f>
        <v/>
      </c>
      <c r="M165" s="1">
        <f>IFERROR(K165*E165,0)</f>
        <v/>
      </c>
    </row>
    <row r="166">
      <c r="A166" t="inlineStr">
        <is>
          <t>11311</t>
        </is>
      </c>
      <c r="B166" t="inlineStr">
        <is>
          <t>M 120 / 5 T</t>
        </is>
      </c>
      <c r="C166" t="inlineStr"/>
      <c r="D166" t="inlineStr">
        <is>
          <t>FM - VORTICE</t>
        </is>
      </c>
      <c r="E166" s="1" t="n">
        <v>0</v>
      </c>
      <c r="F166" t="n">
        <v>1</v>
      </c>
      <c r="G166" t="n">
        <v>0</v>
      </c>
      <c r="H166" t="n">
        <v>2</v>
      </c>
      <c r="I166" t="n">
        <v>0</v>
      </c>
      <c r="J166" t="n">
        <v>0</v>
      </c>
      <c r="K166">
        <f>IF(H166-I166-J166&gt;0,H166-I166-J166,0)</f>
        <v/>
      </c>
      <c r="L166" s="1">
        <f>IFERROR(I166*E166,0)</f>
        <v/>
      </c>
      <c r="M166" s="1">
        <f>IFERROR(K166*E166,0)</f>
        <v/>
      </c>
    </row>
    <row r="167">
      <c r="A167" t="inlineStr">
        <is>
          <t>11313</t>
        </is>
      </c>
      <c r="B167" t="inlineStr">
        <is>
          <t>MEX 100/4 LL 1S</t>
        </is>
      </c>
      <c r="C167" t="inlineStr"/>
      <c r="D167" t="inlineStr">
        <is>
          <t>FM - VORTICE</t>
        </is>
      </c>
      <c r="E167" s="1" t="n">
        <v>0</v>
      </c>
      <c r="F167" t="n">
        <v>1</v>
      </c>
      <c r="G167" t="n">
        <v>0</v>
      </c>
      <c r="H167" t="n">
        <v>2</v>
      </c>
      <c r="I167" t="n">
        <v>0</v>
      </c>
      <c r="J167" t="n">
        <v>0</v>
      </c>
      <c r="K167">
        <f>IF(H167-I167-J167&gt;0,H167-I167-J167,0)</f>
        <v/>
      </c>
      <c r="L167" s="1">
        <f>IFERROR(I167*E167,0)</f>
        <v/>
      </c>
      <c r="M167" s="1">
        <f>IFERROR(K167*E167,0)</f>
        <v/>
      </c>
    </row>
    <row r="168">
      <c r="A168" t="inlineStr">
        <is>
          <t>11322</t>
        </is>
      </c>
      <c r="B168" t="inlineStr">
        <is>
          <t>M 120 / 5 A LL</t>
        </is>
      </c>
      <c r="C168" t="inlineStr"/>
      <c r="D168" t="inlineStr">
        <is>
          <t>FM - VORTICE</t>
        </is>
      </c>
      <c r="E168" s="1" t="n">
        <v>0</v>
      </c>
      <c r="F168" t="n">
        <v>1</v>
      </c>
      <c r="G168" t="n">
        <v>0</v>
      </c>
      <c r="H168" t="n">
        <v>2</v>
      </c>
      <c r="I168" t="n">
        <v>0</v>
      </c>
      <c r="J168" t="n">
        <v>0</v>
      </c>
      <c r="K168">
        <f>IF(H168-I168-J168&gt;0,H168-I168-J168,0)</f>
        <v/>
      </c>
      <c r="L168" s="1">
        <f>IFERROR(I168*E168,0)</f>
        <v/>
      </c>
      <c r="M168" s="1">
        <f>IFERROR(K168*E168,0)</f>
        <v/>
      </c>
    </row>
    <row r="169">
      <c r="A169" t="inlineStr">
        <is>
          <t>11333</t>
        </is>
      </c>
      <c r="B169" t="inlineStr">
        <is>
          <t>MEX 120/5 LL IS</t>
        </is>
      </c>
      <c r="C169" t="inlineStr"/>
      <c r="D169" t="inlineStr">
        <is>
          <t>FM - VORTICE</t>
        </is>
      </c>
      <c r="E169" s="1" t="n">
        <v>0</v>
      </c>
      <c r="F169" t="n">
        <v>1</v>
      </c>
      <c r="G169" t="n">
        <v>0</v>
      </c>
      <c r="H169" t="n">
        <v>2</v>
      </c>
      <c r="I169" t="n">
        <v>0</v>
      </c>
      <c r="J169" t="n">
        <v>0</v>
      </c>
      <c r="K169">
        <f>IF(H169-I169-J169&gt;0,H169-I169-J169,0)</f>
        <v/>
      </c>
      <c r="L169" s="1">
        <f>IFERROR(I169*E169,0)</f>
        <v/>
      </c>
      <c r="M169" s="1">
        <f>IFERROR(K169*E169,0)</f>
        <v/>
      </c>
    </row>
    <row r="170">
      <c r="A170" t="inlineStr">
        <is>
          <t>11334</t>
        </is>
      </c>
      <c r="B170" t="inlineStr">
        <is>
          <t>MEX 120/5 1S LLT</t>
        </is>
      </c>
      <c r="C170" t="inlineStr"/>
      <c r="D170" t="inlineStr">
        <is>
          <t>FM - VORTICE</t>
        </is>
      </c>
      <c r="E170" s="1" t="n">
        <v>0</v>
      </c>
      <c r="F170" t="n">
        <v>1</v>
      </c>
      <c r="G170" t="n">
        <v>0</v>
      </c>
      <c r="H170" t="n">
        <v>2</v>
      </c>
      <c r="I170" t="n">
        <v>0</v>
      </c>
      <c r="J170" t="n">
        <v>0</v>
      </c>
      <c r="K170">
        <f>IF(H170-I170-J170&gt;0,H170-I170-J170,0)</f>
        <v/>
      </c>
      <c r="L170" s="1">
        <f>IFERROR(I170*E170,0)</f>
        <v/>
      </c>
      <c r="M170" s="1">
        <f>IFERROR(K170*E170,0)</f>
        <v/>
      </c>
    </row>
    <row r="171">
      <c r="A171" t="inlineStr">
        <is>
          <t>11401</t>
        </is>
      </c>
      <c r="B171" t="inlineStr">
        <is>
          <t>M 150 / 6</t>
        </is>
      </c>
      <c r="C171" t="inlineStr">
        <is>
          <t>Vortice Elettrosociali SpA</t>
        </is>
      </c>
      <c r="D171" t="inlineStr">
        <is>
          <t>FM - VORTICE</t>
        </is>
      </c>
      <c r="E171" s="1" t="n">
        <v>623.03</v>
      </c>
      <c r="F171" t="n">
        <v>3</v>
      </c>
      <c r="G171" t="n">
        <v>0</v>
      </c>
      <c r="H171" t="n">
        <v>12</v>
      </c>
      <c r="I171" t="n">
        <v>0</v>
      </c>
      <c r="J171" t="n">
        <v>0</v>
      </c>
      <c r="K171">
        <f>IF(H171-I171-J171&gt;0,H171-I171-J171,0)</f>
        <v/>
      </c>
      <c r="L171" s="1">
        <f>IFERROR(I171*E171,0)</f>
        <v/>
      </c>
      <c r="M171" s="1">
        <f>IFERROR(K171*E171,0)</f>
        <v/>
      </c>
    </row>
    <row r="172">
      <c r="A172" t="inlineStr">
        <is>
          <t>11402</t>
        </is>
      </c>
      <c r="B172" t="inlineStr">
        <is>
          <t>M 150 / 6 LL</t>
        </is>
      </c>
      <c r="C172" t="inlineStr">
        <is>
          <t>Vortice Elettrosociali SpA</t>
        </is>
      </c>
      <c r="D172" t="inlineStr">
        <is>
          <t>FM - VORTICE</t>
        </is>
      </c>
      <c r="E172" s="1" t="n">
        <v>788.55</v>
      </c>
      <c r="F172" t="n">
        <v>2</v>
      </c>
      <c r="G172" t="n">
        <v>0</v>
      </c>
      <c r="H172" t="n">
        <v>8</v>
      </c>
      <c r="I172" t="n">
        <v>0</v>
      </c>
      <c r="J172" t="n">
        <v>0</v>
      </c>
      <c r="K172">
        <f>IF(H172-I172-J172&gt;0,H172-I172-J172,0)</f>
        <v/>
      </c>
      <c r="L172" s="1">
        <f>IFERROR(I172*E172,0)</f>
        <v/>
      </c>
      <c r="M172" s="1">
        <f>IFERROR(K172*E172,0)</f>
        <v/>
      </c>
    </row>
    <row r="173">
      <c r="A173" t="inlineStr">
        <is>
          <t>11411</t>
        </is>
      </c>
      <c r="B173" t="inlineStr">
        <is>
          <t>M 150 / 6 T</t>
        </is>
      </c>
      <c r="C173" t="inlineStr"/>
      <c r="D173" t="inlineStr">
        <is>
          <t>FM - VORTICE</t>
        </is>
      </c>
      <c r="E173" s="1" t="n">
        <v>0</v>
      </c>
      <c r="F173" t="n">
        <v>1</v>
      </c>
      <c r="G173" t="n">
        <v>0</v>
      </c>
      <c r="H173" t="n">
        <v>2</v>
      </c>
      <c r="I173" t="n">
        <v>0</v>
      </c>
      <c r="J173" t="n">
        <v>0</v>
      </c>
      <c r="K173">
        <f>IF(H173-I173-J173&gt;0,H173-I173-J173,0)</f>
        <v/>
      </c>
      <c r="L173" s="1">
        <f>IFERROR(I173*E173,0)</f>
        <v/>
      </c>
      <c r="M173" s="1">
        <f>IFERROR(K173*E173,0)</f>
        <v/>
      </c>
    </row>
    <row r="174">
      <c r="A174" t="inlineStr">
        <is>
          <t>11421</t>
        </is>
      </c>
      <c r="B174" t="inlineStr">
        <is>
          <t>M 150 / 6 A</t>
        </is>
      </c>
      <c r="C174" t="inlineStr"/>
      <c r="D174" t="inlineStr">
        <is>
          <t>FM - VORTICE</t>
        </is>
      </c>
      <c r="E174" s="1" t="n">
        <v>0</v>
      </c>
      <c r="F174" t="n">
        <v>1</v>
      </c>
      <c r="G174" t="n">
        <v>0</v>
      </c>
      <c r="H174" t="n">
        <v>2</v>
      </c>
      <c r="I174" t="n">
        <v>0</v>
      </c>
      <c r="J174" t="n">
        <v>0</v>
      </c>
      <c r="K174">
        <f>IF(H174-I174-J174&gt;0,H174-I174-J174,0)</f>
        <v/>
      </c>
      <c r="L174" s="1">
        <f>IFERROR(I174*E174,0)</f>
        <v/>
      </c>
      <c r="M174" s="1">
        <f>IFERROR(K174*E174,0)</f>
        <v/>
      </c>
    </row>
    <row r="175">
      <c r="A175" t="inlineStr">
        <is>
          <t>1143.</t>
        </is>
      </c>
      <c r="B175" t="inlineStr">
        <is>
          <t>11kW 4Pole 525V B3 NV3 IE1 Cast Iron</t>
        </is>
      </c>
      <c r="C175" t="inlineStr">
        <is>
          <t>ACTOM</t>
        </is>
      </c>
      <c r="D175" t="inlineStr"/>
      <c r="E175" s="1" t="n">
        <v>8185</v>
      </c>
      <c r="F175" t="n">
        <v>1</v>
      </c>
      <c r="G175" t="n">
        <v>0</v>
      </c>
      <c r="H175" t="n">
        <v>5</v>
      </c>
      <c r="I175" t="n">
        <v>0</v>
      </c>
      <c r="J175" t="n">
        <v>0</v>
      </c>
      <c r="K175">
        <f>IF(H175-I175-J175&gt;0,H175-I175-J175,0)</f>
        <v/>
      </c>
      <c r="L175" s="1">
        <f>IFERROR(I175*E175,0)</f>
        <v/>
      </c>
      <c r="M175" s="1">
        <f>IFERROR(K175*E175,0)</f>
        <v/>
      </c>
    </row>
    <row r="176">
      <c r="A176" t="inlineStr">
        <is>
          <t>1143PM</t>
        </is>
      </c>
      <c r="B176" t="inlineStr">
        <is>
          <t>11KW 4 POLE 380V Pad Mount Motor</t>
        </is>
      </c>
      <c r="C176" t="inlineStr">
        <is>
          <t>WEG South Africa</t>
        </is>
      </c>
      <c r="D176" t="inlineStr"/>
      <c r="E176" s="1" t="n">
        <v>7897.17</v>
      </c>
      <c r="F176" t="n">
        <v>2</v>
      </c>
      <c r="G176" t="n">
        <v>0</v>
      </c>
      <c r="H176" t="n">
        <v>8</v>
      </c>
      <c r="I176" t="n">
        <v>0</v>
      </c>
      <c r="J176" t="n">
        <v>0</v>
      </c>
      <c r="K176">
        <f>IF(H176-I176-J176&gt;0,H176-I176-J176,0)</f>
        <v/>
      </c>
      <c r="L176" s="1">
        <f>IFERROR(I176*E176,0)</f>
        <v/>
      </c>
      <c r="M176" s="1">
        <f>IFERROR(K176*E176,0)</f>
        <v/>
      </c>
    </row>
    <row r="177">
      <c r="A177" t="inlineStr">
        <is>
          <t>11741</t>
        </is>
      </c>
      <c r="B177" t="inlineStr">
        <is>
          <t>M120/5 P</t>
        </is>
      </c>
      <c r="C177" t="inlineStr"/>
      <c r="D177" t="inlineStr">
        <is>
          <t>FM - VORTICE</t>
        </is>
      </c>
      <c r="E177" s="1" t="n">
        <v>0</v>
      </c>
      <c r="F177" t="n">
        <v>1</v>
      </c>
      <c r="G177" t="n">
        <v>0</v>
      </c>
      <c r="H177" t="n">
        <v>2</v>
      </c>
      <c r="I177" t="n">
        <v>0</v>
      </c>
      <c r="J177" t="n">
        <v>0</v>
      </c>
      <c r="K177">
        <f>IF(H177-I177-J177&gt;0,H177-I177-J177,0)</f>
        <v/>
      </c>
      <c r="L177" s="1">
        <f>IFERROR(I177*E177,0)</f>
        <v/>
      </c>
      <c r="M177" s="1">
        <f>IFERROR(K177*E177,0)</f>
        <v/>
      </c>
    </row>
    <row r="178">
      <c r="A178" t="inlineStr">
        <is>
          <t>118X2SPA.</t>
        </is>
      </c>
      <c r="B178" t="inlineStr">
        <is>
          <t>PULLEY FRICTION BELT V-WEDGE 2 GROOVESPA 1610 TAPER 118MM FENNER</t>
        </is>
      </c>
      <c r="C178" t="inlineStr">
        <is>
          <t>Bearing Man Group</t>
        </is>
      </c>
      <c r="D178" t="inlineStr"/>
      <c r="E178" s="1" t="n">
        <v>220.95</v>
      </c>
      <c r="F178" t="n">
        <v>1</v>
      </c>
      <c r="G178" t="n">
        <v>0</v>
      </c>
      <c r="H178" t="n">
        <v>5</v>
      </c>
      <c r="I178" t="n">
        <v>0</v>
      </c>
      <c r="J178" t="n">
        <v>0</v>
      </c>
      <c r="K178">
        <f>IF(H178-I178-J178&gt;0,H178-I178-J178,0)</f>
        <v/>
      </c>
      <c r="L178" s="1">
        <f>IFERROR(I178*E178,0)</f>
        <v/>
      </c>
      <c r="M178" s="1">
        <f>IFERROR(K178*E178,0)</f>
        <v/>
      </c>
    </row>
    <row r="179">
      <c r="A179" t="inlineStr">
        <is>
          <t>118X3SPA</t>
        </is>
      </c>
      <c r="B179" t="inlineStr">
        <is>
          <t>PULLEY FRICTION BELT V-WEDGE 3 GROOVE SPA 2012 TAPER 118MM FENNER</t>
        </is>
      </c>
      <c r="C179" t="inlineStr">
        <is>
          <t>Bearing Man Group</t>
        </is>
      </c>
      <c r="D179" t="inlineStr"/>
      <c r="E179" s="1" t="n">
        <v>309.09</v>
      </c>
      <c r="F179" t="n">
        <v>1</v>
      </c>
      <c r="G179" t="n">
        <v>0</v>
      </c>
      <c r="H179" t="n">
        <v>2</v>
      </c>
      <c r="I179" t="n">
        <v>0</v>
      </c>
      <c r="J179" t="n">
        <v>0</v>
      </c>
      <c r="K179">
        <f>IF(H179-I179-J179&gt;0,H179-I179-J179,0)</f>
        <v/>
      </c>
      <c r="L179" s="1">
        <f>IFERROR(I179*E179,0)</f>
        <v/>
      </c>
      <c r="M179" s="1">
        <f>IFERROR(K179*E179,0)</f>
        <v/>
      </c>
    </row>
    <row r="180">
      <c r="A180" t="inlineStr">
        <is>
          <t>1200000</t>
        </is>
      </c>
      <c r="B180" t="inlineStr">
        <is>
          <t>Insurance</t>
        </is>
      </c>
      <c r="C180" t="inlineStr">
        <is>
          <t>CRS Corporate Rental Solutions (Pty) Ltd</t>
        </is>
      </c>
      <c r="D180" t="inlineStr"/>
      <c r="E180" s="1" t="n">
        <v>252.53</v>
      </c>
      <c r="F180" t="n">
        <v>1</v>
      </c>
      <c r="G180" t="n">
        <v>0</v>
      </c>
      <c r="H180" t="n">
        <v>2</v>
      </c>
      <c r="I180" t="n">
        <v>0</v>
      </c>
      <c r="J180" t="n">
        <v>0</v>
      </c>
      <c r="K180">
        <f>IF(H180-I180-J180&gt;0,H180-I180-J180,0)</f>
        <v/>
      </c>
      <c r="L180" s="1">
        <f>IFERROR(I180*E180,0)</f>
        <v/>
      </c>
      <c r="M180" s="1">
        <f>IFERROR(K180*E180,0)</f>
        <v/>
      </c>
    </row>
    <row r="181">
      <c r="A181" t="inlineStr">
        <is>
          <t>12020</t>
        </is>
      </c>
      <c r="B181" t="inlineStr">
        <is>
          <t>MEDIO I</t>
        </is>
      </c>
      <c r="C181" t="inlineStr">
        <is>
          <t>Vortice Elettrosociali SpA</t>
        </is>
      </c>
      <c r="D181" t="inlineStr">
        <is>
          <t>FM - VORTICE</t>
        </is>
      </c>
      <c r="E181" s="1" t="n">
        <v>1500.14</v>
      </c>
      <c r="F181" t="n">
        <v>2</v>
      </c>
      <c r="G181" t="n">
        <v>0</v>
      </c>
      <c r="H181" t="n">
        <v>4</v>
      </c>
      <c r="I181" t="n">
        <v>0</v>
      </c>
      <c r="J181" t="n">
        <v>0</v>
      </c>
      <c r="K181">
        <f>IF(H181-I181-J181&gt;0,H181-I181-J181,0)</f>
        <v/>
      </c>
      <c r="L181" s="1">
        <f>IFERROR(I181*E181,0)</f>
        <v/>
      </c>
      <c r="M181" s="1">
        <f>IFERROR(K181*E181,0)</f>
        <v/>
      </c>
    </row>
    <row r="182">
      <c r="A182" t="inlineStr">
        <is>
          <t>12023</t>
        </is>
      </c>
      <c r="B182" t="inlineStr">
        <is>
          <t>SUPER I</t>
        </is>
      </c>
      <c r="C182" t="inlineStr">
        <is>
          <t>Vortice Elettrosociali SpA</t>
        </is>
      </c>
      <c r="D182" t="inlineStr">
        <is>
          <t>FM - VORTICE</t>
        </is>
      </c>
      <c r="E182" s="1" t="n">
        <v>1932.21</v>
      </c>
      <c r="F182" t="n">
        <v>1</v>
      </c>
      <c r="G182" t="n">
        <v>0</v>
      </c>
      <c r="H182" t="n">
        <v>3</v>
      </c>
      <c r="I182" t="n">
        <v>0</v>
      </c>
      <c r="J182" t="n">
        <v>0</v>
      </c>
      <c r="K182">
        <f>IF(H182-I182-J182&gt;0,H182-I182-J182,0)</f>
        <v/>
      </c>
      <c r="L182" s="1">
        <f>IFERROR(I182*E182,0)</f>
        <v/>
      </c>
      <c r="M182" s="1">
        <f>IFERROR(K182*E182,0)</f>
        <v/>
      </c>
    </row>
    <row r="183">
      <c r="A183" t="inlineStr">
        <is>
          <t>1210X28MM</t>
        </is>
      </c>
      <c r="B183" t="inlineStr">
        <is>
          <t>TAPER LOCK BUSH METRIC 1210 28MM FENNER</t>
        </is>
      </c>
      <c r="C183" t="inlineStr">
        <is>
          <t>Bearing Man Group</t>
        </is>
      </c>
      <c r="D183" t="inlineStr"/>
      <c r="E183" s="1" t="n">
        <v>62.04</v>
      </c>
      <c r="F183" t="n">
        <v>1</v>
      </c>
      <c r="G183" t="n">
        <v>0</v>
      </c>
      <c r="H183" t="n">
        <v>5</v>
      </c>
      <c r="I183" t="n">
        <v>0</v>
      </c>
      <c r="J183" t="n">
        <v>0</v>
      </c>
      <c r="K183">
        <f>IF(H183-I183-J183&gt;0,H183-I183-J183,0)</f>
        <v/>
      </c>
      <c r="L183" s="1">
        <f>IFERROR(I183*E183,0)</f>
        <v/>
      </c>
      <c r="M183" s="1">
        <f>IFERROR(K183*E183,0)</f>
        <v/>
      </c>
    </row>
    <row r="184">
      <c r="A184" t="inlineStr">
        <is>
          <t>1212521</t>
        </is>
      </c>
      <c r="B184" t="inlineStr">
        <is>
          <t>AT 12/12 SC - Single Unit</t>
        </is>
      </c>
      <c r="C184" t="inlineStr"/>
      <c r="D184" t="inlineStr">
        <is>
          <t>FM - NICOTRA</t>
        </is>
      </c>
      <c r="E184" s="1" t="n">
        <v>0</v>
      </c>
      <c r="F184" t="n">
        <v>1</v>
      </c>
      <c r="G184" t="n">
        <v>0</v>
      </c>
      <c r="H184" t="n">
        <v>2</v>
      </c>
      <c r="I184" t="n">
        <v>0</v>
      </c>
      <c r="J184" t="n">
        <v>0</v>
      </c>
      <c r="K184">
        <f>IF(H184-I184-J184&gt;0,H184-I184-J184,0)</f>
        <v/>
      </c>
      <c r="L184" s="1">
        <f>IFERROR(I184*E184,0)</f>
        <v/>
      </c>
      <c r="M184" s="1">
        <f>IFERROR(K184*E184,0)</f>
        <v/>
      </c>
    </row>
    <row r="185">
      <c r="A185" t="inlineStr">
        <is>
          <t>12412</t>
        </is>
      </c>
      <c r="B185" t="inlineStr">
        <is>
          <t>V 300/12 AR</t>
        </is>
      </c>
      <c r="C185" t="inlineStr">
        <is>
          <t>Vortice Elettrosociali SpA</t>
        </is>
      </c>
      <c r="D185" t="inlineStr">
        <is>
          <t>FM - VORTICE</t>
        </is>
      </c>
      <c r="E185" s="1" t="n">
        <v>2151.51</v>
      </c>
      <c r="F185" t="n">
        <v>2</v>
      </c>
      <c r="G185" t="n">
        <v>0</v>
      </c>
      <c r="H185" t="n">
        <v>5</v>
      </c>
      <c r="I185" t="n">
        <v>0</v>
      </c>
      <c r="J185" t="n">
        <v>0</v>
      </c>
      <c r="K185">
        <f>IF(H185-I185-J185&gt;0,H185-I185-J185,0)</f>
        <v/>
      </c>
      <c r="L185" s="1">
        <f>IFERROR(I185*E185,0)</f>
        <v/>
      </c>
      <c r="M185" s="1">
        <f>IFERROR(K185*E185,0)</f>
        <v/>
      </c>
    </row>
    <row r="186">
      <c r="A186" t="inlineStr">
        <is>
          <t>12413</t>
        </is>
      </c>
      <c r="B186" t="inlineStr">
        <is>
          <t>V 300/12 ARI</t>
        </is>
      </c>
      <c r="C186" t="inlineStr"/>
      <c r="D186" t="inlineStr">
        <is>
          <t>FM - VORTICE</t>
        </is>
      </c>
      <c r="E186" s="1" t="n">
        <v>0</v>
      </c>
      <c r="F186" t="n">
        <v>1</v>
      </c>
      <c r="G186" t="n">
        <v>0</v>
      </c>
      <c r="H186" t="n">
        <v>2</v>
      </c>
      <c r="I186" t="n">
        <v>0</v>
      </c>
      <c r="J186" t="n">
        <v>0</v>
      </c>
      <c r="K186">
        <f>IF(H186-I186-J186&gt;0,H186-I186-J186,0)</f>
        <v/>
      </c>
      <c r="L186" s="1">
        <f>IFERROR(I186*E186,0)</f>
        <v/>
      </c>
      <c r="M186" s="1">
        <f>IFERROR(K186*E186,0)</f>
        <v/>
      </c>
    </row>
    <row r="187">
      <c r="A187" t="inlineStr">
        <is>
          <t>12415</t>
        </is>
      </c>
      <c r="B187" t="inlineStr">
        <is>
          <t>V 300/12 AR LL S</t>
        </is>
      </c>
      <c r="C187" t="inlineStr"/>
      <c r="D187" t="inlineStr">
        <is>
          <t>FM - VORTICE</t>
        </is>
      </c>
      <c r="E187" s="1" t="n">
        <v>0</v>
      </c>
      <c r="F187" t="n">
        <v>1</v>
      </c>
      <c r="G187" t="n">
        <v>0</v>
      </c>
      <c r="H187" t="n">
        <v>2</v>
      </c>
      <c r="I187" t="n">
        <v>0</v>
      </c>
      <c r="J187" t="n">
        <v>0</v>
      </c>
      <c r="K187">
        <f>IF(H187-I187-J187&gt;0,H187-I187-J187,0)</f>
        <v/>
      </c>
      <c r="L187" s="1">
        <f>IFERROR(I187*E187,0)</f>
        <v/>
      </c>
      <c r="M187" s="1">
        <f>IFERROR(K187*E187,0)</f>
        <v/>
      </c>
    </row>
    <row r="188">
      <c r="A188" t="inlineStr">
        <is>
          <t>12416</t>
        </is>
      </c>
      <c r="B188" t="inlineStr">
        <is>
          <t>V 300/12 ARI LL S</t>
        </is>
      </c>
      <c r="C188" t="inlineStr"/>
      <c r="D188" t="inlineStr">
        <is>
          <t>FM - VORTICE</t>
        </is>
      </c>
      <c r="E188" s="1" t="n">
        <v>0</v>
      </c>
      <c r="F188" t="n">
        <v>1</v>
      </c>
      <c r="G188" t="n">
        <v>0</v>
      </c>
      <c r="H188" t="n">
        <v>2</v>
      </c>
      <c r="I188" t="n">
        <v>0</v>
      </c>
      <c r="J188" t="n">
        <v>0</v>
      </c>
      <c r="K188">
        <f>IF(H188-I188-J188&gt;0,H188-I188-J188,0)</f>
        <v/>
      </c>
      <c r="L188" s="1">
        <f>IFERROR(I188*E188,0)</f>
        <v/>
      </c>
      <c r="M188" s="1">
        <f>IFERROR(K188*E188,0)</f>
        <v/>
      </c>
    </row>
    <row r="189">
      <c r="A189" t="inlineStr">
        <is>
          <t>12452</t>
        </is>
      </c>
      <c r="B189" t="inlineStr">
        <is>
          <t>V 230/9 AR</t>
        </is>
      </c>
      <c r="C189" t="inlineStr">
        <is>
          <t>Vortice Elettrosociali SpA</t>
        </is>
      </c>
      <c r="D189" t="inlineStr">
        <is>
          <t>FM - VORTICE</t>
        </is>
      </c>
      <c r="E189" s="1" t="n">
        <v>1730.79</v>
      </c>
      <c r="F189" t="n">
        <v>4</v>
      </c>
      <c r="G189" t="n">
        <v>0</v>
      </c>
      <c r="H189" t="n">
        <v>10</v>
      </c>
      <c r="I189" t="n">
        <v>0</v>
      </c>
      <c r="J189" t="n">
        <v>0</v>
      </c>
      <c r="K189">
        <f>IF(H189-I189-J189&gt;0,H189-I189-J189,0)</f>
        <v/>
      </c>
      <c r="L189" s="1">
        <f>IFERROR(I189*E189,0)</f>
        <v/>
      </c>
      <c r="M189" s="1">
        <f>IFERROR(K189*E189,0)</f>
        <v/>
      </c>
    </row>
    <row r="190">
      <c r="A190" t="inlineStr">
        <is>
          <t>12453</t>
        </is>
      </c>
      <c r="B190" t="inlineStr">
        <is>
          <t>V 230/9 ARI</t>
        </is>
      </c>
      <c r="C190" t="inlineStr"/>
      <c r="D190" t="inlineStr">
        <is>
          <t>FM - VORTICE</t>
        </is>
      </c>
      <c r="E190" s="1" t="n">
        <v>0</v>
      </c>
      <c r="F190" t="n">
        <v>1</v>
      </c>
      <c r="G190" t="n">
        <v>0</v>
      </c>
      <c r="H190" t="n">
        <v>2</v>
      </c>
      <c r="I190" t="n">
        <v>0</v>
      </c>
      <c r="J190" t="n">
        <v>0</v>
      </c>
      <c r="K190">
        <f>IF(H190-I190-J190&gt;0,H190-I190-J190,0)</f>
        <v/>
      </c>
      <c r="L190" s="1">
        <f>IFERROR(I190*E190,0)</f>
        <v/>
      </c>
      <c r="M190" s="1">
        <f>IFERROR(K190*E190,0)</f>
        <v/>
      </c>
    </row>
    <row r="191">
      <c r="A191" t="inlineStr">
        <is>
          <t>12454</t>
        </is>
      </c>
      <c r="B191" t="inlineStr">
        <is>
          <t>V 230/9 P LL S</t>
        </is>
      </c>
      <c r="C191" t="inlineStr"/>
      <c r="D191" t="inlineStr">
        <is>
          <t>FM - VORTICE</t>
        </is>
      </c>
      <c r="E191" s="1" t="n">
        <v>0</v>
      </c>
      <c r="F191" t="n">
        <v>1</v>
      </c>
      <c r="G191" t="n">
        <v>0</v>
      </c>
      <c r="H191" t="n">
        <v>2</v>
      </c>
      <c r="I191" t="n">
        <v>0</v>
      </c>
      <c r="J191" t="n">
        <v>0</v>
      </c>
      <c r="K191">
        <f>IF(H191-I191-J191&gt;0,H191-I191-J191,0)</f>
        <v/>
      </c>
      <c r="L191" s="1">
        <f>IFERROR(I191*E191,0)</f>
        <v/>
      </c>
      <c r="M191" s="1">
        <f>IFERROR(K191*E191,0)</f>
        <v/>
      </c>
    </row>
    <row r="192">
      <c r="A192" t="inlineStr">
        <is>
          <t>12455</t>
        </is>
      </c>
      <c r="B192" t="inlineStr">
        <is>
          <t>V 230/9 AR LL S</t>
        </is>
      </c>
      <c r="C192" t="inlineStr">
        <is>
          <t>Vortice Elettrosociali SpA</t>
        </is>
      </c>
      <c r="D192" t="inlineStr">
        <is>
          <t>FM - VORTICE</t>
        </is>
      </c>
      <c r="E192" s="1" t="n">
        <v>1804.1</v>
      </c>
      <c r="F192" t="n">
        <v>3</v>
      </c>
      <c r="G192" t="n">
        <v>0</v>
      </c>
      <c r="H192" t="n">
        <v>7</v>
      </c>
      <c r="I192" t="n">
        <v>0</v>
      </c>
      <c r="J192" t="n">
        <v>0</v>
      </c>
      <c r="K192">
        <f>IF(H192-I192-J192&gt;0,H192-I192-J192,0)</f>
        <v/>
      </c>
      <c r="L192" s="1">
        <f>IFERROR(I192*E192,0)</f>
        <v/>
      </c>
      <c r="M192" s="1">
        <f>IFERROR(K192*E192,0)</f>
        <v/>
      </c>
    </row>
    <row r="193">
      <c r="A193" t="inlineStr">
        <is>
          <t>12456</t>
        </is>
      </c>
      <c r="B193" t="inlineStr">
        <is>
          <t>V 230/9 ARI LL S</t>
        </is>
      </c>
      <c r="C193" t="inlineStr"/>
      <c r="D193" t="inlineStr">
        <is>
          <t>FM - VORTICE</t>
        </is>
      </c>
      <c r="E193" s="1" t="n">
        <v>0</v>
      </c>
      <c r="F193" t="n">
        <v>1</v>
      </c>
      <c r="G193" t="n">
        <v>0</v>
      </c>
      <c r="H193" t="n">
        <v>2</v>
      </c>
      <c r="I193" t="n">
        <v>0</v>
      </c>
      <c r="J193" t="n">
        <v>0</v>
      </c>
      <c r="K193">
        <f>IF(H193-I193-J193&gt;0,H193-I193-J193,0)</f>
        <v/>
      </c>
      <c r="L193" s="1">
        <f>IFERROR(I193*E193,0)</f>
        <v/>
      </c>
      <c r="M193" s="1">
        <f>IFERROR(K193*E193,0)</f>
        <v/>
      </c>
    </row>
    <row r="194">
      <c r="A194" t="inlineStr">
        <is>
          <t>1250CF</t>
        </is>
      </c>
      <c r="B194" t="inlineStr">
        <is>
          <t>1250 Diam Counter Flange</t>
        </is>
      </c>
      <c r="C194" t="inlineStr">
        <is>
          <t>Air Speration</t>
        </is>
      </c>
      <c r="D194" t="inlineStr">
        <is>
          <t>C/FLANGE</t>
        </is>
      </c>
      <c r="E194" s="1" t="n">
        <v>534.83</v>
      </c>
      <c r="F194" t="n">
        <v>1</v>
      </c>
      <c r="G194" t="n">
        <v>0</v>
      </c>
      <c r="H194" t="n">
        <v>3</v>
      </c>
      <c r="I194" t="n">
        <v>0</v>
      </c>
      <c r="J194" t="n">
        <v>0</v>
      </c>
      <c r="K194">
        <f>IF(H194-I194-J194&gt;0,H194-I194-J194,0)</f>
        <v/>
      </c>
      <c r="L194" s="1">
        <f>IFERROR(I194*E194,0)</f>
        <v/>
      </c>
      <c r="M194" s="1">
        <f>IFERROR(K194*E194,0)</f>
        <v/>
      </c>
    </row>
    <row r="195">
      <c r="A195" t="inlineStr">
        <is>
          <t>1250FC</t>
        </is>
      </c>
      <c r="B195" t="inlineStr">
        <is>
          <t>1250 Diam Flexible Connection</t>
        </is>
      </c>
      <c r="C195" t="inlineStr">
        <is>
          <t>Attenu-Tec HVAC Parts</t>
        </is>
      </c>
      <c r="D195" t="inlineStr">
        <is>
          <t>FM - DONKIN</t>
        </is>
      </c>
      <c r="E195" s="1" t="n">
        <v>2147.54</v>
      </c>
      <c r="F195" t="n">
        <v>1</v>
      </c>
      <c r="G195" t="n">
        <v>0</v>
      </c>
      <c r="H195" t="n">
        <v>3</v>
      </c>
      <c r="I195" t="n">
        <v>0</v>
      </c>
      <c r="J195" t="n">
        <v>0</v>
      </c>
      <c r="K195">
        <f>IF(H195-I195-J195&gt;0,H195-I195-J195,0)</f>
        <v/>
      </c>
      <c r="L195" s="1">
        <f>IFERROR(I195*E195,0)</f>
        <v/>
      </c>
      <c r="M195" s="1">
        <f>IFERROR(K195*E195,0)</f>
        <v/>
      </c>
    </row>
    <row r="196">
      <c r="A196" t="inlineStr">
        <is>
          <t>1250MF</t>
        </is>
      </c>
      <c r="B196" t="inlineStr">
        <is>
          <t>1250 Diam Mounting Feet</t>
        </is>
      </c>
      <c r="C196" t="inlineStr">
        <is>
          <t>Air Speration</t>
        </is>
      </c>
      <c r="D196" t="inlineStr">
        <is>
          <t>M/FEET</t>
        </is>
      </c>
      <c r="E196" s="1" t="n">
        <v>1135.05</v>
      </c>
      <c r="F196" t="n">
        <v>1</v>
      </c>
      <c r="G196" t="n">
        <v>0</v>
      </c>
      <c r="H196" t="n">
        <v>3</v>
      </c>
      <c r="I196" t="n">
        <v>0</v>
      </c>
      <c r="J196" t="n">
        <v>0</v>
      </c>
      <c r="K196">
        <f>IF(H196-I196-J196&gt;0,H196-I196-J196,0)</f>
        <v/>
      </c>
      <c r="L196" s="1">
        <f>IFERROR(I196*E196,0)</f>
        <v/>
      </c>
      <c r="M196" s="1">
        <f>IFERROR(K196*E196,0)</f>
        <v/>
      </c>
    </row>
    <row r="197">
      <c r="A197" t="inlineStr">
        <is>
          <t>125T600</t>
        </is>
      </c>
      <c r="B197" t="inlineStr">
        <is>
          <t>125 Diam Tube Silencer 600L</t>
        </is>
      </c>
      <c r="C197" t="inlineStr">
        <is>
          <t>Attenu-Tec</t>
        </is>
      </c>
      <c r="D197" t="inlineStr">
        <is>
          <t>FM - DONKIN</t>
        </is>
      </c>
      <c r="E197" s="1" t="n">
        <v>436.5</v>
      </c>
      <c r="F197" t="n">
        <v>1</v>
      </c>
      <c r="G197" t="n">
        <v>0</v>
      </c>
      <c r="H197" t="n">
        <v>2</v>
      </c>
      <c r="I197" t="n">
        <v>0</v>
      </c>
      <c r="J197" t="n">
        <v>2</v>
      </c>
      <c r="K197">
        <f>IF(H197-I197-J197&gt;0,H197-I197-J197,0)</f>
        <v/>
      </c>
      <c r="L197" s="1">
        <f>IFERROR(I197*E197,0)</f>
        <v/>
      </c>
      <c r="M197" s="1">
        <f>IFERROR(K197*E197,0)</f>
        <v/>
      </c>
    </row>
    <row r="198">
      <c r="A198" t="inlineStr">
        <is>
          <t>125TTSilentM</t>
        </is>
      </c>
      <c r="B198" t="inlineStr">
        <is>
          <t>125 TT Silent M Fan</t>
        </is>
      </c>
      <c r="C198" t="inlineStr"/>
      <c r="D198" t="inlineStr">
        <is>
          <t>FM - DONKIN</t>
        </is>
      </c>
      <c r="E198" s="1" t="n">
        <v>0</v>
      </c>
      <c r="F198" t="n">
        <v>12</v>
      </c>
      <c r="G198" t="n">
        <v>0</v>
      </c>
      <c r="H198" t="n">
        <v>62</v>
      </c>
      <c r="I198" t="n">
        <v>0</v>
      </c>
      <c r="J198" t="n">
        <v>0</v>
      </c>
      <c r="K198">
        <f>IF(H198-I198-J198&gt;0,H198-I198-J198,0)</f>
        <v/>
      </c>
      <c r="L198" s="1">
        <f>IFERROR(I198*E198,0)</f>
        <v/>
      </c>
      <c r="M198" s="1">
        <f>IFERROR(K198*E198,0)</f>
        <v/>
      </c>
    </row>
    <row r="199">
      <c r="A199" t="inlineStr">
        <is>
          <t>12611</t>
        </is>
      </c>
      <c r="B199" t="inlineStr">
        <is>
          <t>V 150/6 P</t>
        </is>
      </c>
      <c r="C199" t="inlineStr"/>
      <c r="D199" t="inlineStr">
        <is>
          <t>FM - VORTICE</t>
        </is>
      </c>
      <c r="E199" s="1" t="n">
        <v>0</v>
      </c>
      <c r="F199" t="n">
        <v>1</v>
      </c>
      <c r="G199" t="n">
        <v>0</v>
      </c>
      <c r="H199" t="n">
        <v>2</v>
      </c>
      <c r="I199" t="n">
        <v>0</v>
      </c>
      <c r="J199" t="n">
        <v>0</v>
      </c>
      <c r="K199">
        <f>IF(H199-I199-J199&gt;0,H199-I199-J199,0)</f>
        <v/>
      </c>
      <c r="L199" s="1">
        <f>IFERROR(I199*E199,0)</f>
        <v/>
      </c>
      <c r="M199" s="1">
        <f>IFERROR(K199*E199,0)</f>
        <v/>
      </c>
    </row>
    <row r="200">
      <c r="A200" t="inlineStr">
        <is>
          <t>12612</t>
        </is>
      </c>
      <c r="B200" t="inlineStr">
        <is>
          <t>V 150/6 AR</t>
        </is>
      </c>
      <c r="C200" t="inlineStr">
        <is>
          <t>Vortice Elettrosociali SpA</t>
        </is>
      </c>
      <c r="D200" t="inlineStr">
        <is>
          <t>FM - VORTICE</t>
        </is>
      </c>
      <c r="E200" s="1" t="n">
        <v>887.29</v>
      </c>
      <c r="F200" t="n">
        <v>4</v>
      </c>
      <c r="G200" t="n">
        <v>0</v>
      </c>
      <c r="H200" t="n">
        <v>11</v>
      </c>
      <c r="I200" t="n">
        <v>0</v>
      </c>
      <c r="J200" t="n">
        <v>0</v>
      </c>
      <c r="K200">
        <f>IF(H200-I200-J200&gt;0,H200-I200-J200,0)</f>
        <v/>
      </c>
      <c r="L200" s="1">
        <f>IFERROR(I200*E200,0)</f>
        <v/>
      </c>
      <c r="M200" s="1">
        <f>IFERROR(K200*E200,0)</f>
        <v/>
      </c>
    </row>
    <row r="201">
      <c r="A201" t="inlineStr">
        <is>
          <t>12613</t>
        </is>
      </c>
      <c r="B201" t="inlineStr">
        <is>
          <t>V 150/6 ARI</t>
        </is>
      </c>
      <c r="C201" t="inlineStr">
        <is>
          <t>Vortice Elettrosociali SpA</t>
        </is>
      </c>
      <c r="D201" t="inlineStr">
        <is>
          <t>FM - VORTICE</t>
        </is>
      </c>
      <c r="E201" s="1" t="n">
        <v>667.21</v>
      </c>
      <c r="F201" t="n">
        <v>1</v>
      </c>
      <c r="G201" t="n">
        <v>0</v>
      </c>
      <c r="H201" t="n">
        <v>3</v>
      </c>
      <c r="I201" t="n">
        <v>0</v>
      </c>
      <c r="J201" t="n">
        <v>0</v>
      </c>
      <c r="K201">
        <f>IF(H201-I201-J201&gt;0,H201-I201-J201,0)</f>
        <v/>
      </c>
      <c r="L201" s="1">
        <f>IFERROR(I201*E201,0)</f>
        <v/>
      </c>
      <c r="M201" s="1">
        <f>IFERROR(K201*E201,0)</f>
        <v/>
      </c>
    </row>
    <row r="202">
      <c r="A202" t="inlineStr">
        <is>
          <t>12615</t>
        </is>
      </c>
      <c r="B202" t="inlineStr">
        <is>
          <t>V 150/6 AR LL S</t>
        </is>
      </c>
      <c r="C202" t="inlineStr">
        <is>
          <t>Vortice Elettrosociali SpA</t>
        </is>
      </c>
      <c r="D202" t="inlineStr">
        <is>
          <t>FM - VORTICE</t>
        </is>
      </c>
      <c r="E202" s="1" t="n">
        <v>994.12</v>
      </c>
      <c r="F202" t="n">
        <v>4</v>
      </c>
      <c r="G202" t="n">
        <v>0</v>
      </c>
      <c r="H202" t="n">
        <v>12</v>
      </c>
      <c r="I202" t="n">
        <v>0</v>
      </c>
      <c r="J202" t="n">
        <v>0</v>
      </c>
      <c r="K202">
        <f>IF(H202-I202-J202&gt;0,H202-I202-J202,0)</f>
        <v/>
      </c>
      <c r="L202" s="1">
        <f>IFERROR(I202*E202,0)</f>
        <v/>
      </c>
      <c r="M202" s="1">
        <f>IFERROR(K202*E202,0)</f>
        <v/>
      </c>
    </row>
    <row r="203">
      <c r="A203" t="inlineStr">
        <is>
          <t>12616</t>
        </is>
      </c>
      <c r="B203" t="inlineStr">
        <is>
          <t>V 150/6 ARI LL S</t>
        </is>
      </c>
      <c r="C203" t="inlineStr"/>
      <c r="D203" t="inlineStr">
        <is>
          <t>FM - VORTICE</t>
        </is>
      </c>
      <c r="E203" s="1" t="n">
        <v>0</v>
      </c>
      <c r="F203" t="n">
        <v>1</v>
      </c>
      <c r="G203" t="n">
        <v>0</v>
      </c>
      <c r="H203" t="n">
        <v>2</v>
      </c>
      <c r="I203" t="n">
        <v>0</v>
      </c>
      <c r="J203" t="n">
        <v>0</v>
      </c>
      <c r="K203">
        <f>IF(H203-I203-J203&gt;0,H203-I203-J203,0)</f>
        <v/>
      </c>
      <c r="L203" s="1">
        <f>IFERROR(I203*E203,0)</f>
        <v/>
      </c>
      <c r="M203" s="1">
        <f>IFERROR(K203*E203,0)</f>
        <v/>
      </c>
    </row>
    <row r="204">
      <c r="A204" t="inlineStr">
        <is>
          <t>12943</t>
        </is>
      </c>
      <c r="B204" t="inlineStr">
        <is>
          <t>CR5 Speed Controller</t>
        </is>
      </c>
      <c r="C204" t="inlineStr"/>
      <c r="D204" t="inlineStr">
        <is>
          <t>FM - VORTICE</t>
        </is>
      </c>
      <c r="E204" s="1" t="n">
        <v>0</v>
      </c>
      <c r="F204" t="n">
        <v>1</v>
      </c>
      <c r="G204" t="n">
        <v>0</v>
      </c>
      <c r="H204" t="n">
        <v>2</v>
      </c>
      <c r="I204" t="n">
        <v>0</v>
      </c>
      <c r="J204" t="n">
        <v>0</v>
      </c>
      <c r="K204">
        <f>IF(H204-I204-J204&gt;0,H204-I204-J204,0)</f>
        <v/>
      </c>
      <c r="L204" s="1">
        <f>IFERROR(I204*E204,0)</f>
        <v/>
      </c>
      <c r="M204" s="1">
        <f>IFERROR(K204*E204,0)</f>
        <v/>
      </c>
    </row>
    <row r="205">
      <c r="A205" t="inlineStr">
        <is>
          <t>129521</t>
        </is>
      </c>
      <c r="B205" t="inlineStr">
        <is>
          <t>AT 12/9 SC - Single Unit</t>
        </is>
      </c>
      <c r="C205" t="inlineStr"/>
      <c r="D205" t="inlineStr">
        <is>
          <t>FM - NICOTRA</t>
        </is>
      </c>
      <c r="E205" s="1" t="n">
        <v>0</v>
      </c>
      <c r="F205" t="n">
        <v>1</v>
      </c>
      <c r="G205" t="n">
        <v>0</v>
      </c>
      <c r="H205" t="n">
        <v>2</v>
      </c>
      <c r="I205" t="n">
        <v>0</v>
      </c>
      <c r="J205" t="n">
        <v>0</v>
      </c>
      <c r="K205">
        <f>IF(H205-I205-J205&gt;0,H205-I205-J205,0)</f>
        <v/>
      </c>
      <c r="L205" s="1">
        <f>IFERROR(I205*E205,0)</f>
        <v/>
      </c>
      <c r="M205" s="1">
        <f>IFERROR(K205*E205,0)</f>
        <v/>
      </c>
    </row>
    <row r="206">
      <c r="A206" t="inlineStr">
        <is>
          <t>12966</t>
        </is>
      </c>
      <c r="B206" t="inlineStr">
        <is>
          <t>C1.5 Speed Controller (to suit Lineo 100 to 200)</t>
        </is>
      </c>
      <c r="C206" t="inlineStr">
        <is>
          <t>Vortice Elettrosociali SpA</t>
        </is>
      </c>
      <c r="D206" t="inlineStr">
        <is>
          <t>FM - VORTICE</t>
        </is>
      </c>
      <c r="E206" s="1" t="n">
        <v>514.79</v>
      </c>
      <c r="F206" t="n">
        <v>2</v>
      </c>
      <c r="G206" t="n">
        <v>0</v>
      </c>
      <c r="H206" t="n">
        <v>6</v>
      </c>
      <c r="I206" t="n">
        <v>0</v>
      </c>
      <c r="J206" t="n">
        <v>0</v>
      </c>
      <c r="K206">
        <f>IF(H206-I206-J206&gt;0,H206-I206-J206,0)</f>
        <v/>
      </c>
      <c r="L206" s="1">
        <f>IFERROR(I206*E206,0)</f>
        <v/>
      </c>
      <c r="M206" s="1">
        <f>IFERROR(K206*E206,0)</f>
        <v/>
      </c>
    </row>
    <row r="207">
      <c r="A207" t="inlineStr">
        <is>
          <t>12967</t>
        </is>
      </c>
      <c r="B207" t="inlineStr">
        <is>
          <t>C2.5 Speed Controller (to suit Lineo 250 to 315)</t>
        </is>
      </c>
      <c r="C207" t="inlineStr"/>
      <c r="D207" t="inlineStr">
        <is>
          <t>FM - VORTICE</t>
        </is>
      </c>
      <c r="E207" s="1" t="n">
        <v>0</v>
      </c>
      <c r="F207" t="n">
        <v>1</v>
      </c>
      <c r="G207" t="n">
        <v>0</v>
      </c>
      <c r="H207" t="n">
        <v>2</v>
      </c>
      <c r="I207" t="n">
        <v>0</v>
      </c>
      <c r="J207" t="n">
        <v>0</v>
      </c>
      <c r="K207">
        <f>IF(H207-I207-J207&gt;0,H207-I207-J207,0)</f>
        <v/>
      </c>
      <c r="L207" s="1">
        <f>IFERROR(I207*E207,0)</f>
        <v/>
      </c>
      <c r="M207" s="1">
        <f>IFERROR(K207*E207,0)</f>
        <v/>
      </c>
    </row>
    <row r="208">
      <c r="A208" t="inlineStr">
        <is>
          <t>12998</t>
        </is>
      </c>
      <c r="B208" t="inlineStr">
        <is>
          <t>PIR Sensor</t>
        </is>
      </c>
      <c r="C208" t="inlineStr"/>
      <c r="D208" t="inlineStr">
        <is>
          <t>FM - VORTICE</t>
        </is>
      </c>
      <c r="E208" s="1" t="n">
        <v>0</v>
      </c>
      <c r="F208" t="n">
        <v>1</v>
      </c>
      <c r="G208" t="n">
        <v>0</v>
      </c>
      <c r="H208" t="n">
        <v>2</v>
      </c>
      <c r="I208" t="n">
        <v>0</v>
      </c>
      <c r="J208" t="n">
        <v>0</v>
      </c>
      <c r="K208">
        <f>IF(H208-I208-J208&gt;0,H208-I208-J208,0)</f>
        <v/>
      </c>
      <c r="L208" s="1">
        <f>IFERROR(I208*E208,0)</f>
        <v/>
      </c>
      <c r="M208" s="1">
        <f>IFERROR(K208*E208,0)</f>
        <v/>
      </c>
    </row>
    <row r="209">
      <c r="A209" t="inlineStr">
        <is>
          <t>13-11</t>
        </is>
      </c>
      <c r="B209" t="inlineStr">
        <is>
          <t>CABTYRE - 6MM X 6 LUGS 10PKT</t>
        </is>
      </c>
      <c r="C209" t="inlineStr">
        <is>
          <t>Alpha Electrical</t>
        </is>
      </c>
      <c r="D209" t="inlineStr"/>
      <c r="E209" s="1" t="n">
        <v>32</v>
      </c>
      <c r="F209" t="n">
        <v>4</v>
      </c>
      <c r="G209" t="n">
        <v>0</v>
      </c>
      <c r="H209" t="n">
        <v>20</v>
      </c>
      <c r="I209" t="n">
        <v>0</v>
      </c>
      <c r="J209" t="n">
        <v>0</v>
      </c>
      <c r="K209">
        <f>IF(H209-I209-J209&gt;0,H209-I209-J209,0)</f>
        <v/>
      </c>
      <c r="L209" s="1">
        <f>IFERROR(I209*E209,0)</f>
        <v/>
      </c>
      <c r="M209" s="1">
        <f>IFERROR(K209*E209,0)</f>
        <v/>
      </c>
    </row>
    <row r="210">
      <c r="A210" t="inlineStr">
        <is>
          <t>13-12</t>
        </is>
      </c>
      <c r="B210" t="inlineStr">
        <is>
          <t>CABTYRE - 6MM X 8 LUGS 10PKT</t>
        </is>
      </c>
      <c r="C210" t="inlineStr">
        <is>
          <t>Alpha Electrical</t>
        </is>
      </c>
      <c r="D210" t="inlineStr"/>
      <c r="E210" s="1" t="n">
        <v>52</v>
      </c>
      <c r="F210" t="n">
        <v>4</v>
      </c>
      <c r="G210" t="n">
        <v>0</v>
      </c>
      <c r="H210" t="n">
        <v>20</v>
      </c>
      <c r="I210" t="n">
        <v>0</v>
      </c>
      <c r="J210" t="n">
        <v>0</v>
      </c>
      <c r="K210">
        <f>IF(H210-I210-J210&gt;0,H210-I210-J210,0)</f>
        <v/>
      </c>
      <c r="L210" s="1">
        <f>IFERROR(I210*E210,0)</f>
        <v/>
      </c>
      <c r="M210" s="1">
        <f>IFERROR(K210*E210,0)</f>
        <v/>
      </c>
    </row>
    <row r="211">
      <c r="A211" t="inlineStr">
        <is>
          <t>13001</t>
        </is>
      </c>
      <c r="B211" t="inlineStr">
        <is>
          <t>KIT TE 150/6 Roof Mounting</t>
        </is>
      </c>
      <c r="C211" t="inlineStr"/>
      <c r="D211" t="inlineStr">
        <is>
          <t>FM - VORTICE</t>
        </is>
      </c>
      <c r="E211" s="1" t="n">
        <v>0</v>
      </c>
      <c r="F211" t="n">
        <v>1</v>
      </c>
      <c r="G211" t="n">
        <v>0</v>
      </c>
      <c r="H211" t="n">
        <v>2</v>
      </c>
      <c r="I211" t="n">
        <v>0</v>
      </c>
      <c r="J211" t="n">
        <v>0</v>
      </c>
      <c r="K211">
        <f>IF(H211-I211-J211&gt;0,H211-I211-J211,0)</f>
        <v/>
      </c>
      <c r="L211" s="1">
        <f>IFERROR(I211*E211,0)</f>
        <v/>
      </c>
      <c r="M211" s="1">
        <f>IFERROR(K211*E211,0)</f>
        <v/>
      </c>
    </row>
    <row r="212">
      <c r="A212" t="inlineStr">
        <is>
          <t>13028</t>
        </is>
      </c>
      <c r="B212" t="inlineStr">
        <is>
          <t>KIT TC 230/9</t>
        </is>
      </c>
      <c r="C212" t="inlineStr">
        <is>
          <t>Vortice Elettrosociali SpA</t>
        </is>
      </c>
      <c r="D212" t="inlineStr">
        <is>
          <t>FM - VORTICE</t>
        </is>
      </c>
      <c r="E212" s="1" t="n">
        <v>0</v>
      </c>
      <c r="F212" t="n">
        <v>2</v>
      </c>
      <c r="G212" t="n">
        <v>0</v>
      </c>
      <c r="H212" t="n">
        <v>5</v>
      </c>
      <c r="I212" t="n">
        <v>0</v>
      </c>
      <c r="J212" t="n">
        <v>0</v>
      </c>
      <c r="K212">
        <f>IF(H212-I212-J212&gt;0,H212-I212-J212,0)</f>
        <v/>
      </c>
      <c r="L212" s="1">
        <f>IFERROR(I212*E212,0)</f>
        <v/>
      </c>
      <c r="M212" s="1">
        <f>IFERROR(K212*E212,0)</f>
        <v/>
      </c>
    </row>
    <row r="213">
      <c r="A213" t="inlineStr">
        <is>
          <t>132B0100</t>
        </is>
      </c>
      <c r="B213" t="inlineStr">
        <is>
          <t>OPT MICRO LCP DISPLAY W/O POTENTIOM</t>
        </is>
      </c>
      <c r="C213" t="inlineStr">
        <is>
          <t>Bearing Man Group</t>
        </is>
      </c>
      <c r="D213" t="inlineStr"/>
      <c r="E213" s="1" t="n">
        <v>597.3200000000001</v>
      </c>
      <c r="F213" t="n">
        <v>2</v>
      </c>
      <c r="G213" t="n">
        <v>0</v>
      </c>
      <c r="H213" t="n">
        <v>4</v>
      </c>
      <c r="I213" t="n">
        <v>0</v>
      </c>
      <c r="J213" t="n">
        <v>0</v>
      </c>
      <c r="K213">
        <f>IF(H213-I213-J213&gt;0,H213-I213-J213,0)</f>
        <v/>
      </c>
      <c r="L213" s="1">
        <f>IFERROR(I213*E213,0)</f>
        <v/>
      </c>
      <c r="M213" s="1">
        <f>IFERROR(K213*E213,0)</f>
        <v/>
      </c>
    </row>
    <row r="214">
      <c r="A214" t="inlineStr">
        <is>
          <t>1373000218</t>
        </is>
      </c>
      <c r="B214" t="inlineStr">
        <is>
          <t>MOTORE GM-63A4 B143F TC10 - TIRACAMINO MOTOR</t>
        </is>
      </c>
      <c r="C214" t="inlineStr">
        <is>
          <t>Vortice Elettrosociali SpA</t>
        </is>
      </c>
      <c r="D214" t="inlineStr">
        <is>
          <t>FM - VORTICE</t>
        </is>
      </c>
      <c r="E214" s="1" t="n">
        <v>1330.13</v>
      </c>
      <c r="F214" t="n">
        <v>3</v>
      </c>
      <c r="G214" t="n">
        <v>0</v>
      </c>
      <c r="H214" t="n">
        <v>9</v>
      </c>
      <c r="I214" t="n">
        <v>0</v>
      </c>
      <c r="J214" t="n">
        <v>0</v>
      </c>
      <c r="K214">
        <f>IF(H214-I214-J214&gt;0,H214-I214-J214,0)</f>
        <v/>
      </c>
      <c r="L214" s="1">
        <f>IFERROR(I214*E214,0)</f>
        <v/>
      </c>
      <c r="M214" s="1">
        <f>IFERROR(K214*E214,0)</f>
        <v/>
      </c>
    </row>
    <row r="215">
      <c r="A215" t="inlineStr">
        <is>
          <t>13mm X 8mm</t>
        </is>
      </c>
      <c r="B215" t="inlineStr">
        <is>
          <t>A 2100</t>
        </is>
      </c>
      <c r="C215" t="inlineStr">
        <is>
          <t>Bluetech Fans (Pty) Ltd</t>
        </is>
      </c>
      <c r="D215" t="inlineStr"/>
      <c r="E215" s="1" t="n">
        <v>250</v>
      </c>
      <c r="F215" t="n">
        <v>12</v>
      </c>
      <c r="G215" t="n">
        <v>0</v>
      </c>
      <c r="H215" t="n">
        <v>32</v>
      </c>
      <c r="I215" t="n">
        <v>0</v>
      </c>
      <c r="J215" t="n">
        <v>0</v>
      </c>
      <c r="K215">
        <f>IF(H215-I215-J215&gt;0,H215-I215-J215,0)</f>
        <v/>
      </c>
      <c r="L215" s="1">
        <f>IFERROR(I215*E215,0)</f>
        <v/>
      </c>
      <c r="M215" s="1">
        <f>IFERROR(K215*E215,0)</f>
        <v/>
      </c>
    </row>
    <row r="216">
      <c r="A216" t="inlineStr">
        <is>
          <t>15-1</t>
        </is>
      </c>
      <c r="B216" t="inlineStr">
        <is>
          <t>TI8R BLK - T18R CABLE TIES BLACK 100MMX2</t>
        </is>
      </c>
      <c r="C216" t="inlineStr">
        <is>
          <t>Atlantic Lighting &amp; Electrical distributors</t>
        </is>
      </c>
      <c r="D216" t="inlineStr"/>
      <c r="E216" s="1" t="n">
        <v>14.85</v>
      </c>
      <c r="F216" t="n">
        <v>1</v>
      </c>
      <c r="G216" t="n">
        <v>0</v>
      </c>
      <c r="H216" t="n">
        <v>5</v>
      </c>
      <c r="I216" t="n">
        <v>0</v>
      </c>
      <c r="J216" t="n">
        <v>0</v>
      </c>
      <c r="K216">
        <f>IF(H216-I216-J216&gt;0,H216-I216-J216,0)</f>
        <v/>
      </c>
      <c r="L216" s="1">
        <f>IFERROR(I216*E216,0)</f>
        <v/>
      </c>
      <c r="M216" s="1">
        <f>IFERROR(K216*E216,0)</f>
        <v/>
      </c>
    </row>
    <row r="217">
      <c r="A217" t="inlineStr">
        <is>
          <t>15-5</t>
        </is>
      </c>
      <c r="B217" t="inlineStr">
        <is>
          <t>T50R BLACK - T50R CABLE TIES BLACK 198MMX4</t>
        </is>
      </c>
      <c r="C217" t="inlineStr">
        <is>
          <t>Atlantic Lighting &amp; Electrical distributors</t>
        </is>
      </c>
      <c r="D217" t="inlineStr"/>
      <c r="E217" s="1" t="n">
        <v>48.51</v>
      </c>
      <c r="F217" t="n">
        <v>2</v>
      </c>
      <c r="G217" t="n">
        <v>0</v>
      </c>
      <c r="H217" t="n">
        <v>8</v>
      </c>
      <c r="I217" t="n">
        <v>0</v>
      </c>
      <c r="J217" t="n">
        <v>0</v>
      </c>
      <c r="K217">
        <f>IF(H217-I217-J217&gt;0,H217-I217-J217,0)</f>
        <v/>
      </c>
      <c r="L217" s="1">
        <f>IFERROR(I217*E217,0)</f>
        <v/>
      </c>
      <c r="M217" s="1">
        <f>IFERROR(K217*E217,0)</f>
        <v/>
      </c>
    </row>
    <row r="218">
      <c r="A218" t="inlineStr">
        <is>
          <t>15000</t>
        </is>
      </c>
      <c r="B218" t="inlineStr">
        <is>
          <t>Tiracamino Chimney Fan for Chimney Tops</t>
        </is>
      </c>
      <c r="C218" t="inlineStr">
        <is>
          <t>Vortice Elettrosociali SpA</t>
        </is>
      </c>
      <c r="D218" t="inlineStr">
        <is>
          <t>FM - VORTICE</t>
        </is>
      </c>
      <c r="E218" s="1" t="n">
        <v>5798.62</v>
      </c>
      <c r="F218" t="n">
        <v>4</v>
      </c>
      <c r="G218" t="n">
        <v>0</v>
      </c>
      <c r="H218" t="n">
        <v>14</v>
      </c>
      <c r="I218" t="n">
        <v>0</v>
      </c>
      <c r="J218" t="n">
        <v>0</v>
      </c>
      <c r="K218">
        <f>IF(H218-I218-J218&gt;0,H218-I218-J218,0)</f>
        <v/>
      </c>
      <c r="L218" s="1">
        <f>IFERROR(I218*E218,0)</f>
        <v/>
      </c>
      <c r="M218" s="1">
        <f>IFERROR(K218*E218,0)</f>
        <v/>
      </c>
    </row>
    <row r="219">
      <c r="A219" t="inlineStr">
        <is>
          <t>1500W</t>
        </is>
      </c>
      <c r="B219" t="inlineStr">
        <is>
          <t>TERAL 17.5KG</t>
        </is>
      </c>
      <c r="C219" t="inlineStr">
        <is>
          <t>INTROWELD CC</t>
        </is>
      </c>
      <c r="D219" t="inlineStr"/>
      <c r="E219" s="1" t="n">
        <v>1130.43</v>
      </c>
      <c r="F219" t="n">
        <v>2</v>
      </c>
      <c r="G219" t="n">
        <v>0</v>
      </c>
      <c r="H219" t="n">
        <v>10</v>
      </c>
      <c r="I219" t="n">
        <v>0</v>
      </c>
      <c r="J219" t="n">
        <v>0</v>
      </c>
      <c r="K219">
        <f>IF(H219-I219-J219&gt;0,H219-I219-J219,0)</f>
        <v/>
      </c>
      <c r="L219" s="1">
        <f>IFERROR(I219*E219,0)</f>
        <v/>
      </c>
      <c r="M219" s="1">
        <f>IFERROR(K219*E219,0)</f>
        <v/>
      </c>
    </row>
    <row r="220">
      <c r="A220" t="inlineStr">
        <is>
          <t>1501</t>
        </is>
      </c>
      <c r="B220" t="inlineStr">
        <is>
          <t>ARCAL SPEED 50L CYLINDER 17.5KG</t>
        </is>
      </c>
      <c r="C220" t="inlineStr">
        <is>
          <t>INTROWELD CC</t>
        </is>
      </c>
      <c r="D220" t="inlineStr">
        <is>
          <t>FABRICATION</t>
        </is>
      </c>
      <c r="E220" s="1" t="n">
        <v>1130.43</v>
      </c>
      <c r="F220" t="n">
        <v>1</v>
      </c>
      <c r="G220" t="n">
        <v>0</v>
      </c>
      <c r="H220" t="n">
        <v>5</v>
      </c>
      <c r="I220" t="n">
        <v>0</v>
      </c>
      <c r="J220" t="n">
        <v>0</v>
      </c>
      <c r="K220">
        <f>IF(H220-I220-J220&gt;0,H220-I220-J220,0)</f>
        <v/>
      </c>
      <c r="L220" s="1">
        <f>IFERROR(I220*E220,0)</f>
        <v/>
      </c>
      <c r="M220" s="1">
        <f>IFERROR(K220*E220,0)</f>
        <v/>
      </c>
    </row>
    <row r="221">
      <c r="A221" t="inlineStr">
        <is>
          <t>1502479</t>
        </is>
      </c>
      <c r="B221" t="inlineStr">
        <is>
          <t>HTMH-71-4T-4 220/380V. 60Hz IE3</t>
        </is>
      </c>
      <c r="C221" t="inlineStr">
        <is>
          <t>SODECA</t>
        </is>
      </c>
      <c r="D221" t="inlineStr"/>
      <c r="E221" s="1" t="n">
        <v>21774.6</v>
      </c>
      <c r="F221" t="n">
        <v>54</v>
      </c>
      <c r="G221" t="n">
        <v>0</v>
      </c>
      <c r="H221" t="n">
        <v>94</v>
      </c>
      <c r="I221" t="n">
        <v>0</v>
      </c>
      <c r="J221" t="n">
        <v>0</v>
      </c>
      <c r="K221">
        <f>IF(H221-I221-J221&gt;0,H221-I221-J221,0)</f>
        <v/>
      </c>
      <c r="L221" s="1">
        <f>IFERROR(I221*E221,0)</f>
        <v/>
      </c>
      <c r="M221" s="1">
        <f>IFERROR(K221*E221,0)</f>
        <v/>
      </c>
    </row>
    <row r="222">
      <c r="A222" t="inlineStr">
        <is>
          <t>1503633</t>
        </is>
      </c>
      <c r="B222" t="inlineStr">
        <is>
          <t>CA/LINE/EC-31 50/60Hz.</t>
        </is>
      </c>
      <c r="C222" t="inlineStr">
        <is>
          <t>SODECA</t>
        </is>
      </c>
      <c r="D222" t="inlineStr"/>
      <c r="E222" s="1" t="n">
        <v>4281.64</v>
      </c>
      <c r="F222" t="n">
        <v>1</v>
      </c>
      <c r="G222" t="n">
        <v>0</v>
      </c>
      <c r="H222" t="n">
        <v>3</v>
      </c>
      <c r="I222" t="n">
        <v>0</v>
      </c>
      <c r="J222" t="n">
        <v>0</v>
      </c>
      <c r="K222">
        <f>IF(H222-I222-J222&gt;0,H222-I222-J222,0)</f>
        <v/>
      </c>
      <c r="L222" s="1">
        <f>IFERROR(I222*E222,0)</f>
        <v/>
      </c>
      <c r="M222" s="1">
        <f>IFERROR(K222*E222,0)</f>
        <v/>
      </c>
    </row>
    <row r="223">
      <c r="A223" t="inlineStr">
        <is>
          <t>150T600</t>
        </is>
      </c>
      <c r="B223" t="inlineStr">
        <is>
          <t>150 Diam Tube Silencer 600L</t>
        </is>
      </c>
      <c r="C223" t="inlineStr">
        <is>
          <t>Attenu-Tec</t>
        </is>
      </c>
      <c r="D223" t="inlineStr">
        <is>
          <t>FM - DONKIN</t>
        </is>
      </c>
      <c r="E223" s="1" t="n">
        <v>474.88</v>
      </c>
      <c r="F223" t="n">
        <v>2</v>
      </c>
      <c r="G223" t="n">
        <v>0</v>
      </c>
      <c r="H223" t="n">
        <v>10</v>
      </c>
      <c r="I223" t="n">
        <v>0</v>
      </c>
      <c r="J223" t="n">
        <v>0</v>
      </c>
      <c r="K223">
        <f>IF(H223-I223-J223&gt;0,H223-I223-J223,0)</f>
        <v/>
      </c>
      <c r="L223" s="1">
        <f>IFERROR(I223*E223,0)</f>
        <v/>
      </c>
      <c r="M223" s="1">
        <f>IFERROR(K223*E223,0)</f>
        <v/>
      </c>
    </row>
    <row r="224">
      <c r="A224" t="inlineStr">
        <is>
          <t>150T900</t>
        </is>
      </c>
      <c r="B224" t="inlineStr">
        <is>
          <t>150 Diam Tube Silencer 900L</t>
        </is>
      </c>
      <c r="C224" t="inlineStr">
        <is>
          <t>Attenu-Tec</t>
        </is>
      </c>
      <c r="D224" t="inlineStr"/>
      <c r="E224" s="1" t="n">
        <v>556</v>
      </c>
      <c r="F224" t="n">
        <v>4</v>
      </c>
      <c r="G224" t="n">
        <v>0</v>
      </c>
      <c r="H224" t="n">
        <v>22</v>
      </c>
      <c r="I224" t="n">
        <v>0</v>
      </c>
      <c r="J224" t="n">
        <v>0</v>
      </c>
      <c r="K224">
        <f>IF(H224-I224-J224&gt;0,H224-I224-J224,0)</f>
        <v/>
      </c>
      <c r="L224" s="1">
        <f>IFERROR(I224*E224,0)</f>
        <v/>
      </c>
      <c r="M224" s="1">
        <f>IFERROR(K224*E224,0)</f>
        <v/>
      </c>
    </row>
    <row r="225">
      <c r="A225" t="inlineStr">
        <is>
          <t>1515521</t>
        </is>
      </c>
      <c r="B225" t="inlineStr">
        <is>
          <t>AT 15/15 SC - Single Unit</t>
        </is>
      </c>
      <c r="C225" t="inlineStr">
        <is>
          <t>Regal Beloit Italy S.p.A - Nicotra .</t>
        </is>
      </c>
      <c r="D225" t="inlineStr">
        <is>
          <t>FM - NICOTRA</t>
        </is>
      </c>
      <c r="E225" s="1" t="n">
        <v>3222</v>
      </c>
      <c r="F225" t="n">
        <v>1</v>
      </c>
      <c r="G225" t="n">
        <v>0</v>
      </c>
      <c r="H225" t="n">
        <v>3</v>
      </c>
      <c r="I225" t="n">
        <v>0</v>
      </c>
      <c r="J225" t="n">
        <v>0</v>
      </c>
      <c r="K225">
        <f>IF(H225-I225-J225&gt;0,H225-I225-J225,0)</f>
        <v/>
      </c>
      <c r="L225" s="1">
        <f>IFERROR(I225*E225,0)</f>
        <v/>
      </c>
      <c r="M225" s="1">
        <f>IFERROR(K225*E225,0)</f>
        <v/>
      </c>
    </row>
    <row r="226">
      <c r="A226" t="inlineStr">
        <is>
          <t>1515522</t>
        </is>
      </c>
      <c r="B226" t="inlineStr">
        <is>
          <t>AT 15/15 SC2 - Double Unit</t>
        </is>
      </c>
      <c r="C226" t="inlineStr"/>
      <c r="D226" t="inlineStr">
        <is>
          <t>FM - NICOTRA</t>
        </is>
      </c>
      <c r="E226" s="1" t="n">
        <v>0</v>
      </c>
      <c r="F226" t="n">
        <v>1</v>
      </c>
      <c r="G226" t="n">
        <v>0</v>
      </c>
      <c r="H226" t="n">
        <v>2</v>
      </c>
      <c r="I226" t="n">
        <v>0</v>
      </c>
      <c r="J226" t="n">
        <v>0</v>
      </c>
      <c r="K226">
        <f>IF(H226-I226-J226&gt;0,H226-I226-J226,0)</f>
        <v/>
      </c>
      <c r="L226" s="1">
        <f>IFERROR(I226*E226,0)</f>
        <v/>
      </c>
      <c r="M226" s="1">
        <f>IFERROR(K226*E226,0)</f>
        <v/>
      </c>
    </row>
    <row r="227">
      <c r="A227" t="inlineStr">
        <is>
          <t>15928</t>
        </is>
      </c>
      <c r="B227" t="inlineStr">
        <is>
          <t>Repair CMP-1025-2T-3 ( ROS Del Note 15928)</t>
        </is>
      </c>
      <c r="C227" t="inlineStr"/>
      <c r="D227" t="inlineStr"/>
      <c r="E227" s="1" t="n">
        <v>0</v>
      </c>
      <c r="F227" t="n">
        <v>1</v>
      </c>
      <c r="G227" t="n">
        <v>0</v>
      </c>
      <c r="H227" t="n">
        <v>2</v>
      </c>
      <c r="I227" t="n">
        <v>0</v>
      </c>
      <c r="J227" t="n">
        <v>0</v>
      </c>
      <c r="K227">
        <f>IF(H227-I227-J227&gt;0,H227-I227-J227,0)</f>
        <v/>
      </c>
      <c r="L227" s="1">
        <f>IFERROR(I227*E227,0)</f>
        <v/>
      </c>
      <c r="M227" s="1">
        <f>IFERROR(K227*E227,0)</f>
        <v/>
      </c>
    </row>
    <row r="228">
      <c r="A228" t="inlineStr">
        <is>
          <t>16 SQ MED SPRING WASHER Z/BLUE 16 7980 SS ZB</t>
        </is>
      </c>
      <c r="B228" t="inlineStr">
        <is>
          <t>16 SQ MED SPRING WASHER Z/BLUE 16 7980 SS ZB</t>
        </is>
      </c>
      <c r="C228" t="inlineStr">
        <is>
          <t>M&amp;D SPECIALISED FASTENERS (PTY) LTD</t>
        </is>
      </c>
      <c r="D228" t="inlineStr"/>
      <c r="E228" s="1" t="n">
        <v>0.4</v>
      </c>
      <c r="F228" t="n">
        <v>10</v>
      </c>
      <c r="G228" t="n">
        <v>0</v>
      </c>
      <c r="H228" t="n">
        <v>50</v>
      </c>
      <c r="I228" t="n">
        <v>0</v>
      </c>
      <c r="J228" t="n">
        <v>0</v>
      </c>
      <c r="K228">
        <f>IF(H228-I228-J228&gt;0,H228-I228-J228,0)</f>
        <v/>
      </c>
      <c r="L228" s="1">
        <f>IFERROR(I228*E228,0)</f>
        <v/>
      </c>
      <c r="M228" s="1">
        <f>IFERROR(K228*E228,0)</f>
        <v/>
      </c>
    </row>
    <row r="229">
      <c r="A229" t="inlineStr">
        <is>
          <t>1600CF</t>
        </is>
      </c>
      <c r="B229" t="inlineStr">
        <is>
          <t>1600 Diam Counter Flange</t>
        </is>
      </c>
      <c r="C229" t="inlineStr">
        <is>
          <t>Air Speration</t>
        </is>
      </c>
      <c r="D229" t="inlineStr">
        <is>
          <t>C/FLANGE</t>
        </is>
      </c>
      <c r="E229" s="1" t="n">
        <v>1358.93</v>
      </c>
      <c r="F229" t="n">
        <v>1</v>
      </c>
      <c r="G229" t="n">
        <v>0</v>
      </c>
      <c r="H229" t="n">
        <v>3</v>
      </c>
      <c r="I229" t="n">
        <v>0</v>
      </c>
      <c r="J229" t="n">
        <v>0</v>
      </c>
      <c r="K229">
        <f>IF(H229-I229-J229&gt;0,H229-I229-J229,0)</f>
        <v/>
      </c>
      <c r="L229" s="1">
        <f>IFERROR(I229*E229,0)</f>
        <v/>
      </c>
      <c r="M229" s="1">
        <f>IFERROR(K229*E229,0)</f>
        <v/>
      </c>
    </row>
    <row r="230">
      <c r="A230" t="inlineStr">
        <is>
          <t>1600FC</t>
        </is>
      </c>
      <c r="B230" t="inlineStr">
        <is>
          <t>1600 Diam Flexible Connection</t>
        </is>
      </c>
      <c r="C230" t="inlineStr">
        <is>
          <t>Air Speration</t>
        </is>
      </c>
      <c r="D230" t="inlineStr">
        <is>
          <t>FM - DONKIN</t>
        </is>
      </c>
      <c r="E230" s="1" t="n">
        <v>12757.61</v>
      </c>
      <c r="F230" t="n">
        <v>2</v>
      </c>
      <c r="G230" t="n">
        <v>0</v>
      </c>
      <c r="H230" t="n">
        <v>4</v>
      </c>
      <c r="I230" t="n">
        <v>0</v>
      </c>
      <c r="J230" t="n">
        <v>0</v>
      </c>
      <c r="K230">
        <f>IF(H230-I230-J230&gt;0,H230-I230-J230,0)</f>
        <v/>
      </c>
      <c r="L230" s="1">
        <f>IFERROR(I230*E230,0)</f>
        <v/>
      </c>
      <c r="M230" s="1">
        <f>IFERROR(K230*E230,0)</f>
        <v/>
      </c>
    </row>
    <row r="231">
      <c r="A231" t="inlineStr">
        <is>
          <t>1600IC</t>
        </is>
      </c>
      <c r="B231" t="inlineStr">
        <is>
          <t>1600 Dia Inlet Cone</t>
        </is>
      </c>
      <c r="C231" t="inlineStr"/>
      <c r="D231" t="inlineStr">
        <is>
          <t>Accessories</t>
        </is>
      </c>
      <c r="E231" s="1" t="n">
        <v>0</v>
      </c>
      <c r="F231" t="n">
        <v>1</v>
      </c>
      <c r="G231" t="n">
        <v>0</v>
      </c>
      <c r="H231" t="n">
        <v>5</v>
      </c>
      <c r="I231" t="n">
        <v>0</v>
      </c>
      <c r="J231" t="n">
        <v>0</v>
      </c>
      <c r="K231">
        <f>IF(H231-I231-J231&gt;0,H231-I231-J231,0)</f>
        <v/>
      </c>
      <c r="L231" s="1">
        <f>IFERROR(I231*E231,0)</f>
        <v/>
      </c>
      <c r="M231" s="1">
        <f>IFERROR(K231*E231,0)</f>
        <v/>
      </c>
    </row>
    <row r="232">
      <c r="A232" t="inlineStr">
        <is>
          <t>1600MF</t>
        </is>
      </c>
      <c r="B232" t="inlineStr">
        <is>
          <t>1600 Diam Mounting Feet</t>
        </is>
      </c>
      <c r="C232" t="inlineStr">
        <is>
          <t>Air Speration</t>
        </is>
      </c>
      <c r="D232" t="inlineStr">
        <is>
          <t>M/FEET</t>
        </is>
      </c>
      <c r="E232" s="1" t="n">
        <v>1345.25</v>
      </c>
      <c r="F232" t="n">
        <v>2</v>
      </c>
      <c r="G232" t="n">
        <v>0</v>
      </c>
      <c r="H232" t="n">
        <v>5</v>
      </c>
      <c r="I232" t="n">
        <v>0</v>
      </c>
      <c r="J232" t="n">
        <v>0</v>
      </c>
      <c r="K232">
        <f>IF(H232-I232-J232&gt;0,H232-I232-J232,0)</f>
        <v/>
      </c>
      <c r="L232" s="1">
        <f>IFERROR(I232*E232,0)</f>
        <v/>
      </c>
      <c r="M232" s="1">
        <f>IFERROR(K232*E232,0)</f>
        <v/>
      </c>
    </row>
    <row r="233">
      <c r="A233" t="inlineStr">
        <is>
          <t>16039</t>
        </is>
      </c>
      <c r="B233" t="inlineStr">
        <is>
          <t>CA 250 VO In-Line Tube Fan Plastic Casing</t>
        </is>
      </c>
      <c r="C233" t="inlineStr">
        <is>
          <t>Vortice Elettrosociali SpA</t>
        </is>
      </c>
      <c r="D233" t="inlineStr"/>
      <c r="E233" s="1" t="n">
        <v>2555.16</v>
      </c>
      <c r="F233" t="n">
        <v>1</v>
      </c>
      <c r="G233" t="n">
        <v>0</v>
      </c>
      <c r="H233" t="n">
        <v>2</v>
      </c>
      <c r="I233" t="n">
        <v>0</v>
      </c>
      <c r="J233" t="n">
        <v>0</v>
      </c>
      <c r="K233">
        <f>IF(H233-I233-J233&gt;0,H233-I233-J233,0)</f>
        <v/>
      </c>
      <c r="L233" s="1">
        <f>IFERROR(I233*E233,0)</f>
        <v/>
      </c>
      <c r="M233" s="1">
        <f>IFERROR(K233*E233,0)</f>
        <v/>
      </c>
    </row>
    <row r="234">
      <c r="A234" t="inlineStr">
        <is>
          <t>1609CL</t>
        </is>
      </c>
      <c r="B234" t="inlineStr">
        <is>
          <t>160/9 Clamp - to suit, 14mm, 19mm, 24mm and 28mm bore hubs</t>
        </is>
      </c>
      <c r="C234" t="inlineStr">
        <is>
          <t>CFW Fans (Pty) Ltd</t>
        </is>
      </c>
      <c r="D234" t="inlineStr">
        <is>
          <t>FM - IMPELLER</t>
        </is>
      </c>
      <c r="E234" s="1" t="n">
        <v>235</v>
      </c>
      <c r="F234" t="n">
        <v>8</v>
      </c>
      <c r="G234" t="n">
        <v>0</v>
      </c>
      <c r="H234" t="n">
        <v>40</v>
      </c>
      <c r="I234" t="n">
        <v>0</v>
      </c>
      <c r="J234" t="n">
        <v>24</v>
      </c>
      <c r="K234">
        <f>IF(H234-I234-J234&gt;0,H234-I234-J234,0)</f>
        <v/>
      </c>
      <c r="L234" s="1">
        <f>IFERROR(I234*E234,0)</f>
        <v/>
      </c>
      <c r="M234" s="1">
        <f>IFERROR(K234*E234,0)</f>
        <v/>
      </c>
    </row>
    <row r="235">
      <c r="A235" t="inlineStr">
        <is>
          <t>1609H14</t>
        </is>
      </c>
      <c r="B235" t="inlineStr">
        <is>
          <t>160/9 Hub - 14mm</t>
        </is>
      </c>
      <c r="C235" t="inlineStr">
        <is>
          <t>CFW Fans (Pty) Ltd</t>
        </is>
      </c>
      <c r="D235" t="inlineStr">
        <is>
          <t>FM - IMPELLER</t>
        </is>
      </c>
      <c r="E235" s="1" t="n">
        <v>270</v>
      </c>
      <c r="F235" t="n">
        <v>3</v>
      </c>
      <c r="G235" t="n">
        <v>0</v>
      </c>
      <c r="H235" t="n">
        <v>14</v>
      </c>
      <c r="I235" t="n">
        <v>0</v>
      </c>
      <c r="J235" t="n">
        <v>6</v>
      </c>
      <c r="K235">
        <f>IF(H235-I235-J235&gt;0,H235-I235-J235,0)</f>
        <v/>
      </c>
      <c r="L235" s="1">
        <f>IFERROR(I235*E235,0)</f>
        <v/>
      </c>
      <c r="M235" s="1">
        <f>IFERROR(K235*E235,0)</f>
        <v/>
      </c>
    </row>
    <row r="236">
      <c r="A236" t="inlineStr">
        <is>
          <t>1609H19</t>
        </is>
      </c>
      <c r="B236" t="inlineStr">
        <is>
          <t>160/9 Hub - 19mm</t>
        </is>
      </c>
      <c r="C236" t="inlineStr">
        <is>
          <t>CFW Fans (Pty) Ltd</t>
        </is>
      </c>
      <c r="D236" t="inlineStr">
        <is>
          <t>FM - IMPELLER</t>
        </is>
      </c>
      <c r="E236" s="1" t="n">
        <v>270</v>
      </c>
      <c r="F236" t="n">
        <v>2</v>
      </c>
      <c r="G236" t="n">
        <v>0</v>
      </c>
      <c r="H236" t="n">
        <v>12</v>
      </c>
      <c r="I236" t="n">
        <v>0</v>
      </c>
      <c r="J236" t="n">
        <v>12</v>
      </c>
      <c r="K236">
        <f>IF(H236-I236-J236&gt;0,H236-I236-J236,0)</f>
        <v/>
      </c>
      <c r="L236" s="1">
        <f>IFERROR(I236*E236,0)</f>
        <v/>
      </c>
      <c r="M236" s="1">
        <f>IFERROR(K236*E236,0)</f>
        <v/>
      </c>
    </row>
    <row r="237">
      <c r="A237" t="inlineStr">
        <is>
          <t>1609H24</t>
        </is>
      </c>
      <c r="B237" t="inlineStr">
        <is>
          <t>160/9 Hub - 24mm</t>
        </is>
      </c>
      <c r="C237" t="inlineStr">
        <is>
          <t>CFW Fans (Pty) Ltd</t>
        </is>
      </c>
      <c r="D237" t="inlineStr">
        <is>
          <t>FM - IMPELLER</t>
        </is>
      </c>
      <c r="E237" s="1" t="n">
        <v>270</v>
      </c>
      <c r="F237" t="n">
        <v>2</v>
      </c>
      <c r="G237" t="n">
        <v>0</v>
      </c>
      <c r="H237" t="n">
        <v>10</v>
      </c>
      <c r="I237" t="n">
        <v>0</v>
      </c>
      <c r="J237" t="n">
        <v>0</v>
      </c>
      <c r="K237">
        <f>IF(H237-I237-J237&gt;0,H237-I237-J237,0)</f>
        <v/>
      </c>
      <c r="L237" s="1">
        <f>IFERROR(I237*E237,0)</f>
        <v/>
      </c>
      <c r="M237" s="1">
        <f>IFERROR(K237*E237,0)</f>
        <v/>
      </c>
    </row>
    <row r="238">
      <c r="A238" t="inlineStr">
        <is>
          <t>1609H28</t>
        </is>
      </c>
      <c r="B238" t="inlineStr">
        <is>
          <t>160/9 Hub - 28mm</t>
        </is>
      </c>
      <c r="C238" t="inlineStr">
        <is>
          <t>CFW Fans (Pty) Ltd</t>
        </is>
      </c>
      <c r="D238" t="inlineStr">
        <is>
          <t>FM - IMPELLER</t>
        </is>
      </c>
      <c r="E238" s="1" t="n">
        <v>270</v>
      </c>
      <c r="F238" t="n">
        <v>2</v>
      </c>
      <c r="G238" t="n">
        <v>0</v>
      </c>
      <c r="H238" t="n">
        <v>8</v>
      </c>
      <c r="I238" t="n">
        <v>0</v>
      </c>
      <c r="J238" t="n">
        <v>6</v>
      </c>
      <c r="K238">
        <f>IF(H238-I238-J238&gt;0,H238-I238-J238,0)</f>
        <v/>
      </c>
      <c r="L238" s="1">
        <f>IFERROR(I238*E238,0)</f>
        <v/>
      </c>
      <c r="M238" s="1">
        <f>IFERROR(K238*E238,0)</f>
        <v/>
      </c>
    </row>
    <row r="239">
      <c r="A239" t="inlineStr">
        <is>
          <t>160X3SPA</t>
        </is>
      </c>
      <c r="B239" t="inlineStr">
        <is>
          <t>PULLEY FRICTION BELT V-WEDGE 3 GROOVE SPA 2517 TAPER 160MM FENNER</t>
        </is>
      </c>
      <c r="C239" t="inlineStr">
        <is>
          <t>Bearing Man Group</t>
        </is>
      </c>
      <c r="D239" t="inlineStr"/>
      <c r="E239" s="1" t="n">
        <v>474.51</v>
      </c>
      <c r="F239" t="n">
        <v>1</v>
      </c>
      <c r="G239" t="n">
        <v>0</v>
      </c>
      <c r="H239" t="n">
        <v>3</v>
      </c>
      <c r="I239" t="n">
        <v>0</v>
      </c>
      <c r="J239" t="n">
        <v>0</v>
      </c>
      <c r="K239">
        <f>IF(H239-I239-J239&gt;0,H239-I239-J239,0)</f>
        <v/>
      </c>
      <c r="L239" s="1">
        <f>IFERROR(I239*E239,0)</f>
        <v/>
      </c>
      <c r="M239" s="1">
        <f>IFERROR(K239*E239,0)</f>
        <v/>
      </c>
    </row>
    <row r="240">
      <c r="A240" t="inlineStr">
        <is>
          <t>1610X25MM.</t>
        </is>
      </c>
      <c r="B240" t="inlineStr">
        <is>
          <t>TAPER LOCK BUSH METRIC 1610 25MM FENNER</t>
        </is>
      </c>
      <c r="C240" t="inlineStr">
        <is>
          <t>Bearing Man Group</t>
        </is>
      </c>
      <c r="D240" t="inlineStr"/>
      <c r="E240" s="1" t="n">
        <v>72.31</v>
      </c>
      <c r="F240" t="n">
        <v>1</v>
      </c>
      <c r="G240" t="n">
        <v>0</v>
      </c>
      <c r="H240" t="n">
        <v>5</v>
      </c>
      <c r="I240" t="n">
        <v>0</v>
      </c>
      <c r="J240" t="n">
        <v>0</v>
      </c>
      <c r="K240">
        <f>IF(H240-I240-J240&gt;0,H240-I240-J240,0)</f>
        <v/>
      </c>
      <c r="L240" s="1">
        <f>IFERROR(I240*E240,0)</f>
        <v/>
      </c>
      <c r="M240" s="1">
        <f>IFERROR(K240*E240,0)</f>
        <v/>
      </c>
    </row>
    <row r="241">
      <c r="A241" t="inlineStr">
        <is>
          <t>1610X28MM.</t>
        </is>
      </c>
      <c r="B241" t="inlineStr">
        <is>
          <t>Taper Lock Bush Metric 1610 28mm FE</t>
        </is>
      </c>
      <c r="C241" t="inlineStr">
        <is>
          <t>Bearing Man Group</t>
        </is>
      </c>
      <c r="D241" t="inlineStr"/>
      <c r="E241" s="1" t="n">
        <v>74.83</v>
      </c>
      <c r="F241" t="n">
        <v>1</v>
      </c>
      <c r="G241" t="n">
        <v>0</v>
      </c>
      <c r="H241" t="n">
        <v>4</v>
      </c>
      <c r="I241" t="n">
        <v>0</v>
      </c>
      <c r="J241" t="n">
        <v>0</v>
      </c>
      <c r="K241">
        <f>IF(H241-I241-J241&gt;0,H241-I241-J241,0)</f>
        <v/>
      </c>
      <c r="L241" s="1">
        <f>IFERROR(I241*E241,0)</f>
        <v/>
      </c>
      <c r="M241" s="1">
        <f>IFERROR(K241*E241,0)</f>
        <v/>
      </c>
    </row>
    <row r="242">
      <c r="A242" t="inlineStr">
        <is>
          <t>1610X38MM</t>
        </is>
      </c>
      <c r="B242" t="inlineStr">
        <is>
          <t>TAPER LOCK BUSH METRIC 1610 38MM FENNER</t>
        </is>
      </c>
      <c r="C242" t="inlineStr">
        <is>
          <t>Bearing Man Group</t>
        </is>
      </c>
      <c r="D242" t="inlineStr"/>
      <c r="E242" s="1" t="n">
        <v>77.68000000000001</v>
      </c>
      <c r="F242" t="n">
        <v>1</v>
      </c>
      <c r="G242" t="n">
        <v>0</v>
      </c>
      <c r="H242" t="n">
        <v>2</v>
      </c>
      <c r="I242" t="n">
        <v>0</v>
      </c>
      <c r="J242" t="n">
        <v>0</v>
      </c>
      <c r="K242">
        <f>IF(H242-I242-J242&gt;0,H242-I242-J242,0)</f>
        <v/>
      </c>
      <c r="L242" s="1">
        <f>IFERROR(I242*E242,0)</f>
        <v/>
      </c>
      <c r="M242" s="1">
        <f>IFERROR(K242*E242,0)</f>
        <v/>
      </c>
    </row>
    <row r="243">
      <c r="A243" t="inlineStr">
        <is>
          <t>16183</t>
        </is>
      </c>
      <c r="B243" t="inlineStr">
        <is>
          <t>CA 150 MD E RF</t>
        </is>
      </c>
      <c r="C243" t="inlineStr">
        <is>
          <t>Vortice Elettrosociali SpA</t>
        </is>
      </c>
      <c r="D243" t="inlineStr"/>
      <c r="E243" s="1" t="n">
        <v>3263.14</v>
      </c>
      <c r="F243" t="n">
        <v>2</v>
      </c>
      <c r="G243" t="n">
        <v>0</v>
      </c>
      <c r="H243" t="n">
        <v>6</v>
      </c>
      <c r="I243" t="n">
        <v>0</v>
      </c>
      <c r="J243" t="n">
        <v>0</v>
      </c>
      <c r="K243">
        <f>IF(H243-I243-J243&gt;0,H243-I243-J243,0)</f>
        <v/>
      </c>
      <c r="L243" s="1">
        <f>IFERROR(I243*E243,0)</f>
        <v/>
      </c>
      <c r="M243" s="1">
        <f>IFERROR(K243*E243,0)</f>
        <v/>
      </c>
    </row>
    <row r="244">
      <c r="A244" t="inlineStr">
        <is>
          <t>16702</t>
        </is>
      </c>
      <c r="B244" t="inlineStr">
        <is>
          <t>PRA GLD FLP TTECH SWA D/COMP NO1 M20</t>
        </is>
      </c>
      <c r="C244" t="inlineStr">
        <is>
          <t>Pratley (Pty) Ltd</t>
        </is>
      </c>
      <c r="D244" t="inlineStr"/>
      <c r="E244" s="1" t="n">
        <v>247.02</v>
      </c>
      <c r="F244" t="n">
        <v>2</v>
      </c>
      <c r="G244" t="n">
        <v>0</v>
      </c>
      <c r="H244" t="n">
        <v>10</v>
      </c>
      <c r="I244" t="n">
        <v>0</v>
      </c>
      <c r="J244" t="n">
        <v>0</v>
      </c>
      <c r="K244">
        <f>IF(H244-I244-J244&gt;0,H244-I244-J244,0)</f>
        <v/>
      </c>
      <c r="L244" s="1">
        <f>IFERROR(I244*E244,0)</f>
        <v/>
      </c>
      <c r="M244" s="1">
        <f>IFERROR(K244*E244,0)</f>
        <v/>
      </c>
    </row>
    <row r="245">
      <c r="A245" t="inlineStr">
        <is>
          <t>168-37</t>
        </is>
      </c>
      <c r="B245" t="inlineStr">
        <is>
          <t>FAS3212LF RIVET FA - 3.2MMX12MM POP RIVETS</t>
        </is>
      </c>
      <c r="C245" t="inlineStr">
        <is>
          <t>Atlantic Lighting &amp; Electrical distributors</t>
        </is>
      </c>
      <c r="D245" t="inlineStr"/>
      <c r="E245" s="1" t="n">
        <v>47.03</v>
      </c>
      <c r="F245" t="n">
        <v>2</v>
      </c>
      <c r="G245" t="n">
        <v>0</v>
      </c>
      <c r="H245" t="n">
        <v>10</v>
      </c>
      <c r="I245" t="n">
        <v>0</v>
      </c>
      <c r="J245" t="n">
        <v>0</v>
      </c>
      <c r="K245">
        <f>IF(H245-I245-J245&gt;0,H245-I245-J245,0)</f>
        <v/>
      </c>
      <c r="L245" s="1">
        <f>IFERROR(I245*E245,0)</f>
        <v/>
      </c>
      <c r="M245" s="1">
        <f>IFERROR(K245*E245,0)</f>
        <v/>
      </c>
    </row>
    <row r="246">
      <c r="A246" t="inlineStr">
        <is>
          <t>17005</t>
        </is>
      </c>
      <c r="B246" t="inlineStr">
        <is>
          <t>LINEO 1000 VO</t>
        </is>
      </c>
      <c r="C246" t="inlineStr"/>
      <c r="D246" t="inlineStr">
        <is>
          <t>FM - VORTICE</t>
        </is>
      </c>
      <c r="E246" s="1" t="n">
        <v>0</v>
      </c>
      <c r="F246" t="n">
        <v>1</v>
      </c>
      <c r="G246" t="n">
        <v>0</v>
      </c>
      <c r="H246" t="n">
        <v>2</v>
      </c>
      <c r="I246" t="n">
        <v>0</v>
      </c>
      <c r="J246" t="n">
        <v>0</v>
      </c>
      <c r="K246">
        <f>IF(H246-I246-J246&gt;0,H246-I246-J246,0)</f>
        <v/>
      </c>
      <c r="L246" s="1">
        <f>IFERROR(I246*E246,0)</f>
        <v/>
      </c>
      <c r="M246" s="1">
        <f>IFERROR(K246*E246,0)</f>
        <v/>
      </c>
    </row>
    <row r="247">
      <c r="A247" t="inlineStr">
        <is>
          <t>17021</t>
        </is>
      </c>
      <c r="B247" t="inlineStr">
        <is>
          <t>LINEO 100 TVO</t>
        </is>
      </c>
      <c r="C247" t="inlineStr"/>
      <c r="D247" t="inlineStr">
        <is>
          <t>FM - VORTICE</t>
        </is>
      </c>
      <c r="E247" s="1" t="n">
        <v>0</v>
      </c>
      <c r="F247" t="n">
        <v>1</v>
      </c>
      <c r="G247" t="n">
        <v>0</v>
      </c>
      <c r="H247" t="n">
        <v>2</v>
      </c>
      <c r="I247" t="n">
        <v>0</v>
      </c>
      <c r="J247" t="n">
        <v>0</v>
      </c>
      <c r="K247">
        <f>IF(H247-I247-J247&gt;0,H247-I247-J247,0)</f>
        <v/>
      </c>
      <c r="L247" s="1">
        <f>IFERROR(I247*E247,0)</f>
        <v/>
      </c>
      <c r="M247" s="1">
        <f>IFERROR(K247*E247,0)</f>
        <v/>
      </c>
    </row>
    <row r="248">
      <c r="A248" t="inlineStr">
        <is>
          <t>17143</t>
        </is>
      </c>
      <c r="B248" t="inlineStr">
        <is>
          <t>LINEO 100 Q</t>
        </is>
      </c>
      <c r="C248" t="inlineStr"/>
      <c r="D248" t="inlineStr">
        <is>
          <t>FM - VORTICE</t>
        </is>
      </c>
      <c r="E248" s="1" t="n">
        <v>0</v>
      </c>
      <c r="F248" t="n">
        <v>1</v>
      </c>
      <c r="G248" t="n">
        <v>0</v>
      </c>
      <c r="H248" t="n">
        <v>2</v>
      </c>
      <c r="I248" t="n">
        <v>0</v>
      </c>
      <c r="J248" t="n">
        <v>0</v>
      </c>
      <c r="K248">
        <f>IF(H248-I248-J248&gt;0,H248-I248-J248,0)</f>
        <v/>
      </c>
      <c r="L248" s="1">
        <f>IFERROR(I248*E248,0)</f>
        <v/>
      </c>
      <c r="M248" s="1">
        <f>IFERROR(K248*E248,0)</f>
        <v/>
      </c>
    </row>
    <row r="249">
      <c r="A249" t="inlineStr">
        <is>
          <t>17144</t>
        </is>
      </c>
      <c r="B249" t="inlineStr">
        <is>
          <t>LINEO 100</t>
        </is>
      </c>
      <c r="C249" t="inlineStr"/>
      <c r="D249" t="inlineStr">
        <is>
          <t>FM - VORTICE</t>
        </is>
      </c>
      <c r="E249" s="1" t="n">
        <v>0</v>
      </c>
      <c r="F249" t="n">
        <v>1</v>
      </c>
      <c r="G249" t="n">
        <v>0</v>
      </c>
      <c r="H249" t="n">
        <v>4</v>
      </c>
      <c r="I249" t="n">
        <v>0</v>
      </c>
      <c r="J249" t="n">
        <v>0</v>
      </c>
      <c r="K249">
        <f>IF(H249-I249-J249&gt;0,H249-I249-J249,0)</f>
        <v/>
      </c>
      <c r="L249" s="1">
        <f>IFERROR(I249*E249,0)</f>
        <v/>
      </c>
      <c r="M249" s="1">
        <f>IFERROR(K249*E249,0)</f>
        <v/>
      </c>
    </row>
    <row r="250">
      <c r="A250" t="inlineStr">
        <is>
          <t>17145</t>
        </is>
      </c>
      <c r="B250" t="inlineStr">
        <is>
          <t>LINEO 125</t>
        </is>
      </c>
      <c r="C250" t="inlineStr">
        <is>
          <t>Vortice Elettrosociali SpA</t>
        </is>
      </c>
      <c r="D250" t="inlineStr">
        <is>
          <t>FM - VORTICE</t>
        </is>
      </c>
      <c r="E250" s="1" t="n">
        <v>1177.92</v>
      </c>
      <c r="F250" t="n">
        <v>1</v>
      </c>
      <c r="G250" t="n">
        <v>0</v>
      </c>
      <c r="H250" t="n">
        <v>3</v>
      </c>
      <c r="I250" t="n">
        <v>0</v>
      </c>
      <c r="J250" t="n">
        <v>0</v>
      </c>
      <c r="K250">
        <f>IF(H250-I250-J250&gt;0,H250-I250-J250,0)</f>
        <v/>
      </c>
      <c r="L250" s="1">
        <f>IFERROR(I250*E250,0)</f>
        <v/>
      </c>
      <c r="M250" s="1">
        <f>IFERROR(K250*E250,0)</f>
        <v/>
      </c>
    </row>
    <row r="251">
      <c r="A251" t="inlineStr">
        <is>
          <t>17146</t>
        </is>
      </c>
      <c r="B251" t="inlineStr">
        <is>
          <t>LINEO 150</t>
        </is>
      </c>
      <c r="C251" t="inlineStr">
        <is>
          <t>Vortice Elettrosociali SpA</t>
        </is>
      </c>
      <c r="D251" t="inlineStr">
        <is>
          <t>FM - VORTICE</t>
        </is>
      </c>
      <c r="E251" s="1" t="n">
        <v>1329.45</v>
      </c>
      <c r="F251" t="n">
        <v>2</v>
      </c>
      <c r="G251" t="n">
        <v>0</v>
      </c>
      <c r="H251" t="n">
        <v>7</v>
      </c>
      <c r="I251" t="n">
        <v>0</v>
      </c>
      <c r="J251" t="n">
        <v>0</v>
      </c>
      <c r="K251">
        <f>IF(H251-I251-J251&gt;0,H251-I251-J251,0)</f>
        <v/>
      </c>
      <c r="L251" s="1">
        <f>IFERROR(I251*E251,0)</f>
        <v/>
      </c>
      <c r="M251" s="1">
        <f>IFERROR(K251*E251,0)</f>
        <v/>
      </c>
    </row>
    <row r="252">
      <c r="A252" t="inlineStr">
        <is>
          <t>17148</t>
        </is>
      </c>
      <c r="B252" t="inlineStr">
        <is>
          <t>LINEO 200 Q</t>
        </is>
      </c>
      <c r="C252" t="inlineStr">
        <is>
          <t>Vortice Elettrosociali SpA</t>
        </is>
      </c>
      <c r="D252" t="inlineStr">
        <is>
          <t>FM - VORTICE</t>
        </is>
      </c>
      <c r="E252" s="1" t="n">
        <v>1397.64</v>
      </c>
      <c r="F252" t="n">
        <v>11</v>
      </c>
      <c r="G252" t="n">
        <v>0</v>
      </c>
      <c r="H252" t="n">
        <v>27</v>
      </c>
      <c r="I252" t="n">
        <v>0</v>
      </c>
      <c r="J252" t="n">
        <v>0</v>
      </c>
      <c r="K252">
        <f>IF(H252-I252-J252&gt;0,H252-I252-J252,0)</f>
        <v/>
      </c>
      <c r="L252" s="1">
        <f>IFERROR(I252*E252,0)</f>
        <v/>
      </c>
      <c r="M252" s="1">
        <f>IFERROR(K252*E252,0)</f>
        <v/>
      </c>
    </row>
    <row r="253">
      <c r="A253" t="inlineStr">
        <is>
          <t>17160</t>
        </is>
      </c>
      <c r="B253" t="inlineStr">
        <is>
          <t>LINEO 100 QUIET</t>
        </is>
      </c>
      <c r="C253" t="inlineStr">
        <is>
          <t>Vortice Elettrosociali SpA</t>
        </is>
      </c>
      <c r="D253" t="inlineStr">
        <is>
          <t>FM - VORTICE</t>
        </is>
      </c>
      <c r="E253" s="1" t="n">
        <v>442.78</v>
      </c>
      <c r="F253" t="n">
        <v>1</v>
      </c>
      <c r="G253" t="n">
        <v>0</v>
      </c>
      <c r="H253" t="n">
        <v>3</v>
      </c>
      <c r="I253" t="n">
        <v>0</v>
      </c>
      <c r="J253" t="n">
        <v>0</v>
      </c>
      <c r="K253">
        <f>IF(H253-I253-J253&gt;0,H253-I253-J253,0)</f>
        <v/>
      </c>
      <c r="L253" s="1">
        <f>IFERROR(I253*E253,0)</f>
        <v/>
      </c>
      <c r="M253" s="1">
        <f>IFERROR(K253*E253,0)</f>
        <v/>
      </c>
    </row>
    <row r="254">
      <c r="A254" t="inlineStr">
        <is>
          <t>17161</t>
        </is>
      </c>
      <c r="B254" t="inlineStr">
        <is>
          <t>LINEO 125 QUIET</t>
        </is>
      </c>
      <c r="C254" t="inlineStr">
        <is>
          <t>Vortice Elettrosociali SpA</t>
        </is>
      </c>
      <c r="D254" t="inlineStr">
        <is>
          <t>FM - VORTICE</t>
        </is>
      </c>
      <c r="E254" s="1" t="n">
        <v>1513.62</v>
      </c>
      <c r="F254" t="n">
        <v>2</v>
      </c>
      <c r="G254" t="n">
        <v>0</v>
      </c>
      <c r="H254" t="n">
        <v>5</v>
      </c>
      <c r="I254" t="n">
        <v>0</v>
      </c>
      <c r="J254" t="n">
        <v>0</v>
      </c>
      <c r="K254">
        <f>IF(H254-I254-J254&gt;0,H254-I254-J254,0)</f>
        <v/>
      </c>
      <c r="L254" s="1">
        <f>IFERROR(I254*E254,0)</f>
        <v/>
      </c>
      <c r="M254" s="1">
        <f>IFERROR(K254*E254,0)</f>
        <v/>
      </c>
    </row>
    <row r="255">
      <c r="A255" t="inlineStr">
        <is>
          <t>17162</t>
        </is>
      </c>
      <c r="B255" t="inlineStr">
        <is>
          <t>LINEO 150 QUIET</t>
        </is>
      </c>
      <c r="C255" t="inlineStr">
        <is>
          <t>Vortice Elettrosociali SpA</t>
        </is>
      </c>
      <c r="D255" t="inlineStr">
        <is>
          <t>FM - VORTICE</t>
        </is>
      </c>
      <c r="E255" s="1" t="n">
        <v>1762.95</v>
      </c>
      <c r="F255" t="n">
        <v>2</v>
      </c>
      <c r="G255" t="n">
        <v>0</v>
      </c>
      <c r="H255" t="n">
        <v>7</v>
      </c>
      <c r="I255" t="n">
        <v>0</v>
      </c>
      <c r="J255" t="n">
        <v>0</v>
      </c>
      <c r="K255">
        <f>IF(H255-I255-J255&gt;0,H255-I255-J255,0)</f>
        <v/>
      </c>
      <c r="L255" s="1">
        <f>IFERROR(I255*E255,0)</f>
        <v/>
      </c>
      <c r="M255" s="1">
        <f>IFERROR(K255*E255,0)</f>
        <v/>
      </c>
    </row>
    <row r="256">
      <c r="A256" t="inlineStr">
        <is>
          <t>17164</t>
        </is>
      </c>
      <c r="B256" t="inlineStr">
        <is>
          <t>LINEO 200 QUIET</t>
        </is>
      </c>
      <c r="C256" t="inlineStr">
        <is>
          <t>Vortice Elettrosociali SpA</t>
        </is>
      </c>
      <c r="D256" t="inlineStr">
        <is>
          <t>FM - VORTICE</t>
        </is>
      </c>
      <c r="E256" s="1" t="n">
        <v>2488.4</v>
      </c>
      <c r="F256" t="n">
        <v>2</v>
      </c>
      <c r="G256" t="n">
        <v>0</v>
      </c>
      <c r="H256" t="n">
        <v>7</v>
      </c>
      <c r="I256" t="n">
        <v>0</v>
      </c>
      <c r="J256" t="n">
        <v>0</v>
      </c>
      <c r="K256">
        <f>IF(H256-I256-J256&gt;0,H256-I256-J256,0)</f>
        <v/>
      </c>
      <c r="L256" s="1">
        <f>IFERROR(I256*E256,0)</f>
        <v/>
      </c>
      <c r="M256" s="1">
        <f>IFERROR(K256*E256,0)</f>
        <v/>
      </c>
    </row>
    <row r="257">
      <c r="A257" t="inlineStr">
        <is>
          <t>17165</t>
        </is>
      </c>
      <c r="B257" t="inlineStr">
        <is>
          <t>LINEO 250 QUIET</t>
        </is>
      </c>
      <c r="C257" t="inlineStr">
        <is>
          <t>Vortice Elettrosociali SpA</t>
        </is>
      </c>
      <c r="D257" t="inlineStr">
        <is>
          <t>FM - VORTICE</t>
        </is>
      </c>
      <c r="E257" s="1" t="n">
        <v>5043.15</v>
      </c>
      <c r="F257" t="n">
        <v>2</v>
      </c>
      <c r="G257" t="n">
        <v>0</v>
      </c>
      <c r="H257" t="n">
        <v>8</v>
      </c>
      <c r="I257" t="n">
        <v>0</v>
      </c>
      <c r="J257" t="n">
        <v>0</v>
      </c>
      <c r="K257">
        <f>IF(H257-I257-J257&gt;0,H257-I257-J257,0)</f>
        <v/>
      </c>
      <c r="L257" s="1">
        <f>IFERROR(I257*E257,0)</f>
        <v/>
      </c>
      <c r="M257" s="1">
        <f>IFERROR(K257*E257,0)</f>
        <v/>
      </c>
    </row>
    <row r="258">
      <c r="A258" t="inlineStr">
        <is>
          <t>17166</t>
        </is>
      </c>
      <c r="B258" t="inlineStr">
        <is>
          <t>LINEO 315 QUIET</t>
        </is>
      </c>
      <c r="C258" t="inlineStr">
        <is>
          <t>Vortice Elettrosociali SpA</t>
        </is>
      </c>
      <c r="D258" t="inlineStr">
        <is>
          <t>FM - VORTICE</t>
        </is>
      </c>
      <c r="E258" s="1" t="n">
        <v>6627.02</v>
      </c>
      <c r="F258" t="n">
        <v>1</v>
      </c>
      <c r="G258" t="n">
        <v>0</v>
      </c>
      <c r="H258" t="n">
        <v>5</v>
      </c>
      <c r="I258" t="n">
        <v>0</v>
      </c>
      <c r="J258" t="n">
        <v>0</v>
      </c>
      <c r="K258">
        <f>IF(H258-I258-J258&gt;0,H258-I258-J258,0)</f>
        <v/>
      </c>
      <c r="L258" s="1">
        <f>IFERROR(I258*E258,0)</f>
        <v/>
      </c>
      <c r="M258" s="1">
        <f>IFERROR(K258*E258,0)</f>
        <v/>
      </c>
    </row>
    <row r="259">
      <c r="A259" t="inlineStr">
        <is>
          <t>17180</t>
        </is>
      </c>
      <c r="B259" t="inlineStr">
        <is>
          <t>LINEO 200</t>
        </is>
      </c>
      <c r="C259" t="inlineStr">
        <is>
          <t>Vortice Elettrosociali SpA</t>
        </is>
      </c>
      <c r="D259" t="inlineStr">
        <is>
          <t>FM - VORTICE</t>
        </is>
      </c>
      <c r="E259" s="1" t="n">
        <v>1644.45</v>
      </c>
      <c r="F259" t="n">
        <v>2</v>
      </c>
      <c r="G259" t="n">
        <v>0</v>
      </c>
      <c r="H259" t="n">
        <v>6</v>
      </c>
      <c r="I259" t="n">
        <v>0</v>
      </c>
      <c r="J259" t="n">
        <v>0</v>
      </c>
      <c r="K259">
        <f>IF(H259-I259-J259&gt;0,H259-I259-J259,0)</f>
        <v/>
      </c>
      <c r="L259" s="1">
        <f>IFERROR(I259*E259,0)</f>
        <v/>
      </c>
      <c r="M259" s="1">
        <f>IFERROR(K259*E259,0)</f>
        <v/>
      </c>
    </row>
    <row r="260">
      <c r="A260" t="inlineStr">
        <is>
          <t>17181</t>
        </is>
      </c>
      <c r="B260" t="inlineStr">
        <is>
          <t>LINEO 250</t>
        </is>
      </c>
      <c r="C260" t="inlineStr">
        <is>
          <t>Vortice Elettrosociali SpA</t>
        </is>
      </c>
      <c r="D260" t="inlineStr">
        <is>
          <t>FM - VORTICE</t>
        </is>
      </c>
      <c r="E260" s="1" t="n">
        <v>2207.34</v>
      </c>
      <c r="F260" t="n">
        <v>1</v>
      </c>
      <c r="G260" t="n">
        <v>0</v>
      </c>
      <c r="H260" t="n">
        <v>2</v>
      </c>
      <c r="I260" t="n">
        <v>0</v>
      </c>
      <c r="J260" t="n">
        <v>0</v>
      </c>
      <c r="K260">
        <f>IF(H260-I260-J260&gt;0,H260-I260-J260,0)</f>
        <v/>
      </c>
      <c r="L260" s="1">
        <f>IFERROR(I260*E260,0)</f>
        <v/>
      </c>
      <c r="M260" s="1">
        <f>IFERROR(K260*E260,0)</f>
        <v/>
      </c>
    </row>
    <row r="261">
      <c r="A261" t="inlineStr">
        <is>
          <t>17182</t>
        </is>
      </c>
      <c r="B261" t="inlineStr">
        <is>
          <t>LINEO 315</t>
        </is>
      </c>
      <c r="C261" t="inlineStr">
        <is>
          <t>Vortice Elettrosociali SpA</t>
        </is>
      </c>
      <c r="D261" t="inlineStr">
        <is>
          <t>FM - VORTICE</t>
        </is>
      </c>
      <c r="E261" s="1" t="n">
        <v>3058.29</v>
      </c>
      <c r="F261" t="n">
        <v>3</v>
      </c>
      <c r="G261" t="n">
        <v>0</v>
      </c>
      <c r="H261" t="n">
        <v>10</v>
      </c>
      <c r="I261" t="n">
        <v>0</v>
      </c>
      <c r="J261" t="n">
        <v>0</v>
      </c>
      <c r="K261">
        <f>IF(H261-I261-J261&gt;0,H261-I261-J261,0)</f>
        <v/>
      </c>
      <c r="L261" s="1">
        <f>IFERROR(I261*E261,0)</f>
        <v/>
      </c>
      <c r="M261" s="1">
        <f>IFERROR(K261*E261,0)</f>
        <v/>
      </c>
    </row>
    <row r="262">
      <c r="A262" t="inlineStr">
        <is>
          <t>17185</t>
        </is>
      </c>
      <c r="B262" t="inlineStr">
        <is>
          <t>LINEO 100 T</t>
        </is>
      </c>
      <c r="C262" t="inlineStr"/>
      <c r="D262" t="inlineStr">
        <is>
          <t>FM - VORTICE</t>
        </is>
      </c>
      <c r="E262" s="1" t="n">
        <v>0</v>
      </c>
      <c r="F262" t="n">
        <v>2</v>
      </c>
      <c r="G262" t="n">
        <v>0</v>
      </c>
      <c r="H262" t="n">
        <v>10</v>
      </c>
      <c r="I262" t="n">
        <v>0</v>
      </c>
      <c r="J262" t="n">
        <v>0</v>
      </c>
      <c r="K262">
        <f>IF(H262-I262-J262&gt;0,H262-I262-J262,0)</f>
        <v/>
      </c>
      <c r="L262" s="1">
        <f>IFERROR(I262*E262,0)</f>
        <v/>
      </c>
      <c r="M262" s="1">
        <f>IFERROR(K262*E262,0)</f>
        <v/>
      </c>
    </row>
    <row r="263">
      <c r="A263" t="inlineStr">
        <is>
          <t>18.5KW 4P 380V IP55 300 C/2HR</t>
        </is>
      </c>
      <c r="B263" t="inlineStr">
        <is>
          <t>WEG SMOKEX PAD W22 MOTOR</t>
        </is>
      </c>
      <c r="C263" t="inlineStr">
        <is>
          <t>WEG South Africa</t>
        </is>
      </c>
      <c r="D263" t="inlineStr"/>
      <c r="E263" s="1" t="n">
        <v>26234</v>
      </c>
      <c r="F263" t="n">
        <v>1</v>
      </c>
      <c r="G263" t="n">
        <v>0</v>
      </c>
      <c r="H263" t="n">
        <v>2</v>
      </c>
      <c r="I263" t="n">
        <v>0</v>
      </c>
      <c r="J263" t="n">
        <v>0</v>
      </c>
      <c r="K263">
        <f>IF(H263-I263-J263&gt;0,H263-I263-J263,0)</f>
        <v/>
      </c>
      <c r="L263" s="1">
        <f>IFERROR(I263*E263,0)</f>
        <v/>
      </c>
      <c r="M263" s="1">
        <f>IFERROR(K263*E263,0)</f>
        <v/>
      </c>
    </row>
    <row r="264">
      <c r="A264" t="inlineStr">
        <is>
          <t>1813521</t>
        </is>
      </c>
      <c r="B264" t="inlineStr">
        <is>
          <t>AT 18/13 SC - Single Unit</t>
        </is>
      </c>
      <c r="C264" t="inlineStr">
        <is>
          <t>Regal Beloit Italy S.p.A - Nicotra .</t>
        </is>
      </c>
      <c r="D264" t="inlineStr">
        <is>
          <t>FM - NICOTRA</t>
        </is>
      </c>
      <c r="E264" s="1" t="n">
        <v>2705.32</v>
      </c>
      <c r="F264" t="n">
        <v>1</v>
      </c>
      <c r="G264" t="n">
        <v>0</v>
      </c>
      <c r="H264" t="n">
        <v>2</v>
      </c>
      <c r="I264" t="n">
        <v>0</v>
      </c>
      <c r="J264" t="n">
        <v>0</v>
      </c>
      <c r="K264">
        <f>IF(H264-I264-J264&gt;0,H264-I264-J264,0)</f>
        <v/>
      </c>
      <c r="L264" s="1">
        <f>IFERROR(I264*E264,0)</f>
        <v/>
      </c>
      <c r="M264" s="1">
        <f>IFERROR(K264*E264,0)</f>
        <v/>
      </c>
    </row>
    <row r="265">
      <c r="A265" t="inlineStr">
        <is>
          <t>1818521</t>
        </is>
      </c>
      <c r="B265" t="inlineStr">
        <is>
          <t>AT 18/18 SC - Single Unit</t>
        </is>
      </c>
      <c r="C265" t="inlineStr">
        <is>
          <t>Apache Manufacturing CC</t>
        </is>
      </c>
      <c r="D265" t="inlineStr">
        <is>
          <t>FM - NICOTRA</t>
        </is>
      </c>
      <c r="E265" s="1" t="n">
        <v>4085.58</v>
      </c>
      <c r="F265" t="n">
        <v>1</v>
      </c>
      <c r="G265" t="n">
        <v>0</v>
      </c>
      <c r="H265" t="n">
        <v>2</v>
      </c>
      <c r="I265" t="n">
        <v>0</v>
      </c>
      <c r="J265" t="n">
        <v>0</v>
      </c>
      <c r="K265">
        <f>IF(H265-I265-J265&gt;0,H265-I265-J265,0)</f>
        <v/>
      </c>
      <c r="L265" s="1">
        <f>IFERROR(I265*E265,0)</f>
        <v/>
      </c>
      <c r="M265" s="1">
        <f>IFERROR(K265*E265,0)</f>
        <v/>
      </c>
    </row>
    <row r="266">
      <c r="A266" t="inlineStr">
        <is>
          <t>1818522</t>
        </is>
      </c>
      <c r="B266" t="inlineStr">
        <is>
          <t>AT 18/18 SC2 - Double Unit</t>
        </is>
      </c>
      <c r="C266" t="inlineStr"/>
      <c r="D266" t="inlineStr">
        <is>
          <t>FM - NICOTRA</t>
        </is>
      </c>
      <c r="E266" s="1" t="n">
        <v>0</v>
      </c>
      <c r="F266" t="n">
        <v>1</v>
      </c>
      <c r="G266" t="n">
        <v>0</v>
      </c>
      <c r="H266" t="n">
        <v>2</v>
      </c>
      <c r="I266" t="n">
        <v>0</v>
      </c>
      <c r="J266" t="n">
        <v>0</v>
      </c>
      <c r="K266">
        <f>IF(H266-I266-J266&gt;0,H266-I266-J266,0)</f>
        <v/>
      </c>
      <c r="L266" s="1">
        <f>IFERROR(I266*E266,0)</f>
        <v/>
      </c>
      <c r="M266" s="1">
        <f>IFERROR(K266*E266,0)</f>
        <v/>
      </c>
    </row>
    <row r="267">
      <c r="A267" t="inlineStr">
        <is>
          <t>18INLET-CONE</t>
        </is>
      </c>
      <c r="B267" t="inlineStr">
        <is>
          <t>18 Inch Inlet Cone</t>
        </is>
      </c>
      <c r="C267" t="inlineStr">
        <is>
          <t>Centrifab (Pty) Ltd</t>
        </is>
      </c>
      <c r="D267" t="inlineStr"/>
      <c r="E267" s="1" t="n">
        <v>630</v>
      </c>
      <c r="F267" t="n">
        <v>1</v>
      </c>
      <c r="G267" t="n">
        <v>0</v>
      </c>
      <c r="H267" t="n">
        <v>2</v>
      </c>
      <c r="I267" t="n">
        <v>0</v>
      </c>
      <c r="J267" t="n">
        <v>0</v>
      </c>
      <c r="K267">
        <f>IF(H267-I267-J267&gt;0,H267-I267-J267,0)</f>
        <v/>
      </c>
      <c r="L267" s="1">
        <f>IFERROR(I267*E267,0)</f>
        <v/>
      </c>
      <c r="M267" s="1">
        <f>IFERROR(K267*E267,0)</f>
        <v/>
      </c>
    </row>
    <row r="268">
      <c r="A268" t="inlineStr">
        <is>
          <t>1920</t>
        </is>
      </c>
      <c r="B268" t="inlineStr">
        <is>
          <t>RENTAL MONTHLY</t>
        </is>
      </c>
      <c r="C268" t="inlineStr">
        <is>
          <t>INTROWELD CC</t>
        </is>
      </c>
      <c r="D268" t="inlineStr"/>
      <c r="E268" s="1" t="n">
        <v>208.69</v>
      </c>
      <c r="F268" t="n">
        <v>3</v>
      </c>
      <c r="G268" t="n">
        <v>0</v>
      </c>
      <c r="H268" t="n">
        <v>15</v>
      </c>
      <c r="I268" t="n">
        <v>0</v>
      </c>
      <c r="J268" t="n">
        <v>0</v>
      </c>
      <c r="K268">
        <f>IF(H268-I268-J268&gt;0,H268-I268-J268,0)</f>
        <v/>
      </c>
      <c r="L268" s="1">
        <f>IFERROR(I268*E268,0)</f>
        <v/>
      </c>
      <c r="M268" s="1">
        <f>IFERROR(K268*E268,0)</f>
        <v/>
      </c>
    </row>
    <row r="269">
      <c r="A269" t="inlineStr">
        <is>
          <t>194832</t>
        </is>
      </c>
      <c r="B269" t="inlineStr">
        <is>
          <t>M10 FLAT WASHER DIN 125A ZINC BLUE (10 .5i/dx20o/dX2thk)</t>
        </is>
      </c>
      <c r="C269" t="inlineStr">
        <is>
          <t>M&amp;D SPECIALISED FASTENERS (PTY) LTD</t>
        </is>
      </c>
      <c r="D269" t="inlineStr"/>
      <c r="E269" s="1" t="n">
        <v>0.2</v>
      </c>
      <c r="F269" t="n">
        <v>44</v>
      </c>
      <c r="G269" t="n">
        <v>0</v>
      </c>
      <c r="H269" t="n">
        <v>218</v>
      </c>
      <c r="I269" t="n">
        <v>0</v>
      </c>
      <c r="J269" t="n">
        <v>0</v>
      </c>
      <c r="K269">
        <f>IF(H269-I269-J269&gt;0,H269-I269-J269,0)</f>
        <v/>
      </c>
      <c r="L269" s="1">
        <f>IFERROR(I269*E269,0)</f>
        <v/>
      </c>
      <c r="M269" s="1">
        <f>IFERROR(K269*E269,0)</f>
        <v/>
      </c>
    </row>
    <row r="270">
      <c r="A270" t="inlineStr">
        <is>
          <t>194843</t>
        </is>
      </c>
      <c r="B270" t="inlineStr">
        <is>
          <t>M12 FLAT WASHER DIN 125A ZINC BLUE (13i/d x 24o/d x 2 .5 thk)</t>
        </is>
      </c>
      <c r="C270" t="inlineStr">
        <is>
          <t>M&amp;D SPECIALISED FASTENERS (PTY) LTD</t>
        </is>
      </c>
      <c r="D270" t="inlineStr"/>
      <c r="E270" s="1" t="n">
        <v>0.4</v>
      </c>
      <c r="F270" t="n">
        <v>156</v>
      </c>
      <c r="G270" t="n">
        <v>0</v>
      </c>
      <c r="H270" t="n">
        <v>778</v>
      </c>
      <c r="I270" t="n">
        <v>0</v>
      </c>
      <c r="J270" t="n">
        <v>0</v>
      </c>
      <c r="K270">
        <f>IF(H270-I270-J270&gt;0,H270-I270-J270,0)</f>
        <v/>
      </c>
      <c r="L270" s="1">
        <f>IFERROR(I270*E270,0)</f>
        <v/>
      </c>
      <c r="M270" s="1">
        <f>IFERROR(K270*E270,0)</f>
        <v/>
      </c>
    </row>
    <row r="271">
      <c r="A271" t="inlineStr">
        <is>
          <t>194856</t>
        </is>
      </c>
      <c r="B271" t="inlineStr">
        <is>
          <t>M16 FLAT WASHER DIN 125A ZINC BLUE (17i/d x 30o/d X 3thk)</t>
        </is>
      </c>
      <c r="C271" t="inlineStr">
        <is>
          <t>M&amp;D SPECIALISED FASTENERS (PTY) LTD</t>
        </is>
      </c>
      <c r="D271" t="inlineStr"/>
      <c r="E271" s="1" t="n">
        <v>0.8</v>
      </c>
      <c r="F271" t="n">
        <v>400</v>
      </c>
      <c r="G271" t="n">
        <v>0</v>
      </c>
      <c r="H271" t="n">
        <v>2000</v>
      </c>
      <c r="I271" t="n">
        <v>0</v>
      </c>
      <c r="J271" t="n">
        <v>0</v>
      </c>
      <c r="K271">
        <f>IF(H271-I271-J271&gt;0,H271-I271-J271,0)</f>
        <v/>
      </c>
      <c r="L271" s="1">
        <f>IFERROR(I271*E271,0)</f>
        <v/>
      </c>
      <c r="M271" s="1">
        <f>IFERROR(K271*E271,0)</f>
        <v/>
      </c>
    </row>
    <row r="272">
      <c r="A272" t="inlineStr">
        <is>
          <t>194916</t>
        </is>
      </c>
      <c r="B272" t="inlineStr">
        <is>
          <t>M6 (6.4 X12X1.6) FLAT WASHER DIN 125A ZINC BLUE</t>
        </is>
      </c>
      <c r="C272" t="inlineStr">
        <is>
          <t>M&amp;D SPECIALISED FASTENERS (PTY) LTD</t>
        </is>
      </c>
      <c r="D272" t="inlineStr"/>
      <c r="E272" s="1" t="n">
        <v>0.08</v>
      </c>
      <c r="F272" t="n">
        <v>150</v>
      </c>
      <c r="G272" t="n">
        <v>0</v>
      </c>
      <c r="H272" t="n">
        <v>750</v>
      </c>
      <c r="I272" t="n">
        <v>0</v>
      </c>
      <c r="J272" t="n">
        <v>0</v>
      </c>
      <c r="K272">
        <f>IF(H272-I272-J272&gt;0,H272-I272-J272,0)</f>
        <v/>
      </c>
      <c r="L272" s="1">
        <f>IFERROR(I272*E272,0)</f>
        <v/>
      </c>
      <c r="M272" s="1">
        <f>IFERROR(K272*E272,0)</f>
        <v/>
      </c>
    </row>
    <row r="273">
      <c r="A273" t="inlineStr">
        <is>
          <t>194925</t>
        </is>
      </c>
      <c r="B273" t="inlineStr">
        <is>
          <t>M8 FLAT WASHER DIN 125A ZINC BLUE (8 . 4ID*16OD*1 . 6THICK)</t>
        </is>
      </c>
      <c r="C273" t="inlineStr">
        <is>
          <t>M&amp;D SPECIALISED FASTENERS (PTY) LTD</t>
        </is>
      </c>
      <c r="D273" t="inlineStr"/>
      <c r="E273" s="1" t="n">
        <v>0.12</v>
      </c>
      <c r="F273" t="n">
        <v>80</v>
      </c>
      <c r="G273" t="n">
        <v>0</v>
      </c>
      <c r="H273" t="n">
        <v>400</v>
      </c>
      <c r="I273" t="n">
        <v>0</v>
      </c>
      <c r="J273" t="n">
        <v>0</v>
      </c>
      <c r="K273">
        <f>IF(H273-I273-J273&gt;0,H273-I273-J273,0)</f>
        <v/>
      </c>
      <c r="L273" s="1">
        <f>IFERROR(I273*E273,0)</f>
        <v/>
      </c>
      <c r="M273" s="1">
        <f>IFERROR(K273*E273,0)</f>
        <v/>
      </c>
    </row>
    <row r="274">
      <c r="A274" t="inlineStr">
        <is>
          <t>2.2 kw VSD</t>
        </is>
      </c>
      <c r="B274" t="inlineStr">
        <is>
          <t>Speed controller</t>
        </is>
      </c>
      <c r="C274" t="inlineStr">
        <is>
          <t>AM SYSTEMS INTEGRATIONS (PTY) LTD</t>
        </is>
      </c>
      <c r="D274" t="inlineStr"/>
      <c r="E274" s="1" t="n">
        <v>0</v>
      </c>
      <c r="F274" t="n">
        <v>3</v>
      </c>
      <c r="G274" t="n">
        <v>0</v>
      </c>
      <c r="H274" t="n">
        <v>9</v>
      </c>
      <c r="I274" t="n">
        <v>0</v>
      </c>
      <c r="J274" t="n">
        <v>1</v>
      </c>
      <c r="K274">
        <f>IF(H274-I274-J274&gt;0,H274-I274-J274,0)</f>
        <v/>
      </c>
      <c r="L274" s="1">
        <f>IFERROR(I274*E274,0)</f>
        <v/>
      </c>
      <c r="M274" s="1">
        <f>IFERROR(K274*E274,0)</f>
        <v/>
      </c>
    </row>
    <row r="275">
      <c r="A275" t="inlineStr">
        <is>
          <t>2.223PM</t>
        </is>
      </c>
      <c r="B275" t="inlineStr">
        <is>
          <t>2.2kW 2P 380V Pad Mount Motor</t>
        </is>
      </c>
      <c r="C275" t="inlineStr">
        <is>
          <t>ACTOM</t>
        </is>
      </c>
      <c r="D275" t="inlineStr">
        <is>
          <t>FM - MOTOR</t>
        </is>
      </c>
      <c r="E275" s="1" t="n">
        <v>2225.53</v>
      </c>
      <c r="F275" t="n">
        <v>2</v>
      </c>
      <c r="G275" t="n">
        <v>0</v>
      </c>
      <c r="H275" t="n">
        <v>5</v>
      </c>
      <c r="I275" t="n">
        <v>0</v>
      </c>
      <c r="J275" t="n">
        <v>8</v>
      </c>
      <c r="K275">
        <f>IF(H275-I275-J275&gt;0,H275-I275-J275,0)</f>
        <v/>
      </c>
      <c r="L275" s="1">
        <f>IFERROR(I275*E275,0)</f>
        <v/>
      </c>
      <c r="M275" s="1">
        <f>IFERROR(K275*E275,0)</f>
        <v/>
      </c>
    </row>
    <row r="276">
      <c r="A276" t="inlineStr">
        <is>
          <t>2.243FM</t>
        </is>
      </c>
      <c r="B276" t="inlineStr">
        <is>
          <t>2.2kW 4P 380V Foot Mount Motor</t>
        </is>
      </c>
      <c r="C276" t="inlineStr">
        <is>
          <t>ACTOM</t>
        </is>
      </c>
      <c r="D276" t="inlineStr"/>
      <c r="E276" s="1" t="n">
        <v>2509.5</v>
      </c>
      <c r="F276" t="n">
        <v>1</v>
      </c>
      <c r="G276" t="n">
        <v>0</v>
      </c>
      <c r="H276" t="n">
        <v>2</v>
      </c>
      <c r="I276" t="n">
        <v>0</v>
      </c>
      <c r="J276" t="n">
        <v>0</v>
      </c>
      <c r="K276">
        <f>IF(H276-I276-J276&gt;0,H276-I276-J276,0)</f>
        <v/>
      </c>
      <c r="L276" s="1">
        <f>IFERROR(I276*E276,0)</f>
        <v/>
      </c>
      <c r="M276" s="1">
        <f>IFERROR(K276*E276,0)</f>
        <v/>
      </c>
    </row>
    <row r="277">
      <c r="A277" t="inlineStr">
        <is>
          <t>2.243PM</t>
        </is>
      </c>
      <c r="B277" t="inlineStr">
        <is>
          <t>2.2kW 4P 380V Pad Mount Motor</t>
        </is>
      </c>
      <c r="C277" t="inlineStr">
        <is>
          <t>ACTOM</t>
        </is>
      </c>
      <c r="D277" t="inlineStr">
        <is>
          <t>FM - MOTOR</t>
        </is>
      </c>
      <c r="E277" s="1" t="n">
        <v>2632.89</v>
      </c>
      <c r="F277" t="n">
        <v>3</v>
      </c>
      <c r="G277" t="n">
        <v>0</v>
      </c>
      <c r="H277" t="n">
        <v>10</v>
      </c>
      <c r="I277" t="n">
        <v>0</v>
      </c>
      <c r="J277" t="n">
        <v>20</v>
      </c>
      <c r="K277">
        <f>IF(H277-I277-J277&gt;0,H277-I277-J277,0)</f>
        <v/>
      </c>
      <c r="L277" s="1">
        <f>IFERROR(I277*E277,0)</f>
        <v/>
      </c>
      <c r="M277" s="1">
        <f>IFERROR(K277*E277,0)</f>
        <v/>
      </c>
    </row>
    <row r="278">
      <c r="A278" t="inlineStr">
        <is>
          <t>200LS</t>
        </is>
      </c>
      <c r="B278" t="inlineStr">
        <is>
          <t>Louvre Shutter</t>
        </is>
      </c>
      <c r="C278" t="inlineStr"/>
      <c r="D278" t="inlineStr"/>
      <c r="E278" s="1" t="n">
        <v>0</v>
      </c>
      <c r="F278" t="n">
        <v>3</v>
      </c>
      <c r="G278" t="n">
        <v>0</v>
      </c>
      <c r="H278" t="n">
        <v>15</v>
      </c>
      <c r="I278" t="n">
        <v>0</v>
      </c>
      <c r="J278" t="n">
        <v>0</v>
      </c>
      <c r="K278">
        <f>IF(H278-I278-J278&gt;0,H278-I278-J278,0)</f>
        <v/>
      </c>
      <c r="L278" s="1">
        <f>IFERROR(I278*E278,0)</f>
        <v/>
      </c>
      <c r="M278" s="1">
        <f>IFERROR(K278*E278,0)</f>
        <v/>
      </c>
    </row>
    <row r="279">
      <c r="A279" t="inlineStr">
        <is>
          <t>200T1200</t>
        </is>
      </c>
      <c r="B279" t="inlineStr">
        <is>
          <t>200 Diam Tube Silencer 1200L</t>
        </is>
      </c>
      <c r="C279" t="inlineStr">
        <is>
          <t>Attenu-Tec</t>
        </is>
      </c>
      <c r="D279" t="inlineStr"/>
      <c r="E279" s="1" t="n">
        <v>727</v>
      </c>
      <c r="F279" t="n">
        <v>8</v>
      </c>
      <c r="G279" t="n">
        <v>0</v>
      </c>
      <c r="H279" t="n">
        <v>40</v>
      </c>
      <c r="I279" t="n">
        <v>0</v>
      </c>
      <c r="J279" t="n">
        <v>0</v>
      </c>
      <c r="K279">
        <f>IF(H279-I279-J279&gt;0,H279-I279-J279,0)</f>
        <v/>
      </c>
      <c r="L279" s="1">
        <f>IFERROR(I279*E279,0)</f>
        <v/>
      </c>
      <c r="M279" s="1">
        <f>IFERROR(K279*E279,0)</f>
        <v/>
      </c>
    </row>
    <row r="280">
      <c r="A280" t="inlineStr">
        <is>
          <t>200T600</t>
        </is>
      </c>
      <c r="B280" t="inlineStr">
        <is>
          <t>200 Diam Tube Silencer 600L</t>
        </is>
      </c>
      <c r="C280" t="inlineStr">
        <is>
          <t>Attenu-Tec</t>
        </is>
      </c>
      <c r="D280" t="inlineStr">
        <is>
          <t>FM - DONKIN</t>
        </is>
      </c>
      <c r="E280" s="1" t="n">
        <v>533</v>
      </c>
      <c r="F280" t="n">
        <v>4</v>
      </c>
      <c r="G280" t="n">
        <v>0</v>
      </c>
      <c r="H280" t="n">
        <v>18</v>
      </c>
      <c r="I280" t="n">
        <v>0</v>
      </c>
      <c r="J280" t="n">
        <v>0</v>
      </c>
      <c r="K280">
        <f>IF(H280-I280-J280&gt;0,H280-I280-J280,0)</f>
        <v/>
      </c>
      <c r="L280" s="1">
        <f>IFERROR(I280*E280,0)</f>
        <v/>
      </c>
      <c r="M280" s="1">
        <f>IFERROR(K280*E280,0)</f>
        <v/>
      </c>
    </row>
    <row r="281">
      <c r="A281" t="inlineStr">
        <is>
          <t>200T900</t>
        </is>
      </c>
      <c r="B281" t="inlineStr">
        <is>
          <t>200 Diam Tube Silencer 900L</t>
        </is>
      </c>
      <c r="C281" t="inlineStr">
        <is>
          <t>Attenu-Tec</t>
        </is>
      </c>
      <c r="D281" t="inlineStr">
        <is>
          <t>FM - DONKIN</t>
        </is>
      </c>
      <c r="E281" s="1" t="n">
        <v>623</v>
      </c>
      <c r="F281" t="n">
        <v>2</v>
      </c>
      <c r="G281" t="n">
        <v>0</v>
      </c>
      <c r="H281" t="n">
        <v>10</v>
      </c>
      <c r="I281" t="n">
        <v>0</v>
      </c>
      <c r="J281" t="n">
        <v>0</v>
      </c>
      <c r="K281">
        <f>IF(H281-I281-J281&gt;0,H281-I281-J281,0)</f>
        <v/>
      </c>
      <c r="L281" s="1">
        <f>IFERROR(I281*E281,0)</f>
        <v/>
      </c>
      <c r="M281" s="1">
        <f>IFERROR(K281*E281,0)</f>
        <v/>
      </c>
    </row>
    <row r="282">
      <c r="A282" t="inlineStr">
        <is>
          <t>2012X25MM.</t>
        </is>
      </c>
      <c r="B282" t="inlineStr">
        <is>
          <t>TAPER LOCK BUSH METRIC 2012 25MM FENNER</t>
        </is>
      </c>
      <c r="C282" t="inlineStr">
        <is>
          <t>Bearing Man Group</t>
        </is>
      </c>
      <c r="D282" t="inlineStr"/>
      <c r="E282" s="1" t="n">
        <v>100.65</v>
      </c>
      <c r="F282" t="n">
        <v>1</v>
      </c>
      <c r="G282" t="n">
        <v>0</v>
      </c>
      <c r="H282" t="n">
        <v>2</v>
      </c>
      <c r="I282" t="n">
        <v>0</v>
      </c>
      <c r="J282" t="n">
        <v>0</v>
      </c>
      <c r="K282">
        <f>IF(H282-I282-J282&gt;0,H282-I282-J282,0)</f>
        <v/>
      </c>
      <c r="L282" s="1">
        <f>IFERROR(I282*E282,0)</f>
        <v/>
      </c>
      <c r="M282" s="1">
        <f>IFERROR(K282*E282,0)</f>
        <v/>
      </c>
    </row>
    <row r="283">
      <c r="A283" t="inlineStr">
        <is>
          <t>2012X38MM</t>
        </is>
      </c>
      <c r="B283" t="inlineStr">
        <is>
          <t>TAPER LOCK BUSH METRIC 2012 38MM FENNER</t>
        </is>
      </c>
      <c r="C283" t="inlineStr">
        <is>
          <t>Bearing Man Group</t>
        </is>
      </c>
      <c r="D283" t="inlineStr"/>
      <c r="E283" s="1" t="n">
        <v>102.04</v>
      </c>
      <c r="F283" t="n">
        <v>1</v>
      </c>
      <c r="G283" t="n">
        <v>0</v>
      </c>
      <c r="H283" t="n">
        <v>3</v>
      </c>
      <c r="I283" t="n">
        <v>0</v>
      </c>
      <c r="J283" t="n">
        <v>0</v>
      </c>
      <c r="K283">
        <f>IF(H283-I283-J283&gt;0,H283-I283-J283,0)</f>
        <v/>
      </c>
      <c r="L283" s="1">
        <f>IFERROR(I283*E283,0)</f>
        <v/>
      </c>
      <c r="M283" s="1">
        <f>IFERROR(K283*E283,0)</f>
        <v/>
      </c>
    </row>
    <row r="284">
      <c r="A284" t="inlineStr">
        <is>
          <t>214165</t>
        </is>
      </c>
      <c r="B284" t="inlineStr">
        <is>
          <t>M10X25X2 FLAT WASHER Z/BLUE</t>
        </is>
      </c>
      <c r="C284" t="inlineStr">
        <is>
          <t>M&amp;D SPECIALISED FASTENERS (PTY) LTD</t>
        </is>
      </c>
      <c r="D284" t="inlineStr"/>
      <c r="E284" s="1" t="n">
        <v>0.5</v>
      </c>
      <c r="F284" t="n">
        <v>50</v>
      </c>
      <c r="G284" t="n">
        <v>0</v>
      </c>
      <c r="H284" t="n">
        <v>250</v>
      </c>
      <c r="I284" t="n">
        <v>0</v>
      </c>
      <c r="J284" t="n">
        <v>0</v>
      </c>
      <c r="K284">
        <f>IF(H284-I284-J284&gt;0,H284-I284-J284,0)</f>
        <v/>
      </c>
      <c r="L284" s="1">
        <f>IFERROR(I284*E284,0)</f>
        <v/>
      </c>
      <c r="M284" s="1">
        <f>IFERROR(K284*E284,0)</f>
        <v/>
      </c>
    </row>
    <row r="285">
      <c r="A285" t="inlineStr">
        <is>
          <t>214899</t>
        </is>
      </c>
      <c r="B285" t="inlineStr">
        <is>
          <t>M12X30X3 FLAT WASHER Z/BLUE</t>
        </is>
      </c>
      <c r="C285" t="inlineStr">
        <is>
          <t>M&amp;D SPECIALISED FASTENERS (PTY) LTD</t>
        </is>
      </c>
      <c r="D285" t="inlineStr"/>
      <c r="E285" s="1" t="n">
        <v>0.8</v>
      </c>
      <c r="F285" t="n">
        <v>50</v>
      </c>
      <c r="G285" t="n">
        <v>0</v>
      </c>
      <c r="H285" t="n">
        <v>250</v>
      </c>
      <c r="I285" t="n">
        <v>0</v>
      </c>
      <c r="J285" t="n">
        <v>0</v>
      </c>
      <c r="K285">
        <f>IF(H285-I285-J285&gt;0,H285-I285-J285,0)</f>
        <v/>
      </c>
      <c r="L285" s="1">
        <f>IFERROR(I285*E285,0)</f>
        <v/>
      </c>
      <c r="M285" s="1">
        <f>IFERROR(K285*E285,0)</f>
        <v/>
      </c>
    </row>
    <row r="286">
      <c r="A286" t="inlineStr">
        <is>
          <t>220025</t>
        </is>
      </c>
      <c r="B286" t="inlineStr">
        <is>
          <t>M8 . 4*20*3 FLAT WASHER Z/BLUE</t>
        </is>
      </c>
      <c r="C286" t="inlineStr">
        <is>
          <t>M&amp;D SPECIALISED FASTENERS (PTY) LTD</t>
        </is>
      </c>
      <c r="D286" t="inlineStr"/>
      <c r="E286" s="1" t="n">
        <v>1.8</v>
      </c>
      <c r="F286" t="n">
        <v>50</v>
      </c>
      <c r="G286" t="n">
        <v>0</v>
      </c>
      <c r="H286" t="n">
        <v>250</v>
      </c>
      <c r="I286" t="n">
        <v>0</v>
      </c>
      <c r="J286" t="n">
        <v>0</v>
      </c>
      <c r="K286">
        <f>IF(H286-I286-J286&gt;0,H286-I286-J286,0)</f>
        <v/>
      </c>
      <c r="L286" s="1">
        <f>IFERROR(I286*E286,0)</f>
        <v/>
      </c>
      <c r="M286" s="1">
        <f>IFERROR(K286*E286,0)</f>
        <v/>
      </c>
    </row>
    <row r="287">
      <c r="A287" t="inlineStr">
        <is>
          <t>22010</t>
        </is>
      </c>
      <c r="B287" t="inlineStr">
        <is>
          <t>100 Wall Fans</t>
        </is>
      </c>
      <c r="C287" t="inlineStr"/>
      <c r="D287" t="inlineStr">
        <is>
          <t>FM - VORTICE</t>
        </is>
      </c>
      <c r="E287" s="1" t="n">
        <v>0</v>
      </c>
      <c r="F287" t="n">
        <v>1</v>
      </c>
      <c r="G287" t="n">
        <v>0</v>
      </c>
      <c r="H287" t="n">
        <v>4</v>
      </c>
      <c r="I287" t="n">
        <v>0</v>
      </c>
      <c r="J287" t="n">
        <v>0</v>
      </c>
      <c r="K287">
        <f>IF(H287-I287-J287&gt;0,H287-I287-J287,0)</f>
        <v/>
      </c>
      <c r="L287" s="1">
        <f>IFERROR(I287*E287,0)</f>
        <v/>
      </c>
      <c r="M287" s="1">
        <f>IFERROR(K287*E287,0)</f>
        <v/>
      </c>
    </row>
    <row r="288">
      <c r="A288" t="inlineStr">
        <is>
          <t>22020</t>
        </is>
      </c>
      <c r="B288" t="inlineStr">
        <is>
          <t>120/150 Wall Fixed Grills</t>
        </is>
      </c>
      <c r="C288" t="inlineStr">
        <is>
          <t>Vortice Elettrosociali SpA</t>
        </is>
      </c>
      <c r="D288" t="inlineStr">
        <is>
          <t>FM - VORTICE</t>
        </is>
      </c>
      <c r="E288" s="1" t="n">
        <v>35.35</v>
      </c>
      <c r="F288" t="n">
        <v>4</v>
      </c>
      <c r="G288" t="n">
        <v>0</v>
      </c>
      <c r="H288" t="n">
        <v>15</v>
      </c>
      <c r="I288" t="n">
        <v>0</v>
      </c>
      <c r="J288" t="n">
        <v>0</v>
      </c>
      <c r="K288">
        <f>IF(H288-I288-J288&gt;0,H288-I288-J288,0)</f>
        <v/>
      </c>
      <c r="L288" s="1">
        <f>IFERROR(I288*E288,0)</f>
        <v/>
      </c>
      <c r="M288" s="1">
        <f>IFERROR(K288*E288,0)</f>
        <v/>
      </c>
    </row>
    <row r="289">
      <c r="A289" t="inlineStr">
        <is>
          <t>22131</t>
        </is>
      </c>
      <c r="B289" t="inlineStr">
        <is>
          <t>F 100 / 4 WINDOW KIT</t>
        </is>
      </c>
      <c r="C289" t="inlineStr"/>
      <c r="D289" t="inlineStr">
        <is>
          <t>FM - VORTICE</t>
        </is>
      </c>
      <c r="E289" s="1" t="n">
        <v>0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>
        <f>IF(H289-I289-J289&gt;0,H289-I289-J289,0)</f>
        <v/>
      </c>
      <c r="L289" s="1">
        <f>IFERROR(I289*E289,0)</f>
        <v/>
      </c>
      <c r="M289" s="1">
        <f>IFERROR(K289*E289,0)</f>
        <v/>
      </c>
    </row>
    <row r="290">
      <c r="A290" t="inlineStr">
        <is>
          <t>22132</t>
        </is>
      </c>
      <c r="B290" t="inlineStr">
        <is>
          <t>F 120 / 5 WINDOW KIT</t>
        </is>
      </c>
      <c r="C290" t="inlineStr"/>
      <c r="D290" t="inlineStr">
        <is>
          <t>FM - VORTICE</t>
        </is>
      </c>
      <c r="E290" s="1" t="n">
        <v>0</v>
      </c>
      <c r="F290" t="n">
        <v>1</v>
      </c>
      <c r="G290" t="n">
        <v>0</v>
      </c>
      <c r="H290" t="n">
        <v>2</v>
      </c>
      <c r="I290" t="n">
        <v>0</v>
      </c>
      <c r="J290" t="n">
        <v>0</v>
      </c>
      <c r="K290">
        <f>IF(H290-I290-J290&gt;0,H290-I290-J290,0)</f>
        <v/>
      </c>
      <c r="L290" s="1">
        <f>IFERROR(I290*E290,0)</f>
        <v/>
      </c>
      <c r="M290" s="1">
        <f>IFERROR(K290*E290,0)</f>
        <v/>
      </c>
    </row>
    <row r="291">
      <c r="A291" t="inlineStr">
        <is>
          <t>22133</t>
        </is>
      </c>
      <c r="B291" t="inlineStr">
        <is>
          <t>F 150 / 6 WINDOW KIT</t>
        </is>
      </c>
      <c r="C291" t="inlineStr"/>
      <c r="D291" t="inlineStr">
        <is>
          <t>FM - VORTICE</t>
        </is>
      </c>
      <c r="E291" s="1" t="n">
        <v>0</v>
      </c>
      <c r="F291" t="n">
        <v>1</v>
      </c>
      <c r="G291" t="n">
        <v>0</v>
      </c>
      <c r="H291" t="n">
        <v>2</v>
      </c>
      <c r="I291" t="n">
        <v>0</v>
      </c>
      <c r="J291" t="n">
        <v>0</v>
      </c>
      <c r="K291">
        <f>IF(H291-I291-J291&gt;0,H291-I291-J291,0)</f>
        <v/>
      </c>
      <c r="L291" s="1">
        <f>IFERROR(I291*E291,0)</f>
        <v/>
      </c>
      <c r="M291" s="1">
        <f>IFERROR(K291*E291,0)</f>
        <v/>
      </c>
    </row>
    <row r="292">
      <c r="A292" t="inlineStr">
        <is>
          <t>221331</t>
        </is>
      </c>
      <c r="B292" t="inlineStr">
        <is>
          <t>M150/6 Spare Motor</t>
        </is>
      </c>
      <c r="C292" t="inlineStr"/>
      <c r="D292" t="inlineStr"/>
      <c r="E292" s="1" t="n">
        <v>0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>
        <f>IF(H292-I292-J292&gt;0,H292-I292-J292,0)</f>
        <v/>
      </c>
      <c r="L292" s="1">
        <f>IFERROR(I292*E292,0)</f>
        <v/>
      </c>
      <c r="M292" s="1">
        <f>IFERROR(K292*E292,0)</f>
        <v/>
      </c>
    </row>
    <row r="293">
      <c r="A293" t="inlineStr">
        <is>
          <t>22165</t>
        </is>
      </c>
      <c r="B293" t="inlineStr">
        <is>
          <t>FG 100 FIXED GRILLE (VOR 22165)</t>
        </is>
      </c>
      <c r="C293" t="inlineStr"/>
      <c r="D293" t="inlineStr">
        <is>
          <t>FM - VORTICE</t>
        </is>
      </c>
      <c r="E293" s="1" t="n">
        <v>47.94</v>
      </c>
      <c r="F293" t="n">
        <v>1</v>
      </c>
      <c r="G293" t="n">
        <v>0</v>
      </c>
      <c r="H293" t="n">
        <v>2</v>
      </c>
      <c r="I293" t="n">
        <v>0</v>
      </c>
      <c r="J293" t="n">
        <v>0</v>
      </c>
      <c r="K293">
        <f>IF(H293-I293-J293&gt;0,H293-I293-J293,0)</f>
        <v/>
      </c>
      <c r="L293" s="1">
        <f>IFERROR(I293*E293,0)</f>
        <v/>
      </c>
      <c r="M293" s="1">
        <f>IFERROR(K293*E293,0)</f>
        <v/>
      </c>
    </row>
    <row r="294">
      <c r="A294" t="inlineStr">
        <is>
          <t>22167</t>
        </is>
      </c>
      <c r="B294" t="inlineStr">
        <is>
          <t>FG 150 FIXED GRILLE (VOR 22167)</t>
        </is>
      </c>
      <c r="C294" t="inlineStr"/>
      <c r="D294" t="inlineStr">
        <is>
          <t>FM - VORTICE</t>
        </is>
      </c>
      <c r="E294" s="1" t="n">
        <v>31.15</v>
      </c>
      <c r="F294" t="n">
        <v>1</v>
      </c>
      <c r="G294" t="n">
        <v>0</v>
      </c>
      <c r="H294" t="n">
        <v>2</v>
      </c>
      <c r="I294" t="n">
        <v>0</v>
      </c>
      <c r="J294" t="n">
        <v>0</v>
      </c>
      <c r="K294">
        <f>IF(H294-I294-J294&gt;0,H294-I294-J294,0)</f>
        <v/>
      </c>
      <c r="L294" s="1">
        <f>IFERROR(I294*E294,0)</f>
        <v/>
      </c>
      <c r="M294" s="1">
        <f>IFERROR(K294*E294,0)</f>
        <v/>
      </c>
    </row>
    <row r="295">
      <c r="A295" t="inlineStr">
        <is>
          <t>2243FM</t>
        </is>
      </c>
      <c r="B295" t="inlineStr">
        <is>
          <t>22kW 4P 380V Foot Mount Motor</t>
        </is>
      </c>
      <c r="C295" t="inlineStr">
        <is>
          <t>ACTOM</t>
        </is>
      </c>
      <c r="D295" t="inlineStr">
        <is>
          <t>FM - DONKIN</t>
        </is>
      </c>
      <c r="E295" s="1" t="n">
        <v>16260</v>
      </c>
      <c r="F295" t="n">
        <v>2</v>
      </c>
      <c r="G295" t="n">
        <v>0</v>
      </c>
      <c r="H295" t="n">
        <v>6</v>
      </c>
      <c r="I295" t="n">
        <v>0</v>
      </c>
      <c r="J295" t="n">
        <v>0</v>
      </c>
      <c r="K295">
        <f>IF(H295-I295-J295&gt;0,H295-I295-J295,0)</f>
        <v/>
      </c>
      <c r="L295" s="1">
        <f>IFERROR(I295*E295,0)</f>
        <v/>
      </c>
      <c r="M295" s="1">
        <f>IFERROR(K295*E295,0)</f>
        <v/>
      </c>
    </row>
    <row r="296">
      <c r="A296" t="inlineStr">
        <is>
          <t>22M16X150</t>
        </is>
      </c>
      <c r="B296" t="inlineStr">
        <is>
          <t>M16 X 150 HT Setscrews</t>
        </is>
      </c>
      <c r="C296" t="inlineStr">
        <is>
          <t>MADAN Engineering cc</t>
        </is>
      </c>
      <c r="D296" t="inlineStr"/>
      <c r="E296" s="1" t="n">
        <v>26</v>
      </c>
      <c r="F296" t="n">
        <v>6</v>
      </c>
      <c r="G296" t="n">
        <v>0</v>
      </c>
      <c r="H296" t="n">
        <v>22</v>
      </c>
      <c r="I296" t="n">
        <v>0</v>
      </c>
      <c r="J296" t="n">
        <v>0</v>
      </c>
      <c r="K296">
        <f>IF(H296-I296-J296&gt;0,H296-I296-J296,0)</f>
        <v/>
      </c>
      <c r="L296" s="1">
        <f>IFERROR(I296*E296,0)</f>
        <v/>
      </c>
      <c r="M296" s="1">
        <f>IFERROR(K296*E296,0)</f>
        <v/>
      </c>
    </row>
    <row r="297">
      <c r="A297" t="inlineStr">
        <is>
          <t>235829</t>
        </is>
      </c>
      <c r="B297" t="inlineStr">
        <is>
          <t>M16*120 HT HEX BOLT Z/BLUE</t>
        </is>
      </c>
      <c r="C297" t="inlineStr">
        <is>
          <t>M&amp;D SPECIALISED FASTENERS (PTY) LTD</t>
        </is>
      </c>
      <c r="D297" t="inlineStr"/>
      <c r="E297" s="1" t="n">
        <v>16</v>
      </c>
      <c r="F297" t="n">
        <v>2</v>
      </c>
      <c r="G297" t="n">
        <v>0</v>
      </c>
      <c r="H297" t="n">
        <v>10</v>
      </c>
      <c r="I297" t="n">
        <v>0</v>
      </c>
      <c r="J297" t="n">
        <v>0</v>
      </c>
      <c r="K297">
        <f>IF(H297-I297-J297&gt;0,H297-I297-J297,0)</f>
        <v/>
      </c>
      <c r="L297" s="1">
        <f>IFERROR(I297*E297,0)</f>
        <v/>
      </c>
      <c r="M297" s="1">
        <f>IFERROR(K297*E297,0)</f>
        <v/>
      </c>
    </row>
    <row r="298">
      <c r="A298" t="inlineStr">
        <is>
          <t>237756</t>
        </is>
      </c>
      <c r="B298" t="inlineStr">
        <is>
          <t>M10*16 HT HEX SET SCREW Z/BLUE</t>
        </is>
      </c>
      <c r="C298" t="inlineStr">
        <is>
          <t>M&amp;D SPECIALISED FASTENERS (PTY) LTD</t>
        </is>
      </c>
      <c r="D298" t="inlineStr"/>
      <c r="E298" s="1" t="n">
        <v>1.8</v>
      </c>
      <c r="F298" t="n">
        <v>9</v>
      </c>
      <c r="G298" t="n">
        <v>0</v>
      </c>
      <c r="H298" t="n">
        <v>45</v>
      </c>
      <c r="I298" t="n">
        <v>0</v>
      </c>
      <c r="J298" t="n">
        <v>0</v>
      </c>
      <c r="K298">
        <f>IF(H298-I298-J298&gt;0,H298-I298-J298,0)</f>
        <v/>
      </c>
      <c r="L298" s="1">
        <f>IFERROR(I298*E298,0)</f>
        <v/>
      </c>
      <c r="M298" s="1">
        <f>IFERROR(K298*E298,0)</f>
        <v/>
      </c>
    </row>
    <row r="299">
      <c r="A299" t="inlineStr">
        <is>
          <t>237939</t>
        </is>
      </c>
      <c r="B299" t="inlineStr">
        <is>
          <t>M12*20 HT HEX SET SCREW Z/BLUE 12X20 933 8.8 ZB</t>
        </is>
      </c>
      <c r="C299" t="inlineStr">
        <is>
          <t>M&amp;D SPECIALISED FASTENERS (PTY) LTD</t>
        </is>
      </c>
      <c r="D299" t="inlineStr"/>
      <c r="E299" s="1" t="n">
        <v>3</v>
      </c>
      <c r="F299" t="n">
        <v>80</v>
      </c>
      <c r="G299" t="n">
        <v>0</v>
      </c>
      <c r="H299" t="n">
        <v>400</v>
      </c>
      <c r="I299" t="n">
        <v>0</v>
      </c>
      <c r="J299" t="n">
        <v>0</v>
      </c>
      <c r="K299">
        <f>IF(H299-I299-J299&gt;0,H299-I299-J299,0)</f>
        <v/>
      </c>
      <c r="L299" s="1">
        <f>IFERROR(I299*E299,0)</f>
        <v/>
      </c>
      <c r="M299" s="1">
        <f>IFERROR(K299*E299,0)</f>
        <v/>
      </c>
    </row>
    <row r="300">
      <c r="A300" t="inlineStr">
        <is>
          <t>238028</t>
        </is>
      </c>
      <c r="B300" t="inlineStr">
        <is>
          <t>M12*60 HT HEX SET SCREW Z/BLUE</t>
        </is>
      </c>
      <c r="C300" t="inlineStr">
        <is>
          <t>M&amp;D SPECIALISED FASTENERS (PTY) LTD</t>
        </is>
      </c>
      <c r="D300" t="inlineStr"/>
      <c r="E300" s="1" t="n">
        <v>4.4</v>
      </c>
      <c r="F300" t="n">
        <v>7</v>
      </c>
      <c r="G300" t="n">
        <v>0</v>
      </c>
      <c r="H300" t="n">
        <v>36</v>
      </c>
      <c r="I300" t="n">
        <v>0</v>
      </c>
      <c r="J300" t="n">
        <v>0</v>
      </c>
      <c r="K300">
        <f>IF(H300-I300-J300&gt;0,H300-I300-J300,0)</f>
        <v/>
      </c>
      <c r="L300" s="1">
        <f>IFERROR(I300*E300,0)</f>
        <v/>
      </c>
      <c r="M300" s="1">
        <f>IFERROR(K300*E300,0)</f>
        <v/>
      </c>
    </row>
    <row r="301">
      <c r="A301" t="inlineStr">
        <is>
          <t>238062</t>
        </is>
      </c>
      <c r="B301" t="inlineStr">
        <is>
          <t>M12*90 HT HEX SET SCREW Z/BLUE</t>
        </is>
      </c>
      <c r="C301" t="inlineStr">
        <is>
          <t>M&amp;D SPECIALISED FASTENERS (PTY) LTD</t>
        </is>
      </c>
      <c r="D301" t="inlineStr"/>
      <c r="E301" s="1" t="n">
        <v>5.9</v>
      </c>
      <c r="F301" t="n">
        <v>7</v>
      </c>
      <c r="G301" t="n">
        <v>0</v>
      </c>
      <c r="H301" t="n">
        <v>35</v>
      </c>
      <c r="I301" t="n">
        <v>0</v>
      </c>
      <c r="J301" t="n">
        <v>0</v>
      </c>
      <c r="K301">
        <f>IF(H301-I301-J301&gt;0,H301-I301-J301,0)</f>
        <v/>
      </c>
      <c r="L301" s="1">
        <f>IFERROR(I301*E301,0)</f>
        <v/>
      </c>
      <c r="M301" s="1">
        <f>IFERROR(K301*E301,0)</f>
        <v/>
      </c>
    </row>
    <row r="302">
      <c r="A302" t="inlineStr">
        <is>
          <t>238152</t>
        </is>
      </c>
      <c r="B302" t="inlineStr">
        <is>
          <t>M16*100 HT HEX SET SCREW Z/BLUE</t>
        </is>
      </c>
      <c r="C302" t="inlineStr">
        <is>
          <t>M&amp;D SPECIALISED FASTENERS (PTY) LTD</t>
        </is>
      </c>
      <c r="D302" t="inlineStr"/>
      <c r="E302" s="1" t="n">
        <v>12.5</v>
      </c>
      <c r="F302" t="n">
        <v>5</v>
      </c>
      <c r="G302" t="n">
        <v>0</v>
      </c>
      <c r="H302" t="n">
        <v>25</v>
      </c>
      <c r="I302" t="n">
        <v>0</v>
      </c>
      <c r="J302" t="n">
        <v>0</v>
      </c>
      <c r="K302">
        <f>IF(H302-I302-J302&gt;0,H302-I302-J302,0)</f>
        <v/>
      </c>
      <c r="L302" s="1">
        <f>IFERROR(I302*E302,0)</f>
        <v/>
      </c>
      <c r="M302" s="1">
        <f>IFERROR(K302*E302,0)</f>
        <v/>
      </c>
    </row>
    <row r="303">
      <c r="A303" t="inlineStr">
        <is>
          <t>238166</t>
        </is>
      </c>
      <c r="B303" t="inlineStr">
        <is>
          <t>M16*120 HT HEX SET SCREW Z/BLUE</t>
        </is>
      </c>
      <c r="C303" t="inlineStr">
        <is>
          <t>M&amp;D SPECIALISED FASTENERS (PTY) LTD</t>
        </is>
      </c>
      <c r="D303" t="inlineStr"/>
      <c r="E303" s="1" t="n">
        <v>18</v>
      </c>
      <c r="F303" t="n">
        <v>17</v>
      </c>
      <c r="G303" t="n">
        <v>0</v>
      </c>
      <c r="H303" t="n">
        <v>84</v>
      </c>
      <c r="I303" t="n">
        <v>0</v>
      </c>
      <c r="J303" t="n">
        <v>0</v>
      </c>
      <c r="K303">
        <f>IF(H303-I303-J303&gt;0,H303-I303-J303,0)</f>
        <v/>
      </c>
      <c r="L303" s="1">
        <f>IFERROR(I303*E303,0)</f>
        <v/>
      </c>
      <c r="M303" s="1">
        <f>IFERROR(K303*E303,0)</f>
        <v/>
      </c>
    </row>
    <row r="304">
      <c r="A304" t="inlineStr">
        <is>
          <t>238185</t>
        </is>
      </c>
      <c r="B304" t="inlineStr">
        <is>
          <t>M16*150 HT HEX SET SCREW ZINC BLUE</t>
        </is>
      </c>
      <c r="C304" t="inlineStr">
        <is>
          <t>M&amp;D SPECIALISED FASTENERS (PTY) LTD</t>
        </is>
      </c>
      <c r="D304" t="inlineStr"/>
      <c r="E304" s="1" t="n">
        <v>20</v>
      </c>
      <c r="F304" t="n">
        <v>30</v>
      </c>
      <c r="G304" t="n">
        <v>0</v>
      </c>
      <c r="H304" t="n">
        <v>150</v>
      </c>
      <c r="I304" t="n">
        <v>0</v>
      </c>
      <c r="J304" t="n">
        <v>0</v>
      </c>
      <c r="K304">
        <f>IF(H304-I304-J304&gt;0,H304-I304-J304,0)</f>
        <v/>
      </c>
      <c r="L304" s="1">
        <f>IFERROR(I304*E304,0)</f>
        <v/>
      </c>
      <c r="M304" s="1">
        <f>IFERROR(K304*E304,0)</f>
        <v/>
      </c>
    </row>
    <row r="305">
      <c r="A305" t="inlineStr">
        <is>
          <t>238307</t>
        </is>
      </c>
      <c r="B305" t="inlineStr">
        <is>
          <t>M16*80 HT HEX SET SCREW Z/BLUE</t>
        </is>
      </c>
      <c r="C305" t="inlineStr">
        <is>
          <t>M&amp;D SPECIALISED FASTENERS (PTY) LTD</t>
        </is>
      </c>
      <c r="D305" t="inlineStr"/>
      <c r="E305" s="1" t="n">
        <v>11</v>
      </c>
      <c r="F305" t="n">
        <v>14</v>
      </c>
      <c r="G305" t="n">
        <v>0</v>
      </c>
      <c r="H305" t="n">
        <v>54</v>
      </c>
      <c r="I305" t="n">
        <v>0</v>
      </c>
      <c r="J305" t="n">
        <v>0</v>
      </c>
      <c r="K305">
        <f>IF(H305-I305-J305&gt;0,H305-I305-J305,0)</f>
        <v/>
      </c>
      <c r="L305" s="1">
        <f>IFERROR(I305*E305,0)</f>
        <v/>
      </c>
      <c r="M305" s="1">
        <f>IFERROR(K305*E305,0)</f>
        <v/>
      </c>
    </row>
    <row r="306">
      <c r="A306" t="inlineStr">
        <is>
          <t>239044</t>
        </is>
      </c>
      <c r="B306" t="inlineStr">
        <is>
          <t>M5*16 HT HEX SET SCREW Z/BLUE</t>
        </is>
      </c>
      <c r="C306" t="inlineStr">
        <is>
          <t>M&amp;D SPECIALISED FASTENERS (PTY) LTD</t>
        </is>
      </c>
      <c r="D306" t="inlineStr"/>
      <c r="E306" s="1" t="n">
        <v>0.4</v>
      </c>
      <c r="F306" t="n">
        <v>100</v>
      </c>
      <c r="G306" t="n">
        <v>0</v>
      </c>
      <c r="H306" t="n">
        <v>500</v>
      </c>
      <c r="I306" t="n">
        <v>0</v>
      </c>
      <c r="J306" t="n">
        <v>0</v>
      </c>
      <c r="K306">
        <f>IF(H306-I306-J306&gt;0,H306-I306-J306,0)</f>
        <v/>
      </c>
      <c r="L306" s="1">
        <f>IFERROR(I306*E306,0)</f>
        <v/>
      </c>
      <c r="M306" s="1">
        <f>IFERROR(K306*E306,0)</f>
        <v/>
      </c>
    </row>
    <row r="307">
      <c r="A307" t="inlineStr">
        <is>
          <t>239158</t>
        </is>
      </c>
      <c r="B307" t="inlineStr">
        <is>
          <t>M6*25 HT HEX SET SCREW Z/BLUE</t>
        </is>
      </c>
      <c r="C307" t="inlineStr">
        <is>
          <t>M&amp;D SPECIALISED FASTENERS (PTY) LTD</t>
        </is>
      </c>
      <c r="D307" t="inlineStr"/>
      <c r="E307" s="1" t="n">
        <v>0.65</v>
      </c>
      <c r="F307" t="n">
        <v>150</v>
      </c>
      <c r="G307" t="n">
        <v>0</v>
      </c>
      <c r="H307" t="n">
        <v>750</v>
      </c>
      <c r="I307" t="n">
        <v>0</v>
      </c>
      <c r="J307" t="n">
        <v>0</v>
      </c>
      <c r="K307">
        <f>IF(H307-I307-J307&gt;0,H307-I307-J307,0)</f>
        <v/>
      </c>
      <c r="L307" s="1">
        <f>IFERROR(I307*E307,0)</f>
        <v/>
      </c>
      <c r="M307" s="1">
        <f>IFERROR(K307*E307,0)</f>
        <v/>
      </c>
    </row>
    <row r="308">
      <c r="A308" t="inlineStr">
        <is>
          <t>239281</t>
        </is>
      </c>
      <c r="B308" t="inlineStr">
        <is>
          <t>M8*16 HT SET SCREW Z/BLUE</t>
        </is>
      </c>
      <c r="C308" t="inlineStr">
        <is>
          <t>M&amp;D SPECIALISED FASTENERS (PTY) LTD</t>
        </is>
      </c>
      <c r="D308" t="inlineStr"/>
      <c r="E308" s="1" t="n">
        <v>0.9</v>
      </c>
      <c r="F308" t="n">
        <v>80</v>
      </c>
      <c r="G308" t="n">
        <v>0</v>
      </c>
      <c r="H308" t="n">
        <v>400</v>
      </c>
      <c r="I308" t="n">
        <v>0</v>
      </c>
      <c r="J308" t="n">
        <v>0</v>
      </c>
      <c r="K308">
        <f>IF(H308-I308-J308&gt;0,H308-I308-J308,0)</f>
        <v/>
      </c>
      <c r="L308" s="1">
        <f>IFERROR(I308*E308,0)</f>
        <v/>
      </c>
      <c r="M308" s="1">
        <f>IFERROR(K308*E308,0)</f>
        <v/>
      </c>
    </row>
    <row r="309">
      <c r="A309" t="inlineStr">
        <is>
          <t>241419</t>
        </is>
      </c>
      <c r="B309" t="inlineStr">
        <is>
          <t>M10 (10.5X20X2) DIN 125 FLAT WASHER S/S 304 - A2</t>
        </is>
      </c>
      <c r="C309" t="inlineStr">
        <is>
          <t>M&amp;D SPECIALISED FASTENERS (PTY) LTD</t>
        </is>
      </c>
      <c r="D309" t="inlineStr"/>
      <c r="E309" s="1" t="n">
        <v>0.4</v>
      </c>
      <c r="F309" t="n">
        <v>60</v>
      </c>
      <c r="G309" t="n">
        <v>0</v>
      </c>
      <c r="H309" t="n">
        <v>300</v>
      </c>
      <c r="I309" t="n">
        <v>0</v>
      </c>
      <c r="J309" t="n">
        <v>0</v>
      </c>
      <c r="K309">
        <f>IF(H309-I309-J309&gt;0,H309-I309-J309,0)</f>
        <v/>
      </c>
      <c r="L309" s="1">
        <f>IFERROR(I309*E309,0)</f>
        <v/>
      </c>
      <c r="M309" s="1">
        <f>IFERROR(K309*E309,0)</f>
        <v/>
      </c>
    </row>
    <row r="310">
      <c r="A310" t="inlineStr">
        <is>
          <t>241420</t>
        </is>
      </c>
      <c r="B310" t="inlineStr">
        <is>
          <t>M12 FLAT WASHER DIN 125A - (13i/dX24o/dX2.5thk) S/S 304 - A2</t>
        </is>
      </c>
      <c r="C310" t="inlineStr">
        <is>
          <t>M&amp;D SPECIALISED FASTENERS (PTY) LTD</t>
        </is>
      </c>
      <c r="D310" t="inlineStr"/>
      <c r="E310" s="1" t="n">
        <v>0.8</v>
      </c>
      <c r="F310" t="n">
        <v>166</v>
      </c>
      <c r="G310" t="n">
        <v>0</v>
      </c>
      <c r="H310" t="n">
        <v>830</v>
      </c>
      <c r="I310" t="n">
        <v>0</v>
      </c>
      <c r="J310" t="n">
        <v>0</v>
      </c>
      <c r="K310">
        <f>IF(H310-I310-J310&gt;0,H310-I310-J310,0)</f>
        <v/>
      </c>
      <c r="L310" s="1">
        <f>IFERROR(I310*E310,0)</f>
        <v/>
      </c>
      <c r="M310" s="1">
        <f>IFERROR(K310*E310,0)</f>
        <v/>
      </c>
    </row>
    <row r="311">
      <c r="A311" t="inlineStr">
        <is>
          <t>241421</t>
        </is>
      </c>
      <c r="B311" t="inlineStr">
        <is>
          <t>M16 (17X30X3) FLAT WASHER DIN 125A S/S 304 - A2</t>
        </is>
      </c>
      <c r="C311" t="inlineStr">
        <is>
          <t>M&amp;D SPECIALISED FASTENERS (PTY) LTD</t>
        </is>
      </c>
      <c r="D311" t="inlineStr"/>
      <c r="E311" s="1" t="n">
        <v>1.3</v>
      </c>
      <c r="F311" t="n">
        <v>140</v>
      </c>
      <c r="G311" t="n">
        <v>0</v>
      </c>
      <c r="H311" t="n">
        <v>700</v>
      </c>
      <c r="I311" t="n">
        <v>0</v>
      </c>
      <c r="J311" t="n">
        <v>0</v>
      </c>
      <c r="K311">
        <f>IF(H311-I311-J311&gt;0,H311-I311-J311,0)</f>
        <v/>
      </c>
      <c r="L311" s="1">
        <f>IFERROR(I311*E311,0)</f>
        <v/>
      </c>
      <c r="M311" s="1">
        <f>IFERROR(K311*E311,0)</f>
        <v/>
      </c>
    </row>
    <row r="312">
      <c r="A312" t="inlineStr">
        <is>
          <t>241440</t>
        </is>
      </c>
      <c r="B312" t="inlineStr">
        <is>
          <t>M5 FLAT WASHER DIN 125A S/S 304 - A2 -(5.3i/d X 10o/d X 1thk)</t>
        </is>
      </c>
      <c r="C312" t="inlineStr">
        <is>
          <t>M&amp;D SPECIALISED FASTENERS (PTY) LTD</t>
        </is>
      </c>
      <c r="D312" t="inlineStr"/>
      <c r="E312" s="1" t="n">
        <v>0.06</v>
      </c>
      <c r="F312" t="n">
        <v>60</v>
      </c>
      <c r="G312" t="n">
        <v>0</v>
      </c>
      <c r="H312" t="n">
        <v>300</v>
      </c>
      <c r="I312" t="n">
        <v>0</v>
      </c>
      <c r="J312" t="n">
        <v>0</v>
      </c>
      <c r="K312">
        <f>IF(H312-I312-J312&gt;0,H312-I312-J312,0)</f>
        <v/>
      </c>
      <c r="L312" s="1">
        <f>IFERROR(I312*E312,0)</f>
        <v/>
      </c>
      <c r="M312" s="1">
        <f>IFERROR(K312*E312,0)</f>
        <v/>
      </c>
    </row>
    <row r="313">
      <c r="A313" t="inlineStr">
        <is>
          <t>241442</t>
        </is>
      </c>
      <c r="B313" t="inlineStr">
        <is>
          <t>M6 FLAT WASHER DIN 125A S/S 304 - A2 - (6.4X12.5X1.6)</t>
        </is>
      </c>
      <c r="C313" t="inlineStr">
        <is>
          <t>M&amp;D SPECIALISED FASTENERS (PTY) LTD</t>
        </is>
      </c>
      <c r="D313" t="inlineStr"/>
      <c r="E313" s="1" t="n">
        <v>0.15</v>
      </c>
      <c r="F313" t="n">
        <v>60</v>
      </c>
      <c r="G313" t="n">
        <v>0</v>
      </c>
      <c r="H313" t="n">
        <v>300</v>
      </c>
      <c r="I313" t="n">
        <v>0</v>
      </c>
      <c r="J313" t="n">
        <v>0</v>
      </c>
      <c r="K313">
        <f>IF(H313-I313-J313&gt;0,H313-I313-J313,0)</f>
        <v/>
      </c>
      <c r="L313" s="1">
        <f>IFERROR(I313*E313,0)</f>
        <v/>
      </c>
      <c r="M313" s="1">
        <f>IFERROR(K313*E313,0)</f>
        <v/>
      </c>
    </row>
    <row r="314">
      <c r="A314" t="inlineStr">
        <is>
          <t>244896</t>
        </is>
      </c>
      <c r="B314" t="inlineStr">
        <is>
          <t>M10*25 HEX SET SCREW S/S 304 - A2</t>
        </is>
      </c>
      <c r="C314" t="inlineStr">
        <is>
          <t>M&amp;D SPECIALISED FASTENERS (PTY) LTD</t>
        </is>
      </c>
      <c r="D314" t="inlineStr"/>
      <c r="E314" s="1" t="n">
        <v>3</v>
      </c>
      <c r="F314" t="n">
        <v>60</v>
      </c>
      <c r="G314" t="n">
        <v>0</v>
      </c>
      <c r="H314" t="n">
        <v>300</v>
      </c>
      <c r="I314" t="n">
        <v>0</v>
      </c>
      <c r="J314" t="n">
        <v>0</v>
      </c>
      <c r="K314">
        <f>IF(H314-I314-J314&gt;0,H314-I314-J314,0)</f>
        <v/>
      </c>
      <c r="L314" s="1">
        <f>IFERROR(I314*E314,0)</f>
        <v/>
      </c>
      <c r="M314" s="1">
        <f>IFERROR(K314*E314,0)</f>
        <v/>
      </c>
    </row>
    <row r="315">
      <c r="A315" t="inlineStr">
        <is>
          <t>244949</t>
        </is>
      </c>
      <c r="B315" t="inlineStr">
        <is>
          <t>M12*25 HEX SET SCREW S/S A2 - 304</t>
        </is>
      </c>
      <c r="C315" t="inlineStr">
        <is>
          <t>M&amp;D SPECIALISED FASTENERS (PTY) LTD</t>
        </is>
      </c>
      <c r="D315" t="inlineStr"/>
      <c r="E315" s="1" t="n">
        <v>4.5</v>
      </c>
      <c r="F315" t="n">
        <v>60</v>
      </c>
      <c r="G315" t="n">
        <v>0</v>
      </c>
      <c r="H315" t="n">
        <v>300</v>
      </c>
      <c r="I315" t="n">
        <v>0</v>
      </c>
      <c r="J315" t="n">
        <v>0</v>
      </c>
      <c r="K315">
        <f>IF(H315-I315-J315&gt;0,H315-I315-J315,0)</f>
        <v/>
      </c>
      <c r="L315" s="1">
        <f>IFERROR(I315*E315,0)</f>
        <v/>
      </c>
      <c r="M315" s="1">
        <f>IFERROR(K315*E315,0)</f>
        <v/>
      </c>
    </row>
    <row r="316">
      <c r="A316" t="inlineStr">
        <is>
          <t>244999</t>
        </is>
      </c>
      <c r="B316" t="inlineStr">
        <is>
          <t>M16X120 A2 HEX SET SCREW</t>
        </is>
      </c>
      <c r="C316" t="inlineStr">
        <is>
          <t>M&amp;D SPECIALISED FASTENERS (PTY) LTD</t>
        </is>
      </c>
      <c r="D316" t="inlineStr"/>
      <c r="E316" s="1" t="n">
        <v>45</v>
      </c>
      <c r="F316" t="n">
        <v>40</v>
      </c>
      <c r="G316" t="n">
        <v>0</v>
      </c>
      <c r="H316" t="n">
        <v>200</v>
      </c>
      <c r="I316" t="n">
        <v>0</v>
      </c>
      <c r="J316" t="n">
        <v>0</v>
      </c>
      <c r="K316">
        <f>IF(H316-I316-J316&gt;0,H316-I316-J316,0)</f>
        <v/>
      </c>
      <c r="L316" s="1">
        <f>IFERROR(I316*E316,0)</f>
        <v/>
      </c>
      <c r="M316" s="1">
        <f>IFERROR(K316*E316,0)</f>
        <v/>
      </c>
    </row>
    <row r="317">
      <c r="A317" t="inlineStr">
        <is>
          <t>245022</t>
        </is>
      </c>
      <c r="B317" t="inlineStr">
        <is>
          <t>M16*60 HEX SET SCREW S/S A2 - 304</t>
        </is>
      </c>
      <c r="C317" t="inlineStr">
        <is>
          <t>M&amp;D SPECIALISED FASTENERS (PTY) LTD</t>
        </is>
      </c>
      <c r="D317" t="inlineStr"/>
      <c r="E317" s="1" t="n">
        <v>15</v>
      </c>
      <c r="F317" t="n">
        <v>4</v>
      </c>
      <c r="G317" t="n">
        <v>0</v>
      </c>
      <c r="H317" t="n">
        <v>20</v>
      </c>
      <c r="I317" t="n">
        <v>0</v>
      </c>
      <c r="J317" t="n">
        <v>0</v>
      </c>
      <c r="K317">
        <f>IF(H317-I317-J317&gt;0,H317-I317-J317,0)</f>
        <v/>
      </c>
      <c r="L317" s="1">
        <f>IFERROR(I317*E317,0)</f>
        <v/>
      </c>
      <c r="M317" s="1">
        <f>IFERROR(K317*E317,0)</f>
        <v/>
      </c>
    </row>
    <row r="318">
      <c r="A318" t="inlineStr">
        <is>
          <t>245035</t>
        </is>
      </c>
      <c r="B318" t="inlineStr">
        <is>
          <t>M16*90 A2 HEX SET SCREW</t>
        </is>
      </c>
      <c r="C318" t="inlineStr">
        <is>
          <t>M&amp;D SPECIALISED FASTENERS (PTY) LTD</t>
        </is>
      </c>
      <c r="D318" t="inlineStr"/>
      <c r="E318" s="1" t="n">
        <v>20</v>
      </c>
      <c r="F318" t="n">
        <v>4</v>
      </c>
      <c r="G318" t="n">
        <v>0</v>
      </c>
      <c r="H318" t="n">
        <v>20</v>
      </c>
      <c r="I318" t="n">
        <v>0</v>
      </c>
      <c r="J318" t="n">
        <v>0</v>
      </c>
      <c r="K318">
        <f>IF(H318-I318-J318&gt;0,H318-I318-J318,0)</f>
        <v/>
      </c>
      <c r="L318" s="1">
        <f>IFERROR(I318*E318,0)</f>
        <v/>
      </c>
      <c r="M318" s="1">
        <f>IFERROR(K318*E318,0)</f>
        <v/>
      </c>
    </row>
    <row r="319">
      <c r="A319" t="inlineStr">
        <is>
          <t>2450x1225x2mm</t>
        </is>
      </c>
      <c r="B319" t="inlineStr">
        <is>
          <t>HR Sheet CQ 2450x1225x2mm</t>
        </is>
      </c>
      <c r="C319" t="inlineStr">
        <is>
          <t>NJR STEEL - ALRODE (PTY) LTD</t>
        </is>
      </c>
      <c r="D319" t="inlineStr">
        <is>
          <t>FABRICATION</t>
        </is>
      </c>
      <c r="E319" s="1" t="n">
        <v>701.4400000000001</v>
      </c>
      <c r="F319" t="n">
        <v>2</v>
      </c>
      <c r="G319" t="n">
        <v>0</v>
      </c>
      <c r="H319" t="n">
        <v>10</v>
      </c>
      <c r="I319" t="n">
        <v>0</v>
      </c>
      <c r="J319" t="n">
        <v>0</v>
      </c>
      <c r="K319">
        <f>IF(H319-I319-J319&gt;0,H319-I319-J319,0)</f>
        <v/>
      </c>
      <c r="L319" s="1">
        <f>IFERROR(I319*E319,0)</f>
        <v/>
      </c>
      <c r="M319" s="1">
        <f>IFERROR(K319*E319,0)</f>
        <v/>
      </c>
    </row>
    <row r="320">
      <c r="A320" t="inlineStr">
        <is>
          <t>2450x1225x3mm</t>
        </is>
      </c>
      <c r="B320" t="inlineStr">
        <is>
          <t>HR Sheet SAE1008 2450x1225x3</t>
        </is>
      </c>
      <c r="C320" t="inlineStr">
        <is>
          <t>NJR STEEL - ALRODE (PTY) LTD</t>
        </is>
      </c>
      <c r="D320" t="inlineStr">
        <is>
          <t>CASING</t>
        </is>
      </c>
      <c r="E320" s="1" t="n">
        <v>1067.28</v>
      </c>
      <c r="F320" t="n">
        <v>1</v>
      </c>
      <c r="G320" t="n">
        <v>0</v>
      </c>
      <c r="H320" t="n">
        <v>2</v>
      </c>
      <c r="I320" t="n">
        <v>0</v>
      </c>
      <c r="J320" t="n">
        <v>0</v>
      </c>
      <c r="K320">
        <f>IF(H320-I320-J320&gt;0,H320-I320-J320,0)</f>
        <v/>
      </c>
      <c r="L320" s="1">
        <f>IFERROR(I320*E320,0)</f>
        <v/>
      </c>
      <c r="M320" s="1">
        <f>IFERROR(K320*E320,0)</f>
        <v/>
      </c>
    </row>
    <row r="321">
      <c r="A321" t="inlineStr">
        <is>
          <t>2450x1225x4mm</t>
        </is>
      </c>
      <c r="B321" t="inlineStr">
        <is>
          <t>HR Sheet CQ 2450x1225x4 mm</t>
        </is>
      </c>
      <c r="C321" t="inlineStr">
        <is>
          <t>NJR STEEL - ALRODE (PTY) LTD</t>
        </is>
      </c>
      <c r="D321" t="inlineStr">
        <is>
          <t>FM - FABRICATION</t>
        </is>
      </c>
      <c r="E321" s="1" t="n">
        <v>1418.1</v>
      </c>
      <c r="F321" t="n">
        <v>1</v>
      </c>
      <c r="G321" t="n">
        <v>0</v>
      </c>
      <c r="H321" t="n">
        <v>5</v>
      </c>
      <c r="I321" t="n">
        <v>0</v>
      </c>
      <c r="J321" t="n">
        <v>0</v>
      </c>
      <c r="K321">
        <f>IF(H321-I321-J321&gt;0,H321-I321-J321,0)</f>
        <v/>
      </c>
      <c r="L321" s="1">
        <f>IFERROR(I321*E321,0)</f>
        <v/>
      </c>
      <c r="M321" s="1">
        <f>IFERROR(K321*E321,0)</f>
        <v/>
      </c>
    </row>
    <row r="322">
      <c r="A322" t="inlineStr">
        <is>
          <t>245199</t>
        </is>
      </c>
      <c r="B322" t="inlineStr">
        <is>
          <t>M5*16 HEX SET SCREW S/S 304 - A2</t>
        </is>
      </c>
      <c r="C322" t="inlineStr">
        <is>
          <t>M&amp;D SPECIALISED FASTENERS (PTY) LTD</t>
        </is>
      </c>
      <c r="D322" t="inlineStr"/>
      <c r="E322" s="1" t="n">
        <v>0.65</v>
      </c>
      <c r="F322" t="n">
        <v>210</v>
      </c>
      <c r="G322" t="n">
        <v>0</v>
      </c>
      <c r="H322" t="n">
        <v>1050</v>
      </c>
      <c r="I322" t="n">
        <v>0</v>
      </c>
      <c r="J322" t="n">
        <v>0</v>
      </c>
      <c r="K322">
        <f>IF(H322-I322-J322&gt;0,H322-I322-J322,0)</f>
        <v/>
      </c>
      <c r="L322" s="1">
        <f>IFERROR(I322*E322,0)</f>
        <v/>
      </c>
      <c r="M322" s="1">
        <f>IFERROR(K322*E322,0)</f>
        <v/>
      </c>
    </row>
    <row r="323">
      <c r="A323" t="inlineStr">
        <is>
          <t>245232</t>
        </is>
      </c>
      <c r="B323" t="inlineStr">
        <is>
          <t>M6*16 A2 HEX SET SCREW</t>
        </is>
      </c>
      <c r="C323" t="inlineStr">
        <is>
          <t>M&amp;D SPECIALISED FASTENERS (PTY) LTD</t>
        </is>
      </c>
      <c r="D323" t="inlineStr"/>
      <c r="E323" s="1" t="n">
        <v>0.8</v>
      </c>
      <c r="F323" t="n">
        <v>210</v>
      </c>
      <c r="G323" t="n">
        <v>0</v>
      </c>
      <c r="H323" t="n">
        <v>1050</v>
      </c>
      <c r="I323" t="n">
        <v>0</v>
      </c>
      <c r="J323" t="n">
        <v>0</v>
      </c>
      <c r="K323">
        <f>IF(H323-I323-J323&gt;0,H323-I323-J323,0)</f>
        <v/>
      </c>
      <c r="L323" s="1">
        <f>IFERROR(I323*E323,0)</f>
        <v/>
      </c>
      <c r="M323" s="1">
        <f>IFERROR(K323*E323,0)</f>
        <v/>
      </c>
    </row>
    <row r="324">
      <c r="A324" t="inlineStr">
        <is>
          <t>245328</t>
        </is>
      </c>
      <c r="B324" t="inlineStr">
        <is>
          <t>M12 HEX NUT S/S 304 - A2</t>
        </is>
      </c>
      <c r="C324" t="inlineStr">
        <is>
          <t>M&amp;D SPECIALISED FASTENERS (PTY) LTD</t>
        </is>
      </c>
      <c r="D324" t="inlineStr"/>
      <c r="E324" s="1" t="n">
        <v>1.8</v>
      </c>
      <c r="F324" t="n">
        <v>72</v>
      </c>
      <c r="G324" t="n">
        <v>0</v>
      </c>
      <c r="H324" t="n">
        <v>360</v>
      </c>
      <c r="I324" t="n">
        <v>0</v>
      </c>
      <c r="J324" t="n">
        <v>0</v>
      </c>
      <c r="K324">
        <f>IF(H324-I324-J324&gt;0,H324-I324-J324,0)</f>
        <v/>
      </c>
      <c r="L324" s="1">
        <f>IFERROR(I324*E324,0)</f>
        <v/>
      </c>
      <c r="M324" s="1">
        <f>IFERROR(K324*E324,0)</f>
        <v/>
      </c>
    </row>
    <row r="325">
      <c r="A325" t="inlineStr">
        <is>
          <t>245333</t>
        </is>
      </c>
      <c r="B325" t="inlineStr">
        <is>
          <t>M16 HEX NUT S/S A2 304</t>
        </is>
      </c>
      <c r="C325" t="inlineStr">
        <is>
          <t>M&amp;D SPECIALISED FASTENERS (PTY) LTD</t>
        </is>
      </c>
      <c r="D325" t="inlineStr"/>
      <c r="E325" s="1" t="n">
        <v>3.5</v>
      </c>
      <c r="F325" t="n">
        <v>120</v>
      </c>
      <c r="G325" t="n">
        <v>0</v>
      </c>
      <c r="H325" t="n">
        <v>600</v>
      </c>
      <c r="I325" t="n">
        <v>0</v>
      </c>
      <c r="J325" t="n">
        <v>0</v>
      </c>
      <c r="K325">
        <f>IF(H325-I325-J325&gt;0,H325-I325-J325,0)</f>
        <v/>
      </c>
      <c r="L325" s="1">
        <f>IFERROR(I325*E325,0)</f>
        <v/>
      </c>
      <c r="M325" s="1">
        <f>IFERROR(K325*E325,0)</f>
        <v/>
      </c>
    </row>
    <row r="326">
      <c r="A326" t="inlineStr">
        <is>
          <t>245381</t>
        </is>
      </c>
      <c r="B326" t="inlineStr">
        <is>
          <t>M5 HEX NUTS S/S 304 - A2</t>
        </is>
      </c>
      <c r="C326" t="inlineStr">
        <is>
          <t>M&amp;D SPECIALISED FASTENERS (PTY) LTD</t>
        </is>
      </c>
      <c r="D326" t="inlineStr"/>
      <c r="E326" s="1" t="n">
        <v>0.2</v>
      </c>
      <c r="F326" t="n">
        <v>150</v>
      </c>
      <c r="G326" t="n">
        <v>0</v>
      </c>
      <c r="H326" t="n">
        <v>750</v>
      </c>
      <c r="I326" t="n">
        <v>0</v>
      </c>
      <c r="J326" t="n">
        <v>0</v>
      </c>
      <c r="K326">
        <f>IF(H326-I326-J326&gt;0,H326-I326-J326,0)</f>
        <v/>
      </c>
      <c r="L326" s="1">
        <f>IFERROR(I326*E326,0)</f>
        <v/>
      </c>
      <c r="M326" s="1">
        <f>IFERROR(K326*E326,0)</f>
        <v/>
      </c>
    </row>
    <row r="327">
      <c r="A327" t="inlineStr">
        <is>
          <t>245388</t>
        </is>
      </c>
      <c r="B327" t="inlineStr">
        <is>
          <t>M6 HEX NUT S/S 304 - A2</t>
        </is>
      </c>
      <c r="C327" t="inlineStr">
        <is>
          <t>M&amp;D SPECIALISED FASTENERS (PTY) LTD</t>
        </is>
      </c>
      <c r="D327" t="inlineStr"/>
      <c r="E327" s="1" t="n">
        <v>0.3</v>
      </c>
      <c r="F327" t="n">
        <v>150</v>
      </c>
      <c r="G327" t="n">
        <v>0</v>
      </c>
      <c r="H327" t="n">
        <v>750</v>
      </c>
      <c r="I327" t="n">
        <v>0</v>
      </c>
      <c r="J327" t="n">
        <v>0</v>
      </c>
      <c r="K327">
        <f>IF(H327-I327-J327&gt;0,H327-I327-J327,0)</f>
        <v/>
      </c>
      <c r="L327" s="1">
        <f>IFERROR(I327*E327,0)</f>
        <v/>
      </c>
      <c r="M327" s="1">
        <f>IFERROR(K327*E327,0)</f>
        <v/>
      </c>
    </row>
    <row r="328">
      <c r="A328" t="inlineStr">
        <is>
          <t>25.4*6-2RTUBE</t>
        </is>
      </c>
      <c r="B328" t="inlineStr">
        <is>
          <t>25,4*1.6-2mm Round Tube Die Set (Die CLR 93mm)</t>
        </is>
      </c>
      <c r="C328" t="inlineStr">
        <is>
          <t>Strongman Metal Tools CC</t>
        </is>
      </c>
      <c r="D328" t="inlineStr">
        <is>
          <t>FM - FABRICATION</t>
        </is>
      </c>
      <c r="E328" s="1" t="n">
        <v>2699</v>
      </c>
      <c r="F328" t="n">
        <v>1</v>
      </c>
      <c r="G328" t="n">
        <v>0</v>
      </c>
      <c r="H328" t="n">
        <v>2</v>
      </c>
      <c r="I328" t="n">
        <v>0</v>
      </c>
      <c r="J328" t="n">
        <v>0</v>
      </c>
      <c r="K328">
        <f>IF(H328-I328-J328&gt;0,H328-I328-J328,0)</f>
        <v/>
      </c>
      <c r="L328" s="1">
        <f>IFERROR(I328*E328,0)</f>
        <v/>
      </c>
      <c r="M328" s="1">
        <f>IFERROR(K328*E328,0)</f>
        <v/>
      </c>
    </row>
    <row r="329">
      <c r="A329" t="inlineStr">
        <is>
          <t>250/355 WC</t>
        </is>
      </c>
      <c r="B329" t="inlineStr">
        <is>
          <t>Wall Cowl Galvanized</t>
        </is>
      </c>
      <c r="C329" t="inlineStr">
        <is>
          <t>Attenu-Tec HVAC Parts</t>
        </is>
      </c>
      <c r="D329" t="inlineStr"/>
      <c r="E329" s="1" t="n">
        <v>653</v>
      </c>
      <c r="F329" t="n">
        <v>2</v>
      </c>
      <c r="G329" t="n">
        <v>0</v>
      </c>
      <c r="H329" t="n">
        <v>8</v>
      </c>
      <c r="I329" t="n">
        <v>0</v>
      </c>
      <c r="J329" t="n">
        <v>0</v>
      </c>
      <c r="K329">
        <f>IF(H329-I329-J329&gt;0,H329-I329-J329,0)</f>
        <v/>
      </c>
      <c r="L329" s="1">
        <f>IFERROR(I329*E329,0)</f>
        <v/>
      </c>
      <c r="M329" s="1">
        <f>IFERROR(K329*E329,0)</f>
        <v/>
      </c>
    </row>
    <row r="330">
      <c r="A330" t="inlineStr">
        <is>
          <t>25001</t>
        </is>
      </c>
      <c r="B330" t="inlineStr">
        <is>
          <t>PRA BLANKING PLUG FLP Exd 20mm</t>
        </is>
      </c>
      <c r="C330" t="inlineStr">
        <is>
          <t>Pratley (Pty) Ltd</t>
        </is>
      </c>
      <c r="D330" t="inlineStr"/>
      <c r="E330" s="1" t="n">
        <v>54.56</v>
      </c>
      <c r="F330" t="n">
        <v>1</v>
      </c>
      <c r="G330" t="n">
        <v>0</v>
      </c>
      <c r="H330" t="n">
        <v>5</v>
      </c>
      <c r="I330" t="n">
        <v>0</v>
      </c>
      <c r="J330" t="n">
        <v>0</v>
      </c>
      <c r="K330">
        <f>IF(H330-I330-J330&gt;0,H330-I330-J330,0)</f>
        <v/>
      </c>
      <c r="L330" s="1">
        <f>IFERROR(I330*E330,0)</f>
        <v/>
      </c>
      <c r="M330" s="1">
        <f>IFERROR(K330*E330,0)</f>
        <v/>
      </c>
    </row>
    <row r="331">
      <c r="A331" t="inlineStr">
        <is>
          <t>25012CL</t>
        </is>
      </c>
      <c r="B331" t="inlineStr">
        <is>
          <t>250/12 Clamp - to suit, 38mm and 42mm bore hubs</t>
        </is>
      </c>
      <c r="C331" t="inlineStr">
        <is>
          <t>CFW Fans (Pty) Ltd</t>
        </is>
      </c>
      <c r="D331" t="inlineStr">
        <is>
          <t>FM - IMPELLER</t>
        </is>
      </c>
      <c r="E331" s="1" t="n">
        <v>297</v>
      </c>
      <c r="F331" t="n">
        <v>2</v>
      </c>
      <c r="G331" t="n">
        <v>0</v>
      </c>
      <c r="H331" t="n">
        <v>9</v>
      </c>
      <c r="I331" t="n">
        <v>0</v>
      </c>
      <c r="J331" t="n">
        <v>6</v>
      </c>
      <c r="K331">
        <f>IF(H331-I331-J331&gt;0,H331-I331-J331,0)</f>
        <v/>
      </c>
      <c r="L331" s="1">
        <f>IFERROR(I331*E331,0)</f>
        <v/>
      </c>
      <c r="M331" s="1">
        <f>IFERROR(K331*E331,0)</f>
        <v/>
      </c>
    </row>
    <row r="332">
      <c r="A332" t="inlineStr">
        <is>
          <t>25012H19</t>
        </is>
      </c>
      <c r="B332" t="inlineStr">
        <is>
          <t>250/12 Hub - 19mm</t>
        </is>
      </c>
      <c r="C332" t="inlineStr">
        <is>
          <t>CFW Fans (Pty) Ltd</t>
        </is>
      </c>
      <c r="D332" t="inlineStr">
        <is>
          <t>FM - IMPELLER</t>
        </is>
      </c>
      <c r="E332" s="1" t="n">
        <v>384</v>
      </c>
      <c r="F332" t="n">
        <v>2</v>
      </c>
      <c r="G332" t="n">
        <v>0</v>
      </c>
      <c r="H332" t="n">
        <v>10</v>
      </c>
      <c r="I332" t="n">
        <v>0</v>
      </c>
      <c r="J332" t="n">
        <v>0</v>
      </c>
      <c r="K332">
        <f>IF(H332-I332-J332&gt;0,H332-I332-J332,0)</f>
        <v/>
      </c>
      <c r="L332" s="1">
        <f>IFERROR(I332*E332,0)</f>
        <v/>
      </c>
      <c r="M332" s="1">
        <f>IFERROR(K332*E332,0)</f>
        <v/>
      </c>
    </row>
    <row r="333">
      <c r="A333" t="inlineStr">
        <is>
          <t>25012H24</t>
        </is>
      </c>
      <c r="B333" t="inlineStr">
        <is>
          <t>250/12 Hub - 24mm bore</t>
        </is>
      </c>
      <c r="C333" t="inlineStr">
        <is>
          <t>CFW Fans (Pty) Ltd</t>
        </is>
      </c>
      <c r="D333" t="inlineStr">
        <is>
          <t>FM - IMPELLER</t>
        </is>
      </c>
      <c r="E333" s="1" t="n">
        <v>384</v>
      </c>
      <c r="F333" t="n">
        <v>1</v>
      </c>
      <c r="G333" t="n">
        <v>0</v>
      </c>
      <c r="H333" t="n">
        <v>5</v>
      </c>
      <c r="I333" t="n">
        <v>0</v>
      </c>
      <c r="J333" t="n">
        <v>0</v>
      </c>
      <c r="K333">
        <f>IF(H333-I333-J333&gt;0,H333-I333-J333,0)</f>
        <v/>
      </c>
      <c r="L333" s="1">
        <f>IFERROR(I333*E333,0)</f>
        <v/>
      </c>
      <c r="M333" s="1">
        <f>IFERROR(K333*E333,0)</f>
        <v/>
      </c>
    </row>
    <row r="334">
      <c r="A334" t="inlineStr">
        <is>
          <t>25012H28</t>
        </is>
      </c>
      <c r="B334" t="inlineStr">
        <is>
          <t>250/12 Hub - 28mm bore</t>
        </is>
      </c>
      <c r="C334" t="inlineStr">
        <is>
          <t>CFW Fans (Pty) Ltd</t>
        </is>
      </c>
      <c r="D334" t="inlineStr">
        <is>
          <t>FM - IMPELLER</t>
        </is>
      </c>
      <c r="E334" s="1" t="n">
        <v>384</v>
      </c>
      <c r="F334" t="n">
        <v>2</v>
      </c>
      <c r="G334" t="n">
        <v>0</v>
      </c>
      <c r="H334" t="n">
        <v>8</v>
      </c>
      <c r="I334" t="n">
        <v>0</v>
      </c>
      <c r="J334" t="n">
        <v>6</v>
      </c>
      <c r="K334">
        <f>IF(H334-I334-J334&gt;0,H334-I334-J334,0)</f>
        <v/>
      </c>
      <c r="L334" s="1">
        <f>IFERROR(I334*E334,0)</f>
        <v/>
      </c>
      <c r="M334" s="1">
        <f>IFERROR(K334*E334,0)</f>
        <v/>
      </c>
    </row>
    <row r="335">
      <c r="A335" t="inlineStr">
        <is>
          <t>25012H38</t>
        </is>
      </c>
      <c r="B335" t="inlineStr">
        <is>
          <t>250/12 Hub - 38mm</t>
        </is>
      </c>
      <c r="C335" t="inlineStr">
        <is>
          <t>CFW Fans (Pty) Ltd</t>
        </is>
      </c>
      <c r="D335" t="inlineStr">
        <is>
          <t>FM - IMPELLER</t>
        </is>
      </c>
      <c r="E335" s="1" t="n">
        <v>384</v>
      </c>
      <c r="F335" t="n">
        <v>1</v>
      </c>
      <c r="G335" t="n">
        <v>0</v>
      </c>
      <c r="H335" t="n">
        <v>2</v>
      </c>
      <c r="I335" t="n">
        <v>0</v>
      </c>
      <c r="J335" t="n">
        <v>0</v>
      </c>
      <c r="K335">
        <f>IF(H335-I335-J335&gt;0,H335-I335-J335,0)</f>
        <v/>
      </c>
      <c r="L335" s="1">
        <f>IFERROR(I335*E335,0)</f>
        <v/>
      </c>
      <c r="M335" s="1">
        <f>IFERROR(K335*E335,0)</f>
        <v/>
      </c>
    </row>
    <row r="336">
      <c r="A336" t="inlineStr">
        <is>
          <t>25012H42</t>
        </is>
      </c>
      <c r="B336" t="inlineStr">
        <is>
          <t>250/12 Hub - 42mm</t>
        </is>
      </c>
      <c r="C336" t="inlineStr">
        <is>
          <t>CFW Fans (Pty) Ltd</t>
        </is>
      </c>
      <c r="D336" t="inlineStr">
        <is>
          <t>FM - IMPELLER</t>
        </is>
      </c>
      <c r="E336" s="1" t="n">
        <v>384</v>
      </c>
      <c r="F336" t="n">
        <v>3</v>
      </c>
      <c r="G336" t="n">
        <v>0</v>
      </c>
      <c r="H336" t="n">
        <v>15</v>
      </c>
      <c r="I336" t="n">
        <v>0</v>
      </c>
      <c r="J336" t="n">
        <v>0</v>
      </c>
      <c r="K336">
        <f>IF(H336-I336-J336&gt;0,H336-I336-J336,0)</f>
        <v/>
      </c>
      <c r="L336" s="1">
        <f>IFERROR(I336*E336,0)</f>
        <v/>
      </c>
      <c r="M336" s="1">
        <f>IFERROR(K336*E336,0)</f>
        <v/>
      </c>
    </row>
    <row r="337">
      <c r="A337" t="inlineStr">
        <is>
          <t>250LS</t>
        </is>
      </c>
      <c r="B337" t="inlineStr">
        <is>
          <t>Louvre Shutter</t>
        </is>
      </c>
      <c r="C337" t="inlineStr"/>
      <c r="D337" t="inlineStr"/>
      <c r="E337" s="1" t="n">
        <v>0</v>
      </c>
      <c r="F337" t="n">
        <v>1</v>
      </c>
      <c r="G337" t="n">
        <v>0</v>
      </c>
      <c r="H337" t="n">
        <v>2</v>
      </c>
      <c r="I337" t="n">
        <v>0</v>
      </c>
      <c r="J337" t="n">
        <v>0</v>
      </c>
      <c r="K337">
        <f>IF(H337-I337-J337&gt;0,H337-I337-J337,0)</f>
        <v/>
      </c>
      <c r="L337" s="1">
        <f>IFERROR(I337*E337,0)</f>
        <v/>
      </c>
      <c r="M337" s="1">
        <f>IFERROR(K337*E337,0)</f>
        <v/>
      </c>
    </row>
    <row r="338">
      <c r="A338" t="inlineStr">
        <is>
          <t>250T1200</t>
        </is>
      </c>
      <c r="B338" t="inlineStr">
        <is>
          <t>250 Diam Tube Silencer 1200L</t>
        </is>
      </c>
      <c r="C338" t="inlineStr">
        <is>
          <t>Attenu-Tec</t>
        </is>
      </c>
      <c r="D338" t="inlineStr"/>
      <c r="E338" s="1" t="n">
        <v>818</v>
      </c>
      <c r="F338" t="n">
        <v>2</v>
      </c>
      <c r="G338" t="n">
        <v>0</v>
      </c>
      <c r="H338" t="n">
        <v>8</v>
      </c>
      <c r="I338" t="n">
        <v>0</v>
      </c>
      <c r="J338" t="n">
        <v>0</v>
      </c>
      <c r="K338">
        <f>IF(H338-I338-J338&gt;0,H338-I338-J338,0)</f>
        <v/>
      </c>
      <c r="L338" s="1">
        <f>IFERROR(I338*E338,0)</f>
        <v/>
      </c>
      <c r="M338" s="1">
        <f>IFERROR(K338*E338,0)</f>
        <v/>
      </c>
    </row>
    <row r="339">
      <c r="A339" t="inlineStr">
        <is>
          <t>250T600</t>
        </is>
      </c>
      <c r="B339" t="inlineStr">
        <is>
          <t>250 Diam Tube Silencer 600L</t>
        </is>
      </c>
      <c r="C339" t="inlineStr">
        <is>
          <t>Attenu-Tec</t>
        </is>
      </c>
      <c r="D339" t="inlineStr">
        <is>
          <t>FM - DONKIN</t>
        </is>
      </c>
      <c r="E339" s="1" t="n">
        <v>595</v>
      </c>
      <c r="F339" t="n">
        <v>2</v>
      </c>
      <c r="G339" t="n">
        <v>0</v>
      </c>
      <c r="H339" t="n">
        <v>12</v>
      </c>
      <c r="I339" t="n">
        <v>0</v>
      </c>
      <c r="J339" t="n">
        <v>0</v>
      </c>
      <c r="K339">
        <f>IF(H339-I339-J339&gt;0,H339-I339-J339,0)</f>
        <v/>
      </c>
      <c r="L339" s="1">
        <f>IFERROR(I339*E339,0)</f>
        <v/>
      </c>
      <c r="M339" s="1">
        <f>IFERROR(K339*E339,0)</f>
        <v/>
      </c>
    </row>
    <row r="340">
      <c r="A340" t="inlineStr">
        <is>
          <t>2517X25MM.</t>
        </is>
      </c>
      <c r="B340" t="inlineStr">
        <is>
          <t>TAPER LOCK BUSH METRIC 2517 25MM FENNER</t>
        </is>
      </c>
      <c r="C340" t="inlineStr">
        <is>
          <t>Bearing Man Group</t>
        </is>
      </c>
      <c r="D340" t="inlineStr"/>
      <c r="E340" s="1" t="n">
        <v>159.27</v>
      </c>
      <c r="F340" t="n">
        <v>10</v>
      </c>
      <c r="G340" t="n">
        <v>0</v>
      </c>
      <c r="H340" t="n">
        <v>20</v>
      </c>
      <c r="I340" t="n">
        <v>0</v>
      </c>
      <c r="J340" t="n">
        <v>0</v>
      </c>
      <c r="K340">
        <f>IF(H340-I340-J340&gt;0,H340-I340-J340,0)</f>
        <v/>
      </c>
      <c r="L340" s="1">
        <f>IFERROR(I340*E340,0)</f>
        <v/>
      </c>
      <c r="M340" s="1">
        <f>IFERROR(K340*E340,0)</f>
        <v/>
      </c>
    </row>
    <row r="341">
      <c r="A341" t="inlineStr">
        <is>
          <t>2517X28MM</t>
        </is>
      </c>
      <c r="B341" t="inlineStr">
        <is>
          <t>TAPER LOCK BUSH METRIC 2517 28MM FENNER</t>
        </is>
      </c>
      <c r="C341" t="inlineStr">
        <is>
          <t>Bearing Man Group</t>
        </is>
      </c>
      <c r="D341" t="inlineStr"/>
      <c r="E341" s="1" t="n">
        <v>154.81</v>
      </c>
      <c r="F341" t="n">
        <v>1</v>
      </c>
      <c r="G341" t="n">
        <v>0</v>
      </c>
      <c r="H341" t="n">
        <v>2</v>
      </c>
      <c r="I341" t="n">
        <v>0</v>
      </c>
      <c r="J341" t="n">
        <v>0</v>
      </c>
      <c r="K341">
        <f>IF(H341-I341-J341&gt;0,H341-I341-J341,0)</f>
        <v/>
      </c>
      <c r="L341" s="1">
        <f>IFERROR(I341*E341,0)</f>
        <v/>
      </c>
      <c r="M341" s="1">
        <f>IFERROR(K341*E341,0)</f>
        <v/>
      </c>
    </row>
    <row r="342">
      <c r="A342" t="inlineStr">
        <is>
          <t>2517X35MM</t>
        </is>
      </c>
      <c r="B342" t="inlineStr">
        <is>
          <t>TAPER LOCK BUSH METRIC 2517 35MM FENNER</t>
        </is>
      </c>
      <c r="C342" t="inlineStr">
        <is>
          <t>Bearing Man Group</t>
        </is>
      </c>
      <c r="D342" t="inlineStr"/>
      <c r="E342" s="1" t="n">
        <v>170.11</v>
      </c>
      <c r="F342" t="n">
        <v>1</v>
      </c>
      <c r="G342" t="n">
        <v>0</v>
      </c>
      <c r="H342" t="n">
        <v>5</v>
      </c>
      <c r="I342" t="n">
        <v>0</v>
      </c>
      <c r="J342" t="n">
        <v>0</v>
      </c>
      <c r="K342">
        <f>IF(H342-I342-J342&gt;0,H342-I342-J342,0)</f>
        <v/>
      </c>
      <c r="L342" s="1">
        <f>IFERROR(I342*E342,0)</f>
        <v/>
      </c>
      <c r="M342" s="1">
        <f>IFERROR(K342*E342,0)</f>
        <v/>
      </c>
    </row>
    <row r="343">
      <c r="A343" t="inlineStr">
        <is>
          <t>257799</t>
        </is>
      </c>
      <c r="B343" t="inlineStr">
        <is>
          <t>M10 DIN 934 GRADE 8.8 HEX NUT - Satinless Steel</t>
        </is>
      </c>
      <c r="C343" t="inlineStr">
        <is>
          <t>M&amp;D SPECIALISED FASTENERS (PTY) LTD</t>
        </is>
      </c>
      <c r="D343" t="inlineStr"/>
      <c r="E343" s="1" t="n">
        <v>1.5</v>
      </c>
      <c r="F343" t="n">
        <v>60</v>
      </c>
      <c r="G343" t="n">
        <v>0</v>
      </c>
      <c r="H343" t="n">
        <v>300</v>
      </c>
      <c r="I343" t="n">
        <v>0</v>
      </c>
      <c r="J343" t="n">
        <v>0</v>
      </c>
      <c r="K343">
        <f>IF(H343-I343-J343&gt;0,H343-I343-J343,0)</f>
        <v/>
      </c>
      <c r="L343" s="1">
        <f>IFERROR(I343*E343,0)</f>
        <v/>
      </c>
      <c r="M343" s="1">
        <f>IFERROR(K343*E343,0)</f>
        <v/>
      </c>
    </row>
    <row r="344">
      <c r="A344" t="inlineStr">
        <is>
          <t>257855</t>
        </is>
      </c>
      <c r="B344" t="inlineStr">
        <is>
          <t>M16 GR8 HEX NUT Z/BLUE</t>
        </is>
      </c>
      <c r="C344" t="inlineStr">
        <is>
          <t>M&amp;D SPECIALISED FASTENERS (PTY) LTD</t>
        </is>
      </c>
      <c r="D344" t="inlineStr"/>
      <c r="E344" s="1" t="n">
        <v>1.88</v>
      </c>
      <c r="F344" t="n">
        <v>34</v>
      </c>
      <c r="G344" t="n">
        <v>0</v>
      </c>
      <c r="H344" t="n">
        <v>170</v>
      </c>
      <c r="I344" t="n">
        <v>0</v>
      </c>
      <c r="J344" t="n">
        <v>0</v>
      </c>
      <c r="K344">
        <f>IF(H344-I344-J344&gt;0,H344-I344-J344,0)</f>
        <v/>
      </c>
      <c r="L344" s="1">
        <f>IFERROR(I344*E344,0)</f>
        <v/>
      </c>
      <c r="M344" s="1">
        <f>IFERROR(K344*E344,0)</f>
        <v/>
      </c>
    </row>
    <row r="345">
      <c r="A345" t="inlineStr">
        <is>
          <t>258032</t>
        </is>
      </c>
      <c r="B345" t="inlineStr">
        <is>
          <t>M5 HT HEX NUT Z/BLUE</t>
        </is>
      </c>
      <c r="C345" t="inlineStr">
        <is>
          <t>M&amp;D SPECIALISED FASTENERS (PTY) LTD</t>
        </is>
      </c>
      <c r="D345" t="inlineStr"/>
      <c r="E345" s="1" t="n">
        <v>0.15</v>
      </c>
      <c r="F345" t="n">
        <v>100</v>
      </c>
      <c r="G345" t="n">
        <v>0</v>
      </c>
      <c r="H345" t="n">
        <v>500</v>
      </c>
      <c r="I345" t="n">
        <v>0</v>
      </c>
      <c r="J345" t="n">
        <v>0</v>
      </c>
      <c r="K345">
        <f>IF(H345-I345-J345&gt;0,H345-I345-J345,0)</f>
        <v/>
      </c>
      <c r="L345" s="1">
        <f>IFERROR(I345*E345,0)</f>
        <v/>
      </c>
      <c r="M345" s="1">
        <f>IFERROR(K345*E345,0)</f>
        <v/>
      </c>
    </row>
    <row r="346">
      <c r="A346" t="inlineStr">
        <is>
          <t>258205</t>
        </is>
      </c>
      <c r="B346" t="inlineStr">
        <is>
          <t>M12 HT NYLOCK NUT</t>
        </is>
      </c>
      <c r="C346" t="inlineStr">
        <is>
          <t>M&amp;D SPECIALISED FASTENERS (PTY) LTD</t>
        </is>
      </c>
      <c r="D346" t="inlineStr"/>
      <c r="E346" s="1" t="n">
        <v>0.9</v>
      </c>
      <c r="F346" t="n">
        <v>20</v>
      </c>
      <c r="G346" t="n">
        <v>0</v>
      </c>
      <c r="H346" t="n">
        <v>100</v>
      </c>
      <c r="I346" t="n">
        <v>0</v>
      </c>
      <c r="J346" t="n">
        <v>0</v>
      </c>
      <c r="K346">
        <f>IF(H346-I346-J346&gt;0,H346-I346-J346,0)</f>
        <v/>
      </c>
      <c r="L346" s="1">
        <f>IFERROR(I346*E346,0)</f>
        <v/>
      </c>
      <c r="M346" s="1">
        <f>IFERROR(K346*E346,0)</f>
        <v/>
      </c>
    </row>
    <row r="347">
      <c r="A347" t="inlineStr">
        <is>
          <t>258306</t>
        </is>
      </c>
      <c r="B347" t="inlineStr">
        <is>
          <t>M6 HT NYLOCK NUT</t>
        </is>
      </c>
      <c r="C347" t="inlineStr">
        <is>
          <t>M&amp;D SPECIALISED FASTENERS (PTY) LTD</t>
        </is>
      </c>
      <c r="D347" t="inlineStr"/>
      <c r="E347" s="1" t="n">
        <v>0.2</v>
      </c>
      <c r="F347" t="n">
        <v>15</v>
      </c>
      <c r="G347" t="n">
        <v>0</v>
      </c>
      <c r="H347" t="n">
        <v>74</v>
      </c>
      <c r="I347" t="n">
        <v>0</v>
      </c>
      <c r="J347" t="n">
        <v>0</v>
      </c>
      <c r="K347">
        <f>IF(H347-I347-J347&gt;0,H347-I347-J347,0)</f>
        <v/>
      </c>
      <c r="L347" s="1">
        <f>IFERROR(I347*E347,0)</f>
        <v/>
      </c>
      <c r="M347" s="1">
        <f>IFERROR(K347*E347,0)</f>
        <v/>
      </c>
    </row>
    <row r="348">
      <c r="A348" t="inlineStr">
        <is>
          <t>26-29</t>
        </is>
      </c>
      <c r="B348" t="inlineStr">
        <is>
          <t>4MM RED RING LUGS</t>
        </is>
      </c>
      <c r="C348" t="inlineStr">
        <is>
          <t>Atlantic Lighting &amp; Electrical distributors</t>
        </is>
      </c>
      <c r="D348" t="inlineStr"/>
      <c r="E348" s="1" t="n">
        <v>83.34</v>
      </c>
      <c r="F348" t="n">
        <v>2</v>
      </c>
      <c r="G348" t="n">
        <v>0</v>
      </c>
      <c r="H348" t="n">
        <v>10</v>
      </c>
      <c r="I348" t="n">
        <v>0</v>
      </c>
      <c r="J348" t="n">
        <v>0</v>
      </c>
      <c r="K348">
        <f>IF(H348-I348-J348&gt;0,H348-I348-J348,0)</f>
        <v/>
      </c>
      <c r="L348" s="1">
        <f>IFERROR(I348*E348,0)</f>
        <v/>
      </c>
      <c r="M348" s="1">
        <f>IFERROR(K348*E348,0)</f>
        <v/>
      </c>
    </row>
    <row r="349">
      <c r="A349" t="inlineStr">
        <is>
          <t>26-30</t>
        </is>
      </c>
      <c r="B349" t="inlineStr">
        <is>
          <t>5MM RED RING LUGS</t>
        </is>
      </c>
      <c r="C349" t="inlineStr">
        <is>
          <t>Atlantic Lighting &amp; Electrical distributors</t>
        </is>
      </c>
      <c r="D349" t="inlineStr"/>
      <c r="E349" s="1" t="n">
        <v>86.31</v>
      </c>
      <c r="F349" t="n">
        <v>2</v>
      </c>
      <c r="G349" t="n">
        <v>0</v>
      </c>
      <c r="H349" t="n">
        <v>10</v>
      </c>
      <c r="I349" t="n">
        <v>0</v>
      </c>
      <c r="J349" t="n">
        <v>0</v>
      </c>
      <c r="K349">
        <f>IF(H349-I349-J349&gt;0,H349-I349-J349,0)</f>
        <v/>
      </c>
      <c r="L349" s="1">
        <f>IFERROR(I349*E349,0)</f>
        <v/>
      </c>
      <c r="M349" s="1">
        <f>IFERROR(K349*E349,0)</f>
        <v/>
      </c>
    </row>
    <row r="350">
      <c r="A350" t="inlineStr">
        <is>
          <t>26027</t>
        </is>
      </c>
      <c r="B350" t="inlineStr">
        <is>
          <t>DEUMIDO 20</t>
        </is>
      </c>
      <c r="C350" t="inlineStr"/>
      <c r="D350" t="inlineStr">
        <is>
          <t>FM - VORTICE</t>
        </is>
      </c>
      <c r="E350" s="1" t="n">
        <v>0</v>
      </c>
      <c r="F350" t="n">
        <v>1</v>
      </c>
      <c r="G350" t="n">
        <v>0</v>
      </c>
      <c r="H350" t="n">
        <v>2</v>
      </c>
      <c r="I350" t="n">
        <v>0</v>
      </c>
      <c r="J350" t="n">
        <v>0</v>
      </c>
      <c r="K350">
        <f>IF(H350-I350-J350&gt;0,H350-I350-J350,0)</f>
        <v/>
      </c>
      <c r="L350" s="1">
        <f>IFERROR(I350*E350,0)</f>
        <v/>
      </c>
      <c r="M350" s="1">
        <f>IFERROR(K350*E350,0)</f>
        <v/>
      </c>
    </row>
    <row r="351">
      <c r="A351" t="inlineStr">
        <is>
          <t>267215</t>
        </is>
      </c>
      <c r="B351" t="inlineStr">
        <is>
          <t>M12 HEX NUT ZINC BLUE</t>
        </is>
      </c>
      <c r="C351" t="inlineStr">
        <is>
          <t>M&amp;D SPECIALISED FASTENERS (PTY) LTD</t>
        </is>
      </c>
      <c r="D351" t="inlineStr"/>
      <c r="E351" s="1" t="n">
        <v>1</v>
      </c>
      <c r="F351" t="n">
        <v>23</v>
      </c>
      <c r="G351" t="n">
        <v>0</v>
      </c>
      <c r="H351" t="n">
        <v>114</v>
      </c>
      <c r="I351" t="n">
        <v>0</v>
      </c>
      <c r="J351" t="n">
        <v>0</v>
      </c>
      <c r="K351">
        <f>IF(H351-I351-J351&gt;0,H351-I351-J351,0)</f>
        <v/>
      </c>
      <c r="L351" s="1">
        <f>IFERROR(I351*E351,0)</f>
        <v/>
      </c>
      <c r="M351" s="1">
        <f>IFERROR(K351*E351,0)</f>
        <v/>
      </c>
    </row>
    <row r="352">
      <c r="A352" t="inlineStr">
        <is>
          <t>3 MM PLT</t>
        </is>
      </c>
      <c r="B352" t="inlineStr">
        <is>
          <t>Bending</t>
        </is>
      </c>
      <c r="C352" t="inlineStr">
        <is>
          <t>Kart Shop TA Ultimate Laser Cutting</t>
        </is>
      </c>
      <c r="D352" t="inlineStr"/>
      <c r="E352" s="1" t="n">
        <v>5</v>
      </c>
      <c r="F352" t="n">
        <v>112</v>
      </c>
      <c r="G352" t="n">
        <v>0</v>
      </c>
      <c r="H352" t="n">
        <v>432</v>
      </c>
      <c r="I352" t="n">
        <v>0</v>
      </c>
      <c r="J352" t="n">
        <v>0</v>
      </c>
      <c r="K352">
        <f>IF(H352-I352-J352&gt;0,H352-I352-J352,0)</f>
        <v/>
      </c>
      <c r="L352" s="1">
        <f>IFERROR(I352*E352,0)</f>
        <v/>
      </c>
      <c r="M352" s="1">
        <f>IFERROR(K352*E352,0)</f>
        <v/>
      </c>
    </row>
    <row r="353">
      <c r="A353" t="inlineStr">
        <is>
          <t>3000x1500x1.9mm</t>
        </is>
      </c>
      <c r="B353" t="inlineStr">
        <is>
          <t>HR Sheet CQ 3000x1500x1.9mm</t>
        </is>
      </c>
      <c r="C353" t="inlineStr">
        <is>
          <t>NJR STEEL - ALRODE (PTY) LTD</t>
        </is>
      </c>
      <c r="D353" t="inlineStr">
        <is>
          <t>FM - SHEET</t>
        </is>
      </c>
      <c r="E353" s="1" t="n">
        <v>1052.26</v>
      </c>
      <c r="F353" t="n">
        <v>1</v>
      </c>
      <c r="G353" t="n">
        <v>0</v>
      </c>
      <c r="H353" t="n">
        <v>2</v>
      </c>
      <c r="I353" t="n">
        <v>0</v>
      </c>
      <c r="J353" t="n">
        <v>0</v>
      </c>
      <c r="K353">
        <f>IF(H353-I353-J353&gt;0,H353-I353-J353,0)</f>
        <v/>
      </c>
      <c r="L353" s="1">
        <f>IFERROR(I353*E353,0)</f>
        <v/>
      </c>
      <c r="M353" s="1">
        <f>IFERROR(K353*E353,0)</f>
        <v/>
      </c>
    </row>
    <row r="354">
      <c r="A354" t="inlineStr">
        <is>
          <t>3000x1500x3mm</t>
        </is>
      </c>
      <c r="B354" t="inlineStr">
        <is>
          <t>HR Sheet CQ 3000x1500x3mm</t>
        </is>
      </c>
      <c r="C354" t="inlineStr">
        <is>
          <t>NJR STEEL - ALRODE (PTY) LTD</t>
        </is>
      </c>
      <c r="D354" t="inlineStr"/>
      <c r="E354" s="1" t="n">
        <v>1536.76</v>
      </c>
      <c r="F354" t="n">
        <v>2</v>
      </c>
      <c r="G354" t="n">
        <v>0</v>
      </c>
      <c r="H354" t="n">
        <v>8</v>
      </c>
      <c r="I354" t="n">
        <v>0</v>
      </c>
      <c r="J354" t="n">
        <v>0</v>
      </c>
      <c r="K354">
        <f>IF(H354-I354-J354&gt;0,H354-I354-J354,0)</f>
        <v/>
      </c>
      <c r="L354" s="1">
        <f>IFERROR(I354*E354,0)</f>
        <v/>
      </c>
      <c r="M354" s="1">
        <f>IFERROR(K354*E354,0)</f>
        <v/>
      </c>
    </row>
    <row r="355">
      <c r="A355" t="inlineStr">
        <is>
          <t>3000x1500x4mm</t>
        </is>
      </c>
      <c r="B355" t="inlineStr">
        <is>
          <t>HR Sheet CQ 3000x1500x4mm</t>
        </is>
      </c>
      <c r="C355" t="inlineStr">
        <is>
          <t>NJR STEEL - ALRODE (PTY) LTD</t>
        </is>
      </c>
      <c r="D355" t="inlineStr">
        <is>
          <t>FM - FABRICATION</t>
        </is>
      </c>
      <c r="E355" s="1" t="n">
        <v>2024.6</v>
      </c>
      <c r="F355" t="n">
        <v>1</v>
      </c>
      <c r="G355" t="n">
        <v>0</v>
      </c>
      <c r="H355" t="n">
        <v>5</v>
      </c>
      <c r="I355" t="n">
        <v>0</v>
      </c>
      <c r="J355" t="n">
        <v>0</v>
      </c>
      <c r="K355">
        <f>IF(H355-I355-J355&gt;0,H355-I355-J355,0)</f>
        <v/>
      </c>
      <c r="L355" s="1">
        <f>IFERROR(I355*E355,0)</f>
        <v/>
      </c>
      <c r="M355" s="1">
        <f>IFERROR(K355*E355,0)</f>
        <v/>
      </c>
    </row>
    <row r="356">
      <c r="A356" t="inlineStr">
        <is>
          <t>300WL</t>
        </is>
      </c>
      <c r="B356" t="inlineStr">
        <is>
          <t>Weather Louvre</t>
        </is>
      </c>
      <c r="C356" t="inlineStr"/>
      <c r="D356" t="inlineStr"/>
      <c r="E356" s="1" t="n">
        <v>0</v>
      </c>
      <c r="F356" t="n">
        <v>1</v>
      </c>
      <c r="G356" t="n">
        <v>0</v>
      </c>
      <c r="H356" t="n">
        <v>2</v>
      </c>
      <c r="I356" t="n">
        <v>0</v>
      </c>
      <c r="J356" t="n">
        <v>0</v>
      </c>
      <c r="K356">
        <f>IF(H356-I356-J356&gt;0,H356-I356-J356,0)</f>
        <v/>
      </c>
      <c r="L356" s="1">
        <f>IFERROR(I356*E356,0)</f>
        <v/>
      </c>
      <c r="M356" s="1">
        <f>IFERROR(K356*E356,0)</f>
        <v/>
      </c>
    </row>
    <row r="357">
      <c r="A357" t="inlineStr">
        <is>
          <t>30301</t>
        </is>
      </c>
      <c r="B357" t="inlineStr">
        <is>
          <t>C 10/2 T ATEX II 2G/D h T3/125 X Gb/Db</t>
        </is>
      </c>
      <c r="C357" t="inlineStr"/>
      <c r="D357" t="inlineStr">
        <is>
          <t>FM - VORTICE</t>
        </is>
      </c>
      <c r="E357" s="1" t="n">
        <v>0</v>
      </c>
      <c r="F357" t="n">
        <v>1</v>
      </c>
      <c r="G357" t="n">
        <v>0</v>
      </c>
      <c r="H357" t="n">
        <v>2</v>
      </c>
      <c r="I357" t="n">
        <v>0</v>
      </c>
      <c r="J357" t="n">
        <v>0</v>
      </c>
      <c r="K357">
        <f>IF(H357-I357-J357&gt;0,H357-I357-J357,0)</f>
        <v/>
      </c>
      <c r="L357" s="1">
        <f>IFERROR(I357*E357,0)</f>
        <v/>
      </c>
      <c r="M357" s="1">
        <f>IFERROR(K357*E357,0)</f>
        <v/>
      </c>
    </row>
    <row r="358">
      <c r="A358" t="inlineStr">
        <is>
          <t>30305</t>
        </is>
      </c>
      <c r="B358" t="inlineStr">
        <is>
          <t>C 20/2 T ATEX II 2G/D h T3/125 X Gb/Db</t>
        </is>
      </c>
      <c r="C358" t="inlineStr"/>
      <c r="D358" t="inlineStr">
        <is>
          <t>FM - VORTICE</t>
        </is>
      </c>
      <c r="E358" s="1" t="n">
        <v>0</v>
      </c>
      <c r="F358" t="n">
        <v>1</v>
      </c>
      <c r="G358" t="n">
        <v>0</v>
      </c>
      <c r="H358" t="n">
        <v>2</v>
      </c>
      <c r="I358" t="n">
        <v>0</v>
      </c>
      <c r="J358" t="n">
        <v>0</v>
      </c>
      <c r="K358">
        <f>IF(H358-I358-J358&gt;0,H358-I358-J358,0)</f>
        <v/>
      </c>
      <c r="L358" s="1">
        <f>IFERROR(I358*E358,0)</f>
        <v/>
      </c>
      <c r="M358" s="1">
        <f>IFERROR(K358*E358,0)</f>
        <v/>
      </c>
    </row>
    <row r="359">
      <c r="A359" t="inlineStr">
        <is>
          <t>30311</t>
        </is>
      </c>
      <c r="B359" t="inlineStr">
        <is>
          <t>C 37/4 T ATEX II 2G/D h T3/125 X Gb/Db</t>
        </is>
      </c>
      <c r="C359" t="inlineStr"/>
      <c r="D359" t="inlineStr">
        <is>
          <t>FM - VORTICE</t>
        </is>
      </c>
      <c r="E359" s="1" t="n">
        <v>0</v>
      </c>
      <c r="F359" t="n">
        <v>1</v>
      </c>
      <c r="G359" t="n">
        <v>0</v>
      </c>
      <c r="H359" t="n">
        <v>2</v>
      </c>
      <c r="I359" t="n">
        <v>0</v>
      </c>
      <c r="J359" t="n">
        <v>0</v>
      </c>
      <c r="K359">
        <f>IF(H359-I359-J359&gt;0,H359-I359-J359,0)</f>
        <v/>
      </c>
      <c r="L359" s="1">
        <f>IFERROR(I359*E359,0)</f>
        <v/>
      </c>
      <c r="M359" s="1">
        <f>IFERROR(K359*E359,0)</f>
        <v/>
      </c>
    </row>
    <row r="360">
      <c r="A360" t="inlineStr">
        <is>
          <t>315 LS</t>
        </is>
      </c>
      <c r="B360" t="inlineStr">
        <is>
          <t>Louvre Shutter</t>
        </is>
      </c>
      <c r="C360" t="inlineStr"/>
      <c r="D360" t="inlineStr"/>
      <c r="E360" s="1" t="n">
        <v>0</v>
      </c>
      <c r="F360" t="n">
        <v>1</v>
      </c>
      <c r="G360" t="n">
        <v>0</v>
      </c>
      <c r="H360" t="n">
        <v>2</v>
      </c>
      <c r="I360" t="n">
        <v>0</v>
      </c>
      <c r="J360" t="n">
        <v>0</v>
      </c>
      <c r="K360">
        <f>IF(H360-I360-J360&gt;0,H360-I360-J360,0)</f>
        <v/>
      </c>
      <c r="L360" s="1">
        <f>IFERROR(I360*E360,0)</f>
        <v/>
      </c>
      <c r="M360" s="1">
        <f>IFERROR(K360*E360,0)</f>
        <v/>
      </c>
    </row>
    <row r="361">
      <c r="A361" t="inlineStr">
        <is>
          <t>315-560AVMS</t>
        </is>
      </c>
      <c r="B361" t="inlineStr">
        <is>
          <t>315 to 560 NDA RED ANeoprene Floor Mounts</t>
        </is>
      </c>
      <c r="C361" t="inlineStr">
        <is>
          <t>Seal 'N Devices (Pty) Ltd</t>
        </is>
      </c>
      <c r="D361" t="inlineStr">
        <is>
          <t>FM - DONKIN</t>
        </is>
      </c>
      <c r="E361" s="1" t="n">
        <v>42.94</v>
      </c>
      <c r="F361" t="n">
        <v>24</v>
      </c>
      <c r="G361" t="n">
        <v>0</v>
      </c>
      <c r="H361" t="n">
        <v>118</v>
      </c>
      <c r="I361" t="n">
        <v>0</v>
      </c>
      <c r="J361" t="n">
        <v>0</v>
      </c>
      <c r="K361">
        <f>IF(H361-I361-J361&gt;0,H361-I361-J361,0)</f>
        <v/>
      </c>
      <c r="L361" s="1">
        <f>IFERROR(I361*E361,0)</f>
        <v/>
      </c>
      <c r="M361" s="1">
        <f>IFERROR(K361*E361,0)</f>
        <v/>
      </c>
    </row>
    <row r="362">
      <c r="A362" t="inlineStr">
        <is>
          <t>315CF</t>
        </is>
      </c>
      <c r="B362" t="inlineStr">
        <is>
          <t>315 Diam Counter Flange</t>
        </is>
      </c>
      <c r="C362" t="inlineStr">
        <is>
          <t>Attenu-Tec HVAC Parts</t>
        </is>
      </c>
      <c r="D362" t="inlineStr">
        <is>
          <t>FM - C/FLANGE</t>
        </is>
      </c>
      <c r="E362" s="1" t="n">
        <v>76.19</v>
      </c>
      <c r="F362" t="n">
        <v>7</v>
      </c>
      <c r="G362" t="n">
        <v>0</v>
      </c>
      <c r="H362" t="n">
        <v>28</v>
      </c>
      <c r="I362" t="n">
        <v>0</v>
      </c>
      <c r="J362" t="n">
        <v>0</v>
      </c>
      <c r="K362">
        <f>IF(H362-I362-J362&gt;0,H362-I362-J362,0)</f>
        <v/>
      </c>
      <c r="L362" s="1">
        <f>IFERROR(I362*E362,0)</f>
        <v/>
      </c>
      <c r="M362" s="1">
        <f>IFERROR(K362*E362,0)</f>
        <v/>
      </c>
    </row>
    <row r="363">
      <c r="A363" t="inlineStr">
        <is>
          <t>315FC</t>
        </is>
      </c>
      <c r="B363" t="inlineStr">
        <is>
          <t>315 Diam Flexible Connection</t>
        </is>
      </c>
      <c r="C363" t="inlineStr">
        <is>
          <t>Attenu-Tec</t>
        </is>
      </c>
      <c r="D363" t="inlineStr">
        <is>
          <t>FM - DONKIN</t>
        </is>
      </c>
      <c r="E363" s="1" t="n">
        <v>142.96</v>
      </c>
      <c r="F363" t="n">
        <v>1</v>
      </c>
      <c r="G363" t="n">
        <v>0</v>
      </c>
      <c r="H363" t="n">
        <v>2</v>
      </c>
      <c r="I363" t="n">
        <v>0</v>
      </c>
      <c r="J363" t="n">
        <v>0</v>
      </c>
      <c r="K363">
        <f>IF(H363-I363-J363&gt;0,H363-I363-J363,0)</f>
        <v/>
      </c>
      <c r="L363" s="1">
        <f>IFERROR(I363*E363,0)</f>
        <v/>
      </c>
      <c r="M363" s="1">
        <f>IFERROR(K363*E363,0)</f>
        <v/>
      </c>
    </row>
    <row r="364">
      <c r="A364" t="inlineStr">
        <is>
          <t>315MBP01</t>
        </is>
      </c>
      <c r="B364" t="inlineStr">
        <is>
          <t>1-0350-240-P01 - 315 Motor Bracket</t>
        </is>
      </c>
      <c r="C364" t="inlineStr">
        <is>
          <t>Mafilisti Trading and Projects (Pty) Ltd</t>
        </is>
      </c>
      <c r="D364" t="inlineStr"/>
      <c r="E364" s="1" t="n">
        <v>28.55</v>
      </c>
      <c r="F364" t="n">
        <v>10</v>
      </c>
      <c r="G364" t="n">
        <v>0</v>
      </c>
      <c r="H364" t="n">
        <v>48</v>
      </c>
      <c r="I364" t="n">
        <v>0</v>
      </c>
      <c r="J364" t="n">
        <v>0</v>
      </c>
      <c r="K364">
        <f>IF(H364-I364-J364&gt;0,H364-I364-J364,0)</f>
        <v/>
      </c>
      <c r="L364" s="1">
        <f>IFERROR(I364*E364,0)</f>
        <v/>
      </c>
      <c r="M364" s="1">
        <f>IFERROR(K364*E364,0)</f>
        <v/>
      </c>
    </row>
    <row r="365">
      <c r="A365" t="inlineStr">
        <is>
          <t>315MF</t>
        </is>
      </c>
      <c r="B365" t="inlineStr">
        <is>
          <t>315 Diam Mounting Feet</t>
        </is>
      </c>
      <c r="C365" t="inlineStr">
        <is>
          <t>Attenu-Tec HVAC Parts</t>
        </is>
      </c>
      <c r="D365" t="inlineStr">
        <is>
          <t>FM - M/FEET</t>
        </is>
      </c>
      <c r="E365" s="1" t="n">
        <v>22.51</v>
      </c>
      <c r="F365" t="n">
        <v>8</v>
      </c>
      <c r="G365" t="n">
        <v>0</v>
      </c>
      <c r="H365" t="n">
        <v>31</v>
      </c>
      <c r="I365" t="n">
        <v>0</v>
      </c>
      <c r="J365" t="n">
        <v>0</v>
      </c>
      <c r="K365">
        <f>IF(H365-I365-J365&gt;0,H365-I365-J365,0)</f>
        <v/>
      </c>
      <c r="L365" s="1">
        <f>IFERROR(I365*E365,0)</f>
        <v/>
      </c>
      <c r="M365" s="1">
        <f>IFERROR(K365*E365,0)</f>
        <v/>
      </c>
    </row>
    <row r="366">
      <c r="A366" t="inlineStr">
        <is>
          <t>315PLT315-2MM</t>
        </is>
      </c>
      <c r="B366" t="inlineStr">
        <is>
          <t>315 Casing Sheet - 995 x 315 - 2mm</t>
        </is>
      </c>
      <c r="C366" t="inlineStr">
        <is>
          <t>NJR STEEL - ALRODE (PTY) LTD</t>
        </is>
      </c>
      <c r="D366" t="inlineStr">
        <is>
          <t>FM - FABRICATION</t>
        </is>
      </c>
      <c r="E366" s="1" t="n">
        <v>133</v>
      </c>
      <c r="F366" t="n">
        <v>5</v>
      </c>
      <c r="G366" t="n">
        <v>0</v>
      </c>
      <c r="H366" t="n">
        <v>25</v>
      </c>
      <c r="I366" t="n">
        <v>0</v>
      </c>
      <c r="J366" t="n">
        <v>0</v>
      </c>
      <c r="K366">
        <f>IF(H366-I366-J366&gt;0,H366-I366-J366,0)</f>
        <v/>
      </c>
      <c r="L366" s="1">
        <f>IFERROR(I366*E366,0)</f>
        <v/>
      </c>
      <c r="M366" s="1">
        <f>IFERROR(K366*E366,0)</f>
        <v/>
      </c>
    </row>
    <row r="367">
      <c r="A367" t="inlineStr">
        <is>
          <t>315S1.0DP</t>
        </is>
      </c>
      <c r="B367" t="inlineStr">
        <is>
          <t>315 Diam Silencer 1.0D Podded</t>
        </is>
      </c>
      <c r="C367" t="inlineStr">
        <is>
          <t>Attenu-Tec</t>
        </is>
      </c>
      <c r="D367" t="inlineStr">
        <is>
          <t>FM - DONKIN</t>
        </is>
      </c>
      <c r="E367" s="1" t="n">
        <v>1425</v>
      </c>
      <c r="F367" t="n">
        <v>1</v>
      </c>
      <c r="G367" t="n">
        <v>0</v>
      </c>
      <c r="H367" t="n">
        <v>2</v>
      </c>
      <c r="I367" t="n">
        <v>0</v>
      </c>
      <c r="J367" t="n">
        <v>0</v>
      </c>
      <c r="K367">
        <f>IF(H367-I367-J367&gt;0,H367-I367-J367,0)</f>
        <v/>
      </c>
      <c r="L367" s="1">
        <f>IFERROR(I367*E367,0)</f>
        <v/>
      </c>
      <c r="M367" s="1">
        <f>IFERROR(K367*E367,0)</f>
        <v/>
      </c>
    </row>
    <row r="368">
      <c r="A368" t="inlineStr">
        <is>
          <t>315S1.5DP</t>
        </is>
      </c>
      <c r="B368" t="inlineStr">
        <is>
          <t>315 Diam Silencer 1.5D Podded</t>
        </is>
      </c>
      <c r="C368" t="inlineStr">
        <is>
          <t>Attenu-Tec</t>
        </is>
      </c>
      <c r="D368" t="inlineStr">
        <is>
          <t>FM - DONKIN</t>
        </is>
      </c>
      <c r="E368" s="1" t="n">
        <v>1340</v>
      </c>
      <c r="F368" t="n">
        <v>4</v>
      </c>
      <c r="G368" t="n">
        <v>0</v>
      </c>
      <c r="H368" t="n">
        <v>14</v>
      </c>
      <c r="I368" t="n">
        <v>0</v>
      </c>
      <c r="J368" t="n">
        <v>0</v>
      </c>
      <c r="K368">
        <f>IF(H368-I368-J368&gt;0,H368-I368-J368,0)</f>
        <v/>
      </c>
      <c r="L368" s="1">
        <f>IFERROR(I368*E368,0)</f>
        <v/>
      </c>
      <c r="M368" s="1">
        <f>IFERROR(K368*E368,0)</f>
        <v/>
      </c>
    </row>
    <row r="369">
      <c r="A369" t="inlineStr">
        <is>
          <t>315S2.0DP</t>
        </is>
      </c>
      <c r="B369" t="inlineStr">
        <is>
          <t>315 Diam Silencer 2.0D Podded</t>
        </is>
      </c>
      <c r="C369" t="inlineStr">
        <is>
          <t>Attenu-Tec</t>
        </is>
      </c>
      <c r="D369" t="inlineStr">
        <is>
          <t>FM - DONKIN</t>
        </is>
      </c>
      <c r="E369" s="1" t="n">
        <v>1695</v>
      </c>
      <c r="F369" t="n">
        <v>1</v>
      </c>
      <c r="G369" t="n">
        <v>0</v>
      </c>
      <c r="H369" t="n">
        <v>3</v>
      </c>
      <c r="I369" t="n">
        <v>0</v>
      </c>
      <c r="J369" t="n">
        <v>0</v>
      </c>
      <c r="K369">
        <f>IF(H369-I369-J369&gt;0,H369-I369-J369,0)</f>
        <v/>
      </c>
      <c r="L369" s="1">
        <f>IFERROR(I369*E369,0)</f>
        <v/>
      </c>
      <c r="M369" s="1">
        <f>IFERROR(K369*E369,0)</f>
        <v/>
      </c>
    </row>
    <row r="370">
      <c r="A370" t="inlineStr">
        <is>
          <t>315SM1.5DP</t>
        </is>
      </c>
      <c r="B370" t="inlineStr">
        <is>
          <t>315 Diam Melinex Silencer 1.5D Podded</t>
        </is>
      </c>
      <c r="C370" t="inlineStr">
        <is>
          <t>Attenu-Tec</t>
        </is>
      </c>
      <c r="D370" t="inlineStr">
        <is>
          <t>FM - DONKIN</t>
        </is>
      </c>
      <c r="E370" s="1" t="n">
        <v>1270</v>
      </c>
      <c r="F370" t="n">
        <v>3</v>
      </c>
      <c r="G370" t="n">
        <v>0</v>
      </c>
      <c r="H370" t="n">
        <v>7</v>
      </c>
      <c r="I370" t="n">
        <v>0</v>
      </c>
      <c r="J370" t="n">
        <v>0</v>
      </c>
      <c r="K370">
        <f>IF(H370-I370-J370&gt;0,H370-I370-J370,0)</f>
        <v/>
      </c>
      <c r="L370" s="1">
        <f>IFERROR(I370*E370,0)</f>
        <v/>
      </c>
      <c r="M370" s="1">
        <f>IFERROR(K370*E370,0)</f>
        <v/>
      </c>
    </row>
    <row r="371">
      <c r="A371" t="inlineStr">
        <is>
          <t>315T300</t>
        </is>
      </c>
      <c r="B371" t="inlineStr">
        <is>
          <t>315 Diam Tube Silencer 300L</t>
        </is>
      </c>
      <c r="C371" t="inlineStr">
        <is>
          <t>Attenu-Tec</t>
        </is>
      </c>
      <c r="D371" t="inlineStr">
        <is>
          <t>FM - DONKIN</t>
        </is>
      </c>
      <c r="E371" s="1" t="n">
        <v>414</v>
      </c>
      <c r="F371" t="n">
        <v>5</v>
      </c>
      <c r="G371" t="n">
        <v>0</v>
      </c>
      <c r="H371" t="n">
        <v>25</v>
      </c>
      <c r="I371" t="n">
        <v>0</v>
      </c>
      <c r="J371" t="n">
        <v>0</v>
      </c>
      <c r="K371">
        <f>IF(H371-I371-J371&gt;0,H371-I371-J371,0)</f>
        <v/>
      </c>
      <c r="L371" s="1">
        <f>IFERROR(I371*E371,0)</f>
        <v/>
      </c>
      <c r="M371" s="1">
        <f>IFERROR(K371*E371,0)</f>
        <v/>
      </c>
    </row>
    <row r="372">
      <c r="A372" t="inlineStr">
        <is>
          <t>315T600</t>
        </is>
      </c>
      <c r="B372" t="inlineStr">
        <is>
          <t>315 Diam Tube Silencer 600L</t>
        </is>
      </c>
      <c r="C372" t="inlineStr">
        <is>
          <t>Attenu-Tec</t>
        </is>
      </c>
      <c r="D372" t="inlineStr">
        <is>
          <t>FM - DONKIN</t>
        </is>
      </c>
      <c r="E372" s="1" t="n">
        <v>679</v>
      </c>
      <c r="F372" t="n">
        <v>7</v>
      </c>
      <c r="G372" t="n">
        <v>0</v>
      </c>
      <c r="H372" t="n">
        <v>30</v>
      </c>
      <c r="I372" t="n">
        <v>0</v>
      </c>
      <c r="J372" t="n">
        <v>0</v>
      </c>
      <c r="K372">
        <f>IF(H372-I372-J372&gt;0,H372-I372-J372,0)</f>
        <v/>
      </c>
      <c r="L372" s="1">
        <f>IFERROR(I372*E372,0)</f>
        <v/>
      </c>
      <c r="M372" s="1">
        <f>IFERROR(K372*E372,0)</f>
        <v/>
      </c>
    </row>
    <row r="373">
      <c r="A373" t="inlineStr">
        <is>
          <t>315T900</t>
        </is>
      </c>
      <c r="B373" t="inlineStr">
        <is>
          <t>315 Diam Tube Silencer 900L</t>
        </is>
      </c>
      <c r="C373" t="inlineStr">
        <is>
          <t>Attenu-Tec</t>
        </is>
      </c>
      <c r="D373" t="inlineStr">
        <is>
          <t>FM - DONKIN</t>
        </is>
      </c>
      <c r="E373" s="1" t="n">
        <v>793</v>
      </c>
      <c r="F373" t="n">
        <v>1</v>
      </c>
      <c r="G373" t="n">
        <v>0</v>
      </c>
      <c r="H373" t="n">
        <v>2</v>
      </c>
      <c r="I373" t="n">
        <v>0</v>
      </c>
      <c r="J373" t="n">
        <v>0</v>
      </c>
      <c r="K373">
        <f>IF(H373-I373-J373&gt;0,H373-I373-J373,0)</f>
        <v/>
      </c>
      <c r="L373" s="1">
        <f>IFERROR(I373*E373,0)</f>
        <v/>
      </c>
      <c r="M373" s="1">
        <f>IFERROR(K373*E373,0)</f>
        <v/>
      </c>
    </row>
    <row r="374">
      <c r="A374" t="inlineStr">
        <is>
          <t>32*2-RTUBE</t>
        </is>
      </c>
      <c r="B374" t="inlineStr">
        <is>
          <t>32*2 mm Round Tube Die Set (Die CLR 125mm)</t>
        </is>
      </c>
      <c r="C374" t="inlineStr">
        <is>
          <t>Strongman Metal Tools CC</t>
        </is>
      </c>
      <c r="D374" t="inlineStr">
        <is>
          <t>FM - FABRICATION</t>
        </is>
      </c>
      <c r="E374" s="1" t="n">
        <v>4799</v>
      </c>
      <c r="F374" t="n">
        <v>1</v>
      </c>
      <c r="G374" t="n">
        <v>0</v>
      </c>
      <c r="H374" t="n">
        <v>2</v>
      </c>
      <c r="I374" t="n">
        <v>0</v>
      </c>
      <c r="J374" t="n">
        <v>0</v>
      </c>
      <c r="K374">
        <f>IF(H374-I374-J374&gt;0,H374-I374-J374,0)</f>
        <v/>
      </c>
      <c r="L374" s="1">
        <f>IFERROR(I374*E374,0)</f>
        <v/>
      </c>
      <c r="M374" s="1">
        <f>IFERROR(K374*E374,0)</f>
        <v/>
      </c>
    </row>
    <row r="375">
      <c r="A375" t="inlineStr">
        <is>
          <t>323PM</t>
        </is>
      </c>
      <c r="B375" t="inlineStr">
        <is>
          <t>3kW 2P 380V Pad Mount Motor</t>
        </is>
      </c>
      <c r="C375" t="inlineStr">
        <is>
          <t>ACTOM</t>
        </is>
      </c>
      <c r="D375" t="inlineStr">
        <is>
          <t>FM - MOTOR</t>
        </is>
      </c>
      <c r="E375" s="1" t="n">
        <v>3047.61</v>
      </c>
      <c r="F375" t="n">
        <v>1</v>
      </c>
      <c r="G375" t="n">
        <v>0</v>
      </c>
      <c r="H375" t="n">
        <v>3</v>
      </c>
      <c r="I375" t="n">
        <v>0</v>
      </c>
      <c r="J375" t="n">
        <v>3</v>
      </c>
      <c r="K375">
        <f>IF(H375-I375-J375&gt;0,H375-I375-J375,0)</f>
        <v/>
      </c>
      <c r="L375" s="1">
        <f>IFERROR(I375*E375,0)</f>
        <v/>
      </c>
      <c r="M375" s="1">
        <f>IFERROR(K375*E375,0)</f>
        <v/>
      </c>
    </row>
    <row r="376">
      <c r="A376" t="inlineStr">
        <is>
          <t>343FM</t>
        </is>
      </c>
      <c r="B376" t="inlineStr">
        <is>
          <t>3kW 4P 380V Foot Mount Motor</t>
        </is>
      </c>
      <c r="C376" t="inlineStr">
        <is>
          <t>ACTOM</t>
        </is>
      </c>
      <c r="D376" t="inlineStr"/>
      <c r="E376" s="1" t="n">
        <v>3406</v>
      </c>
      <c r="F376" t="n">
        <v>6</v>
      </c>
      <c r="G376" t="n">
        <v>0</v>
      </c>
      <c r="H376" t="n">
        <v>18</v>
      </c>
      <c r="I376" t="n">
        <v>0</v>
      </c>
      <c r="J376" t="n">
        <v>0</v>
      </c>
      <c r="K376">
        <f>IF(H376-I376-J376&gt;0,H376-I376-J376,0)</f>
        <v/>
      </c>
      <c r="L376" s="1">
        <f>IFERROR(I376*E376,0)</f>
        <v/>
      </c>
      <c r="M376" s="1">
        <f>IFERROR(K376*E376,0)</f>
        <v/>
      </c>
    </row>
    <row r="377">
      <c r="A377" t="inlineStr">
        <is>
          <t>343PM</t>
        </is>
      </c>
      <c r="B377" t="inlineStr">
        <is>
          <t>3kW 4P 380V Pad Mount Motor</t>
        </is>
      </c>
      <c r="C377" t="inlineStr">
        <is>
          <t>ACTOM</t>
        </is>
      </c>
      <c r="D377" t="inlineStr">
        <is>
          <t>FM - MOTOR</t>
        </is>
      </c>
      <c r="E377" s="1" t="n">
        <v>2917.16</v>
      </c>
      <c r="F377" t="n">
        <v>2</v>
      </c>
      <c r="G377" t="n">
        <v>0</v>
      </c>
      <c r="H377" t="n">
        <v>7</v>
      </c>
      <c r="I377" t="n">
        <v>0</v>
      </c>
      <c r="J377" t="n">
        <v>6</v>
      </c>
      <c r="K377">
        <f>IF(H377-I377-J377&gt;0,H377-I377-J377,0)</f>
        <v/>
      </c>
      <c r="L377" s="1">
        <f>IFERROR(I377*E377,0)</f>
        <v/>
      </c>
      <c r="M377" s="1">
        <f>IFERROR(K377*E377,0)</f>
        <v/>
      </c>
    </row>
    <row r="378">
      <c r="A378" t="inlineStr">
        <is>
          <t>350 LV</t>
        </is>
      </c>
      <c r="B378" t="inlineStr">
        <is>
          <t>Louvre Shutter</t>
        </is>
      </c>
      <c r="C378" t="inlineStr"/>
      <c r="D378" t="inlineStr"/>
      <c r="E378" s="1" t="n">
        <v>0</v>
      </c>
      <c r="F378" t="n">
        <v>1</v>
      </c>
      <c r="G378" t="n">
        <v>0</v>
      </c>
      <c r="H378" t="n">
        <v>4</v>
      </c>
      <c r="I378" t="n">
        <v>0</v>
      </c>
      <c r="J378" t="n">
        <v>0</v>
      </c>
      <c r="K378">
        <f>IF(H378-I378-J378&gt;0,H378-I378-J378,0)</f>
        <v/>
      </c>
      <c r="L378" s="1">
        <f>IFERROR(I378*E378,0)</f>
        <v/>
      </c>
      <c r="M378" s="1">
        <f>IFERROR(K378*E378,0)</f>
        <v/>
      </c>
    </row>
    <row r="379">
      <c r="A379" t="inlineStr">
        <is>
          <t>355MF</t>
        </is>
      </c>
      <c r="B379" t="inlineStr">
        <is>
          <t>355 Diam Mounting Feet</t>
        </is>
      </c>
      <c r="C379" t="inlineStr">
        <is>
          <t>Attenu-Tec HVAC Parts</t>
        </is>
      </c>
      <c r="D379" t="inlineStr">
        <is>
          <t>M/FEET</t>
        </is>
      </c>
      <c r="E379" s="1" t="n">
        <v>90.15000000000001</v>
      </c>
      <c r="F379" t="n">
        <v>6</v>
      </c>
      <c r="G379" t="n">
        <v>0</v>
      </c>
      <c r="H379" t="n">
        <v>14</v>
      </c>
      <c r="I379" t="n">
        <v>0</v>
      </c>
      <c r="J379" t="n">
        <v>0</v>
      </c>
      <c r="K379">
        <f>IF(H379-I379-J379&gt;0,H379-I379-J379,0)</f>
        <v/>
      </c>
      <c r="L379" s="1">
        <f>IFERROR(I379*E379,0)</f>
        <v/>
      </c>
      <c r="M379" s="1">
        <f>IFERROR(K379*E379,0)</f>
        <v/>
      </c>
    </row>
    <row r="380">
      <c r="A380" t="inlineStr">
        <is>
          <t>355T600.</t>
        </is>
      </c>
      <c r="B380" t="inlineStr">
        <is>
          <t>355 Diam Tube Silencer 600L</t>
        </is>
      </c>
      <c r="C380" t="inlineStr">
        <is>
          <t>Attenu-Tec</t>
        </is>
      </c>
      <c r="D380" t="inlineStr">
        <is>
          <t>FM - DONKIN</t>
        </is>
      </c>
      <c r="E380" s="1" t="n">
        <v>731</v>
      </c>
      <c r="F380" t="n">
        <v>1</v>
      </c>
      <c r="G380" t="n">
        <v>0</v>
      </c>
      <c r="H380" t="n">
        <v>5</v>
      </c>
      <c r="I380" t="n">
        <v>0</v>
      </c>
      <c r="J380" t="n">
        <v>6</v>
      </c>
      <c r="K380">
        <f>IF(H380-I380-J380&gt;0,H380-I380-J380,0)</f>
        <v/>
      </c>
      <c r="L380" s="1">
        <f>IFERROR(I380*E380,0)</f>
        <v/>
      </c>
      <c r="M380" s="1">
        <f>IFERROR(K380*E380,0)</f>
        <v/>
      </c>
    </row>
    <row r="381">
      <c r="A381" t="inlineStr">
        <is>
          <t>363PM</t>
        </is>
      </c>
      <c r="B381" t="inlineStr">
        <is>
          <t>3kW 6P 380V Pad Mount Motor</t>
        </is>
      </c>
      <c r="C381" t="inlineStr"/>
      <c r="D381" t="inlineStr"/>
      <c r="E381" s="1" t="n">
        <v>0</v>
      </c>
      <c r="F381" t="n">
        <v>1</v>
      </c>
      <c r="G381" t="n">
        <v>0</v>
      </c>
      <c r="H381" t="n">
        <v>2</v>
      </c>
      <c r="I381" t="n">
        <v>0</v>
      </c>
      <c r="J381" t="n">
        <v>0</v>
      </c>
      <c r="K381">
        <f>IF(H381-I381-J381&gt;0,H381-I381-J381,0)</f>
        <v/>
      </c>
      <c r="L381" s="1">
        <f>IFERROR(I381*E381,0)</f>
        <v/>
      </c>
      <c r="M381" s="1">
        <f>IFERROR(K381*E381,0)</f>
        <v/>
      </c>
    </row>
    <row r="382">
      <c r="A382" t="inlineStr">
        <is>
          <t>380W, 230V, 800m3/hr, 75lt</t>
        </is>
      </c>
      <c r="B382" t="inlineStr">
        <is>
          <t>Evaporative Air Cooler: 3 Speed</t>
        </is>
      </c>
      <c r="C382" t="inlineStr"/>
      <c r="D382" t="inlineStr"/>
      <c r="E382" s="1" t="n">
        <v>0</v>
      </c>
      <c r="F382" t="n">
        <v>2</v>
      </c>
      <c r="G382" t="n">
        <v>0</v>
      </c>
      <c r="H382" t="n">
        <v>10</v>
      </c>
      <c r="I382" t="n">
        <v>0</v>
      </c>
      <c r="J382" t="n">
        <v>0</v>
      </c>
      <c r="K382">
        <f>IF(H382-I382-J382&gt;0,H382-I382-J382,0)</f>
        <v/>
      </c>
      <c r="L382" s="1">
        <f>IFERROR(I382*E382,0)</f>
        <v/>
      </c>
      <c r="M382" s="1">
        <f>IFERROR(K382*E382,0)</f>
        <v/>
      </c>
    </row>
    <row r="383">
      <c r="A383" t="inlineStr">
        <is>
          <t>3kW VSD</t>
        </is>
      </c>
      <c r="B383" t="inlineStr">
        <is>
          <t>3kW Variable Speed Controller</t>
        </is>
      </c>
      <c r="C383" t="inlineStr">
        <is>
          <t>AM SYSTEMS INTEGRATIONS (PTY) LTD</t>
        </is>
      </c>
      <c r="D383" t="inlineStr">
        <is>
          <t>VSD</t>
        </is>
      </c>
      <c r="E383" s="1" t="n">
        <v>6674.85</v>
      </c>
      <c r="F383" t="n">
        <v>4</v>
      </c>
      <c r="G383" t="n">
        <v>0</v>
      </c>
      <c r="H383" t="n">
        <v>14</v>
      </c>
      <c r="I383" t="n">
        <v>0</v>
      </c>
      <c r="J383" t="n">
        <v>3</v>
      </c>
      <c r="K383">
        <f>IF(H383-I383-J383&gt;0,H383-I383-J383,0)</f>
        <v/>
      </c>
      <c r="L383" s="1">
        <f>IFERROR(I383*E383,0)</f>
        <v/>
      </c>
      <c r="M383" s="1">
        <f>IFERROR(K383*E383,0)</f>
        <v/>
      </c>
    </row>
    <row r="384">
      <c r="A384" t="inlineStr">
        <is>
          <t>3mm gal plt</t>
        </is>
      </c>
      <c r="B384" t="inlineStr">
        <is>
          <t>Program 1 - program 1</t>
        </is>
      </c>
      <c r="C384" t="inlineStr">
        <is>
          <t>Kart Shop TA Ultimate Laser Cutting</t>
        </is>
      </c>
      <c r="D384" t="inlineStr"/>
      <c r="E384" s="1" t="n">
        <v>0</v>
      </c>
      <c r="F384" t="n">
        <v>2</v>
      </c>
      <c r="G384" t="n">
        <v>0</v>
      </c>
      <c r="H384" t="n">
        <v>10</v>
      </c>
      <c r="I384" t="n">
        <v>0</v>
      </c>
      <c r="J384" t="n">
        <v>0</v>
      </c>
      <c r="K384">
        <f>IF(H384-I384-J384&gt;0,H384-I384-J384,0)</f>
        <v/>
      </c>
      <c r="L384" s="1">
        <f>IFERROR(I384*E384,0)</f>
        <v/>
      </c>
      <c r="M384" s="1">
        <f>IFERROR(K384*E384,0)</f>
        <v/>
      </c>
    </row>
    <row r="385">
      <c r="A385" t="inlineStr">
        <is>
          <t>3mm galv plt</t>
        </is>
      </c>
      <c r="B385" t="inlineStr">
        <is>
          <t>Bracket - Bracket</t>
        </is>
      </c>
      <c r="C385" t="inlineStr">
        <is>
          <t>Kart Shop TA Ultimate Laser Cutting</t>
        </is>
      </c>
      <c r="D385" t="inlineStr"/>
      <c r="E385" s="1" t="n">
        <v>0</v>
      </c>
      <c r="F385" t="n">
        <v>1</v>
      </c>
      <c r="G385" t="n">
        <v>0</v>
      </c>
      <c r="H385" t="n">
        <v>5</v>
      </c>
      <c r="I385" t="n">
        <v>0</v>
      </c>
      <c r="J385" t="n">
        <v>0</v>
      </c>
      <c r="K385">
        <f>IF(H385-I385-J385&gt;0,H385-I385-J385,0)</f>
        <v/>
      </c>
      <c r="L385" s="1">
        <f>IFERROR(I385*E385,0)</f>
        <v/>
      </c>
      <c r="M385" s="1">
        <f>IFERROR(K385*E385,0)</f>
        <v/>
      </c>
    </row>
    <row r="386">
      <c r="A386" t="inlineStr">
        <is>
          <t>3mm plt</t>
        </is>
      </c>
      <c r="B386" t="inlineStr">
        <is>
          <t>program 2 - Program 2</t>
        </is>
      </c>
      <c r="C386" t="inlineStr">
        <is>
          <t>Kart Shop TA Ultimate Laser Cutting</t>
        </is>
      </c>
      <c r="D386" t="inlineStr"/>
      <c r="E386" s="1" t="n">
        <v>0</v>
      </c>
      <c r="F386" t="n">
        <v>2</v>
      </c>
      <c r="G386" t="n">
        <v>0</v>
      </c>
      <c r="H386" t="n">
        <v>10</v>
      </c>
      <c r="I386" t="n">
        <v>0</v>
      </c>
      <c r="J386" t="n">
        <v>0</v>
      </c>
      <c r="K386">
        <f>IF(H386-I386-J386&gt;0,H386-I386-J386,0)</f>
        <v/>
      </c>
      <c r="L386" s="1">
        <f>IFERROR(I386*E386,0)</f>
        <v/>
      </c>
      <c r="M386" s="1">
        <f>IFERROR(K386*E386,0)</f>
        <v/>
      </c>
    </row>
    <row r="387">
      <c r="A387" t="inlineStr">
        <is>
          <t>4 kW 2P 112M</t>
        </is>
      </c>
      <c r="B387" t="inlineStr">
        <is>
          <t>3Ph 380-400-415 Standard Efficiency IC418 - TEAO - B30L(D)</t>
        </is>
      </c>
      <c r="C387" t="inlineStr">
        <is>
          <t>WEG South Africa</t>
        </is>
      </c>
      <c r="D387" t="inlineStr"/>
      <c r="E387" s="1" t="n">
        <v>4071</v>
      </c>
      <c r="F387" t="n">
        <v>2</v>
      </c>
      <c r="G387" t="n">
        <v>0</v>
      </c>
      <c r="H387" t="n">
        <v>4</v>
      </c>
      <c r="I387" t="n">
        <v>0</v>
      </c>
      <c r="J387" t="n">
        <v>0</v>
      </c>
      <c r="K387">
        <f>IF(H387-I387-J387&gt;0,H387-I387-J387,0)</f>
        <v/>
      </c>
      <c r="L387" s="1">
        <f>IFERROR(I387*E387,0)</f>
        <v/>
      </c>
      <c r="M387" s="1">
        <f>IFERROR(K387*E387,0)</f>
        <v/>
      </c>
    </row>
    <row r="388">
      <c r="A388" t="inlineStr">
        <is>
          <t>400053</t>
        </is>
      </c>
      <c r="B388" t="inlineStr">
        <is>
          <t>25A TIP HOLDER M6</t>
        </is>
      </c>
      <c r="C388" t="inlineStr">
        <is>
          <t>INTROWELD CC</t>
        </is>
      </c>
      <c r="D388" t="inlineStr"/>
      <c r="E388" s="1" t="n">
        <v>15</v>
      </c>
      <c r="F388" t="n">
        <v>10</v>
      </c>
      <c r="G388" t="n">
        <v>0</v>
      </c>
      <c r="H388" t="n">
        <v>50</v>
      </c>
      <c r="I388" t="n">
        <v>0</v>
      </c>
      <c r="J388" t="n">
        <v>0</v>
      </c>
      <c r="K388">
        <f>IF(H388-I388-J388&gt;0,H388-I388-J388,0)</f>
        <v/>
      </c>
      <c r="L388" s="1">
        <f>IFERROR(I388*E388,0)</f>
        <v/>
      </c>
      <c r="M388" s="1">
        <f>IFERROR(K388*E388,0)</f>
        <v/>
      </c>
    </row>
    <row r="389">
      <c r="A389" t="inlineStr">
        <is>
          <t>400080</t>
        </is>
      </c>
      <c r="B389" t="inlineStr">
        <is>
          <t>TB 250 SHROUD</t>
        </is>
      </c>
      <c r="C389" t="inlineStr">
        <is>
          <t>INTROWELD CC</t>
        </is>
      </c>
      <c r="D389" t="inlineStr"/>
      <c r="E389" s="1" t="n">
        <v>29.65</v>
      </c>
      <c r="F389" t="n">
        <v>10</v>
      </c>
      <c r="G389" t="n">
        <v>0</v>
      </c>
      <c r="H389" t="n">
        <v>50</v>
      </c>
      <c r="I389" t="n">
        <v>0</v>
      </c>
      <c r="J389" t="n">
        <v>0</v>
      </c>
      <c r="K389">
        <f>IF(H389-I389-J389&gt;0,H389-I389-J389,0)</f>
        <v/>
      </c>
      <c r="L389" s="1">
        <f>IFERROR(I389*E389,0)</f>
        <v/>
      </c>
      <c r="M389" s="1">
        <f>IFERROR(K389*E389,0)</f>
        <v/>
      </c>
    </row>
    <row r="390">
      <c r="A390" t="inlineStr">
        <is>
          <t>400184</t>
        </is>
      </c>
      <c r="B390" t="inlineStr">
        <is>
          <t>LINER 1.00MM AND 1.2MM 4 METRE</t>
        </is>
      </c>
      <c r="C390" t="inlineStr">
        <is>
          <t>INTROWELD CC</t>
        </is>
      </c>
      <c r="D390" t="inlineStr"/>
      <c r="E390" s="1" t="n">
        <v>95</v>
      </c>
      <c r="F390" t="n">
        <v>2</v>
      </c>
      <c r="G390" t="n">
        <v>0</v>
      </c>
      <c r="H390" t="n">
        <v>10</v>
      </c>
      <c r="I390" t="n">
        <v>0</v>
      </c>
      <c r="J390" t="n">
        <v>0</v>
      </c>
      <c r="K390">
        <f>IF(H390-I390-J390&gt;0,H390-I390-J390,0)</f>
        <v/>
      </c>
      <c r="L390" s="1">
        <f>IFERROR(I390*E390,0)</f>
        <v/>
      </c>
      <c r="M390" s="1">
        <f>IFERROR(K390*E390,0)</f>
        <v/>
      </c>
    </row>
    <row r="391">
      <c r="A391" t="inlineStr">
        <is>
          <t>400238</t>
        </is>
      </c>
      <c r="B391" t="inlineStr">
        <is>
          <t>CONTACT TIP BNZ STYLE M6 1.0MM</t>
        </is>
      </c>
      <c r="C391" t="inlineStr">
        <is>
          <t>INTROWELD CC</t>
        </is>
      </c>
      <c r="D391" t="inlineStr"/>
      <c r="E391" s="1" t="n">
        <v>13.67</v>
      </c>
      <c r="F391" t="n">
        <v>10</v>
      </c>
      <c r="G391" t="n">
        <v>0</v>
      </c>
      <c r="H391" t="n">
        <v>50</v>
      </c>
      <c r="I391" t="n">
        <v>0</v>
      </c>
      <c r="J391" t="n">
        <v>0</v>
      </c>
      <c r="K391">
        <f>IF(H391-I391-J391&gt;0,H391-I391-J391,0)</f>
        <v/>
      </c>
      <c r="L391" s="1">
        <f>IFERROR(I391*E391,0)</f>
        <v/>
      </c>
      <c r="M391" s="1">
        <f>IFERROR(K391*E391,0)</f>
        <v/>
      </c>
    </row>
    <row r="392">
      <c r="A392" t="inlineStr">
        <is>
          <t>400C400</t>
        </is>
      </c>
      <c r="B392" t="inlineStr">
        <is>
          <t>400 Casing x 400mm Long - DO NOT DRILL MOTOR AND BRACKET HOLES</t>
        </is>
      </c>
      <c r="C392" t="inlineStr">
        <is>
          <t>CFW Fans (Pty) Ltd</t>
        </is>
      </c>
      <c r="D392" t="inlineStr">
        <is>
          <t>FM - CFW FANS</t>
        </is>
      </c>
      <c r="E392" s="1" t="n">
        <v>1195</v>
      </c>
      <c r="F392" t="n">
        <v>2</v>
      </c>
      <c r="G392" t="n">
        <v>0</v>
      </c>
      <c r="H392" t="n">
        <v>8</v>
      </c>
      <c r="I392" t="n">
        <v>0</v>
      </c>
      <c r="J392" t="n">
        <v>0</v>
      </c>
      <c r="K392">
        <f>IF(H392-I392-J392&gt;0,H392-I392-J392,0)</f>
        <v/>
      </c>
      <c r="L392" s="1">
        <f>IFERROR(I392*E392,0)</f>
        <v/>
      </c>
      <c r="M392" s="1">
        <f>IFERROR(K392*E392,0)</f>
        <v/>
      </c>
    </row>
    <row r="393">
      <c r="A393" t="inlineStr">
        <is>
          <t>400CF</t>
        </is>
      </c>
      <c r="B393" t="inlineStr">
        <is>
          <t>400 Diam Counter Flange</t>
        </is>
      </c>
      <c r="C393" t="inlineStr">
        <is>
          <t>Attenu-Tec HVAC Parts</t>
        </is>
      </c>
      <c r="D393" t="inlineStr">
        <is>
          <t>FM - C/FLANGE</t>
        </is>
      </c>
      <c r="E393" s="1" t="n">
        <v>85</v>
      </c>
      <c r="F393" t="n">
        <v>5</v>
      </c>
      <c r="G393" t="n">
        <v>0</v>
      </c>
      <c r="H393" t="n">
        <v>24</v>
      </c>
      <c r="I393" t="n">
        <v>0</v>
      </c>
      <c r="J393" t="n">
        <v>0</v>
      </c>
      <c r="K393">
        <f>IF(H393-I393-J393&gt;0,H393-I393-J393,0)</f>
        <v/>
      </c>
      <c r="L393" s="1">
        <f>IFERROR(I393*E393,0)</f>
        <v/>
      </c>
      <c r="M393" s="1">
        <f>IFERROR(K393*E393,0)</f>
        <v/>
      </c>
    </row>
    <row r="394">
      <c r="A394" t="inlineStr">
        <is>
          <t>400FC</t>
        </is>
      </c>
      <c r="B394" t="inlineStr">
        <is>
          <t>400 Diam Flexible Connection</t>
        </is>
      </c>
      <c r="C394" t="inlineStr">
        <is>
          <t>Attenu-Tec HVAC Parts</t>
        </is>
      </c>
      <c r="D394" t="inlineStr">
        <is>
          <t>FM - DONKIN</t>
        </is>
      </c>
      <c r="E394" s="1" t="n">
        <v>325.84</v>
      </c>
      <c r="F394" t="n">
        <v>1</v>
      </c>
      <c r="G394" t="n">
        <v>0</v>
      </c>
      <c r="H394" t="n">
        <v>3</v>
      </c>
      <c r="I394" t="n">
        <v>0</v>
      </c>
      <c r="J394" t="n">
        <v>0</v>
      </c>
      <c r="K394">
        <f>IF(H394-I394-J394&gt;0,H394-I394-J394,0)</f>
        <v/>
      </c>
      <c r="L394" s="1">
        <f>IFERROR(I394*E394,0)</f>
        <v/>
      </c>
      <c r="M394" s="1">
        <f>IFERROR(K394*E394,0)</f>
        <v/>
      </c>
    </row>
    <row r="395">
      <c r="A395" t="inlineStr">
        <is>
          <t>400HVJ-2S</t>
        </is>
      </c>
      <c r="B395" t="inlineStr">
        <is>
          <t>400 Diam Vertical Discharge Unit</t>
        </is>
      </c>
      <c r="C395" t="inlineStr">
        <is>
          <t>Attenu-Tec HVAC Parts</t>
        </is>
      </c>
      <c r="D395" t="inlineStr">
        <is>
          <t>FM - DONKIN</t>
        </is>
      </c>
      <c r="E395" s="1" t="n">
        <v>840</v>
      </c>
      <c r="F395" t="n">
        <v>1</v>
      </c>
      <c r="G395" t="n">
        <v>0</v>
      </c>
      <c r="H395" t="n">
        <v>3</v>
      </c>
      <c r="I395" t="n">
        <v>0</v>
      </c>
      <c r="J395" t="n">
        <v>0</v>
      </c>
      <c r="K395">
        <f>IF(H395-I395-J395&gt;0,H395-I395-J395,0)</f>
        <v/>
      </c>
      <c r="L395" s="1">
        <f>IFERROR(I395*E395,0)</f>
        <v/>
      </c>
      <c r="M395" s="1">
        <f>IFERROR(K395*E395,0)</f>
        <v/>
      </c>
    </row>
    <row r="396">
      <c r="A396" t="inlineStr">
        <is>
          <t>400MBP02</t>
        </is>
      </c>
      <c r="B396" t="inlineStr">
        <is>
          <t>1-0350-240 P02 - 400 Motor Bracket</t>
        </is>
      </c>
      <c r="C396" t="inlineStr">
        <is>
          <t>Kart Shop TA Ultimate Laser Cutting</t>
        </is>
      </c>
      <c r="D396" t="inlineStr"/>
      <c r="E396" s="1" t="n">
        <v>26.34</v>
      </c>
      <c r="F396" t="n">
        <v>8</v>
      </c>
      <c r="G396" t="n">
        <v>0</v>
      </c>
      <c r="H396" t="n">
        <v>40</v>
      </c>
      <c r="I396" t="n">
        <v>0</v>
      </c>
      <c r="J396" t="n">
        <v>0</v>
      </c>
      <c r="K396">
        <f>IF(H396-I396-J396&gt;0,H396-I396-J396,0)</f>
        <v/>
      </c>
      <c r="L396" s="1">
        <f>IFERROR(I396*E396,0)</f>
        <v/>
      </c>
      <c r="M396" s="1">
        <f>IFERROR(K396*E396,0)</f>
        <v/>
      </c>
    </row>
    <row r="397">
      <c r="A397" t="inlineStr">
        <is>
          <t>400MF</t>
        </is>
      </c>
      <c r="B397" t="inlineStr">
        <is>
          <t>400 Diam Mounting Feet</t>
        </is>
      </c>
      <c r="C397" t="inlineStr">
        <is>
          <t>Air Speration</t>
        </is>
      </c>
      <c r="D397" t="inlineStr">
        <is>
          <t>FM - M/FEET</t>
        </is>
      </c>
      <c r="E397" s="1" t="n">
        <v>36.68</v>
      </c>
      <c r="F397" t="n">
        <v>7</v>
      </c>
      <c r="G397" t="n">
        <v>0</v>
      </c>
      <c r="H397" t="n">
        <v>29</v>
      </c>
      <c r="I397" t="n">
        <v>0</v>
      </c>
      <c r="J397" t="n">
        <v>0</v>
      </c>
      <c r="K397">
        <f>IF(H397-I397-J397&gt;0,H397-I397-J397,0)</f>
        <v/>
      </c>
      <c r="L397" s="1">
        <f>IFERROR(I397*E397,0)</f>
        <v/>
      </c>
      <c r="M397" s="1">
        <f>IFERROR(K397*E397,0)</f>
        <v/>
      </c>
    </row>
    <row r="398">
      <c r="A398" t="inlineStr">
        <is>
          <t>400PLT400-2MM</t>
        </is>
      </c>
      <c r="B398" t="inlineStr">
        <is>
          <t>400 Casing Sheet - 1262 x 400 - 2mm</t>
        </is>
      </c>
      <c r="C398" t="inlineStr">
        <is>
          <t>NJR STEEL - ALRODE (PTY) LTD</t>
        </is>
      </c>
      <c r="D398" t="inlineStr">
        <is>
          <t>FM - FABRICATION</t>
        </is>
      </c>
      <c r="E398" s="1" t="n">
        <v>213</v>
      </c>
      <c r="F398" t="n">
        <v>5</v>
      </c>
      <c r="G398" t="n">
        <v>0</v>
      </c>
      <c r="H398" t="n">
        <v>25</v>
      </c>
      <c r="I398" t="n">
        <v>0</v>
      </c>
      <c r="J398" t="n">
        <v>0</v>
      </c>
      <c r="K398">
        <f>IF(H398-I398-J398&gt;0,H398-I398-J398,0)</f>
        <v/>
      </c>
      <c r="L398" s="1">
        <f>IFERROR(I398*E398,0)</f>
        <v/>
      </c>
      <c r="M398" s="1">
        <f>IFERROR(K398*E398,0)</f>
        <v/>
      </c>
    </row>
    <row r="399">
      <c r="A399" t="inlineStr">
        <is>
          <t>400S1.0D</t>
        </is>
      </c>
      <c r="B399" t="inlineStr">
        <is>
          <t>400 Diam Silencer 1.0D</t>
        </is>
      </c>
      <c r="C399" t="inlineStr"/>
      <c r="D399" t="inlineStr">
        <is>
          <t>FM - DONKIN</t>
        </is>
      </c>
      <c r="E399" s="1" t="n">
        <v>0</v>
      </c>
      <c r="F399" t="n">
        <v>1</v>
      </c>
      <c r="G399" t="n">
        <v>0</v>
      </c>
      <c r="H399" t="n">
        <v>5</v>
      </c>
      <c r="I399" t="n">
        <v>0</v>
      </c>
      <c r="J399" t="n">
        <v>0</v>
      </c>
      <c r="K399">
        <f>IF(H399-I399-J399&gt;0,H399-I399-J399,0)</f>
        <v/>
      </c>
      <c r="L399" s="1">
        <f>IFERROR(I399*E399,0)</f>
        <v/>
      </c>
      <c r="M399" s="1">
        <f>IFERROR(K399*E399,0)</f>
        <v/>
      </c>
    </row>
    <row r="400">
      <c r="A400" t="inlineStr">
        <is>
          <t>400S1.0DP</t>
        </is>
      </c>
      <c r="B400" t="inlineStr">
        <is>
          <t>400 Diam Silencer 1.0D Podded</t>
        </is>
      </c>
      <c r="C400" t="inlineStr">
        <is>
          <t>Attenu-Tec</t>
        </is>
      </c>
      <c r="D400" t="inlineStr">
        <is>
          <t>FM - DONKIN</t>
        </is>
      </c>
      <c r="E400" s="1" t="n">
        <v>1456</v>
      </c>
      <c r="F400" t="n">
        <v>1</v>
      </c>
      <c r="G400" t="n">
        <v>0</v>
      </c>
      <c r="H400" t="n">
        <v>2</v>
      </c>
      <c r="I400" t="n">
        <v>0</v>
      </c>
      <c r="J400" t="n">
        <v>0</v>
      </c>
      <c r="K400">
        <f>IF(H400-I400-J400&gt;0,H400-I400-J400,0)</f>
        <v/>
      </c>
      <c r="L400" s="1">
        <f>IFERROR(I400*E400,0)</f>
        <v/>
      </c>
      <c r="M400" s="1">
        <f>IFERROR(K400*E400,0)</f>
        <v/>
      </c>
    </row>
    <row r="401">
      <c r="A401" t="inlineStr">
        <is>
          <t>400S1.5D</t>
        </is>
      </c>
      <c r="B401" t="inlineStr">
        <is>
          <t>400 Diam Silencer 1.5D</t>
        </is>
      </c>
      <c r="C401" t="inlineStr">
        <is>
          <t>Attenu-Tec</t>
        </is>
      </c>
      <c r="D401" t="inlineStr">
        <is>
          <t>FM - DONKIN</t>
        </is>
      </c>
      <c r="E401" s="1" t="n">
        <v>1164</v>
      </c>
      <c r="F401" t="n">
        <v>1</v>
      </c>
      <c r="G401" t="n">
        <v>0</v>
      </c>
      <c r="H401" t="n">
        <v>2</v>
      </c>
      <c r="I401" t="n">
        <v>0</v>
      </c>
      <c r="J401" t="n">
        <v>0</v>
      </c>
      <c r="K401">
        <f>IF(H401-I401-J401&gt;0,H401-I401-J401,0)</f>
        <v/>
      </c>
      <c r="L401" s="1">
        <f>IFERROR(I401*E401,0)</f>
        <v/>
      </c>
      <c r="M401" s="1">
        <f>IFERROR(K401*E401,0)</f>
        <v/>
      </c>
    </row>
    <row r="402">
      <c r="A402" t="inlineStr">
        <is>
          <t>400S1.5DP</t>
        </is>
      </c>
      <c r="B402" t="inlineStr">
        <is>
          <t>400 Diam Silencer 1.5D Podded</t>
        </is>
      </c>
      <c r="C402" t="inlineStr">
        <is>
          <t>Attenu-Tec</t>
        </is>
      </c>
      <c r="D402" t="inlineStr">
        <is>
          <t>FM - DONKIN</t>
        </is>
      </c>
      <c r="E402" s="1" t="n">
        <v>1632</v>
      </c>
      <c r="F402" t="n">
        <v>2</v>
      </c>
      <c r="G402" t="n">
        <v>0</v>
      </c>
      <c r="H402" t="n">
        <v>10</v>
      </c>
      <c r="I402" t="n">
        <v>0</v>
      </c>
      <c r="J402" t="n">
        <v>6</v>
      </c>
      <c r="K402">
        <f>IF(H402-I402-J402&gt;0,H402-I402-J402,0)</f>
        <v/>
      </c>
      <c r="L402" s="1">
        <f>IFERROR(I402*E402,0)</f>
        <v/>
      </c>
      <c r="M402" s="1">
        <f>IFERROR(K402*E402,0)</f>
        <v/>
      </c>
    </row>
    <row r="403">
      <c r="A403" t="inlineStr">
        <is>
          <t>400S2.0DP</t>
        </is>
      </c>
      <c r="B403" t="inlineStr">
        <is>
          <t>400 Diam Silencer 2.0D Podded</t>
        </is>
      </c>
      <c r="C403" t="inlineStr">
        <is>
          <t>Attenu-Tec</t>
        </is>
      </c>
      <c r="D403" t="inlineStr">
        <is>
          <t>FM - DONKIN</t>
        </is>
      </c>
      <c r="E403" s="1" t="n">
        <v>2015.29</v>
      </c>
      <c r="F403" t="n">
        <v>1</v>
      </c>
      <c r="G403" t="n">
        <v>0</v>
      </c>
      <c r="H403" t="n">
        <v>5</v>
      </c>
      <c r="I403" t="n">
        <v>0</v>
      </c>
      <c r="J403" t="n">
        <v>0</v>
      </c>
      <c r="K403">
        <f>IF(H403-I403-J403&gt;0,H403-I403-J403,0)</f>
        <v/>
      </c>
      <c r="L403" s="1">
        <f>IFERROR(I403*E403,0)</f>
        <v/>
      </c>
      <c r="M403" s="1">
        <f>IFERROR(K403*E403,0)</f>
        <v/>
      </c>
    </row>
    <row r="404">
      <c r="A404" t="inlineStr">
        <is>
          <t>400SC</t>
        </is>
      </c>
      <c r="B404" t="inlineStr">
        <is>
          <t>400 Diam Side Screen</t>
        </is>
      </c>
      <c r="C404" t="inlineStr">
        <is>
          <t>Luft Industries Natal (Pty) Ltd</t>
        </is>
      </c>
      <c r="D404" t="inlineStr"/>
      <c r="E404" s="1" t="n">
        <v>291.5</v>
      </c>
      <c r="F404" t="n">
        <v>1</v>
      </c>
      <c r="G404" t="n">
        <v>0</v>
      </c>
      <c r="H404" t="n">
        <v>2</v>
      </c>
      <c r="I404" t="n">
        <v>0</v>
      </c>
      <c r="J404" t="n">
        <v>0</v>
      </c>
      <c r="K404">
        <f>IF(H404-I404-J404&gt;0,H404-I404-J404,0)</f>
        <v/>
      </c>
      <c r="L404" s="1">
        <f>IFERROR(I404*E404,0)</f>
        <v/>
      </c>
      <c r="M404" s="1">
        <f>IFERROR(K404*E404,0)</f>
        <v/>
      </c>
    </row>
    <row r="405">
      <c r="A405" t="inlineStr">
        <is>
          <t>400SM1.5DP</t>
        </is>
      </c>
      <c r="B405" t="inlineStr">
        <is>
          <t>400 Diam Melinex Silencer 1.5D Podded</t>
        </is>
      </c>
      <c r="C405" t="inlineStr">
        <is>
          <t>Attenu-Tec</t>
        </is>
      </c>
      <c r="D405" t="inlineStr">
        <is>
          <t>FM - DONKIN</t>
        </is>
      </c>
      <c r="E405" s="1" t="n">
        <v>1506.5</v>
      </c>
      <c r="F405" t="n">
        <v>1</v>
      </c>
      <c r="G405" t="n">
        <v>0</v>
      </c>
      <c r="H405" t="n">
        <v>2</v>
      </c>
      <c r="I405" t="n">
        <v>0</v>
      </c>
      <c r="J405" t="n">
        <v>0</v>
      </c>
      <c r="K405">
        <f>IF(H405-I405-J405&gt;0,H405-I405-J405,0)</f>
        <v/>
      </c>
      <c r="L405" s="1">
        <f>IFERROR(I405*E405,0)</f>
        <v/>
      </c>
      <c r="M405" s="1">
        <f>IFERROR(K405*E405,0)</f>
        <v/>
      </c>
    </row>
    <row r="406">
      <c r="A406" t="inlineStr">
        <is>
          <t>400WL</t>
        </is>
      </c>
      <c r="B406" t="inlineStr">
        <is>
          <t>Weather Louvre</t>
        </is>
      </c>
      <c r="C406" t="inlineStr"/>
      <c r="D406" t="inlineStr"/>
      <c r="E406" s="1" t="n">
        <v>0</v>
      </c>
      <c r="F406" t="n">
        <v>1</v>
      </c>
      <c r="G406" t="n">
        <v>0</v>
      </c>
      <c r="H406" t="n">
        <v>5</v>
      </c>
      <c r="I406" t="n">
        <v>0</v>
      </c>
      <c r="J406" t="n">
        <v>0</v>
      </c>
      <c r="K406">
        <f>IF(H406-I406-J406&gt;0,H406-I406-J406,0)</f>
        <v/>
      </c>
      <c r="L406" s="1">
        <f>IFERROR(I406*E406,0)</f>
        <v/>
      </c>
      <c r="M406" s="1">
        <f>IFERROR(K406*E406,0)</f>
        <v/>
      </c>
    </row>
    <row r="407">
      <c r="A407" t="inlineStr">
        <is>
          <t>40302</t>
        </is>
      </c>
      <c r="B407" t="inlineStr">
        <is>
          <t>E 304 M ATEX II 2G/D h T3/125 X Gb/Db</t>
        </is>
      </c>
      <c r="C407" t="inlineStr">
        <is>
          <t>Vortice Elettrosociali SpA</t>
        </is>
      </c>
      <c r="D407" t="inlineStr">
        <is>
          <t>FM - VORTICE</t>
        </is>
      </c>
      <c r="E407" s="1" t="n">
        <v>4791.06</v>
      </c>
      <c r="F407" t="n">
        <v>1</v>
      </c>
      <c r="G407" t="n">
        <v>0</v>
      </c>
      <c r="H407" t="n">
        <v>3</v>
      </c>
      <c r="I407" t="n">
        <v>0</v>
      </c>
      <c r="J407" t="n">
        <v>0</v>
      </c>
      <c r="K407">
        <f>IF(H407-I407-J407&gt;0,H407-I407-J407,0)</f>
        <v/>
      </c>
      <c r="L407" s="1">
        <f>IFERROR(I407*E407,0)</f>
        <v/>
      </c>
      <c r="M407" s="1">
        <f>IFERROR(K407*E407,0)</f>
        <v/>
      </c>
    </row>
    <row r="408">
      <c r="A408" t="inlineStr">
        <is>
          <t>40304</t>
        </is>
      </c>
      <c r="B408" t="inlineStr">
        <is>
          <t>E 354 M ATEX II 2G/D h T3/125 X Gb/Db</t>
        </is>
      </c>
      <c r="C408" t="inlineStr">
        <is>
          <t>Vortice Elettrosociali SpA</t>
        </is>
      </c>
      <c r="D408" t="inlineStr">
        <is>
          <t>FM - VORTICE</t>
        </is>
      </c>
      <c r="E408" s="1" t="n">
        <v>7004.13</v>
      </c>
      <c r="F408" t="n">
        <v>1</v>
      </c>
      <c r="G408" t="n">
        <v>0</v>
      </c>
      <c r="H408" t="n">
        <v>3</v>
      </c>
      <c r="I408" t="n">
        <v>0</v>
      </c>
      <c r="J408" t="n">
        <v>0</v>
      </c>
      <c r="K408">
        <f>IF(H408-I408-J408&gt;0,H408-I408-J408,0)</f>
        <v/>
      </c>
      <c r="L408" s="1">
        <f>IFERROR(I408*E408,0)</f>
        <v/>
      </c>
      <c r="M408" s="1">
        <f>IFERROR(K408*E408,0)</f>
        <v/>
      </c>
    </row>
    <row r="409">
      <c r="A409" t="inlineStr">
        <is>
          <t>40306</t>
        </is>
      </c>
      <c r="B409" t="inlineStr">
        <is>
          <t>E 404 M ATEX II 2G/D h T3/125 X Gb/Db</t>
        </is>
      </c>
      <c r="C409" t="inlineStr">
        <is>
          <t>Vortice Elettrosociali SpA</t>
        </is>
      </c>
      <c r="D409" t="inlineStr">
        <is>
          <t>FM - VORTICE</t>
        </is>
      </c>
      <c r="E409" s="1" t="n">
        <v>7909.61</v>
      </c>
      <c r="F409" t="n">
        <v>1</v>
      </c>
      <c r="G409" t="n">
        <v>0</v>
      </c>
      <c r="H409" t="n">
        <v>2</v>
      </c>
      <c r="I409" t="n">
        <v>0</v>
      </c>
      <c r="J409" t="n">
        <v>0</v>
      </c>
      <c r="K409">
        <f>IF(H409-I409-J409&gt;0,H409-I409-J409,0)</f>
        <v/>
      </c>
      <c r="L409" s="1">
        <f>IFERROR(I409*E409,0)</f>
        <v/>
      </c>
      <c r="M409" s="1">
        <f>IFERROR(K409*E409,0)</f>
        <v/>
      </c>
    </row>
    <row r="410">
      <c r="A410" t="inlineStr">
        <is>
          <t>40308</t>
        </is>
      </c>
      <c r="B410" t="inlineStr">
        <is>
          <t>E 454 M ATEX II 2G/D h T3/125 X Gb/Db</t>
        </is>
      </c>
      <c r="C410" t="inlineStr"/>
      <c r="D410" t="inlineStr">
        <is>
          <t>FM - VORTICE</t>
        </is>
      </c>
      <c r="E410" s="1" t="n">
        <v>0</v>
      </c>
      <c r="F410" t="n">
        <v>1</v>
      </c>
      <c r="G410" t="n">
        <v>0</v>
      </c>
      <c r="H410" t="n">
        <v>2</v>
      </c>
      <c r="I410" t="n">
        <v>0</v>
      </c>
      <c r="J410" t="n">
        <v>0</v>
      </c>
      <c r="K410">
        <f>IF(H410-I410-J410&gt;0,H410-I410-J410,0)</f>
        <v/>
      </c>
      <c r="L410" s="1">
        <f>IFERROR(I410*E410,0)</f>
        <v/>
      </c>
      <c r="M410" s="1">
        <f>IFERROR(K410*E410,0)</f>
        <v/>
      </c>
    </row>
    <row r="411">
      <c r="A411" t="inlineStr">
        <is>
          <t>40309</t>
        </is>
      </c>
      <c r="B411" t="inlineStr">
        <is>
          <t>E 254 T ATEX II 2G/D h T3/125 X Gb/Db</t>
        </is>
      </c>
      <c r="C411" t="inlineStr"/>
      <c r="D411" t="inlineStr">
        <is>
          <t>FM - VORTICE</t>
        </is>
      </c>
      <c r="E411" s="1" t="n">
        <v>0</v>
      </c>
      <c r="F411" t="n">
        <v>1</v>
      </c>
      <c r="G411" t="n">
        <v>0</v>
      </c>
      <c r="H411" t="n">
        <v>2</v>
      </c>
      <c r="I411" t="n">
        <v>0</v>
      </c>
      <c r="J411" t="n">
        <v>0</v>
      </c>
      <c r="K411">
        <f>IF(H411-I411-J411&gt;0,H411-I411-J411,0)</f>
        <v/>
      </c>
      <c r="L411" s="1">
        <f>IFERROR(I411*E411,0)</f>
        <v/>
      </c>
      <c r="M411" s="1">
        <f>IFERROR(K411*E411,0)</f>
        <v/>
      </c>
    </row>
    <row r="412">
      <c r="A412" t="inlineStr">
        <is>
          <t>40310</t>
        </is>
      </c>
      <c r="B412" t="inlineStr">
        <is>
          <t>E 304 T ATEX II 2G/D h T3/125 X Gb/Db</t>
        </is>
      </c>
      <c r="C412" t="inlineStr"/>
      <c r="D412" t="inlineStr">
        <is>
          <t>FM - VORTICE</t>
        </is>
      </c>
      <c r="E412" s="1" t="n">
        <v>0</v>
      </c>
      <c r="F412" t="n">
        <v>1</v>
      </c>
      <c r="G412" t="n">
        <v>0</v>
      </c>
      <c r="H412" t="n">
        <v>2</v>
      </c>
      <c r="I412" t="n">
        <v>0</v>
      </c>
      <c r="J412" t="n">
        <v>0</v>
      </c>
      <c r="K412">
        <f>IF(H412-I412-J412&gt;0,H412-I412-J412,0)</f>
        <v/>
      </c>
      <c r="L412" s="1">
        <f>IFERROR(I412*E412,0)</f>
        <v/>
      </c>
      <c r="M412" s="1">
        <f>IFERROR(K412*E412,0)</f>
        <v/>
      </c>
    </row>
    <row r="413">
      <c r="A413" t="inlineStr">
        <is>
          <t>40313</t>
        </is>
      </c>
      <c r="B413" t="inlineStr">
        <is>
          <t>E 354 T ATEX II 2G/D h T3/125 X Gb/Db</t>
        </is>
      </c>
      <c r="C413" t="inlineStr">
        <is>
          <t>Vortice Elettrosociali SpA</t>
        </is>
      </c>
      <c r="D413" t="inlineStr">
        <is>
          <t>FM - VORTICE</t>
        </is>
      </c>
      <c r="E413" s="1" t="n">
        <v>5930.81</v>
      </c>
      <c r="F413" t="n">
        <v>1</v>
      </c>
      <c r="G413" t="n">
        <v>0</v>
      </c>
      <c r="H413" t="n">
        <v>3</v>
      </c>
      <c r="I413" t="n">
        <v>0</v>
      </c>
      <c r="J413" t="n">
        <v>0</v>
      </c>
      <c r="K413">
        <f>IF(H413-I413-J413&gt;0,H413-I413-J413,0)</f>
        <v/>
      </c>
      <c r="L413" s="1">
        <f>IFERROR(I413*E413,0)</f>
        <v/>
      </c>
      <c r="M413" s="1">
        <f>IFERROR(K413*E413,0)</f>
        <v/>
      </c>
    </row>
    <row r="414">
      <c r="A414" t="inlineStr">
        <is>
          <t>40314</t>
        </is>
      </c>
      <c r="B414" t="inlineStr">
        <is>
          <t>E404 T ATEX</t>
        </is>
      </c>
      <c r="C414" t="inlineStr">
        <is>
          <t>Vortice Elettrosociali SpA</t>
        </is>
      </c>
      <c r="D414" t="inlineStr">
        <is>
          <t>FM - VORTICE</t>
        </is>
      </c>
      <c r="E414" s="1" t="n">
        <v>0</v>
      </c>
      <c r="F414" t="n">
        <v>1</v>
      </c>
      <c r="G414" t="n">
        <v>0</v>
      </c>
      <c r="H414" t="n">
        <v>3</v>
      </c>
      <c r="I414" t="n">
        <v>0</v>
      </c>
      <c r="J414" t="n">
        <v>0</v>
      </c>
      <c r="K414">
        <f>IF(H414-I414-J414&gt;0,H414-I414-J414,0)</f>
        <v/>
      </c>
      <c r="L414" s="1">
        <f>IFERROR(I414*E414,0)</f>
        <v/>
      </c>
      <c r="M414" s="1">
        <f>IFERROR(K414*E414,0)</f>
        <v/>
      </c>
    </row>
    <row r="415">
      <c r="A415" t="inlineStr">
        <is>
          <t>40315</t>
        </is>
      </c>
      <c r="B415" t="inlineStr">
        <is>
          <t>E 454 T ATEX II 2G/D h T3/125 X Gb/Db</t>
        </is>
      </c>
      <c r="C415" t="inlineStr"/>
      <c r="D415" t="inlineStr">
        <is>
          <t>FM - VORTICE</t>
        </is>
      </c>
      <c r="E415" s="1" t="n">
        <v>0</v>
      </c>
      <c r="F415" t="n">
        <v>1</v>
      </c>
      <c r="G415" t="n">
        <v>0</v>
      </c>
      <c r="H415" t="n">
        <v>2</v>
      </c>
      <c r="I415" t="n">
        <v>0</v>
      </c>
      <c r="J415" t="n">
        <v>0</v>
      </c>
      <c r="K415">
        <f>IF(H415-I415-J415&gt;0,H415-I415-J415,0)</f>
        <v/>
      </c>
      <c r="L415" s="1">
        <f>IFERROR(I415*E415,0)</f>
        <v/>
      </c>
      <c r="M415" s="1">
        <f>IFERROR(K415*E415,0)</f>
        <v/>
      </c>
    </row>
    <row r="416">
      <c r="A416" t="inlineStr">
        <is>
          <t>40322</t>
        </is>
      </c>
      <c r="B416" t="inlineStr">
        <is>
          <t>E 354 M ATEX II 2G/D h T3/125 X Gb/Db</t>
        </is>
      </c>
      <c r="C416" t="inlineStr">
        <is>
          <t>Vortice Elettrosociali SpA</t>
        </is>
      </c>
      <c r="D416" t="inlineStr"/>
      <c r="E416" s="1" t="n">
        <v>7245.65</v>
      </c>
      <c r="F416" t="n">
        <v>1</v>
      </c>
      <c r="G416" t="n">
        <v>0</v>
      </c>
      <c r="H416" t="n">
        <v>3</v>
      </c>
      <c r="I416" t="n">
        <v>0</v>
      </c>
      <c r="J416" t="n">
        <v>0</v>
      </c>
      <c r="K416">
        <f>IF(H416-I416-J416&gt;0,H416-I416-J416,0)</f>
        <v/>
      </c>
      <c r="L416" s="1">
        <f>IFERROR(I416*E416,0)</f>
        <v/>
      </c>
      <c r="M416" s="1">
        <f>IFERROR(K416*E416,0)</f>
        <v/>
      </c>
    </row>
    <row r="417">
      <c r="A417" t="inlineStr">
        <is>
          <t>40324</t>
        </is>
      </c>
      <c r="B417" t="inlineStr">
        <is>
          <t>E 454 M ATEX II 2G/D h T3/125 X Gb/Db</t>
        </is>
      </c>
      <c r="C417" t="inlineStr">
        <is>
          <t>Vortice Elettrosociali SpA</t>
        </is>
      </c>
      <c r="D417" t="inlineStr"/>
      <c r="E417" s="1" t="n">
        <v>7797.41</v>
      </c>
      <c r="F417" t="n">
        <v>1</v>
      </c>
      <c r="G417" t="n">
        <v>0</v>
      </c>
      <c r="H417" t="n">
        <v>3</v>
      </c>
      <c r="I417" t="n">
        <v>0</v>
      </c>
      <c r="J417" t="n">
        <v>0</v>
      </c>
      <c r="K417">
        <f>IF(H417-I417-J417&gt;0,H417-I417-J417,0)</f>
        <v/>
      </c>
      <c r="L417" s="1">
        <f>IFERROR(I417*E417,0)</f>
        <v/>
      </c>
      <c r="M417" s="1">
        <f>IFERROR(K417*E417,0)</f>
        <v/>
      </c>
    </row>
    <row r="418">
      <c r="A418" t="inlineStr">
        <is>
          <t>40329</t>
        </is>
      </c>
      <c r="B418" t="inlineStr">
        <is>
          <t>E 454 T ATEX II 2G/D h T3/125 X Gb/Db</t>
        </is>
      </c>
      <c r="C418" t="inlineStr">
        <is>
          <t>Vortice Elettrosociali SpA</t>
        </is>
      </c>
      <c r="D418" t="inlineStr"/>
      <c r="E418" s="1" t="n">
        <v>7098.6</v>
      </c>
      <c r="F418" t="n">
        <v>3</v>
      </c>
      <c r="G418" t="n">
        <v>0</v>
      </c>
      <c r="H418" t="n">
        <v>7</v>
      </c>
      <c r="I418" t="n">
        <v>0</v>
      </c>
      <c r="J418" t="n">
        <v>0</v>
      </c>
      <c r="K418">
        <f>IF(H418-I418-J418&gt;0,H418-I418-J418,0)</f>
        <v/>
      </c>
      <c r="L418" s="1">
        <f>IFERROR(I418*E418,0)</f>
        <v/>
      </c>
      <c r="M418" s="1">
        <f>IFERROR(K418*E418,0)</f>
        <v/>
      </c>
    </row>
    <row r="419">
      <c r="A419" t="inlineStr">
        <is>
          <t>42116</t>
        </is>
      </c>
      <c r="B419" t="inlineStr">
        <is>
          <t>BD 12/12 T6 1.1KW 251520160</t>
        </is>
      </c>
      <c r="C419" t="inlineStr">
        <is>
          <t>Vortice Elettrosociali SpA</t>
        </is>
      </c>
      <c r="D419" t="inlineStr"/>
      <c r="E419" s="1" t="n">
        <v>4363.48</v>
      </c>
      <c r="F419" t="n">
        <v>1</v>
      </c>
      <c r="G419" t="n">
        <v>0</v>
      </c>
      <c r="H419" t="n">
        <v>3</v>
      </c>
      <c r="I419" t="n">
        <v>0</v>
      </c>
      <c r="J419" t="n">
        <v>0</v>
      </c>
      <c r="K419">
        <f>IF(H419-I419-J419&gt;0,H419-I419-J419,0)</f>
        <v/>
      </c>
      <c r="L419" s="1">
        <f>IFERROR(I419*E419,0)</f>
        <v/>
      </c>
      <c r="M419" s="1">
        <f>IFERROR(K419*E419,0)</f>
        <v/>
      </c>
    </row>
    <row r="420">
      <c r="A420" t="inlineStr">
        <is>
          <t>42227</t>
        </is>
      </c>
      <c r="B420" t="inlineStr">
        <is>
          <t>A-E 304 T</t>
        </is>
      </c>
      <c r="C420" t="inlineStr">
        <is>
          <t>Vortice Elettrosociali SpA</t>
        </is>
      </c>
      <c r="D420" t="inlineStr">
        <is>
          <t>FM - VORTICE</t>
        </is>
      </c>
      <c r="E420" s="1" t="n">
        <v>2758.05</v>
      </c>
      <c r="F420" t="n">
        <v>1</v>
      </c>
      <c r="G420" t="n">
        <v>0</v>
      </c>
      <c r="H420" t="n">
        <v>3</v>
      </c>
      <c r="I420" t="n">
        <v>0</v>
      </c>
      <c r="J420" t="n">
        <v>0</v>
      </c>
      <c r="K420">
        <f>IF(H420-I420-J420&gt;0,H420-I420-J420,0)</f>
        <v/>
      </c>
      <c r="L420" s="1">
        <f>IFERROR(I420*E420,0)</f>
        <v/>
      </c>
      <c r="M420" s="1">
        <f>IFERROR(K420*E420,0)</f>
        <v/>
      </c>
    </row>
    <row r="421">
      <c r="A421" t="inlineStr">
        <is>
          <t>42259</t>
        </is>
      </c>
      <c r="B421" t="inlineStr">
        <is>
          <t>A-E 354 T</t>
        </is>
      </c>
      <c r="C421" t="inlineStr">
        <is>
          <t>Vortice Elettrosociali SpA</t>
        </is>
      </c>
      <c r="D421" t="inlineStr">
        <is>
          <t>FM - VORTICE</t>
        </is>
      </c>
      <c r="E421" s="1" t="n">
        <v>3107.62</v>
      </c>
      <c r="F421" t="n">
        <v>1</v>
      </c>
      <c r="G421" t="n">
        <v>0</v>
      </c>
      <c r="H421" t="n">
        <v>3</v>
      </c>
      <c r="I421" t="n">
        <v>0</v>
      </c>
      <c r="J421" t="n">
        <v>0</v>
      </c>
      <c r="K421">
        <f>IF(H421-I421-J421&gt;0,H421-I421-J421,0)</f>
        <v/>
      </c>
      <c r="L421" s="1">
        <f>IFERROR(I421*E421,0)</f>
        <v/>
      </c>
      <c r="M421" s="1">
        <f>IFERROR(K421*E421,0)</f>
        <v/>
      </c>
    </row>
    <row r="422">
      <c r="A422" t="inlineStr">
        <is>
          <t>423PM</t>
        </is>
      </c>
      <c r="B422" t="inlineStr">
        <is>
          <t>4kW 2P 380V Pad Mount Motor</t>
        </is>
      </c>
      <c r="C422" t="inlineStr">
        <is>
          <t>ACTOM</t>
        </is>
      </c>
      <c r="D422" t="inlineStr">
        <is>
          <t>FM - MOTOR</t>
        </is>
      </c>
      <c r="E422" s="1" t="n">
        <v>3644.75</v>
      </c>
      <c r="F422" t="n">
        <v>1</v>
      </c>
      <c r="G422" t="n">
        <v>0</v>
      </c>
      <c r="H422" t="n">
        <v>5</v>
      </c>
      <c r="I422" t="n">
        <v>0</v>
      </c>
      <c r="J422" t="n">
        <v>12</v>
      </c>
      <c r="K422">
        <f>IF(H422-I422-J422&gt;0,H422-I422-J422,0)</f>
        <v/>
      </c>
      <c r="L422" s="1">
        <f>IFERROR(I422*E422,0)</f>
        <v/>
      </c>
      <c r="M422" s="1">
        <f>IFERROR(K422*E422,0)</f>
        <v/>
      </c>
    </row>
    <row r="423">
      <c r="A423" t="inlineStr">
        <is>
          <t>44.13.0010</t>
        </is>
      </c>
      <c r="B423" t="inlineStr">
        <is>
          <t>Round Terminal Block</t>
        </is>
      </c>
      <c r="C423" t="inlineStr">
        <is>
          <t>ACTOM</t>
        </is>
      </c>
      <c r="D423" t="inlineStr"/>
      <c r="E423" s="1" t="n">
        <v>39</v>
      </c>
      <c r="F423" t="n">
        <v>40</v>
      </c>
      <c r="G423" t="n">
        <v>0</v>
      </c>
      <c r="H423" t="n">
        <v>140</v>
      </c>
      <c r="I423" t="n">
        <v>0</v>
      </c>
      <c r="J423" t="n">
        <v>0</v>
      </c>
      <c r="K423">
        <f>IF(H423-I423-J423&gt;0,H423-I423-J423,0)</f>
        <v/>
      </c>
      <c r="L423" s="1">
        <f>IFERROR(I423*E423,0)</f>
        <v/>
      </c>
      <c r="M423" s="1">
        <f>IFERROR(K423*E423,0)</f>
        <v/>
      </c>
    </row>
    <row r="424">
      <c r="A424" t="inlineStr">
        <is>
          <t>443FM</t>
        </is>
      </c>
      <c r="B424" t="inlineStr">
        <is>
          <t>4KW 4 D112 ALU Foot 400V IE1 SN:</t>
        </is>
      </c>
      <c r="C424" t="inlineStr">
        <is>
          <t>Electromote (Pty) Ltd</t>
        </is>
      </c>
      <c r="D424" t="inlineStr"/>
      <c r="E424" s="1" t="n">
        <v>3845.58</v>
      </c>
      <c r="F424" t="n">
        <v>1</v>
      </c>
      <c r="G424" t="n">
        <v>0</v>
      </c>
      <c r="H424" t="n">
        <v>2</v>
      </c>
      <c r="I424" t="n">
        <v>0</v>
      </c>
      <c r="J424" t="n">
        <v>0</v>
      </c>
      <c r="K424">
        <f>IF(H424-I424-J424&gt;0,H424-I424-J424,0)</f>
        <v/>
      </c>
      <c r="L424" s="1">
        <f>IFERROR(I424*E424,0)</f>
        <v/>
      </c>
      <c r="M424" s="1">
        <f>IFERROR(K424*E424,0)</f>
        <v/>
      </c>
    </row>
    <row r="425">
      <c r="A425" t="inlineStr">
        <is>
          <t>443PM</t>
        </is>
      </c>
      <c r="B425" t="inlineStr">
        <is>
          <t>4kW 4P 380V Pad Mount Motor</t>
        </is>
      </c>
      <c r="C425" t="inlineStr">
        <is>
          <t>ACTOM</t>
        </is>
      </c>
      <c r="D425" t="inlineStr">
        <is>
          <t>FM - MOTOR</t>
        </is>
      </c>
      <c r="E425" s="1" t="n">
        <v>4017.1</v>
      </c>
      <c r="F425" t="n">
        <v>3</v>
      </c>
      <c r="G425" t="n">
        <v>0</v>
      </c>
      <c r="H425" t="n">
        <v>9</v>
      </c>
      <c r="I425" t="n">
        <v>0</v>
      </c>
      <c r="J425" t="n">
        <v>8</v>
      </c>
      <c r="K425">
        <f>IF(H425-I425-J425&gt;0,H425-I425-J425,0)</f>
        <v/>
      </c>
      <c r="L425" s="1">
        <f>IFERROR(I425*E425,0)</f>
        <v/>
      </c>
      <c r="M425" s="1">
        <f>IFERROR(K425*E425,0)</f>
        <v/>
      </c>
    </row>
    <row r="426">
      <c r="A426" t="inlineStr">
        <is>
          <t>450CF</t>
        </is>
      </c>
      <c r="B426" t="inlineStr">
        <is>
          <t>450 Diam Counter Flange</t>
        </is>
      </c>
      <c r="C426" t="inlineStr"/>
      <c r="D426" t="inlineStr">
        <is>
          <t>C/FLANGE</t>
        </is>
      </c>
      <c r="E426" s="1" t="n">
        <v>0</v>
      </c>
      <c r="F426" t="n">
        <v>1</v>
      </c>
      <c r="G426" t="n">
        <v>0</v>
      </c>
      <c r="H426" t="n">
        <v>5</v>
      </c>
      <c r="I426" t="n">
        <v>0</v>
      </c>
      <c r="J426" t="n">
        <v>0</v>
      </c>
      <c r="K426">
        <f>IF(H426-I426-J426&gt;0,H426-I426-J426,0)</f>
        <v/>
      </c>
      <c r="L426" s="1">
        <f>IFERROR(I426*E426,0)</f>
        <v/>
      </c>
      <c r="M426" s="1">
        <f>IFERROR(K426*E426,0)</f>
        <v/>
      </c>
    </row>
    <row r="427">
      <c r="A427" t="inlineStr">
        <is>
          <t>450MF</t>
        </is>
      </c>
      <c r="B427" t="inlineStr">
        <is>
          <t>450 Diam Mounting Feet</t>
        </is>
      </c>
      <c r="C427" t="inlineStr"/>
      <c r="D427" t="inlineStr">
        <is>
          <t>M/FEET</t>
        </is>
      </c>
      <c r="E427" s="1" t="n">
        <v>0</v>
      </c>
      <c r="F427" t="n">
        <v>2</v>
      </c>
      <c r="G427" t="n">
        <v>0</v>
      </c>
      <c r="H427" t="n">
        <v>10</v>
      </c>
      <c r="I427" t="n">
        <v>0</v>
      </c>
      <c r="J427" t="n">
        <v>0</v>
      </c>
      <c r="K427">
        <f>IF(H427-I427-J427&gt;0,H427-I427-J427,0)</f>
        <v/>
      </c>
      <c r="L427" s="1">
        <f>IFERROR(I427*E427,0)</f>
        <v/>
      </c>
      <c r="M427" s="1">
        <f>IFERROR(K427*E427,0)</f>
        <v/>
      </c>
    </row>
    <row r="428">
      <c r="A428" t="inlineStr">
        <is>
          <t>46000</t>
        </is>
      </c>
      <c r="B428" t="inlineStr">
        <is>
          <t>PRA GLAND FLP Exde BRASS CPR N0S M20</t>
        </is>
      </c>
      <c r="C428" t="inlineStr">
        <is>
          <t>Pratley (Pty) Ltd</t>
        </is>
      </c>
      <c r="D428" t="inlineStr"/>
      <c r="E428" s="1" t="n">
        <v>196.3</v>
      </c>
      <c r="F428" t="n">
        <v>1</v>
      </c>
      <c r="G428" t="n">
        <v>0</v>
      </c>
      <c r="H428" t="n">
        <v>2</v>
      </c>
      <c r="I428" t="n">
        <v>0</v>
      </c>
      <c r="J428" t="n">
        <v>0</v>
      </c>
      <c r="K428">
        <f>IF(H428-I428-J428&gt;0,H428-I428-J428,0)</f>
        <v/>
      </c>
      <c r="L428" s="1">
        <f>IFERROR(I428*E428,0)</f>
        <v/>
      </c>
      <c r="M428" s="1">
        <f>IFERROR(K428*E428,0)</f>
        <v/>
      </c>
    </row>
    <row r="429">
      <c r="A429" t="inlineStr">
        <is>
          <t>460CF</t>
        </is>
      </c>
      <c r="B429" t="inlineStr">
        <is>
          <t>460 Diam Counter Flanges</t>
        </is>
      </c>
      <c r="C429" t="inlineStr">
        <is>
          <t>GALVAGLOW (PTY) LTD</t>
        </is>
      </c>
      <c r="D429" t="inlineStr">
        <is>
          <t>C/FLANGE</t>
        </is>
      </c>
      <c r="E429" s="1" t="n">
        <v>0</v>
      </c>
      <c r="F429" t="n">
        <v>1</v>
      </c>
      <c r="G429" t="n">
        <v>0</v>
      </c>
      <c r="H429" t="n">
        <v>5</v>
      </c>
      <c r="I429" t="n">
        <v>0</v>
      </c>
      <c r="J429" t="n">
        <v>0</v>
      </c>
      <c r="K429">
        <f>IF(H429-I429-J429&gt;0,H429-I429-J429,0)</f>
        <v/>
      </c>
      <c r="L429" s="1">
        <f>IFERROR(I429*E429,0)</f>
        <v/>
      </c>
      <c r="M429" s="1">
        <f>IFERROR(K429*E429,0)</f>
        <v/>
      </c>
    </row>
    <row r="430">
      <c r="A430" t="inlineStr">
        <is>
          <t>460MF</t>
        </is>
      </c>
      <c r="B430" t="inlineStr">
        <is>
          <t>460 Diam Mounting Feet</t>
        </is>
      </c>
      <c r="C430" t="inlineStr">
        <is>
          <t>GALVAGLOW (PTY) LTD</t>
        </is>
      </c>
      <c r="D430" t="inlineStr">
        <is>
          <t>M/FEET</t>
        </is>
      </c>
      <c r="E430" s="1" t="n">
        <v>0</v>
      </c>
      <c r="F430" t="n">
        <v>2</v>
      </c>
      <c r="G430" t="n">
        <v>0</v>
      </c>
      <c r="H430" t="n">
        <v>10</v>
      </c>
      <c r="I430" t="n">
        <v>0</v>
      </c>
      <c r="J430" t="n">
        <v>0</v>
      </c>
      <c r="K430">
        <f>IF(H430-I430-J430&gt;0,H430-I430-J430,0)</f>
        <v/>
      </c>
      <c r="L430" s="1">
        <f>IFERROR(I430*E430,0)</f>
        <v/>
      </c>
      <c r="M430" s="1">
        <f>IFERROR(K430*E430,0)</f>
        <v/>
      </c>
    </row>
    <row r="431">
      <c r="A431" t="inlineStr">
        <is>
          <t>49111090</t>
        </is>
      </c>
      <c r="B431" t="inlineStr">
        <is>
          <t>CATALOGO</t>
        </is>
      </c>
      <c r="C431" t="inlineStr">
        <is>
          <t>SODECA</t>
        </is>
      </c>
      <c r="D431" t="inlineStr"/>
      <c r="E431" s="1" t="n">
        <v>453.03</v>
      </c>
      <c r="F431" t="n">
        <v>2</v>
      </c>
      <c r="G431" t="n">
        <v>0</v>
      </c>
      <c r="H431" t="n">
        <v>4</v>
      </c>
      <c r="I431" t="n">
        <v>0</v>
      </c>
      <c r="J431" t="n">
        <v>0</v>
      </c>
      <c r="K431">
        <f>IF(H431-I431-J431&gt;0,H431-I431-J431,0)</f>
        <v/>
      </c>
      <c r="L431" s="1">
        <f>IFERROR(I431*E431,0)</f>
        <v/>
      </c>
      <c r="M431" s="1">
        <f>IFERROR(K431*E431,0)</f>
        <v/>
      </c>
    </row>
    <row r="432">
      <c r="A432" t="inlineStr">
        <is>
          <t>4kW VSD</t>
        </is>
      </c>
      <c r="B432" t="inlineStr">
        <is>
          <t>4kW Variable Speed Controller</t>
        </is>
      </c>
      <c r="C432" t="inlineStr">
        <is>
          <t>AM SYSTEMS INTEGRATIONS (PTY) LTD</t>
        </is>
      </c>
      <c r="D432" t="inlineStr">
        <is>
          <t>VSD</t>
        </is>
      </c>
      <c r="E432" s="1" t="n">
        <v>7011.65</v>
      </c>
      <c r="F432" t="n">
        <v>1</v>
      </c>
      <c r="G432" t="n">
        <v>0</v>
      </c>
      <c r="H432" t="n">
        <v>3</v>
      </c>
      <c r="I432" t="n">
        <v>0</v>
      </c>
      <c r="J432" t="n">
        <v>1</v>
      </c>
      <c r="K432">
        <f>IF(H432-I432-J432&gt;0,H432-I432-J432,0)</f>
        <v/>
      </c>
      <c r="L432" s="1">
        <f>IFERROR(I432*E432,0)</f>
        <v/>
      </c>
      <c r="M432" s="1">
        <f>IFERROR(K432*E432,0)</f>
        <v/>
      </c>
    </row>
    <row r="433">
      <c r="A433" t="inlineStr">
        <is>
          <t>4mm Grub Screw</t>
        </is>
      </c>
      <c r="B433" t="inlineStr">
        <is>
          <t>4mm Grub Screw</t>
        </is>
      </c>
      <c r="C433" t="inlineStr">
        <is>
          <t>M&amp;D SPECIALISED FASTENERS (PTY) LTD</t>
        </is>
      </c>
      <c r="D433" t="inlineStr"/>
      <c r="E433" s="1" t="n">
        <v>0.6</v>
      </c>
      <c r="F433" t="n">
        <v>5</v>
      </c>
      <c r="G433" t="n">
        <v>0</v>
      </c>
      <c r="H433" t="n">
        <v>25</v>
      </c>
      <c r="I433" t="n">
        <v>0</v>
      </c>
      <c r="J433" t="n">
        <v>0</v>
      </c>
      <c r="K433">
        <f>IF(H433-I433-J433&gt;0,H433-I433-J433,0)</f>
        <v/>
      </c>
      <c r="L433" s="1">
        <f>IFERROR(I433*E433,0)</f>
        <v/>
      </c>
      <c r="M433" s="1">
        <f>IFERROR(K433*E433,0)</f>
        <v/>
      </c>
    </row>
    <row r="434">
      <c r="A434" t="inlineStr">
        <is>
          <t>4mm plt</t>
        </is>
      </c>
      <c r="B434" t="inlineStr">
        <is>
          <t>1000 Flanges Special request</t>
        </is>
      </c>
      <c r="C434" t="inlineStr">
        <is>
          <t>Kart Shop TA Ultimate Laser Cutting</t>
        </is>
      </c>
      <c r="D434" t="inlineStr"/>
      <c r="E434" s="1" t="n">
        <v>2796.67</v>
      </c>
      <c r="F434" t="n">
        <v>1</v>
      </c>
      <c r="G434" t="n">
        <v>0</v>
      </c>
      <c r="H434" t="n">
        <v>2</v>
      </c>
      <c r="I434" t="n">
        <v>0</v>
      </c>
      <c r="J434" t="n">
        <v>0</v>
      </c>
      <c r="K434">
        <f>IF(H434-I434-J434&gt;0,H434-I434-J434,0)</f>
        <v/>
      </c>
      <c r="L434" s="1">
        <f>IFERROR(I434*E434,0)</f>
        <v/>
      </c>
      <c r="M434" s="1">
        <f>IFERROR(K434*E434,0)</f>
        <v/>
      </c>
    </row>
    <row r="435">
      <c r="A435" t="inlineStr">
        <is>
          <t>5.523FM</t>
        </is>
      </c>
      <c r="B435" t="inlineStr">
        <is>
          <t>5.5KW 2P 400V FOOT MOUNT MOTOR</t>
        </is>
      </c>
      <c r="C435" t="inlineStr">
        <is>
          <t>WEG South Africa</t>
        </is>
      </c>
      <c r="D435" t="inlineStr"/>
      <c r="E435" s="1" t="n">
        <v>4393.13</v>
      </c>
      <c r="F435" t="n">
        <v>2</v>
      </c>
      <c r="G435" t="n">
        <v>0</v>
      </c>
      <c r="H435" t="n">
        <v>8</v>
      </c>
      <c r="I435" t="n">
        <v>0</v>
      </c>
      <c r="J435" t="n">
        <v>0</v>
      </c>
      <c r="K435">
        <f>IF(H435-I435-J435&gt;0,H435-I435-J435,0)</f>
        <v/>
      </c>
      <c r="L435" s="1">
        <f>IFERROR(I435*E435,0)</f>
        <v/>
      </c>
      <c r="M435" s="1">
        <f>IFERROR(K435*E435,0)</f>
        <v/>
      </c>
    </row>
    <row r="436">
      <c r="A436" t="inlineStr">
        <is>
          <t>5.523PM</t>
        </is>
      </c>
      <c r="B436" t="inlineStr">
        <is>
          <t>5.5 kW 2P 380V Pad Mount Motor</t>
        </is>
      </c>
      <c r="C436" t="inlineStr">
        <is>
          <t>Luck and King</t>
        </is>
      </c>
      <c r="D436" t="inlineStr">
        <is>
          <t>FM - MOTOR</t>
        </is>
      </c>
      <c r="E436" s="1" t="n">
        <v>5386.44</v>
      </c>
      <c r="F436" t="n">
        <v>1</v>
      </c>
      <c r="G436" t="n">
        <v>0</v>
      </c>
      <c r="H436" t="n">
        <v>3</v>
      </c>
      <c r="I436" t="n">
        <v>0</v>
      </c>
      <c r="J436" t="n">
        <v>0</v>
      </c>
      <c r="K436">
        <f>IF(H436-I436-J436&gt;0,H436-I436-J436,0)</f>
        <v/>
      </c>
      <c r="L436" s="1">
        <f>IFERROR(I436*E436,0)</f>
        <v/>
      </c>
      <c r="M436" s="1">
        <f>IFERROR(K436*E436,0)</f>
        <v/>
      </c>
    </row>
    <row r="437">
      <c r="A437" t="inlineStr">
        <is>
          <t>5.543PM</t>
        </is>
      </c>
      <c r="B437" t="inlineStr">
        <is>
          <t>5.5kW 4P 380V Pad Mount Motor</t>
        </is>
      </c>
      <c r="C437" t="inlineStr">
        <is>
          <t>ACTOM</t>
        </is>
      </c>
      <c r="D437" t="inlineStr">
        <is>
          <t>FM - MOTOR</t>
        </is>
      </c>
      <c r="E437" s="1" t="n">
        <v>4902.91</v>
      </c>
      <c r="F437" t="n">
        <v>1</v>
      </c>
      <c r="G437" t="n">
        <v>0</v>
      </c>
      <c r="H437" t="n">
        <v>3</v>
      </c>
      <c r="I437" t="n">
        <v>0</v>
      </c>
      <c r="J437" t="n">
        <v>6</v>
      </c>
      <c r="K437">
        <f>IF(H437-I437-J437&gt;0,H437-I437-J437,0)</f>
        <v/>
      </c>
      <c r="L437" s="1">
        <f>IFERROR(I437*E437,0)</f>
        <v/>
      </c>
      <c r="M437" s="1">
        <f>IFERROR(K437*E437,0)</f>
        <v/>
      </c>
    </row>
    <row r="438">
      <c r="A438" t="inlineStr">
        <is>
          <t>5.5kW VSD</t>
        </is>
      </c>
      <c r="B438" t="inlineStr">
        <is>
          <t>5.5kW Variable Speed Controller</t>
        </is>
      </c>
      <c r="C438" t="inlineStr">
        <is>
          <t>AM SYSTEMS INTEGRATIONS (PTY) LTD</t>
        </is>
      </c>
      <c r="D438" t="inlineStr">
        <is>
          <t>VSD</t>
        </is>
      </c>
      <c r="E438" s="1" t="n">
        <v>7709.22</v>
      </c>
      <c r="F438" t="n">
        <v>2</v>
      </c>
      <c r="G438" t="n">
        <v>0</v>
      </c>
      <c r="H438" t="n">
        <v>6</v>
      </c>
      <c r="I438" t="n">
        <v>0</v>
      </c>
      <c r="J438" t="n">
        <v>1</v>
      </c>
      <c r="K438">
        <f>IF(H438-I438-J438&gt;0,H438-I438-J438,0)</f>
        <v/>
      </c>
      <c r="L438" s="1">
        <f>IFERROR(I438*E438,0)</f>
        <v/>
      </c>
      <c r="M438" s="1">
        <f>IFERROR(K438*E438,0)</f>
        <v/>
      </c>
    </row>
    <row r="439">
      <c r="A439" t="inlineStr">
        <is>
          <t>500 SC</t>
        </is>
      </c>
      <c r="B439" t="inlineStr">
        <is>
          <t>500 Diam Side Screen (HOT DEEP GALV)</t>
        </is>
      </c>
      <c r="C439" t="inlineStr">
        <is>
          <t>Heinmor Wire Products CC</t>
        </is>
      </c>
      <c r="D439" t="inlineStr"/>
      <c r="E439" s="1" t="n">
        <v>281</v>
      </c>
      <c r="F439" t="n">
        <v>4</v>
      </c>
      <c r="G439" t="n">
        <v>0</v>
      </c>
      <c r="H439" t="n">
        <v>20</v>
      </c>
      <c r="I439" t="n">
        <v>0</v>
      </c>
      <c r="J439" t="n">
        <v>0</v>
      </c>
      <c r="K439">
        <f>IF(H439-I439-J439&gt;0,H439-I439-J439,0)</f>
        <v/>
      </c>
      <c r="L439" s="1">
        <f>IFERROR(I439*E439,0)</f>
        <v/>
      </c>
      <c r="M439" s="1">
        <f>IFERROR(K439*E439,0)</f>
        <v/>
      </c>
    </row>
    <row r="440">
      <c r="A440" t="inlineStr">
        <is>
          <t>500C400</t>
        </is>
      </c>
      <c r="B440" t="inlineStr">
        <is>
          <t>500 Casing x 400mm Long - DO NOT DRILL MOTOR AND BRACKET HOLES</t>
        </is>
      </c>
      <c r="C440" t="inlineStr">
        <is>
          <t>CFW Fans (Pty) Ltd</t>
        </is>
      </c>
      <c r="D440" t="inlineStr">
        <is>
          <t>FM - CFW FANS</t>
        </is>
      </c>
      <c r="E440" s="1" t="n">
        <v>1438</v>
      </c>
      <c r="F440" t="n">
        <v>2</v>
      </c>
      <c r="G440" t="n">
        <v>0</v>
      </c>
      <c r="H440" t="n">
        <v>8</v>
      </c>
      <c r="I440" t="n">
        <v>0</v>
      </c>
      <c r="J440" t="n">
        <v>0</v>
      </c>
      <c r="K440">
        <f>IF(H440-I440-J440&gt;0,H440-I440-J440,0)</f>
        <v/>
      </c>
      <c r="L440" s="1">
        <f>IFERROR(I440*E440,0)</f>
        <v/>
      </c>
      <c r="M440" s="1">
        <f>IFERROR(K440*E440,0)</f>
        <v/>
      </c>
    </row>
    <row r="441">
      <c r="A441" t="inlineStr">
        <is>
          <t>500CF</t>
        </is>
      </c>
      <c r="B441" t="inlineStr">
        <is>
          <t>500 Diam Counter Flange</t>
        </is>
      </c>
      <c r="C441" t="inlineStr">
        <is>
          <t>Attenu-Tec HVAC Parts</t>
        </is>
      </c>
      <c r="D441" t="inlineStr">
        <is>
          <t>FM - C/FLANGE</t>
        </is>
      </c>
      <c r="E441" s="1" t="n">
        <v>64.44</v>
      </c>
      <c r="F441" t="n">
        <v>5</v>
      </c>
      <c r="G441" t="n">
        <v>0</v>
      </c>
      <c r="H441" t="n">
        <v>18</v>
      </c>
      <c r="I441" t="n">
        <v>0</v>
      </c>
      <c r="J441" t="n">
        <v>0</v>
      </c>
      <c r="K441">
        <f>IF(H441-I441-J441&gt;0,H441-I441-J441,0)</f>
        <v/>
      </c>
      <c r="L441" s="1">
        <f>IFERROR(I441*E441,0)</f>
        <v/>
      </c>
      <c r="M441" s="1">
        <f>IFERROR(K441*E441,0)</f>
        <v/>
      </c>
    </row>
    <row r="442">
      <c r="A442" t="inlineStr">
        <is>
          <t>500CFUG</t>
        </is>
      </c>
      <c r="B442" t="inlineStr">
        <is>
          <t>500 Diam Counter Flange Ungalvanised</t>
        </is>
      </c>
      <c r="C442" t="inlineStr">
        <is>
          <t>ULTIMATENG (PTY) LTD</t>
        </is>
      </c>
      <c r="D442" t="inlineStr">
        <is>
          <t>FM - C/FLANGE</t>
        </is>
      </c>
      <c r="E442" s="1" t="n">
        <v>0</v>
      </c>
      <c r="F442" t="n">
        <v>10</v>
      </c>
      <c r="G442" t="n">
        <v>0</v>
      </c>
      <c r="H442" t="n">
        <v>50</v>
      </c>
      <c r="I442" t="n">
        <v>0</v>
      </c>
      <c r="J442" t="n">
        <v>0</v>
      </c>
      <c r="K442">
        <f>IF(H442-I442-J442&gt;0,H442-I442-J442,0)</f>
        <v/>
      </c>
      <c r="L442" s="1">
        <f>IFERROR(I442*E442,0)</f>
        <v/>
      </c>
      <c r="M442" s="1">
        <f>IFERROR(K442*E442,0)</f>
        <v/>
      </c>
    </row>
    <row r="443">
      <c r="A443" t="inlineStr">
        <is>
          <t>500FC</t>
        </is>
      </c>
      <c r="B443" t="inlineStr">
        <is>
          <t>500 Diam Flexible Connection</t>
        </is>
      </c>
      <c r="C443" t="inlineStr">
        <is>
          <t>Air Speration</t>
        </is>
      </c>
      <c r="D443" t="inlineStr">
        <is>
          <t>FM - DONKIN</t>
        </is>
      </c>
      <c r="E443" s="1" t="n">
        <v>537.5700000000001</v>
      </c>
      <c r="F443" t="n">
        <v>1</v>
      </c>
      <c r="G443" t="n">
        <v>0</v>
      </c>
      <c r="H443" t="n">
        <v>3</v>
      </c>
      <c r="I443" t="n">
        <v>0</v>
      </c>
      <c r="J443" t="n">
        <v>0</v>
      </c>
      <c r="K443">
        <f>IF(H443-I443-J443&gt;0,H443-I443-J443,0)</f>
        <v/>
      </c>
      <c r="L443" s="1">
        <f>IFERROR(I443*E443,0)</f>
        <v/>
      </c>
      <c r="M443" s="1">
        <f>IFERROR(K443*E443,0)</f>
        <v/>
      </c>
    </row>
    <row r="444">
      <c r="A444" t="inlineStr">
        <is>
          <t>500HVJ-2S</t>
        </is>
      </c>
      <c r="B444" t="inlineStr">
        <is>
          <t>500 Diam Vertical Discharge Unit</t>
        </is>
      </c>
      <c r="C444" t="inlineStr">
        <is>
          <t>Attenu-Tec HVAC Parts</t>
        </is>
      </c>
      <c r="D444" t="inlineStr">
        <is>
          <t>FM - DONKIN</t>
        </is>
      </c>
      <c r="E444" s="1" t="n">
        <v>1025</v>
      </c>
      <c r="F444" t="n">
        <v>1</v>
      </c>
      <c r="G444" t="n">
        <v>0</v>
      </c>
      <c r="H444" t="n">
        <v>3</v>
      </c>
      <c r="I444" t="n">
        <v>0</v>
      </c>
      <c r="J444" t="n">
        <v>0</v>
      </c>
      <c r="K444">
        <f>IF(H444-I444-J444&gt;0,H444-I444-J444,0)</f>
        <v/>
      </c>
      <c r="L444" s="1">
        <f>IFERROR(I444*E444,0)</f>
        <v/>
      </c>
      <c r="M444" s="1">
        <f>IFERROR(K444*E444,0)</f>
        <v/>
      </c>
    </row>
    <row r="445">
      <c r="A445" t="inlineStr">
        <is>
          <t>500IM</t>
        </is>
      </c>
      <c r="B445" t="inlineStr">
        <is>
          <t>Spare Impeller</t>
        </is>
      </c>
      <c r="C445" t="inlineStr">
        <is>
          <t>Centrifab (Pty) Ltd</t>
        </is>
      </c>
      <c r="D445" t="inlineStr"/>
      <c r="E445" s="1" t="n">
        <v>1630</v>
      </c>
      <c r="F445" t="n">
        <v>5</v>
      </c>
      <c r="G445" t="n">
        <v>0</v>
      </c>
      <c r="H445" t="n">
        <v>11</v>
      </c>
      <c r="I445" t="n">
        <v>0</v>
      </c>
      <c r="J445" t="n">
        <v>0</v>
      </c>
      <c r="K445">
        <f>IF(H445-I445-J445&gt;0,H445-I445-J445,0)</f>
        <v/>
      </c>
      <c r="L445" s="1">
        <f>IFERROR(I445*E445,0)</f>
        <v/>
      </c>
      <c r="M445" s="1">
        <f>IFERROR(K445*E445,0)</f>
        <v/>
      </c>
    </row>
    <row r="446">
      <c r="A446" t="inlineStr">
        <is>
          <t>500MBP03</t>
        </is>
      </c>
      <c r="B446" t="inlineStr">
        <is>
          <t>1-0350-240 P03 - 500 Motor Bracket</t>
        </is>
      </c>
      <c r="C446" t="inlineStr">
        <is>
          <t>Kart Shop TA Ultimate Laser Cutting</t>
        </is>
      </c>
      <c r="D446" t="inlineStr"/>
      <c r="E446" s="1" t="n">
        <v>24.7</v>
      </c>
      <c r="F446" t="n">
        <v>6</v>
      </c>
      <c r="G446" t="n">
        <v>0</v>
      </c>
      <c r="H446" t="n">
        <v>31</v>
      </c>
      <c r="I446" t="n">
        <v>0</v>
      </c>
      <c r="J446" t="n">
        <v>0</v>
      </c>
      <c r="K446">
        <f>IF(H446-I446-J446&gt;0,H446-I446-J446,0)</f>
        <v/>
      </c>
      <c r="L446" s="1">
        <f>IFERROR(I446*E446,0)</f>
        <v/>
      </c>
      <c r="M446" s="1">
        <f>IFERROR(K446*E446,0)</f>
        <v/>
      </c>
    </row>
    <row r="447">
      <c r="A447" t="inlineStr">
        <is>
          <t>500MF</t>
        </is>
      </c>
      <c r="B447" t="inlineStr">
        <is>
          <t>500 Diam Mounting Feet</t>
        </is>
      </c>
      <c r="C447" t="inlineStr">
        <is>
          <t>Attenu-Tec HVAC Parts</t>
        </is>
      </c>
      <c r="D447" t="inlineStr">
        <is>
          <t>FM - M/FEET</t>
        </is>
      </c>
      <c r="E447" s="1" t="n">
        <v>0</v>
      </c>
      <c r="F447" t="n">
        <v>5</v>
      </c>
      <c r="G447" t="n">
        <v>0</v>
      </c>
      <c r="H447" t="n">
        <v>23</v>
      </c>
      <c r="I447" t="n">
        <v>0</v>
      </c>
      <c r="J447" t="n">
        <v>0</v>
      </c>
      <c r="K447">
        <f>IF(H447-I447-J447&gt;0,H447-I447-J447,0)</f>
        <v/>
      </c>
      <c r="L447" s="1">
        <f>IFERROR(I447*E447,0)</f>
        <v/>
      </c>
      <c r="M447" s="1">
        <f>IFERROR(K447*E447,0)</f>
        <v/>
      </c>
    </row>
    <row r="448">
      <c r="A448" t="inlineStr">
        <is>
          <t>500MFUG</t>
        </is>
      </c>
      <c r="B448" t="inlineStr">
        <is>
          <t>500 Diam Mounting Feet Ungalvanized</t>
        </is>
      </c>
      <c r="C448" t="inlineStr">
        <is>
          <t>ULTIMATENG (PTY) LTD</t>
        </is>
      </c>
      <c r="D448" t="inlineStr">
        <is>
          <t>FM - M/FEET</t>
        </is>
      </c>
      <c r="E448" s="1" t="n">
        <v>0</v>
      </c>
      <c r="F448" t="n">
        <v>9</v>
      </c>
      <c r="G448" t="n">
        <v>0</v>
      </c>
      <c r="H448" t="n">
        <v>45</v>
      </c>
      <c r="I448" t="n">
        <v>0</v>
      </c>
      <c r="J448" t="n">
        <v>0</v>
      </c>
      <c r="K448">
        <f>IF(H448-I448-J448&gt;0,H448-I448-J448,0)</f>
        <v/>
      </c>
      <c r="L448" s="1">
        <f>IFERROR(I448*E448,0)</f>
        <v/>
      </c>
      <c r="M448" s="1">
        <f>IFERROR(K448*E448,0)</f>
        <v/>
      </c>
    </row>
    <row r="449">
      <c r="A449" t="inlineStr">
        <is>
          <t>500PLT400-2MM</t>
        </is>
      </c>
      <c r="B449" t="inlineStr">
        <is>
          <t>500 Casing Sheet - 1579 x 400 - 2mm</t>
        </is>
      </c>
      <c r="C449" t="inlineStr">
        <is>
          <t>NJR STEEL - ALRODE (PTY) LTD</t>
        </is>
      </c>
      <c r="D449" t="inlineStr">
        <is>
          <t>FM - FABRICATION</t>
        </is>
      </c>
      <c r="E449" s="1" t="n">
        <v>207.08</v>
      </c>
      <c r="F449" t="n">
        <v>3</v>
      </c>
      <c r="G449" t="n">
        <v>0</v>
      </c>
      <c r="H449" t="n">
        <v>15</v>
      </c>
      <c r="I449" t="n">
        <v>0</v>
      </c>
      <c r="J449" t="n">
        <v>0</v>
      </c>
      <c r="K449">
        <f>IF(H449-I449-J449&gt;0,H449-I449-J449,0)</f>
        <v/>
      </c>
      <c r="L449" s="1">
        <f>IFERROR(I449*E449,0)</f>
        <v/>
      </c>
      <c r="M449" s="1">
        <f>IFERROR(K449*E449,0)</f>
        <v/>
      </c>
    </row>
    <row r="450">
      <c r="A450" t="inlineStr">
        <is>
          <t>500PLT400-3MM</t>
        </is>
      </c>
      <c r="B450" t="inlineStr">
        <is>
          <t>500 Casing Sheet - 1579 x 400 - 3mm</t>
        </is>
      </c>
      <c r="C450" t="inlineStr">
        <is>
          <t>NJR STEEL - ALRODE (PTY) LTD</t>
        </is>
      </c>
      <c r="D450" t="inlineStr">
        <is>
          <t>FM - FABRICATION</t>
        </is>
      </c>
      <c r="E450" s="1" t="n">
        <v>385.17</v>
      </c>
      <c r="F450" t="n">
        <v>3</v>
      </c>
      <c r="G450" t="n">
        <v>0</v>
      </c>
      <c r="H450" t="n">
        <v>15</v>
      </c>
      <c r="I450" t="n">
        <v>0</v>
      </c>
      <c r="J450" t="n">
        <v>0</v>
      </c>
      <c r="K450">
        <f>IF(H450-I450-J450&gt;0,H450-I450-J450,0)</f>
        <v/>
      </c>
      <c r="L450" s="1">
        <f>IFERROR(I450*E450,0)</f>
        <v/>
      </c>
      <c r="M450" s="1">
        <f>IFERROR(K450*E450,0)</f>
        <v/>
      </c>
    </row>
    <row r="451">
      <c r="A451" t="inlineStr">
        <is>
          <t>500PLT500-3MM</t>
        </is>
      </c>
      <c r="B451" t="inlineStr">
        <is>
          <t>500 Casing Sheet - 1579 x 500 - 3mm</t>
        </is>
      </c>
      <c r="C451" t="inlineStr">
        <is>
          <t>NJR STEEL - ALRODE (PTY) LTD</t>
        </is>
      </c>
      <c r="D451" t="inlineStr">
        <is>
          <t>FM - FABRICATION</t>
        </is>
      </c>
      <c r="E451" s="1" t="n">
        <v>389</v>
      </c>
      <c r="F451" t="n">
        <v>1</v>
      </c>
      <c r="G451" t="n">
        <v>0</v>
      </c>
      <c r="H451" t="n">
        <v>2</v>
      </c>
      <c r="I451" t="n">
        <v>0</v>
      </c>
      <c r="J451" t="n">
        <v>0</v>
      </c>
      <c r="K451">
        <f>IF(H451-I451-J451&gt;0,H451-I451-J451,0)</f>
        <v/>
      </c>
      <c r="L451" s="1">
        <f>IFERROR(I451*E451,0)</f>
        <v/>
      </c>
      <c r="M451" s="1">
        <f>IFERROR(K451*E451,0)</f>
        <v/>
      </c>
    </row>
    <row r="452">
      <c r="A452" t="inlineStr">
        <is>
          <t>500S1.0DP</t>
        </is>
      </c>
      <c r="B452" t="inlineStr">
        <is>
          <t>500 Diam Silencer 1.0D Podded</t>
        </is>
      </c>
      <c r="C452" t="inlineStr">
        <is>
          <t>Attenu-Tec</t>
        </is>
      </c>
      <c r="D452" t="inlineStr">
        <is>
          <t>FM - DONKIN</t>
        </is>
      </c>
      <c r="E452" s="1" t="n">
        <v>1575</v>
      </c>
      <c r="F452" t="n">
        <v>1</v>
      </c>
      <c r="G452" t="n">
        <v>0</v>
      </c>
      <c r="H452" t="n">
        <v>2</v>
      </c>
      <c r="I452" t="n">
        <v>0</v>
      </c>
      <c r="J452" t="n">
        <v>0</v>
      </c>
      <c r="K452">
        <f>IF(H452-I452-J452&gt;0,H452-I452-J452,0)</f>
        <v/>
      </c>
      <c r="L452" s="1">
        <f>IFERROR(I452*E452,0)</f>
        <v/>
      </c>
      <c r="M452" s="1">
        <f>IFERROR(K452*E452,0)</f>
        <v/>
      </c>
    </row>
    <row r="453">
      <c r="A453" t="inlineStr">
        <is>
          <t>500S1.5D</t>
        </is>
      </c>
      <c r="B453" t="inlineStr">
        <is>
          <t>500 Diam Silencer 1.5D</t>
        </is>
      </c>
      <c r="C453" t="inlineStr"/>
      <c r="D453" t="inlineStr">
        <is>
          <t>FM - DONKIN</t>
        </is>
      </c>
      <c r="E453" s="1" t="n">
        <v>0</v>
      </c>
      <c r="F453" t="n">
        <v>1</v>
      </c>
      <c r="G453" t="n">
        <v>0</v>
      </c>
      <c r="H453" t="n">
        <v>5</v>
      </c>
      <c r="I453" t="n">
        <v>0</v>
      </c>
      <c r="J453" t="n">
        <v>0</v>
      </c>
      <c r="K453">
        <f>IF(H453-I453-J453&gt;0,H453-I453-J453,0)</f>
        <v/>
      </c>
      <c r="L453" s="1">
        <f>IFERROR(I453*E453,0)</f>
        <v/>
      </c>
      <c r="M453" s="1">
        <f>IFERROR(K453*E453,0)</f>
        <v/>
      </c>
    </row>
    <row r="454">
      <c r="A454" t="inlineStr">
        <is>
          <t>500S1.5DP</t>
        </is>
      </c>
      <c r="B454" t="inlineStr">
        <is>
          <t>500 Diam Silencer 1.5D Podded</t>
        </is>
      </c>
      <c r="C454" t="inlineStr">
        <is>
          <t>Attenu-Tec</t>
        </is>
      </c>
      <c r="D454" t="inlineStr">
        <is>
          <t>FM - DONKIN</t>
        </is>
      </c>
      <c r="E454" s="1" t="n">
        <v>2025</v>
      </c>
      <c r="F454" t="n">
        <v>2</v>
      </c>
      <c r="G454" t="n">
        <v>0</v>
      </c>
      <c r="H454" t="n">
        <v>7</v>
      </c>
      <c r="I454" t="n">
        <v>0</v>
      </c>
      <c r="J454" t="n">
        <v>4</v>
      </c>
      <c r="K454">
        <f>IF(H454-I454-J454&gt;0,H454-I454-J454,0)</f>
        <v/>
      </c>
      <c r="L454" s="1">
        <f>IFERROR(I454*E454,0)</f>
        <v/>
      </c>
      <c r="M454" s="1">
        <f>IFERROR(K454*E454,0)</f>
        <v/>
      </c>
    </row>
    <row r="455">
      <c r="A455" t="inlineStr">
        <is>
          <t>500S2.0DP</t>
        </is>
      </c>
      <c r="B455" t="inlineStr">
        <is>
          <t>500 Diam Silencer 2.0D Podded</t>
        </is>
      </c>
      <c r="C455" t="inlineStr">
        <is>
          <t>Attenu-Tec</t>
        </is>
      </c>
      <c r="D455" t="inlineStr">
        <is>
          <t>FM - DONKIN</t>
        </is>
      </c>
      <c r="E455" s="1" t="n">
        <v>2608</v>
      </c>
      <c r="F455" t="n">
        <v>4</v>
      </c>
      <c r="G455" t="n">
        <v>0</v>
      </c>
      <c r="H455" t="n">
        <v>13</v>
      </c>
      <c r="I455" t="n">
        <v>0</v>
      </c>
      <c r="J455" t="n">
        <v>0</v>
      </c>
      <c r="K455">
        <f>IF(H455-I455-J455&gt;0,H455-I455-J455,0)</f>
        <v/>
      </c>
      <c r="L455" s="1">
        <f>IFERROR(I455*E455,0)</f>
        <v/>
      </c>
      <c r="M455" s="1">
        <f>IFERROR(K455*E455,0)</f>
        <v/>
      </c>
    </row>
    <row r="456">
      <c r="A456" t="inlineStr">
        <is>
          <t>500SC-</t>
        </is>
      </c>
      <c r="B456" t="inlineStr">
        <is>
          <t>Screen</t>
        </is>
      </c>
      <c r="C456" t="inlineStr">
        <is>
          <t>Heinmor Wire Products CC</t>
        </is>
      </c>
      <c r="D456" t="inlineStr"/>
      <c r="E456" s="1" t="n">
        <v>309</v>
      </c>
      <c r="F456" t="n">
        <v>2</v>
      </c>
      <c r="G456" t="n">
        <v>0</v>
      </c>
      <c r="H456" t="n">
        <v>8</v>
      </c>
      <c r="I456" t="n">
        <v>0</v>
      </c>
      <c r="J456" t="n">
        <v>0</v>
      </c>
      <c r="K456">
        <f>IF(H456-I456-J456&gt;0,H456-I456-J456,0)</f>
        <v/>
      </c>
      <c r="L456" s="1">
        <f>IFERROR(I456*E456,0)</f>
        <v/>
      </c>
      <c r="M456" s="1">
        <f>IFERROR(K456*E456,0)</f>
        <v/>
      </c>
    </row>
    <row r="457">
      <c r="A457" t="inlineStr">
        <is>
          <t>500SM1.5D</t>
        </is>
      </c>
      <c r="B457" t="inlineStr">
        <is>
          <t>500 Diam Melinex Silencer 1.5D</t>
        </is>
      </c>
      <c r="C457" t="inlineStr"/>
      <c r="D457" t="inlineStr">
        <is>
          <t>FM - DONKIN</t>
        </is>
      </c>
      <c r="E457" s="1" t="n">
        <v>0</v>
      </c>
      <c r="F457" t="n">
        <v>1</v>
      </c>
      <c r="G457" t="n">
        <v>0</v>
      </c>
      <c r="H457" t="n">
        <v>5</v>
      </c>
      <c r="I457" t="n">
        <v>0</v>
      </c>
      <c r="J457" t="n">
        <v>0</v>
      </c>
      <c r="K457">
        <f>IF(H457-I457-J457&gt;0,H457-I457-J457,0)</f>
        <v/>
      </c>
      <c r="L457" s="1">
        <f>IFERROR(I457*E457,0)</f>
        <v/>
      </c>
      <c r="M457" s="1">
        <f>IFERROR(K457*E457,0)</f>
        <v/>
      </c>
    </row>
    <row r="458">
      <c r="A458" t="inlineStr">
        <is>
          <t>500SM1.5DP</t>
        </is>
      </c>
      <c r="B458" t="inlineStr">
        <is>
          <t>500 Diam Melinex Silencer 1.5D Podded</t>
        </is>
      </c>
      <c r="C458" t="inlineStr">
        <is>
          <t>Attenu-Tec</t>
        </is>
      </c>
      <c r="D458" t="inlineStr">
        <is>
          <t>FM - DONKIN</t>
        </is>
      </c>
      <c r="E458" s="1" t="n">
        <v>1819</v>
      </c>
      <c r="F458" t="n">
        <v>1</v>
      </c>
      <c r="G458" t="n">
        <v>0</v>
      </c>
      <c r="H458" t="n">
        <v>2</v>
      </c>
      <c r="I458" t="n">
        <v>0</v>
      </c>
      <c r="J458" t="n">
        <v>0</v>
      </c>
      <c r="K458">
        <f>IF(H458-I458-J458&gt;0,H458-I458-J458,0)</f>
        <v/>
      </c>
      <c r="L458" s="1">
        <f>IFERROR(I458*E458,0)</f>
        <v/>
      </c>
      <c r="M458" s="1">
        <f>IFERROR(K458*E458,0)</f>
        <v/>
      </c>
    </row>
    <row r="459">
      <c r="A459" t="inlineStr">
        <is>
          <t>500SM2.0DP</t>
        </is>
      </c>
      <c r="B459" t="inlineStr">
        <is>
          <t>500 Diam Melinex Silencer 2.0D Podded</t>
        </is>
      </c>
      <c r="C459" t="inlineStr">
        <is>
          <t>Attenu-Tec</t>
        </is>
      </c>
      <c r="D459" t="inlineStr">
        <is>
          <t>FM - DONKIN</t>
        </is>
      </c>
      <c r="E459" s="1" t="n">
        <v>2608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  <c r="K459">
        <f>IF(H459-I459-J459&gt;0,H459-I459-J459,0)</f>
        <v/>
      </c>
      <c r="L459" s="1">
        <f>IFERROR(I459*E459,0)</f>
        <v/>
      </c>
      <c r="M459" s="1">
        <f>IFERROR(K459*E459,0)</f>
        <v/>
      </c>
    </row>
    <row r="460">
      <c r="A460" t="inlineStr">
        <is>
          <t>500mm Zinc</t>
        </is>
      </c>
      <c r="B460" t="inlineStr">
        <is>
          <t>- Zinc Filter Clips</t>
        </is>
      </c>
      <c r="C460" t="inlineStr">
        <is>
          <t>Airventfil (Pty) Ltd</t>
        </is>
      </c>
      <c r="D460" t="inlineStr"/>
      <c r="E460" s="1" t="n">
        <v>0</v>
      </c>
      <c r="F460" t="n">
        <v>24</v>
      </c>
      <c r="G460" t="n">
        <v>0</v>
      </c>
      <c r="H460" t="n">
        <v>120</v>
      </c>
      <c r="I460" t="n">
        <v>0</v>
      </c>
      <c r="J460" t="n">
        <v>0</v>
      </c>
      <c r="K460">
        <f>IF(H460-I460-J460&gt;0,H460-I460-J460,0)</f>
        <v/>
      </c>
      <c r="L460" s="1">
        <f>IFERROR(I460*E460,0)</f>
        <v/>
      </c>
      <c r="M460" s="1">
        <f>IFERROR(K460*E460,0)</f>
        <v/>
      </c>
    </row>
    <row r="461">
      <c r="A461" t="inlineStr">
        <is>
          <t>51070</t>
        </is>
      </c>
      <c r="B461" t="inlineStr">
        <is>
          <t>PRA REDUCER FLP Ex d/e 32M-25F</t>
        </is>
      </c>
      <c r="C461" t="inlineStr">
        <is>
          <t>Pratley (Pty) Ltd</t>
        </is>
      </c>
      <c r="D461" t="inlineStr"/>
      <c r="E461" s="1" t="n">
        <v>124.88</v>
      </c>
      <c r="F461" t="n">
        <v>2</v>
      </c>
      <c r="G461" t="n">
        <v>0</v>
      </c>
      <c r="H461" t="n">
        <v>10</v>
      </c>
      <c r="I461" t="n">
        <v>0</v>
      </c>
      <c r="J461" t="n">
        <v>0</v>
      </c>
      <c r="K461">
        <f>IF(H461-I461-J461&gt;0,H461-I461-J461,0)</f>
        <v/>
      </c>
      <c r="L461" s="1">
        <f>IFERROR(I461*E461,0)</f>
        <v/>
      </c>
      <c r="M461" s="1">
        <f>IFERROR(K461*E461,0)</f>
        <v/>
      </c>
    </row>
    <row r="462">
      <c r="A462" t="inlineStr">
        <is>
          <t>549CFUG</t>
        </is>
      </c>
      <c r="B462" t="inlineStr">
        <is>
          <t>B - 549 Diam Counter Flange Ungalvanised - Buffalo</t>
        </is>
      </c>
      <c r="C462" t="inlineStr">
        <is>
          <t>ULTIMATENG (PTY) LTD</t>
        </is>
      </c>
      <c r="D462" t="inlineStr"/>
      <c r="E462" s="1" t="n">
        <v>0</v>
      </c>
      <c r="F462" t="n">
        <v>6</v>
      </c>
      <c r="G462" t="n">
        <v>0</v>
      </c>
      <c r="H462" t="n">
        <v>30</v>
      </c>
      <c r="I462" t="n">
        <v>0</v>
      </c>
      <c r="J462" t="n">
        <v>0</v>
      </c>
      <c r="K462">
        <f>IF(H462-I462-J462&gt;0,H462-I462-J462,0)</f>
        <v/>
      </c>
      <c r="L462" s="1">
        <f>IFERROR(I462*E462,0)</f>
        <v/>
      </c>
      <c r="M462" s="1">
        <f>IFERROR(K462*E462,0)</f>
        <v/>
      </c>
    </row>
    <row r="463">
      <c r="A463" t="inlineStr">
        <is>
          <t>560 20.D.8</t>
        </is>
      </c>
      <c r="B463" t="inlineStr">
        <is>
          <t>Spare Impeller</t>
        </is>
      </c>
      <c r="C463" t="inlineStr">
        <is>
          <t>Luft Industries Natal (Pty) Ltd</t>
        </is>
      </c>
      <c r="D463" t="inlineStr"/>
      <c r="E463" s="1" t="n">
        <v>1751.25</v>
      </c>
      <c r="F463" t="n">
        <v>1</v>
      </c>
      <c r="G463" t="n">
        <v>0</v>
      </c>
      <c r="H463" t="n">
        <v>2</v>
      </c>
      <c r="I463" t="n">
        <v>0</v>
      </c>
      <c r="J463" t="n">
        <v>0</v>
      </c>
      <c r="K463">
        <f>IF(H463-I463-J463&gt;0,H463-I463-J463,0)</f>
        <v/>
      </c>
      <c r="L463" s="1">
        <f>IFERROR(I463*E463,0)</f>
        <v/>
      </c>
      <c r="M463" s="1">
        <f>IFERROR(K463*E463,0)</f>
        <v/>
      </c>
    </row>
    <row r="464">
      <c r="A464" t="inlineStr">
        <is>
          <t>560 FB</t>
        </is>
      </c>
      <c r="B464" t="inlineStr">
        <is>
          <t>Filter Box</t>
        </is>
      </c>
      <c r="C464" t="inlineStr"/>
      <c r="D464" t="inlineStr"/>
      <c r="E464" s="1" t="n">
        <v>0</v>
      </c>
      <c r="F464" t="n">
        <v>2</v>
      </c>
      <c r="G464" t="n">
        <v>0</v>
      </c>
      <c r="H464" t="n">
        <v>8</v>
      </c>
      <c r="I464" t="n">
        <v>0</v>
      </c>
      <c r="J464" t="n">
        <v>0</v>
      </c>
      <c r="K464">
        <f>IF(H464-I464-J464&gt;0,H464-I464-J464,0)</f>
        <v/>
      </c>
      <c r="L464" s="1">
        <f>IFERROR(I464*E464,0)</f>
        <v/>
      </c>
      <c r="M464" s="1">
        <f>IFERROR(K464*E464,0)</f>
        <v/>
      </c>
    </row>
    <row r="465">
      <c r="A465" t="inlineStr">
        <is>
          <t>560/150/10 SI</t>
        </is>
      </c>
      <c r="B465" t="inlineStr">
        <is>
          <t>Spare Impeller (560mm 'B' 150A10AR 19mm 080Frame Deg 21 DEG - FM3181)</t>
        </is>
      </c>
      <c r="C465" t="inlineStr">
        <is>
          <t>Luft Industries Natal (Pty) Ltd</t>
        </is>
      </c>
      <c r="D465" t="inlineStr"/>
      <c r="E465" s="1" t="n">
        <v>1766.25</v>
      </c>
      <c r="F465" t="n">
        <v>1</v>
      </c>
      <c r="G465" t="n">
        <v>0</v>
      </c>
      <c r="H465" t="n">
        <v>3</v>
      </c>
      <c r="I465" t="n">
        <v>0</v>
      </c>
      <c r="J465" t="n">
        <v>0</v>
      </c>
      <c r="K465">
        <f>IF(H465-I465-J465&gt;0,H465-I465-J465,0)</f>
        <v/>
      </c>
      <c r="L465" s="1">
        <f>IFERROR(I465*E465,0)</f>
        <v/>
      </c>
      <c r="M465" s="1">
        <f>IFERROR(K465*E465,0)</f>
        <v/>
      </c>
    </row>
    <row r="466">
      <c r="A466" t="inlineStr">
        <is>
          <t>560CF</t>
        </is>
      </c>
      <c r="B466" t="inlineStr">
        <is>
          <t>560 Diam Counter Flange</t>
        </is>
      </c>
      <c r="C466" t="inlineStr">
        <is>
          <t>Attenu-Tec HVAC Parts</t>
        </is>
      </c>
      <c r="D466" t="inlineStr">
        <is>
          <t>FM - C/FLANGE</t>
        </is>
      </c>
      <c r="E466" s="1" t="n">
        <v>0</v>
      </c>
      <c r="F466" t="n">
        <v>4</v>
      </c>
      <c r="G466" t="n">
        <v>0</v>
      </c>
      <c r="H466" t="n">
        <v>19</v>
      </c>
      <c r="I466" t="n">
        <v>0</v>
      </c>
      <c r="J466" t="n">
        <v>0</v>
      </c>
      <c r="K466">
        <f>IF(H466-I466-J466&gt;0,H466-I466-J466,0)</f>
        <v/>
      </c>
      <c r="L466" s="1">
        <f>IFERROR(I466*E466,0)</f>
        <v/>
      </c>
      <c r="M466" s="1">
        <f>IFERROR(K466*E466,0)</f>
        <v/>
      </c>
    </row>
    <row r="467">
      <c r="A467" t="inlineStr">
        <is>
          <t>560CFUG</t>
        </is>
      </c>
      <c r="B467" t="inlineStr">
        <is>
          <t>560 Diam Counter Flange Ungalvanised</t>
        </is>
      </c>
      <c r="C467" t="inlineStr">
        <is>
          <t>ULTIMATENG (PTY) LTD</t>
        </is>
      </c>
      <c r="D467" t="inlineStr">
        <is>
          <t>FM - C/FLANGE</t>
        </is>
      </c>
      <c r="E467" s="1" t="n">
        <v>0</v>
      </c>
      <c r="F467" t="n">
        <v>9</v>
      </c>
      <c r="G467" t="n">
        <v>0</v>
      </c>
      <c r="H467" t="n">
        <v>45</v>
      </c>
      <c r="I467" t="n">
        <v>0</v>
      </c>
      <c r="J467" t="n">
        <v>0</v>
      </c>
      <c r="K467">
        <f>IF(H467-I467-J467&gt;0,H467-I467-J467,0)</f>
        <v/>
      </c>
      <c r="L467" s="1">
        <f>IFERROR(I467*E467,0)</f>
        <v/>
      </c>
      <c r="M467" s="1">
        <f>IFERROR(K467*E467,0)</f>
        <v/>
      </c>
    </row>
    <row r="468">
      <c r="A468" t="inlineStr">
        <is>
          <t>560FC</t>
        </is>
      </c>
      <c r="B468" t="inlineStr">
        <is>
          <t>560 Diam Flexible Connection</t>
        </is>
      </c>
      <c r="C468" t="inlineStr">
        <is>
          <t>Attenu-Tec HVAC Parts</t>
        </is>
      </c>
      <c r="D468" t="inlineStr">
        <is>
          <t>FM - DONKIN</t>
        </is>
      </c>
      <c r="E468" s="1" t="n">
        <v>733</v>
      </c>
      <c r="F468" t="n">
        <v>2</v>
      </c>
      <c r="G468" t="n">
        <v>0</v>
      </c>
      <c r="H468" t="n">
        <v>4</v>
      </c>
      <c r="I468" t="n">
        <v>0</v>
      </c>
      <c r="J468" t="n">
        <v>0</v>
      </c>
      <c r="K468">
        <f>IF(H468-I468-J468&gt;0,H468-I468-J468,0)</f>
        <v/>
      </c>
      <c r="L468" s="1">
        <f>IFERROR(I468*E468,0)</f>
        <v/>
      </c>
      <c r="M468" s="1">
        <f>IFERROR(K468*E468,0)</f>
        <v/>
      </c>
    </row>
    <row r="469">
      <c r="A469" t="inlineStr">
        <is>
          <t>560HVJ-2S</t>
        </is>
      </c>
      <c r="B469" t="inlineStr">
        <is>
          <t>560 Diam Vertical Discharge Unit</t>
        </is>
      </c>
      <c r="C469" t="inlineStr">
        <is>
          <t>Attenu-Tec HVAC Parts</t>
        </is>
      </c>
      <c r="D469" t="inlineStr">
        <is>
          <t>FM - DONKIN</t>
        </is>
      </c>
      <c r="E469" s="1" t="n">
        <v>1201.86</v>
      </c>
      <c r="F469" t="n">
        <v>1</v>
      </c>
      <c r="G469" t="n">
        <v>0</v>
      </c>
      <c r="H469" t="n">
        <v>3</v>
      </c>
      <c r="I469" t="n">
        <v>0</v>
      </c>
      <c r="J469" t="n">
        <v>0</v>
      </c>
      <c r="K469">
        <f>IF(H469-I469-J469&gt;0,H469-I469-J469,0)</f>
        <v/>
      </c>
      <c r="L469" s="1">
        <f>IFERROR(I469*E469,0)</f>
        <v/>
      </c>
      <c r="M469" s="1">
        <f>IFERROR(K469*E469,0)</f>
        <v/>
      </c>
    </row>
    <row r="470">
      <c r="A470" t="inlineStr">
        <is>
          <t>560IMP</t>
        </is>
      </c>
      <c r="B470" t="inlineStr">
        <is>
          <t>Impeller 560/250/14 Aluminum - 20 deg pitch, Form B, 24mm Bore</t>
        </is>
      </c>
      <c r="C470" t="inlineStr">
        <is>
          <t>Luft Industries Natal (Pty) Ltd</t>
        </is>
      </c>
      <c r="D470" t="inlineStr"/>
      <c r="E470" s="1" t="n">
        <v>2428</v>
      </c>
      <c r="F470" t="n">
        <v>1</v>
      </c>
      <c r="G470" t="n">
        <v>0</v>
      </c>
      <c r="H470" t="n">
        <v>2</v>
      </c>
      <c r="I470" t="n">
        <v>0</v>
      </c>
      <c r="J470" t="n">
        <v>0</v>
      </c>
      <c r="K470">
        <f>IF(H470-I470-J470&gt;0,H470-I470-J470,0)</f>
        <v/>
      </c>
      <c r="L470" s="1">
        <f>IFERROR(I470*E470,0)</f>
        <v/>
      </c>
      <c r="M470" s="1">
        <f>IFERROR(K470*E470,0)</f>
        <v/>
      </c>
    </row>
    <row r="471">
      <c r="A471" t="inlineStr">
        <is>
          <t>560MBP04</t>
        </is>
      </c>
      <c r="B471" t="inlineStr">
        <is>
          <t>1-0350-240 P04 - 560 Motor Bracket</t>
        </is>
      </c>
      <c r="C471" t="inlineStr">
        <is>
          <t>Kart Shop TA Ultimate Laser Cutting</t>
        </is>
      </c>
      <c r="D471" t="inlineStr"/>
      <c r="E471" s="1" t="n">
        <v>26.38</v>
      </c>
      <c r="F471" t="n">
        <v>6</v>
      </c>
      <c r="G471" t="n">
        <v>0</v>
      </c>
      <c r="H471" t="n">
        <v>32</v>
      </c>
      <c r="I471" t="n">
        <v>0</v>
      </c>
      <c r="J471" t="n">
        <v>0</v>
      </c>
      <c r="K471">
        <f>IF(H471-I471-J471&gt;0,H471-I471-J471,0)</f>
        <v/>
      </c>
      <c r="L471" s="1">
        <f>IFERROR(I471*E471,0)</f>
        <v/>
      </c>
      <c r="M471" s="1">
        <f>IFERROR(K471*E471,0)</f>
        <v/>
      </c>
    </row>
    <row r="472">
      <c r="A472" t="inlineStr">
        <is>
          <t>560MF</t>
        </is>
      </c>
      <c r="B472" t="inlineStr">
        <is>
          <t>560 Diam Mounting Feet</t>
        </is>
      </c>
      <c r="C472" t="inlineStr">
        <is>
          <t>Attenu-Tec HVAC Parts</t>
        </is>
      </c>
      <c r="D472" t="inlineStr">
        <is>
          <t>FM - M/FEET</t>
        </is>
      </c>
      <c r="E472" s="1" t="n">
        <v>202</v>
      </c>
      <c r="F472" t="n">
        <v>7</v>
      </c>
      <c r="G472" t="n">
        <v>0</v>
      </c>
      <c r="H472" t="n">
        <v>35</v>
      </c>
      <c r="I472" t="n">
        <v>0</v>
      </c>
      <c r="J472" t="n">
        <v>0</v>
      </c>
      <c r="K472">
        <f>IF(H472-I472-J472&gt;0,H472-I472-J472,0)</f>
        <v/>
      </c>
      <c r="L472" s="1">
        <f>IFERROR(I472*E472,0)</f>
        <v/>
      </c>
      <c r="M472" s="1">
        <f>IFERROR(K472*E472,0)</f>
        <v/>
      </c>
    </row>
    <row r="473">
      <c r="A473" t="inlineStr">
        <is>
          <t>560PLT400-2MM</t>
        </is>
      </c>
      <c r="B473" t="inlineStr">
        <is>
          <t>560 Casing Sheet - 1767 x 400 - 2mm</t>
        </is>
      </c>
      <c r="C473" t="inlineStr">
        <is>
          <t>NJR STEEL - ALRODE (PTY) LTD</t>
        </is>
      </c>
      <c r="D473" t="inlineStr">
        <is>
          <t>FM - FABRICATION</t>
        </is>
      </c>
      <c r="E473" s="1" t="n">
        <v>232</v>
      </c>
      <c r="F473" t="n">
        <v>3</v>
      </c>
      <c r="G473" t="n">
        <v>0</v>
      </c>
      <c r="H473" t="n">
        <v>15</v>
      </c>
      <c r="I473" t="n">
        <v>0</v>
      </c>
      <c r="J473" t="n">
        <v>0</v>
      </c>
      <c r="K473">
        <f>IF(H473-I473-J473&gt;0,H473-I473-J473,0)</f>
        <v/>
      </c>
      <c r="L473" s="1">
        <f>IFERROR(I473*E473,0)</f>
        <v/>
      </c>
      <c r="M473" s="1">
        <f>IFERROR(K473*E473,0)</f>
        <v/>
      </c>
    </row>
    <row r="474">
      <c r="A474" t="inlineStr">
        <is>
          <t>560PLT400-3MM</t>
        </is>
      </c>
      <c r="B474" t="inlineStr">
        <is>
          <t>560 Casing Sheet - 1767 x 400 - 3mm</t>
        </is>
      </c>
      <c r="C474" t="inlineStr">
        <is>
          <t>NJR STEEL - ALRODE (PTY) LTD</t>
        </is>
      </c>
      <c r="D474" t="inlineStr">
        <is>
          <t>FM - FABRICATION</t>
        </is>
      </c>
      <c r="E474" s="1" t="n">
        <v>418.71</v>
      </c>
      <c r="F474" t="n">
        <v>4</v>
      </c>
      <c r="G474" t="n">
        <v>0</v>
      </c>
      <c r="H474" t="n">
        <v>18</v>
      </c>
      <c r="I474" t="n">
        <v>0</v>
      </c>
      <c r="J474" t="n">
        <v>0</v>
      </c>
      <c r="K474">
        <f>IF(H474-I474-J474&gt;0,H474-I474-J474,0)</f>
        <v/>
      </c>
      <c r="L474" s="1">
        <f>IFERROR(I474*E474,0)</f>
        <v/>
      </c>
      <c r="M474" s="1">
        <f>IFERROR(K474*E474,0)</f>
        <v/>
      </c>
    </row>
    <row r="475">
      <c r="A475" t="inlineStr">
        <is>
          <t>560S1.5D</t>
        </is>
      </c>
      <c r="B475" t="inlineStr">
        <is>
          <t>560 Diam Silencer 1.5D</t>
        </is>
      </c>
      <c r="C475" t="inlineStr">
        <is>
          <t>Attenu-Tec</t>
        </is>
      </c>
      <c r="D475" t="inlineStr">
        <is>
          <t>FM - DONKIN</t>
        </is>
      </c>
      <c r="E475" s="1" t="n">
        <v>2352</v>
      </c>
      <c r="F475" t="n">
        <v>1</v>
      </c>
      <c r="G475" t="n">
        <v>0</v>
      </c>
      <c r="H475" t="n">
        <v>5</v>
      </c>
      <c r="I475" t="n">
        <v>0</v>
      </c>
      <c r="J475" t="n">
        <v>0</v>
      </c>
      <c r="K475">
        <f>IF(H475-I475-J475&gt;0,H475-I475-J475,0)</f>
        <v/>
      </c>
      <c r="L475" s="1">
        <f>IFERROR(I475*E475,0)</f>
        <v/>
      </c>
      <c r="M475" s="1">
        <f>IFERROR(K475*E475,0)</f>
        <v/>
      </c>
    </row>
    <row r="476">
      <c r="A476" t="inlineStr">
        <is>
          <t>560S1.5DP</t>
        </is>
      </c>
      <c r="B476" t="inlineStr">
        <is>
          <t>560 Diam Silencer 1.5D Podded</t>
        </is>
      </c>
      <c r="C476" t="inlineStr">
        <is>
          <t>Attenu-Tec</t>
        </is>
      </c>
      <c r="D476" t="inlineStr">
        <is>
          <t>FM - DONKIN</t>
        </is>
      </c>
      <c r="E476" s="1" t="n">
        <v>2617</v>
      </c>
      <c r="F476" t="n">
        <v>3</v>
      </c>
      <c r="G476" t="n">
        <v>0</v>
      </c>
      <c r="H476" t="n">
        <v>10</v>
      </c>
      <c r="I476" t="n">
        <v>0</v>
      </c>
      <c r="J476" t="n">
        <v>2</v>
      </c>
      <c r="K476">
        <f>IF(H476-I476-J476&gt;0,H476-I476-J476,0)</f>
        <v/>
      </c>
      <c r="L476" s="1">
        <f>IFERROR(I476*E476,0)</f>
        <v/>
      </c>
      <c r="M476" s="1">
        <f>IFERROR(K476*E476,0)</f>
        <v/>
      </c>
    </row>
    <row r="477">
      <c r="A477" t="inlineStr">
        <is>
          <t>560S2.0DP</t>
        </is>
      </c>
      <c r="B477" t="inlineStr">
        <is>
          <t>560 Diam Silencer 2.0D Podded</t>
        </is>
      </c>
      <c r="C477" t="inlineStr">
        <is>
          <t>Attenu-Tec</t>
        </is>
      </c>
      <c r="D477" t="inlineStr">
        <is>
          <t>FM - DONKIN</t>
        </is>
      </c>
      <c r="E477" s="1" t="n">
        <v>3435</v>
      </c>
      <c r="F477" t="n">
        <v>2</v>
      </c>
      <c r="G477" t="n">
        <v>0</v>
      </c>
      <c r="H477" t="n">
        <v>5</v>
      </c>
      <c r="I477" t="n">
        <v>0</v>
      </c>
      <c r="J477" t="n">
        <v>0</v>
      </c>
      <c r="K477">
        <f>IF(H477-I477-J477&gt;0,H477-I477-J477,0)</f>
        <v/>
      </c>
      <c r="L477" s="1">
        <f>IFERROR(I477*E477,0)</f>
        <v/>
      </c>
      <c r="M477" s="1">
        <f>IFERROR(K477*E477,0)</f>
        <v/>
      </c>
    </row>
    <row r="478">
      <c r="A478" t="inlineStr">
        <is>
          <t>560SC</t>
        </is>
      </c>
      <c r="B478" t="inlineStr">
        <is>
          <t>Screen</t>
        </is>
      </c>
      <c r="C478" t="inlineStr">
        <is>
          <t>Heinmor Wire Products CC</t>
        </is>
      </c>
      <c r="D478" t="inlineStr"/>
      <c r="E478" s="1" t="n">
        <v>386</v>
      </c>
      <c r="F478" t="n">
        <v>1</v>
      </c>
      <c r="G478" t="n">
        <v>0</v>
      </c>
      <c r="H478" t="n">
        <v>2</v>
      </c>
      <c r="I478" t="n">
        <v>0</v>
      </c>
      <c r="J478" t="n">
        <v>0</v>
      </c>
      <c r="K478">
        <f>IF(H478-I478-J478&gt;0,H478-I478-J478,0)</f>
        <v/>
      </c>
      <c r="L478" s="1">
        <f>IFERROR(I478*E478,0)</f>
        <v/>
      </c>
      <c r="M478" s="1">
        <f>IFERROR(K478*E478,0)</f>
        <v/>
      </c>
    </row>
    <row r="479">
      <c r="A479" t="inlineStr">
        <is>
          <t>560SM1.0DP</t>
        </is>
      </c>
      <c r="B479" t="inlineStr">
        <is>
          <t>560 Diam Melinex Silencer 1.0D Podded</t>
        </is>
      </c>
      <c r="C479" t="inlineStr">
        <is>
          <t>Attenu-Tec</t>
        </is>
      </c>
      <c r="D479" t="inlineStr">
        <is>
          <t>FM - DONKIN</t>
        </is>
      </c>
      <c r="E479" s="1" t="n">
        <v>2138</v>
      </c>
      <c r="F479" t="n">
        <v>1</v>
      </c>
      <c r="G479" t="n">
        <v>0</v>
      </c>
      <c r="H479" t="n">
        <v>2</v>
      </c>
      <c r="I479" t="n">
        <v>0</v>
      </c>
      <c r="J479" t="n">
        <v>0</v>
      </c>
      <c r="K479">
        <f>IF(H479-I479-J479&gt;0,H479-I479-J479,0)</f>
        <v/>
      </c>
      <c r="L479" s="1">
        <f>IFERROR(I479*E479,0)</f>
        <v/>
      </c>
      <c r="M479" s="1">
        <f>IFERROR(K479*E479,0)</f>
        <v/>
      </c>
    </row>
    <row r="480">
      <c r="A480" t="inlineStr">
        <is>
          <t>560SM1.5DP</t>
        </is>
      </c>
      <c r="B480" t="inlineStr">
        <is>
          <t>560 Diam Melinex Silencer 1.5D Podded</t>
        </is>
      </c>
      <c r="C480" t="inlineStr">
        <is>
          <t>Attenu-Tec</t>
        </is>
      </c>
      <c r="D480" t="inlineStr">
        <is>
          <t>FM - DONKIN</t>
        </is>
      </c>
      <c r="E480" s="1" t="n">
        <v>2486.15</v>
      </c>
      <c r="F480" t="n">
        <v>1</v>
      </c>
      <c r="G480" t="n">
        <v>0</v>
      </c>
      <c r="H480" t="n">
        <v>2</v>
      </c>
      <c r="I480" t="n">
        <v>0</v>
      </c>
      <c r="J480" t="n">
        <v>0</v>
      </c>
      <c r="K480">
        <f>IF(H480-I480-J480&gt;0,H480-I480-J480,0)</f>
        <v/>
      </c>
      <c r="L480" s="1">
        <f>IFERROR(I480*E480,0)</f>
        <v/>
      </c>
      <c r="M480" s="1">
        <f>IFERROR(K480*E480,0)</f>
        <v/>
      </c>
    </row>
    <row r="481">
      <c r="A481" t="inlineStr">
        <is>
          <t>560SM2.0DP</t>
        </is>
      </c>
      <c r="B481" t="inlineStr">
        <is>
          <t>560 Diam Melinex Silencer 2.0D Podded</t>
        </is>
      </c>
      <c r="C481" t="inlineStr">
        <is>
          <t>Attenu-Tec</t>
        </is>
      </c>
      <c r="D481" t="inlineStr">
        <is>
          <t>FM - DONKIN</t>
        </is>
      </c>
      <c r="E481" s="1" t="n">
        <v>3435</v>
      </c>
      <c r="F481" t="n">
        <v>7</v>
      </c>
      <c r="G481" t="n">
        <v>0</v>
      </c>
      <c r="H481" t="n">
        <v>15</v>
      </c>
      <c r="I481" t="n">
        <v>0</v>
      </c>
      <c r="J481" t="n">
        <v>0</v>
      </c>
      <c r="K481">
        <f>IF(H481-I481-J481&gt;0,H481-I481-J481,0)</f>
        <v/>
      </c>
      <c r="L481" s="1">
        <f>IFERROR(I481*E481,0)</f>
        <v/>
      </c>
      <c r="M481" s="1">
        <f>IFERROR(K481*E481,0)</f>
        <v/>
      </c>
    </row>
    <row r="482">
      <c r="A482" t="inlineStr">
        <is>
          <t>600 X 600</t>
        </is>
      </c>
      <c r="B482" t="inlineStr">
        <is>
          <t>Sand Trap Air Louver</t>
        </is>
      </c>
      <c r="C482" t="inlineStr"/>
      <c r="D482" t="inlineStr"/>
      <c r="E482" s="1" t="n">
        <v>0</v>
      </c>
      <c r="F482" t="n">
        <v>1</v>
      </c>
      <c r="G482" t="n">
        <v>0</v>
      </c>
      <c r="H482" t="n">
        <v>2</v>
      </c>
      <c r="I482" t="n">
        <v>0</v>
      </c>
      <c r="J482" t="n">
        <v>0</v>
      </c>
      <c r="K482">
        <f>IF(H482-I482-J482&gt;0,H482-I482-J482,0)</f>
        <v/>
      </c>
      <c r="L482" s="1">
        <f>IFERROR(I482*E482,0)</f>
        <v/>
      </c>
      <c r="M482" s="1">
        <f>IFERROR(K482*E482,0)</f>
        <v/>
      </c>
    </row>
    <row r="483">
      <c r="A483" t="inlineStr">
        <is>
          <t>600/150</t>
        </is>
      </c>
      <c r="B483" t="inlineStr">
        <is>
          <t>150NB T600 RINGS CUT IN ORDER TO MACHINE FLANGES</t>
        </is>
      </c>
      <c r="C483" t="inlineStr">
        <is>
          <t>Malcolm Arnot CC ( Linkflex)</t>
        </is>
      </c>
      <c r="D483" t="inlineStr"/>
      <c r="E483" s="1" t="n">
        <v>407.5</v>
      </c>
      <c r="F483" t="n">
        <v>3</v>
      </c>
      <c r="G483" t="n">
        <v>0</v>
      </c>
      <c r="H483" t="n">
        <v>15</v>
      </c>
      <c r="I483" t="n">
        <v>0</v>
      </c>
      <c r="J483" t="n">
        <v>0</v>
      </c>
      <c r="K483">
        <f>IF(H483-I483-J483&gt;0,H483-I483-J483,0)</f>
        <v/>
      </c>
      <c r="L483" s="1">
        <f>IFERROR(I483*E483,0)</f>
        <v/>
      </c>
      <c r="M483" s="1">
        <f>IFERROR(K483*E483,0)</f>
        <v/>
      </c>
    </row>
    <row r="484">
      <c r="A484" t="inlineStr">
        <is>
          <t>600WC</t>
        </is>
      </c>
      <c r="B484" t="inlineStr">
        <is>
          <t>Wall Cowl &amp; Screen</t>
        </is>
      </c>
      <c r="C484" t="inlineStr"/>
      <c r="D484" t="inlineStr"/>
      <c r="E484" s="1" t="n">
        <v>0</v>
      </c>
      <c r="F484" t="n">
        <v>1</v>
      </c>
      <c r="G484" t="n">
        <v>0</v>
      </c>
      <c r="H484" t="n">
        <v>2</v>
      </c>
      <c r="I484" t="n">
        <v>0</v>
      </c>
      <c r="J484" t="n">
        <v>0</v>
      </c>
      <c r="K484">
        <f>IF(H484-I484-J484&gt;0,H484-I484-J484,0)</f>
        <v/>
      </c>
      <c r="L484" s="1">
        <f>IFERROR(I484*E484,0)</f>
        <v/>
      </c>
      <c r="M484" s="1">
        <f>IFERROR(K484*E484,0)</f>
        <v/>
      </c>
    </row>
    <row r="485">
      <c r="A485" t="inlineStr">
        <is>
          <t>600WL</t>
        </is>
      </c>
      <c r="B485" t="inlineStr">
        <is>
          <t>Weather Louvre</t>
        </is>
      </c>
      <c r="C485" t="inlineStr"/>
      <c r="D485" t="inlineStr"/>
      <c r="E485" s="1" t="n">
        <v>0</v>
      </c>
      <c r="F485" t="n">
        <v>2</v>
      </c>
      <c r="G485" t="n">
        <v>0</v>
      </c>
      <c r="H485" t="n">
        <v>8</v>
      </c>
      <c r="I485" t="n">
        <v>0</v>
      </c>
      <c r="J485" t="n">
        <v>0</v>
      </c>
      <c r="K485">
        <f>IF(H485-I485-J485&gt;0,H485-I485-J485,0)</f>
        <v/>
      </c>
      <c r="L485" s="1">
        <f>IFERROR(I485*E485,0)</f>
        <v/>
      </c>
      <c r="M485" s="1">
        <f>IFERROR(K485*E485,0)</f>
        <v/>
      </c>
    </row>
    <row r="486">
      <c r="A486" t="inlineStr">
        <is>
          <t>6038M104</t>
        </is>
      </c>
      <c r="B486" t="inlineStr">
        <is>
          <t>AT18/18 AR 035 PHASE</t>
        </is>
      </c>
      <c r="C486" t="inlineStr">
        <is>
          <t>Air Movement Supplies</t>
        </is>
      </c>
      <c r="D486" t="inlineStr">
        <is>
          <t>FM - NICOTRA</t>
        </is>
      </c>
      <c r="E486" s="1" t="n">
        <v>3665</v>
      </c>
      <c r="F486" t="n">
        <v>1</v>
      </c>
      <c r="G486" t="n">
        <v>0</v>
      </c>
      <c r="H486" t="n">
        <v>3</v>
      </c>
      <c r="I486" t="n">
        <v>0</v>
      </c>
      <c r="J486" t="n">
        <v>0</v>
      </c>
      <c r="K486">
        <f>IF(H486-I486-J486&gt;0,H486-I486-J486,0)</f>
        <v/>
      </c>
      <c r="L486" s="1">
        <f>IFERROR(I486*E486,0)</f>
        <v/>
      </c>
      <c r="M486" s="1">
        <f>IFERROR(K486*E486,0)</f>
        <v/>
      </c>
    </row>
    <row r="487">
      <c r="A487" t="inlineStr">
        <is>
          <t>610318</t>
        </is>
      </c>
      <c r="B487" t="inlineStr">
        <is>
          <t>DD 12/9 - 610318 - 1100W 6P 400V - 3Ph</t>
        </is>
      </c>
      <c r="C487" t="inlineStr"/>
      <c r="D487" t="inlineStr">
        <is>
          <t>FM - NICOTRA</t>
        </is>
      </c>
      <c r="E487" s="1" t="n">
        <v>0</v>
      </c>
      <c r="F487" t="n">
        <v>1</v>
      </c>
      <c r="G487" t="n">
        <v>0</v>
      </c>
      <c r="H487" t="n">
        <v>2</v>
      </c>
      <c r="I487" t="n">
        <v>0</v>
      </c>
      <c r="J487" t="n">
        <v>0</v>
      </c>
      <c r="K487">
        <f>IF(H487-I487-J487&gt;0,H487-I487-J487,0)</f>
        <v/>
      </c>
      <c r="L487" s="1">
        <f>IFERROR(I487*E487,0)</f>
        <v/>
      </c>
      <c r="M487" s="1">
        <f>IFERROR(K487*E487,0)</f>
        <v/>
      </c>
    </row>
    <row r="488">
      <c r="A488" t="inlineStr">
        <is>
          <t>610633</t>
        </is>
      </c>
      <c r="B488" t="inlineStr">
        <is>
          <t>DD 7/7 - 610633 - 147W 4P 230V-1Ph</t>
        </is>
      </c>
      <c r="C488" t="inlineStr"/>
      <c r="D488" t="inlineStr">
        <is>
          <t>FM - NICOTRA</t>
        </is>
      </c>
      <c r="E488" s="1" t="n">
        <v>0</v>
      </c>
      <c r="F488" t="n">
        <v>1</v>
      </c>
      <c r="G488" t="n">
        <v>0</v>
      </c>
      <c r="H488" t="n">
        <v>2</v>
      </c>
      <c r="I488" t="n">
        <v>0</v>
      </c>
      <c r="J488" t="n">
        <v>0</v>
      </c>
      <c r="K488">
        <f>IF(H488-I488-J488&gt;0,H488-I488-J488,0)</f>
        <v/>
      </c>
      <c r="L488" s="1">
        <f>IFERROR(I488*E488,0)</f>
        <v/>
      </c>
      <c r="M488" s="1">
        <f>IFERROR(K488*E488,0)</f>
        <v/>
      </c>
    </row>
    <row r="489">
      <c r="A489" t="inlineStr">
        <is>
          <t>630-1000AVMS</t>
        </is>
      </c>
      <c r="B489" t="inlineStr">
        <is>
          <t>630 to 1000 NDB GREEN Neoprene Floor Mounts</t>
        </is>
      </c>
      <c r="C489" t="inlineStr">
        <is>
          <t>Seal 'N Devices (Pty) Ltd</t>
        </is>
      </c>
      <c r="D489" t="inlineStr">
        <is>
          <t>FM - DONKIN</t>
        </is>
      </c>
      <c r="E489" s="1" t="n">
        <v>57.37</v>
      </c>
      <c r="F489" t="n">
        <v>20</v>
      </c>
      <c r="G489" t="n">
        <v>0</v>
      </c>
      <c r="H489" t="n">
        <v>98</v>
      </c>
      <c r="I489" t="n">
        <v>0</v>
      </c>
      <c r="J489" t="n">
        <v>0</v>
      </c>
      <c r="K489">
        <f>IF(H489-I489-J489&gt;0,H489-I489-J489,0)</f>
        <v/>
      </c>
      <c r="L489" s="1">
        <f>IFERROR(I489*E489,0)</f>
        <v/>
      </c>
      <c r="M489" s="1">
        <f>IFERROR(K489*E489,0)</f>
        <v/>
      </c>
    </row>
    <row r="490">
      <c r="A490" t="inlineStr">
        <is>
          <t>630.20.D.4</t>
        </is>
      </c>
      <c r="B490" t="inlineStr">
        <is>
          <t>Spare Impeller</t>
        </is>
      </c>
      <c r="C490" t="inlineStr">
        <is>
          <t>Centrifab (Pty) Ltd</t>
        </is>
      </c>
      <c r="D490" t="inlineStr"/>
      <c r="E490" s="1" t="n">
        <v>2200</v>
      </c>
      <c r="F490" t="n">
        <v>1</v>
      </c>
      <c r="G490" t="n">
        <v>0</v>
      </c>
      <c r="H490" t="n">
        <v>2</v>
      </c>
      <c r="I490" t="n">
        <v>0</v>
      </c>
      <c r="J490" t="n">
        <v>0</v>
      </c>
      <c r="K490">
        <f>IF(H490-I490-J490&gt;0,H490-I490-J490,0)</f>
        <v/>
      </c>
      <c r="L490" s="1">
        <f>IFERROR(I490*E490,0)</f>
        <v/>
      </c>
      <c r="M490" s="1">
        <f>IFERROR(K490*E490,0)</f>
        <v/>
      </c>
    </row>
    <row r="491">
      <c r="A491" t="inlineStr">
        <is>
          <t>630/150/10 SI</t>
        </is>
      </c>
      <c r="B491" t="inlineStr">
        <is>
          <t>Spare Impeller (0630mm 'B' 150A10AR 24mm 090Frame Deg 35 DEG - FM3180)</t>
        </is>
      </c>
      <c r="C491" t="inlineStr">
        <is>
          <t>Luft Industries Natal (Pty) Ltd</t>
        </is>
      </c>
      <c r="D491" t="inlineStr"/>
      <c r="E491" s="1" t="n">
        <v>1766.25</v>
      </c>
      <c r="F491" t="n">
        <v>1</v>
      </c>
      <c r="G491" t="n">
        <v>0</v>
      </c>
      <c r="H491" t="n">
        <v>3</v>
      </c>
      <c r="I491" t="n">
        <v>0</v>
      </c>
      <c r="J491" t="n">
        <v>0</v>
      </c>
      <c r="K491">
        <f>IF(H491-I491-J491&gt;0,H491-I491-J491,0)</f>
        <v/>
      </c>
      <c r="L491" s="1">
        <f>IFERROR(I491*E491,0)</f>
        <v/>
      </c>
      <c r="M491" s="1">
        <f>IFERROR(K491*E491,0)</f>
        <v/>
      </c>
    </row>
    <row r="492">
      <c r="A492" t="inlineStr">
        <is>
          <t>630/150/5 SI</t>
        </is>
      </c>
      <c r="B492" t="inlineStr">
        <is>
          <t>Spare Impeller</t>
        </is>
      </c>
      <c r="C492" t="inlineStr">
        <is>
          <t>Luft Industries Natal (Pty) Ltd</t>
        </is>
      </c>
      <c r="D492" t="inlineStr"/>
      <c r="E492" s="1" t="n">
        <v>1382.5</v>
      </c>
      <c r="F492" t="n">
        <v>1</v>
      </c>
      <c r="G492" t="n">
        <v>0</v>
      </c>
      <c r="H492" t="n">
        <v>3</v>
      </c>
      <c r="I492" t="n">
        <v>0</v>
      </c>
      <c r="J492" t="n">
        <v>0</v>
      </c>
      <c r="K492">
        <f>IF(H492-I492-J492&gt;0,H492-I492-J492,0)</f>
        <v/>
      </c>
      <c r="L492" s="1">
        <f>IFERROR(I492*E492,0)</f>
        <v/>
      </c>
      <c r="M492" s="1">
        <f>IFERROR(K492*E492,0)</f>
        <v/>
      </c>
    </row>
    <row r="493">
      <c r="A493" t="inlineStr">
        <is>
          <t>630/250/7SI</t>
        </is>
      </c>
      <c r="B493" t="inlineStr">
        <is>
          <t>Spare Impeller</t>
        </is>
      </c>
      <c r="C493" t="inlineStr">
        <is>
          <t>Luft Industries Natal (Pty) Ltd</t>
        </is>
      </c>
      <c r="D493" t="inlineStr"/>
      <c r="E493" s="1" t="n">
        <v>1837.5</v>
      </c>
      <c r="F493" t="n">
        <v>1</v>
      </c>
      <c r="G493" t="n">
        <v>0</v>
      </c>
      <c r="H493" t="n">
        <v>2</v>
      </c>
      <c r="I493" t="n">
        <v>0</v>
      </c>
      <c r="J493" t="n">
        <v>0</v>
      </c>
      <c r="K493">
        <f>IF(H493-I493-J493&gt;0,H493-I493-J493,0)</f>
        <v/>
      </c>
      <c r="L493" s="1">
        <f>IFERROR(I493*E493,0)</f>
        <v/>
      </c>
      <c r="M493" s="1">
        <f>IFERROR(K493*E493,0)</f>
        <v/>
      </c>
    </row>
    <row r="494">
      <c r="A494" t="inlineStr">
        <is>
          <t>630/3/6</t>
        </is>
      </c>
      <c r="B494" t="inlineStr">
        <is>
          <t>UV 630/3/6 c/w 1.5 kW 6 Pole 380V</t>
        </is>
      </c>
      <c r="C494" t="inlineStr">
        <is>
          <t>Air Speration</t>
        </is>
      </c>
      <c r="D494" t="inlineStr"/>
      <c r="E494" s="1" t="n">
        <v>10527.25</v>
      </c>
      <c r="F494" t="n">
        <v>6</v>
      </c>
      <c r="G494" t="n">
        <v>0</v>
      </c>
      <c r="H494" t="n">
        <v>14</v>
      </c>
      <c r="I494" t="n">
        <v>0</v>
      </c>
      <c r="J494" t="n">
        <v>0</v>
      </c>
      <c r="K494">
        <f>IF(H494-I494-J494&gt;0,H494-I494-J494,0)</f>
        <v/>
      </c>
      <c r="L494" s="1">
        <f>IFERROR(I494*E494,0)</f>
        <v/>
      </c>
      <c r="M494" s="1">
        <f>IFERROR(K494*E494,0)</f>
        <v/>
      </c>
    </row>
    <row r="495">
      <c r="A495" t="inlineStr">
        <is>
          <t>630CF</t>
        </is>
      </c>
      <c r="B495" t="inlineStr">
        <is>
          <t>630 Diam Counter Flange</t>
        </is>
      </c>
      <c r="C495" t="inlineStr">
        <is>
          <t>Attenu-Tec HVAC Parts</t>
        </is>
      </c>
      <c r="D495" t="inlineStr">
        <is>
          <t>FM - C/FLANGE</t>
        </is>
      </c>
      <c r="E495" s="1" t="n">
        <v>0</v>
      </c>
      <c r="F495" t="n">
        <v>3</v>
      </c>
      <c r="G495" t="n">
        <v>0</v>
      </c>
      <c r="H495" t="n">
        <v>13</v>
      </c>
      <c r="I495" t="n">
        <v>0</v>
      </c>
      <c r="J495" t="n">
        <v>0</v>
      </c>
      <c r="K495">
        <f>IF(H495-I495-J495&gt;0,H495-I495-J495,0)</f>
        <v/>
      </c>
      <c r="L495" s="1">
        <f>IFERROR(I495*E495,0)</f>
        <v/>
      </c>
      <c r="M495" s="1">
        <f>IFERROR(K495*E495,0)</f>
        <v/>
      </c>
    </row>
    <row r="496">
      <c r="A496" t="inlineStr">
        <is>
          <t>630CFUG</t>
        </is>
      </c>
      <c r="B496" t="inlineStr">
        <is>
          <t>630 Diam Counter Flange Ungalvanised</t>
        </is>
      </c>
      <c r="C496" t="inlineStr">
        <is>
          <t>ULTIMATENG (PTY) LTD</t>
        </is>
      </c>
      <c r="D496" t="inlineStr">
        <is>
          <t>FM - C/FLANGE</t>
        </is>
      </c>
      <c r="E496" s="1" t="n">
        <v>0</v>
      </c>
      <c r="F496" t="n">
        <v>16</v>
      </c>
      <c r="G496" t="n">
        <v>0</v>
      </c>
      <c r="H496" t="n">
        <v>80</v>
      </c>
      <c r="I496" t="n">
        <v>0</v>
      </c>
      <c r="J496" t="n">
        <v>0</v>
      </c>
      <c r="K496">
        <f>IF(H496-I496-J496&gt;0,H496-I496-J496,0)</f>
        <v/>
      </c>
      <c r="L496" s="1">
        <f>IFERROR(I496*E496,0)</f>
        <v/>
      </c>
      <c r="M496" s="1">
        <f>IFERROR(K496*E496,0)</f>
        <v/>
      </c>
    </row>
    <row r="497">
      <c r="A497" t="inlineStr">
        <is>
          <t>630FC</t>
        </is>
      </c>
      <c r="B497" t="inlineStr">
        <is>
          <t>630 Diam Flexible Connection</t>
        </is>
      </c>
      <c r="C497" t="inlineStr">
        <is>
          <t>Attenu-Tec HVAC Parts</t>
        </is>
      </c>
      <c r="D497" t="inlineStr">
        <is>
          <t>FM - DONKIN</t>
        </is>
      </c>
      <c r="E497" s="1" t="n">
        <v>663.63</v>
      </c>
      <c r="F497" t="n">
        <v>1</v>
      </c>
      <c r="G497" t="n">
        <v>0</v>
      </c>
      <c r="H497" t="n">
        <v>3</v>
      </c>
      <c r="I497" t="n">
        <v>0</v>
      </c>
      <c r="J497" t="n">
        <v>0</v>
      </c>
      <c r="K497">
        <f>IF(H497-I497-J497&gt;0,H497-I497-J497,0)</f>
        <v/>
      </c>
      <c r="L497" s="1">
        <f>IFERROR(I497*E497,0)</f>
        <v/>
      </c>
      <c r="M497" s="1">
        <f>IFERROR(K497*E497,0)</f>
        <v/>
      </c>
    </row>
    <row r="498">
      <c r="A498" t="inlineStr">
        <is>
          <t>630HD</t>
        </is>
      </c>
      <c r="B498" t="inlineStr">
        <is>
          <t>630mm Horizontal Discharge Unit with flange and mesh</t>
        </is>
      </c>
      <c r="C498" t="inlineStr">
        <is>
          <t>Attenu-Tec HVAC Parts</t>
        </is>
      </c>
      <c r="D498" t="inlineStr"/>
      <c r="E498" s="1" t="n">
        <v>1203</v>
      </c>
      <c r="F498" t="n">
        <v>1</v>
      </c>
      <c r="G498" t="n">
        <v>0</v>
      </c>
      <c r="H498" t="n">
        <v>2</v>
      </c>
      <c r="I498" t="n">
        <v>0</v>
      </c>
      <c r="J498" t="n">
        <v>0</v>
      </c>
      <c r="K498">
        <f>IF(H498-I498-J498&gt;0,H498-I498-J498,0)</f>
        <v/>
      </c>
      <c r="L498" s="1">
        <f>IFERROR(I498*E498,0)</f>
        <v/>
      </c>
      <c r="M498" s="1">
        <f>IFERROR(K498*E498,0)</f>
        <v/>
      </c>
    </row>
    <row r="499">
      <c r="A499" t="inlineStr">
        <is>
          <t>630HVJ-2S</t>
        </is>
      </c>
      <c r="B499" t="inlineStr">
        <is>
          <t>630 Diam Vertical Discharge Unit</t>
        </is>
      </c>
      <c r="C499" t="inlineStr">
        <is>
          <t>Attenu-Tec HVAC Parts</t>
        </is>
      </c>
      <c r="D499" t="inlineStr">
        <is>
          <t>FM - DONKIN</t>
        </is>
      </c>
      <c r="E499" s="1" t="n">
        <v>1437</v>
      </c>
      <c r="F499" t="n">
        <v>1</v>
      </c>
      <c r="G499" t="n">
        <v>0</v>
      </c>
      <c r="H499" t="n">
        <v>2</v>
      </c>
      <c r="I499" t="n">
        <v>0</v>
      </c>
      <c r="J499" t="n">
        <v>0</v>
      </c>
      <c r="K499">
        <f>IF(H499-I499-J499&gt;0,H499-I499-J499,0)</f>
        <v/>
      </c>
      <c r="L499" s="1">
        <f>IFERROR(I499*E499,0)</f>
        <v/>
      </c>
      <c r="M499" s="1">
        <f>IFERROR(K499*E499,0)</f>
        <v/>
      </c>
    </row>
    <row r="500">
      <c r="A500" t="inlineStr">
        <is>
          <t>630MBP05</t>
        </is>
      </c>
      <c r="B500" t="inlineStr">
        <is>
          <t>1-0350-240 P05 - 630 Motor Bracket</t>
        </is>
      </c>
      <c r="C500" t="inlineStr">
        <is>
          <t>Kart Shop TA Ultimate Laser Cutting</t>
        </is>
      </c>
      <c r="D500" t="inlineStr"/>
      <c r="E500" s="1" t="n">
        <v>39.82</v>
      </c>
      <c r="F500" t="n">
        <v>6</v>
      </c>
      <c r="G500" t="n">
        <v>0</v>
      </c>
      <c r="H500" t="n">
        <v>29</v>
      </c>
      <c r="I500" t="n">
        <v>0</v>
      </c>
      <c r="J500" t="n">
        <v>0</v>
      </c>
      <c r="K500">
        <f>IF(H500-I500-J500&gt;0,H500-I500-J500,0)</f>
        <v/>
      </c>
      <c r="L500" s="1">
        <f>IFERROR(I500*E500,0)</f>
        <v/>
      </c>
      <c r="M500" s="1">
        <f>IFERROR(K500*E500,0)</f>
        <v/>
      </c>
    </row>
    <row r="501">
      <c r="A501" t="inlineStr">
        <is>
          <t>630MF</t>
        </is>
      </c>
      <c r="B501" t="inlineStr">
        <is>
          <t>630 Diam Mounting Feet</t>
        </is>
      </c>
      <c r="C501" t="inlineStr">
        <is>
          <t>Air Speration</t>
        </is>
      </c>
      <c r="D501" t="inlineStr">
        <is>
          <t>FM - M/FEET</t>
        </is>
      </c>
      <c r="E501" s="1" t="n">
        <v>0</v>
      </c>
      <c r="F501" t="n">
        <v>6</v>
      </c>
      <c r="G501" t="n">
        <v>0</v>
      </c>
      <c r="H501" t="n">
        <v>24</v>
      </c>
      <c r="I501" t="n">
        <v>0</v>
      </c>
      <c r="J501" t="n">
        <v>0</v>
      </c>
      <c r="K501">
        <f>IF(H501-I501-J501&gt;0,H501-I501-J501,0)</f>
        <v/>
      </c>
      <c r="L501" s="1">
        <f>IFERROR(I501*E501,0)</f>
        <v/>
      </c>
      <c r="M501" s="1">
        <f>IFERROR(K501*E501,0)</f>
        <v/>
      </c>
    </row>
    <row r="502">
      <c r="A502" t="inlineStr">
        <is>
          <t>630MFUG</t>
        </is>
      </c>
      <c r="B502" t="inlineStr">
        <is>
          <t>630 Diam Mounting Feet Ungalvanized</t>
        </is>
      </c>
      <c r="C502" t="inlineStr">
        <is>
          <t>ULTIMATENG (PTY) LTD</t>
        </is>
      </c>
      <c r="D502" t="inlineStr">
        <is>
          <t>FM - M/FEET</t>
        </is>
      </c>
      <c r="E502" s="1" t="n">
        <v>0</v>
      </c>
      <c r="F502" t="n">
        <v>14</v>
      </c>
      <c r="G502" t="n">
        <v>0</v>
      </c>
      <c r="H502" t="n">
        <v>68</v>
      </c>
      <c r="I502" t="n">
        <v>0</v>
      </c>
      <c r="J502" t="n">
        <v>0</v>
      </c>
      <c r="K502">
        <f>IF(H502-I502-J502&gt;0,H502-I502-J502,0)</f>
        <v/>
      </c>
      <c r="L502" s="1">
        <f>IFERROR(I502*E502,0)</f>
        <v/>
      </c>
      <c r="M502" s="1">
        <f>IFERROR(K502*E502,0)</f>
        <v/>
      </c>
    </row>
    <row r="503">
      <c r="A503" t="inlineStr">
        <is>
          <t>630PLT400-3MM</t>
        </is>
      </c>
      <c r="B503" t="inlineStr">
        <is>
          <t>630 Casing Sheet - 1987 x 400 - 3mm</t>
        </is>
      </c>
      <c r="C503" t="inlineStr">
        <is>
          <t>NJR STEEL - ALRODE (PTY) LTD</t>
        </is>
      </c>
      <c r="D503" t="inlineStr">
        <is>
          <t>FM - FABRICATION</t>
        </is>
      </c>
      <c r="E503" s="1" t="n">
        <v>461</v>
      </c>
      <c r="F503" t="n">
        <v>4</v>
      </c>
      <c r="G503" t="n">
        <v>0</v>
      </c>
      <c r="H503" t="n">
        <v>20</v>
      </c>
      <c r="I503" t="n">
        <v>0</v>
      </c>
      <c r="J503" t="n">
        <v>0</v>
      </c>
      <c r="K503">
        <f>IF(H503-I503-J503&gt;0,H503-I503-J503,0)</f>
        <v/>
      </c>
      <c r="L503" s="1">
        <f>IFERROR(I503*E503,0)</f>
        <v/>
      </c>
      <c r="M503" s="1">
        <f>IFERROR(K503*E503,0)</f>
        <v/>
      </c>
    </row>
    <row r="504">
      <c r="A504" t="inlineStr">
        <is>
          <t>630S1.5DP</t>
        </is>
      </c>
      <c r="B504" t="inlineStr">
        <is>
          <t>630 Diam Silencer 1.5D Podded</t>
        </is>
      </c>
      <c r="C504" t="inlineStr">
        <is>
          <t>Attenu-Tec</t>
        </is>
      </c>
      <c r="D504" t="inlineStr">
        <is>
          <t>FM - DONKIN</t>
        </is>
      </c>
      <c r="E504" s="1" t="n">
        <v>3010</v>
      </c>
      <c r="F504" t="n">
        <v>3</v>
      </c>
      <c r="G504" t="n">
        <v>0</v>
      </c>
      <c r="H504" t="n">
        <v>10</v>
      </c>
      <c r="I504" t="n">
        <v>0</v>
      </c>
      <c r="J504" t="n">
        <v>5</v>
      </c>
      <c r="K504">
        <f>IF(H504-I504-J504&gt;0,H504-I504-J504,0)</f>
        <v/>
      </c>
      <c r="L504" s="1">
        <f>IFERROR(I504*E504,0)</f>
        <v/>
      </c>
      <c r="M504" s="1">
        <f>IFERROR(K504*E504,0)</f>
        <v/>
      </c>
    </row>
    <row r="505">
      <c r="A505" t="inlineStr">
        <is>
          <t>630S2.0D</t>
        </is>
      </c>
      <c r="B505" t="inlineStr">
        <is>
          <t>630 Diam Silencer 2.0D</t>
        </is>
      </c>
      <c r="C505" t="inlineStr">
        <is>
          <t>Attenu-Tec</t>
        </is>
      </c>
      <c r="D505" t="inlineStr">
        <is>
          <t>FM - DONKIN</t>
        </is>
      </c>
      <c r="E505" s="1" t="n">
        <v>3075</v>
      </c>
      <c r="F505" t="n">
        <v>1</v>
      </c>
      <c r="G505" t="n">
        <v>0</v>
      </c>
      <c r="H505" t="n">
        <v>3</v>
      </c>
      <c r="I505" t="n">
        <v>0</v>
      </c>
      <c r="J505" t="n">
        <v>0</v>
      </c>
      <c r="K505">
        <f>IF(H505-I505-J505&gt;0,H505-I505-J505,0)</f>
        <v/>
      </c>
      <c r="L505" s="1">
        <f>IFERROR(I505*E505,0)</f>
        <v/>
      </c>
      <c r="M505" s="1">
        <f>IFERROR(K505*E505,0)</f>
        <v/>
      </c>
    </row>
    <row r="506">
      <c r="A506" t="inlineStr">
        <is>
          <t>630S2.0DP</t>
        </is>
      </c>
      <c r="B506" t="inlineStr">
        <is>
          <t>630 Diam Silencer 2.0D Podded</t>
        </is>
      </c>
      <c r="C506" t="inlineStr">
        <is>
          <t>Attenu-Tec</t>
        </is>
      </c>
      <c r="D506" t="inlineStr">
        <is>
          <t>FM - DONKIN</t>
        </is>
      </c>
      <c r="E506" s="1" t="n">
        <v>3896</v>
      </c>
      <c r="F506" t="n">
        <v>2</v>
      </c>
      <c r="G506" t="n">
        <v>0</v>
      </c>
      <c r="H506" t="n">
        <v>6</v>
      </c>
      <c r="I506" t="n">
        <v>0</v>
      </c>
      <c r="J506" t="n">
        <v>0</v>
      </c>
      <c r="K506">
        <f>IF(H506-I506-J506&gt;0,H506-I506-J506,0)</f>
        <v/>
      </c>
      <c r="L506" s="1">
        <f>IFERROR(I506*E506,0)</f>
        <v/>
      </c>
      <c r="M506" s="1">
        <f>IFERROR(K506*E506,0)</f>
        <v/>
      </c>
    </row>
    <row r="507">
      <c r="A507" t="inlineStr">
        <is>
          <t>630SC</t>
        </is>
      </c>
      <c r="B507" t="inlineStr">
        <is>
          <t>Screen</t>
        </is>
      </c>
      <c r="C507" t="inlineStr">
        <is>
          <t>Heinmor Wire Products CC</t>
        </is>
      </c>
      <c r="D507" t="inlineStr"/>
      <c r="E507" s="1" t="n">
        <v>455</v>
      </c>
      <c r="F507" t="n">
        <v>1</v>
      </c>
      <c r="G507" t="n">
        <v>0</v>
      </c>
      <c r="H507" t="n">
        <v>2</v>
      </c>
      <c r="I507" t="n">
        <v>0</v>
      </c>
      <c r="J507" t="n">
        <v>0</v>
      </c>
      <c r="K507">
        <f>IF(H507-I507-J507&gt;0,H507-I507-J507,0)</f>
        <v/>
      </c>
      <c r="L507" s="1">
        <f>IFERROR(I507*E507,0)</f>
        <v/>
      </c>
      <c r="M507" s="1">
        <f>IFERROR(K507*E507,0)</f>
        <v/>
      </c>
    </row>
    <row r="508">
      <c r="A508" t="inlineStr">
        <is>
          <t>630SM1.0DP</t>
        </is>
      </c>
      <c r="B508" t="inlineStr">
        <is>
          <t>630 Diam Melinex Silencer 1.0D Podded</t>
        </is>
      </c>
      <c r="C508" t="inlineStr">
        <is>
          <t>Attenu-Tec</t>
        </is>
      </c>
      <c r="D508" t="inlineStr">
        <is>
          <t>FM - DONKIN</t>
        </is>
      </c>
      <c r="E508" s="1" t="n">
        <v>2400</v>
      </c>
      <c r="F508" t="n">
        <v>1</v>
      </c>
      <c r="G508" t="n">
        <v>0</v>
      </c>
      <c r="H508" t="n">
        <v>5</v>
      </c>
      <c r="I508" t="n">
        <v>0</v>
      </c>
      <c r="J508" t="n">
        <v>0</v>
      </c>
      <c r="K508">
        <f>IF(H508-I508-J508&gt;0,H508-I508-J508,0)</f>
        <v/>
      </c>
      <c r="L508" s="1">
        <f>IFERROR(I508*E508,0)</f>
        <v/>
      </c>
      <c r="M508" s="1">
        <f>IFERROR(K508*E508,0)</f>
        <v/>
      </c>
    </row>
    <row r="509">
      <c r="A509" t="inlineStr">
        <is>
          <t>630SM1.5D</t>
        </is>
      </c>
      <c r="B509" t="inlineStr">
        <is>
          <t>630 Diam Melinex Silencer 1.5D</t>
        </is>
      </c>
      <c r="C509" t="inlineStr">
        <is>
          <t>Attenu-Tec</t>
        </is>
      </c>
      <c r="D509" t="inlineStr">
        <is>
          <t>FM - DONKIN</t>
        </is>
      </c>
      <c r="E509" s="1" t="n">
        <v>2175</v>
      </c>
      <c r="F509" t="n">
        <v>1</v>
      </c>
      <c r="G509" t="n">
        <v>0</v>
      </c>
      <c r="H509" t="n">
        <v>5</v>
      </c>
      <c r="I509" t="n">
        <v>0</v>
      </c>
      <c r="J509" t="n">
        <v>0</v>
      </c>
      <c r="K509">
        <f>IF(H509-I509-J509&gt;0,H509-I509-J509,0)</f>
        <v/>
      </c>
      <c r="L509" s="1">
        <f>IFERROR(I509*E509,0)</f>
        <v/>
      </c>
      <c r="M509" s="1">
        <f>IFERROR(K509*E509,0)</f>
        <v/>
      </c>
    </row>
    <row r="510">
      <c r="A510" t="inlineStr">
        <is>
          <t>630SM1.5DP</t>
        </is>
      </c>
      <c r="B510" t="inlineStr">
        <is>
          <t>630 Diam Melinex Silencer 1.5D Podded</t>
        </is>
      </c>
      <c r="C510" t="inlineStr">
        <is>
          <t>Attenu-Tec</t>
        </is>
      </c>
      <c r="D510" t="inlineStr">
        <is>
          <t>FM - DONKIN</t>
        </is>
      </c>
      <c r="E510" s="1" t="n">
        <v>2916.38</v>
      </c>
      <c r="F510" t="n">
        <v>1</v>
      </c>
      <c r="G510" t="n">
        <v>0</v>
      </c>
      <c r="H510" t="n">
        <v>4</v>
      </c>
      <c r="I510" t="n">
        <v>0</v>
      </c>
      <c r="J510" t="n">
        <v>0</v>
      </c>
      <c r="K510">
        <f>IF(H510-I510-J510&gt;0,H510-I510-J510,0)</f>
        <v/>
      </c>
      <c r="L510" s="1">
        <f>IFERROR(I510*E510,0)</f>
        <v/>
      </c>
      <c r="M510" s="1">
        <f>IFERROR(K510*E510,0)</f>
        <v/>
      </c>
    </row>
    <row r="511">
      <c r="A511" t="inlineStr">
        <is>
          <t>630SM2.0DP</t>
        </is>
      </c>
      <c r="B511" t="inlineStr">
        <is>
          <t>630 Diam Melinex Silencer 2.0D Podded</t>
        </is>
      </c>
      <c r="C511" t="inlineStr">
        <is>
          <t>Attenu-Tec</t>
        </is>
      </c>
      <c r="D511" t="inlineStr">
        <is>
          <t>FM - DONKIN</t>
        </is>
      </c>
      <c r="E511" s="1" t="n">
        <v>3693</v>
      </c>
      <c r="F511" t="n">
        <v>6</v>
      </c>
      <c r="G511" t="n">
        <v>0</v>
      </c>
      <c r="H511" t="n">
        <v>14</v>
      </c>
      <c r="I511" t="n">
        <v>0</v>
      </c>
      <c r="J511" t="n">
        <v>0</v>
      </c>
      <c r="K511">
        <f>IF(H511-I511-J511&gt;0,H511-I511-J511,0)</f>
        <v/>
      </c>
      <c r="L511" s="1">
        <f>IFERROR(I511*E511,0)</f>
        <v/>
      </c>
      <c r="M511" s="1">
        <f>IFERROR(K511*E511,0)</f>
        <v/>
      </c>
    </row>
    <row r="512">
      <c r="A512" t="inlineStr">
        <is>
          <t>630WC</t>
        </is>
      </c>
      <c r="B512" t="inlineStr">
        <is>
          <t>Wall Cowl &amp; Screen</t>
        </is>
      </c>
      <c r="C512" t="inlineStr">
        <is>
          <t>Attenu-Tec HVAC Parts</t>
        </is>
      </c>
      <c r="D512" t="inlineStr"/>
      <c r="E512" s="1" t="n">
        <v>1110</v>
      </c>
      <c r="F512" t="n">
        <v>2</v>
      </c>
      <c r="G512" t="n">
        <v>0</v>
      </c>
      <c r="H512" t="n">
        <v>4</v>
      </c>
      <c r="I512" t="n">
        <v>0</v>
      </c>
      <c r="J512" t="n">
        <v>0</v>
      </c>
      <c r="K512">
        <f>IF(H512-I512-J512&gt;0,H512-I512-J512,0)</f>
        <v/>
      </c>
      <c r="L512" s="1">
        <f>IFERROR(I512*E512,0)</f>
        <v/>
      </c>
      <c r="M512" s="1">
        <f>IFERROR(K512*E512,0)</f>
        <v/>
      </c>
    </row>
    <row r="513">
      <c r="A513" t="inlineStr">
        <is>
          <t>6M020K</t>
        </is>
      </c>
      <c r="B513" t="inlineStr">
        <is>
          <t>DDM 9/7 6M020K - 300W 4P 400V-3Ph</t>
        </is>
      </c>
      <c r="C513" t="inlineStr"/>
      <c r="D513" t="inlineStr">
        <is>
          <t>FM - NICOTRA</t>
        </is>
      </c>
      <c r="E513" s="1" t="n">
        <v>0</v>
      </c>
      <c r="F513" t="n">
        <v>1</v>
      </c>
      <c r="G513" t="n">
        <v>0</v>
      </c>
      <c r="H513" t="n">
        <v>2</v>
      </c>
      <c r="I513" t="n">
        <v>0</v>
      </c>
      <c r="J513" t="n">
        <v>0</v>
      </c>
      <c r="K513">
        <f>IF(H513-I513-J513&gt;0,H513-I513-J513,0)</f>
        <v/>
      </c>
      <c r="L513" s="1">
        <f>IFERROR(I513*E513,0)</f>
        <v/>
      </c>
      <c r="M513" s="1">
        <f>IFERROR(K513*E513,0)</f>
        <v/>
      </c>
    </row>
    <row r="514">
      <c r="A514" t="inlineStr">
        <is>
          <t>6M020M</t>
        </is>
      </c>
      <c r="B514" t="inlineStr">
        <is>
          <t>DDM 9/7 - 6M020M - 550W 4P 230V-1Ph</t>
        </is>
      </c>
      <c r="C514" t="inlineStr"/>
      <c r="D514" t="inlineStr">
        <is>
          <t>FM - NICOTRA</t>
        </is>
      </c>
      <c r="E514" s="1" t="n">
        <v>0</v>
      </c>
      <c r="F514" t="n">
        <v>1</v>
      </c>
      <c r="G514" t="n">
        <v>0</v>
      </c>
      <c r="H514" t="n">
        <v>2</v>
      </c>
      <c r="I514" t="n">
        <v>0</v>
      </c>
      <c r="J514" t="n">
        <v>0</v>
      </c>
      <c r="K514">
        <f>IF(H514-I514-J514&gt;0,H514-I514-J514,0)</f>
        <v/>
      </c>
      <c r="L514" s="1">
        <f>IFERROR(I514*E514,0)</f>
        <v/>
      </c>
      <c r="M514" s="1">
        <f>IFERROR(K514*E514,0)</f>
        <v/>
      </c>
    </row>
    <row r="515">
      <c r="A515" t="inlineStr">
        <is>
          <t>6M02149B</t>
        </is>
      </c>
      <c r="B515" t="inlineStr">
        <is>
          <t>DDM 10/10 3F 6P 550W</t>
        </is>
      </c>
      <c r="C515" t="inlineStr">
        <is>
          <t>Regal Beloit Italy S.p.A - Nicotra .</t>
        </is>
      </c>
      <c r="D515" t="inlineStr"/>
      <c r="E515" s="1" t="n">
        <v>5313.2</v>
      </c>
      <c r="F515" t="n">
        <v>3</v>
      </c>
      <c r="G515" t="n">
        <v>0</v>
      </c>
      <c r="H515" t="n">
        <v>9</v>
      </c>
      <c r="I515" t="n">
        <v>0</v>
      </c>
      <c r="J515" t="n">
        <v>0</v>
      </c>
      <c r="K515">
        <f>IF(H515-I515-J515&gt;0,H515-I515-J515,0)</f>
        <v/>
      </c>
      <c r="L515" s="1">
        <f>IFERROR(I515*E515,0)</f>
        <v/>
      </c>
      <c r="M515" s="1">
        <f>IFERROR(K515*E515,0)</f>
        <v/>
      </c>
    </row>
    <row r="516">
      <c r="A516" t="inlineStr">
        <is>
          <t>6M0299</t>
        </is>
      </c>
      <c r="B516" t="inlineStr">
        <is>
          <t>DDM 7/7 - 6M0299 - 300W 4P 230V-1Ph</t>
        </is>
      </c>
      <c r="C516" t="inlineStr"/>
      <c r="D516" t="inlineStr">
        <is>
          <t>FM - NICOTRA</t>
        </is>
      </c>
      <c r="E516" s="1" t="n">
        <v>0</v>
      </c>
      <c r="F516" t="n">
        <v>1</v>
      </c>
      <c r="G516" t="n">
        <v>0</v>
      </c>
      <c r="H516" t="n">
        <v>2</v>
      </c>
      <c r="I516" t="n">
        <v>0</v>
      </c>
      <c r="J516" t="n">
        <v>0</v>
      </c>
      <c r="K516">
        <f>IF(H516-I516-J516&gt;0,H516-I516-J516,0)</f>
        <v/>
      </c>
      <c r="L516" s="1">
        <f>IFERROR(I516*E516,0)</f>
        <v/>
      </c>
      <c r="M516" s="1">
        <f>IFERROR(K516*E516,0)</f>
        <v/>
      </c>
    </row>
    <row r="517">
      <c r="A517" t="inlineStr">
        <is>
          <t>6M02H0</t>
        </is>
      </c>
      <c r="B517" t="inlineStr">
        <is>
          <t>DDM 10/10 - 6M02H0 - 600W 4P 220V-1Ph</t>
        </is>
      </c>
      <c r="C517" t="inlineStr"/>
      <c r="D517" t="inlineStr">
        <is>
          <t>FM - NICOTRA</t>
        </is>
      </c>
      <c r="E517" s="1" t="n">
        <v>0</v>
      </c>
      <c r="F517" t="n">
        <v>1</v>
      </c>
      <c r="G517" t="n">
        <v>0</v>
      </c>
      <c r="H517" t="n">
        <v>2</v>
      </c>
      <c r="I517" t="n">
        <v>0</v>
      </c>
      <c r="J517" t="n">
        <v>0</v>
      </c>
      <c r="K517">
        <f>IF(H517-I517-J517&gt;0,H517-I517-J517,0)</f>
        <v/>
      </c>
      <c r="L517" s="1">
        <f>IFERROR(I517*E517,0)</f>
        <v/>
      </c>
      <c r="M517" s="1">
        <f>IFERROR(K517*E517,0)</f>
        <v/>
      </c>
    </row>
    <row r="518">
      <c r="A518" t="inlineStr">
        <is>
          <t>6M02H4</t>
        </is>
      </c>
      <c r="B518" t="inlineStr">
        <is>
          <t>DDM 10/8 - 6M02H4 - 550W 4P 230V-1Ph</t>
        </is>
      </c>
      <c r="C518" t="inlineStr"/>
      <c r="D518" t="inlineStr">
        <is>
          <t>FM - NICOTRA</t>
        </is>
      </c>
      <c r="E518" s="1" t="n">
        <v>0</v>
      </c>
      <c r="F518" t="n">
        <v>1</v>
      </c>
      <c r="G518" t="n">
        <v>0</v>
      </c>
      <c r="H518" t="n">
        <v>2</v>
      </c>
      <c r="I518" t="n">
        <v>0</v>
      </c>
      <c r="J518" t="n">
        <v>0</v>
      </c>
      <c r="K518">
        <f>IF(H518-I518-J518&gt;0,H518-I518-J518,0)</f>
        <v/>
      </c>
      <c r="L518" s="1">
        <f>IFERROR(I518*E518,0)</f>
        <v/>
      </c>
      <c r="M518" s="1">
        <f>IFERROR(K518*E518,0)</f>
        <v/>
      </c>
    </row>
    <row r="519">
      <c r="A519" t="inlineStr">
        <is>
          <t>6M02H5</t>
        </is>
      </c>
      <c r="B519" t="inlineStr">
        <is>
          <t>DDM 10/8 - 6M02H5 - 600W 4P 380V</t>
        </is>
      </c>
      <c r="C519" t="inlineStr"/>
      <c r="D519" t="inlineStr">
        <is>
          <t>FM - NICOTRA</t>
        </is>
      </c>
      <c r="E519" s="1" t="n">
        <v>0</v>
      </c>
      <c r="F519" t="n">
        <v>1</v>
      </c>
      <c r="G519" t="n">
        <v>0</v>
      </c>
      <c r="H519" t="n">
        <v>2</v>
      </c>
      <c r="I519" t="n">
        <v>0</v>
      </c>
      <c r="J519" t="n">
        <v>0</v>
      </c>
      <c r="K519">
        <f>IF(H519-I519-J519&gt;0,H519-I519-J519,0)</f>
        <v/>
      </c>
      <c r="L519" s="1">
        <f>IFERROR(I519*E519,0)</f>
        <v/>
      </c>
      <c r="M519" s="1">
        <f>IFERROR(K519*E519,0)</f>
        <v/>
      </c>
    </row>
    <row r="520">
      <c r="A520" t="inlineStr">
        <is>
          <t>6M02P4</t>
        </is>
      </c>
      <c r="B520" t="inlineStr">
        <is>
          <t>DDM 10/10 - 6M02P4 - 550W 4P 230V-1Ph</t>
        </is>
      </c>
      <c r="C520" t="inlineStr"/>
      <c r="D520" t="inlineStr">
        <is>
          <t>FM - NICOTRA</t>
        </is>
      </c>
      <c r="E520" s="1" t="n">
        <v>0</v>
      </c>
      <c r="F520" t="n">
        <v>1</v>
      </c>
      <c r="G520" t="n">
        <v>0</v>
      </c>
      <c r="H520" t="n">
        <v>2</v>
      </c>
      <c r="I520" t="n">
        <v>0</v>
      </c>
      <c r="J520" t="n">
        <v>0</v>
      </c>
      <c r="K520">
        <f>IF(H520-I520-J520&gt;0,H520-I520-J520,0)</f>
        <v/>
      </c>
      <c r="L520" s="1">
        <f>IFERROR(I520*E520,0)</f>
        <v/>
      </c>
      <c r="M520" s="1">
        <f>IFERROR(K520*E520,0)</f>
        <v/>
      </c>
    </row>
    <row r="521">
      <c r="A521" t="inlineStr">
        <is>
          <t>6M02R7</t>
        </is>
      </c>
      <c r="B521" t="inlineStr">
        <is>
          <t>DDM 10/10 - 6M02R7 - 500W 6P 230V-1Ph</t>
        </is>
      </c>
      <c r="C521" t="inlineStr"/>
      <c r="D521" t="inlineStr">
        <is>
          <t>FM - NICOTRA</t>
        </is>
      </c>
      <c r="E521" s="1" t="n">
        <v>0</v>
      </c>
      <c r="F521" t="n">
        <v>1</v>
      </c>
      <c r="G521" t="n">
        <v>0</v>
      </c>
      <c r="H521" t="n">
        <v>2</v>
      </c>
      <c r="I521" t="n">
        <v>0</v>
      </c>
      <c r="J521" t="n">
        <v>0</v>
      </c>
      <c r="K521">
        <f>IF(H521-I521-J521&gt;0,H521-I521-J521,0)</f>
        <v/>
      </c>
      <c r="L521" s="1">
        <f>IFERROR(I521*E521,0)</f>
        <v/>
      </c>
      <c r="M521" s="1">
        <f>IFERROR(K521*E521,0)</f>
        <v/>
      </c>
    </row>
    <row r="522">
      <c r="A522" t="inlineStr">
        <is>
          <t>6M02R9</t>
        </is>
      </c>
      <c r="B522" t="inlineStr">
        <is>
          <t>DDM 9/9 - 6M02R9 - 550W 4P 220V-1Ph</t>
        </is>
      </c>
      <c r="C522" t="inlineStr">
        <is>
          <t>Regal Beloit Italy S.p.A - Nicotra .</t>
        </is>
      </c>
      <c r="D522" t="inlineStr">
        <is>
          <t>FM - NICOTRA</t>
        </is>
      </c>
      <c r="E522" s="1" t="n">
        <v>2986.83</v>
      </c>
      <c r="F522" t="n">
        <v>1</v>
      </c>
      <c r="G522" t="n">
        <v>0</v>
      </c>
      <c r="H522" t="n">
        <v>2</v>
      </c>
      <c r="I522" t="n">
        <v>0</v>
      </c>
      <c r="J522" t="n">
        <v>0</v>
      </c>
      <c r="K522">
        <f>IF(H522-I522-J522&gt;0,H522-I522-J522,0)</f>
        <v/>
      </c>
      <c r="L522" s="1">
        <f>IFERROR(I522*E522,0)</f>
        <v/>
      </c>
      <c r="M522" s="1">
        <f>IFERROR(K522*E522,0)</f>
        <v/>
      </c>
    </row>
    <row r="523">
      <c r="A523" t="inlineStr">
        <is>
          <t>6M0629</t>
        </is>
      </c>
      <c r="B523" t="inlineStr">
        <is>
          <t>DD 9/7 - 6M0629 - 373W 4P 220V - 13Ph</t>
        </is>
      </c>
      <c r="C523" t="inlineStr"/>
      <c r="D523" t="inlineStr">
        <is>
          <t>FM - NICOTRA</t>
        </is>
      </c>
      <c r="E523" s="1" t="n">
        <v>0</v>
      </c>
      <c r="F523" t="n">
        <v>1</v>
      </c>
      <c r="G523" t="n">
        <v>0</v>
      </c>
      <c r="H523" t="n">
        <v>2</v>
      </c>
      <c r="I523" t="n">
        <v>0</v>
      </c>
      <c r="J523" t="n">
        <v>0</v>
      </c>
      <c r="K523">
        <f>IF(H523-I523-J523&gt;0,H523-I523-J523,0)</f>
        <v/>
      </c>
      <c r="L523" s="1">
        <f>IFERROR(I523*E523,0)</f>
        <v/>
      </c>
      <c r="M523" s="1">
        <f>IFERROR(K523*E523,0)</f>
        <v/>
      </c>
    </row>
    <row r="524">
      <c r="A524" t="inlineStr">
        <is>
          <t>6M0631</t>
        </is>
      </c>
      <c r="B524" t="inlineStr">
        <is>
          <t>DD 10/8 - 6M0631 - 373W 4P 220V - 1Ph</t>
        </is>
      </c>
      <c r="C524" t="inlineStr"/>
      <c r="D524" t="inlineStr">
        <is>
          <t>FM - NICOTRA</t>
        </is>
      </c>
      <c r="E524" s="1" t="n">
        <v>0</v>
      </c>
      <c r="F524" t="n">
        <v>1</v>
      </c>
      <c r="G524" t="n">
        <v>0</v>
      </c>
      <c r="H524" t="n">
        <v>2</v>
      </c>
      <c r="I524" t="n">
        <v>0</v>
      </c>
      <c r="J524" t="n">
        <v>0</v>
      </c>
      <c r="K524">
        <f>IF(H524-I524-J524&gt;0,H524-I524-J524,0)</f>
        <v/>
      </c>
      <c r="L524" s="1">
        <f>IFERROR(I524*E524,0)</f>
        <v/>
      </c>
      <c r="M524" s="1">
        <f>IFERROR(K524*E524,0)</f>
        <v/>
      </c>
    </row>
    <row r="525">
      <c r="A525" t="inlineStr">
        <is>
          <t>6M066N</t>
        </is>
      </c>
      <c r="B525" t="inlineStr">
        <is>
          <t>DD 9/9 - 6M066N - 550W 4P 220V - 1Ph</t>
        </is>
      </c>
      <c r="C525" t="inlineStr"/>
      <c r="D525" t="inlineStr">
        <is>
          <t>FM - NICOTRA</t>
        </is>
      </c>
      <c r="E525" s="1" t="n">
        <v>0</v>
      </c>
      <c r="F525" t="n">
        <v>1</v>
      </c>
      <c r="G525" t="n">
        <v>0</v>
      </c>
      <c r="H525" t="n">
        <v>2</v>
      </c>
      <c r="I525" t="n">
        <v>0</v>
      </c>
      <c r="J525" t="n">
        <v>0</v>
      </c>
      <c r="K525">
        <f>IF(H525-I525-J525&gt;0,H525-I525-J525,0)</f>
        <v/>
      </c>
      <c r="L525" s="1">
        <f>IFERROR(I525*E525,0)</f>
        <v/>
      </c>
      <c r="M525" s="1">
        <f>IFERROR(K525*E525,0)</f>
        <v/>
      </c>
    </row>
    <row r="526">
      <c r="A526" t="inlineStr">
        <is>
          <t>6M0697</t>
        </is>
      </c>
      <c r="B526" t="inlineStr">
        <is>
          <t>DD 9/9 - 6M0697 - 300W 4P 220V - 1Ph</t>
        </is>
      </c>
      <c r="C526" t="inlineStr"/>
      <c r="D526" t="inlineStr">
        <is>
          <t>FM - NICOTRA</t>
        </is>
      </c>
      <c r="E526" s="1" t="n">
        <v>0</v>
      </c>
      <c r="F526" t="n">
        <v>1</v>
      </c>
      <c r="G526" t="n">
        <v>0</v>
      </c>
      <c r="H526" t="n">
        <v>2</v>
      </c>
      <c r="I526" t="n">
        <v>0</v>
      </c>
      <c r="J526" t="n">
        <v>0</v>
      </c>
      <c r="K526">
        <f>IF(H526-I526-J526&gt;0,H526-I526-J526,0)</f>
        <v/>
      </c>
      <c r="L526" s="1">
        <f>IFERROR(I526*E526,0)</f>
        <v/>
      </c>
      <c r="M526" s="1">
        <f>IFERROR(K526*E526,0)</f>
        <v/>
      </c>
    </row>
    <row r="527">
      <c r="A527" t="inlineStr">
        <is>
          <t>6N02R9</t>
        </is>
      </c>
      <c r="B527" t="inlineStr">
        <is>
          <t>DDM 9/9 - 6N02R9 - 550W 4P 220V-1Ph</t>
        </is>
      </c>
      <c r="C527" t="inlineStr"/>
      <c r="D527" t="inlineStr"/>
      <c r="E527" s="1" t="n">
        <v>0</v>
      </c>
      <c r="F527" t="n">
        <v>2</v>
      </c>
      <c r="G527" t="n">
        <v>0</v>
      </c>
      <c r="H527" t="n">
        <v>10</v>
      </c>
      <c r="I527" t="n">
        <v>0</v>
      </c>
      <c r="J527" t="n">
        <v>0</v>
      </c>
      <c r="K527">
        <f>IF(H527-I527-J527&gt;0,H527-I527-J527,0)</f>
        <v/>
      </c>
      <c r="L527" s="1">
        <f>IFERROR(I527*E527,0)</f>
        <v/>
      </c>
      <c r="M527" s="1">
        <f>IFERROR(K527*E527,0)</f>
        <v/>
      </c>
    </row>
    <row r="528">
      <c r="A528" t="inlineStr">
        <is>
          <t>6N02XF</t>
        </is>
      </c>
      <c r="B528" t="inlineStr">
        <is>
          <t>DDM 10/10 E6G2503 1F 4P 1V</t>
        </is>
      </c>
      <c r="C528" t="inlineStr">
        <is>
          <t>Regal Beloit Italy S.p.A - Nicotra .</t>
        </is>
      </c>
      <c r="D528" t="inlineStr"/>
      <c r="E528" s="1" t="n">
        <v>3763.11</v>
      </c>
      <c r="F528" t="n">
        <v>9</v>
      </c>
      <c r="G528" t="n">
        <v>0</v>
      </c>
      <c r="H528" t="n">
        <v>29</v>
      </c>
      <c r="I528" t="n">
        <v>0</v>
      </c>
      <c r="J528" t="n">
        <v>0</v>
      </c>
      <c r="K528">
        <f>IF(H528-I528-J528&gt;0,H528-I528-J528,0)</f>
        <v/>
      </c>
      <c r="L528" s="1">
        <f>IFERROR(I528*E528,0)</f>
        <v/>
      </c>
      <c r="M528" s="1">
        <f>IFERROR(K528*E528,0)</f>
        <v/>
      </c>
    </row>
    <row r="529">
      <c r="A529" t="inlineStr">
        <is>
          <t>6N0320</t>
        </is>
      </c>
      <c r="B529" t="inlineStr">
        <is>
          <t>DD 12/12 - 6N0320 - 1100W 6P 400V 3Ph</t>
        </is>
      </c>
      <c r="C529" t="inlineStr"/>
      <c r="D529" t="inlineStr">
        <is>
          <t>FM - NICOTRA</t>
        </is>
      </c>
      <c r="E529" s="1" t="n">
        <v>0</v>
      </c>
      <c r="F529" t="n">
        <v>1</v>
      </c>
      <c r="G529" t="n">
        <v>0</v>
      </c>
      <c r="H529" t="n">
        <v>5</v>
      </c>
      <c r="I529" t="n">
        <v>0</v>
      </c>
      <c r="J529" t="n">
        <v>0</v>
      </c>
      <c r="K529">
        <f>IF(H529-I529-J529&gt;0,H529-I529-J529,0)</f>
        <v/>
      </c>
      <c r="L529" s="1">
        <f>IFERROR(I529*E529,0)</f>
        <v/>
      </c>
      <c r="M529" s="1">
        <f>IFERROR(K529*E529,0)</f>
        <v/>
      </c>
    </row>
    <row r="530">
      <c r="A530" t="inlineStr">
        <is>
          <t>6X4 HOT RUBBER CBK</t>
        </is>
      </c>
      <c r="B530" t="inlineStr">
        <is>
          <t>6X4 HOT RUBBER CBK</t>
        </is>
      </c>
      <c r="C530" t="inlineStr">
        <is>
          <t>ABNER ELECTRICAL WHOLESALERS (PTY) LTD</t>
        </is>
      </c>
      <c r="D530" t="inlineStr"/>
      <c r="E530" s="1" t="n">
        <v>92.5</v>
      </c>
      <c r="F530" t="n">
        <v>5</v>
      </c>
      <c r="G530" t="n">
        <v>0</v>
      </c>
      <c r="H530" t="n">
        <v>25</v>
      </c>
      <c r="I530" t="n">
        <v>0</v>
      </c>
      <c r="J530" t="n">
        <v>0</v>
      </c>
      <c r="K530">
        <f>IF(H530-I530-J530&gt;0,H530-I530-J530,0)</f>
        <v/>
      </c>
      <c r="L530" s="1">
        <f>IFERROR(I530*E530,0)</f>
        <v/>
      </c>
      <c r="M530" s="1">
        <f>IFERROR(K530*E530,0)</f>
        <v/>
      </c>
    </row>
    <row r="531">
      <c r="A531" t="inlineStr">
        <is>
          <t>6mmEW</t>
        </is>
      </c>
      <c r="B531" t="inlineStr">
        <is>
          <t>End Washer - 43mm OD and 6mm ID - Plated</t>
        </is>
      </c>
      <c r="C531" t="inlineStr">
        <is>
          <t>Mafilisti Trading and Projects (Pty) Ltd</t>
        </is>
      </c>
      <c r="D531" t="inlineStr"/>
      <c r="E531" s="1" t="n">
        <v>14</v>
      </c>
      <c r="F531" t="n">
        <v>8</v>
      </c>
      <c r="G531" t="n">
        <v>0</v>
      </c>
      <c r="H531" t="n">
        <v>40</v>
      </c>
      <c r="I531" t="n">
        <v>0</v>
      </c>
      <c r="J531" t="n">
        <v>0</v>
      </c>
      <c r="K531">
        <f>IF(H531-I531-J531&gt;0,H531-I531-J531,0)</f>
        <v/>
      </c>
      <c r="L531" s="1">
        <f>IFERROR(I531*E531,0)</f>
        <v/>
      </c>
      <c r="M531" s="1">
        <f>IFERROR(K531*E531,0)</f>
        <v/>
      </c>
    </row>
    <row r="532">
      <c r="A532" t="inlineStr">
        <is>
          <t>7.523PM</t>
        </is>
      </c>
      <c r="B532" t="inlineStr">
        <is>
          <t>7.5kW 2P 380V Pad Mount Motor</t>
        </is>
      </c>
      <c r="C532" t="inlineStr">
        <is>
          <t>ACTOM</t>
        </is>
      </c>
      <c r="D532" t="inlineStr">
        <is>
          <t>FM - MOTOR</t>
        </is>
      </c>
      <c r="E532" s="1" t="n">
        <v>2722.8</v>
      </c>
      <c r="F532" t="n">
        <v>4</v>
      </c>
      <c r="G532" t="n">
        <v>0</v>
      </c>
      <c r="H532" t="n">
        <v>14</v>
      </c>
      <c r="I532" t="n">
        <v>0</v>
      </c>
      <c r="J532" t="n">
        <v>0</v>
      </c>
      <c r="K532">
        <f>IF(H532-I532-J532&gt;0,H532-I532-J532,0)</f>
        <v/>
      </c>
      <c r="L532" s="1">
        <f>IFERROR(I532*E532,0)</f>
        <v/>
      </c>
      <c r="M532" s="1">
        <f>IFERROR(K532*E532,0)</f>
        <v/>
      </c>
    </row>
    <row r="533">
      <c r="A533" t="inlineStr">
        <is>
          <t>7.52FM</t>
        </is>
      </c>
      <c r="B533" t="inlineStr">
        <is>
          <t>7.5KW 2P 400V FOOT</t>
        </is>
      </c>
      <c r="C533" t="inlineStr">
        <is>
          <t>ACTOM</t>
        </is>
      </c>
      <c r="D533" t="inlineStr"/>
      <c r="E533" s="1" t="n">
        <v>5648</v>
      </c>
      <c r="F533" t="n">
        <v>2</v>
      </c>
      <c r="G533" t="n">
        <v>0</v>
      </c>
      <c r="H533" t="n">
        <v>4</v>
      </c>
      <c r="I533" t="n">
        <v>0</v>
      </c>
      <c r="J533" t="n">
        <v>0</v>
      </c>
      <c r="K533">
        <f>IF(H533-I533-J533&gt;0,H533-I533-J533,0)</f>
        <v/>
      </c>
      <c r="L533" s="1">
        <f>IFERROR(I533*E533,0)</f>
        <v/>
      </c>
      <c r="M533" s="1">
        <f>IFERROR(K533*E533,0)</f>
        <v/>
      </c>
    </row>
    <row r="534">
      <c r="A534" t="inlineStr">
        <is>
          <t>7.543FM</t>
        </is>
      </c>
      <c r="B534" t="inlineStr">
        <is>
          <t>7.5kW 4P 400V B3 Alum QL3 Foot Mount</t>
        </is>
      </c>
      <c r="C534" t="inlineStr">
        <is>
          <t>ACTOM</t>
        </is>
      </c>
      <c r="D534" t="inlineStr"/>
      <c r="E534" s="1" t="n">
        <v>5973</v>
      </c>
      <c r="F534" t="n">
        <v>1</v>
      </c>
      <c r="G534" t="n">
        <v>0</v>
      </c>
      <c r="H534" t="n">
        <v>3</v>
      </c>
      <c r="I534" t="n">
        <v>0</v>
      </c>
      <c r="J534" t="n">
        <v>0</v>
      </c>
      <c r="K534">
        <f>IF(H534-I534-J534&gt;0,H534-I534-J534,0)</f>
        <v/>
      </c>
      <c r="L534" s="1">
        <f>IFERROR(I534*E534,0)</f>
        <v/>
      </c>
      <c r="M534" s="1">
        <f>IFERROR(K534*E534,0)</f>
        <v/>
      </c>
    </row>
    <row r="535">
      <c r="A535" t="inlineStr">
        <is>
          <t>7.543PM</t>
        </is>
      </c>
      <c r="B535" t="inlineStr">
        <is>
          <t>7.5kW 4P 380V Pad Mount Motor</t>
        </is>
      </c>
      <c r="C535" t="inlineStr">
        <is>
          <t>ACTOM</t>
        </is>
      </c>
      <c r="D535" t="inlineStr">
        <is>
          <t>FM - MOTOR</t>
        </is>
      </c>
      <c r="E535" s="1" t="n">
        <v>5434.17</v>
      </c>
      <c r="F535" t="n">
        <v>1</v>
      </c>
      <c r="G535" t="n">
        <v>0</v>
      </c>
      <c r="H535" t="n">
        <v>3</v>
      </c>
      <c r="I535" t="n">
        <v>0</v>
      </c>
      <c r="J535" t="n">
        <v>0</v>
      </c>
      <c r="K535">
        <f>IF(H535-I535-J535&gt;0,H535-I535-J535,0)</f>
        <v/>
      </c>
      <c r="L535" s="1">
        <f>IFERROR(I535*E535,0)</f>
        <v/>
      </c>
      <c r="M535" s="1">
        <f>IFERROR(K535*E535,0)</f>
        <v/>
      </c>
    </row>
    <row r="536">
      <c r="A536" t="inlineStr">
        <is>
          <t>7.5kW</t>
        </is>
      </c>
      <c r="B536" t="inlineStr">
        <is>
          <t>4Pole 380V IE1 B3 Cast Iron Foot Mount</t>
        </is>
      </c>
      <c r="C536" t="inlineStr">
        <is>
          <t>ACTOM</t>
        </is>
      </c>
      <c r="D536" t="inlineStr"/>
      <c r="E536" s="1" t="n">
        <v>6176</v>
      </c>
      <c r="F536" t="n">
        <v>1</v>
      </c>
      <c r="G536" t="n">
        <v>0</v>
      </c>
      <c r="H536" t="n">
        <v>3</v>
      </c>
      <c r="I536" t="n">
        <v>0</v>
      </c>
      <c r="J536" t="n">
        <v>0</v>
      </c>
      <c r="K536">
        <f>IF(H536-I536-J536&gt;0,H536-I536-J536,0)</f>
        <v/>
      </c>
      <c r="L536" s="1">
        <f>IFERROR(I536*E536,0)</f>
        <v/>
      </c>
      <c r="M536" s="1">
        <f>IFERROR(K536*E536,0)</f>
        <v/>
      </c>
    </row>
    <row r="537">
      <c r="A537" t="inlineStr">
        <is>
          <t>7000034</t>
        </is>
      </c>
      <c r="B537" t="inlineStr">
        <is>
          <t>CDC 100 - 7000034 - CDC 100C</t>
        </is>
      </c>
      <c r="C537" t="inlineStr"/>
      <c r="D537" t="inlineStr">
        <is>
          <t>FM - OSTBERG</t>
        </is>
      </c>
      <c r="E537" s="1" t="n">
        <v>0</v>
      </c>
      <c r="F537" t="n">
        <v>1</v>
      </c>
      <c r="G537" t="n">
        <v>0</v>
      </c>
      <c r="H537" t="n">
        <v>2</v>
      </c>
      <c r="I537" t="n">
        <v>0</v>
      </c>
      <c r="J537" t="n">
        <v>0</v>
      </c>
      <c r="K537">
        <f>IF(H537-I537-J537&gt;0,H537-I537-J537,0)</f>
        <v/>
      </c>
      <c r="L537" s="1">
        <f>IFERROR(I537*E537,0)</f>
        <v/>
      </c>
      <c r="M537" s="1">
        <f>IFERROR(K537*E537,0)</f>
        <v/>
      </c>
    </row>
    <row r="538">
      <c r="A538" t="inlineStr">
        <is>
          <t>7000037</t>
        </is>
      </c>
      <c r="B538" t="inlineStr">
        <is>
          <t>CDC 125 - 7000037 - CDC 125C</t>
        </is>
      </c>
      <c r="C538" t="inlineStr"/>
      <c r="D538" t="inlineStr">
        <is>
          <t>FM - OSTBERG</t>
        </is>
      </c>
      <c r="E538" s="1" t="n">
        <v>0</v>
      </c>
      <c r="F538" t="n">
        <v>1</v>
      </c>
      <c r="G538" t="n">
        <v>0</v>
      </c>
      <c r="H538" t="n">
        <v>4</v>
      </c>
      <c r="I538" t="n">
        <v>0</v>
      </c>
      <c r="J538" t="n">
        <v>0</v>
      </c>
      <c r="K538">
        <f>IF(H538-I538-J538&gt;0,H538-I538-J538,0)</f>
        <v/>
      </c>
      <c r="L538" s="1">
        <f>IFERROR(I538*E538,0)</f>
        <v/>
      </c>
      <c r="M538" s="1">
        <f>IFERROR(K538*E538,0)</f>
        <v/>
      </c>
    </row>
    <row r="539">
      <c r="A539" t="inlineStr">
        <is>
          <t>7000043</t>
        </is>
      </c>
      <c r="B539" t="inlineStr">
        <is>
          <t>CDC 150 - 7000043 - CDC 150C</t>
        </is>
      </c>
      <c r="C539" t="inlineStr"/>
      <c r="D539" t="inlineStr">
        <is>
          <t>FM - OSTBERG</t>
        </is>
      </c>
      <c r="E539" s="1" t="n">
        <v>0</v>
      </c>
      <c r="F539" t="n">
        <v>1</v>
      </c>
      <c r="G539" t="n">
        <v>0</v>
      </c>
      <c r="H539" t="n">
        <v>6</v>
      </c>
      <c r="I539" t="n">
        <v>0</v>
      </c>
      <c r="J539" t="n">
        <v>0</v>
      </c>
      <c r="K539">
        <f>IF(H539-I539-J539&gt;0,H539-I539-J539,0)</f>
        <v/>
      </c>
      <c r="L539" s="1">
        <f>IFERROR(I539*E539,0)</f>
        <v/>
      </c>
      <c r="M539" s="1">
        <f>IFERROR(K539*E539,0)</f>
        <v/>
      </c>
    </row>
    <row r="540">
      <c r="A540" t="inlineStr">
        <is>
          <t>7000048</t>
        </is>
      </c>
      <c r="B540" t="inlineStr">
        <is>
          <t>CDC 160 - 7000048 - CDC160B</t>
        </is>
      </c>
      <c r="C540" t="inlineStr"/>
      <c r="D540" t="inlineStr">
        <is>
          <t>FM - OSTBERG</t>
        </is>
      </c>
      <c r="E540" s="1" t="n">
        <v>0</v>
      </c>
      <c r="F540" t="n">
        <v>1</v>
      </c>
      <c r="G540" t="n">
        <v>0</v>
      </c>
      <c r="H540" t="n">
        <v>2</v>
      </c>
      <c r="I540" t="n">
        <v>0</v>
      </c>
      <c r="J540" t="n">
        <v>0</v>
      </c>
      <c r="K540">
        <f>IF(H540-I540-J540&gt;0,H540-I540-J540,0)</f>
        <v/>
      </c>
      <c r="L540" s="1">
        <f>IFERROR(I540*E540,0)</f>
        <v/>
      </c>
      <c r="M540" s="1">
        <f>IFERROR(K540*E540,0)</f>
        <v/>
      </c>
    </row>
    <row r="541">
      <c r="A541" t="inlineStr">
        <is>
          <t>7000053</t>
        </is>
      </c>
      <c r="B541" t="inlineStr">
        <is>
          <t>CDC 200/0.8 - 7000053 - CDC200A</t>
        </is>
      </c>
      <c r="C541" t="inlineStr"/>
      <c r="D541" t="inlineStr">
        <is>
          <t>FM - OSTBERG</t>
        </is>
      </c>
      <c r="E541" s="1" t="n">
        <v>0</v>
      </c>
      <c r="F541" t="n">
        <v>2</v>
      </c>
      <c r="G541" t="n">
        <v>0</v>
      </c>
      <c r="H541" t="n">
        <v>12</v>
      </c>
      <c r="I541" t="n">
        <v>0</v>
      </c>
      <c r="J541" t="n">
        <v>0</v>
      </c>
      <c r="K541">
        <f>IF(H541-I541-J541&gt;0,H541-I541-J541,0)</f>
        <v/>
      </c>
      <c r="L541" s="1">
        <f>IFERROR(I541*E541,0)</f>
        <v/>
      </c>
      <c r="M541" s="1">
        <f>IFERROR(K541*E541,0)</f>
        <v/>
      </c>
    </row>
    <row r="542">
      <c r="A542" t="inlineStr">
        <is>
          <t>7000057</t>
        </is>
      </c>
      <c r="B542" t="inlineStr">
        <is>
          <t>CDC 200/0.8 - 7000057 - CDC200B</t>
        </is>
      </c>
      <c r="C542" t="inlineStr"/>
      <c r="D542" t="inlineStr">
        <is>
          <t>FM - OSTBERG</t>
        </is>
      </c>
      <c r="E542" s="1" t="n">
        <v>0</v>
      </c>
      <c r="F542" t="n">
        <v>1</v>
      </c>
      <c r="G542" t="n">
        <v>0</v>
      </c>
      <c r="H542" t="n">
        <v>5</v>
      </c>
      <c r="I542" t="n">
        <v>0</v>
      </c>
      <c r="J542" t="n">
        <v>0</v>
      </c>
      <c r="K542">
        <f>IF(H542-I542-J542&gt;0,H542-I542-J542,0)</f>
        <v/>
      </c>
      <c r="L542" s="1">
        <f>IFERROR(I542*E542,0)</f>
        <v/>
      </c>
      <c r="M542" s="1">
        <f>IFERROR(K542*E542,0)</f>
        <v/>
      </c>
    </row>
    <row r="543">
      <c r="A543" t="inlineStr">
        <is>
          <t>7000067</t>
        </is>
      </c>
      <c r="B543" t="inlineStr">
        <is>
          <t>CDC315 - 7000067 - CDC315B</t>
        </is>
      </c>
      <c r="C543" t="inlineStr">
        <is>
          <t>Luft Industries Natal (Pty) Ltd</t>
        </is>
      </c>
      <c r="D543" t="inlineStr">
        <is>
          <t>FM - OSTBERG</t>
        </is>
      </c>
      <c r="E543" s="1" t="n">
        <v>2024.25</v>
      </c>
      <c r="F543" t="n">
        <v>2</v>
      </c>
      <c r="G543" t="n">
        <v>0</v>
      </c>
      <c r="H543" t="n">
        <v>8</v>
      </c>
      <c r="I543" t="n">
        <v>0</v>
      </c>
      <c r="J543" t="n">
        <v>0</v>
      </c>
      <c r="K543">
        <f>IF(H543-I543-J543&gt;0,H543-I543-J543,0)</f>
        <v/>
      </c>
      <c r="L543" s="1">
        <f>IFERROR(I543*E543,0)</f>
        <v/>
      </c>
      <c r="M543" s="1">
        <f>IFERROR(K543*E543,0)</f>
        <v/>
      </c>
    </row>
    <row r="544">
      <c r="A544" t="inlineStr">
        <is>
          <t>7000072</t>
        </is>
      </c>
      <c r="B544" t="inlineStr">
        <is>
          <t>CDC315 - 7000072 - CDC315C</t>
        </is>
      </c>
      <c r="C544" t="inlineStr"/>
      <c r="D544" t="inlineStr">
        <is>
          <t>FM - OSTBERG</t>
        </is>
      </c>
      <c r="E544" s="1" t="n">
        <v>0</v>
      </c>
      <c r="F544" t="n">
        <v>1</v>
      </c>
      <c r="G544" t="n">
        <v>0</v>
      </c>
      <c r="H544" t="n">
        <v>4</v>
      </c>
      <c r="I544" t="n">
        <v>0</v>
      </c>
      <c r="J544" t="n">
        <v>0</v>
      </c>
      <c r="K544">
        <f>IF(H544-I544-J544&gt;0,H544-I544-J544,0)</f>
        <v/>
      </c>
      <c r="L544" s="1">
        <f>IFERROR(I544*E544,0)</f>
        <v/>
      </c>
      <c r="M544" s="1">
        <f>IFERROR(K544*E544,0)</f>
        <v/>
      </c>
    </row>
    <row r="545">
      <c r="A545" t="inlineStr">
        <is>
          <t>7000073</t>
        </is>
      </c>
      <c r="B545" t="inlineStr">
        <is>
          <t>LT6 - 6Amps</t>
        </is>
      </c>
      <c r="C545" t="inlineStr"/>
      <c r="D545" t="inlineStr">
        <is>
          <t>FM - OSTBERG</t>
        </is>
      </c>
      <c r="E545" s="1" t="n">
        <v>0</v>
      </c>
      <c r="F545" t="n">
        <v>1</v>
      </c>
      <c r="G545" t="n">
        <v>0</v>
      </c>
      <c r="H545" t="n">
        <v>2</v>
      </c>
      <c r="I545" t="n">
        <v>0</v>
      </c>
      <c r="J545" t="n">
        <v>0</v>
      </c>
      <c r="K545">
        <f>IF(H545-I545-J545&gt;0,H545-I545-J545,0)</f>
        <v/>
      </c>
      <c r="L545" s="1">
        <f>IFERROR(I545*E545,0)</f>
        <v/>
      </c>
      <c r="M545" s="1">
        <f>IFERROR(K545*E545,0)</f>
        <v/>
      </c>
    </row>
    <row r="546">
      <c r="A546" t="inlineStr">
        <is>
          <t>7000074</t>
        </is>
      </c>
      <c r="B546" t="inlineStr">
        <is>
          <t>LT10 - 10 Amps</t>
        </is>
      </c>
      <c r="C546" t="inlineStr"/>
      <c r="D546" t="inlineStr">
        <is>
          <t>FM - OSTBERG</t>
        </is>
      </c>
      <c r="E546" s="1" t="n">
        <v>0</v>
      </c>
      <c r="F546" t="n">
        <v>1</v>
      </c>
      <c r="G546" t="n">
        <v>0</v>
      </c>
      <c r="H546" t="n">
        <v>2</v>
      </c>
      <c r="I546" t="n">
        <v>0</v>
      </c>
      <c r="J546" t="n">
        <v>0</v>
      </c>
      <c r="K546">
        <f>IF(H546-I546-J546&gt;0,H546-I546-J546,0)</f>
        <v/>
      </c>
      <c r="L546" s="1">
        <f>IFERROR(I546*E546,0)</f>
        <v/>
      </c>
      <c r="M546" s="1">
        <f>IFERROR(K546*E546,0)</f>
        <v/>
      </c>
    </row>
    <row r="547">
      <c r="A547" t="inlineStr">
        <is>
          <t>71 FR 13.8</t>
        </is>
      </c>
      <c r="B547" t="inlineStr">
        <is>
          <t>71 Motor frame - 13.8 mm OD spacer</t>
        </is>
      </c>
      <c r="C547" t="inlineStr">
        <is>
          <t>Hulmak Engineering cc</t>
        </is>
      </c>
      <c r="D547" t="inlineStr"/>
      <c r="E547" s="1" t="n">
        <v>30</v>
      </c>
      <c r="F547" t="n">
        <v>8</v>
      </c>
      <c r="G547" t="n">
        <v>0</v>
      </c>
      <c r="H547" t="n">
        <v>42</v>
      </c>
      <c r="I547" t="n">
        <v>0</v>
      </c>
      <c r="J547" t="n">
        <v>0</v>
      </c>
      <c r="K547">
        <f>IF(H547-I547-J547&gt;0,H547-I547-J547,0)</f>
        <v/>
      </c>
      <c r="L547" s="1">
        <f>IFERROR(I547*E547,0)</f>
        <v/>
      </c>
      <c r="M547" s="1">
        <f>IFERROR(K547*E547,0)</f>
        <v/>
      </c>
    </row>
    <row r="548">
      <c r="A548" t="inlineStr">
        <is>
          <t>710 B</t>
        </is>
      </c>
      <c r="B548" t="inlineStr">
        <is>
          <t>Blades</t>
        </is>
      </c>
      <c r="C548" t="inlineStr">
        <is>
          <t>Centrifab (Pty) Ltd</t>
        </is>
      </c>
      <c r="D548" t="inlineStr"/>
      <c r="E548" s="1" t="n">
        <v>310</v>
      </c>
      <c r="F548" t="n">
        <v>40</v>
      </c>
      <c r="G548" t="n">
        <v>0</v>
      </c>
      <c r="H548" t="n">
        <v>200</v>
      </c>
      <c r="I548" t="n">
        <v>0</v>
      </c>
      <c r="J548" t="n">
        <v>0</v>
      </c>
      <c r="K548">
        <f>IF(H548-I548-J548&gt;0,H548-I548-J548,0)</f>
        <v/>
      </c>
      <c r="L548" s="1">
        <f>IFERROR(I548*E548,0)</f>
        <v/>
      </c>
      <c r="M548" s="1">
        <f>IFERROR(K548*E548,0)</f>
        <v/>
      </c>
    </row>
    <row r="549">
      <c r="A549" t="inlineStr">
        <is>
          <t>710 SI</t>
        </is>
      </c>
      <c r="B549" t="inlineStr">
        <is>
          <t>Spare Impeller</t>
        </is>
      </c>
      <c r="C549" t="inlineStr">
        <is>
          <t>Luft Industries Natal (Pty) Ltd</t>
        </is>
      </c>
      <c r="D549" t="inlineStr"/>
      <c r="E549" s="1" t="n">
        <v>2681.25</v>
      </c>
      <c r="F549" t="n">
        <v>1</v>
      </c>
      <c r="G549" t="n">
        <v>0</v>
      </c>
      <c r="H549" t="n">
        <v>5</v>
      </c>
      <c r="I549" t="n">
        <v>0</v>
      </c>
      <c r="J549" t="n">
        <v>0</v>
      </c>
      <c r="K549">
        <f>IF(H549-I549-J549&gt;0,H549-I549-J549,0)</f>
        <v/>
      </c>
      <c r="L549" s="1">
        <f>IFERROR(I549*E549,0)</f>
        <v/>
      </c>
      <c r="M549" s="1">
        <f>IFERROR(K549*E549,0)</f>
        <v/>
      </c>
    </row>
    <row r="550">
      <c r="A550" t="inlineStr">
        <is>
          <t>710/150/10 SI</t>
        </is>
      </c>
      <c r="B550" t="inlineStr">
        <is>
          <t>Spare Impeller (710mm 'B' 150A10AR 28mm 100Frame 37 DEG - FM3173</t>
        </is>
      </c>
      <c r="C550" t="inlineStr">
        <is>
          <t>Luft Industries Natal (Pty) Ltd</t>
        </is>
      </c>
      <c r="D550" t="inlineStr"/>
      <c r="E550" s="1" t="n">
        <v>1522.65</v>
      </c>
      <c r="F550" t="n">
        <v>4</v>
      </c>
      <c r="G550" t="n">
        <v>0</v>
      </c>
      <c r="H550" t="n">
        <v>14</v>
      </c>
      <c r="I550" t="n">
        <v>0</v>
      </c>
      <c r="J550" t="n">
        <v>0</v>
      </c>
      <c r="K550">
        <f>IF(H550-I550-J550&gt;0,H550-I550-J550,0)</f>
        <v/>
      </c>
      <c r="L550" s="1">
        <f>IFERROR(I550*E550,0)</f>
        <v/>
      </c>
      <c r="M550" s="1">
        <f>IFERROR(K550*E550,0)</f>
        <v/>
      </c>
    </row>
    <row r="551">
      <c r="A551" t="inlineStr">
        <is>
          <t>710CF</t>
        </is>
      </c>
      <c r="B551" t="inlineStr">
        <is>
          <t>710 Diam Counter Flange</t>
        </is>
      </c>
      <c r="C551" t="inlineStr">
        <is>
          <t>Attenu-Tec HVAC Parts</t>
        </is>
      </c>
      <c r="D551" t="inlineStr">
        <is>
          <t>FM - C/FLANGE</t>
        </is>
      </c>
      <c r="E551" s="1" t="n">
        <v>50.18</v>
      </c>
      <c r="F551" t="n">
        <v>3</v>
      </c>
      <c r="G551" t="n">
        <v>0</v>
      </c>
      <c r="H551" t="n">
        <v>10</v>
      </c>
      <c r="I551" t="n">
        <v>0</v>
      </c>
      <c r="J551" t="n">
        <v>0</v>
      </c>
      <c r="K551">
        <f>IF(H551-I551-J551&gt;0,H551-I551-J551,0)</f>
        <v/>
      </c>
      <c r="L551" s="1">
        <f>IFERROR(I551*E551,0)</f>
        <v/>
      </c>
      <c r="M551" s="1">
        <f>IFERROR(K551*E551,0)</f>
        <v/>
      </c>
    </row>
    <row r="552">
      <c r="A552" t="inlineStr">
        <is>
          <t>710CFUG</t>
        </is>
      </c>
      <c r="B552" t="inlineStr">
        <is>
          <t>710 Diam Counter Flange Ungalvanised</t>
        </is>
      </c>
      <c r="C552" t="inlineStr">
        <is>
          <t>ULTIMATENG (PTY) LTD</t>
        </is>
      </c>
      <c r="D552" t="inlineStr">
        <is>
          <t>FM - C/FLANGE</t>
        </is>
      </c>
      <c r="E552" s="1" t="n">
        <v>0</v>
      </c>
      <c r="F552" t="n">
        <v>9</v>
      </c>
      <c r="G552" t="n">
        <v>0</v>
      </c>
      <c r="H552" t="n">
        <v>45</v>
      </c>
      <c r="I552" t="n">
        <v>0</v>
      </c>
      <c r="J552" t="n">
        <v>0</v>
      </c>
      <c r="K552">
        <f>IF(H552-I552-J552&gt;0,H552-I552-J552,0)</f>
        <v/>
      </c>
      <c r="L552" s="1">
        <f>IFERROR(I552*E552,0)</f>
        <v/>
      </c>
      <c r="M552" s="1">
        <f>IFERROR(K552*E552,0)</f>
        <v/>
      </c>
    </row>
    <row r="553">
      <c r="A553" t="inlineStr">
        <is>
          <t>710FC</t>
        </is>
      </c>
      <c r="B553" t="inlineStr">
        <is>
          <t>710 Diam Flexible Connection</t>
        </is>
      </c>
      <c r="C553" t="inlineStr">
        <is>
          <t>Attenu-Tec HVAC Parts</t>
        </is>
      </c>
      <c r="D553" t="inlineStr">
        <is>
          <t>FM - DONKIN</t>
        </is>
      </c>
      <c r="E553" s="1" t="n">
        <v>860</v>
      </c>
      <c r="F553" t="n">
        <v>2</v>
      </c>
      <c r="G553" t="n">
        <v>0</v>
      </c>
      <c r="H553" t="n">
        <v>4</v>
      </c>
      <c r="I553" t="n">
        <v>0</v>
      </c>
      <c r="J553" t="n">
        <v>0</v>
      </c>
      <c r="K553">
        <f>IF(H553-I553-J553&gt;0,H553-I553-J553,0)</f>
        <v/>
      </c>
      <c r="L553" s="1">
        <f>IFERROR(I553*E553,0)</f>
        <v/>
      </c>
      <c r="M553" s="1">
        <f>IFERROR(K553*E553,0)</f>
        <v/>
      </c>
    </row>
    <row r="554">
      <c r="A554" t="inlineStr">
        <is>
          <t>710HVJ-2S</t>
        </is>
      </c>
      <c r="B554" t="inlineStr">
        <is>
          <t>710 Diam Vertical Discharge Unit</t>
        </is>
      </c>
      <c r="C554" t="inlineStr">
        <is>
          <t>Attenu-Tec HVAC Parts</t>
        </is>
      </c>
      <c r="D554" t="inlineStr">
        <is>
          <t>FM - DONKIN</t>
        </is>
      </c>
      <c r="E554" s="1" t="n">
        <v>1592</v>
      </c>
      <c r="F554" t="n">
        <v>1</v>
      </c>
      <c r="G554" t="n">
        <v>0</v>
      </c>
      <c r="H554" t="n">
        <v>3</v>
      </c>
      <c r="I554" t="n">
        <v>0</v>
      </c>
      <c r="J554" t="n">
        <v>0</v>
      </c>
      <c r="K554">
        <f>IF(H554-I554-J554&gt;0,H554-I554-J554,0)</f>
        <v/>
      </c>
      <c r="L554" s="1">
        <f>IFERROR(I554*E554,0)</f>
        <v/>
      </c>
      <c r="M554" s="1">
        <f>IFERROR(K554*E554,0)</f>
        <v/>
      </c>
    </row>
    <row r="555">
      <c r="A555" t="inlineStr">
        <is>
          <t>710MBP06</t>
        </is>
      </c>
      <c r="B555" t="inlineStr">
        <is>
          <t>1-0350-240 P06 - 710 Motor Bracket</t>
        </is>
      </c>
      <c r="C555" t="inlineStr">
        <is>
          <t>Intervent-Universal (Pty) Ltd</t>
        </is>
      </c>
      <c r="D555" t="inlineStr"/>
      <c r="E555" s="1" t="n">
        <v>47.37</v>
      </c>
      <c r="F555" t="n">
        <v>4</v>
      </c>
      <c r="G555" t="n">
        <v>0</v>
      </c>
      <c r="H555" t="n">
        <v>21</v>
      </c>
      <c r="I555" t="n">
        <v>0</v>
      </c>
      <c r="J555" t="n">
        <v>0</v>
      </c>
      <c r="K555">
        <f>IF(H555-I555-J555&gt;0,H555-I555-J555,0)</f>
        <v/>
      </c>
      <c r="L555" s="1">
        <f>IFERROR(I555*E555,0)</f>
        <v/>
      </c>
      <c r="M555" s="1">
        <f>IFERROR(K555*E555,0)</f>
        <v/>
      </c>
    </row>
    <row r="556">
      <c r="A556" t="inlineStr">
        <is>
          <t>710MF</t>
        </is>
      </c>
      <c r="B556" t="inlineStr">
        <is>
          <t>710 Diam Mounting Feet</t>
        </is>
      </c>
      <c r="C556" t="inlineStr">
        <is>
          <t>Attenu-Tec HVAC Parts</t>
        </is>
      </c>
      <c r="D556" t="inlineStr">
        <is>
          <t>FM - M/FEET</t>
        </is>
      </c>
      <c r="E556" s="1" t="n">
        <v>0</v>
      </c>
      <c r="F556" t="n">
        <v>4</v>
      </c>
      <c r="G556" t="n">
        <v>0</v>
      </c>
      <c r="H556" t="n">
        <v>14</v>
      </c>
      <c r="I556" t="n">
        <v>0</v>
      </c>
      <c r="J556" t="n">
        <v>0</v>
      </c>
      <c r="K556">
        <f>IF(H556-I556-J556&gt;0,H556-I556-J556,0)</f>
        <v/>
      </c>
      <c r="L556" s="1">
        <f>IFERROR(I556*E556,0)</f>
        <v/>
      </c>
      <c r="M556" s="1">
        <f>IFERROR(K556*E556,0)</f>
        <v/>
      </c>
    </row>
    <row r="557">
      <c r="A557" t="inlineStr">
        <is>
          <t>710MFUG</t>
        </is>
      </c>
      <c r="B557" t="inlineStr">
        <is>
          <t>710 Diam Mounting Feet Ungalvanised</t>
        </is>
      </c>
      <c r="C557" t="inlineStr">
        <is>
          <t>ULTIMATENG (PTY) LTD</t>
        </is>
      </c>
      <c r="D557" t="inlineStr">
        <is>
          <t>FM - M/FEET</t>
        </is>
      </c>
      <c r="E557" s="1" t="n">
        <v>0</v>
      </c>
      <c r="F557" t="n">
        <v>14</v>
      </c>
      <c r="G557" t="n">
        <v>0</v>
      </c>
      <c r="H557" t="n">
        <v>68</v>
      </c>
      <c r="I557" t="n">
        <v>0</v>
      </c>
      <c r="J557" t="n">
        <v>0</v>
      </c>
      <c r="K557">
        <f>IF(H557-I557-J557&gt;0,H557-I557-J557,0)</f>
        <v/>
      </c>
      <c r="L557" s="1">
        <f>IFERROR(I557*E557,0)</f>
        <v/>
      </c>
      <c r="M557" s="1">
        <f>IFERROR(K557*E557,0)</f>
        <v/>
      </c>
    </row>
    <row r="558">
      <c r="A558" t="inlineStr">
        <is>
          <t>710PLT400-3MM</t>
        </is>
      </c>
      <c r="B558" t="inlineStr">
        <is>
          <t>710 Casing Sheet - 2238 x 400 - 3mm</t>
        </is>
      </c>
      <c r="C558" t="inlineStr">
        <is>
          <t>NJR STEEL - ALRODE (PTY) LTD</t>
        </is>
      </c>
      <c r="D558" t="inlineStr">
        <is>
          <t>FM - FABRICATION</t>
        </is>
      </c>
      <c r="E558" s="1" t="n">
        <v>530</v>
      </c>
      <c r="F558" t="n">
        <v>4</v>
      </c>
      <c r="G558" t="n">
        <v>0</v>
      </c>
      <c r="H558" t="n">
        <v>18</v>
      </c>
      <c r="I558" t="n">
        <v>0</v>
      </c>
      <c r="J558" t="n">
        <v>0</v>
      </c>
      <c r="K558">
        <f>IF(H558-I558-J558&gt;0,H558-I558-J558,0)</f>
        <v/>
      </c>
      <c r="L558" s="1">
        <f>IFERROR(I558*E558,0)</f>
        <v/>
      </c>
      <c r="M558" s="1">
        <f>IFERROR(K558*E558,0)</f>
        <v/>
      </c>
    </row>
    <row r="559">
      <c r="A559" t="inlineStr">
        <is>
          <t>710S1.5DP</t>
        </is>
      </c>
      <c r="B559" t="inlineStr">
        <is>
          <t>710 Diam Silencer 1.5D Podded</t>
        </is>
      </c>
      <c r="C559" t="inlineStr">
        <is>
          <t>Attenu-Tec</t>
        </is>
      </c>
      <c r="D559" t="inlineStr">
        <is>
          <t>FM - DONKIN</t>
        </is>
      </c>
      <c r="E559" s="1" t="n">
        <v>3685</v>
      </c>
      <c r="F559" t="n">
        <v>1</v>
      </c>
      <c r="G559" t="n">
        <v>0</v>
      </c>
      <c r="H559" t="n">
        <v>5</v>
      </c>
      <c r="I559" t="n">
        <v>0</v>
      </c>
      <c r="J559" t="n">
        <v>0</v>
      </c>
      <c r="K559">
        <f>IF(H559-I559-J559&gt;0,H559-I559-J559,0)</f>
        <v/>
      </c>
      <c r="L559" s="1">
        <f>IFERROR(I559*E559,0)</f>
        <v/>
      </c>
      <c r="M559" s="1">
        <f>IFERROR(K559*E559,0)</f>
        <v/>
      </c>
    </row>
    <row r="560">
      <c r="A560" t="inlineStr">
        <is>
          <t>710S2.0DP</t>
        </is>
      </c>
      <c r="B560" t="inlineStr">
        <is>
          <t>710 Diam Silencer 2.0D Podded</t>
        </is>
      </c>
      <c r="C560" t="inlineStr">
        <is>
          <t>Attenu-Tec</t>
        </is>
      </c>
      <c r="D560" t="inlineStr">
        <is>
          <t>FM - DONKIN</t>
        </is>
      </c>
      <c r="E560" s="1" t="n">
        <v>4720</v>
      </c>
      <c r="F560" t="n">
        <v>1</v>
      </c>
      <c r="G560" t="n">
        <v>0</v>
      </c>
      <c r="H560" t="n">
        <v>3</v>
      </c>
      <c r="I560" t="n">
        <v>0</v>
      </c>
      <c r="J560" t="n">
        <v>0</v>
      </c>
      <c r="K560">
        <f>IF(H560-I560-J560&gt;0,H560-I560-J560,0)</f>
        <v/>
      </c>
      <c r="L560" s="1">
        <f>IFERROR(I560*E560,0)</f>
        <v/>
      </c>
      <c r="M560" s="1">
        <f>IFERROR(K560*E560,0)</f>
        <v/>
      </c>
    </row>
    <row r="561">
      <c r="A561" t="inlineStr">
        <is>
          <t>710SC</t>
        </is>
      </c>
      <c r="B561" t="inlineStr">
        <is>
          <t>Side Screen</t>
        </is>
      </c>
      <c r="C561" t="inlineStr">
        <is>
          <t>Heinmor Wire Products CC</t>
        </is>
      </c>
      <c r="D561" t="inlineStr"/>
      <c r="E561" s="1" t="n">
        <v>546.5</v>
      </c>
      <c r="F561" t="n">
        <v>1</v>
      </c>
      <c r="G561" t="n">
        <v>0</v>
      </c>
      <c r="H561" t="n">
        <v>4</v>
      </c>
      <c r="I561" t="n">
        <v>0</v>
      </c>
      <c r="J561" t="n">
        <v>0</v>
      </c>
      <c r="K561">
        <f>IF(H561-I561-J561&gt;0,H561-I561-J561,0)</f>
        <v/>
      </c>
      <c r="L561" s="1">
        <f>IFERROR(I561*E561,0)</f>
        <v/>
      </c>
      <c r="M561" s="1">
        <f>IFERROR(K561*E561,0)</f>
        <v/>
      </c>
    </row>
    <row r="562">
      <c r="A562" t="inlineStr">
        <is>
          <t>710SM1.5D</t>
        </is>
      </c>
      <c r="B562" t="inlineStr">
        <is>
          <t>710 Diam Melinex Silencer 1.5D</t>
        </is>
      </c>
      <c r="C562" t="inlineStr">
        <is>
          <t>Attenu-Tec</t>
        </is>
      </c>
      <c r="D562" t="inlineStr">
        <is>
          <t>FM - DONKIN</t>
        </is>
      </c>
      <c r="E562" s="1" t="n">
        <v>3331</v>
      </c>
      <c r="F562" t="n">
        <v>1</v>
      </c>
      <c r="G562" t="n">
        <v>0</v>
      </c>
      <c r="H562" t="n">
        <v>2</v>
      </c>
      <c r="I562" t="n">
        <v>0</v>
      </c>
      <c r="J562" t="n">
        <v>0</v>
      </c>
      <c r="K562">
        <f>IF(H562-I562-J562&gt;0,H562-I562-J562,0)</f>
        <v/>
      </c>
      <c r="L562" s="1">
        <f>IFERROR(I562*E562,0)</f>
        <v/>
      </c>
      <c r="M562" s="1">
        <f>IFERROR(K562*E562,0)</f>
        <v/>
      </c>
    </row>
    <row r="563">
      <c r="A563" t="inlineStr">
        <is>
          <t>710SM1.5DP</t>
        </is>
      </c>
      <c r="B563" t="inlineStr">
        <is>
          <t>710 Diam Melinex Silencer 1.5D Podded</t>
        </is>
      </c>
      <c r="C563" t="inlineStr">
        <is>
          <t>Attenu-Tec</t>
        </is>
      </c>
      <c r="D563" t="inlineStr">
        <is>
          <t>FM - DONKIN</t>
        </is>
      </c>
      <c r="E563" s="1" t="n">
        <v>3485.72</v>
      </c>
      <c r="F563" t="n">
        <v>1</v>
      </c>
      <c r="G563" t="n">
        <v>0</v>
      </c>
      <c r="H563" t="n">
        <v>4</v>
      </c>
      <c r="I563" t="n">
        <v>0</v>
      </c>
      <c r="J563" t="n">
        <v>0</v>
      </c>
      <c r="K563">
        <f>IF(H563-I563-J563&gt;0,H563-I563-J563,0)</f>
        <v/>
      </c>
      <c r="L563" s="1">
        <f>IFERROR(I563*E563,0)</f>
        <v/>
      </c>
      <c r="M563" s="1">
        <f>IFERROR(K563*E563,0)</f>
        <v/>
      </c>
    </row>
    <row r="564">
      <c r="A564" t="inlineStr">
        <is>
          <t>710WC</t>
        </is>
      </c>
      <c r="B564" t="inlineStr">
        <is>
          <t>Wall Cowl &amp; Screen</t>
        </is>
      </c>
      <c r="C564" t="inlineStr">
        <is>
          <t>Attenu-Tec HVAC Parts</t>
        </is>
      </c>
      <c r="D564" t="inlineStr"/>
      <c r="E564" s="1" t="n">
        <v>1110</v>
      </c>
      <c r="F564" t="n">
        <v>11</v>
      </c>
      <c r="G564" t="n">
        <v>0</v>
      </c>
      <c r="H564" t="n">
        <v>23</v>
      </c>
      <c r="I564" t="n">
        <v>0</v>
      </c>
      <c r="J564" t="n">
        <v>0</v>
      </c>
      <c r="K564">
        <f>IF(H564-I564-J564&gt;0,H564-I564-J564,0)</f>
        <v/>
      </c>
      <c r="L564" s="1">
        <f>IFERROR(I564*E564,0)</f>
        <v/>
      </c>
      <c r="M564" s="1">
        <f>IFERROR(K564*E564,0)</f>
        <v/>
      </c>
    </row>
    <row r="565">
      <c r="A565" t="inlineStr">
        <is>
          <t>71848</t>
        </is>
      </c>
      <c r="B565" t="inlineStr">
        <is>
          <t>PRA REDUCER STD BRASS 40M - 25F</t>
        </is>
      </c>
      <c r="C565" t="inlineStr">
        <is>
          <t>Pratley (Pty) Ltd</t>
        </is>
      </c>
      <c r="D565" t="inlineStr"/>
      <c r="E565" s="1" t="n">
        <v>112.71</v>
      </c>
      <c r="F565" t="n">
        <v>2</v>
      </c>
      <c r="G565" t="n">
        <v>0</v>
      </c>
      <c r="H565" t="n">
        <v>10</v>
      </c>
      <c r="I565" t="n">
        <v>0</v>
      </c>
      <c r="J565" t="n">
        <v>0</v>
      </c>
      <c r="K565">
        <f>IF(H565-I565-J565&gt;0,H565-I565-J565,0)</f>
        <v/>
      </c>
      <c r="L565" s="1">
        <f>IFERROR(I565*E565,0)</f>
        <v/>
      </c>
      <c r="M565" s="1">
        <f>IFERROR(K565*E565,0)</f>
        <v/>
      </c>
    </row>
    <row r="566">
      <c r="A566" t="inlineStr">
        <is>
          <t>73-18</t>
        </is>
      </c>
      <c r="B566" t="inlineStr">
        <is>
          <t>YCI607A HELLEMON T : RED HANDLE WIRE STRIPPER</t>
        </is>
      </c>
      <c r="C566" t="inlineStr">
        <is>
          <t>Atlantic Lighting &amp; Electrical distributors</t>
        </is>
      </c>
      <c r="D566" t="inlineStr"/>
      <c r="E566" s="1" t="n">
        <v>238.5</v>
      </c>
      <c r="F566" t="n">
        <v>1</v>
      </c>
      <c r="G566" t="n">
        <v>0</v>
      </c>
      <c r="H566" t="n">
        <v>2</v>
      </c>
      <c r="I566" t="n">
        <v>0</v>
      </c>
      <c r="J566" t="n">
        <v>0</v>
      </c>
      <c r="K566">
        <f>IF(H566-I566-J566&gt;0,H566-I566-J566,0)</f>
        <v/>
      </c>
      <c r="L566" s="1">
        <f>IFERROR(I566*E566,0)</f>
        <v/>
      </c>
      <c r="M566" s="1">
        <f>IFERROR(K566*E566,0)</f>
        <v/>
      </c>
    </row>
    <row r="567">
      <c r="A567" t="inlineStr">
        <is>
          <t>73-191</t>
        </is>
      </c>
      <c r="B567" t="inlineStr">
        <is>
          <t>HYAC5 CRIMP TOOL B : BOOTLACE CRIMPER</t>
        </is>
      </c>
      <c r="C567" t="inlineStr">
        <is>
          <t>Atlantic Lighting &amp; Electrical distributors</t>
        </is>
      </c>
      <c r="D567" t="inlineStr"/>
      <c r="E567" s="1" t="n">
        <v>973.3200000000001</v>
      </c>
      <c r="F567" t="n">
        <v>1</v>
      </c>
      <c r="G567" t="n">
        <v>0</v>
      </c>
      <c r="H567" t="n">
        <v>2</v>
      </c>
      <c r="I567" t="n">
        <v>0</v>
      </c>
      <c r="J567" t="n">
        <v>0</v>
      </c>
      <c r="K567">
        <f>IF(H567-I567-J567&gt;0,H567-I567-J567,0)</f>
        <v/>
      </c>
      <c r="L567" s="1">
        <f>IFERROR(I567*E567,0)</f>
        <v/>
      </c>
      <c r="M567" s="1">
        <f>IFERROR(K567*E567,0)</f>
        <v/>
      </c>
    </row>
    <row r="568">
      <c r="A568" t="inlineStr">
        <is>
          <t>734SSC</t>
        </is>
      </c>
      <c r="B568" t="inlineStr">
        <is>
          <t>734 Special Screen - Hot Dip Galvinised</t>
        </is>
      </c>
      <c r="C568" t="inlineStr">
        <is>
          <t>Heinmor Wire Products CC</t>
        </is>
      </c>
      <c r="D568" t="inlineStr"/>
      <c r="E568" s="1" t="n">
        <v>541</v>
      </c>
      <c r="F568" t="n">
        <v>1</v>
      </c>
      <c r="G568" t="n">
        <v>0</v>
      </c>
      <c r="H568" t="n">
        <v>2</v>
      </c>
      <c r="I568" t="n">
        <v>0</v>
      </c>
      <c r="J568" t="n">
        <v>0</v>
      </c>
      <c r="K568">
        <f>IF(H568-I568-J568&gt;0,H568-I568-J568,0)</f>
        <v/>
      </c>
      <c r="L568" s="1">
        <f>IFERROR(I568*E568,0)</f>
        <v/>
      </c>
      <c r="M568" s="1">
        <f>IFERROR(K568*E568,0)</f>
        <v/>
      </c>
    </row>
    <row r="569">
      <c r="A569" t="inlineStr">
        <is>
          <t>762Assembly</t>
        </is>
      </c>
      <c r="B569" t="inlineStr">
        <is>
          <t>762 Assembly, and Miscellaneous</t>
        </is>
      </c>
      <c r="C569" t="inlineStr"/>
      <c r="D569" t="inlineStr"/>
      <c r="E569" s="1" t="n">
        <v>0</v>
      </c>
      <c r="F569" t="n">
        <v>1</v>
      </c>
      <c r="G569" t="n">
        <v>0</v>
      </c>
      <c r="H569" t="n">
        <v>5</v>
      </c>
      <c r="I569" t="n">
        <v>0</v>
      </c>
      <c r="J569" t="n">
        <v>0</v>
      </c>
      <c r="K569">
        <f>IF(H569-I569-J569&gt;0,H569-I569-J569,0)</f>
        <v/>
      </c>
      <c r="L569" s="1">
        <f>IFERROR(I569*E569,0)</f>
        <v/>
      </c>
      <c r="M569" s="1">
        <f>IFERROR(K569*E569,0)</f>
        <v/>
      </c>
    </row>
    <row r="570">
      <c r="A570" t="inlineStr">
        <is>
          <t>762Flame</t>
        </is>
      </c>
      <c r="B570" t="inlineStr">
        <is>
          <t>762 Flameproof Track</t>
        </is>
      </c>
      <c r="C570" t="inlineStr"/>
      <c r="D570" t="inlineStr"/>
      <c r="E570" s="1" t="n">
        <v>0</v>
      </c>
      <c r="F570" t="n">
        <v>1</v>
      </c>
      <c r="G570" t="n">
        <v>0</v>
      </c>
      <c r="H570" t="n">
        <v>5</v>
      </c>
      <c r="I570" t="n">
        <v>0</v>
      </c>
      <c r="J570" t="n">
        <v>0</v>
      </c>
      <c r="K570">
        <f>IF(H570-I570-J570&gt;0,H570-I570-J570,0)</f>
        <v/>
      </c>
      <c r="L570" s="1">
        <f>IFERROR(I570*E570,0)</f>
        <v/>
      </c>
      <c r="M570" s="1">
        <f>IFERROR(K570*E570,0)</f>
        <v/>
      </c>
    </row>
    <row r="571">
      <c r="A571" t="inlineStr">
        <is>
          <t>762Grille</t>
        </is>
      </c>
      <c r="B571" t="inlineStr">
        <is>
          <t>762 Grille</t>
        </is>
      </c>
      <c r="C571" t="inlineStr"/>
      <c r="D571" t="inlineStr"/>
      <c r="E571" s="1" t="n">
        <v>0</v>
      </c>
      <c r="F571" t="n">
        <v>2</v>
      </c>
      <c r="G571" t="n">
        <v>0</v>
      </c>
      <c r="H571" t="n">
        <v>10</v>
      </c>
      <c r="I571" t="n">
        <v>0</v>
      </c>
      <c r="J571" t="n">
        <v>0</v>
      </c>
      <c r="K571">
        <f>IF(H571-I571-J571&gt;0,H571-I571-J571,0)</f>
        <v/>
      </c>
      <c r="L571" s="1">
        <f>IFERROR(I571*E571,0)</f>
        <v/>
      </c>
      <c r="M571" s="1">
        <f>IFERROR(K571*E571,0)</f>
        <v/>
      </c>
    </row>
    <row r="572">
      <c r="A572" t="inlineStr">
        <is>
          <t>762IMP</t>
        </is>
      </c>
      <c r="B572" t="inlineStr">
        <is>
          <t>762 Impeller</t>
        </is>
      </c>
      <c r="C572" t="inlineStr"/>
      <c r="D572" t="inlineStr"/>
      <c r="E572" s="1" t="n">
        <v>0</v>
      </c>
      <c r="F572" t="n">
        <v>1</v>
      </c>
      <c r="G572" t="n">
        <v>0</v>
      </c>
      <c r="H572" t="n">
        <v>5</v>
      </c>
      <c r="I572" t="n">
        <v>0</v>
      </c>
      <c r="J572" t="n">
        <v>0</v>
      </c>
      <c r="K572">
        <f>IF(H572-I572-J572&gt;0,H572-I572-J572,0)</f>
        <v/>
      </c>
      <c r="L572" s="1">
        <f>IFERROR(I572*E572,0)</f>
        <v/>
      </c>
      <c r="M572" s="1">
        <f>IFERROR(K572*E572,0)</f>
        <v/>
      </c>
    </row>
    <row r="573">
      <c r="A573" t="inlineStr">
        <is>
          <t>762Silenced- Motor</t>
        </is>
      </c>
      <c r="B573" t="inlineStr">
        <is>
          <t>762 Silenced Motor Barrel</t>
        </is>
      </c>
      <c r="C573" t="inlineStr"/>
      <c r="D573" t="inlineStr"/>
      <c r="E573" s="1" t="n">
        <v>0</v>
      </c>
      <c r="F573" t="n">
        <v>1</v>
      </c>
      <c r="G573" t="n">
        <v>0</v>
      </c>
      <c r="H573" t="n">
        <v>5</v>
      </c>
      <c r="I573" t="n">
        <v>0</v>
      </c>
      <c r="J573" t="n">
        <v>0</v>
      </c>
      <c r="K573">
        <f>IF(H573-I573-J573&gt;0,H573-I573-J573,0)</f>
        <v/>
      </c>
      <c r="L573" s="1">
        <f>IFERROR(I573*E573,0)</f>
        <v/>
      </c>
      <c r="M573" s="1">
        <f>IFERROR(K573*E573,0)</f>
        <v/>
      </c>
    </row>
    <row r="574">
      <c r="A574" t="inlineStr">
        <is>
          <t>762Silenced-Stator</t>
        </is>
      </c>
      <c r="B574" t="inlineStr">
        <is>
          <t>762 Silenced Stator Barrel c/w Stator</t>
        </is>
      </c>
      <c r="C574" t="inlineStr"/>
      <c r="D574" t="inlineStr"/>
      <c r="E574" s="1" t="n">
        <v>0</v>
      </c>
      <c r="F574" t="n">
        <v>1</v>
      </c>
      <c r="G574" t="n">
        <v>0</v>
      </c>
      <c r="H574" t="n">
        <v>5</v>
      </c>
      <c r="I574" t="n">
        <v>0</v>
      </c>
      <c r="J574" t="n">
        <v>0</v>
      </c>
      <c r="K574">
        <f>IF(H574-I574-J574&gt;0,H574-I574-J574,0)</f>
        <v/>
      </c>
      <c r="L574" s="1">
        <f>IFERROR(I574*E574,0)</f>
        <v/>
      </c>
      <c r="M574" s="1">
        <f>IFERROR(K574*E574,0)</f>
        <v/>
      </c>
    </row>
    <row r="575">
      <c r="A575" t="inlineStr">
        <is>
          <t>77521</t>
        </is>
      </c>
      <c r="B575" t="inlineStr">
        <is>
          <t>AT 7/7 SC - Single Unit</t>
        </is>
      </c>
      <c r="C575" t="inlineStr">
        <is>
          <t>Regal Beloit Italy S.p.A - Nicotra .</t>
        </is>
      </c>
      <c r="D575" t="inlineStr">
        <is>
          <t>FM - NICOTRA</t>
        </is>
      </c>
      <c r="E575" s="1" t="n">
        <v>1276.17</v>
      </c>
      <c r="F575" t="n">
        <v>1</v>
      </c>
      <c r="G575" t="n">
        <v>0</v>
      </c>
      <c r="H575" t="n">
        <v>2</v>
      </c>
      <c r="I575" t="n">
        <v>0</v>
      </c>
      <c r="J575" t="n">
        <v>0</v>
      </c>
      <c r="K575">
        <f>IF(H575-I575-J575&gt;0,H575-I575-J575,0)</f>
        <v/>
      </c>
      <c r="L575" s="1">
        <f>IFERROR(I575*E575,0)</f>
        <v/>
      </c>
      <c r="M575" s="1">
        <f>IFERROR(K575*E575,0)</f>
        <v/>
      </c>
    </row>
    <row r="576">
      <c r="A576" t="inlineStr">
        <is>
          <t>7mmEW</t>
        </is>
      </c>
      <c r="B576" t="inlineStr">
        <is>
          <t>End Washer - 43mm OD and 7mm ID - Plated</t>
        </is>
      </c>
      <c r="C576" t="inlineStr">
        <is>
          <t>Mafilisti Trading and Projects (Pty) Ltd</t>
        </is>
      </c>
      <c r="D576" t="inlineStr"/>
      <c r="E576" s="1" t="n">
        <v>14</v>
      </c>
      <c r="F576" t="n">
        <v>7</v>
      </c>
      <c r="G576" t="n">
        <v>0</v>
      </c>
      <c r="H576" t="n">
        <v>35</v>
      </c>
      <c r="I576" t="n">
        <v>0</v>
      </c>
      <c r="J576" t="n">
        <v>0</v>
      </c>
      <c r="K576">
        <f>IF(H576-I576-J576&gt;0,H576-I576-J576,0)</f>
        <v/>
      </c>
      <c r="L576" s="1">
        <f>IFERROR(I576*E576,0)</f>
        <v/>
      </c>
      <c r="M576" s="1">
        <f>IFERROR(K576*E576,0)</f>
        <v/>
      </c>
    </row>
    <row r="577">
      <c r="A577" t="inlineStr">
        <is>
          <t>8-188</t>
        </is>
      </c>
      <c r="B577" t="inlineStr">
        <is>
          <t>CABTYRE - 4MM X 4C CABTYRE CUT PE</t>
        </is>
      </c>
      <c r="C577" t="inlineStr">
        <is>
          <t>Alpha Electrical</t>
        </is>
      </c>
      <c r="D577" t="inlineStr"/>
      <c r="E577" s="1" t="n">
        <v>80</v>
      </c>
      <c r="F577" t="n">
        <v>5</v>
      </c>
      <c r="G577" t="n">
        <v>0</v>
      </c>
      <c r="H577" t="n">
        <v>25</v>
      </c>
      <c r="I577" t="n">
        <v>0</v>
      </c>
      <c r="J577" t="n">
        <v>0</v>
      </c>
      <c r="K577">
        <f>IF(H577-I577-J577&gt;0,H577-I577-J577,0)</f>
        <v/>
      </c>
      <c r="L577" s="1">
        <f>IFERROR(I577*E577,0)</f>
        <v/>
      </c>
      <c r="M577" s="1">
        <f>IFERROR(K577*E577,0)</f>
        <v/>
      </c>
    </row>
    <row r="578">
      <c r="A578" t="inlineStr">
        <is>
          <t>80 FR 18.8</t>
        </is>
      </c>
      <c r="B578" t="inlineStr">
        <is>
          <t>80 Motor Frame - 18.8 mm OD Spacer</t>
        </is>
      </c>
      <c r="C578" t="inlineStr">
        <is>
          <t>Hulmak Engineering cc</t>
        </is>
      </c>
      <c r="D578" t="inlineStr"/>
      <c r="E578" s="1" t="n">
        <v>30</v>
      </c>
      <c r="F578" t="n">
        <v>7</v>
      </c>
      <c r="G578" t="n">
        <v>0</v>
      </c>
      <c r="H578" t="n">
        <v>35</v>
      </c>
      <c r="I578" t="n">
        <v>0</v>
      </c>
      <c r="J578" t="n">
        <v>0</v>
      </c>
      <c r="K578">
        <f>IF(H578-I578-J578&gt;0,H578-I578-J578,0)</f>
        <v/>
      </c>
      <c r="L578" s="1">
        <f>IFERROR(I578*E578,0)</f>
        <v/>
      </c>
      <c r="M578" s="1">
        <f>IFERROR(K578*E578,0)</f>
        <v/>
      </c>
    </row>
    <row r="579">
      <c r="A579" t="inlineStr">
        <is>
          <t>800/150/10 SI</t>
        </is>
      </c>
      <c r="B579" t="inlineStr">
        <is>
          <t>Spare Impeller (800mm 'B' 150A10AR 28mm 100Frame 27 DEG - FM3176)</t>
        </is>
      </c>
      <c r="C579" t="inlineStr">
        <is>
          <t>Luft Industries Natal (Pty) Ltd</t>
        </is>
      </c>
      <c r="D579" t="inlineStr"/>
      <c r="E579" s="1" t="n">
        <v>1901.25</v>
      </c>
      <c r="F579" t="n">
        <v>1</v>
      </c>
      <c r="G579" t="n">
        <v>0</v>
      </c>
      <c r="H579" t="n">
        <v>3</v>
      </c>
      <c r="I579" t="n">
        <v>0</v>
      </c>
      <c r="J579" t="n">
        <v>0</v>
      </c>
      <c r="K579">
        <f>IF(H579-I579-J579&gt;0,H579-I579-J579,0)</f>
        <v/>
      </c>
      <c r="L579" s="1">
        <f>IFERROR(I579*E579,0)</f>
        <v/>
      </c>
      <c r="M579" s="1">
        <f>IFERROR(K579*E579,0)</f>
        <v/>
      </c>
    </row>
    <row r="580">
      <c r="A580" t="inlineStr">
        <is>
          <t>8005LSW03000300</t>
        </is>
      </c>
      <c r="B580" t="inlineStr">
        <is>
          <t>Grille LS 0300x0300 White for fans 200-250-300</t>
        </is>
      </c>
      <c r="C580" t="inlineStr">
        <is>
          <t>Luft Industries Natal (Pty) Ltd</t>
        </is>
      </c>
      <c r="D580" t="inlineStr"/>
      <c r="E580" s="1" t="n">
        <v>607.14</v>
      </c>
      <c r="F580" t="n">
        <v>2</v>
      </c>
      <c r="G580" t="n">
        <v>0</v>
      </c>
      <c r="H580" t="n">
        <v>6</v>
      </c>
      <c r="I580" t="n">
        <v>0</v>
      </c>
      <c r="J580" t="n">
        <v>0</v>
      </c>
      <c r="K580">
        <f>IF(H580-I580-J580&gt;0,H580-I580-J580,0)</f>
        <v/>
      </c>
      <c r="L580" s="1">
        <f>IFERROR(I580*E580,0)</f>
        <v/>
      </c>
      <c r="M580" s="1">
        <f>IFERROR(K580*E580,0)</f>
        <v/>
      </c>
    </row>
    <row r="581">
      <c r="A581" t="inlineStr">
        <is>
          <t>800CF</t>
        </is>
      </c>
      <c r="B581" t="inlineStr">
        <is>
          <t>800 Diam Counter Flange</t>
        </is>
      </c>
      <c r="C581" t="inlineStr">
        <is>
          <t>Attenu-Tec HVAC Parts</t>
        </is>
      </c>
      <c r="D581" t="inlineStr">
        <is>
          <t>FM - C/FLANGE</t>
        </is>
      </c>
      <c r="E581" s="1" t="n">
        <v>212.23</v>
      </c>
      <c r="F581" t="n">
        <v>2</v>
      </c>
      <c r="G581" t="n">
        <v>0</v>
      </c>
      <c r="H581" t="n">
        <v>9</v>
      </c>
      <c r="I581" t="n">
        <v>0</v>
      </c>
      <c r="J581" t="n">
        <v>0</v>
      </c>
      <c r="K581">
        <f>IF(H581-I581-J581&gt;0,H581-I581-J581,0)</f>
        <v/>
      </c>
      <c r="L581" s="1">
        <f>IFERROR(I581*E581,0)</f>
        <v/>
      </c>
      <c r="M581" s="1">
        <f>IFERROR(K581*E581,0)</f>
        <v/>
      </c>
    </row>
    <row r="582">
      <c r="A582" t="inlineStr">
        <is>
          <t>800CFUG</t>
        </is>
      </c>
      <c r="B582" t="inlineStr">
        <is>
          <t>800 Diam Counter Flange Ungalvanised</t>
        </is>
      </c>
      <c r="C582" t="inlineStr">
        <is>
          <t>ULTIMATENG (PTY) LTD</t>
        </is>
      </c>
      <c r="D582" t="inlineStr">
        <is>
          <t>FM - C/FLANGE</t>
        </is>
      </c>
      <c r="E582" s="1" t="n">
        <v>0</v>
      </c>
      <c r="F582" t="n">
        <v>16</v>
      </c>
      <c r="G582" t="n">
        <v>0</v>
      </c>
      <c r="H582" t="n">
        <v>80</v>
      </c>
      <c r="I582" t="n">
        <v>0</v>
      </c>
      <c r="J582" t="n">
        <v>0</v>
      </c>
      <c r="K582">
        <f>IF(H582-I582-J582&gt;0,H582-I582-J582,0)</f>
        <v/>
      </c>
      <c r="L582" s="1">
        <f>IFERROR(I582*E582,0)</f>
        <v/>
      </c>
      <c r="M582" s="1">
        <f>IFERROR(K582*E582,0)</f>
        <v/>
      </c>
    </row>
    <row r="583">
      <c r="A583" t="inlineStr">
        <is>
          <t>800FC</t>
        </is>
      </c>
      <c r="B583" t="inlineStr">
        <is>
          <t>800 Diam Flexible Connection</t>
        </is>
      </c>
      <c r="C583" t="inlineStr"/>
      <c r="D583" t="inlineStr">
        <is>
          <t>FM - DONKIN</t>
        </is>
      </c>
      <c r="E583" s="1" t="n">
        <v>0</v>
      </c>
      <c r="F583" t="n">
        <v>2</v>
      </c>
      <c r="G583" t="n">
        <v>0</v>
      </c>
      <c r="H583" t="n">
        <v>12</v>
      </c>
      <c r="I583" t="n">
        <v>0</v>
      </c>
      <c r="J583" t="n">
        <v>0</v>
      </c>
      <c r="K583">
        <f>IF(H583-I583-J583&gt;0,H583-I583-J583,0)</f>
        <v/>
      </c>
      <c r="L583" s="1">
        <f>IFERROR(I583*E583,0)</f>
        <v/>
      </c>
      <c r="M583" s="1">
        <f>IFERROR(K583*E583,0)</f>
        <v/>
      </c>
    </row>
    <row r="584">
      <c r="A584" t="inlineStr">
        <is>
          <t>800HVJ-2S</t>
        </is>
      </c>
      <c r="B584" t="inlineStr">
        <is>
          <t>800 Diam Vertical Discharge Unit</t>
        </is>
      </c>
      <c r="C584" t="inlineStr">
        <is>
          <t>Attenu-Tec HVAC Parts</t>
        </is>
      </c>
      <c r="D584" t="inlineStr">
        <is>
          <t>FM - DONKIN</t>
        </is>
      </c>
      <c r="E584" s="1" t="n">
        <v>1699</v>
      </c>
      <c r="F584" t="n">
        <v>1</v>
      </c>
      <c r="G584" t="n">
        <v>0</v>
      </c>
      <c r="H584" t="n">
        <v>3</v>
      </c>
      <c r="I584" t="n">
        <v>0</v>
      </c>
      <c r="J584" t="n">
        <v>0</v>
      </c>
      <c r="K584">
        <f>IF(H584-I584-J584&gt;0,H584-I584-J584,0)</f>
        <v/>
      </c>
      <c r="L584" s="1">
        <f>IFERROR(I584*E584,0)</f>
        <v/>
      </c>
      <c r="M584" s="1">
        <f>IFERROR(K584*E584,0)</f>
        <v/>
      </c>
    </row>
    <row r="585">
      <c r="A585" t="inlineStr">
        <is>
          <t>800IC</t>
        </is>
      </c>
      <c r="B585" t="inlineStr">
        <is>
          <t>Inlet Cone</t>
        </is>
      </c>
      <c r="C585" t="inlineStr">
        <is>
          <t>Attenu-Tec HVAC Parts</t>
        </is>
      </c>
      <c r="D585" t="inlineStr"/>
      <c r="E585" s="1" t="n">
        <v>1014</v>
      </c>
      <c r="F585" t="n">
        <v>2</v>
      </c>
      <c r="G585" t="n">
        <v>0</v>
      </c>
      <c r="H585" t="n">
        <v>10</v>
      </c>
      <c r="I585" t="n">
        <v>0</v>
      </c>
      <c r="J585" t="n">
        <v>0</v>
      </c>
      <c r="K585">
        <f>IF(H585-I585-J585&gt;0,H585-I585-J585,0)</f>
        <v/>
      </c>
      <c r="L585" s="1">
        <f>IFERROR(I585*E585,0)</f>
        <v/>
      </c>
      <c r="M585" s="1">
        <f>IFERROR(K585*E585,0)</f>
        <v/>
      </c>
    </row>
    <row r="586">
      <c r="A586" t="inlineStr">
        <is>
          <t>800IMP</t>
        </is>
      </c>
      <c r="B586" t="inlineStr">
        <is>
          <t>Spare Impeller</t>
        </is>
      </c>
      <c r="C586" t="inlineStr">
        <is>
          <t>Phoenix Fans &amp; Engineering</t>
        </is>
      </c>
      <c r="D586" t="inlineStr"/>
      <c r="E586" s="1" t="n">
        <v>0</v>
      </c>
      <c r="F586" t="n">
        <v>1</v>
      </c>
      <c r="G586" t="n">
        <v>0</v>
      </c>
      <c r="H586" t="n">
        <v>3</v>
      </c>
      <c r="I586" t="n">
        <v>0</v>
      </c>
      <c r="J586" t="n">
        <v>0</v>
      </c>
      <c r="K586">
        <f>IF(H586-I586-J586&gt;0,H586-I586-J586,0)</f>
        <v/>
      </c>
      <c r="L586" s="1">
        <f>IFERROR(I586*E586,0)</f>
        <v/>
      </c>
      <c r="M586" s="1">
        <f>IFERROR(K586*E586,0)</f>
        <v/>
      </c>
    </row>
    <row r="587">
      <c r="A587" t="inlineStr">
        <is>
          <t>800MBP07</t>
        </is>
      </c>
      <c r="B587" t="inlineStr">
        <is>
          <t>1-0350-240 P07 - 800 Motor Bracket</t>
        </is>
      </c>
      <c r="C587" t="inlineStr">
        <is>
          <t>Kart Shop TA Ultimate Laser Cutting</t>
        </is>
      </c>
      <c r="D587" t="inlineStr"/>
      <c r="E587" s="1" t="n">
        <v>28.72</v>
      </c>
      <c r="F587" t="n">
        <v>3</v>
      </c>
      <c r="G587" t="n">
        <v>0</v>
      </c>
      <c r="H587" t="n">
        <v>15</v>
      </c>
      <c r="I587" t="n">
        <v>0</v>
      </c>
      <c r="J587" t="n">
        <v>0</v>
      </c>
      <c r="K587">
        <f>IF(H587-I587-J587&gt;0,H587-I587-J587,0)</f>
        <v/>
      </c>
      <c r="L587" s="1">
        <f>IFERROR(I587*E587,0)</f>
        <v/>
      </c>
      <c r="M587" s="1">
        <f>IFERROR(K587*E587,0)</f>
        <v/>
      </c>
    </row>
    <row r="588">
      <c r="A588" t="inlineStr">
        <is>
          <t>800MF</t>
        </is>
      </c>
      <c r="B588" t="inlineStr">
        <is>
          <t>800 Diam Mounting Feet</t>
        </is>
      </c>
      <c r="C588" t="inlineStr">
        <is>
          <t>Air Speration</t>
        </is>
      </c>
      <c r="D588" t="inlineStr">
        <is>
          <t>FM - M/FEET</t>
        </is>
      </c>
      <c r="E588" s="1" t="n">
        <v>191.49</v>
      </c>
      <c r="F588" t="n">
        <v>2</v>
      </c>
      <c r="G588" t="n">
        <v>0</v>
      </c>
      <c r="H588" t="n">
        <v>10</v>
      </c>
      <c r="I588" t="n">
        <v>0</v>
      </c>
      <c r="J588" t="n">
        <v>0</v>
      </c>
      <c r="K588">
        <f>IF(H588-I588-J588&gt;0,H588-I588-J588,0)</f>
        <v/>
      </c>
      <c r="L588" s="1">
        <f>IFERROR(I588*E588,0)</f>
        <v/>
      </c>
      <c r="M588" s="1">
        <f>IFERROR(K588*E588,0)</f>
        <v/>
      </c>
    </row>
    <row r="589">
      <c r="A589" t="inlineStr">
        <is>
          <t>800MFUG</t>
        </is>
      </c>
      <c r="B589" t="inlineStr">
        <is>
          <t>800 Diam Mounting Feet Ungalvanized</t>
        </is>
      </c>
      <c r="C589" t="inlineStr">
        <is>
          <t>ULTIMATENG (PTY) LTD</t>
        </is>
      </c>
      <c r="D589" t="inlineStr">
        <is>
          <t>FM - M/FEET</t>
        </is>
      </c>
      <c r="E589" s="1" t="n">
        <v>0</v>
      </c>
      <c r="F589" t="n">
        <v>11</v>
      </c>
      <c r="G589" t="n">
        <v>0</v>
      </c>
      <c r="H589" t="n">
        <v>55</v>
      </c>
      <c r="I589" t="n">
        <v>0</v>
      </c>
      <c r="J589" t="n">
        <v>0</v>
      </c>
      <c r="K589">
        <f>IF(H589-I589-J589&gt;0,H589-I589-J589,0)</f>
        <v/>
      </c>
      <c r="L589" s="1">
        <f>IFERROR(I589*E589,0)</f>
        <v/>
      </c>
      <c r="M589" s="1">
        <f>IFERROR(K589*E589,0)</f>
        <v/>
      </c>
    </row>
    <row r="590">
      <c r="A590" t="inlineStr">
        <is>
          <t>800PLT400-2MM</t>
        </is>
      </c>
      <c r="B590" t="inlineStr">
        <is>
          <t>800 Casing Sheet - 2528 x 400 - 2mm</t>
        </is>
      </c>
      <c r="C590" t="inlineStr">
        <is>
          <t>NJR STEEL - ALRODE (PTY) LTD</t>
        </is>
      </c>
      <c r="D590" t="inlineStr">
        <is>
          <t>FM - FABRICATION</t>
        </is>
      </c>
      <c r="E590" s="1" t="n">
        <v>331</v>
      </c>
      <c r="F590" t="n">
        <v>3</v>
      </c>
      <c r="G590" t="n">
        <v>0</v>
      </c>
      <c r="H590" t="n">
        <v>15</v>
      </c>
      <c r="I590" t="n">
        <v>0</v>
      </c>
      <c r="J590" t="n">
        <v>0</v>
      </c>
      <c r="K590">
        <f>IF(H590-I590-J590&gt;0,H590-I590-J590,0)</f>
        <v/>
      </c>
      <c r="L590" s="1">
        <f>IFERROR(I590*E590,0)</f>
        <v/>
      </c>
      <c r="M590" s="1">
        <f>IFERROR(K590*E590,0)</f>
        <v/>
      </c>
    </row>
    <row r="591">
      <c r="A591" t="inlineStr">
        <is>
          <t>800PLT400-3MM</t>
        </is>
      </c>
      <c r="B591" t="inlineStr">
        <is>
          <t>800 Casing Sheet - 2528 x 400 - 3mm</t>
        </is>
      </c>
      <c r="C591" t="inlineStr">
        <is>
          <t>NJR STEEL - ALRODE (PTY) LTD</t>
        </is>
      </c>
      <c r="D591" t="inlineStr">
        <is>
          <t>FM - FABRICATION</t>
        </is>
      </c>
      <c r="E591" s="1" t="n">
        <v>597</v>
      </c>
      <c r="F591" t="n">
        <v>4</v>
      </c>
      <c r="G591" t="n">
        <v>0</v>
      </c>
      <c r="H591" t="n">
        <v>18</v>
      </c>
      <c r="I591" t="n">
        <v>0</v>
      </c>
      <c r="J591" t="n">
        <v>0</v>
      </c>
      <c r="K591">
        <f>IF(H591-I591-J591&gt;0,H591-I591-J591,0)</f>
        <v/>
      </c>
      <c r="L591" s="1">
        <f>IFERROR(I591*E591,0)</f>
        <v/>
      </c>
      <c r="M591" s="1">
        <f>IFERROR(K591*E591,0)</f>
        <v/>
      </c>
    </row>
    <row r="592">
      <c r="A592" t="inlineStr">
        <is>
          <t>800PLT400-3MM.</t>
        </is>
      </c>
      <c r="B592" t="inlineStr">
        <is>
          <t>800 Casing Sheet - 2528 x 400 - 3mm</t>
        </is>
      </c>
      <c r="C592" t="inlineStr">
        <is>
          <t>ULTIMATENG (PTY) LTD</t>
        </is>
      </c>
      <c r="D592" t="inlineStr">
        <is>
          <t>FM - FABRICATION</t>
        </is>
      </c>
      <c r="E592" s="1" t="n">
        <v>400</v>
      </c>
      <c r="F592" t="n">
        <v>5</v>
      </c>
      <c r="G592" t="n">
        <v>0</v>
      </c>
      <c r="H592" t="n">
        <v>25</v>
      </c>
      <c r="I592" t="n">
        <v>0</v>
      </c>
      <c r="J592" t="n">
        <v>0</v>
      </c>
      <c r="K592">
        <f>IF(H592-I592-J592&gt;0,H592-I592-J592,0)</f>
        <v/>
      </c>
      <c r="L592" s="1">
        <f>IFERROR(I592*E592,0)</f>
        <v/>
      </c>
      <c r="M592" s="1">
        <f>IFERROR(K592*E592,0)</f>
        <v/>
      </c>
    </row>
    <row r="593">
      <c r="A593" t="inlineStr">
        <is>
          <t>800PLT500-3MM</t>
        </is>
      </c>
      <c r="B593" t="inlineStr">
        <is>
          <t>800 Casing Sheet - 2528 x 500 - 3mm</t>
        </is>
      </c>
      <c r="C593" t="inlineStr">
        <is>
          <t>NJR STEEL - ALRODE (PTY) LTD</t>
        </is>
      </c>
      <c r="D593" t="inlineStr">
        <is>
          <t>FM - FABRICATION</t>
        </is>
      </c>
      <c r="E593" s="1" t="n">
        <v>767.67</v>
      </c>
      <c r="F593" t="n">
        <v>3</v>
      </c>
      <c r="G593" t="n">
        <v>0</v>
      </c>
      <c r="H593" t="n">
        <v>15</v>
      </c>
      <c r="I593" t="n">
        <v>0</v>
      </c>
      <c r="J593" t="n">
        <v>0</v>
      </c>
      <c r="K593">
        <f>IF(H593-I593-J593&gt;0,H593-I593-J593,0)</f>
        <v/>
      </c>
      <c r="L593" s="1">
        <f>IFERROR(I593*E593,0)</f>
        <v/>
      </c>
      <c r="M593" s="1">
        <f>IFERROR(K593*E593,0)</f>
        <v/>
      </c>
    </row>
    <row r="594">
      <c r="A594" t="inlineStr">
        <is>
          <t>800S</t>
        </is>
      </c>
      <c r="B594" t="inlineStr">
        <is>
          <t>800mm dia Fan Guard - Hot Dip Galvanised</t>
        </is>
      </c>
      <c r="C594" t="inlineStr">
        <is>
          <t>Heinmor Wire Products CC</t>
        </is>
      </c>
      <c r="D594" t="inlineStr"/>
      <c r="E594" s="1" t="n">
        <v>686.4</v>
      </c>
      <c r="F594" t="n">
        <v>2</v>
      </c>
      <c r="G594" t="n">
        <v>0</v>
      </c>
      <c r="H594" t="n">
        <v>8</v>
      </c>
      <c r="I594" t="n">
        <v>0</v>
      </c>
      <c r="J594" t="n">
        <v>0</v>
      </c>
      <c r="K594">
        <f>IF(H594-I594-J594&gt;0,H594-I594-J594,0)</f>
        <v/>
      </c>
      <c r="L594" s="1">
        <f>IFERROR(I594*E594,0)</f>
        <v/>
      </c>
      <c r="M594" s="1">
        <f>IFERROR(K594*E594,0)</f>
        <v/>
      </c>
    </row>
    <row r="595">
      <c r="A595" t="inlineStr">
        <is>
          <t>800S1.0DP</t>
        </is>
      </c>
      <c r="B595" t="inlineStr">
        <is>
          <t>800 Diam Silencer 1.0D Podded</t>
        </is>
      </c>
      <c r="C595" t="inlineStr">
        <is>
          <t>Attenu-Tec</t>
        </is>
      </c>
      <c r="D595" t="inlineStr">
        <is>
          <t>FM - DONKIN</t>
        </is>
      </c>
      <c r="E595" s="1" t="n">
        <v>3395</v>
      </c>
      <c r="F595" t="n">
        <v>29</v>
      </c>
      <c r="G595" t="n">
        <v>0</v>
      </c>
      <c r="H595" t="n">
        <v>61</v>
      </c>
      <c r="I595" t="n">
        <v>0</v>
      </c>
      <c r="J595" t="n">
        <v>0</v>
      </c>
      <c r="K595">
        <f>IF(H595-I595-J595&gt;0,H595-I595-J595,0)</f>
        <v/>
      </c>
      <c r="L595" s="1">
        <f>IFERROR(I595*E595,0)</f>
        <v/>
      </c>
      <c r="M595" s="1">
        <f>IFERROR(K595*E595,0)</f>
        <v/>
      </c>
    </row>
    <row r="596">
      <c r="A596" t="inlineStr">
        <is>
          <t>800S1.5D</t>
        </is>
      </c>
      <c r="B596" t="inlineStr">
        <is>
          <t>800 Diam Silencer 1.5D</t>
        </is>
      </c>
      <c r="C596" t="inlineStr"/>
      <c r="D596" t="inlineStr">
        <is>
          <t>FM - DONKIN</t>
        </is>
      </c>
      <c r="E596" s="1" t="n">
        <v>0</v>
      </c>
      <c r="F596" t="n">
        <v>1</v>
      </c>
      <c r="G596" t="n">
        <v>0</v>
      </c>
      <c r="H596" t="n">
        <v>2</v>
      </c>
      <c r="I596" t="n">
        <v>0</v>
      </c>
      <c r="J596" t="n">
        <v>0</v>
      </c>
      <c r="K596">
        <f>IF(H596-I596-J596&gt;0,H596-I596-J596,0)</f>
        <v/>
      </c>
      <c r="L596" s="1">
        <f>IFERROR(I596*E596,0)</f>
        <v/>
      </c>
      <c r="M596" s="1">
        <f>IFERROR(K596*E596,0)</f>
        <v/>
      </c>
    </row>
    <row r="597">
      <c r="A597" t="inlineStr">
        <is>
          <t>800S1.5DP</t>
        </is>
      </c>
      <c r="B597" t="inlineStr">
        <is>
          <t>800 Diam Silencer 1.5D Podded</t>
        </is>
      </c>
      <c r="C597" t="inlineStr">
        <is>
          <t>Attenu-Tec</t>
        </is>
      </c>
      <c r="D597" t="inlineStr">
        <is>
          <t>FM - DONKIN</t>
        </is>
      </c>
      <c r="E597" s="1" t="n">
        <v>4423</v>
      </c>
      <c r="F597" t="n">
        <v>1</v>
      </c>
      <c r="G597" t="n">
        <v>0</v>
      </c>
      <c r="H597" t="n">
        <v>4</v>
      </c>
      <c r="I597" t="n">
        <v>0</v>
      </c>
      <c r="J597" t="n">
        <v>0</v>
      </c>
      <c r="K597">
        <f>IF(H597-I597-J597&gt;0,H597-I597-J597,0)</f>
        <v/>
      </c>
      <c r="L597" s="1">
        <f>IFERROR(I597*E597,0)</f>
        <v/>
      </c>
      <c r="M597" s="1">
        <f>IFERROR(K597*E597,0)</f>
        <v/>
      </c>
    </row>
    <row r="598">
      <c r="A598" t="inlineStr">
        <is>
          <t>800S2.0DP</t>
        </is>
      </c>
      <c r="B598" t="inlineStr">
        <is>
          <t>800 Diam Silencer 2.0D Podded</t>
        </is>
      </c>
      <c r="C598" t="inlineStr">
        <is>
          <t>Attenu-Tec</t>
        </is>
      </c>
      <c r="D598" t="inlineStr">
        <is>
          <t>FM - DONKIN</t>
        </is>
      </c>
      <c r="E598" s="1" t="n">
        <v>5738</v>
      </c>
      <c r="F598" t="n">
        <v>1</v>
      </c>
      <c r="G598" t="n">
        <v>0</v>
      </c>
      <c r="H598" t="n">
        <v>3</v>
      </c>
      <c r="I598" t="n">
        <v>0</v>
      </c>
      <c r="J598" t="n">
        <v>0</v>
      </c>
      <c r="K598">
        <f>IF(H598-I598-J598&gt;0,H598-I598-J598,0)</f>
        <v/>
      </c>
      <c r="L598" s="1">
        <f>IFERROR(I598*E598,0)</f>
        <v/>
      </c>
      <c r="M598" s="1">
        <f>IFERROR(K598*E598,0)</f>
        <v/>
      </c>
    </row>
    <row r="599">
      <c r="A599" t="inlineStr">
        <is>
          <t>800SC</t>
        </is>
      </c>
      <c r="B599" t="inlineStr">
        <is>
          <t>Screen</t>
        </is>
      </c>
      <c r="C599" t="inlineStr">
        <is>
          <t>Systemair (Pty) Ltd</t>
        </is>
      </c>
      <c r="D599" t="inlineStr"/>
      <c r="E599" s="1" t="n">
        <v>1092.5</v>
      </c>
      <c r="F599" t="n">
        <v>3</v>
      </c>
      <c r="G599" t="n">
        <v>0</v>
      </c>
      <c r="H599" t="n">
        <v>15</v>
      </c>
      <c r="I599" t="n">
        <v>0</v>
      </c>
      <c r="J599" t="n">
        <v>0</v>
      </c>
      <c r="K599">
        <f>IF(H599-I599-J599&gt;0,H599-I599-J599,0)</f>
        <v/>
      </c>
      <c r="L599" s="1">
        <f>IFERROR(I599*E599,0)</f>
        <v/>
      </c>
      <c r="M599" s="1">
        <f>IFERROR(K599*E599,0)</f>
        <v/>
      </c>
    </row>
    <row r="600">
      <c r="A600" t="inlineStr">
        <is>
          <t>800SM1.0DP</t>
        </is>
      </c>
      <c r="B600" t="inlineStr">
        <is>
          <t>800 Diam Melinex Silencer 1.0D Podded</t>
        </is>
      </c>
      <c r="C600" t="inlineStr"/>
      <c r="D600" t="inlineStr">
        <is>
          <t>FM - DONKIN</t>
        </is>
      </c>
      <c r="E600" s="1" t="n">
        <v>0</v>
      </c>
      <c r="F600" t="n">
        <v>8</v>
      </c>
      <c r="G600" t="n">
        <v>0</v>
      </c>
      <c r="H600" t="n">
        <v>40</v>
      </c>
      <c r="I600" t="n">
        <v>0</v>
      </c>
      <c r="J600" t="n">
        <v>0</v>
      </c>
      <c r="K600">
        <f>IF(H600-I600-J600&gt;0,H600-I600-J600,0)</f>
        <v/>
      </c>
      <c r="L600" s="1">
        <f>IFERROR(I600*E600,0)</f>
        <v/>
      </c>
      <c r="M600" s="1">
        <f>IFERROR(K600*E600,0)</f>
        <v/>
      </c>
    </row>
    <row r="601">
      <c r="A601" t="inlineStr">
        <is>
          <t>800SM1.5D</t>
        </is>
      </c>
      <c r="B601" t="inlineStr">
        <is>
          <t>800 Diam Melinex Silencer 1.5D</t>
        </is>
      </c>
      <c r="C601" t="inlineStr">
        <is>
          <t>Attenu-Tec</t>
        </is>
      </c>
      <c r="D601" t="inlineStr">
        <is>
          <t>FM - DONKIN</t>
        </is>
      </c>
      <c r="E601" s="1" t="n">
        <v>3582</v>
      </c>
      <c r="F601" t="n">
        <v>1</v>
      </c>
      <c r="G601" t="n">
        <v>0</v>
      </c>
      <c r="H601" t="n">
        <v>2</v>
      </c>
      <c r="I601" t="n">
        <v>0</v>
      </c>
      <c r="J601" t="n">
        <v>0</v>
      </c>
      <c r="K601">
        <f>IF(H601-I601-J601&gt;0,H601-I601-J601,0)</f>
        <v/>
      </c>
      <c r="L601" s="1">
        <f>IFERROR(I601*E601,0)</f>
        <v/>
      </c>
      <c r="M601" s="1">
        <f>IFERROR(K601*E601,0)</f>
        <v/>
      </c>
    </row>
    <row r="602">
      <c r="A602" t="inlineStr">
        <is>
          <t>800SM1.5DP</t>
        </is>
      </c>
      <c r="B602" t="inlineStr">
        <is>
          <t>800 Diam Melinex Silencer 1.5D Podded</t>
        </is>
      </c>
      <c r="C602" t="inlineStr">
        <is>
          <t>Attenu-Tec</t>
        </is>
      </c>
      <c r="D602" t="inlineStr">
        <is>
          <t>FM - DONKIN</t>
        </is>
      </c>
      <c r="E602" s="1" t="n">
        <v>4192</v>
      </c>
      <c r="F602" t="n">
        <v>2</v>
      </c>
      <c r="G602" t="n">
        <v>0</v>
      </c>
      <c r="H602" t="n">
        <v>4</v>
      </c>
      <c r="I602" t="n">
        <v>0</v>
      </c>
      <c r="J602" t="n">
        <v>0</v>
      </c>
      <c r="K602">
        <f>IF(H602-I602-J602&gt;0,H602-I602-J602,0)</f>
        <v/>
      </c>
      <c r="L602" s="1">
        <f>IFERROR(I602*E602,0)</f>
        <v/>
      </c>
      <c r="M602" s="1">
        <f>IFERROR(K602*E602,0)</f>
        <v/>
      </c>
    </row>
    <row r="603">
      <c r="A603" t="inlineStr">
        <is>
          <t>800WC</t>
        </is>
      </c>
      <c r="B603" t="inlineStr">
        <is>
          <t>800 Wall Cowl Galvanized</t>
        </is>
      </c>
      <c r="C603" t="inlineStr">
        <is>
          <t>Attenu-Tec HVAC Parts</t>
        </is>
      </c>
      <c r="D603" t="inlineStr"/>
      <c r="E603" s="1" t="n">
        <v>1598</v>
      </c>
      <c r="F603" t="n">
        <v>1</v>
      </c>
      <c r="G603" t="n">
        <v>0</v>
      </c>
      <c r="H603" t="n">
        <v>5</v>
      </c>
      <c r="I603" t="n">
        <v>0</v>
      </c>
      <c r="J603" t="n">
        <v>0</v>
      </c>
      <c r="K603">
        <f>IF(H603-I603-J603&gt;0,H603-I603-J603,0)</f>
        <v/>
      </c>
      <c r="L603" s="1">
        <f>IFERROR(I603*E603,0)</f>
        <v/>
      </c>
      <c r="M603" s="1">
        <f>IFERROR(K603*E603,0)</f>
        <v/>
      </c>
    </row>
    <row r="604">
      <c r="A604" t="inlineStr">
        <is>
          <t>8220000263</t>
        </is>
      </c>
      <c r="B604" t="inlineStr">
        <is>
          <t>8UFAFCAP - Capacitor</t>
        </is>
      </c>
      <c r="C604" t="inlineStr">
        <is>
          <t>Ebmpapst</t>
        </is>
      </c>
      <c r="D604" t="inlineStr"/>
      <c r="E604" s="1" t="n">
        <v>50.22</v>
      </c>
      <c r="F604" t="n">
        <v>6</v>
      </c>
      <c r="G604" t="n">
        <v>0</v>
      </c>
      <c r="H604" t="n">
        <v>30</v>
      </c>
      <c r="I604" t="n">
        <v>0</v>
      </c>
      <c r="J604" t="n">
        <v>0</v>
      </c>
      <c r="K604">
        <f>IF(H604-I604-J604&gt;0,H604-I604-J604,0)</f>
        <v/>
      </c>
      <c r="L604" s="1">
        <f>IFERROR(I604*E604,0)</f>
        <v/>
      </c>
      <c r="M604" s="1">
        <f>IFERROR(K604*E604,0)</f>
        <v/>
      </c>
    </row>
    <row r="605">
      <c r="A605" t="inlineStr">
        <is>
          <t>85X3SPA</t>
        </is>
      </c>
      <c r="B605" t="inlineStr">
        <is>
          <t>PULLEY FRICTION BELT V-WEDGE 3 GROOVE SPA 1210 TAPER 85MM FENNER</t>
        </is>
      </c>
      <c r="C605" t="inlineStr">
        <is>
          <t>Bearing Man Group</t>
        </is>
      </c>
      <c r="D605" t="inlineStr"/>
      <c r="E605" s="1" t="n">
        <v>174.26</v>
      </c>
      <c r="F605" t="n">
        <v>1</v>
      </c>
      <c r="G605" t="n">
        <v>0</v>
      </c>
      <c r="H605" t="n">
        <v>5</v>
      </c>
      <c r="I605" t="n">
        <v>0</v>
      </c>
      <c r="J605" t="n">
        <v>0</v>
      </c>
      <c r="K605">
        <f>IF(H605-I605-J605&gt;0,H605-I605-J605,0)</f>
        <v/>
      </c>
      <c r="L605" s="1">
        <f>IFERROR(I605*E605,0)</f>
        <v/>
      </c>
      <c r="M605" s="1">
        <f>IFERROR(K605*E605,0)</f>
        <v/>
      </c>
    </row>
    <row r="606">
      <c r="A606" t="inlineStr">
        <is>
          <t>9.243PM</t>
        </is>
      </c>
      <c r="B606" t="inlineStr">
        <is>
          <t>9.2kW 4P 380V Pad Mount Motor</t>
        </is>
      </c>
      <c r="C606" t="inlineStr">
        <is>
          <t>ACTOM</t>
        </is>
      </c>
      <c r="D606" t="inlineStr"/>
      <c r="E606" s="1" t="n">
        <v>7076</v>
      </c>
      <c r="F606" t="n">
        <v>2</v>
      </c>
      <c r="G606" t="n">
        <v>0</v>
      </c>
      <c r="H606" t="n">
        <v>4</v>
      </c>
      <c r="I606" t="n">
        <v>0</v>
      </c>
      <c r="J606" t="n">
        <v>0</v>
      </c>
      <c r="K606">
        <f>IF(H606-I606-J606&gt;0,H606-I606-J606,0)</f>
        <v/>
      </c>
      <c r="L606" s="1">
        <f>IFERROR(I606*E606,0)</f>
        <v/>
      </c>
      <c r="M606" s="1">
        <f>IFERROR(K606*E606,0)</f>
        <v/>
      </c>
    </row>
    <row r="607">
      <c r="A607" t="inlineStr">
        <is>
          <t>90 FR 23.8</t>
        </is>
      </c>
      <c r="B607" t="inlineStr">
        <is>
          <t>90 Motor Frame - 23.8 mm OD Spacer</t>
        </is>
      </c>
      <c r="C607" t="inlineStr">
        <is>
          <t>Hulmak Engineering cc</t>
        </is>
      </c>
      <c r="D607" t="inlineStr"/>
      <c r="E607" s="1" t="n">
        <v>30</v>
      </c>
      <c r="F607" t="n">
        <v>12</v>
      </c>
      <c r="G607" t="n">
        <v>0</v>
      </c>
      <c r="H607" t="n">
        <v>62</v>
      </c>
      <c r="I607" t="n">
        <v>0</v>
      </c>
      <c r="J607" t="n">
        <v>0</v>
      </c>
      <c r="K607">
        <f>IF(H607-I607-J607&gt;0,H607-I607-J607,0)</f>
        <v/>
      </c>
      <c r="L607" s="1">
        <f>IFERROR(I607*E607,0)</f>
        <v/>
      </c>
      <c r="M607" s="1">
        <f>IFERROR(K607*E607,0)</f>
        <v/>
      </c>
    </row>
    <row r="608">
      <c r="A608" t="inlineStr">
        <is>
          <t>9000007</t>
        </is>
      </c>
      <c r="B608" t="inlineStr">
        <is>
          <t>EXTENDED WARRANTY</t>
        </is>
      </c>
      <c r="C608" t="inlineStr">
        <is>
          <t>SODECA</t>
        </is>
      </c>
      <c r="D608" t="inlineStr"/>
      <c r="E608" s="1" t="n">
        <v>1482.96</v>
      </c>
      <c r="F608" t="n">
        <v>2</v>
      </c>
      <c r="G608" t="n">
        <v>0</v>
      </c>
      <c r="H608" t="n">
        <v>4</v>
      </c>
      <c r="I608" t="n">
        <v>0</v>
      </c>
      <c r="J608" t="n">
        <v>0</v>
      </c>
      <c r="K608">
        <f>IF(H608-I608-J608&gt;0,H608-I608-J608,0)</f>
        <v/>
      </c>
      <c r="L608" s="1">
        <f>IFERROR(I608*E608,0)</f>
        <v/>
      </c>
      <c r="M608" s="1">
        <f>IFERROR(K608*E608,0)</f>
        <v/>
      </c>
    </row>
    <row r="609">
      <c r="A609" t="inlineStr">
        <is>
          <t>900CF</t>
        </is>
      </c>
      <c r="B609" t="inlineStr">
        <is>
          <t>900 Diam Counter Flange</t>
        </is>
      </c>
      <c r="C609" t="inlineStr">
        <is>
          <t>Attenu-Tec HVAC Parts</t>
        </is>
      </c>
      <c r="D609" t="inlineStr">
        <is>
          <t>FM - C/FLANGE</t>
        </is>
      </c>
      <c r="E609" s="1" t="n">
        <v>403</v>
      </c>
      <c r="F609" t="n">
        <v>1</v>
      </c>
      <c r="G609" t="n">
        <v>0</v>
      </c>
      <c r="H609" t="n">
        <v>5</v>
      </c>
      <c r="I609" t="n">
        <v>0</v>
      </c>
      <c r="J609" t="n">
        <v>0</v>
      </c>
      <c r="K609">
        <f>IF(H609-I609-J609&gt;0,H609-I609-J609,0)</f>
        <v/>
      </c>
      <c r="L609" s="1">
        <f>IFERROR(I609*E609,0)</f>
        <v/>
      </c>
      <c r="M609" s="1">
        <f>IFERROR(K609*E609,0)</f>
        <v/>
      </c>
    </row>
    <row r="610">
      <c r="A610" t="inlineStr">
        <is>
          <t>900CFUG</t>
        </is>
      </c>
      <c r="B610" t="inlineStr">
        <is>
          <t>900 Diam Counter Flange Ungalvanised</t>
        </is>
      </c>
      <c r="C610" t="inlineStr">
        <is>
          <t>ULTIMATENG (PTY) LTD</t>
        </is>
      </c>
      <c r="D610" t="inlineStr">
        <is>
          <t>FM - C/FLANGE</t>
        </is>
      </c>
      <c r="E610" s="1" t="n">
        <v>0</v>
      </c>
      <c r="F610" t="n">
        <v>4</v>
      </c>
      <c r="G610" t="n">
        <v>0</v>
      </c>
      <c r="H610" t="n">
        <v>22</v>
      </c>
      <c r="I610" t="n">
        <v>0</v>
      </c>
      <c r="J610" t="n">
        <v>0</v>
      </c>
      <c r="K610">
        <f>IF(H610-I610-J610&gt;0,H610-I610-J610,0)</f>
        <v/>
      </c>
      <c r="L610" s="1">
        <f>IFERROR(I610*E610,0)</f>
        <v/>
      </c>
      <c r="M610" s="1">
        <f>IFERROR(K610*E610,0)</f>
        <v/>
      </c>
    </row>
    <row r="611">
      <c r="A611" t="inlineStr">
        <is>
          <t>900HVJ-2S</t>
        </is>
      </c>
      <c r="B611" t="inlineStr">
        <is>
          <t>900 Diam Vertical Discharge Unit</t>
        </is>
      </c>
      <c r="C611" t="inlineStr">
        <is>
          <t>Air Speration</t>
        </is>
      </c>
      <c r="D611" t="inlineStr">
        <is>
          <t>FM - DONKIN</t>
        </is>
      </c>
      <c r="E611" s="1" t="n">
        <v>4053.73</v>
      </c>
      <c r="F611" t="n">
        <v>2</v>
      </c>
      <c r="G611" t="n">
        <v>0</v>
      </c>
      <c r="H611" t="n">
        <v>9</v>
      </c>
      <c r="I611" t="n">
        <v>0</v>
      </c>
      <c r="J611" t="n">
        <v>0</v>
      </c>
      <c r="K611">
        <f>IF(H611-I611-J611&gt;0,H611-I611-J611,0)</f>
        <v/>
      </c>
      <c r="L611" s="1">
        <f>IFERROR(I611*E611,0)</f>
        <v/>
      </c>
      <c r="M611" s="1">
        <f>IFERROR(K611*E611,0)</f>
        <v/>
      </c>
    </row>
    <row r="612">
      <c r="A612" t="inlineStr">
        <is>
          <t>900Impeller</t>
        </is>
      </c>
      <c r="B612" t="inlineStr">
        <is>
          <t>Majax-2 900.32.E.8 Spare Impeller</t>
        </is>
      </c>
      <c r="C612" t="inlineStr">
        <is>
          <t>Air Speration</t>
        </is>
      </c>
      <c r="D612" t="inlineStr"/>
      <c r="E612" s="1" t="n">
        <v>2911.14</v>
      </c>
      <c r="F612" t="n">
        <v>1</v>
      </c>
      <c r="G612" t="n">
        <v>0</v>
      </c>
      <c r="H612" t="n">
        <v>2</v>
      </c>
      <c r="I612" t="n">
        <v>0</v>
      </c>
      <c r="J612" t="n">
        <v>0</v>
      </c>
      <c r="K612">
        <f>IF(H612-I612-J612&gt;0,H612-I612-J612,0)</f>
        <v/>
      </c>
      <c r="L612" s="1">
        <f>IFERROR(I612*E612,0)</f>
        <v/>
      </c>
      <c r="M612" s="1">
        <f>IFERROR(K612*E612,0)</f>
        <v/>
      </c>
    </row>
    <row r="613">
      <c r="A613" t="inlineStr">
        <is>
          <t>900MBP08</t>
        </is>
      </c>
      <c r="B613" t="inlineStr">
        <is>
          <t>1-0350-240 P08 - 900 Motor Bracket</t>
        </is>
      </c>
      <c r="C613" t="inlineStr">
        <is>
          <t>Kart Shop TA Ultimate Laser Cutting</t>
        </is>
      </c>
      <c r="D613" t="inlineStr"/>
      <c r="E613" s="1" t="n">
        <v>43.84</v>
      </c>
      <c r="F613" t="n">
        <v>1</v>
      </c>
      <c r="G613" t="n">
        <v>0</v>
      </c>
      <c r="H613" t="n">
        <v>5</v>
      </c>
      <c r="I613" t="n">
        <v>0</v>
      </c>
      <c r="J613" t="n">
        <v>0</v>
      </c>
      <c r="K613">
        <f>IF(H613-I613-J613&gt;0,H613-I613-J613,0)</f>
        <v/>
      </c>
      <c r="L613" s="1">
        <f>IFERROR(I613*E613,0)</f>
        <v/>
      </c>
      <c r="M613" s="1">
        <f>IFERROR(K613*E613,0)</f>
        <v/>
      </c>
    </row>
    <row r="614">
      <c r="A614" t="inlineStr">
        <is>
          <t>900MF</t>
        </is>
      </c>
      <c r="B614" t="inlineStr">
        <is>
          <t>900 Diam Mounting Feet</t>
        </is>
      </c>
      <c r="C614" t="inlineStr">
        <is>
          <t>Attenu-Tec HVAC Parts</t>
        </is>
      </c>
      <c r="D614" t="inlineStr">
        <is>
          <t>FM - M/FEET</t>
        </is>
      </c>
      <c r="E614" s="1" t="n">
        <v>23.19</v>
      </c>
      <c r="F614" t="n">
        <v>2</v>
      </c>
      <c r="G614" t="n">
        <v>0</v>
      </c>
      <c r="H614" t="n">
        <v>8</v>
      </c>
      <c r="I614" t="n">
        <v>0</v>
      </c>
      <c r="J614" t="n">
        <v>0</v>
      </c>
      <c r="K614">
        <f>IF(H614-I614-J614&gt;0,H614-I614-J614,0)</f>
        <v/>
      </c>
      <c r="L614" s="1">
        <f>IFERROR(I614*E614,0)</f>
        <v/>
      </c>
      <c r="M614" s="1">
        <f>IFERROR(K614*E614,0)</f>
        <v/>
      </c>
    </row>
    <row r="615">
      <c r="A615" t="inlineStr">
        <is>
          <t>900MFUG</t>
        </is>
      </c>
      <c r="B615" t="inlineStr">
        <is>
          <t>900 Diam Mounting Feet Ungalvanized</t>
        </is>
      </c>
      <c r="C615" t="inlineStr">
        <is>
          <t>ULTIMATENG (PTY) LTD</t>
        </is>
      </c>
      <c r="D615" t="inlineStr">
        <is>
          <t>FM - M/FEET</t>
        </is>
      </c>
      <c r="E615" s="1" t="n">
        <v>0</v>
      </c>
      <c r="F615" t="n">
        <v>8</v>
      </c>
      <c r="G615" t="n">
        <v>0</v>
      </c>
      <c r="H615" t="n">
        <v>38</v>
      </c>
      <c r="I615" t="n">
        <v>0</v>
      </c>
      <c r="J615" t="n">
        <v>0</v>
      </c>
      <c r="K615">
        <f>IF(H615-I615-J615&gt;0,H615-I615-J615,0)</f>
        <v/>
      </c>
      <c r="L615" s="1">
        <f>IFERROR(I615*E615,0)</f>
        <v/>
      </c>
      <c r="M615" s="1">
        <f>IFERROR(K615*E615,0)</f>
        <v/>
      </c>
    </row>
    <row r="616">
      <c r="A616" t="inlineStr">
        <is>
          <t>900PLT500-3MM</t>
        </is>
      </c>
      <c r="B616" t="inlineStr">
        <is>
          <t>900 Casing Sheet - 2839 x 500 - 3mm</t>
        </is>
      </c>
      <c r="C616" t="inlineStr">
        <is>
          <t>NJR STEEL - ALRODE (PTY) LTD</t>
        </is>
      </c>
      <c r="D616" t="inlineStr">
        <is>
          <t>FM - FABRICATION</t>
        </is>
      </c>
      <c r="E616" s="1" t="n">
        <v>897</v>
      </c>
      <c r="F616" t="n">
        <v>2</v>
      </c>
      <c r="G616" t="n">
        <v>0</v>
      </c>
      <c r="H616" t="n">
        <v>12</v>
      </c>
      <c r="I616" t="n">
        <v>0</v>
      </c>
      <c r="J616" t="n">
        <v>0</v>
      </c>
      <c r="K616">
        <f>IF(H616-I616-J616&gt;0,H616-I616-J616,0)</f>
        <v/>
      </c>
      <c r="L616" s="1">
        <f>IFERROR(I616*E616,0)</f>
        <v/>
      </c>
      <c r="M616" s="1">
        <f>IFERROR(K616*E616,0)</f>
        <v/>
      </c>
    </row>
    <row r="617">
      <c r="A617" t="inlineStr">
        <is>
          <t>900S1.5D</t>
        </is>
      </c>
      <c r="B617" t="inlineStr">
        <is>
          <t>900 Diam Silencer 1.5D</t>
        </is>
      </c>
      <c r="C617" t="inlineStr">
        <is>
          <t>Attenu-Tec</t>
        </is>
      </c>
      <c r="D617" t="inlineStr">
        <is>
          <t>FM - DONKIN</t>
        </is>
      </c>
      <c r="E617" s="1" t="n">
        <v>4272</v>
      </c>
      <c r="F617" t="n">
        <v>2</v>
      </c>
      <c r="G617" t="n">
        <v>0</v>
      </c>
      <c r="H617" t="n">
        <v>10</v>
      </c>
      <c r="I617" t="n">
        <v>0</v>
      </c>
      <c r="J617" t="n">
        <v>0</v>
      </c>
      <c r="K617">
        <f>IF(H617-I617-J617&gt;0,H617-I617-J617,0)</f>
        <v/>
      </c>
      <c r="L617" s="1">
        <f>IFERROR(I617*E617,0)</f>
        <v/>
      </c>
      <c r="M617" s="1">
        <f>IFERROR(K617*E617,0)</f>
        <v/>
      </c>
    </row>
    <row r="618">
      <c r="A618" t="inlineStr">
        <is>
          <t>900S1.5DP</t>
        </is>
      </c>
      <c r="B618" t="inlineStr">
        <is>
          <t>900 Diam Silencer 1.5D Podded</t>
        </is>
      </c>
      <c r="C618" t="inlineStr"/>
      <c r="D618" t="inlineStr">
        <is>
          <t>FM - DONKIN</t>
        </is>
      </c>
      <c r="E618" s="1" t="n">
        <v>0</v>
      </c>
      <c r="F618" t="n">
        <v>1</v>
      </c>
      <c r="G618" t="n">
        <v>0</v>
      </c>
      <c r="H618" t="n">
        <v>5</v>
      </c>
      <c r="I618" t="n">
        <v>0</v>
      </c>
      <c r="J618" t="n">
        <v>0</v>
      </c>
      <c r="K618">
        <f>IF(H618-I618-J618&gt;0,H618-I618-J618,0)</f>
        <v/>
      </c>
      <c r="L618" s="1">
        <f>IFERROR(I618*E618,0)</f>
        <v/>
      </c>
      <c r="M618" s="1">
        <f>IFERROR(K618*E618,0)</f>
        <v/>
      </c>
    </row>
    <row r="619">
      <c r="A619" t="inlineStr">
        <is>
          <t>900S2.0D</t>
        </is>
      </c>
      <c r="B619" t="inlineStr">
        <is>
          <t>900 Diam Silencer 2.0D</t>
        </is>
      </c>
      <c r="C619" t="inlineStr">
        <is>
          <t>Attenu-Tec</t>
        </is>
      </c>
      <c r="D619" t="inlineStr">
        <is>
          <t>FM - DONKIN</t>
        </is>
      </c>
      <c r="E619" s="1" t="n">
        <v>5661.5</v>
      </c>
      <c r="F619" t="n">
        <v>1</v>
      </c>
      <c r="G619" t="n">
        <v>0</v>
      </c>
      <c r="H619" t="n">
        <v>3</v>
      </c>
      <c r="I619" t="n">
        <v>0</v>
      </c>
      <c r="J619" t="n">
        <v>0</v>
      </c>
      <c r="K619">
        <f>IF(H619-I619-J619&gt;0,H619-I619-J619,0)</f>
        <v/>
      </c>
      <c r="L619" s="1">
        <f>IFERROR(I619*E619,0)</f>
        <v/>
      </c>
      <c r="M619" s="1">
        <f>IFERROR(K619*E619,0)</f>
        <v/>
      </c>
    </row>
    <row r="620">
      <c r="A620" t="inlineStr">
        <is>
          <t>900S2.0DP</t>
        </is>
      </c>
      <c r="B620" t="inlineStr">
        <is>
          <t>900 Diam Silencer 2.0D Podded</t>
        </is>
      </c>
      <c r="C620" t="inlineStr">
        <is>
          <t>Attenu-Tec</t>
        </is>
      </c>
      <c r="D620" t="inlineStr">
        <is>
          <t>FM - DONKIN</t>
        </is>
      </c>
      <c r="E620" s="1" t="n">
        <v>6224</v>
      </c>
      <c r="F620" t="n">
        <v>1</v>
      </c>
      <c r="G620" t="n">
        <v>0</v>
      </c>
      <c r="H620" t="n">
        <v>3</v>
      </c>
      <c r="I620" t="n">
        <v>0</v>
      </c>
      <c r="J620" t="n">
        <v>0</v>
      </c>
      <c r="K620">
        <f>IF(H620-I620-J620&gt;0,H620-I620-J620,0)</f>
        <v/>
      </c>
      <c r="L620" s="1">
        <f>IFERROR(I620*E620,0)</f>
        <v/>
      </c>
      <c r="M620" s="1">
        <f>IFERROR(K620*E620,0)</f>
        <v/>
      </c>
    </row>
    <row r="621">
      <c r="A621" t="inlineStr">
        <is>
          <t>900SC</t>
        </is>
      </c>
      <c r="B621" t="inlineStr">
        <is>
          <t>Screen</t>
        </is>
      </c>
      <c r="C621" t="inlineStr">
        <is>
          <t>Centrifab (Pty) Ltd</t>
        </is>
      </c>
      <c r="D621" t="inlineStr"/>
      <c r="E621" s="1" t="n">
        <v>1002.78</v>
      </c>
      <c r="F621" t="n">
        <v>1</v>
      </c>
      <c r="G621" t="n">
        <v>0</v>
      </c>
      <c r="H621" t="n">
        <v>3</v>
      </c>
      <c r="I621" t="n">
        <v>0</v>
      </c>
      <c r="J621" t="n">
        <v>0</v>
      </c>
      <c r="K621">
        <f>IF(H621-I621-J621&gt;0,H621-I621-J621,0)</f>
        <v/>
      </c>
      <c r="L621" s="1">
        <f>IFERROR(I621*E621,0)</f>
        <v/>
      </c>
      <c r="M621" s="1">
        <f>IFERROR(K621*E621,0)</f>
        <v/>
      </c>
    </row>
    <row r="622">
      <c r="A622" t="inlineStr">
        <is>
          <t>900SM1.5DP</t>
        </is>
      </c>
      <c r="B622" t="inlineStr">
        <is>
          <t>900 Diam Melinex Silencer 1.5D Podded</t>
        </is>
      </c>
      <c r="C622" t="inlineStr">
        <is>
          <t>Attenu-Tec</t>
        </is>
      </c>
      <c r="D622" t="inlineStr">
        <is>
          <t>FM - DONKIN</t>
        </is>
      </c>
      <c r="E622" s="1" t="n">
        <v>4804</v>
      </c>
      <c r="F622" t="n">
        <v>1</v>
      </c>
      <c r="G622" t="n">
        <v>0</v>
      </c>
      <c r="H622" t="n">
        <v>5</v>
      </c>
      <c r="I622" t="n">
        <v>0</v>
      </c>
      <c r="J622" t="n">
        <v>0</v>
      </c>
      <c r="K622">
        <f>IF(H622-I622-J622&gt;0,H622-I622-J622,0)</f>
        <v/>
      </c>
      <c r="L622" s="1">
        <f>IFERROR(I622*E622,0)</f>
        <v/>
      </c>
      <c r="M622" s="1">
        <f>IFERROR(K622*E622,0)</f>
        <v/>
      </c>
    </row>
    <row r="623">
      <c r="A623" t="inlineStr">
        <is>
          <t>900SM2.0DP</t>
        </is>
      </c>
      <c r="B623" t="inlineStr">
        <is>
          <t>900 Diam Melinex Silencer 2.0D Podded</t>
        </is>
      </c>
      <c r="C623" t="inlineStr">
        <is>
          <t>Attenu-Tec</t>
        </is>
      </c>
      <c r="D623" t="inlineStr">
        <is>
          <t>FM - DONKIN</t>
        </is>
      </c>
      <c r="E623" s="1" t="n">
        <v>6224</v>
      </c>
      <c r="F623" t="n">
        <v>1</v>
      </c>
      <c r="G623" t="n">
        <v>0</v>
      </c>
      <c r="H623" t="n">
        <v>2</v>
      </c>
      <c r="I623" t="n">
        <v>0</v>
      </c>
      <c r="J623" t="n">
        <v>0</v>
      </c>
      <c r="K623">
        <f>IF(H623-I623-J623&gt;0,H623-I623-J623,0)</f>
        <v/>
      </c>
      <c r="L623" s="1">
        <f>IFERROR(I623*E623,0)</f>
        <v/>
      </c>
      <c r="M623" s="1">
        <f>IFERROR(K623*E623,0)</f>
        <v/>
      </c>
    </row>
    <row r="624">
      <c r="A624" t="inlineStr">
        <is>
          <t>90X2SPZ</t>
        </is>
      </c>
      <c r="B624" t="inlineStr">
        <is>
          <t>Pulley Friction Belt V-wedge 2 Groo</t>
        </is>
      </c>
      <c r="C624" t="inlineStr">
        <is>
          <t>Bearing Man Group</t>
        </is>
      </c>
      <c r="D624" t="inlineStr"/>
      <c r="E624" s="1" t="n">
        <v>134.3</v>
      </c>
      <c r="F624" t="n">
        <v>2</v>
      </c>
      <c r="G624" t="n">
        <v>0</v>
      </c>
      <c r="H624" t="n">
        <v>10</v>
      </c>
      <c r="I624" t="n">
        <v>0</v>
      </c>
      <c r="J624" t="n">
        <v>0</v>
      </c>
      <c r="K624">
        <f>IF(H624-I624-J624&gt;0,H624-I624-J624,0)</f>
        <v/>
      </c>
      <c r="L624" s="1">
        <f>IFERROR(I624*E624,0)</f>
        <v/>
      </c>
      <c r="M624" s="1">
        <f>IFERROR(K624*E624,0)</f>
        <v/>
      </c>
    </row>
    <row r="625">
      <c r="A625" t="inlineStr">
        <is>
          <t>90X3SPA</t>
        </is>
      </c>
      <c r="B625" t="inlineStr">
        <is>
          <t>PULLEY FRICTION BELT V-WEDGE 3 GROOVE SPA 1610 TAPER 90MM FENNER</t>
        </is>
      </c>
      <c r="C625" t="inlineStr">
        <is>
          <t>Bearing Man Group</t>
        </is>
      </c>
      <c r="D625" t="inlineStr"/>
      <c r="E625" s="1" t="n">
        <v>186.29</v>
      </c>
      <c r="F625" t="n">
        <v>1</v>
      </c>
      <c r="G625" t="n">
        <v>0</v>
      </c>
      <c r="H625" t="n">
        <v>5</v>
      </c>
      <c r="I625" t="n">
        <v>0</v>
      </c>
      <c r="J625" t="n">
        <v>0</v>
      </c>
      <c r="K625">
        <f>IF(H625-I625-J625&gt;0,H625-I625-J625,0)</f>
        <v/>
      </c>
      <c r="L625" s="1">
        <f>IFERROR(I625*E625,0)</f>
        <v/>
      </c>
      <c r="M625" s="1">
        <f>IFERROR(K625*E625,0)</f>
        <v/>
      </c>
    </row>
    <row r="626">
      <c r="A626" t="inlineStr">
        <is>
          <t>950x600x1200</t>
        </is>
      </c>
      <c r="B626" t="inlineStr">
        <is>
          <t>950 x 600 x 1200mm Silencer</t>
        </is>
      </c>
      <c r="C626" t="inlineStr"/>
      <c r="D626" t="inlineStr"/>
      <c r="E626" s="1" t="n">
        <v>0</v>
      </c>
      <c r="F626" t="n">
        <v>1</v>
      </c>
      <c r="G626" t="n">
        <v>0</v>
      </c>
      <c r="H626" t="n">
        <v>2</v>
      </c>
      <c r="I626" t="n">
        <v>0</v>
      </c>
      <c r="J626" t="n">
        <v>0</v>
      </c>
      <c r="K626">
        <f>IF(H626-I626-J626&gt;0,H626-I626-J626,0)</f>
        <v/>
      </c>
      <c r="L626" s="1">
        <f>IFERROR(I626*E626,0)</f>
        <v/>
      </c>
      <c r="M626" s="1">
        <f>IFERROR(K626*E626,0)</f>
        <v/>
      </c>
    </row>
    <row r="627">
      <c r="A627" t="inlineStr">
        <is>
          <t>95X3SPA</t>
        </is>
      </c>
      <c r="B627" t="inlineStr">
        <is>
          <t>PULLEY FRICTION BELT V-WEDGE 3 GROOVE SPA 1610 TAPER 95MM FENNER</t>
        </is>
      </c>
      <c r="C627" t="inlineStr">
        <is>
          <t>Bearing Man Group</t>
        </is>
      </c>
      <c r="D627" t="inlineStr"/>
      <c r="E627" s="1" t="n">
        <v>223.66</v>
      </c>
      <c r="F627" t="n">
        <v>1</v>
      </c>
      <c r="G627" t="n">
        <v>0</v>
      </c>
      <c r="H627" t="n">
        <v>2</v>
      </c>
      <c r="I627" t="n">
        <v>0</v>
      </c>
      <c r="J627" t="n">
        <v>0</v>
      </c>
      <c r="K627">
        <f>IF(H627-I627-J627&gt;0,H627-I627-J627,0)</f>
        <v/>
      </c>
      <c r="L627" s="1">
        <f>IFERROR(I627*E627,0)</f>
        <v/>
      </c>
      <c r="M627" s="1">
        <f>IFERROR(K627*E627,0)</f>
        <v/>
      </c>
    </row>
    <row r="628">
      <c r="A628" t="inlineStr">
        <is>
          <t>97-32</t>
        </is>
      </c>
      <c r="B628" t="inlineStr">
        <is>
          <t>PG-16 GLANDS : PG16 POLYMER CABLE GLAND GREY</t>
        </is>
      </c>
      <c r="C628" t="inlineStr">
        <is>
          <t>Atlantic Lighting &amp; Electrical distributors</t>
        </is>
      </c>
      <c r="D628" t="inlineStr"/>
      <c r="E628" s="1" t="n">
        <v>5.42</v>
      </c>
      <c r="F628" t="n">
        <v>38</v>
      </c>
      <c r="G628" t="n">
        <v>0</v>
      </c>
      <c r="H628" t="n">
        <v>188</v>
      </c>
      <c r="I628" t="n">
        <v>0</v>
      </c>
      <c r="J628" t="n">
        <v>0</v>
      </c>
      <c r="K628">
        <f>IF(H628-I628-J628&gt;0,H628-I628-J628,0)</f>
        <v/>
      </c>
      <c r="L628" s="1">
        <f>IFERROR(I628*E628,0)</f>
        <v/>
      </c>
      <c r="M628" s="1">
        <f>IFERROR(K628*E628,0)</f>
        <v/>
      </c>
    </row>
    <row r="629">
      <c r="A629" t="inlineStr">
        <is>
          <t>99050-EMB-20-R40</t>
        </is>
      </c>
      <c r="B629" t="inlineStr">
        <is>
          <t>EMBROIDERY R40 R40</t>
        </is>
      </c>
      <c r="C629" t="inlineStr">
        <is>
          <t>Workwear Depot (Pty)Ltd</t>
        </is>
      </c>
      <c r="D629" t="inlineStr"/>
      <c r="E629" s="1" t="n">
        <v>34.78</v>
      </c>
      <c r="F629" t="n">
        <v>7</v>
      </c>
      <c r="G629" t="n">
        <v>0</v>
      </c>
      <c r="H629" t="n">
        <v>35</v>
      </c>
      <c r="I629" t="n">
        <v>0</v>
      </c>
      <c r="J629" t="n">
        <v>0</v>
      </c>
      <c r="K629">
        <f>IF(H629-I629-J629&gt;0,H629-I629-J629,0)</f>
        <v/>
      </c>
      <c r="L629" s="1">
        <f>IFERROR(I629*E629,0)</f>
        <v/>
      </c>
      <c r="M629" s="1">
        <f>IFERROR(K629*E629,0)</f>
        <v/>
      </c>
    </row>
    <row r="630">
      <c r="A630" t="inlineStr">
        <is>
          <t>99050-EMB-22-R50</t>
        </is>
      </c>
      <c r="B630" t="inlineStr">
        <is>
          <t>EMBROIDERY R50 R50</t>
        </is>
      </c>
      <c r="C630" t="inlineStr">
        <is>
          <t>Workwear Depot (Pty)Ltd</t>
        </is>
      </c>
      <c r="D630" t="inlineStr">
        <is>
          <t>FM - UNIFORM</t>
        </is>
      </c>
      <c r="E630" s="1" t="n">
        <v>42.93</v>
      </c>
      <c r="F630" t="n">
        <v>4</v>
      </c>
      <c r="G630" t="n">
        <v>0</v>
      </c>
      <c r="H630" t="n">
        <v>20</v>
      </c>
      <c r="I630" t="n">
        <v>0</v>
      </c>
      <c r="J630" t="n">
        <v>0</v>
      </c>
      <c r="K630">
        <f>IF(H630-I630-J630&gt;0,H630-I630-J630,0)</f>
        <v/>
      </c>
      <c r="L630" s="1">
        <f>IFERROR(I630*E630,0)</f>
        <v/>
      </c>
      <c r="M630" s="1">
        <f>IFERROR(K630*E630,0)</f>
        <v/>
      </c>
    </row>
    <row r="631">
      <c r="A631" t="inlineStr">
        <is>
          <t>A)</t>
        </is>
      </c>
      <c r="B631" t="inlineStr">
        <is>
          <t>LDP/400/6/15/B/19mm - 0.75kW 2P</t>
        </is>
      </c>
      <c r="C631" t="inlineStr">
        <is>
          <t>CFW Fans (Pty) Ltd</t>
        </is>
      </c>
      <c r="D631" t="inlineStr"/>
      <c r="E631" s="1" t="n">
        <v>1308</v>
      </c>
      <c r="F631" t="n">
        <v>2</v>
      </c>
      <c r="G631" t="n">
        <v>0</v>
      </c>
      <c r="H631" t="n">
        <v>8</v>
      </c>
      <c r="I631" t="n">
        <v>0</v>
      </c>
      <c r="J631" t="n">
        <v>0</v>
      </c>
      <c r="K631">
        <f>IF(H631-I631-J631&gt;0,H631-I631-J631,0)</f>
        <v/>
      </c>
      <c r="L631" s="1">
        <f>IFERROR(I631*E631,0)</f>
        <v/>
      </c>
      <c r="M631" s="1">
        <f>IFERROR(K631*E631,0)</f>
        <v/>
      </c>
    </row>
    <row r="632">
      <c r="A632" t="inlineStr">
        <is>
          <t>A/01</t>
        </is>
      </c>
      <c r="B632" t="inlineStr">
        <is>
          <t>Volume Control Damper &amp; Quad 100mm</t>
        </is>
      </c>
      <c r="C632" t="inlineStr"/>
      <c r="D632" t="inlineStr"/>
      <c r="E632" s="1" t="n">
        <v>0</v>
      </c>
      <c r="F632" t="n">
        <v>12</v>
      </c>
      <c r="G632" t="n">
        <v>0</v>
      </c>
      <c r="H632" t="n">
        <v>60</v>
      </c>
      <c r="I632" t="n">
        <v>0</v>
      </c>
      <c r="J632" t="n">
        <v>0</v>
      </c>
      <c r="K632">
        <f>IF(H632-I632-J632&gt;0,H632-I632-J632,0)</f>
        <v/>
      </c>
      <c r="L632" s="1">
        <f>IFERROR(I632*E632,0)</f>
        <v/>
      </c>
      <c r="M632" s="1">
        <f>IFERROR(K632*E632,0)</f>
        <v/>
      </c>
    </row>
    <row r="633">
      <c r="A633" t="inlineStr">
        <is>
          <t>A/02</t>
        </is>
      </c>
      <c r="B633" t="inlineStr">
        <is>
          <t>Fire Damper c/w Link &amp; Quad 100mm</t>
        </is>
      </c>
      <c r="C633" t="inlineStr"/>
      <c r="D633" t="inlineStr"/>
      <c r="E633" s="1" t="n">
        <v>0</v>
      </c>
      <c r="F633" t="n">
        <v>12</v>
      </c>
      <c r="G633" t="n">
        <v>0</v>
      </c>
      <c r="H633" t="n">
        <v>58</v>
      </c>
      <c r="I633" t="n">
        <v>0</v>
      </c>
      <c r="J633" t="n">
        <v>0</v>
      </c>
      <c r="K633">
        <f>IF(H633-I633-J633&gt;0,H633-I633-J633,0)</f>
        <v/>
      </c>
      <c r="L633" s="1">
        <f>IFERROR(I633*E633,0)</f>
        <v/>
      </c>
      <c r="M633" s="1">
        <f>IFERROR(K633*E633,0)</f>
        <v/>
      </c>
    </row>
    <row r="634">
      <c r="A634" t="inlineStr">
        <is>
          <t>ADF-PVT30</t>
        </is>
      </c>
      <c r="B634" t="inlineStr">
        <is>
          <t>PVT 30</t>
        </is>
      </c>
      <c r="C634" t="inlineStr">
        <is>
          <t>AF Fans CC</t>
        </is>
      </c>
      <c r="D634" t="inlineStr"/>
      <c r="E634" s="1" t="n">
        <v>2560</v>
      </c>
      <c r="F634" t="n">
        <v>1</v>
      </c>
      <c r="G634" t="n">
        <v>0</v>
      </c>
      <c r="H634" t="n">
        <v>2</v>
      </c>
      <c r="I634" t="n">
        <v>0</v>
      </c>
      <c r="J634" t="n">
        <v>0</v>
      </c>
      <c r="K634">
        <f>IF(H634-I634-J634&gt;0,H634-I634-J634,0)</f>
        <v/>
      </c>
      <c r="L634" s="1">
        <f>IFERROR(I634*E634,0)</f>
        <v/>
      </c>
      <c r="M634" s="1">
        <f>IFERROR(K634*E634,0)</f>
        <v/>
      </c>
    </row>
    <row r="635">
      <c r="A635" t="inlineStr">
        <is>
          <t>ADF-PVT30-DUCT</t>
        </is>
      </c>
      <c r="B635" t="inlineStr">
        <is>
          <t>Spiral Flex PVC ducting, 5m Length, 300mm Diameter</t>
        </is>
      </c>
      <c r="C635" t="inlineStr">
        <is>
          <t>AF Fans CC</t>
        </is>
      </c>
      <c r="D635" t="inlineStr"/>
      <c r="E635" s="1" t="n">
        <v>960</v>
      </c>
      <c r="F635" t="n">
        <v>1</v>
      </c>
      <c r="G635" t="n">
        <v>0</v>
      </c>
      <c r="H635" t="n">
        <v>5</v>
      </c>
      <c r="I635" t="n">
        <v>0</v>
      </c>
      <c r="J635" t="n">
        <v>0</v>
      </c>
      <c r="K635">
        <f>IF(H635-I635-J635&gt;0,H635-I635-J635,0)</f>
        <v/>
      </c>
      <c r="L635" s="1">
        <f>IFERROR(I635*E635,0)</f>
        <v/>
      </c>
      <c r="M635" s="1">
        <f>IFERROR(K635*E635,0)</f>
        <v/>
      </c>
    </row>
    <row r="636">
      <c r="A636" t="inlineStr">
        <is>
          <t>ADRA-</t>
        </is>
      </c>
      <c r="B636" t="inlineStr">
        <is>
          <t>RA 1200(W)*600(H) NS PCW</t>
        </is>
      </c>
      <c r="C636" t="inlineStr">
        <is>
          <t>Advantage Air Africa Pty Ltd</t>
        </is>
      </c>
      <c r="D636" t="inlineStr"/>
      <c r="E636" s="1" t="n">
        <v>183.23</v>
      </c>
      <c r="F636" t="n">
        <v>100</v>
      </c>
      <c r="G636" t="n">
        <v>0</v>
      </c>
      <c r="H636" t="n">
        <v>500</v>
      </c>
      <c r="I636" t="n">
        <v>0</v>
      </c>
      <c r="J636" t="n">
        <v>0</v>
      </c>
      <c r="K636">
        <f>IF(H636-I636-J636&gt;0,H636-I636-J636,0)</f>
        <v/>
      </c>
      <c r="L636" s="1">
        <f>IFERROR(I636*E636,0)</f>
        <v/>
      </c>
      <c r="M636" s="1">
        <f>IFERROR(K636*E636,0)</f>
        <v/>
      </c>
    </row>
    <row r="637">
      <c r="A637" t="inlineStr">
        <is>
          <t>ADSD</t>
        </is>
      </c>
      <c r="B637" t="inlineStr">
        <is>
          <t>SINGLE DEFLECTION GRILLE 625(W)*625(H) OVER FLANGE NATURAL</t>
        </is>
      </c>
      <c r="C637" t="inlineStr">
        <is>
          <t>Advantage Air Africa Pty Ltd</t>
        </is>
      </c>
      <c r="D637" t="inlineStr"/>
      <c r="E637" s="1" t="n">
        <v>776.58</v>
      </c>
      <c r="F637" t="n">
        <v>2</v>
      </c>
      <c r="G637" t="n">
        <v>0</v>
      </c>
      <c r="H637" t="n">
        <v>12</v>
      </c>
      <c r="I637" t="n">
        <v>0</v>
      </c>
      <c r="J637" t="n">
        <v>0</v>
      </c>
      <c r="K637">
        <f>IF(H637-I637-J637&gt;0,H637-I637-J637,0)</f>
        <v/>
      </c>
      <c r="L637" s="1">
        <f>IFERROR(I637*E637,0)</f>
        <v/>
      </c>
      <c r="M637" s="1">
        <f>IFERROR(K637*E637,0)</f>
        <v/>
      </c>
    </row>
    <row r="638">
      <c r="A638" t="inlineStr">
        <is>
          <t>ADWL.</t>
        </is>
      </c>
      <c r="B638" t="inlineStr">
        <is>
          <t>WEATHER LOUVRE 520(W)*520(H) OPENING SIZE NATURALLY ANOD</t>
        </is>
      </c>
      <c r="C638" t="inlineStr">
        <is>
          <t>Advantage Air Africa Pty Ltd</t>
        </is>
      </c>
      <c r="D638" t="inlineStr"/>
      <c r="E638" s="1" t="n">
        <v>785.66</v>
      </c>
      <c r="F638" t="n">
        <v>4</v>
      </c>
      <c r="G638" t="n">
        <v>0</v>
      </c>
      <c r="H638" t="n">
        <v>18</v>
      </c>
      <c r="I638" t="n">
        <v>0</v>
      </c>
      <c r="J638" t="n">
        <v>0</v>
      </c>
      <c r="K638">
        <f>IF(H638-I638-J638&gt;0,H638-I638-J638,0)</f>
        <v/>
      </c>
      <c r="L638" s="1">
        <f>IFERROR(I638*E638,0)</f>
        <v/>
      </c>
      <c r="M638" s="1">
        <f>IFERROR(K638*E638,0)</f>
        <v/>
      </c>
    </row>
    <row r="639">
      <c r="A639" t="inlineStr">
        <is>
          <t>AF4.0X4+EWHSL</t>
        </is>
      </c>
      <c r="B639" t="inlineStr">
        <is>
          <t>ALFIX 4.0MM2 4 CORE+E S/LENGHT</t>
        </is>
      </c>
      <c r="C639" t="inlineStr">
        <is>
          <t>Alvern Cables (Pty) Ltd</t>
        </is>
      </c>
      <c r="D639" t="inlineStr"/>
      <c r="E639" s="1" t="n">
        <v>47.06</v>
      </c>
      <c r="F639" t="n">
        <v>50</v>
      </c>
      <c r="G639" t="n">
        <v>0</v>
      </c>
      <c r="H639" t="n">
        <v>250</v>
      </c>
      <c r="I639" t="n">
        <v>0</v>
      </c>
      <c r="J639" t="n">
        <v>0</v>
      </c>
      <c r="K639">
        <f>IF(H639-I639-J639&gt;0,H639-I639-J639,0)</f>
        <v/>
      </c>
      <c r="L639" s="1">
        <f>IFERROR(I639*E639,0)</f>
        <v/>
      </c>
      <c r="M639" s="1">
        <f>IFERROR(K639*E639,0)</f>
        <v/>
      </c>
    </row>
    <row r="640">
      <c r="A640" t="inlineStr">
        <is>
          <t>AIR HOSE 1M</t>
        </is>
      </c>
      <c r="B640" t="inlineStr">
        <is>
          <t>AIR HOSE 8MM</t>
        </is>
      </c>
      <c r="C640" t="inlineStr">
        <is>
          <t>MG AUTO PAINT (PTY) LTD</t>
        </is>
      </c>
      <c r="D640" t="inlineStr">
        <is>
          <t>CONSUMABLES</t>
        </is>
      </c>
      <c r="E640" s="1" t="n">
        <v>30.43</v>
      </c>
      <c r="F640" t="n">
        <v>5</v>
      </c>
      <c r="G640" t="n">
        <v>0</v>
      </c>
      <c r="H640" t="n">
        <v>25</v>
      </c>
      <c r="I640" t="n">
        <v>0</v>
      </c>
      <c r="J640" t="n">
        <v>0</v>
      </c>
      <c r="K640">
        <f>IF(H640-I640-J640&gt;0,H640-I640-J640,0)</f>
        <v/>
      </c>
      <c r="L640" s="1">
        <f>IFERROR(I640*E640,0)</f>
        <v/>
      </c>
      <c r="M640" s="1">
        <f>IFERROR(K640*E640,0)</f>
        <v/>
      </c>
    </row>
    <row r="641">
      <c r="A641" t="inlineStr">
        <is>
          <t>AIRMAX2-500</t>
        </is>
      </c>
      <c r="B641" t="inlineStr">
        <is>
          <t>AIRMAX-2.500 W</t>
        </is>
      </c>
      <c r="C641" t="inlineStr"/>
      <c r="D641" t="inlineStr">
        <is>
          <t>FM - DONKIN</t>
        </is>
      </c>
      <c r="E641" s="1" t="n">
        <v>0</v>
      </c>
      <c r="F641" t="n">
        <v>1</v>
      </c>
      <c r="G641" t="n">
        <v>0</v>
      </c>
      <c r="H641" t="n">
        <v>2</v>
      </c>
      <c r="I641" t="n">
        <v>0</v>
      </c>
      <c r="J641" t="n">
        <v>0</v>
      </c>
      <c r="K641">
        <f>IF(H641-I641-J641&gt;0,H641-I641-J641,0)</f>
        <v/>
      </c>
      <c r="L641" s="1">
        <f>IFERROR(I641*E641,0)</f>
        <v/>
      </c>
      <c r="M641" s="1">
        <f>IFERROR(K641*E641,0)</f>
        <v/>
      </c>
    </row>
    <row r="642">
      <c r="A642" t="inlineStr">
        <is>
          <t>AIRMAX2-500P</t>
        </is>
      </c>
      <c r="B642" t="inlineStr">
        <is>
          <t>AIRMAX-2.500 P</t>
        </is>
      </c>
      <c r="C642" t="inlineStr"/>
      <c r="D642" t="inlineStr">
        <is>
          <t>FM - DONKIN</t>
        </is>
      </c>
      <c r="E642" s="1" t="n">
        <v>0</v>
      </c>
      <c r="F642" t="n">
        <v>1</v>
      </c>
      <c r="G642" t="n">
        <v>0</v>
      </c>
      <c r="H642" t="n">
        <v>2</v>
      </c>
      <c r="I642" t="n">
        <v>0</v>
      </c>
      <c r="J642" t="n">
        <v>0</v>
      </c>
      <c r="K642">
        <f>IF(H642-I642-J642&gt;0,H642-I642-J642,0)</f>
        <v/>
      </c>
      <c r="L642" s="1">
        <f>IFERROR(I642*E642,0)</f>
        <v/>
      </c>
      <c r="M642" s="1">
        <f>IFERROR(K642*E642,0)</f>
        <v/>
      </c>
    </row>
    <row r="643">
      <c r="A643" t="inlineStr">
        <is>
          <t>AIRMAX2-650</t>
        </is>
      </c>
      <c r="B643" t="inlineStr">
        <is>
          <t>AIRMAX-2.650 W</t>
        </is>
      </c>
      <c r="C643" t="inlineStr"/>
      <c r="D643" t="inlineStr">
        <is>
          <t>FM - DONKIN</t>
        </is>
      </c>
      <c r="E643" s="1" t="n">
        <v>0</v>
      </c>
      <c r="F643" t="n">
        <v>1</v>
      </c>
      <c r="G643" t="n">
        <v>0</v>
      </c>
      <c r="H643" t="n">
        <v>4</v>
      </c>
      <c r="I643" t="n">
        <v>0</v>
      </c>
      <c r="J643" t="n">
        <v>0</v>
      </c>
      <c r="K643">
        <f>IF(H643-I643-J643&gt;0,H643-I643-J643,0)</f>
        <v/>
      </c>
      <c r="L643" s="1">
        <f>IFERROR(I643*E643,0)</f>
        <v/>
      </c>
      <c r="M643" s="1">
        <f>IFERROR(K643*E643,0)</f>
        <v/>
      </c>
    </row>
    <row r="644">
      <c r="A644" t="inlineStr">
        <is>
          <t>AIRMAX2-650P</t>
        </is>
      </c>
      <c r="B644" t="inlineStr">
        <is>
          <t>AIRMAX-2.650 P</t>
        </is>
      </c>
      <c r="C644" t="inlineStr"/>
      <c r="D644" t="inlineStr">
        <is>
          <t>FM - DONKIN</t>
        </is>
      </c>
      <c r="E644" s="1" t="n">
        <v>0</v>
      </c>
      <c r="F644" t="n">
        <v>1</v>
      </c>
      <c r="G644" t="n">
        <v>0</v>
      </c>
      <c r="H644" t="n">
        <v>2</v>
      </c>
      <c r="I644" t="n">
        <v>0</v>
      </c>
      <c r="J644" t="n">
        <v>0</v>
      </c>
      <c r="K644">
        <f>IF(H644-I644-J644&gt;0,H644-I644-J644,0)</f>
        <v/>
      </c>
      <c r="L644" s="1">
        <f>IFERROR(I644*E644,0)</f>
        <v/>
      </c>
      <c r="M644" s="1">
        <f>IFERROR(K644*E644,0)</f>
        <v/>
      </c>
    </row>
    <row r="645">
      <c r="A645" t="inlineStr">
        <is>
          <t>AIRMAX2-650P.EC</t>
        </is>
      </c>
      <c r="B645" t="inlineStr">
        <is>
          <t>AIRMAX-2.650 P. EC</t>
        </is>
      </c>
      <c r="C645" t="inlineStr"/>
      <c r="D645" t="inlineStr">
        <is>
          <t>FM - DONKIN</t>
        </is>
      </c>
      <c r="E645" s="1" t="n">
        <v>0</v>
      </c>
      <c r="F645" t="n">
        <v>1</v>
      </c>
      <c r="G645" t="n">
        <v>0</v>
      </c>
      <c r="H645" t="n">
        <v>2</v>
      </c>
      <c r="I645" t="n">
        <v>0</v>
      </c>
      <c r="J645" t="n">
        <v>0</v>
      </c>
      <c r="K645">
        <f>IF(H645-I645-J645&gt;0,H645-I645-J645,0)</f>
        <v/>
      </c>
      <c r="L645" s="1">
        <f>IFERROR(I645*E645,0)</f>
        <v/>
      </c>
      <c r="M645" s="1">
        <f>IFERROR(K645*E645,0)</f>
        <v/>
      </c>
    </row>
    <row r="646">
      <c r="A646" t="inlineStr">
        <is>
          <t>AIRMAX2-650W</t>
        </is>
      </c>
      <c r="B646" t="inlineStr">
        <is>
          <t>AIRMAX-2.650 W.EC</t>
        </is>
      </c>
      <c r="C646" t="inlineStr"/>
      <c r="D646" t="inlineStr">
        <is>
          <t>FM - DONKIN</t>
        </is>
      </c>
      <c r="E646" s="1" t="n">
        <v>0</v>
      </c>
      <c r="F646" t="n">
        <v>1</v>
      </c>
      <c r="G646" t="n">
        <v>0</v>
      </c>
      <c r="H646" t="n">
        <v>2</v>
      </c>
      <c r="I646" t="n">
        <v>0</v>
      </c>
      <c r="J646" t="n">
        <v>0</v>
      </c>
      <c r="K646">
        <f>IF(H646-I646-J646&gt;0,H646-I646-J646,0)</f>
        <v/>
      </c>
      <c r="L646" s="1">
        <f>IFERROR(I646*E646,0)</f>
        <v/>
      </c>
      <c r="M646" s="1">
        <f>IFERROR(K646*E646,0)</f>
        <v/>
      </c>
    </row>
    <row r="647">
      <c r="A647" t="inlineStr">
        <is>
          <t>AIRMAX2-750</t>
        </is>
      </c>
      <c r="B647" t="inlineStr">
        <is>
          <t>AIRMAX-2.750 W</t>
        </is>
      </c>
      <c r="C647" t="inlineStr"/>
      <c r="D647" t="inlineStr">
        <is>
          <t>FM - DONKIN</t>
        </is>
      </c>
      <c r="E647" s="1" t="n">
        <v>0</v>
      </c>
      <c r="F647" t="n">
        <v>1</v>
      </c>
      <c r="G647" t="n">
        <v>0</v>
      </c>
      <c r="H647" t="n">
        <v>2</v>
      </c>
      <c r="I647" t="n">
        <v>0</v>
      </c>
      <c r="J647" t="n">
        <v>0</v>
      </c>
      <c r="K647">
        <f>IF(H647-I647-J647&gt;0,H647-I647-J647,0)</f>
        <v/>
      </c>
      <c r="L647" s="1">
        <f>IFERROR(I647*E647,0)</f>
        <v/>
      </c>
      <c r="M647" s="1">
        <f>IFERROR(K647*E647,0)</f>
        <v/>
      </c>
    </row>
    <row r="648">
      <c r="A648" t="inlineStr">
        <is>
          <t>AIRMAX2-850</t>
        </is>
      </c>
      <c r="B648" t="inlineStr">
        <is>
          <t>AIRMAX-2.850 W</t>
        </is>
      </c>
      <c r="C648" t="inlineStr"/>
      <c r="D648" t="inlineStr">
        <is>
          <t>FM - DONKIN</t>
        </is>
      </c>
      <c r="E648" s="1" t="n">
        <v>0</v>
      </c>
      <c r="F648" t="n">
        <v>1</v>
      </c>
      <c r="G648" t="n">
        <v>0</v>
      </c>
      <c r="H648" t="n">
        <v>5</v>
      </c>
      <c r="I648" t="n">
        <v>0</v>
      </c>
      <c r="J648" t="n">
        <v>0</v>
      </c>
      <c r="K648">
        <f>IF(H648-I648-J648&gt;0,H648-I648-J648,0)</f>
        <v/>
      </c>
      <c r="L648" s="1">
        <f>IFERROR(I648*E648,0)</f>
        <v/>
      </c>
      <c r="M648" s="1">
        <f>IFERROR(K648*E648,0)</f>
        <v/>
      </c>
    </row>
    <row r="649">
      <c r="A649" t="inlineStr">
        <is>
          <t>AT</t>
        </is>
      </c>
      <c r="B649" t="inlineStr">
        <is>
          <t>3001 ALU FOIL TAPE 48mm X 50m (30 micron)</t>
        </is>
      </c>
      <c r="C649" t="inlineStr">
        <is>
          <t>Advantage Air Africa Pty Ltd</t>
        </is>
      </c>
      <c r="D649" t="inlineStr"/>
      <c r="E649" s="1" t="n">
        <v>80.5</v>
      </c>
      <c r="F649" t="n">
        <v>2</v>
      </c>
      <c r="G649" t="n">
        <v>0</v>
      </c>
      <c r="H649" t="n">
        <v>8</v>
      </c>
      <c r="I649" t="n">
        <v>0</v>
      </c>
      <c r="J649" t="n">
        <v>0</v>
      </c>
      <c r="K649">
        <f>IF(H649-I649-J649&gt;0,H649-I649-J649,0)</f>
        <v/>
      </c>
      <c r="L649" s="1">
        <f>IFERROR(I649*E649,0)</f>
        <v/>
      </c>
      <c r="M649" s="1">
        <f>IFERROR(K649*E649,0)</f>
        <v/>
      </c>
    </row>
    <row r="650">
      <c r="A650" t="inlineStr">
        <is>
          <t>AT 12/9 SC/BD</t>
        </is>
      </c>
      <c r="B650" t="inlineStr">
        <is>
          <t>AT 12/9 SC - Single Unit, Belt drive C/W 4kW 4P 380V FM</t>
        </is>
      </c>
      <c r="C650" t="inlineStr">
        <is>
          <t>TS TELEKI T/A VENT SYSTEM AND PROJECTS</t>
        </is>
      </c>
      <c r="D650" t="inlineStr">
        <is>
          <t>FM - NICOTRA</t>
        </is>
      </c>
      <c r="E650" s="1" t="n">
        <v>2000</v>
      </c>
      <c r="F650" t="n">
        <v>1</v>
      </c>
      <c r="G650" t="n">
        <v>0</v>
      </c>
      <c r="H650" t="n">
        <v>2</v>
      </c>
      <c r="I650" t="n">
        <v>0</v>
      </c>
      <c r="J650" t="n">
        <v>0</v>
      </c>
      <c r="K650">
        <f>IF(H650-I650-J650&gt;0,H650-I650-J650,0)</f>
        <v/>
      </c>
      <c r="L650" s="1">
        <f>IFERROR(I650*E650,0)</f>
        <v/>
      </c>
      <c r="M650" s="1">
        <f>IFERROR(K650*E650,0)</f>
        <v/>
      </c>
    </row>
    <row r="651">
      <c r="A651" t="inlineStr">
        <is>
          <t>ATT/01</t>
        </is>
      </c>
      <c r="B651" t="inlineStr">
        <is>
          <t>Attenuator 200x600mm</t>
        </is>
      </c>
      <c r="C651" t="inlineStr"/>
      <c r="D651" t="inlineStr"/>
      <c r="E651" s="1" t="n">
        <v>813.27</v>
      </c>
      <c r="F651" t="n">
        <v>1</v>
      </c>
      <c r="G651" t="n">
        <v>0</v>
      </c>
      <c r="H651" t="n">
        <v>5</v>
      </c>
      <c r="I651" t="n">
        <v>0</v>
      </c>
      <c r="J651" t="n">
        <v>0</v>
      </c>
      <c r="K651">
        <f>IF(H651-I651-J651&gt;0,H651-I651-J651,0)</f>
        <v/>
      </c>
      <c r="L651" s="1">
        <f>IFERROR(I651*E651,0)</f>
        <v/>
      </c>
      <c r="M651" s="1">
        <f>IFERROR(K651*E651,0)</f>
        <v/>
      </c>
    </row>
    <row r="652">
      <c r="A652" t="inlineStr">
        <is>
          <t>AVMs-</t>
        </is>
      </c>
      <c r="B652" t="inlineStr">
        <is>
          <t>Anti-Vibration Rubber Mounts</t>
        </is>
      </c>
      <c r="C652" t="inlineStr">
        <is>
          <t>Seal 'N Devices (Pty) Ltd</t>
        </is>
      </c>
      <c r="D652" t="inlineStr"/>
      <c r="E652" s="1" t="n">
        <v>53.46</v>
      </c>
      <c r="F652" t="n">
        <v>14</v>
      </c>
      <c r="G652" t="n">
        <v>0</v>
      </c>
      <c r="H652" t="n">
        <v>72</v>
      </c>
      <c r="I652" t="n">
        <v>0</v>
      </c>
      <c r="J652" t="n">
        <v>0</v>
      </c>
      <c r="K652">
        <f>IF(H652-I652-J652&gt;0,H652-I652-J652,0)</f>
        <v/>
      </c>
      <c r="L652" s="1">
        <f>IFERROR(I652*E652,0)</f>
        <v/>
      </c>
      <c r="M652" s="1">
        <f>IFERROR(K652*E652,0)</f>
        <v/>
      </c>
    </row>
    <row r="653">
      <c r="A653" t="inlineStr">
        <is>
          <t>AWSL/1/ 600X600)P/0/P1/</t>
        </is>
      </c>
      <c r="B653" t="inlineStr">
        <is>
          <t>600 X 600</t>
        </is>
      </c>
      <c r="C653" t="inlineStr">
        <is>
          <t>TROX South Africa (Pty) Ltd</t>
        </is>
      </c>
      <c r="D653" t="inlineStr"/>
      <c r="E653" s="1" t="n">
        <v>2479</v>
      </c>
      <c r="F653" t="n">
        <v>1</v>
      </c>
      <c r="G653" t="n">
        <v>0</v>
      </c>
      <c r="H653" t="n">
        <v>3</v>
      </c>
      <c r="I653" t="n">
        <v>0</v>
      </c>
      <c r="J653" t="n">
        <v>0</v>
      </c>
      <c r="K653">
        <f>IF(H653-I653-J653&gt;0,H653-I653-J653,0)</f>
        <v/>
      </c>
      <c r="L653" s="1">
        <f>IFERROR(I653*E653,0)</f>
        <v/>
      </c>
      <c r="M653" s="1">
        <f>IFERROR(K653*E653,0)</f>
        <v/>
      </c>
    </row>
    <row r="654">
      <c r="A654" t="inlineStr">
        <is>
          <t>AWSL/1/1000X500/OP/0/P1/</t>
        </is>
      </c>
      <c r="B654" t="inlineStr">
        <is>
          <t>1000 X 500</t>
        </is>
      </c>
      <c r="C654" t="inlineStr">
        <is>
          <t>TROX South Africa (Pty) Ltd</t>
        </is>
      </c>
      <c r="D654" t="inlineStr">
        <is>
          <t>Accessories</t>
        </is>
      </c>
      <c r="E654" s="1" t="n">
        <v>3264</v>
      </c>
      <c r="F654" t="n">
        <v>2</v>
      </c>
      <c r="G654" t="n">
        <v>0</v>
      </c>
      <c r="H654" t="n">
        <v>6</v>
      </c>
      <c r="I654" t="n">
        <v>0</v>
      </c>
      <c r="J654" t="n">
        <v>0</v>
      </c>
      <c r="K654">
        <f>IF(H654-I654-J654&gt;0,H654-I654-J654,0)</f>
        <v/>
      </c>
      <c r="L654" s="1">
        <f>IFERROR(I654*E654,0)</f>
        <v/>
      </c>
      <c r="M654" s="1">
        <f>IFERROR(K654*E654,0)</f>
        <v/>
      </c>
    </row>
    <row r="655">
      <c r="A655" t="inlineStr">
        <is>
          <t>AXIP450</t>
        </is>
      </c>
      <c r="B655" t="inlineStr">
        <is>
          <t>TAXIP F300: 450-5-25</t>
        </is>
      </c>
      <c r="C655" t="inlineStr">
        <is>
          <t>Kayites</t>
        </is>
      </c>
      <c r="D655" t="inlineStr">
        <is>
          <t>FM - KAYITES</t>
        </is>
      </c>
      <c r="E655" s="1" t="n">
        <v>4520.64</v>
      </c>
      <c r="F655" t="n">
        <v>2</v>
      </c>
      <c r="G655" t="n">
        <v>0</v>
      </c>
      <c r="H655" t="n">
        <v>6</v>
      </c>
      <c r="I655" t="n">
        <v>0</v>
      </c>
      <c r="J655" t="n">
        <v>0</v>
      </c>
      <c r="K655">
        <f>IF(H655-I655-J655&gt;0,H655-I655-J655,0)</f>
        <v/>
      </c>
      <c r="L655" s="1">
        <f>IFERROR(I655*E655,0)</f>
        <v/>
      </c>
      <c r="M655" s="1">
        <f>IFERROR(K655*E655,0)</f>
        <v/>
      </c>
    </row>
    <row r="656">
      <c r="A656" t="inlineStr">
        <is>
          <t>Accounting</t>
        </is>
      </c>
      <c r="B656" t="inlineStr">
        <is>
          <t>Subscription (Accounting)</t>
        </is>
      </c>
      <c r="C656" t="inlineStr">
        <is>
          <t>Sage South Africa (Pty) Ltd</t>
        </is>
      </c>
      <c r="D656" t="inlineStr"/>
      <c r="E656" s="1" t="n">
        <v>7252.17</v>
      </c>
      <c r="F656" t="n">
        <v>1</v>
      </c>
      <c r="G656" t="n">
        <v>0</v>
      </c>
      <c r="H656" t="n">
        <v>2</v>
      </c>
      <c r="I656" t="n">
        <v>0</v>
      </c>
      <c r="J656" t="n">
        <v>0</v>
      </c>
      <c r="K656">
        <f>IF(H656-I656-J656&gt;0,H656-I656-J656,0)</f>
        <v/>
      </c>
      <c r="L656" s="1">
        <f>IFERROR(I656*E656,0)</f>
        <v/>
      </c>
      <c r="M656" s="1">
        <f>IFERROR(K656*E656,0)</f>
        <v/>
      </c>
    </row>
    <row r="657">
      <c r="A657" t="inlineStr">
        <is>
          <t>Additional Costs</t>
        </is>
      </c>
      <c r="B657" t="inlineStr">
        <is>
          <t>Material Cutting Cost</t>
        </is>
      </c>
      <c r="C657" t="inlineStr"/>
      <c r="D657" t="inlineStr"/>
      <c r="E657" s="1" t="n">
        <v>0</v>
      </c>
      <c r="F657" t="n">
        <v>3</v>
      </c>
      <c r="G657" t="n">
        <v>0</v>
      </c>
      <c r="H657" t="n">
        <v>15</v>
      </c>
      <c r="I657" t="n">
        <v>0</v>
      </c>
      <c r="J657" t="n">
        <v>0</v>
      </c>
      <c r="K657">
        <f>IF(H657-I657-J657&gt;0,H657-I657-J657,0)</f>
        <v/>
      </c>
      <c r="L657" s="1">
        <f>IFERROR(I657*E657,0)</f>
        <v/>
      </c>
      <c r="M657" s="1">
        <f>IFERROR(K657*E657,0)</f>
        <v/>
      </c>
    </row>
    <row r="658">
      <c r="A658" t="inlineStr">
        <is>
          <t>Airfreight</t>
        </is>
      </c>
      <c r="B658" t="inlineStr">
        <is>
          <t>- Dar Es Salaam</t>
        </is>
      </c>
      <c r="C658" t="inlineStr">
        <is>
          <t>Kayites</t>
        </is>
      </c>
      <c r="D658" t="inlineStr"/>
      <c r="E658" s="1" t="n">
        <v>0</v>
      </c>
      <c r="F658" t="n">
        <v>1</v>
      </c>
      <c r="G658" t="n">
        <v>0</v>
      </c>
      <c r="H658" t="n">
        <v>3</v>
      </c>
      <c r="I658" t="n">
        <v>0</v>
      </c>
      <c r="J658" t="n">
        <v>0</v>
      </c>
      <c r="K658">
        <f>IF(H658-I658-J658&gt;0,H658-I658-J658,0)</f>
        <v/>
      </c>
      <c r="L658" s="1">
        <f>IFERROR(I658*E658,0)</f>
        <v/>
      </c>
      <c r="M658" s="1">
        <f>IFERROR(K658*E658,0)</f>
        <v/>
      </c>
    </row>
    <row r="659">
      <c r="A659" t="inlineStr">
        <is>
          <t>Airmax PB</t>
        </is>
      </c>
      <c r="B659" t="inlineStr">
        <is>
          <t>Airmax Poles &amp; Brackets</t>
        </is>
      </c>
      <c r="C659" t="inlineStr">
        <is>
          <t>Mafilisti Trading and Projects (Pty) Ltd</t>
        </is>
      </c>
      <c r="D659" t="inlineStr"/>
      <c r="E659" s="1" t="n">
        <v>112</v>
      </c>
      <c r="F659" t="n">
        <v>60</v>
      </c>
      <c r="G659" t="n">
        <v>0</v>
      </c>
      <c r="H659" t="n">
        <v>260</v>
      </c>
      <c r="I659" t="n">
        <v>0</v>
      </c>
      <c r="J659" t="n">
        <v>0</v>
      </c>
      <c r="K659">
        <f>IF(H659-I659-J659&gt;0,H659-I659-J659,0)</f>
        <v/>
      </c>
      <c r="L659" s="1">
        <f>IFERROR(I659*E659,0)</f>
        <v/>
      </c>
      <c r="M659" s="1">
        <f>IFERROR(K659*E659,0)</f>
        <v/>
      </c>
    </row>
    <row r="660">
      <c r="A660" t="inlineStr">
        <is>
          <t>Airmax-2.650.W.</t>
        </is>
      </c>
      <c r="B660" t="inlineStr">
        <is>
          <t>Airmax-2.650.W - Wall Fan - 187 Watts - 230/1/50 - Twin Blade - Black (Pull Cord)</t>
        </is>
      </c>
      <c r="C660" t="inlineStr"/>
      <c r="D660" t="inlineStr"/>
      <c r="E660" s="1" t="n">
        <v>0</v>
      </c>
      <c r="F660" t="n">
        <v>1</v>
      </c>
      <c r="G660" t="n">
        <v>0</v>
      </c>
      <c r="H660" t="n">
        <v>4</v>
      </c>
      <c r="I660" t="n">
        <v>0</v>
      </c>
      <c r="J660" t="n">
        <v>0</v>
      </c>
      <c r="K660">
        <f>IF(H660-I660-J660&gt;0,H660-I660-J660,0)</f>
        <v/>
      </c>
      <c r="L660" s="1">
        <f>IFERROR(I660*E660,0)</f>
        <v/>
      </c>
      <c r="M660" s="1">
        <f>IFERROR(K660*E660,0)</f>
        <v/>
      </c>
    </row>
    <row r="661">
      <c r="A661" t="inlineStr">
        <is>
          <t>Al Blades</t>
        </is>
      </c>
      <c r="B661" t="inlineStr">
        <is>
          <t>Aluminium Blades</t>
        </is>
      </c>
      <c r="C661" t="inlineStr">
        <is>
          <t>CFW Fans (Pty) Ltd</t>
        </is>
      </c>
      <c r="D661" t="inlineStr">
        <is>
          <t>FM - IMPELLER</t>
        </is>
      </c>
      <c r="E661" s="1" t="n">
        <v>85</v>
      </c>
      <c r="F661" t="n">
        <v>47</v>
      </c>
      <c r="G661" t="n">
        <v>0</v>
      </c>
      <c r="H661" t="n">
        <v>234</v>
      </c>
      <c r="I661" t="n">
        <v>0</v>
      </c>
      <c r="J661" t="n">
        <v>100</v>
      </c>
      <c r="K661">
        <f>IF(H661-I661-J661&gt;0,H661-I661-J661,0)</f>
        <v/>
      </c>
      <c r="L661" s="1">
        <f>IFERROR(I661*E661,0)</f>
        <v/>
      </c>
      <c r="M661" s="1">
        <f>IFERROR(K661*E661,0)</f>
        <v/>
      </c>
    </row>
    <row r="662">
      <c r="A662" t="inlineStr">
        <is>
          <t>Al Blanks</t>
        </is>
      </c>
      <c r="B662" t="inlineStr">
        <is>
          <t>Aluminium Blanks</t>
        </is>
      </c>
      <c r="C662" t="inlineStr">
        <is>
          <t>CFW Fans (Pty) Ltd</t>
        </is>
      </c>
      <c r="D662" t="inlineStr">
        <is>
          <t>FM - IMPELLER</t>
        </is>
      </c>
      <c r="E662" s="1" t="n">
        <v>11</v>
      </c>
      <c r="F662" t="n">
        <v>6</v>
      </c>
      <c r="G662" t="n">
        <v>0</v>
      </c>
      <c r="H662" t="n">
        <v>29</v>
      </c>
      <c r="I662" t="n">
        <v>0</v>
      </c>
      <c r="J662" t="n">
        <v>0</v>
      </c>
      <c r="K662">
        <f>IF(H662-I662-J662&gt;0,H662-I662-J662,0)</f>
        <v/>
      </c>
      <c r="L662" s="1">
        <f>IFERROR(I662*E662,0)</f>
        <v/>
      </c>
      <c r="M662" s="1">
        <f>IFERROR(K662*E662,0)</f>
        <v/>
      </c>
    </row>
    <row r="663">
      <c r="A663" t="inlineStr">
        <is>
          <t>Angle S355JR-50x50x5mm</t>
        </is>
      </c>
      <c r="B663" t="inlineStr">
        <is>
          <t>Angle S355JR 50x50x5mm 6Mtr</t>
        </is>
      </c>
      <c r="C663" t="inlineStr">
        <is>
          <t>NJR STEEL - ALRODE (PTY) LTD</t>
        </is>
      </c>
      <c r="D663" t="inlineStr">
        <is>
          <t>FABRICATION</t>
        </is>
      </c>
      <c r="E663" s="1" t="n">
        <v>309.4</v>
      </c>
      <c r="F663" t="n">
        <v>1</v>
      </c>
      <c r="G663" t="n">
        <v>0</v>
      </c>
      <c r="H663" t="n">
        <v>2</v>
      </c>
      <c r="I663" t="n">
        <v>0</v>
      </c>
      <c r="J663" t="n">
        <v>0</v>
      </c>
      <c r="K663">
        <f>IF(H663-I663-J663&gt;0,H663-I663-J663,0)</f>
        <v/>
      </c>
      <c r="L663" s="1">
        <f>IFERROR(I663*E663,0)</f>
        <v/>
      </c>
      <c r="M663" s="1">
        <f>IFERROR(K663*E663,0)</f>
        <v/>
      </c>
    </row>
    <row r="664">
      <c r="A664" t="inlineStr">
        <is>
          <t>Assembly</t>
        </is>
      </c>
      <c r="B664" t="inlineStr">
        <is>
          <t>Building Casing &amp; Impeller</t>
        </is>
      </c>
      <c r="C664" t="inlineStr"/>
      <c r="D664" t="inlineStr"/>
      <c r="E664" s="1" t="n">
        <v>0</v>
      </c>
      <c r="F664" t="n">
        <v>1</v>
      </c>
      <c r="G664" t="n">
        <v>0</v>
      </c>
      <c r="H664" t="n">
        <v>2</v>
      </c>
      <c r="I664" t="n">
        <v>0</v>
      </c>
      <c r="J664" t="n">
        <v>0</v>
      </c>
      <c r="K664">
        <f>IF(H664-I664-J664&gt;0,H664-I664-J664,0)</f>
        <v/>
      </c>
      <c r="L664" s="1">
        <f>IFERROR(I664*E664,0)</f>
        <v/>
      </c>
      <c r="M664" s="1">
        <f>IFERROR(K664*E664,0)</f>
        <v/>
      </c>
    </row>
    <row r="665">
      <c r="A665" t="inlineStr">
        <is>
          <t>B)</t>
        </is>
      </c>
      <c r="B665" t="inlineStr">
        <is>
          <t>LDP/315/6/10/B/14mm - 0.55kW 2P</t>
        </is>
      </c>
      <c r="C665" t="inlineStr">
        <is>
          <t>CFW Fans (Pty) Ltd</t>
        </is>
      </c>
      <c r="D665" t="inlineStr"/>
      <c r="E665" s="1" t="n">
        <v>29.97</v>
      </c>
      <c r="F665" t="n">
        <v>7</v>
      </c>
      <c r="G665" t="n">
        <v>0</v>
      </c>
      <c r="H665" t="n">
        <v>29</v>
      </c>
      <c r="I665" t="n">
        <v>0</v>
      </c>
      <c r="J665" t="n">
        <v>0</v>
      </c>
      <c r="K665">
        <f>IF(H665-I665-J665&gt;0,H665-I665-J665,0)</f>
        <v/>
      </c>
      <c r="L665" s="1">
        <f>IFERROR(I665*E665,0)</f>
        <v/>
      </c>
      <c r="M665" s="1">
        <f>IFERROR(K665*E665,0)</f>
        <v/>
      </c>
    </row>
    <row r="666">
      <c r="A666" t="inlineStr">
        <is>
          <t>B-124-FAN1</t>
        </is>
      </c>
      <c r="B666" t="inlineStr">
        <is>
          <t>HTMV-125-4T/9-40 400/690V.IE3 -60Hz - Roof Top Exhaust Fan</t>
        </is>
      </c>
      <c r="C666" t="inlineStr"/>
      <c r="D666" t="inlineStr"/>
      <c r="E666" s="1" t="n">
        <v>0</v>
      </c>
      <c r="F666" t="n">
        <v>2</v>
      </c>
      <c r="G666" t="n">
        <v>0</v>
      </c>
      <c r="H666" t="n">
        <v>10</v>
      </c>
      <c r="I666" t="n">
        <v>0</v>
      </c>
      <c r="J666" t="n">
        <v>0</v>
      </c>
      <c r="K666">
        <f>IF(H666-I666-J666&gt;0,H666-I666-J666,0)</f>
        <v/>
      </c>
      <c r="L666" s="1">
        <f>IFERROR(I666*E666,0)</f>
        <v/>
      </c>
      <c r="M666" s="1">
        <f>IFERROR(K666*E666,0)</f>
        <v/>
      </c>
    </row>
    <row r="667">
      <c r="A667" t="inlineStr">
        <is>
          <t>B-135-FAN1</t>
        </is>
      </c>
      <c r="B667" t="inlineStr">
        <is>
          <t>TORRETTE TR-A 450 T4 2.2KW ATEX Zone 1 - Explosion Proof Roof Top Centrifugal Exhaust Fan</t>
        </is>
      </c>
      <c r="C667" t="inlineStr"/>
      <c r="D667" t="inlineStr"/>
      <c r="E667" s="1" t="n">
        <v>0</v>
      </c>
      <c r="F667" t="n">
        <v>2</v>
      </c>
      <c r="G667" t="n">
        <v>0</v>
      </c>
      <c r="H667" t="n">
        <v>10</v>
      </c>
      <c r="I667" t="n">
        <v>0</v>
      </c>
      <c r="J667" t="n">
        <v>0</v>
      </c>
      <c r="K667">
        <f>IF(H667-I667-J667&gt;0,H667-I667-J667,0)</f>
        <v/>
      </c>
      <c r="L667" s="1">
        <f>IFERROR(I667*E667,0)</f>
        <v/>
      </c>
      <c r="M667" s="1">
        <f>IFERROR(K667*E667,0)</f>
        <v/>
      </c>
    </row>
    <row r="668">
      <c r="A668" t="inlineStr">
        <is>
          <t>B-135-FAN2</t>
        </is>
      </c>
      <c r="B668" t="inlineStr">
        <is>
          <t>TORRETTE TR-A 500 T4 3KW ATEX Zone 1 - Explosion Proof Roof Top Centrifugal Exhaust Fan</t>
        </is>
      </c>
      <c r="C668" t="inlineStr"/>
      <c r="D668" t="inlineStr"/>
      <c r="E668" s="1" t="n">
        <v>0</v>
      </c>
      <c r="F668" t="n">
        <v>1</v>
      </c>
      <c r="G668" t="n">
        <v>0</v>
      </c>
      <c r="H668" t="n">
        <v>2</v>
      </c>
      <c r="I668" t="n">
        <v>0</v>
      </c>
      <c r="J668" t="n">
        <v>0</v>
      </c>
      <c r="K668">
        <f>IF(H668-I668-J668&gt;0,H668-I668-J668,0)</f>
        <v/>
      </c>
      <c r="L668" s="1">
        <f>IFERROR(I668*E668,0)</f>
        <v/>
      </c>
      <c r="M668" s="1">
        <f>IFERROR(K668*E668,0)</f>
        <v/>
      </c>
    </row>
    <row r="669">
      <c r="A669" t="inlineStr">
        <is>
          <t>B-135-FAN3</t>
        </is>
      </c>
      <c r="B669" t="inlineStr">
        <is>
          <t>TORRETTE TR-A 400 T4 1.1KW ATEX Zone 1 - Explosion Proof Roof Top Centrifugal Exhaust Fan</t>
        </is>
      </c>
      <c r="C669" t="inlineStr"/>
      <c r="D669" t="inlineStr"/>
      <c r="E669" s="1" t="n">
        <v>0</v>
      </c>
      <c r="F669" t="n">
        <v>1</v>
      </c>
      <c r="G669" t="n">
        <v>0</v>
      </c>
      <c r="H669" t="n">
        <v>5</v>
      </c>
      <c r="I669" t="n">
        <v>0</v>
      </c>
      <c r="J669" t="n">
        <v>0</v>
      </c>
      <c r="K669">
        <f>IF(H669-I669-J669&gt;0,H669-I669-J669,0)</f>
        <v/>
      </c>
      <c r="L669" s="1">
        <f>IFERROR(I669*E669,0)</f>
        <v/>
      </c>
      <c r="M669" s="1">
        <f>IFERROR(K669*E669,0)</f>
        <v/>
      </c>
    </row>
    <row r="670">
      <c r="A670" t="inlineStr">
        <is>
          <t>B-135-FAN4</t>
        </is>
      </c>
      <c r="B670" t="inlineStr">
        <is>
          <t>TORRETTE TRK-AR 500 T4 3KW - Roof Top Centrifugal Exhaust Fan</t>
        </is>
      </c>
      <c r="C670" t="inlineStr"/>
      <c r="D670" t="inlineStr"/>
      <c r="E670" s="1" t="n">
        <v>0</v>
      </c>
      <c r="F670" t="n">
        <v>1</v>
      </c>
      <c r="G670" t="n">
        <v>0</v>
      </c>
      <c r="H670" t="n">
        <v>2</v>
      </c>
      <c r="I670" t="n">
        <v>0</v>
      </c>
      <c r="J670" t="n">
        <v>0</v>
      </c>
      <c r="K670">
        <f>IF(H670-I670-J670&gt;0,H670-I670-J670,0)</f>
        <v/>
      </c>
      <c r="L670" s="1">
        <f>IFERROR(I670*E670,0)</f>
        <v/>
      </c>
      <c r="M670" s="1">
        <f>IFERROR(K670*E670,0)</f>
        <v/>
      </c>
    </row>
    <row r="671">
      <c r="A671" t="inlineStr">
        <is>
          <t>B-135-FAN5</t>
        </is>
      </c>
      <c r="B671" t="inlineStr">
        <is>
          <t>TORRETTE TR-A 500 T4 3KW ATEX Zone 1 - Explosion Proof Roof Top Centrifugal Exhaust Fan</t>
        </is>
      </c>
      <c r="C671" t="inlineStr"/>
      <c r="D671" t="inlineStr"/>
      <c r="E671" s="1" t="n">
        <v>0</v>
      </c>
      <c r="F671" t="n">
        <v>1</v>
      </c>
      <c r="G671" t="n">
        <v>0</v>
      </c>
      <c r="H671" t="n">
        <v>5</v>
      </c>
      <c r="I671" t="n">
        <v>0</v>
      </c>
      <c r="J671" t="n">
        <v>0</v>
      </c>
      <c r="K671">
        <f>IF(H671-I671-J671&gt;0,H671-I671-J671,0)</f>
        <v/>
      </c>
      <c r="L671" s="1">
        <f>IFERROR(I671*E671,0)</f>
        <v/>
      </c>
      <c r="M671" s="1">
        <f>IFERROR(K671*E671,0)</f>
        <v/>
      </c>
    </row>
    <row r="672">
      <c r="A672" t="inlineStr">
        <is>
          <t>B-135-FAN6</t>
        </is>
      </c>
      <c r="B672" t="inlineStr">
        <is>
          <t>VORTICENT CMS 35/14 T4 4KW - Wall Mountex Centrifugal Exhaust Fan</t>
        </is>
      </c>
      <c r="C672" t="inlineStr"/>
      <c r="D672" t="inlineStr"/>
      <c r="E672" s="1" t="n">
        <v>0</v>
      </c>
      <c r="F672" t="n">
        <v>1</v>
      </c>
      <c r="G672" t="n">
        <v>0</v>
      </c>
      <c r="H672" t="n">
        <v>2</v>
      </c>
      <c r="I672" t="n">
        <v>0</v>
      </c>
      <c r="J672" t="n">
        <v>0</v>
      </c>
      <c r="K672">
        <f>IF(H672-I672-J672&gt;0,H672-I672-J672,0)</f>
        <v/>
      </c>
      <c r="L672" s="1">
        <f>IFERROR(I672*E672,0)</f>
        <v/>
      </c>
      <c r="M672" s="1">
        <f>IFERROR(K672*E672,0)</f>
        <v/>
      </c>
    </row>
    <row r="673">
      <c r="A673" t="inlineStr">
        <is>
          <t>B-135-FAN7</t>
        </is>
      </c>
      <c r="B673" t="inlineStr">
        <is>
          <t>VORTICENT CMS 25/10 T4 0.75KW - Wall Mounted Centrifugal Exhaust Fan</t>
        </is>
      </c>
      <c r="C673" t="inlineStr"/>
      <c r="D673" t="inlineStr"/>
      <c r="E673" s="1" t="n">
        <v>0</v>
      </c>
      <c r="F673" t="n">
        <v>1</v>
      </c>
      <c r="G673" t="n">
        <v>0</v>
      </c>
      <c r="H673" t="n">
        <v>2</v>
      </c>
      <c r="I673" t="n">
        <v>0</v>
      </c>
      <c r="J673" t="n">
        <v>0</v>
      </c>
      <c r="K673">
        <f>IF(H673-I673-J673&gt;0,H673-I673-J673,0)</f>
        <v/>
      </c>
      <c r="L673" s="1">
        <f>IFERROR(I673*E673,0)</f>
        <v/>
      </c>
      <c r="M673" s="1">
        <f>IFERROR(K673*E673,0)</f>
        <v/>
      </c>
    </row>
    <row r="674">
      <c r="A674" t="inlineStr">
        <is>
          <t>B-135-FAN8</t>
        </is>
      </c>
      <c r="B674" t="inlineStr">
        <is>
          <t>ENKEL QBK 190 EC - Cassette Type Exhaust Fan</t>
        </is>
      </c>
      <c r="C674" t="inlineStr"/>
      <c r="D674" t="inlineStr"/>
      <c r="E674" s="1" t="n">
        <v>0</v>
      </c>
      <c r="F674" t="n">
        <v>1</v>
      </c>
      <c r="G674" t="n">
        <v>0</v>
      </c>
      <c r="H674" t="n">
        <v>2</v>
      </c>
      <c r="I674" t="n">
        <v>0</v>
      </c>
      <c r="J674" t="n">
        <v>0</v>
      </c>
      <c r="K674">
        <f>IF(H674-I674-J674&gt;0,H674-I674-J674,0)</f>
        <v/>
      </c>
      <c r="L674" s="1">
        <f>IFERROR(I674*E674,0)</f>
        <v/>
      </c>
      <c r="M674" s="1">
        <f>IFERROR(K674*E674,0)</f>
        <v/>
      </c>
    </row>
    <row r="675">
      <c r="A675" t="inlineStr">
        <is>
          <t>B-91-FAN1</t>
        </is>
      </c>
      <c r="B675" t="inlineStr">
        <is>
          <t>TORRETTE TR-A 710 T6 4KW ATEX Zone 1 - Explosion Proof Roof Top Centrifugal Exhaust Fan</t>
        </is>
      </c>
      <c r="C675" t="inlineStr"/>
      <c r="D675" t="inlineStr"/>
      <c r="E675" s="1" t="n">
        <v>0</v>
      </c>
      <c r="F675" t="n">
        <v>1</v>
      </c>
      <c r="G675" t="n">
        <v>0</v>
      </c>
      <c r="H675" t="n">
        <v>2</v>
      </c>
      <c r="I675" t="n">
        <v>0</v>
      </c>
      <c r="J675" t="n">
        <v>0</v>
      </c>
      <c r="K675">
        <f>IF(H675-I675-J675&gt;0,H675-I675-J675,0)</f>
        <v/>
      </c>
      <c r="L675" s="1">
        <f>IFERROR(I675*E675,0)</f>
        <v/>
      </c>
      <c r="M675" s="1">
        <f>IFERROR(K675*E675,0)</f>
        <v/>
      </c>
    </row>
    <row r="676">
      <c r="A676" t="inlineStr">
        <is>
          <t>B-91-FAN2</t>
        </is>
      </c>
      <c r="B676" t="inlineStr">
        <is>
          <t>HC-63-4T/H/ATEX/2G Ex db 230/400V - 60Hz - Explosion Proof Wall Mounted Centrifugal Exhaust Fan</t>
        </is>
      </c>
      <c r="C676" t="inlineStr"/>
      <c r="D676" t="inlineStr"/>
      <c r="E676" s="1" t="n">
        <v>0</v>
      </c>
      <c r="F676" t="n">
        <v>1</v>
      </c>
      <c r="G676" t="n">
        <v>0</v>
      </c>
      <c r="H676" t="n">
        <v>5</v>
      </c>
      <c r="I676" t="n">
        <v>0</v>
      </c>
      <c r="J676" t="n">
        <v>0</v>
      </c>
      <c r="K676">
        <f>IF(H676-I676-J676&gt;0,H676-I676-J676,0)</f>
        <v/>
      </c>
      <c r="L676" s="1">
        <f>IFERROR(I676*E676,0)</f>
        <v/>
      </c>
      <c r="M676" s="1">
        <f>IFERROR(K676*E676,0)</f>
        <v/>
      </c>
    </row>
    <row r="677">
      <c r="A677" t="inlineStr">
        <is>
          <t>B-91-FAN3</t>
        </is>
      </c>
      <c r="B677" t="inlineStr">
        <is>
          <t>TORRETTE TR-A 500 T4 3KW ATEX Zone 1 - Explosion Proof Roof Top Exhaust Fan</t>
        </is>
      </c>
      <c r="C677" t="inlineStr"/>
      <c r="D677" t="inlineStr"/>
      <c r="E677" s="1" t="n">
        <v>0</v>
      </c>
      <c r="F677" t="n">
        <v>1</v>
      </c>
      <c r="G677" t="n">
        <v>0</v>
      </c>
      <c r="H677" t="n">
        <v>5</v>
      </c>
      <c r="I677" t="n">
        <v>0</v>
      </c>
      <c r="J677" t="n">
        <v>0</v>
      </c>
      <c r="K677">
        <f>IF(H677-I677-J677&gt;0,H677-I677-J677,0)</f>
        <v/>
      </c>
      <c r="L677" s="1">
        <f>IFERROR(I677*E677,0)</f>
        <v/>
      </c>
      <c r="M677" s="1">
        <f>IFERROR(K677*E677,0)</f>
        <v/>
      </c>
    </row>
    <row r="678">
      <c r="A678" t="inlineStr">
        <is>
          <t>B-91-FAN4</t>
        </is>
      </c>
      <c r="B678" t="inlineStr">
        <is>
          <t>HTMV-90-4T-7.5/ATEX/2G Ex db 400/690V - Explosion Proof Roof Top Exhaust Fan</t>
        </is>
      </c>
      <c r="C678" t="inlineStr"/>
      <c r="D678" t="inlineStr"/>
      <c r="E678" s="1" t="n">
        <v>0</v>
      </c>
      <c r="F678" t="n">
        <v>1</v>
      </c>
      <c r="G678" t="n">
        <v>0</v>
      </c>
      <c r="H678" t="n">
        <v>2</v>
      </c>
      <c r="I678" t="n">
        <v>0</v>
      </c>
      <c r="J678" t="n">
        <v>0</v>
      </c>
      <c r="K678">
        <f>IF(H678-I678-J678&gt;0,H678-I678-J678,0)</f>
        <v/>
      </c>
      <c r="L678" s="1">
        <f>IFERROR(I678*E678,0)</f>
        <v/>
      </c>
      <c r="M678" s="1">
        <f>IFERROR(K678*E678,0)</f>
        <v/>
      </c>
    </row>
    <row r="679">
      <c r="A679" t="inlineStr">
        <is>
          <t>B-91-FAN5</t>
        </is>
      </c>
      <c r="B679" t="inlineStr">
        <is>
          <t>TORRETTE TRS 310 EC - Roof Top Exhaust Fan</t>
        </is>
      </c>
      <c r="C679" t="inlineStr"/>
      <c r="D679" t="inlineStr"/>
      <c r="E679" s="1" t="n">
        <v>0</v>
      </c>
      <c r="F679" t="n">
        <v>1</v>
      </c>
      <c r="G679" t="n">
        <v>0</v>
      </c>
      <c r="H679" t="n">
        <v>2</v>
      </c>
      <c r="I679" t="n">
        <v>0</v>
      </c>
      <c r="J679" t="n">
        <v>0</v>
      </c>
      <c r="K679">
        <f>IF(H679-I679-J679&gt;0,H679-I679-J679,0)</f>
        <v/>
      </c>
      <c r="L679" s="1">
        <f>IFERROR(I679*E679,0)</f>
        <v/>
      </c>
      <c r="M679" s="1">
        <f>IFERROR(K679*E679,0)</f>
        <v/>
      </c>
    </row>
    <row r="680">
      <c r="A680" t="inlineStr">
        <is>
          <t>B-91-FAN6</t>
        </is>
      </c>
      <c r="B680" t="inlineStr">
        <is>
          <t>TORRETTE TRS 250 EC - Roof Top Exhaust Fan</t>
        </is>
      </c>
      <c r="C680" t="inlineStr"/>
      <c r="D680" t="inlineStr"/>
      <c r="E680" s="1" t="n">
        <v>0</v>
      </c>
      <c r="F680" t="n">
        <v>1</v>
      </c>
      <c r="G680" t="n">
        <v>0</v>
      </c>
      <c r="H680" t="n">
        <v>2</v>
      </c>
      <c r="I680" t="n">
        <v>0</v>
      </c>
      <c r="J680" t="n">
        <v>0</v>
      </c>
      <c r="K680">
        <f>IF(H680-I680-J680&gt;0,H680-I680-J680,0)</f>
        <v/>
      </c>
      <c r="L680" s="1">
        <f>IFERROR(I680*E680,0)</f>
        <v/>
      </c>
      <c r="M680" s="1">
        <f>IFERROR(K680*E680,0)</f>
        <v/>
      </c>
    </row>
    <row r="681">
      <c r="A681" t="inlineStr">
        <is>
          <t>B-91-FAN7</t>
        </is>
      </c>
      <c r="B681" t="inlineStr">
        <is>
          <t>Lineo 200 - Inline Exhaust Fan</t>
        </is>
      </c>
      <c r="C681" t="inlineStr">
        <is>
          <t>Luck and King</t>
        </is>
      </c>
      <c r="D681" t="inlineStr"/>
      <c r="E681" s="1" t="n">
        <v>490</v>
      </c>
      <c r="F681" t="n">
        <v>1</v>
      </c>
      <c r="G681" t="n">
        <v>0</v>
      </c>
      <c r="H681" t="n">
        <v>2</v>
      </c>
      <c r="I681" t="n">
        <v>0</v>
      </c>
      <c r="J681" t="n">
        <v>0</v>
      </c>
      <c r="K681">
        <f>IF(H681-I681-J681&gt;0,H681-I681-J681,0)</f>
        <v/>
      </c>
      <c r="L681" s="1">
        <f>IFERROR(I681*E681,0)</f>
        <v/>
      </c>
      <c r="M681" s="1">
        <f>IFERROR(K681*E681,0)</f>
        <v/>
      </c>
    </row>
    <row r="682">
      <c r="A682" t="inlineStr">
        <is>
          <t>B/01</t>
        </is>
      </c>
      <c r="B682" t="inlineStr">
        <is>
          <t>Volume Control Damper &amp; Quad 150mm</t>
        </is>
      </c>
      <c r="C682" t="inlineStr"/>
      <c r="D682" t="inlineStr"/>
      <c r="E682" s="1" t="n">
        <v>0</v>
      </c>
      <c r="F682" t="n">
        <v>4</v>
      </c>
      <c r="G682" t="n">
        <v>0</v>
      </c>
      <c r="H682" t="n">
        <v>22</v>
      </c>
      <c r="I682" t="n">
        <v>0</v>
      </c>
      <c r="J682" t="n">
        <v>0</v>
      </c>
      <c r="K682">
        <f>IF(H682-I682-J682&gt;0,H682-I682-J682,0)</f>
        <v/>
      </c>
      <c r="L682" s="1">
        <f>IFERROR(I682*E682,0)</f>
        <v/>
      </c>
      <c r="M682" s="1">
        <f>IFERROR(K682*E682,0)</f>
        <v/>
      </c>
    </row>
    <row r="683">
      <c r="A683" t="inlineStr">
        <is>
          <t>B/02</t>
        </is>
      </c>
      <c r="B683" t="inlineStr">
        <is>
          <t>Fire Damper c/w Link &amp; Quad 150mm</t>
        </is>
      </c>
      <c r="C683" t="inlineStr"/>
      <c r="D683" t="inlineStr"/>
      <c r="E683" s="1" t="n">
        <v>0</v>
      </c>
      <c r="F683" t="n">
        <v>3</v>
      </c>
      <c r="G683" t="n">
        <v>0</v>
      </c>
      <c r="H683" t="n">
        <v>15</v>
      </c>
      <c r="I683" t="n">
        <v>0</v>
      </c>
      <c r="J683" t="n">
        <v>0</v>
      </c>
      <c r="K683">
        <f>IF(H683-I683-J683&gt;0,H683-I683-J683,0)</f>
        <v/>
      </c>
      <c r="L683" s="1">
        <f>IFERROR(I683*E683,0)</f>
        <v/>
      </c>
      <c r="M683" s="1">
        <f>IFERROR(K683*E683,0)</f>
        <v/>
      </c>
    </row>
    <row r="684">
      <c r="A684" t="inlineStr">
        <is>
          <t>B3</t>
        </is>
      </c>
      <c r="B684" t="inlineStr">
        <is>
          <t>IA Certification (Imported Equipment). Document Review and IA Certification Transfer Based on ATEX</t>
        </is>
      </c>
      <c r="C684" t="inlineStr">
        <is>
          <t>MEGATON SYSTEMS (PTY) LTD. T/A MTEX LABORATORIES</t>
        </is>
      </c>
      <c r="D684" t="inlineStr"/>
      <c r="E684" s="1" t="n">
        <v>3473.5</v>
      </c>
      <c r="F684" t="n">
        <v>1</v>
      </c>
      <c r="G684" t="n">
        <v>0</v>
      </c>
      <c r="H684" t="n">
        <v>2</v>
      </c>
      <c r="I684" t="n">
        <v>0</v>
      </c>
      <c r="J684" t="n">
        <v>0</v>
      </c>
      <c r="K684">
        <f>IF(H684-I684-J684&gt;0,H684-I684-J684,0)</f>
        <v/>
      </c>
      <c r="L684" s="1">
        <f>IFERROR(I684*E684,0)</f>
        <v/>
      </c>
      <c r="M684" s="1">
        <f>IFERROR(K684*E684,0)</f>
        <v/>
      </c>
    </row>
    <row r="685">
      <c r="A685" t="inlineStr">
        <is>
          <t>BAF100</t>
        </is>
      </c>
      <c r="B685" t="inlineStr">
        <is>
          <t>BAF 100</t>
        </is>
      </c>
      <c r="C685" t="inlineStr">
        <is>
          <t>Kayites</t>
        </is>
      </c>
      <c r="D685" t="inlineStr">
        <is>
          <t>FM - KAYITES</t>
        </is>
      </c>
      <c r="E685" s="1" t="n">
        <v>59.08</v>
      </c>
      <c r="F685" t="n">
        <v>1</v>
      </c>
      <c r="G685" t="n">
        <v>0</v>
      </c>
      <c r="H685" t="n">
        <v>4</v>
      </c>
      <c r="I685" t="n">
        <v>0</v>
      </c>
      <c r="J685" t="n">
        <v>0</v>
      </c>
      <c r="K685">
        <f>IF(H685-I685-J685&gt;0,H685-I685-J685,0)</f>
        <v/>
      </c>
      <c r="L685" s="1">
        <f>IFERROR(I685*E685,0)</f>
        <v/>
      </c>
      <c r="M685" s="1">
        <f>IFERROR(K685*E685,0)</f>
        <v/>
      </c>
    </row>
    <row r="686">
      <c r="A686" t="inlineStr">
        <is>
          <t>BAF125</t>
        </is>
      </c>
      <c r="B686" t="inlineStr">
        <is>
          <t>BAF 125</t>
        </is>
      </c>
      <c r="C686" t="inlineStr">
        <is>
          <t>Kayites</t>
        </is>
      </c>
      <c r="D686" t="inlineStr">
        <is>
          <t>FM - KAYITES</t>
        </is>
      </c>
      <c r="E686" s="1" t="n">
        <v>95.86</v>
      </c>
      <c r="F686" t="n">
        <v>1</v>
      </c>
      <c r="G686" t="n">
        <v>0</v>
      </c>
      <c r="H686" t="n">
        <v>5</v>
      </c>
      <c r="I686" t="n">
        <v>0</v>
      </c>
      <c r="J686" t="n">
        <v>0</v>
      </c>
      <c r="K686">
        <f>IF(H686-I686-J686&gt;0,H686-I686-J686,0)</f>
        <v/>
      </c>
      <c r="L686" s="1">
        <f>IFERROR(I686*E686,0)</f>
        <v/>
      </c>
      <c r="M686" s="1">
        <f>IFERROR(K686*E686,0)</f>
        <v/>
      </c>
    </row>
    <row r="687">
      <c r="A687" t="inlineStr">
        <is>
          <t>BAF150</t>
        </is>
      </c>
      <c r="B687" t="inlineStr">
        <is>
          <t>BAF 150</t>
        </is>
      </c>
      <c r="C687" t="inlineStr">
        <is>
          <t>Kayites</t>
        </is>
      </c>
      <c r="D687" t="inlineStr">
        <is>
          <t>FM - KAYITES</t>
        </is>
      </c>
      <c r="E687" s="1" t="n">
        <v>137.02</v>
      </c>
      <c r="F687" t="n">
        <v>2</v>
      </c>
      <c r="G687" t="n">
        <v>0</v>
      </c>
      <c r="H687" t="n">
        <v>10</v>
      </c>
      <c r="I687" t="n">
        <v>0</v>
      </c>
      <c r="J687" t="n">
        <v>0</v>
      </c>
      <c r="K687">
        <f>IF(H687-I687-J687&gt;0,H687-I687-J687,0)</f>
        <v/>
      </c>
      <c r="L687" s="1">
        <f>IFERROR(I687*E687,0)</f>
        <v/>
      </c>
      <c r="M687" s="1">
        <f>IFERROR(K687*E687,0)</f>
        <v/>
      </c>
    </row>
    <row r="688">
      <c r="A688" t="inlineStr">
        <is>
          <t>BBC19X10/14T</t>
        </is>
      </c>
      <c r="B688" t="inlineStr">
        <is>
          <t>BANDSAW BIMETAL M42 19x10/14T (2.480x1)</t>
        </is>
      </c>
      <c r="C688" t="inlineStr">
        <is>
          <t>SPARES 2000 CC t/a SHARP-RITE</t>
        </is>
      </c>
      <c r="D688" t="inlineStr"/>
      <c r="E688" s="1" t="n">
        <v>210</v>
      </c>
      <c r="F688" t="n">
        <v>1</v>
      </c>
      <c r="G688" t="n">
        <v>0</v>
      </c>
      <c r="H688" t="n">
        <v>2</v>
      </c>
      <c r="I688" t="n">
        <v>0</v>
      </c>
      <c r="J688" t="n">
        <v>0</v>
      </c>
      <c r="K688">
        <f>IF(H688-I688-J688&gt;0,H688-I688-J688,0)</f>
        <v/>
      </c>
      <c r="L688" s="1">
        <f>IFERROR(I688*E688,0)</f>
        <v/>
      </c>
      <c r="M688" s="1">
        <f>IFERROR(K688*E688,0)</f>
        <v/>
      </c>
    </row>
    <row r="689">
      <c r="A689" t="inlineStr">
        <is>
          <t>BBC19X10/14T-2</t>
        </is>
      </c>
      <c r="B689" t="inlineStr">
        <is>
          <t>BANDSAW BIMETAL M42 19x10/14T (3.050x1)</t>
        </is>
      </c>
      <c r="C689" t="inlineStr">
        <is>
          <t>SPARES 2000 CC t/a SHARP-RITE</t>
        </is>
      </c>
      <c r="D689" t="inlineStr"/>
      <c r="E689" s="1" t="n">
        <v>210</v>
      </c>
      <c r="F689" t="n">
        <v>3</v>
      </c>
      <c r="G689" t="n">
        <v>0</v>
      </c>
      <c r="H689" t="n">
        <v>10</v>
      </c>
      <c r="I689" t="n">
        <v>0</v>
      </c>
      <c r="J689" t="n">
        <v>0</v>
      </c>
      <c r="K689">
        <f>IF(H689-I689-J689&gt;0,H689-I689-J689,0)</f>
        <v/>
      </c>
      <c r="L689" s="1">
        <f>IFERROR(I689*E689,0)</f>
        <v/>
      </c>
      <c r="M689" s="1">
        <f>IFERROR(K689*E689,0)</f>
        <v/>
      </c>
    </row>
    <row r="690">
      <c r="A690" t="inlineStr">
        <is>
          <t>BBF19X10/14DOM</t>
        </is>
      </c>
      <c r="B690" t="inlineStr">
        <is>
          <t>BANDSAW BIMETAL M42 19x10/14T (2.480x1)</t>
        </is>
      </c>
      <c r="C690" t="inlineStr">
        <is>
          <t>SPARES 2000 CC t/a SHARP-RITE</t>
        </is>
      </c>
      <c r="D690" t="inlineStr"/>
      <c r="E690" s="1" t="n">
        <v>210</v>
      </c>
      <c r="F690" t="n">
        <v>2</v>
      </c>
      <c r="G690" t="n">
        <v>0</v>
      </c>
      <c r="H690" t="n">
        <v>12</v>
      </c>
      <c r="I690" t="n">
        <v>0</v>
      </c>
      <c r="J690" t="n">
        <v>0</v>
      </c>
      <c r="K690">
        <f>IF(H690-I690-J690&gt;0,H690-I690-J690,0)</f>
        <v/>
      </c>
      <c r="L690" s="1">
        <f>IFERROR(I690*E690,0)</f>
        <v/>
      </c>
      <c r="M690" s="1">
        <f>IFERROR(K690*E690,0)</f>
        <v/>
      </c>
    </row>
    <row r="691">
      <c r="A691" t="inlineStr">
        <is>
          <t>BBF27X8/12T</t>
        </is>
      </c>
      <c r="B691" t="inlineStr">
        <is>
          <t>BANDSAW BIMETAL M42 8/12T (2.480X1)</t>
        </is>
      </c>
      <c r="C691" t="inlineStr">
        <is>
          <t>SPARES 2000 CC t/a SHARP-RITE</t>
        </is>
      </c>
      <c r="D691" t="inlineStr"/>
      <c r="E691" s="1" t="n">
        <v>219.14</v>
      </c>
      <c r="F691" t="n">
        <v>2</v>
      </c>
      <c r="G691" t="n">
        <v>0</v>
      </c>
      <c r="H691" t="n">
        <v>7</v>
      </c>
      <c r="I691" t="n">
        <v>0</v>
      </c>
      <c r="J691" t="n">
        <v>0</v>
      </c>
      <c r="K691">
        <f>IF(H691-I691-J691&gt;0,H691-I691-J691,0)</f>
        <v/>
      </c>
      <c r="L691" s="1">
        <f>IFERROR(I691*E691,0)</f>
        <v/>
      </c>
      <c r="M691" s="1">
        <f>IFERROR(K691*E691,0)</f>
        <v/>
      </c>
    </row>
    <row r="692">
      <c r="A692" t="inlineStr">
        <is>
          <t>BCC 15</t>
        </is>
      </c>
      <c r="B692" t="inlineStr">
        <is>
          <t>BCC 15/0.75kW arrangement 1A class 2 c/w 4kW 4Pole 525v fan Spped 3057rpm</t>
        </is>
      </c>
      <c r="C692" t="inlineStr"/>
      <c r="D692" t="inlineStr"/>
      <c r="E692" s="1" t="n">
        <v>0</v>
      </c>
      <c r="F692" t="n">
        <v>1</v>
      </c>
      <c r="G692" t="n">
        <v>0</v>
      </c>
      <c r="H692" t="n">
        <v>2</v>
      </c>
      <c r="I692" t="n">
        <v>0</v>
      </c>
      <c r="J692" t="n">
        <v>0</v>
      </c>
      <c r="K692">
        <f>IF(H692-I692-J692&gt;0,H692-I692-J692,0)</f>
        <v/>
      </c>
      <c r="L692" s="1">
        <f>IFERROR(I692*E692,0)</f>
        <v/>
      </c>
      <c r="M692" s="1">
        <f>IFERROR(K692*E692,0)</f>
        <v/>
      </c>
    </row>
    <row r="693">
      <c r="A693" t="inlineStr">
        <is>
          <t>BCC 21/01 Class1 (2A) Belt Driven</t>
        </is>
      </c>
      <c r="B693" t="inlineStr">
        <is>
          <t>c/w 5.5 kW 4 Pole 380V (IP66)</t>
        </is>
      </c>
      <c r="C693" t="inlineStr">
        <is>
          <t>CFW Fans (Pty) Ltd</t>
        </is>
      </c>
      <c r="D693" t="inlineStr"/>
      <c r="E693" s="1" t="n">
        <v>43708</v>
      </c>
      <c r="F693" t="n">
        <v>1</v>
      </c>
      <c r="G693" t="n">
        <v>0</v>
      </c>
      <c r="H693" t="n">
        <v>3</v>
      </c>
      <c r="I693" t="n">
        <v>0</v>
      </c>
      <c r="J693" t="n">
        <v>0</v>
      </c>
      <c r="K693">
        <f>IF(H693-I693-J693&gt;0,H693-I693-J693,0)</f>
        <v/>
      </c>
      <c r="L693" s="1">
        <f>IFERROR(I693*E693,0)</f>
        <v/>
      </c>
      <c r="M693" s="1">
        <f>IFERROR(K693*E693,0)</f>
        <v/>
      </c>
    </row>
    <row r="694">
      <c r="A694" t="inlineStr">
        <is>
          <t>BCC 39</t>
        </is>
      </c>
      <c r="B694" t="inlineStr">
        <is>
          <t>BCC 39/0.99 SISW c/w 75Kw 4P 400V Motor</t>
        </is>
      </c>
      <c r="C694" t="inlineStr">
        <is>
          <t>CFW Fans (Pty) Ltd</t>
        </is>
      </c>
      <c r="D694" t="inlineStr"/>
      <c r="E694" s="1" t="n">
        <v>212333</v>
      </c>
      <c r="F694" t="n">
        <v>1</v>
      </c>
      <c r="G694" t="n">
        <v>0</v>
      </c>
      <c r="H694" t="n">
        <v>3</v>
      </c>
      <c r="I694" t="n">
        <v>0</v>
      </c>
      <c r="J694" t="n">
        <v>0</v>
      </c>
      <c r="K694">
        <f>IF(H694-I694-J694&gt;0,H694-I694-J694,0)</f>
        <v/>
      </c>
      <c r="L694" s="1">
        <f>IFERROR(I694*E694,0)</f>
        <v/>
      </c>
      <c r="M694" s="1">
        <f>IFERROR(K694*E694,0)</f>
        <v/>
      </c>
    </row>
    <row r="695">
      <c r="A695" t="inlineStr">
        <is>
          <t>BCC-2 500/1.0</t>
        </is>
      </c>
      <c r="B695" t="inlineStr">
        <is>
          <t>4A c/w 7.5 kW 4 Pole 380V</t>
        </is>
      </c>
      <c r="C695" t="inlineStr">
        <is>
          <t>Centrifab (Pty) Ltd</t>
        </is>
      </c>
      <c r="D695" t="inlineStr"/>
      <c r="E695" s="1" t="n">
        <v>31900</v>
      </c>
      <c r="F695" t="n">
        <v>1</v>
      </c>
      <c r="G695" t="n">
        <v>0</v>
      </c>
      <c r="H695" t="n">
        <v>5</v>
      </c>
      <c r="I695" t="n">
        <v>0</v>
      </c>
      <c r="J695" t="n">
        <v>0</v>
      </c>
      <c r="K695">
        <f>IF(H695-I695-J695&gt;0,H695-I695-J695,0)</f>
        <v/>
      </c>
      <c r="L695" s="1">
        <f>IFERROR(I695*E695,0)</f>
        <v/>
      </c>
      <c r="M695" s="1">
        <f>IFERROR(K695*E695,0)</f>
        <v/>
      </c>
    </row>
    <row r="696">
      <c r="A696" t="inlineStr">
        <is>
          <t>BCC15-J61923</t>
        </is>
      </c>
      <c r="B696" t="inlineStr">
        <is>
          <t>BCC 15/0.75 CL2 Ar 1A c/w 4.0kw 4P 525V - J61923</t>
        </is>
      </c>
      <c r="C696" t="inlineStr">
        <is>
          <t>Centrifab (Pty) Ltd</t>
        </is>
      </c>
      <c r="D696" t="inlineStr"/>
      <c r="E696" s="1" t="n">
        <v>53900</v>
      </c>
      <c r="F696" t="n">
        <v>1</v>
      </c>
      <c r="G696" t="n">
        <v>0</v>
      </c>
      <c r="H696" t="n">
        <v>3</v>
      </c>
      <c r="I696" t="n">
        <v>0</v>
      </c>
      <c r="J696" t="n">
        <v>0</v>
      </c>
      <c r="K696">
        <f>IF(H696-I696-J696&gt;0,H696-I696-J696,0)</f>
        <v/>
      </c>
      <c r="L696" s="1">
        <f>IFERROR(I696*E696,0)</f>
        <v/>
      </c>
      <c r="M696" s="1">
        <f>IFERROR(K696*E696,0)</f>
        <v/>
      </c>
    </row>
    <row r="697">
      <c r="A697" t="inlineStr">
        <is>
          <t>BDB-280 CM</t>
        </is>
      </c>
      <c r="B697" t="inlineStr">
        <is>
          <t>BCC DIDW CENTRIFUGAL FAN</t>
        </is>
      </c>
      <c r="C697" t="inlineStr">
        <is>
          <t>Air Movement Supplies</t>
        </is>
      </c>
      <c r="D697" t="inlineStr"/>
      <c r="E697" s="1" t="n">
        <v>6267</v>
      </c>
      <c r="F697" t="n">
        <v>1</v>
      </c>
      <c r="G697" t="n">
        <v>0</v>
      </c>
      <c r="H697" t="n">
        <v>3</v>
      </c>
      <c r="I697" t="n">
        <v>0</v>
      </c>
      <c r="J697" t="n">
        <v>0</v>
      </c>
      <c r="K697">
        <f>IF(H697-I697-J697&gt;0,H697-I697-J697,0)</f>
        <v/>
      </c>
      <c r="L697" s="1">
        <f>IFERROR(I697*E697,0)</f>
        <v/>
      </c>
      <c r="M697" s="1">
        <f>IFERROR(K697*E697,0)</f>
        <v/>
      </c>
    </row>
    <row r="698">
      <c r="A698" t="inlineStr">
        <is>
          <t>BF50L1.51HS</t>
        </is>
      </c>
      <c r="B698" t="inlineStr">
        <is>
          <t>Box fan 1250mm LOUV 220v 01.50kW S/S</t>
        </is>
      </c>
      <c r="C698" t="inlineStr">
        <is>
          <t>Luft Industries Natal (Pty) Ltd</t>
        </is>
      </c>
      <c r="D698" t="inlineStr"/>
      <c r="E698" s="1" t="n">
        <v>3636.07</v>
      </c>
      <c r="F698" t="n">
        <v>4</v>
      </c>
      <c r="G698" t="n">
        <v>0</v>
      </c>
      <c r="H698" t="n">
        <v>18</v>
      </c>
      <c r="I698" t="n">
        <v>0</v>
      </c>
      <c r="J698" t="n">
        <v>0</v>
      </c>
      <c r="K698">
        <f>IF(H698-I698-J698&gt;0,H698-I698-J698,0)</f>
        <v/>
      </c>
      <c r="L698" s="1">
        <f>IFERROR(I698*E698,0)</f>
        <v/>
      </c>
      <c r="M698" s="1">
        <f>IFERROR(K698*E698,0)</f>
        <v/>
      </c>
    </row>
    <row r="699">
      <c r="A699" t="inlineStr">
        <is>
          <t>BP01</t>
        </is>
      </c>
      <c r="B699" t="inlineStr">
        <is>
          <t>PLASTIC BUCKLES 12MM - (1000)</t>
        </is>
      </c>
      <c r="C699" t="inlineStr">
        <is>
          <t>Advantage Air Africa Pty Ltd</t>
        </is>
      </c>
      <c r="D699" t="inlineStr"/>
      <c r="E699" s="1" t="n">
        <v>230.1</v>
      </c>
      <c r="F699" t="n">
        <v>1</v>
      </c>
      <c r="G699" t="n">
        <v>0</v>
      </c>
      <c r="H699" t="n">
        <v>2</v>
      </c>
      <c r="I699" t="n">
        <v>0</v>
      </c>
      <c r="J699" t="n">
        <v>0</v>
      </c>
      <c r="K699">
        <f>IF(H699-I699-J699&gt;0,H699-I699-J699,0)</f>
        <v/>
      </c>
      <c r="L699" s="1">
        <f>IFERROR(I699*E699,0)</f>
        <v/>
      </c>
      <c r="M699" s="1">
        <f>IFERROR(K699*E699,0)</f>
        <v/>
      </c>
    </row>
    <row r="700">
      <c r="A700" t="inlineStr">
        <is>
          <t>Balance Impeller</t>
        </is>
      </c>
      <c r="B700" t="inlineStr">
        <is>
          <t>Impeller Balancing 2.5kg 4p</t>
        </is>
      </c>
      <c r="C700" t="inlineStr">
        <is>
          <t>ISO BALANCING</t>
        </is>
      </c>
      <c r="D700" t="inlineStr"/>
      <c r="E700" s="1" t="n">
        <v>643.45</v>
      </c>
      <c r="F700" t="n">
        <v>2</v>
      </c>
      <c r="G700" t="n">
        <v>0</v>
      </c>
      <c r="H700" t="n">
        <v>9</v>
      </c>
      <c r="I700" t="n">
        <v>0</v>
      </c>
      <c r="J700" t="n">
        <v>0</v>
      </c>
      <c r="K700">
        <f>IF(H700-I700-J700&gt;0,H700-I700-J700,0)</f>
        <v/>
      </c>
      <c r="L700" s="1">
        <f>IFERROR(I700*E700,0)</f>
        <v/>
      </c>
      <c r="M700" s="1">
        <f>IFERROR(K700*E700,0)</f>
        <v/>
      </c>
    </row>
    <row r="701">
      <c r="A701" t="inlineStr">
        <is>
          <t>Bellax 630</t>
        </is>
      </c>
      <c r="B701" t="inlineStr">
        <is>
          <t>Bellax 630 20.D 8- c/w1.5kw 4P 220V</t>
        </is>
      </c>
      <c r="C701" t="inlineStr">
        <is>
          <t>Centrifab (Pty) Ltd</t>
        </is>
      </c>
      <c r="D701" t="inlineStr"/>
      <c r="E701" s="1" t="n">
        <v>7868</v>
      </c>
      <c r="F701" t="n">
        <v>1</v>
      </c>
      <c r="G701" t="n">
        <v>0</v>
      </c>
      <c r="H701" t="n">
        <v>3</v>
      </c>
      <c r="I701" t="n">
        <v>0</v>
      </c>
      <c r="J701" t="n">
        <v>0</v>
      </c>
      <c r="K701">
        <f>IF(H701-I701-J701&gt;0,H701-I701-J701,0)</f>
        <v/>
      </c>
      <c r="L701" s="1">
        <f>IFERROR(I701*E701,0)</f>
        <v/>
      </c>
      <c r="M701" s="1">
        <f>IFERROR(K701*E701,0)</f>
        <v/>
      </c>
    </row>
    <row r="702">
      <c r="A702" t="inlineStr">
        <is>
          <t>Bellax 800</t>
        </is>
      </c>
      <c r="B702" t="inlineStr">
        <is>
          <t>Bellax 800 32-E-8 c/w 1.5kW 6Pole Motor</t>
        </is>
      </c>
      <c r="C702" t="inlineStr">
        <is>
          <t>Centrifab (Pty) Ltd</t>
        </is>
      </c>
      <c r="D702" t="inlineStr"/>
      <c r="E702" s="1" t="n">
        <v>16392</v>
      </c>
      <c r="F702" t="n">
        <v>1</v>
      </c>
      <c r="G702" t="n">
        <v>0</v>
      </c>
      <c r="H702" t="n">
        <v>3</v>
      </c>
      <c r="I702" t="n">
        <v>0</v>
      </c>
      <c r="J702" t="n">
        <v>0</v>
      </c>
      <c r="K702">
        <f>IF(H702-I702-J702&gt;0,H702-I702-J702,0)</f>
        <v/>
      </c>
      <c r="L702" s="1">
        <f>IFERROR(I702*E702,0)</f>
        <v/>
      </c>
      <c r="M702" s="1">
        <f>IFERROR(K702*E702,0)</f>
        <v/>
      </c>
    </row>
    <row r="703">
      <c r="A703" t="inlineStr">
        <is>
          <t>Bellax500</t>
        </is>
      </c>
      <c r="B703" t="inlineStr">
        <is>
          <t>Bellax 500 - 20 - C - 8 c/w 2,2KW 2P 220V</t>
        </is>
      </c>
      <c r="C703" t="inlineStr">
        <is>
          <t>Air Speration</t>
        </is>
      </c>
      <c r="D703" t="inlineStr"/>
      <c r="E703" s="1" t="n">
        <v>8453.75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  <c r="K703">
        <f>IF(H703-I703-J703&gt;0,H703-I703-J703,0)</f>
        <v/>
      </c>
      <c r="L703" s="1">
        <f>IFERROR(I703*E703,0)</f>
        <v/>
      </c>
      <c r="M703" s="1">
        <f>IFERROR(K703*E703,0)</f>
        <v/>
      </c>
    </row>
    <row r="704">
      <c r="A704" t="inlineStr">
        <is>
          <t>Bend System</t>
        </is>
      </c>
      <c r="B704" t="inlineStr">
        <is>
          <t>MULTI BEND SYSTEM 50 R</t>
        </is>
      </c>
      <c r="C704" t="inlineStr">
        <is>
          <t>Strongman Metal Tools CC</t>
        </is>
      </c>
      <c r="D704" t="inlineStr"/>
      <c r="E704" s="1" t="n">
        <v>9999</v>
      </c>
      <c r="F704" t="n">
        <v>1</v>
      </c>
      <c r="G704" t="n">
        <v>0</v>
      </c>
      <c r="H704" t="n">
        <v>2</v>
      </c>
      <c r="I704" t="n">
        <v>0</v>
      </c>
      <c r="J704" t="n">
        <v>0</v>
      </c>
      <c r="K704">
        <f>IF(H704-I704-J704&gt;0,H704-I704-J704,0)</f>
        <v/>
      </c>
      <c r="L704" s="1">
        <f>IFERROR(I704*E704,0)</f>
        <v/>
      </c>
      <c r="M704" s="1">
        <f>IFERROR(K704*E704,0)</f>
        <v/>
      </c>
    </row>
    <row r="705">
      <c r="A705" t="inlineStr">
        <is>
          <t>Bending</t>
        </is>
      </c>
      <c r="B705" t="inlineStr">
        <is>
          <t>in house bending</t>
        </is>
      </c>
      <c r="C705" t="inlineStr">
        <is>
          <t>Kart Shop TA Ultimate Laser Cutting</t>
        </is>
      </c>
      <c r="D705" t="inlineStr"/>
      <c r="E705" s="1" t="n">
        <v>5.6</v>
      </c>
      <c r="F705" t="n">
        <v>72</v>
      </c>
      <c r="G705" t="n">
        <v>0</v>
      </c>
      <c r="H705" t="n">
        <v>360</v>
      </c>
      <c r="I705" t="n">
        <v>0</v>
      </c>
      <c r="J705" t="n">
        <v>0</v>
      </c>
      <c r="K705">
        <f>IF(H705-I705-J705&gt;0,H705-I705-J705,0)</f>
        <v/>
      </c>
      <c r="L705" s="1">
        <f>IFERROR(I705*E705,0)</f>
        <v/>
      </c>
      <c r="M705" s="1">
        <f>IFERROR(K705*E705,0)</f>
        <v/>
      </c>
    </row>
    <row r="706">
      <c r="A706" t="inlineStr">
        <is>
          <t>C1000X500FM</t>
        </is>
      </c>
      <c r="B706" t="inlineStr">
        <is>
          <t>Casing Size 1000diam x 500Long</t>
        </is>
      </c>
      <c r="C706" t="inlineStr">
        <is>
          <t>GALVAGLOW (PTY) LTD</t>
        </is>
      </c>
      <c r="D706" t="inlineStr">
        <is>
          <t>FM - FABRICATION</t>
        </is>
      </c>
      <c r="E706" s="1" t="n">
        <v>0</v>
      </c>
      <c r="F706" t="n">
        <v>1</v>
      </c>
      <c r="G706" t="n">
        <v>0</v>
      </c>
      <c r="H706" t="n">
        <v>2</v>
      </c>
      <c r="I706" t="n">
        <v>0</v>
      </c>
      <c r="J706" t="n">
        <v>0</v>
      </c>
      <c r="K706">
        <f>IF(H706-I706-J706&gt;0,H706-I706-J706,0)</f>
        <v/>
      </c>
      <c r="L706" s="1">
        <f>IFERROR(I706*E706,0)</f>
        <v/>
      </c>
      <c r="M706" s="1">
        <f>IFERROR(K706*E706,0)</f>
        <v/>
      </c>
    </row>
    <row r="707">
      <c r="A707" t="inlineStr">
        <is>
          <t>C315x315</t>
        </is>
      </c>
      <c r="B707" t="inlineStr">
        <is>
          <t>Casing size 315diamx315</t>
        </is>
      </c>
      <c r="C707" t="inlineStr">
        <is>
          <t>GALVAGLOW (PTY) LTD</t>
        </is>
      </c>
      <c r="D707" t="inlineStr">
        <is>
          <t>FM - CASING</t>
        </is>
      </c>
      <c r="E707" s="1" t="n">
        <v>144</v>
      </c>
      <c r="F707" t="n">
        <v>1</v>
      </c>
      <c r="G707" t="n">
        <v>0</v>
      </c>
      <c r="H707" t="n">
        <v>2</v>
      </c>
      <c r="I707" t="n">
        <v>0</v>
      </c>
      <c r="J707" t="n">
        <v>0</v>
      </c>
      <c r="K707">
        <f>IF(H707-I707-J707&gt;0,H707-I707-J707,0)</f>
        <v/>
      </c>
      <c r="L707" s="1">
        <f>IFERROR(I707*E707,0)</f>
        <v/>
      </c>
      <c r="M707" s="1">
        <f>IFERROR(K707*E707,0)</f>
        <v/>
      </c>
    </row>
    <row r="708">
      <c r="A708" t="inlineStr">
        <is>
          <t>C315x315UG</t>
        </is>
      </c>
      <c r="B708" t="inlineStr">
        <is>
          <t>Casing size 315diamx315-Ungalvanised</t>
        </is>
      </c>
      <c r="C708" t="inlineStr">
        <is>
          <t>TS TELEKI T/A VENT SYSTEM AND PROJECTS</t>
        </is>
      </c>
      <c r="D708" t="inlineStr">
        <is>
          <t>CASING</t>
        </is>
      </c>
      <c r="E708" s="1" t="n">
        <v>594.72</v>
      </c>
      <c r="F708" t="n">
        <v>3</v>
      </c>
      <c r="G708" t="n">
        <v>0</v>
      </c>
      <c r="H708" t="n">
        <v>15</v>
      </c>
      <c r="I708" t="n">
        <v>0</v>
      </c>
      <c r="J708" t="n">
        <v>0</v>
      </c>
      <c r="K708">
        <f>IF(H708-I708-J708&gt;0,H708-I708-J708,0)</f>
        <v/>
      </c>
      <c r="L708" s="1">
        <f>IFERROR(I708*E708,0)</f>
        <v/>
      </c>
      <c r="M708" s="1">
        <f>IFERROR(K708*E708,0)</f>
        <v/>
      </c>
    </row>
    <row r="709">
      <c r="A709" t="inlineStr">
        <is>
          <t>C400x400</t>
        </is>
      </c>
      <c r="B709" t="inlineStr">
        <is>
          <t>Casing Size 400diamx400</t>
        </is>
      </c>
      <c r="C709" t="inlineStr">
        <is>
          <t>GALVAGLOW (PTY) LTD</t>
        </is>
      </c>
      <c r="D709" t="inlineStr">
        <is>
          <t>FM - CASING</t>
        </is>
      </c>
      <c r="E709" s="1" t="n">
        <v>225.64</v>
      </c>
      <c r="F709" t="n">
        <v>1</v>
      </c>
      <c r="G709" t="n">
        <v>0</v>
      </c>
      <c r="H709" t="n">
        <v>2</v>
      </c>
      <c r="I709" t="n">
        <v>0</v>
      </c>
      <c r="J709" t="n">
        <v>0</v>
      </c>
      <c r="K709">
        <f>IF(H709-I709-J709&gt;0,H709-I709-J709,0)</f>
        <v/>
      </c>
      <c r="L709" s="1">
        <f>IFERROR(I709*E709,0)</f>
        <v/>
      </c>
      <c r="M709" s="1">
        <f>IFERROR(K709*E709,0)</f>
        <v/>
      </c>
    </row>
    <row r="710">
      <c r="A710" t="inlineStr">
        <is>
          <t>C400x400UG</t>
        </is>
      </c>
      <c r="B710" t="inlineStr">
        <is>
          <t>Casing Size 400diamx400-Ungalvanised</t>
        </is>
      </c>
      <c r="C710" t="inlineStr">
        <is>
          <t>TS TELEKI T/A VENT SYSTEM AND PROJECTS</t>
        </is>
      </c>
      <c r="D710" t="inlineStr">
        <is>
          <t>CASING</t>
        </is>
      </c>
      <c r="E710" s="1" t="n">
        <v>849.6</v>
      </c>
      <c r="F710" t="n">
        <v>2</v>
      </c>
      <c r="G710" t="n">
        <v>0</v>
      </c>
      <c r="H710" t="n">
        <v>10</v>
      </c>
      <c r="I710" t="n">
        <v>0</v>
      </c>
      <c r="J710" t="n">
        <v>0</v>
      </c>
      <c r="K710">
        <f>IF(H710-I710-J710&gt;0,H710-I710-J710,0)</f>
        <v/>
      </c>
      <c r="L710" s="1">
        <f>IFERROR(I710*E710,0)</f>
        <v/>
      </c>
      <c r="M710" s="1">
        <f>IFERROR(K710*E710,0)</f>
        <v/>
      </c>
    </row>
    <row r="711">
      <c r="A711" t="inlineStr">
        <is>
          <t>C4324</t>
        </is>
      </c>
      <c r="B711" t="inlineStr">
        <is>
          <t>2.0MX1.5MX3.MM KLINGERSIL C4324</t>
        </is>
      </c>
      <c r="C711" t="inlineStr">
        <is>
          <t>Klinger Mzansi (Pty) Ltd</t>
        </is>
      </c>
      <c r="D711" t="inlineStr"/>
      <c r="E711" s="1" t="n">
        <v>2195.15</v>
      </c>
      <c r="F711" t="n">
        <v>1</v>
      </c>
      <c r="G711" t="n">
        <v>0</v>
      </c>
      <c r="H711" t="n">
        <v>2</v>
      </c>
      <c r="I711" t="n">
        <v>0</v>
      </c>
      <c r="J711" t="n">
        <v>0</v>
      </c>
      <c r="K711">
        <f>IF(H711-I711-J711&gt;0,H711-I711-J711,0)</f>
        <v/>
      </c>
      <c r="L711" s="1">
        <f>IFERROR(I711*E711,0)</f>
        <v/>
      </c>
      <c r="M711" s="1">
        <f>IFERROR(K711*E711,0)</f>
        <v/>
      </c>
    </row>
    <row r="712">
      <c r="A712" t="inlineStr">
        <is>
          <t>C462x470-B</t>
        </is>
      </c>
      <c r="B712" t="inlineStr">
        <is>
          <t>Casing size 462diamx470 Buffalo</t>
        </is>
      </c>
      <c r="C712" t="inlineStr">
        <is>
          <t>GALVAGLOW (PTY) LTD</t>
        </is>
      </c>
      <c r="D712" t="inlineStr">
        <is>
          <t>FM - DONKIN</t>
        </is>
      </c>
      <c r="E712" s="1" t="n">
        <v>0</v>
      </c>
      <c r="F712" t="n">
        <v>1</v>
      </c>
      <c r="G712" t="n">
        <v>0</v>
      </c>
      <c r="H712" t="n">
        <v>5</v>
      </c>
      <c r="I712" t="n">
        <v>0</v>
      </c>
      <c r="J712" t="n">
        <v>0</v>
      </c>
      <c r="K712">
        <f>IF(H712-I712-J712&gt;0,H712-I712-J712,0)</f>
        <v/>
      </c>
      <c r="L712" s="1">
        <f>IFERROR(I712*E712,0)</f>
        <v/>
      </c>
      <c r="M712" s="1">
        <f>IFERROR(K712*E712,0)</f>
        <v/>
      </c>
    </row>
    <row r="713">
      <c r="A713" t="inlineStr">
        <is>
          <t>C462x470UG-B</t>
        </is>
      </c>
      <c r="B713" t="inlineStr">
        <is>
          <t>Casing size 462diamx470 Buffalo-Ungalvanised</t>
        </is>
      </c>
      <c r="C713" t="inlineStr">
        <is>
          <t>TS TELEKI T/A VENT SYSTEM AND PROJECTS</t>
        </is>
      </c>
      <c r="D713" t="inlineStr">
        <is>
          <t>FM - DONKIN</t>
        </is>
      </c>
      <c r="E713" s="1" t="n">
        <v>1491.01</v>
      </c>
      <c r="F713" t="n">
        <v>1</v>
      </c>
      <c r="G713" t="n">
        <v>0</v>
      </c>
      <c r="H713" t="n">
        <v>5</v>
      </c>
      <c r="I713" t="n">
        <v>0</v>
      </c>
      <c r="J713" t="n">
        <v>0</v>
      </c>
      <c r="K713">
        <f>IF(H713-I713-J713&gt;0,H713-I713-J713,0)</f>
        <v/>
      </c>
      <c r="L713" s="1">
        <f>IFERROR(I713*E713,0)</f>
        <v/>
      </c>
      <c r="M713" s="1">
        <f>IFERROR(K713*E713,0)</f>
        <v/>
      </c>
    </row>
    <row r="714">
      <c r="A714" t="inlineStr">
        <is>
          <t>C500x400</t>
        </is>
      </c>
      <c r="B714" t="inlineStr">
        <is>
          <t>Casing Size 500diamx400</t>
        </is>
      </c>
      <c r="C714" t="inlineStr">
        <is>
          <t>GALVAGLOW (PTY) LTD</t>
        </is>
      </c>
      <c r="D714" t="inlineStr">
        <is>
          <t>FM - CASING</t>
        </is>
      </c>
      <c r="E714" s="1" t="n">
        <v>124.5</v>
      </c>
      <c r="F714" t="n">
        <v>1</v>
      </c>
      <c r="G714" t="n">
        <v>0</v>
      </c>
      <c r="H714" t="n">
        <v>2</v>
      </c>
      <c r="I714" t="n">
        <v>0</v>
      </c>
      <c r="J714" t="n">
        <v>0</v>
      </c>
      <c r="K714">
        <f>IF(H714-I714-J714&gt;0,H714-I714-J714,0)</f>
        <v/>
      </c>
      <c r="L714" s="1">
        <f>IFERROR(I714*E714,0)</f>
        <v/>
      </c>
      <c r="M714" s="1">
        <f>IFERROR(K714*E714,0)</f>
        <v/>
      </c>
    </row>
    <row r="715">
      <c r="A715" t="inlineStr">
        <is>
          <t>C500x400UG</t>
        </is>
      </c>
      <c r="B715" t="inlineStr">
        <is>
          <t>Casing Size 500diamx400-Ungalvanised</t>
        </is>
      </c>
      <c r="C715" t="inlineStr">
        <is>
          <t>TS TELEKI T/A VENT SYSTEM AND PROJECTS</t>
        </is>
      </c>
      <c r="D715" t="inlineStr">
        <is>
          <t>CASING</t>
        </is>
      </c>
      <c r="E715" s="1" t="n">
        <v>1019.75</v>
      </c>
      <c r="F715" t="n">
        <v>3</v>
      </c>
      <c r="G715" t="n">
        <v>0</v>
      </c>
      <c r="H715" t="n">
        <v>15</v>
      </c>
      <c r="I715" t="n">
        <v>0</v>
      </c>
      <c r="J715" t="n">
        <v>0</v>
      </c>
      <c r="K715">
        <f>IF(H715-I715-J715&gt;0,H715-I715-J715,0)</f>
        <v/>
      </c>
      <c r="L715" s="1">
        <f>IFERROR(I715*E715,0)</f>
        <v/>
      </c>
      <c r="M715" s="1">
        <f>IFERROR(K715*E715,0)</f>
        <v/>
      </c>
    </row>
    <row r="716">
      <c r="A716" t="inlineStr">
        <is>
          <t>C560x400</t>
        </is>
      </c>
      <c r="B716" t="inlineStr">
        <is>
          <t>Casing size 560diamx400</t>
        </is>
      </c>
      <c r="C716" t="inlineStr">
        <is>
          <t>GALVAGLOW (PTY) LTD</t>
        </is>
      </c>
      <c r="D716" t="inlineStr">
        <is>
          <t>FM - CASING</t>
        </is>
      </c>
      <c r="E716" s="1" t="n">
        <v>0</v>
      </c>
      <c r="F716" t="n">
        <v>2</v>
      </c>
      <c r="G716" t="n">
        <v>0</v>
      </c>
      <c r="H716" t="n">
        <v>10</v>
      </c>
      <c r="I716" t="n">
        <v>0</v>
      </c>
      <c r="J716" t="n">
        <v>0</v>
      </c>
      <c r="K716">
        <f>IF(H716-I716-J716&gt;0,H716-I716-J716,0)</f>
        <v/>
      </c>
      <c r="L716" s="1">
        <f>IFERROR(I716*E716,0)</f>
        <v/>
      </c>
      <c r="M716" s="1">
        <f>IFERROR(K716*E716,0)</f>
        <v/>
      </c>
    </row>
    <row r="717">
      <c r="A717" t="inlineStr">
        <is>
          <t>C560x400UG</t>
        </is>
      </c>
      <c r="B717" t="inlineStr">
        <is>
          <t>Casing size 560diamx400-Ungalvanised</t>
        </is>
      </c>
      <c r="C717" t="inlineStr">
        <is>
          <t>TS TELEKI T/A VENT SYSTEM AND PROJECTS</t>
        </is>
      </c>
      <c r="D717" t="inlineStr">
        <is>
          <t>CASING</t>
        </is>
      </c>
      <c r="E717" s="1" t="n">
        <v>1180.84</v>
      </c>
      <c r="F717" t="n">
        <v>1</v>
      </c>
      <c r="G717" t="n">
        <v>0</v>
      </c>
      <c r="H717" t="n">
        <v>5</v>
      </c>
      <c r="I717" t="n">
        <v>0</v>
      </c>
      <c r="J717" t="n">
        <v>0</v>
      </c>
      <c r="K717">
        <f>IF(H717-I717-J717&gt;0,H717-I717-J717,0)</f>
        <v/>
      </c>
      <c r="L717" s="1">
        <f>IFERROR(I717*E717,0)</f>
        <v/>
      </c>
      <c r="M717" s="1">
        <f>IFERROR(K717*E717,0)</f>
        <v/>
      </c>
    </row>
    <row r="718">
      <c r="A718" t="inlineStr">
        <is>
          <t>C560x500</t>
        </is>
      </c>
      <c r="B718" t="inlineStr">
        <is>
          <t>Casing size 560diamx500</t>
        </is>
      </c>
      <c r="C718" t="inlineStr">
        <is>
          <t>CFW Fans (Pty) Ltd</t>
        </is>
      </c>
      <c r="D718" t="inlineStr">
        <is>
          <t>FM - CASING</t>
        </is>
      </c>
      <c r="E718" s="1" t="n">
        <v>1792</v>
      </c>
      <c r="F718" t="n">
        <v>1</v>
      </c>
      <c r="G718" t="n">
        <v>0</v>
      </c>
      <c r="H718" t="n">
        <v>3</v>
      </c>
      <c r="I718" t="n">
        <v>0</v>
      </c>
      <c r="J718" t="n">
        <v>0</v>
      </c>
      <c r="K718">
        <f>IF(H718-I718-J718&gt;0,H718-I718-J718,0)</f>
        <v/>
      </c>
      <c r="L718" s="1">
        <f>IFERROR(I718*E718,0)</f>
        <v/>
      </c>
      <c r="M718" s="1">
        <f>IFERROR(K718*E718,0)</f>
        <v/>
      </c>
    </row>
    <row r="719">
      <c r="A719" t="inlineStr">
        <is>
          <t>C630x400</t>
        </is>
      </c>
      <c r="B719" t="inlineStr">
        <is>
          <t>Casing Size 630diamx400</t>
        </is>
      </c>
      <c r="C719" t="inlineStr">
        <is>
          <t>GALVAGLOW (PTY) LTD</t>
        </is>
      </c>
      <c r="D719" t="inlineStr">
        <is>
          <t>FM - CASING</t>
        </is>
      </c>
      <c r="E719" s="1" t="n">
        <v>0</v>
      </c>
      <c r="F719" t="n">
        <v>2</v>
      </c>
      <c r="G719" t="n">
        <v>0</v>
      </c>
      <c r="H719" t="n">
        <v>12</v>
      </c>
      <c r="I719" t="n">
        <v>0</v>
      </c>
      <c r="J719" t="n">
        <v>0</v>
      </c>
      <c r="K719">
        <f>IF(H719-I719-J719&gt;0,H719-I719-J719,0)</f>
        <v/>
      </c>
      <c r="L719" s="1">
        <f>IFERROR(I719*E719,0)</f>
        <v/>
      </c>
      <c r="M719" s="1">
        <f>IFERROR(K719*E719,0)</f>
        <v/>
      </c>
    </row>
    <row r="720">
      <c r="A720" t="inlineStr">
        <is>
          <t>C630x400UG</t>
        </is>
      </c>
      <c r="B720" t="inlineStr">
        <is>
          <t>Casing Size 630diamx400-Ungalvanised</t>
        </is>
      </c>
      <c r="C720" t="inlineStr">
        <is>
          <t>TS TELEKI T/A VENT SYSTEM AND PROJECTS</t>
        </is>
      </c>
      <c r="D720" t="inlineStr">
        <is>
          <t>CASING</t>
        </is>
      </c>
      <c r="E720" s="1" t="n">
        <v>1402.45</v>
      </c>
      <c r="F720" t="n">
        <v>2</v>
      </c>
      <c r="G720" t="n">
        <v>0</v>
      </c>
      <c r="H720" t="n">
        <v>10</v>
      </c>
      <c r="I720" t="n">
        <v>0</v>
      </c>
      <c r="J720" t="n">
        <v>0</v>
      </c>
      <c r="K720">
        <f>IF(H720-I720-J720&gt;0,H720-I720-J720,0)</f>
        <v/>
      </c>
      <c r="L720" s="1">
        <f>IFERROR(I720*E720,0)</f>
        <v/>
      </c>
      <c r="M720" s="1">
        <f>IFERROR(K720*E720,0)</f>
        <v/>
      </c>
    </row>
    <row r="721">
      <c r="A721" t="inlineStr">
        <is>
          <t>C710x400</t>
        </is>
      </c>
      <c r="B721" t="inlineStr">
        <is>
          <t>Casing Size 710diamx400</t>
        </is>
      </c>
      <c r="C721" t="inlineStr">
        <is>
          <t>GALVAGLOW (PTY) LTD</t>
        </is>
      </c>
      <c r="D721" t="inlineStr">
        <is>
          <t>FM - CASING</t>
        </is>
      </c>
      <c r="E721" s="1" t="n">
        <v>0</v>
      </c>
      <c r="F721" t="n">
        <v>5</v>
      </c>
      <c r="G721" t="n">
        <v>0</v>
      </c>
      <c r="H721" t="n">
        <v>25</v>
      </c>
      <c r="I721" t="n">
        <v>0</v>
      </c>
      <c r="J721" t="n">
        <v>0</v>
      </c>
      <c r="K721">
        <f>IF(H721-I721-J721&gt;0,H721-I721-J721,0)</f>
        <v/>
      </c>
      <c r="L721" s="1">
        <f>IFERROR(I721*E721,0)</f>
        <v/>
      </c>
      <c r="M721" s="1">
        <f>IFERROR(K721*E721,0)</f>
        <v/>
      </c>
    </row>
    <row r="722">
      <c r="A722" t="inlineStr">
        <is>
          <t>C710x400UG</t>
        </is>
      </c>
      <c r="B722" t="inlineStr">
        <is>
          <t>Casing Size 710diamx400-Ungalvanised</t>
        </is>
      </c>
      <c r="C722" t="inlineStr">
        <is>
          <t>TS TELEKI T/A VENT SYSTEM AND PROJECTS</t>
        </is>
      </c>
      <c r="D722" t="inlineStr">
        <is>
          <t>CASING</t>
        </is>
      </c>
      <c r="E722" s="1" t="n">
        <v>1505.57</v>
      </c>
      <c r="F722" t="n">
        <v>2</v>
      </c>
      <c r="G722" t="n">
        <v>0</v>
      </c>
      <c r="H722" t="n">
        <v>10</v>
      </c>
      <c r="I722" t="n">
        <v>0</v>
      </c>
      <c r="J722" t="n">
        <v>0</v>
      </c>
      <c r="K722">
        <f>IF(H722-I722-J722&gt;0,H722-I722-J722,0)</f>
        <v/>
      </c>
      <c r="L722" s="1">
        <f>IFERROR(I722*E722,0)</f>
        <v/>
      </c>
      <c r="M722" s="1">
        <f>IFERROR(K722*E722,0)</f>
        <v/>
      </c>
    </row>
    <row r="723">
      <c r="A723" t="inlineStr">
        <is>
          <t>C800x400</t>
        </is>
      </c>
      <c r="B723" t="inlineStr">
        <is>
          <t>Casing Size 800diamx400</t>
        </is>
      </c>
      <c r="C723" t="inlineStr">
        <is>
          <t>GALVAGLOW (PTY) LTD</t>
        </is>
      </c>
      <c r="D723" t="inlineStr">
        <is>
          <t>FM - CASING</t>
        </is>
      </c>
      <c r="E723" s="1" t="n">
        <v>0</v>
      </c>
      <c r="F723" t="n">
        <v>4</v>
      </c>
      <c r="G723" t="n">
        <v>0</v>
      </c>
      <c r="H723" t="n">
        <v>18</v>
      </c>
      <c r="I723" t="n">
        <v>0</v>
      </c>
      <c r="J723" t="n">
        <v>0</v>
      </c>
      <c r="K723">
        <f>IF(H723-I723-J723&gt;0,H723-I723-J723,0)</f>
        <v/>
      </c>
      <c r="L723" s="1">
        <f>IFERROR(I723*E723,0)</f>
        <v/>
      </c>
      <c r="M723" s="1">
        <f>IFERROR(K723*E723,0)</f>
        <v/>
      </c>
    </row>
    <row r="724">
      <c r="A724" t="inlineStr">
        <is>
          <t>C800x400UG</t>
        </is>
      </c>
      <c r="B724" t="inlineStr">
        <is>
          <t>Casing Size 800diamx400-Ungalvanised</t>
        </is>
      </c>
      <c r="C724" t="inlineStr">
        <is>
          <t>TS TELEKI T/A VENT SYSTEM AND PROJECTS</t>
        </is>
      </c>
      <c r="D724" t="inlineStr">
        <is>
          <t>CASING</t>
        </is>
      </c>
      <c r="E724" s="1" t="n">
        <v>2044.2</v>
      </c>
      <c r="F724" t="n">
        <v>2</v>
      </c>
      <c r="G724" t="n">
        <v>0</v>
      </c>
      <c r="H724" t="n">
        <v>10</v>
      </c>
      <c r="I724" t="n">
        <v>0</v>
      </c>
      <c r="J724" t="n">
        <v>0</v>
      </c>
      <c r="K724">
        <f>IF(H724-I724-J724&gt;0,H724-I724-J724,0)</f>
        <v/>
      </c>
      <c r="L724" s="1">
        <f>IFERROR(I724*E724,0)</f>
        <v/>
      </c>
      <c r="M724" s="1">
        <f>IFERROR(K724*E724,0)</f>
        <v/>
      </c>
    </row>
    <row r="725">
      <c r="A725" t="inlineStr">
        <is>
          <t>C800x500</t>
        </is>
      </c>
      <c r="B725" t="inlineStr">
        <is>
          <t>Casing Size 800diamx500</t>
        </is>
      </c>
      <c r="C725" t="inlineStr">
        <is>
          <t>CFW Fans (Pty) Ltd</t>
        </is>
      </c>
      <c r="D725" t="inlineStr">
        <is>
          <t>FM - CASING</t>
        </is>
      </c>
      <c r="E725" s="1" t="n">
        <v>1095</v>
      </c>
      <c r="F725" t="n">
        <v>1</v>
      </c>
      <c r="G725" t="n">
        <v>0</v>
      </c>
      <c r="H725" t="n">
        <v>3</v>
      </c>
      <c r="I725" t="n">
        <v>0</v>
      </c>
      <c r="J725" t="n">
        <v>0</v>
      </c>
      <c r="K725">
        <f>IF(H725-I725-J725&gt;0,H725-I725-J725,0)</f>
        <v/>
      </c>
      <c r="L725" s="1">
        <f>IFERROR(I725*E725,0)</f>
        <v/>
      </c>
      <c r="M725" s="1">
        <f>IFERROR(K725*E725,0)</f>
        <v/>
      </c>
    </row>
    <row r="726">
      <c r="A726" t="inlineStr">
        <is>
          <t>C800x500FM</t>
        </is>
      </c>
      <c r="B726" t="inlineStr">
        <is>
          <t>Casing Size 800diamx500 Foot Mount</t>
        </is>
      </c>
      <c r="C726" t="inlineStr">
        <is>
          <t>GALVAGLOW (PTY) LTD</t>
        </is>
      </c>
      <c r="D726" t="inlineStr">
        <is>
          <t>CASING</t>
        </is>
      </c>
      <c r="E726" s="1" t="n">
        <v>0</v>
      </c>
      <c r="F726" t="n">
        <v>1</v>
      </c>
      <c r="G726" t="n">
        <v>0</v>
      </c>
      <c r="H726" t="n">
        <v>5</v>
      </c>
      <c r="I726" t="n">
        <v>0</v>
      </c>
      <c r="J726" t="n">
        <v>0</v>
      </c>
      <c r="K726">
        <f>IF(H726-I726-J726&gt;0,H726-I726-J726,0)</f>
        <v/>
      </c>
      <c r="L726" s="1">
        <f>IFERROR(I726*E726,0)</f>
        <v/>
      </c>
      <c r="M726" s="1">
        <f>IFERROR(K726*E726,0)</f>
        <v/>
      </c>
    </row>
    <row r="727">
      <c r="A727" t="inlineStr">
        <is>
          <t>C900x500</t>
        </is>
      </c>
      <c r="B727" t="inlineStr">
        <is>
          <t>Casing Size 900diamx500</t>
        </is>
      </c>
      <c r="C727" t="inlineStr">
        <is>
          <t>GALVAGLOW (PTY) LTD</t>
        </is>
      </c>
      <c r="D727" t="inlineStr">
        <is>
          <t>FM - CASING</t>
        </is>
      </c>
      <c r="E727" s="1" t="n">
        <v>0</v>
      </c>
      <c r="F727" t="n">
        <v>1</v>
      </c>
      <c r="G727" t="n">
        <v>0</v>
      </c>
      <c r="H727" t="n">
        <v>5</v>
      </c>
      <c r="I727" t="n">
        <v>0</v>
      </c>
      <c r="J727" t="n">
        <v>0</v>
      </c>
      <c r="K727">
        <f>IF(H727-I727-J727&gt;0,H727-I727-J727,0)</f>
        <v/>
      </c>
      <c r="L727" s="1">
        <f>IFERROR(I727*E727,0)</f>
        <v/>
      </c>
      <c r="M727" s="1">
        <f>IFERROR(K727*E727,0)</f>
        <v/>
      </c>
    </row>
    <row r="728">
      <c r="A728" t="inlineStr">
        <is>
          <t>C965x740</t>
        </is>
      </c>
      <c r="B728" t="inlineStr">
        <is>
          <t>Casing Size 965diam x 740Long</t>
        </is>
      </c>
      <c r="C728" t="inlineStr">
        <is>
          <t>GALVAGLOW (PTY) LTD</t>
        </is>
      </c>
      <c r="D728" t="inlineStr">
        <is>
          <t>CASING</t>
        </is>
      </c>
      <c r="E728" s="1" t="n">
        <v>0</v>
      </c>
      <c r="F728" t="n">
        <v>1</v>
      </c>
      <c r="G728" t="n">
        <v>0</v>
      </c>
      <c r="H728" t="n">
        <v>5</v>
      </c>
      <c r="I728" t="n">
        <v>0</v>
      </c>
      <c r="J728" t="n">
        <v>0</v>
      </c>
      <c r="K728">
        <f>IF(H728-I728-J728&gt;0,H728-I728-J728,0)</f>
        <v/>
      </c>
      <c r="L728" s="1">
        <f>IFERROR(I728*E728,0)</f>
        <v/>
      </c>
      <c r="M728" s="1">
        <f>IFERROR(K728*E728,0)</f>
        <v/>
      </c>
    </row>
    <row r="729">
      <c r="A729" t="inlineStr">
        <is>
          <t>CA/Line/EC</t>
        </is>
      </c>
      <c r="B729" t="inlineStr">
        <is>
          <t>31 50/60HZ</t>
        </is>
      </c>
      <c r="C729" t="inlineStr"/>
      <c r="D729" t="inlineStr"/>
      <c r="E729" s="1" t="n">
        <v>0</v>
      </c>
      <c r="F729" t="n">
        <v>1</v>
      </c>
      <c r="G729" t="n">
        <v>0</v>
      </c>
      <c r="H729" t="n">
        <v>2</v>
      </c>
      <c r="I729" t="n">
        <v>0</v>
      </c>
      <c r="J729" t="n">
        <v>0</v>
      </c>
      <c r="K729">
        <f>IF(H729-I729-J729&gt;0,H729-I729-J729,0)</f>
        <v/>
      </c>
      <c r="L729" s="1">
        <f>IFERROR(I729*E729,0)</f>
        <v/>
      </c>
      <c r="M729" s="1">
        <f>IFERROR(K729*E729,0)</f>
        <v/>
      </c>
    </row>
    <row r="730">
      <c r="A730" t="inlineStr">
        <is>
          <t>CA4</t>
        </is>
      </c>
      <c r="B730" t="inlineStr">
        <is>
          <t>CA4V - 1' 1/4</t>
        </is>
      </c>
      <c r="C730" t="inlineStr"/>
      <c r="D730" t="inlineStr">
        <is>
          <t>FM - FPZ</t>
        </is>
      </c>
      <c r="E730" s="1" t="n">
        <v>0</v>
      </c>
      <c r="F730" t="n">
        <v>1</v>
      </c>
      <c r="G730" t="n">
        <v>0</v>
      </c>
      <c r="H730" t="n">
        <v>2</v>
      </c>
      <c r="I730" t="n">
        <v>0</v>
      </c>
      <c r="J730" t="n">
        <v>0</v>
      </c>
      <c r="K730">
        <f>IF(H730-I730-J730&gt;0,H730-I730-J730,0)</f>
        <v/>
      </c>
      <c r="L730" s="1">
        <f>IFERROR(I730*E730,0)</f>
        <v/>
      </c>
      <c r="M730" s="1">
        <f>IFERROR(K730*E730,0)</f>
        <v/>
      </c>
    </row>
    <row r="731">
      <c r="A731" t="inlineStr">
        <is>
          <t>CA5</t>
        </is>
      </c>
      <c r="B731" t="inlineStr">
        <is>
          <t>CA5V - 1' 1/2</t>
        </is>
      </c>
      <c r="C731" t="inlineStr"/>
      <c r="D731" t="inlineStr">
        <is>
          <t>FM - FPZ</t>
        </is>
      </c>
      <c r="E731" s="1" t="n">
        <v>0</v>
      </c>
      <c r="F731" t="n">
        <v>1</v>
      </c>
      <c r="G731" t="n">
        <v>0</v>
      </c>
      <c r="H731" t="n">
        <v>2</v>
      </c>
      <c r="I731" t="n">
        <v>0</v>
      </c>
      <c r="J731" t="n">
        <v>0</v>
      </c>
      <c r="K731">
        <f>IF(H731-I731-J731&gt;0,H731-I731-J731,0)</f>
        <v/>
      </c>
      <c r="L731" s="1">
        <f>IFERROR(I731*E731,0)</f>
        <v/>
      </c>
      <c r="M731" s="1">
        <f>IFERROR(K731*E731,0)</f>
        <v/>
      </c>
    </row>
    <row r="732">
      <c r="A732" t="inlineStr">
        <is>
          <t>CA6</t>
        </is>
      </c>
      <c r="B732" t="inlineStr">
        <is>
          <t>CA6V - 2'</t>
        </is>
      </c>
      <c r="C732" t="inlineStr">
        <is>
          <t>Effepizeta</t>
        </is>
      </c>
      <c r="D732" t="inlineStr">
        <is>
          <t>FM - FPZ</t>
        </is>
      </c>
      <c r="E732" s="1" t="n">
        <v>604.23</v>
      </c>
      <c r="F732" t="n">
        <v>6</v>
      </c>
      <c r="G732" t="n">
        <v>0</v>
      </c>
      <c r="H732" t="n">
        <v>12</v>
      </c>
      <c r="I732" t="n">
        <v>0</v>
      </c>
      <c r="J732" t="n">
        <v>0</v>
      </c>
      <c r="K732">
        <f>IF(H732-I732-J732&gt;0,H732-I732-J732,0)</f>
        <v/>
      </c>
      <c r="L732" s="1">
        <f>IFERROR(I732*E732,0)</f>
        <v/>
      </c>
      <c r="M732" s="1">
        <f>IFERROR(K732*E732,0)</f>
        <v/>
      </c>
    </row>
    <row r="733">
      <c r="A733" t="inlineStr">
        <is>
          <t>CA8</t>
        </is>
      </c>
      <c r="B733" t="inlineStr">
        <is>
          <t>CA8 - 3'</t>
        </is>
      </c>
      <c r="C733" t="inlineStr">
        <is>
          <t>Effepizeta</t>
        </is>
      </c>
      <c r="D733" t="inlineStr">
        <is>
          <t>FM - FPZ</t>
        </is>
      </c>
      <c r="E733" s="1" t="n">
        <v>0</v>
      </c>
      <c r="F733" t="n">
        <v>2</v>
      </c>
      <c r="G733" t="n">
        <v>0</v>
      </c>
      <c r="H733" t="n">
        <v>4</v>
      </c>
      <c r="I733" t="n">
        <v>0</v>
      </c>
      <c r="J733" t="n">
        <v>0</v>
      </c>
      <c r="K733">
        <f>IF(H733-I733-J733&gt;0,H733-I733-J733,0)</f>
        <v/>
      </c>
      <c r="L733" s="1">
        <f>IFERROR(I733*E733,0)</f>
        <v/>
      </c>
      <c r="M733" s="1">
        <f>IFERROR(K733*E733,0)</f>
        <v/>
      </c>
    </row>
    <row r="734">
      <c r="A734" t="inlineStr">
        <is>
          <t>CA9</t>
        </is>
      </c>
      <c r="B734" t="inlineStr">
        <is>
          <t>CA9- 4'</t>
        </is>
      </c>
      <c r="C734" t="inlineStr">
        <is>
          <t>Effepizeta</t>
        </is>
      </c>
      <c r="D734" t="inlineStr">
        <is>
          <t>FM - FPZ</t>
        </is>
      </c>
      <c r="E734" s="1" t="n">
        <v>1243.84</v>
      </c>
      <c r="F734" t="n">
        <v>2</v>
      </c>
      <c r="G734" t="n">
        <v>0</v>
      </c>
      <c r="H734" t="n">
        <v>4</v>
      </c>
      <c r="I734" t="n">
        <v>0</v>
      </c>
      <c r="J734" t="n">
        <v>0</v>
      </c>
      <c r="K734">
        <f>IF(H734-I734-J734&gt;0,H734-I734-J734,0)</f>
        <v/>
      </c>
      <c r="L734" s="1">
        <f>IFERROR(I734*E734,0)</f>
        <v/>
      </c>
      <c r="M734" s="1">
        <f>IFERROR(K734*E734,0)</f>
        <v/>
      </c>
    </row>
    <row r="735">
      <c r="A735" t="inlineStr">
        <is>
          <t>CANCOLSPIG150</t>
        </is>
      </c>
      <c r="B735" t="inlineStr">
        <is>
          <t>CANCOLLAR SPIGOT 150 DIA</t>
        </is>
      </c>
      <c r="C735" t="inlineStr">
        <is>
          <t>Advantage Air Africa Pty Ltd</t>
        </is>
      </c>
      <c r="D735" t="inlineStr"/>
      <c r="E735" s="1" t="n">
        <v>111.3</v>
      </c>
      <c r="F735" t="n">
        <v>100</v>
      </c>
      <c r="G735" t="n">
        <v>0</v>
      </c>
      <c r="H735" t="n">
        <v>500</v>
      </c>
      <c r="I735" t="n">
        <v>0</v>
      </c>
      <c r="J735" t="n">
        <v>0</v>
      </c>
      <c r="K735">
        <f>IF(H735-I735-J735&gt;0,H735-I735-J735,0)</f>
        <v/>
      </c>
      <c r="L735" s="1">
        <f>IFERROR(I735*E735,0)</f>
        <v/>
      </c>
      <c r="M735" s="1">
        <f>IFERROR(K735*E735,0)</f>
        <v/>
      </c>
    </row>
    <row r="736">
      <c r="A736" t="inlineStr">
        <is>
          <t>CAP0.14220</t>
        </is>
      </c>
      <c r="B736" t="inlineStr">
        <is>
          <t>New Capacitor suitable for 60hz 0.1kw 1430rpm 230V</t>
        </is>
      </c>
      <c r="C736" t="inlineStr">
        <is>
          <t>Luck and King</t>
        </is>
      </c>
      <c r="D736" t="inlineStr">
        <is>
          <t>FM - LUCK &amp; KING</t>
        </is>
      </c>
      <c r="E736" s="1" t="n">
        <v>285</v>
      </c>
      <c r="F736" t="n">
        <v>1</v>
      </c>
      <c r="G736" t="n">
        <v>0</v>
      </c>
      <c r="H736" t="n">
        <v>2</v>
      </c>
      <c r="I736" t="n">
        <v>0</v>
      </c>
      <c r="J736" t="n">
        <v>0</v>
      </c>
      <c r="K736">
        <f>IF(H736-I736-J736&gt;0,H736-I736-J736,0)</f>
        <v/>
      </c>
      <c r="L736" s="1">
        <f>IFERROR(I736*E736,0)</f>
        <v/>
      </c>
      <c r="M736" s="1">
        <f>IFERROR(K736*E736,0)</f>
        <v/>
      </c>
    </row>
    <row r="737">
      <c r="A737" t="inlineStr">
        <is>
          <t>CCTV</t>
        </is>
      </c>
      <c r="B737" t="inlineStr">
        <is>
          <t>Camera Replacement</t>
        </is>
      </c>
      <c r="C737" t="inlineStr">
        <is>
          <t>AXEGROUP</t>
        </is>
      </c>
      <c r="D737" t="inlineStr"/>
      <c r="E737" s="1" t="n">
        <v>1750</v>
      </c>
      <c r="F737" t="n">
        <v>1</v>
      </c>
      <c r="G737" t="n">
        <v>0</v>
      </c>
      <c r="H737" t="n">
        <v>2</v>
      </c>
      <c r="I737" t="n">
        <v>0</v>
      </c>
      <c r="J737" t="n">
        <v>0</v>
      </c>
      <c r="K737">
        <f>IF(H737-I737-J737&gt;0,H737-I737-J737,0)</f>
        <v/>
      </c>
      <c r="L737" s="1">
        <f>IFERROR(I737*E737,0)</f>
        <v/>
      </c>
      <c r="M737" s="1">
        <f>IFERROR(K737*E737,0)</f>
        <v/>
      </c>
    </row>
    <row r="738">
      <c r="A738" t="inlineStr">
        <is>
          <t>CE 250</t>
        </is>
      </c>
      <c r="B738" t="inlineStr">
        <is>
          <t>CE 250</t>
        </is>
      </c>
      <c r="C738" t="inlineStr">
        <is>
          <t>Luft Industries Natal (Pty) Ltd</t>
        </is>
      </c>
      <c r="D738" t="inlineStr"/>
      <c r="E738" s="1" t="n">
        <v>0</v>
      </c>
      <c r="F738" t="n">
        <v>2</v>
      </c>
      <c r="G738" t="n">
        <v>0</v>
      </c>
      <c r="H738" t="n">
        <v>11</v>
      </c>
      <c r="I738" t="n">
        <v>0</v>
      </c>
      <c r="J738" t="n">
        <v>0</v>
      </c>
      <c r="K738">
        <f>IF(H738-I738-J738&gt;0,H738-I738-J738,0)</f>
        <v/>
      </c>
      <c r="L738" s="1">
        <f>IFERROR(I738*E738,0)</f>
        <v/>
      </c>
      <c r="M738" s="1">
        <f>IFERROR(K738*E738,0)</f>
        <v/>
      </c>
    </row>
    <row r="739">
      <c r="A739" t="inlineStr">
        <is>
          <t>CE200</t>
        </is>
      </c>
      <c r="B739" t="inlineStr">
        <is>
          <t>CE200</t>
        </is>
      </c>
      <c r="C739" t="inlineStr"/>
      <c r="D739" t="inlineStr"/>
      <c r="E739" s="1" t="n">
        <v>0</v>
      </c>
      <c r="F739" t="n">
        <v>1</v>
      </c>
      <c r="G739" t="n">
        <v>0</v>
      </c>
      <c r="H739" t="n">
        <v>2</v>
      </c>
      <c r="I739" t="n">
        <v>0</v>
      </c>
      <c r="J739" t="n">
        <v>0</v>
      </c>
      <c r="K739">
        <f>IF(H739-I739-J739&gt;0,H739-I739-J739,0)</f>
        <v/>
      </c>
      <c r="L739" s="1">
        <f>IFERROR(I739*E739,0)</f>
        <v/>
      </c>
      <c r="M739" s="1">
        <f>IFERROR(K739*E739,0)</f>
        <v/>
      </c>
    </row>
    <row r="740">
      <c r="A740" t="inlineStr">
        <is>
          <t>CF/01</t>
        </is>
      </c>
      <c r="B740" t="inlineStr">
        <is>
          <t>LCF 56 - 1440rpm - 4 Speed 220V</t>
        </is>
      </c>
      <c r="C740" t="inlineStr"/>
      <c r="D740" t="inlineStr"/>
      <c r="E740" s="1" t="n">
        <v>0</v>
      </c>
      <c r="F740" t="n">
        <v>2</v>
      </c>
      <c r="G740" t="n">
        <v>0</v>
      </c>
      <c r="H740" t="n">
        <v>10</v>
      </c>
      <c r="I740" t="n">
        <v>0</v>
      </c>
      <c r="J740" t="n">
        <v>0</v>
      </c>
      <c r="K740">
        <f>IF(H740-I740-J740&gt;0,H740-I740-J740,0)</f>
        <v/>
      </c>
      <c r="L740" s="1">
        <f>IFERROR(I740*E740,0)</f>
        <v/>
      </c>
      <c r="M740" s="1">
        <f>IFERROR(K740*E740,0)</f>
        <v/>
      </c>
    </row>
    <row r="741">
      <c r="A741" t="inlineStr">
        <is>
          <t>CF4</t>
        </is>
      </c>
      <c r="B741" t="inlineStr">
        <is>
          <t>CF4 - 1' 1/4</t>
        </is>
      </c>
      <c r="C741" t="inlineStr"/>
      <c r="D741" t="inlineStr">
        <is>
          <t>FM - FPZ</t>
        </is>
      </c>
      <c r="E741" s="1" t="n">
        <v>0</v>
      </c>
      <c r="F741" t="n">
        <v>1</v>
      </c>
      <c r="G741" t="n">
        <v>0</v>
      </c>
      <c r="H741" t="n">
        <v>2</v>
      </c>
      <c r="I741" t="n">
        <v>0</v>
      </c>
      <c r="J741" t="n">
        <v>0</v>
      </c>
      <c r="K741">
        <f>IF(H741-I741-J741&gt;0,H741-I741-J741,0)</f>
        <v/>
      </c>
      <c r="L741" s="1">
        <f>IFERROR(I741*E741,0)</f>
        <v/>
      </c>
      <c r="M741" s="1">
        <f>IFERROR(K741*E741,0)</f>
        <v/>
      </c>
    </row>
    <row r="742">
      <c r="A742" t="inlineStr">
        <is>
          <t>CF5</t>
        </is>
      </c>
      <c r="B742" t="inlineStr">
        <is>
          <t>CF5 - 1' 1/2</t>
        </is>
      </c>
      <c r="C742" t="inlineStr">
        <is>
          <t>Effepizeta</t>
        </is>
      </c>
      <c r="D742" t="inlineStr">
        <is>
          <t>FM - FPZ</t>
        </is>
      </c>
      <c r="E742" s="1" t="n">
        <v>0</v>
      </c>
      <c r="F742" t="n">
        <v>1</v>
      </c>
      <c r="G742" t="n">
        <v>0</v>
      </c>
      <c r="H742" t="n">
        <v>2</v>
      </c>
      <c r="I742" t="n">
        <v>0</v>
      </c>
      <c r="J742" t="n">
        <v>0</v>
      </c>
      <c r="K742">
        <f>IF(H742-I742-J742&gt;0,H742-I742-J742,0)</f>
        <v/>
      </c>
      <c r="L742" s="1">
        <f>IFERROR(I742*E742,0)</f>
        <v/>
      </c>
      <c r="M742" s="1">
        <f>IFERROR(K742*E742,0)</f>
        <v/>
      </c>
    </row>
    <row r="743">
      <c r="A743" t="inlineStr">
        <is>
          <t>CF6</t>
        </is>
      </c>
      <c r="B743" t="inlineStr">
        <is>
          <t>CF6 - 2'</t>
        </is>
      </c>
      <c r="C743" t="inlineStr"/>
      <c r="D743" t="inlineStr">
        <is>
          <t>FM - FPZ</t>
        </is>
      </c>
      <c r="E743" s="1" t="n">
        <v>0</v>
      </c>
      <c r="F743" t="n">
        <v>1</v>
      </c>
      <c r="G743" t="n">
        <v>0</v>
      </c>
      <c r="H743" t="n">
        <v>2</v>
      </c>
      <c r="I743" t="n">
        <v>0</v>
      </c>
      <c r="J743" t="n">
        <v>0</v>
      </c>
      <c r="K743">
        <f>IF(H743-I743-J743&gt;0,H743-I743-J743,0)</f>
        <v/>
      </c>
      <c r="L743" s="1">
        <f>IFERROR(I743*E743,0)</f>
        <v/>
      </c>
      <c r="M743" s="1">
        <f>IFERROR(K743*E743,0)</f>
        <v/>
      </c>
    </row>
    <row r="744">
      <c r="A744" t="inlineStr">
        <is>
          <t>CF8</t>
        </is>
      </c>
      <c r="B744" t="inlineStr">
        <is>
          <t>CF8 - 3'</t>
        </is>
      </c>
      <c r="C744" t="inlineStr">
        <is>
          <t>Effepizeta</t>
        </is>
      </c>
      <c r="D744" t="inlineStr">
        <is>
          <t>FM - FPZ</t>
        </is>
      </c>
      <c r="E744" s="1" t="n">
        <v>230.34</v>
      </c>
      <c r="F744" t="n">
        <v>2</v>
      </c>
      <c r="G744" t="n">
        <v>0</v>
      </c>
      <c r="H744" t="n">
        <v>4</v>
      </c>
      <c r="I744" t="n">
        <v>0</v>
      </c>
      <c r="J744" t="n">
        <v>0</v>
      </c>
      <c r="K744">
        <f>IF(H744-I744-J744&gt;0,H744-I744-J744,0)</f>
        <v/>
      </c>
      <c r="L744" s="1">
        <f>IFERROR(I744*E744,0)</f>
        <v/>
      </c>
      <c r="M744" s="1">
        <f>IFERROR(K744*E744,0)</f>
        <v/>
      </c>
    </row>
    <row r="745">
      <c r="A745" t="inlineStr">
        <is>
          <t>CF9</t>
        </is>
      </c>
      <c r="B745" t="inlineStr">
        <is>
          <t>CF9 - 4'</t>
        </is>
      </c>
      <c r="C745" t="inlineStr">
        <is>
          <t>Effepizeta</t>
        </is>
      </c>
      <c r="D745" t="inlineStr">
        <is>
          <t>FM - FPZ</t>
        </is>
      </c>
      <c r="E745" s="1" t="n">
        <v>524.73</v>
      </c>
      <c r="F745" t="n">
        <v>5</v>
      </c>
      <c r="G745" t="n">
        <v>0</v>
      </c>
      <c r="H745" t="n">
        <v>10</v>
      </c>
      <c r="I745" t="n">
        <v>0</v>
      </c>
      <c r="J745" t="n">
        <v>0</v>
      </c>
      <c r="K745">
        <f>IF(H745-I745-J745&gt;0,H745-I745-J745,0)</f>
        <v/>
      </c>
      <c r="L745" s="1">
        <f>IFERROR(I745*E745,0)</f>
        <v/>
      </c>
      <c r="M745" s="1">
        <f>IFERROR(K745*E745,0)</f>
        <v/>
      </c>
    </row>
    <row r="746">
      <c r="A746" t="inlineStr">
        <is>
          <t>CFD2.5</t>
        </is>
      </c>
      <c r="B746" t="inlineStr">
        <is>
          <t>2.5 Amps Speed Controller</t>
        </is>
      </c>
      <c r="C746" t="inlineStr">
        <is>
          <t>Kayites</t>
        </is>
      </c>
      <c r="D746" t="inlineStr">
        <is>
          <t>FM - KAYITES</t>
        </is>
      </c>
      <c r="E746" s="1" t="n">
        <v>277.75</v>
      </c>
      <c r="F746" t="n">
        <v>2</v>
      </c>
      <c r="G746" t="n">
        <v>0</v>
      </c>
      <c r="H746" t="n">
        <v>9</v>
      </c>
      <c r="I746" t="n">
        <v>0</v>
      </c>
      <c r="J746" t="n">
        <v>0</v>
      </c>
      <c r="K746">
        <f>IF(H746-I746-J746&gt;0,H746-I746-J746,0)</f>
        <v/>
      </c>
      <c r="L746" s="1">
        <f>IFERROR(I746*E746,0)</f>
        <v/>
      </c>
      <c r="M746" s="1">
        <f>IFERROR(K746*E746,0)</f>
        <v/>
      </c>
    </row>
    <row r="747">
      <c r="A747" t="inlineStr">
        <is>
          <t>CJ77J-DNM12-104-02-M</t>
        </is>
      </c>
      <c r="B747" t="inlineStr">
        <is>
          <t>DENIM WORK JACKET INDIGO M</t>
        </is>
      </c>
      <c r="C747" t="inlineStr">
        <is>
          <t>Workwear Depot (Pty)Ltd</t>
        </is>
      </c>
      <c r="D747" t="inlineStr"/>
      <c r="E747" s="1" t="n">
        <v>406.11</v>
      </c>
      <c r="F747" t="n">
        <v>1</v>
      </c>
      <c r="G747" t="n">
        <v>0</v>
      </c>
      <c r="H747" t="n">
        <v>5</v>
      </c>
      <c r="I747" t="n">
        <v>0</v>
      </c>
      <c r="J747" t="n">
        <v>0</v>
      </c>
      <c r="K747">
        <f>IF(H747-I747-J747&gt;0,H747-I747-J747,0)</f>
        <v/>
      </c>
      <c r="L747" s="1">
        <f>IFERROR(I747*E747,0)</f>
        <v/>
      </c>
      <c r="M747" s="1">
        <f>IFERROR(K747*E747,0)</f>
        <v/>
      </c>
    </row>
    <row r="748">
      <c r="A748" t="inlineStr">
        <is>
          <t>CJ77J-DNM12-104-03-L</t>
        </is>
      </c>
      <c r="B748" t="inlineStr">
        <is>
          <t>DENIM WORK JACKET INDIGO L</t>
        </is>
      </c>
      <c r="C748" t="inlineStr">
        <is>
          <t>Workwear Depot (Pty)Ltd</t>
        </is>
      </c>
      <c r="D748" t="inlineStr"/>
      <c r="E748" s="1" t="n">
        <v>406.11</v>
      </c>
      <c r="F748" t="n">
        <v>1</v>
      </c>
      <c r="G748" t="n">
        <v>0</v>
      </c>
      <c r="H748" t="n">
        <v>5</v>
      </c>
      <c r="I748" t="n">
        <v>0</v>
      </c>
      <c r="J748" t="n">
        <v>0</v>
      </c>
      <c r="K748">
        <f>IF(H748-I748-J748&gt;0,H748-I748-J748,0)</f>
        <v/>
      </c>
      <c r="L748" s="1">
        <f>IFERROR(I748*E748,0)</f>
        <v/>
      </c>
      <c r="M748" s="1">
        <f>IFERROR(K748*E748,0)</f>
        <v/>
      </c>
    </row>
    <row r="749">
      <c r="A749" t="inlineStr">
        <is>
          <t>CJ77J-NAVBOT-101-01-S</t>
        </is>
      </c>
      <c r="B749" t="inlineStr">
        <is>
          <t>VERSATEX TWO-TONE WORK JACKET NAVY/BOTTLE S</t>
        </is>
      </c>
      <c r="C749" t="inlineStr">
        <is>
          <t>Workwear Depot (Pty)Ltd</t>
        </is>
      </c>
      <c r="D749" t="inlineStr"/>
      <c r="E749" s="1" t="n">
        <v>303.48</v>
      </c>
      <c r="F749" t="n">
        <v>1</v>
      </c>
      <c r="G749" t="n">
        <v>0</v>
      </c>
      <c r="H749" t="n">
        <v>2</v>
      </c>
      <c r="I749" t="n">
        <v>0</v>
      </c>
      <c r="J749" t="n">
        <v>0</v>
      </c>
      <c r="K749">
        <f>IF(H749-I749-J749&gt;0,H749-I749-J749,0)</f>
        <v/>
      </c>
      <c r="L749" s="1">
        <f>IFERROR(I749*E749,0)</f>
        <v/>
      </c>
      <c r="M749" s="1">
        <f>IFERROR(K749*E749,0)</f>
        <v/>
      </c>
    </row>
    <row r="750">
      <c r="A750" t="inlineStr">
        <is>
          <t>CJ77J-NAVBOT-101-02-M</t>
        </is>
      </c>
      <c r="B750" t="inlineStr">
        <is>
          <t>VERSATEX TWO-TONE WORK JACKET NAVY/BOTTLE M</t>
        </is>
      </c>
      <c r="C750" t="inlineStr">
        <is>
          <t>Workwear Depot (Pty)Ltd</t>
        </is>
      </c>
      <c r="D750" t="inlineStr"/>
      <c r="E750" s="1" t="n">
        <v>303.48</v>
      </c>
      <c r="F750" t="n">
        <v>1</v>
      </c>
      <c r="G750" t="n">
        <v>0</v>
      </c>
      <c r="H750" t="n">
        <v>2</v>
      </c>
      <c r="I750" t="n">
        <v>0</v>
      </c>
      <c r="J750" t="n">
        <v>0</v>
      </c>
      <c r="K750">
        <f>IF(H750-I750-J750&gt;0,H750-I750-J750,0)</f>
        <v/>
      </c>
      <c r="L750" s="1">
        <f>IFERROR(I750*E750,0)</f>
        <v/>
      </c>
      <c r="M750" s="1">
        <f>IFERROR(K750*E750,0)</f>
        <v/>
      </c>
    </row>
    <row r="751">
      <c r="A751" t="inlineStr">
        <is>
          <t>CJ77J-NAVBOT-101-04-XL</t>
        </is>
      </c>
      <c r="B751" t="inlineStr">
        <is>
          <t>VERSATEX TWO-TONE WORK JACKET NAVY/BOTTLE XL</t>
        </is>
      </c>
      <c r="C751" t="inlineStr">
        <is>
          <t>Workwear Depot (Pty)Ltd</t>
        </is>
      </c>
      <c r="D751" t="inlineStr"/>
      <c r="E751" s="1" t="n">
        <v>303.48</v>
      </c>
      <c r="F751" t="n">
        <v>1</v>
      </c>
      <c r="G751" t="n">
        <v>0</v>
      </c>
      <c r="H751" t="n">
        <v>5</v>
      </c>
      <c r="I751" t="n">
        <v>0</v>
      </c>
      <c r="J751" t="n">
        <v>0</v>
      </c>
      <c r="K751">
        <f>IF(H751-I751-J751&gt;0,H751-I751-J751,0)</f>
        <v/>
      </c>
      <c r="L751" s="1">
        <f>IFERROR(I751*E751,0)</f>
        <v/>
      </c>
      <c r="M751" s="1">
        <f>IFERROR(K751*E751,0)</f>
        <v/>
      </c>
    </row>
    <row r="752">
      <c r="A752" t="inlineStr">
        <is>
          <t>CLAMP</t>
        </is>
      </c>
      <c r="B752" t="inlineStr">
        <is>
          <t>CLAMP</t>
        </is>
      </c>
      <c r="C752" t="inlineStr">
        <is>
          <t>MG AUTO PAINT (PTY) LTD</t>
        </is>
      </c>
      <c r="D752" t="inlineStr">
        <is>
          <t>CONSUMABLES</t>
        </is>
      </c>
      <c r="E752" s="1" t="n">
        <v>4.35</v>
      </c>
      <c r="F752" t="n">
        <v>2</v>
      </c>
      <c r="G752" t="n">
        <v>0</v>
      </c>
      <c r="H752" t="n">
        <v>10</v>
      </c>
      <c r="I752" t="n">
        <v>0</v>
      </c>
      <c r="J752" t="n">
        <v>0</v>
      </c>
      <c r="K752">
        <f>IF(H752-I752-J752&gt;0,H752-I752-J752,0)</f>
        <v/>
      </c>
      <c r="L752" s="1">
        <f>IFERROR(I752*E752,0)</f>
        <v/>
      </c>
      <c r="M752" s="1">
        <f>IFERROR(K752*E752,0)</f>
        <v/>
      </c>
    </row>
    <row r="753">
      <c r="A753" t="inlineStr">
        <is>
          <t>CLIPS003</t>
        </is>
      </c>
      <c r="B753" t="inlineStr">
        <is>
          <t>75mm Galv Filter Clip</t>
        </is>
      </c>
      <c r="C753" t="inlineStr">
        <is>
          <t>Filtermac Design ( Pty) Ltd</t>
        </is>
      </c>
      <c r="D753" t="inlineStr"/>
      <c r="E753" s="1" t="n">
        <v>37</v>
      </c>
      <c r="F753" t="n">
        <v>51</v>
      </c>
      <c r="G753" t="n">
        <v>0</v>
      </c>
      <c r="H753" t="n">
        <v>179</v>
      </c>
      <c r="I753" t="n">
        <v>0</v>
      </c>
      <c r="J753" t="n">
        <v>0</v>
      </c>
      <c r="K753">
        <f>IF(H753-I753-J753&gt;0,H753-I753-J753,0)</f>
        <v/>
      </c>
      <c r="L753" s="1">
        <f>IFERROR(I753*E753,0)</f>
        <v/>
      </c>
      <c r="M753" s="1">
        <f>IFERROR(K753*E753,0)</f>
        <v/>
      </c>
    </row>
    <row r="754">
      <c r="A754" t="inlineStr">
        <is>
          <t>CMV400</t>
        </is>
      </c>
      <c r="B754" t="inlineStr">
        <is>
          <t>CMVpro 400 P4 PPs Casing &amp; impeller RD 90 Fan c/w 5.5kw 4P 380V</t>
        </is>
      </c>
      <c r="C754" t="inlineStr">
        <is>
          <t>Polimatrix SA (Pty) Ltd</t>
        </is>
      </c>
      <c r="D754" t="inlineStr"/>
      <c r="E754" s="1" t="n">
        <v>61919.67</v>
      </c>
      <c r="F754" t="n">
        <v>1</v>
      </c>
      <c r="G754" t="n">
        <v>0</v>
      </c>
      <c r="H754" t="n">
        <v>3</v>
      </c>
      <c r="I754" t="n">
        <v>0</v>
      </c>
      <c r="J754" t="n">
        <v>0</v>
      </c>
      <c r="K754">
        <f>IF(H754-I754-J754&gt;0,H754-I754-J754,0)</f>
        <v/>
      </c>
      <c r="L754" s="1">
        <f>IFERROR(I754*E754,0)</f>
        <v/>
      </c>
      <c r="M754" s="1">
        <f>IFERROR(K754*E754,0)</f>
        <v/>
      </c>
    </row>
    <row r="755">
      <c r="A755" t="inlineStr">
        <is>
          <t>CN4PC-SS-DAS</t>
        </is>
      </c>
      <c r="B755" t="inlineStr">
        <is>
          <t>Screws &amp; Springs for Combination Set Dasqua</t>
        </is>
      </c>
      <c r="C755" t="inlineStr">
        <is>
          <t>SPARES 2000 CC t/a SHARP-RITE</t>
        </is>
      </c>
      <c r="D755" t="inlineStr"/>
      <c r="E755" s="1" t="n">
        <v>115</v>
      </c>
      <c r="F755" t="n">
        <v>2</v>
      </c>
      <c r="G755" t="n">
        <v>0</v>
      </c>
      <c r="H755" t="n">
        <v>6</v>
      </c>
      <c r="I755" t="n">
        <v>0</v>
      </c>
      <c r="J755" t="n">
        <v>0</v>
      </c>
      <c r="K755">
        <f>IF(H755-I755-J755&gt;0,H755-I755-J755,0)</f>
        <v/>
      </c>
      <c r="L755" s="1">
        <f>IFERROR(I755*E755,0)</f>
        <v/>
      </c>
      <c r="M755" s="1">
        <f>IFERROR(K755*E755,0)</f>
        <v/>
      </c>
    </row>
    <row r="756">
      <c r="A756" t="inlineStr">
        <is>
          <t>COUNCIL BILLINGG</t>
        </is>
      </c>
      <c r="B756" t="inlineStr">
        <is>
          <t>February Council Billing</t>
        </is>
      </c>
      <c r="C756" t="inlineStr">
        <is>
          <t>Stand 231 Alrode South CC</t>
        </is>
      </c>
      <c r="D756" t="inlineStr"/>
      <c r="E756" s="1" t="n">
        <v>1405.09</v>
      </c>
      <c r="F756" t="n">
        <v>1</v>
      </c>
      <c r="G756" t="n">
        <v>0</v>
      </c>
      <c r="H756" t="n">
        <v>2</v>
      </c>
      <c r="I756" t="n">
        <v>0</v>
      </c>
      <c r="J756" t="n">
        <v>0</v>
      </c>
      <c r="K756">
        <f>IF(H756-I756-J756&gt;0,H756-I756-J756,0)</f>
        <v/>
      </c>
      <c r="L756" s="1">
        <f>IFERROR(I756*E756,0)</f>
        <v/>
      </c>
      <c r="M756" s="1">
        <f>IFERROR(K756*E756,0)</f>
        <v/>
      </c>
    </row>
    <row r="757">
      <c r="A757" t="inlineStr">
        <is>
          <t>COUP SET</t>
        </is>
      </c>
      <c r="B757" t="inlineStr">
        <is>
          <t>COUPLER SET CARLA</t>
        </is>
      </c>
      <c r="C757" t="inlineStr">
        <is>
          <t>MG AUTO PAINT (PTY) LTD</t>
        </is>
      </c>
      <c r="D757" t="inlineStr">
        <is>
          <t>CONSUMABLES</t>
        </is>
      </c>
      <c r="E757" s="1" t="n">
        <v>86.95999999999999</v>
      </c>
      <c r="F757" t="n">
        <v>1</v>
      </c>
      <c r="G757" t="n">
        <v>0</v>
      </c>
      <c r="H757" t="n">
        <v>5</v>
      </c>
      <c r="I757" t="n">
        <v>0</v>
      </c>
      <c r="J757" t="n">
        <v>0</v>
      </c>
      <c r="K757">
        <f>IF(H757-I757-J757&gt;0,H757-I757-J757,0)</f>
        <v/>
      </c>
      <c r="L757" s="1">
        <f>IFERROR(I757*E757,0)</f>
        <v/>
      </c>
      <c r="M757" s="1">
        <f>IFERROR(K757*E757,0)</f>
        <v/>
      </c>
    </row>
    <row r="758">
      <c r="A758" t="inlineStr">
        <is>
          <t>CP77P-DESMBO-201-00-28</t>
        </is>
      </c>
      <c r="B758" t="inlineStr">
        <is>
          <t>VERSATEX WORK TROUSERS BOTTLE 28</t>
        </is>
      </c>
      <c r="C758" t="inlineStr">
        <is>
          <t>Workwear Depot (Pty)Ltd</t>
        </is>
      </c>
      <c r="D758" t="inlineStr"/>
      <c r="E758" s="1" t="n">
        <v>260</v>
      </c>
      <c r="F758" t="n">
        <v>1</v>
      </c>
      <c r="G758" t="n">
        <v>0</v>
      </c>
      <c r="H758" t="n">
        <v>2</v>
      </c>
      <c r="I758" t="n">
        <v>0</v>
      </c>
      <c r="J758" t="n">
        <v>0</v>
      </c>
      <c r="K758">
        <f>IF(H758-I758-J758&gt;0,H758-I758-J758,0)</f>
        <v/>
      </c>
      <c r="L758" s="1">
        <f>IFERROR(I758*E758,0)</f>
        <v/>
      </c>
      <c r="M758" s="1">
        <f>IFERROR(K758*E758,0)</f>
        <v/>
      </c>
    </row>
    <row r="759">
      <c r="A759" t="inlineStr">
        <is>
          <t>CP77P-DESMBO-201-00-32</t>
        </is>
      </c>
      <c r="B759" t="inlineStr">
        <is>
          <t>VERSATEX WORK TROUSERS BOTTLE 32</t>
        </is>
      </c>
      <c r="C759" t="inlineStr">
        <is>
          <t>Workwear Depot (Pty)Ltd</t>
        </is>
      </c>
      <c r="D759" t="inlineStr"/>
      <c r="E759" s="1" t="n">
        <v>260</v>
      </c>
      <c r="F759" t="n">
        <v>1</v>
      </c>
      <c r="G759" t="n">
        <v>0</v>
      </c>
      <c r="H759" t="n">
        <v>2</v>
      </c>
      <c r="I759" t="n">
        <v>0</v>
      </c>
      <c r="J759" t="n">
        <v>0</v>
      </c>
      <c r="K759">
        <f>IF(H759-I759-J759&gt;0,H759-I759-J759,0)</f>
        <v/>
      </c>
      <c r="L759" s="1">
        <f>IFERROR(I759*E759,0)</f>
        <v/>
      </c>
      <c r="M759" s="1">
        <f>IFERROR(K759*E759,0)</f>
        <v/>
      </c>
    </row>
    <row r="760">
      <c r="A760" t="inlineStr">
        <is>
          <t>CP77P-DESMBO-201-00-44</t>
        </is>
      </c>
      <c r="B760" t="inlineStr">
        <is>
          <t>VERSATEX WORK TROUSERS BOTTLE 44</t>
        </is>
      </c>
      <c r="C760" t="inlineStr">
        <is>
          <t>Workwear Depot (Pty)Ltd</t>
        </is>
      </c>
      <c r="D760" t="inlineStr"/>
      <c r="E760" s="1" t="n">
        <v>260</v>
      </c>
      <c r="F760" t="n">
        <v>1</v>
      </c>
      <c r="G760" t="n">
        <v>0</v>
      </c>
      <c r="H760" t="n">
        <v>5</v>
      </c>
      <c r="I760" t="n">
        <v>0</v>
      </c>
      <c r="J760" t="n">
        <v>0</v>
      </c>
      <c r="K760">
        <f>IF(H760-I760-J760&gt;0,H760-I760-J760,0)</f>
        <v/>
      </c>
      <c r="L760" s="1">
        <f>IFERROR(I760*E760,0)</f>
        <v/>
      </c>
      <c r="M760" s="1">
        <f>IFERROR(K760*E760,0)</f>
        <v/>
      </c>
    </row>
    <row r="761">
      <c r="A761" t="inlineStr">
        <is>
          <t>CP77P-DNM12-104-00-32</t>
        </is>
      </c>
      <c r="B761" t="inlineStr">
        <is>
          <t>DENIM WORK TROUSERS INDIGO 32</t>
        </is>
      </c>
      <c r="C761" t="inlineStr">
        <is>
          <t>Workwear Depot (Pty)Ltd</t>
        </is>
      </c>
      <c r="D761" t="inlineStr"/>
      <c r="E761" s="1" t="n">
        <v>372.2</v>
      </c>
      <c r="F761" t="n">
        <v>1</v>
      </c>
      <c r="G761" t="n">
        <v>0</v>
      </c>
      <c r="H761" t="n">
        <v>5</v>
      </c>
      <c r="I761" t="n">
        <v>0</v>
      </c>
      <c r="J761" t="n">
        <v>0</v>
      </c>
      <c r="K761">
        <f>IF(H761-I761-J761&gt;0,H761-I761-J761,0)</f>
        <v/>
      </c>
      <c r="L761" s="1">
        <f>IFERROR(I761*E761,0)</f>
        <v/>
      </c>
      <c r="M761" s="1">
        <f>IFERROR(K761*E761,0)</f>
        <v/>
      </c>
    </row>
    <row r="762">
      <c r="A762" t="inlineStr">
        <is>
          <t>CP77P-DNM12-104-00-38</t>
        </is>
      </c>
      <c r="B762" t="inlineStr">
        <is>
          <t>DENIM WORK TROUSERS INDIGO 38</t>
        </is>
      </c>
      <c r="C762" t="inlineStr">
        <is>
          <t>Workwear Depot (Pty)Ltd</t>
        </is>
      </c>
      <c r="D762" t="inlineStr">
        <is>
          <t>FM - UNIFORM</t>
        </is>
      </c>
      <c r="E762" s="1" t="n">
        <v>372.2</v>
      </c>
      <c r="F762" t="n">
        <v>1</v>
      </c>
      <c r="G762" t="n">
        <v>0</v>
      </c>
      <c r="H762" t="n">
        <v>5</v>
      </c>
      <c r="I762" t="n">
        <v>0</v>
      </c>
      <c r="J762" t="n">
        <v>0</v>
      </c>
      <c r="K762">
        <f>IF(H762-I762-J762&gt;0,H762-I762-J762,0)</f>
        <v/>
      </c>
      <c r="L762" s="1">
        <f>IFERROR(I762*E762,0)</f>
        <v/>
      </c>
      <c r="M762" s="1">
        <f>IFERROR(K762*E762,0)</f>
        <v/>
      </c>
    </row>
    <row r="763">
      <c r="A763" t="inlineStr">
        <is>
          <t>CRAD190</t>
        </is>
      </c>
      <c r="B763" t="inlineStr">
        <is>
          <t>CRAD 190</t>
        </is>
      </c>
      <c r="C763" t="inlineStr">
        <is>
          <t>Kayites</t>
        </is>
      </c>
      <c r="D763" t="inlineStr">
        <is>
          <t>FM - KAYITES</t>
        </is>
      </c>
      <c r="E763" s="1" t="n">
        <v>872.8</v>
      </c>
      <c r="F763" t="n">
        <v>1</v>
      </c>
      <c r="G763" t="n">
        <v>0</v>
      </c>
      <c r="H763" t="n">
        <v>2</v>
      </c>
      <c r="I763" t="n">
        <v>0</v>
      </c>
      <c r="J763" t="n">
        <v>0</v>
      </c>
      <c r="K763">
        <f>IF(H763-I763-J763&gt;0,H763-I763-J763,0)</f>
        <v/>
      </c>
      <c r="L763" s="1">
        <f>IFERROR(I763*E763,0)</f>
        <v/>
      </c>
      <c r="M763" s="1">
        <f>IFERROR(K763*E763,0)</f>
        <v/>
      </c>
    </row>
    <row r="764">
      <c r="A764" t="inlineStr">
        <is>
          <t>CRAD450</t>
        </is>
      </c>
      <c r="B764" t="inlineStr">
        <is>
          <t>CRAD 450</t>
        </is>
      </c>
      <c r="C764" t="inlineStr">
        <is>
          <t>Kayites</t>
        </is>
      </c>
      <c r="D764" t="inlineStr">
        <is>
          <t>FM - KAYITES</t>
        </is>
      </c>
      <c r="E764" s="1" t="n">
        <v>4865.1</v>
      </c>
      <c r="F764" t="n">
        <v>1</v>
      </c>
      <c r="G764" t="n">
        <v>0</v>
      </c>
      <c r="H764" t="n">
        <v>3</v>
      </c>
      <c r="I764" t="n">
        <v>0</v>
      </c>
      <c r="J764" t="n">
        <v>0</v>
      </c>
      <c r="K764">
        <f>IF(H764-I764-J764&gt;0,H764-I764-J764,0)</f>
        <v/>
      </c>
      <c r="L764" s="1">
        <f>IFERROR(I764*E764,0)</f>
        <v/>
      </c>
      <c r="M764" s="1">
        <f>IFERROR(K764*E764,0)</f>
        <v/>
      </c>
    </row>
    <row r="765">
      <c r="A765" t="inlineStr">
        <is>
          <t>CRADIK190</t>
        </is>
      </c>
      <c r="B765" t="inlineStr">
        <is>
          <t>CRADIK 190</t>
        </is>
      </c>
      <c r="C765" t="inlineStr"/>
      <c r="D765" t="inlineStr">
        <is>
          <t>FM - KAYITES</t>
        </is>
      </c>
      <c r="E765" s="1" t="n">
        <v>0</v>
      </c>
      <c r="F765" t="n">
        <v>1</v>
      </c>
      <c r="G765" t="n">
        <v>0</v>
      </c>
      <c r="H765" t="n">
        <v>2</v>
      </c>
      <c r="I765" t="n">
        <v>0</v>
      </c>
      <c r="J765" t="n">
        <v>0</v>
      </c>
      <c r="K765">
        <f>IF(H765-I765-J765&gt;0,H765-I765-J765,0)</f>
        <v/>
      </c>
      <c r="L765" s="1">
        <f>IFERROR(I765*E765,0)</f>
        <v/>
      </c>
      <c r="M765" s="1">
        <f>IFERROR(K765*E765,0)</f>
        <v/>
      </c>
    </row>
    <row r="766">
      <c r="A766" t="inlineStr">
        <is>
          <t>CSH1000x1.5</t>
        </is>
      </c>
      <c r="B766" t="inlineStr">
        <is>
          <t>Copper Sheet (2000x1000x1.5mm)</t>
        </is>
      </c>
      <c r="C766" t="inlineStr">
        <is>
          <t>Gold Circle Metals</t>
        </is>
      </c>
      <c r="D766" t="inlineStr"/>
      <c r="E766" s="1" t="n">
        <v>11250</v>
      </c>
      <c r="F766" t="n">
        <v>1</v>
      </c>
      <c r="G766" t="n">
        <v>0</v>
      </c>
      <c r="H766" t="n">
        <v>2</v>
      </c>
      <c r="I766" t="n">
        <v>0</v>
      </c>
      <c r="J766" t="n">
        <v>0</v>
      </c>
      <c r="K766">
        <f>IF(H766-I766-J766&gt;0,H766-I766-J766,0)</f>
        <v/>
      </c>
      <c r="L766" s="1">
        <f>IFERROR(I766*E766,0)</f>
        <v/>
      </c>
      <c r="M766" s="1">
        <f>IFERROR(K766*E766,0)</f>
        <v/>
      </c>
    </row>
    <row r="767">
      <c r="A767" t="inlineStr">
        <is>
          <t>CT1.50X4BK</t>
        </is>
      </c>
      <c r="B767" t="inlineStr">
        <is>
          <t>CABTYRE 1,5MM2 4 CORE BLACK</t>
        </is>
      </c>
      <c r="C767" t="inlineStr">
        <is>
          <t>Alvern Cables (Pty) Ltd</t>
        </is>
      </c>
      <c r="D767" t="inlineStr"/>
      <c r="E767" s="1" t="n">
        <v>17.45</v>
      </c>
      <c r="F767" t="n">
        <v>50</v>
      </c>
      <c r="G767" t="n">
        <v>0</v>
      </c>
      <c r="H767" t="n">
        <v>250</v>
      </c>
      <c r="I767" t="n">
        <v>0</v>
      </c>
      <c r="J767" t="n">
        <v>0</v>
      </c>
      <c r="K767">
        <f>IF(H767-I767-J767&gt;0,H767-I767-J767,0)</f>
        <v/>
      </c>
      <c r="L767" s="1">
        <f>IFERROR(I767*E767,0)</f>
        <v/>
      </c>
      <c r="M767" s="1">
        <f>IFERROR(K767*E767,0)</f>
        <v/>
      </c>
    </row>
    <row r="768">
      <c r="A768" t="inlineStr">
        <is>
          <t>CT2.50X4BK</t>
        </is>
      </c>
      <c r="B768" t="inlineStr">
        <is>
          <t>CABTYRE 2,5MM2 4 CORE - BLACK</t>
        </is>
      </c>
      <c r="C768" t="inlineStr">
        <is>
          <t>Alvern Cables (Pty) Ltd</t>
        </is>
      </c>
      <c r="D768" t="inlineStr"/>
      <c r="E768" s="1" t="n">
        <v>27.96</v>
      </c>
      <c r="F768" t="n">
        <v>50</v>
      </c>
      <c r="G768" t="n">
        <v>0</v>
      </c>
      <c r="H768" t="n">
        <v>250</v>
      </c>
      <c r="I768" t="n">
        <v>0</v>
      </c>
      <c r="J768" t="n">
        <v>0</v>
      </c>
      <c r="K768">
        <f>IF(H768-I768-J768&gt;0,H768-I768-J768,0)</f>
        <v/>
      </c>
      <c r="L768" s="1">
        <f>IFERROR(I768*E768,0)</f>
        <v/>
      </c>
      <c r="M768" s="1">
        <f>IFERROR(K768*E768,0)</f>
        <v/>
      </c>
    </row>
    <row r="769">
      <c r="A769" t="inlineStr">
        <is>
          <t>CTA/01</t>
        </is>
      </c>
      <c r="B769" t="inlineStr">
        <is>
          <t>Attenuator 150x600mm</t>
        </is>
      </c>
      <c r="C769" t="inlineStr"/>
      <c r="D769" t="inlineStr"/>
      <c r="E769" s="1" t="n">
        <v>0</v>
      </c>
      <c r="F769" t="n">
        <v>1</v>
      </c>
      <c r="G769" t="n">
        <v>0</v>
      </c>
      <c r="H769" t="n">
        <v>5</v>
      </c>
      <c r="I769" t="n">
        <v>0</v>
      </c>
      <c r="J769" t="n">
        <v>0</v>
      </c>
      <c r="K769">
        <f>IF(H769-I769-J769&gt;0,H769-I769-J769,0)</f>
        <v/>
      </c>
      <c r="L769" s="1">
        <f>IFERROR(I769*E769,0)</f>
        <v/>
      </c>
      <c r="M769" s="1">
        <f>IFERROR(K769*E769,0)</f>
        <v/>
      </c>
    </row>
    <row r="770">
      <c r="A770" t="inlineStr">
        <is>
          <t>CTA/02</t>
        </is>
      </c>
      <c r="B770" t="inlineStr">
        <is>
          <t>Attenuator 150x600mm</t>
        </is>
      </c>
      <c r="C770" t="inlineStr"/>
      <c r="D770" t="inlineStr"/>
      <c r="E770" s="1" t="n">
        <v>0</v>
      </c>
      <c r="F770" t="n">
        <v>1</v>
      </c>
      <c r="G770" t="n">
        <v>0</v>
      </c>
      <c r="H770" t="n">
        <v>2</v>
      </c>
      <c r="I770" t="n">
        <v>0</v>
      </c>
      <c r="J770" t="n">
        <v>0</v>
      </c>
      <c r="K770">
        <f>IF(H770-I770-J770&gt;0,H770-I770-J770,0)</f>
        <v/>
      </c>
      <c r="L770" s="1">
        <f>IFERROR(I770*E770,0)</f>
        <v/>
      </c>
      <c r="M770" s="1">
        <f>IFERROR(K770*E770,0)</f>
        <v/>
      </c>
    </row>
    <row r="771">
      <c r="A771" t="inlineStr">
        <is>
          <t>CTerm-Cap</t>
        </is>
      </c>
      <c r="B771" t="inlineStr">
        <is>
          <t>Casing Terminal Cap</t>
        </is>
      </c>
      <c r="C771" t="inlineStr">
        <is>
          <t>GALVAGLOW (PTY) LTD</t>
        </is>
      </c>
      <c r="D771" t="inlineStr">
        <is>
          <t>FM - DONKIN</t>
        </is>
      </c>
      <c r="E771" s="1" t="n">
        <v>0</v>
      </c>
      <c r="F771" t="n">
        <v>10</v>
      </c>
      <c r="G771" t="n">
        <v>0</v>
      </c>
      <c r="H771" t="n">
        <v>52</v>
      </c>
      <c r="I771" t="n">
        <v>0</v>
      </c>
      <c r="J771" t="n">
        <v>0</v>
      </c>
      <c r="K771">
        <f>IF(H771-I771-J771&gt;0,H771-I771-J771,0)</f>
        <v/>
      </c>
      <c r="L771" s="1">
        <f>IFERROR(I771*E771,0)</f>
        <v/>
      </c>
      <c r="M771" s="1">
        <f>IFERROR(K771*E771,0)</f>
        <v/>
      </c>
    </row>
    <row r="772">
      <c r="A772" t="inlineStr">
        <is>
          <t>CUB355</t>
        </is>
      </c>
      <c r="B772" t="inlineStr">
        <is>
          <t>CUB 355</t>
        </is>
      </c>
      <c r="C772" t="inlineStr"/>
      <c r="D772" t="inlineStr">
        <is>
          <t>FM - KAYITES</t>
        </is>
      </c>
      <c r="E772" s="1" t="n">
        <v>0</v>
      </c>
      <c r="F772" t="n">
        <v>1</v>
      </c>
      <c r="G772" t="n">
        <v>0</v>
      </c>
      <c r="H772" t="n">
        <v>2</v>
      </c>
      <c r="I772" t="n">
        <v>0</v>
      </c>
      <c r="J772" t="n">
        <v>0</v>
      </c>
      <c r="K772">
        <f>IF(H772-I772-J772&gt;0,H772-I772-J772,0)</f>
        <v/>
      </c>
      <c r="L772" s="1">
        <f>IFERROR(I772*E772,0)</f>
        <v/>
      </c>
      <c r="M772" s="1">
        <f>IFERROR(K772*E772,0)</f>
        <v/>
      </c>
    </row>
    <row r="773">
      <c r="A773" t="inlineStr">
        <is>
          <t>CZ315C</t>
        </is>
      </c>
      <c r="B773" t="inlineStr">
        <is>
          <t>Neoprene Clamp 315</t>
        </is>
      </c>
      <c r="C773" t="inlineStr"/>
      <c r="D773" t="inlineStr"/>
      <c r="E773" s="1" t="n">
        <v>0</v>
      </c>
      <c r="F773" t="n">
        <v>4</v>
      </c>
      <c r="G773" t="n">
        <v>0</v>
      </c>
      <c r="H773" t="n">
        <v>20</v>
      </c>
      <c r="I773" t="n">
        <v>0</v>
      </c>
      <c r="J773" t="n">
        <v>0</v>
      </c>
      <c r="K773">
        <f>IF(H773-I773-J773&gt;0,H773-I773-J773,0)</f>
        <v/>
      </c>
      <c r="L773" s="1">
        <f>IFERROR(I773*E773,0)</f>
        <v/>
      </c>
      <c r="M773" s="1">
        <f>IFERROR(K773*E773,0)</f>
        <v/>
      </c>
    </row>
    <row r="774">
      <c r="A774" t="inlineStr">
        <is>
          <t>Callout</t>
        </is>
      </c>
      <c r="B774" t="inlineStr">
        <is>
          <t>Callout</t>
        </is>
      </c>
      <c r="C774" t="inlineStr">
        <is>
          <t>Lime Laser service</t>
        </is>
      </c>
      <c r="D774" t="inlineStr">
        <is>
          <t>FM - MACHINERY</t>
        </is>
      </c>
      <c r="E774" s="1" t="n">
        <v>566.67</v>
      </c>
      <c r="F774" t="n">
        <v>2</v>
      </c>
      <c r="G774" t="n">
        <v>0</v>
      </c>
      <c r="H774" t="n">
        <v>8</v>
      </c>
      <c r="I774" t="n">
        <v>0</v>
      </c>
      <c r="J774" t="n">
        <v>0</v>
      </c>
      <c r="K774">
        <f>IF(H774-I774-J774&gt;0,H774-I774-J774,0)</f>
        <v/>
      </c>
      <c r="L774" s="1">
        <f>IFERROR(I774*E774,0)</f>
        <v/>
      </c>
      <c r="M774" s="1">
        <f>IFERROR(K774*E774,0)</f>
        <v/>
      </c>
    </row>
    <row r="775">
      <c r="A775" t="inlineStr">
        <is>
          <t>Centrifugal Fan</t>
        </is>
      </c>
      <c r="B775" t="inlineStr">
        <is>
          <t>280 CM BCC DIDW CENTRIFUGAL FAN</t>
        </is>
      </c>
      <c r="C775" t="inlineStr"/>
      <c r="D775" t="inlineStr"/>
      <c r="E775" s="1" t="n">
        <v>0</v>
      </c>
      <c r="F775" t="n">
        <v>1</v>
      </c>
      <c r="G775" t="n">
        <v>0</v>
      </c>
      <c r="H775" t="n">
        <v>2</v>
      </c>
      <c r="I775" t="n">
        <v>0</v>
      </c>
      <c r="J775" t="n">
        <v>0</v>
      </c>
      <c r="K775">
        <f>IF(H775-I775-J775&gt;0,H775-I775-J775,0)</f>
        <v/>
      </c>
      <c r="L775" s="1">
        <f>IFERROR(I775*E775,0)</f>
        <v/>
      </c>
      <c r="M775" s="1">
        <f>IFERROR(K775*E775,0)</f>
        <v/>
      </c>
    </row>
    <row r="776">
      <c r="A776" t="inlineStr">
        <is>
          <t>Company Car</t>
        </is>
      </c>
      <c r="B776" t="inlineStr">
        <is>
          <t>Mahindra 1.2T MX2 A/T</t>
        </is>
      </c>
      <c r="C776" t="inlineStr">
        <is>
          <t>Egoli Auto (Pty) Ltd t/a Mahindra JHB South</t>
        </is>
      </c>
      <c r="D776" t="inlineStr"/>
      <c r="E776" s="1" t="n">
        <v>273229.14</v>
      </c>
      <c r="F776" t="n">
        <v>1</v>
      </c>
      <c r="G776" t="n">
        <v>0</v>
      </c>
      <c r="H776" t="n">
        <v>5</v>
      </c>
      <c r="I776" t="n">
        <v>0</v>
      </c>
      <c r="J776" t="n">
        <v>0</v>
      </c>
      <c r="K776">
        <f>IF(H776-I776-J776&gt;0,H776-I776-J776,0)</f>
        <v/>
      </c>
      <c r="L776" s="1">
        <f>IFERROR(I776*E776,0)</f>
        <v/>
      </c>
      <c r="M776" s="1">
        <f>IFERROR(K776*E776,0)</f>
        <v/>
      </c>
    </row>
    <row r="777">
      <c r="A777" t="inlineStr">
        <is>
          <t>Compile</t>
        </is>
      </c>
      <c r="B777" t="inlineStr">
        <is>
          <t>Report</t>
        </is>
      </c>
      <c r="C777" t="inlineStr">
        <is>
          <t>TDCM Engineering cc</t>
        </is>
      </c>
      <c r="D777" t="inlineStr"/>
      <c r="E777" s="1" t="n">
        <v>940.5</v>
      </c>
      <c r="F777" t="n">
        <v>9</v>
      </c>
      <c r="G777" t="n">
        <v>0</v>
      </c>
      <c r="H777" t="n">
        <v>25</v>
      </c>
      <c r="I777" t="n">
        <v>0</v>
      </c>
      <c r="J777" t="n">
        <v>0</v>
      </c>
      <c r="K777">
        <f>IF(H777-I777-J777&gt;0,H777-I777-J777,0)</f>
        <v/>
      </c>
      <c r="L777" s="1">
        <f>IFERROR(I777*E777,0)</f>
        <v/>
      </c>
      <c r="M777" s="1">
        <f>IFERROR(K777*E777,0)</f>
        <v/>
      </c>
    </row>
    <row r="778">
      <c r="A778" t="inlineStr">
        <is>
          <t>Copper Cut</t>
        </is>
      </c>
      <c r="B778" t="inlineStr">
        <is>
          <t>Copper Sheet (2000 x 1000 x 1.5mm) cut strips of 120mm across 2m length</t>
        </is>
      </c>
      <c r="C778" t="inlineStr">
        <is>
          <t>Airtec Fans &amp; Engineering</t>
        </is>
      </c>
      <c r="D778" t="inlineStr">
        <is>
          <t>BENDING/CUTTING</t>
        </is>
      </c>
      <c r="E778" s="1" t="n">
        <v>62.5</v>
      </c>
      <c r="F778" t="n">
        <v>4</v>
      </c>
      <c r="G778" t="n">
        <v>0</v>
      </c>
      <c r="H778" t="n">
        <v>16</v>
      </c>
      <c r="I778" t="n">
        <v>0</v>
      </c>
      <c r="J778" t="n">
        <v>0</v>
      </c>
      <c r="K778">
        <f>IF(H778-I778-J778&gt;0,H778-I778-J778,0)</f>
        <v/>
      </c>
      <c r="L778" s="1">
        <f>IFERROR(I778*E778,0)</f>
        <v/>
      </c>
      <c r="M778" s="1">
        <f>IFERROR(K778*E778,0)</f>
        <v/>
      </c>
    </row>
    <row r="779">
      <c r="A779" t="inlineStr">
        <is>
          <t>Counter-Flanges</t>
        </is>
      </c>
      <c r="B779" t="inlineStr">
        <is>
          <t>DDM 10/10</t>
        </is>
      </c>
      <c r="C779" t="inlineStr">
        <is>
          <t>Attenu-Tec HVAC Parts</t>
        </is>
      </c>
      <c r="D779" t="inlineStr"/>
      <c r="E779" s="1" t="n">
        <v>97</v>
      </c>
      <c r="F779" t="n">
        <v>2</v>
      </c>
      <c r="G779" t="n">
        <v>0</v>
      </c>
      <c r="H779" t="n">
        <v>5</v>
      </c>
      <c r="I779" t="n">
        <v>0</v>
      </c>
      <c r="J779" t="n">
        <v>0</v>
      </c>
      <c r="K779">
        <f>IF(H779-I779-J779&gt;0,H779-I779-J779,0)</f>
        <v/>
      </c>
      <c r="L779" s="1">
        <f>IFERROR(I779*E779,0)</f>
        <v/>
      </c>
      <c r="M779" s="1">
        <f>IFERROR(K779*E779,0)</f>
        <v/>
      </c>
    </row>
    <row r="780">
      <c r="A780" t="inlineStr">
        <is>
          <t>Crates</t>
        </is>
      </c>
      <c r="B780" t="inlineStr">
        <is>
          <t>Wooden crates</t>
        </is>
      </c>
      <c r="C780" t="inlineStr">
        <is>
          <t>Air Speration</t>
        </is>
      </c>
      <c r="D780" t="inlineStr"/>
      <c r="E780" s="1" t="n">
        <v>800</v>
      </c>
      <c r="F780" t="n">
        <v>7</v>
      </c>
      <c r="G780" t="n">
        <v>0</v>
      </c>
      <c r="H780" t="n">
        <v>19</v>
      </c>
      <c r="I780" t="n">
        <v>0</v>
      </c>
      <c r="J780" t="n">
        <v>0</v>
      </c>
      <c r="K780">
        <f>IF(H780-I780-J780&gt;0,H780-I780-J780,0)</f>
        <v/>
      </c>
      <c r="L780" s="1">
        <f>IFERROR(I780*E780,0)</f>
        <v/>
      </c>
      <c r="M780" s="1">
        <f>IFERROR(K780*E780,0)</f>
        <v/>
      </c>
    </row>
    <row r="781">
      <c r="A781" t="inlineStr">
        <is>
          <t>D)</t>
        </is>
      </c>
      <c r="B781" t="inlineStr">
        <is>
          <t>Casings - 315mm Casing to Suit Above</t>
        </is>
      </c>
      <c r="C781" t="inlineStr">
        <is>
          <t>CFW Fans (Pty) Ltd</t>
        </is>
      </c>
      <c r="D781" t="inlineStr"/>
      <c r="E781" s="1" t="n">
        <v>95.45999999999999</v>
      </c>
      <c r="F781" t="n">
        <v>1</v>
      </c>
      <c r="G781" t="n">
        <v>0</v>
      </c>
      <c r="H781" t="n">
        <v>4</v>
      </c>
      <c r="I781" t="n">
        <v>0</v>
      </c>
      <c r="J781" t="n">
        <v>0</v>
      </c>
      <c r="K781">
        <f>IF(H781-I781-J781&gt;0,H781-I781-J781,0)</f>
        <v/>
      </c>
      <c r="L781" s="1">
        <f>IFERROR(I781*E781,0)</f>
        <v/>
      </c>
      <c r="M781" s="1">
        <f>IFERROR(K781*E781,0)</f>
        <v/>
      </c>
    </row>
    <row r="782">
      <c r="A782" t="inlineStr">
        <is>
          <t>D100000</t>
        </is>
      </c>
      <c r="B782" t="inlineStr">
        <is>
          <t>UV250/1/6/F</t>
        </is>
      </c>
      <c r="C782" t="inlineStr">
        <is>
          <t>Centrifab (Pty) Ltd</t>
        </is>
      </c>
      <c r="D782" t="inlineStr"/>
      <c r="E782" s="1" t="n">
        <v>3446.25</v>
      </c>
      <c r="F782" t="n">
        <v>8</v>
      </c>
      <c r="G782" t="n">
        <v>0</v>
      </c>
      <c r="H782" t="n">
        <v>40</v>
      </c>
      <c r="I782" t="n">
        <v>0</v>
      </c>
      <c r="J782" t="n">
        <v>0</v>
      </c>
      <c r="K782">
        <f>IF(H782-I782-J782&gt;0,H782-I782-J782,0)</f>
        <v/>
      </c>
      <c r="L782" s="1">
        <f>IFERROR(I782*E782,0)</f>
        <v/>
      </c>
      <c r="M782" s="1">
        <f>IFERROR(K782*E782,0)</f>
        <v/>
      </c>
    </row>
    <row r="783">
      <c r="A783" t="inlineStr">
        <is>
          <t>D100001</t>
        </is>
      </c>
      <c r="B783" t="inlineStr">
        <is>
          <t>CMP-1128-4T</t>
        </is>
      </c>
      <c r="C783" t="inlineStr">
        <is>
          <t>Attenu-Tec</t>
        </is>
      </c>
      <c r="D783" t="inlineStr">
        <is>
          <t>FM - SODECA</t>
        </is>
      </c>
      <c r="E783" s="1" t="n">
        <v>163.13</v>
      </c>
      <c r="F783" t="n">
        <v>1</v>
      </c>
      <c r="G783" t="n">
        <v>0</v>
      </c>
      <c r="H783" t="n">
        <v>5</v>
      </c>
      <c r="I783" t="n">
        <v>0</v>
      </c>
      <c r="J783" t="n">
        <v>0</v>
      </c>
      <c r="K783">
        <f>IF(H783-I783-J783&gt;0,H783-I783-J783,0)</f>
        <v/>
      </c>
      <c r="L783" s="1">
        <f>IFERROR(I783*E783,0)</f>
        <v/>
      </c>
      <c r="M783" s="1">
        <f>IFERROR(K783*E783,0)</f>
        <v/>
      </c>
    </row>
    <row r="784">
      <c r="A784" t="inlineStr">
        <is>
          <t>D100002</t>
        </is>
      </c>
      <c r="B784" t="inlineStr">
        <is>
          <t>HAT-28-4M</t>
        </is>
      </c>
      <c r="C784" t="inlineStr">
        <is>
          <t>CFW Fans (Pty) Ltd</t>
        </is>
      </c>
      <c r="D784" t="inlineStr">
        <is>
          <t>FM - SODECA</t>
        </is>
      </c>
      <c r="E784" s="1" t="n">
        <v>430.34</v>
      </c>
      <c r="F784" t="n">
        <v>1</v>
      </c>
      <c r="G784" t="n">
        <v>0</v>
      </c>
      <c r="H784" t="n">
        <v>2</v>
      </c>
      <c r="I784" t="n">
        <v>0</v>
      </c>
      <c r="J784" t="n">
        <v>0</v>
      </c>
      <c r="K784">
        <f>IF(H784-I784-J784&gt;0,H784-I784-J784,0)</f>
        <v/>
      </c>
      <c r="L784" s="1">
        <f>IFERROR(I784*E784,0)</f>
        <v/>
      </c>
      <c r="M784" s="1">
        <f>IFERROR(K784*E784,0)</f>
        <v/>
      </c>
    </row>
    <row r="785">
      <c r="A785" t="inlineStr">
        <is>
          <t>D100003</t>
        </is>
      </c>
      <c r="B785" t="inlineStr">
        <is>
          <t>HAT-35-4T</t>
        </is>
      </c>
      <c r="C785" t="inlineStr">
        <is>
          <t>CFW Fans (Pty) Ltd</t>
        </is>
      </c>
      <c r="D785" t="inlineStr">
        <is>
          <t>FM - SODECA</t>
        </is>
      </c>
      <c r="E785" s="1" t="n">
        <v>250</v>
      </c>
      <c r="F785" t="n">
        <v>1</v>
      </c>
      <c r="G785" t="n">
        <v>0</v>
      </c>
      <c r="H785" t="n">
        <v>2</v>
      </c>
      <c r="I785" t="n">
        <v>0</v>
      </c>
      <c r="J785" t="n">
        <v>0</v>
      </c>
      <c r="K785">
        <f>IF(H785-I785-J785&gt;0,H785-I785-J785,0)</f>
        <v/>
      </c>
      <c r="L785" s="1">
        <f>IFERROR(I785*E785,0)</f>
        <v/>
      </c>
      <c r="M785" s="1">
        <f>IFERROR(K785*E785,0)</f>
        <v/>
      </c>
    </row>
    <row r="786">
      <c r="A786" t="inlineStr">
        <is>
          <t>D100005</t>
        </is>
      </c>
      <c r="B786" t="inlineStr">
        <is>
          <t>CAM-550-2T 5.5</t>
        </is>
      </c>
      <c r="C786" t="inlineStr">
        <is>
          <t>Luft Industries Natal (Pty) Ltd</t>
        </is>
      </c>
      <c r="D786" t="inlineStr">
        <is>
          <t>FM - SODECA</t>
        </is>
      </c>
      <c r="E786" s="1" t="n">
        <v>2681.25</v>
      </c>
      <c r="F786" t="n">
        <v>7</v>
      </c>
      <c r="G786" t="n">
        <v>0</v>
      </c>
      <c r="H786" t="n">
        <v>24</v>
      </c>
      <c r="I786" t="n">
        <v>0</v>
      </c>
      <c r="J786" t="n">
        <v>0</v>
      </c>
      <c r="K786">
        <f>IF(H786-I786-J786&gt;0,H786-I786-J786,0)</f>
        <v/>
      </c>
      <c r="L786" s="1">
        <f>IFERROR(I786*E786,0)</f>
        <v/>
      </c>
      <c r="M786" s="1">
        <f>IFERROR(K786*E786,0)</f>
        <v/>
      </c>
    </row>
    <row r="787">
      <c r="A787" t="inlineStr">
        <is>
          <t>D100006</t>
        </is>
      </c>
      <c r="B787" t="inlineStr">
        <is>
          <t>HJBM PLUS 45 - T4 0.55KW</t>
        </is>
      </c>
      <c r="C787" t="inlineStr"/>
      <c r="D787" t="inlineStr">
        <is>
          <t>FM - SODECA</t>
        </is>
      </c>
      <c r="E787" s="1" t="n">
        <v>0</v>
      </c>
      <c r="F787" t="n">
        <v>4</v>
      </c>
      <c r="G787" t="n">
        <v>0</v>
      </c>
      <c r="H787" t="n">
        <v>20</v>
      </c>
      <c r="I787" t="n">
        <v>0</v>
      </c>
      <c r="J787" t="n">
        <v>0</v>
      </c>
      <c r="K787">
        <f>IF(H787-I787-J787&gt;0,H787-I787-J787,0)</f>
        <v/>
      </c>
      <c r="L787" s="1">
        <f>IFERROR(I787*E787,0)</f>
        <v/>
      </c>
      <c r="M787" s="1">
        <f>IFERROR(K787*E787,0)</f>
        <v/>
      </c>
    </row>
    <row r="788">
      <c r="A788" t="inlineStr">
        <is>
          <t>D100007</t>
        </is>
      </c>
      <c r="B788" t="inlineStr">
        <is>
          <t>HJBM 40 M4 0.25</t>
        </is>
      </c>
      <c r="C788" t="inlineStr"/>
      <c r="D788" t="inlineStr">
        <is>
          <t>FM - SODECA</t>
        </is>
      </c>
      <c r="E788" s="1" t="n">
        <v>0</v>
      </c>
      <c r="F788" t="n">
        <v>3</v>
      </c>
      <c r="G788" t="n">
        <v>0</v>
      </c>
      <c r="H788" t="n">
        <v>14</v>
      </c>
      <c r="I788" t="n">
        <v>0</v>
      </c>
      <c r="J788" t="n">
        <v>0</v>
      </c>
      <c r="K788">
        <f>IF(H788-I788-J788&gt;0,H788-I788-J788,0)</f>
        <v/>
      </c>
      <c r="L788" s="1">
        <f>IFERROR(I788*E788,0)</f>
        <v/>
      </c>
      <c r="M788" s="1">
        <f>IFERROR(K788*E788,0)</f>
        <v/>
      </c>
    </row>
    <row r="789">
      <c r="A789" t="inlineStr">
        <is>
          <t>D100008</t>
        </is>
      </c>
      <c r="B789" t="inlineStr">
        <is>
          <t>HJBM 50 T4 0.55</t>
        </is>
      </c>
      <c r="C789" t="inlineStr"/>
      <c r="D789" t="inlineStr">
        <is>
          <t>FM - SODECA</t>
        </is>
      </c>
      <c r="E789" s="1" t="n">
        <v>0</v>
      </c>
      <c r="F789" t="n">
        <v>1</v>
      </c>
      <c r="G789" t="n">
        <v>0</v>
      </c>
      <c r="H789" t="n">
        <v>2</v>
      </c>
      <c r="I789" t="n">
        <v>0</v>
      </c>
      <c r="J789" t="n">
        <v>0</v>
      </c>
      <c r="K789">
        <f>IF(H789-I789-J789&gt;0,H789-I789-J789,0)</f>
        <v/>
      </c>
      <c r="L789" s="1">
        <f>IFERROR(I789*E789,0)</f>
        <v/>
      </c>
      <c r="M789" s="1">
        <f>IFERROR(K789*E789,0)</f>
        <v/>
      </c>
    </row>
    <row r="790">
      <c r="A790" t="inlineStr">
        <is>
          <t>D100009</t>
        </is>
      </c>
      <c r="B790" t="inlineStr">
        <is>
          <t>CA/LINE 355 220-240V</t>
        </is>
      </c>
      <c r="C790" t="inlineStr"/>
      <c r="D790" t="inlineStr">
        <is>
          <t>FM - SODECA</t>
        </is>
      </c>
      <c r="E790" s="1" t="n">
        <v>0</v>
      </c>
      <c r="F790" t="n">
        <v>1</v>
      </c>
      <c r="G790" t="n">
        <v>0</v>
      </c>
      <c r="H790" t="n">
        <v>4</v>
      </c>
      <c r="I790" t="n">
        <v>0</v>
      </c>
      <c r="J790" t="n">
        <v>0</v>
      </c>
      <c r="K790">
        <f>IF(H790-I790-J790&gt;0,H790-I790-J790,0)</f>
        <v/>
      </c>
      <c r="L790" s="1">
        <f>IFERROR(I790*E790,0)</f>
        <v/>
      </c>
      <c r="M790" s="1">
        <f>IFERROR(K790*E790,0)</f>
        <v/>
      </c>
    </row>
    <row r="791">
      <c r="A791" t="inlineStr">
        <is>
          <t>D100010</t>
        </is>
      </c>
      <c r="B791" t="inlineStr">
        <is>
          <t>VKAP 100 LD 3.0</t>
        </is>
      </c>
      <c r="C791" t="inlineStr">
        <is>
          <t>Luft Industries Natal (Pty) Ltd</t>
        </is>
      </c>
      <c r="D791" t="inlineStr">
        <is>
          <t>FM - SODECA</t>
        </is>
      </c>
      <c r="E791" s="1" t="n">
        <v>2428.5</v>
      </c>
      <c r="F791" t="n">
        <v>1</v>
      </c>
      <c r="G791" t="n">
        <v>0</v>
      </c>
      <c r="H791" t="n">
        <v>2</v>
      </c>
      <c r="I791" t="n">
        <v>0</v>
      </c>
      <c r="J791" t="n">
        <v>0</v>
      </c>
      <c r="K791">
        <f>IF(H791-I791-J791&gt;0,H791-I791-J791,0)</f>
        <v/>
      </c>
      <c r="L791" s="1">
        <f>IFERROR(I791*E791,0)</f>
        <v/>
      </c>
      <c r="M791" s="1">
        <f>IFERROR(K791*E791,0)</f>
        <v/>
      </c>
    </row>
    <row r="792">
      <c r="A792" t="inlineStr">
        <is>
          <t>D100011</t>
        </is>
      </c>
      <c r="B792" t="inlineStr">
        <is>
          <t>SV-150-H</t>
        </is>
      </c>
      <c r="C792" t="inlineStr">
        <is>
          <t>Luft Industries Natal (Pty) Ltd</t>
        </is>
      </c>
      <c r="D792" t="inlineStr">
        <is>
          <t>FM - SODECA</t>
        </is>
      </c>
      <c r="E792" s="1" t="n">
        <v>1462.71</v>
      </c>
      <c r="F792" t="n">
        <v>1</v>
      </c>
      <c r="G792" t="n">
        <v>0</v>
      </c>
      <c r="H792" t="n">
        <v>2</v>
      </c>
      <c r="I792" t="n">
        <v>0</v>
      </c>
      <c r="J792" t="n">
        <v>0</v>
      </c>
      <c r="K792">
        <f>IF(H792-I792-J792&gt;0,H792-I792-J792,0)</f>
        <v/>
      </c>
      <c r="L792" s="1">
        <f>IFERROR(I792*E792,0)</f>
        <v/>
      </c>
      <c r="M792" s="1">
        <f>IFERROR(K792*E792,0)</f>
        <v/>
      </c>
    </row>
    <row r="793">
      <c r="A793" t="inlineStr">
        <is>
          <t>D100012</t>
        </is>
      </c>
      <c r="B793" t="inlineStr">
        <is>
          <t>HAT-24-4M</t>
        </is>
      </c>
      <c r="C793" t="inlineStr">
        <is>
          <t>Luft Industries Natal (Pty) Ltd</t>
        </is>
      </c>
      <c r="D793" t="inlineStr">
        <is>
          <t>FM - SODECA</t>
        </is>
      </c>
      <c r="E793" s="1" t="n">
        <v>1240</v>
      </c>
      <c r="F793" t="n">
        <v>1</v>
      </c>
      <c r="G793" t="n">
        <v>0</v>
      </c>
      <c r="H793" t="n">
        <v>2</v>
      </c>
      <c r="I793" t="n">
        <v>0</v>
      </c>
      <c r="J793" t="n">
        <v>0</v>
      </c>
      <c r="K793">
        <f>IF(H793-I793-J793&gt;0,H793-I793-J793,0)</f>
        <v/>
      </c>
      <c r="L793" s="1">
        <f>IFERROR(I793*E793,0)</f>
        <v/>
      </c>
      <c r="M793" s="1">
        <f>IFERROR(K793*E793,0)</f>
        <v/>
      </c>
    </row>
    <row r="794">
      <c r="A794" t="inlineStr">
        <is>
          <t>D100013</t>
        </is>
      </c>
      <c r="B794" t="inlineStr">
        <is>
          <t>CA-LINE-12</t>
        </is>
      </c>
      <c r="C794" t="inlineStr">
        <is>
          <t>Luft Industries Natal (Pty) Ltd</t>
        </is>
      </c>
      <c r="D794" t="inlineStr">
        <is>
          <t>FM - SODECA</t>
        </is>
      </c>
      <c r="E794" s="1" t="n">
        <v>1413.75</v>
      </c>
      <c r="F794" t="n">
        <v>1</v>
      </c>
      <c r="G794" t="n">
        <v>0</v>
      </c>
      <c r="H794" t="n">
        <v>3</v>
      </c>
      <c r="I794" t="n">
        <v>0</v>
      </c>
      <c r="J794" t="n">
        <v>0</v>
      </c>
      <c r="K794">
        <f>IF(H794-I794-J794&gt;0,H794-I794-J794,0)</f>
        <v/>
      </c>
      <c r="L794" s="1">
        <f>IFERROR(I794*E794,0)</f>
        <v/>
      </c>
      <c r="M794" s="1">
        <f>IFERROR(K794*E794,0)</f>
        <v/>
      </c>
    </row>
    <row r="795">
      <c r="A795" t="inlineStr">
        <is>
          <t>D100014</t>
        </is>
      </c>
      <c r="B795" t="inlineStr">
        <is>
          <t>CA-LINE-15</t>
        </is>
      </c>
      <c r="C795" t="inlineStr">
        <is>
          <t>Wide Range Engineering (Pty) Ltd</t>
        </is>
      </c>
      <c r="D795" t="inlineStr">
        <is>
          <t>FM - SODECA</t>
        </is>
      </c>
      <c r="E795" s="1" t="n">
        <v>2838.9</v>
      </c>
      <c r="F795" t="n">
        <v>1</v>
      </c>
      <c r="G795" t="n">
        <v>0</v>
      </c>
      <c r="H795" t="n">
        <v>2</v>
      </c>
      <c r="I795" t="n">
        <v>0</v>
      </c>
      <c r="J795" t="n">
        <v>0</v>
      </c>
      <c r="K795">
        <f>IF(H795-I795-J795&gt;0,H795-I795-J795,0)</f>
        <v/>
      </c>
      <c r="L795" s="1">
        <f>IFERROR(I795*E795,0)</f>
        <v/>
      </c>
      <c r="M795" s="1">
        <f>IFERROR(K795*E795,0)</f>
        <v/>
      </c>
    </row>
    <row r="796">
      <c r="A796" t="inlineStr">
        <is>
          <t>D100015</t>
        </is>
      </c>
      <c r="B796" t="inlineStr">
        <is>
          <t>CA-LINE-20</t>
        </is>
      </c>
      <c r="C796" t="inlineStr">
        <is>
          <t>Wide Range Engineering (Pty) Ltd</t>
        </is>
      </c>
      <c r="D796" t="inlineStr">
        <is>
          <t>FM - SODECA</t>
        </is>
      </c>
      <c r="E796" s="1" t="n">
        <v>2523.07</v>
      </c>
      <c r="F796" t="n">
        <v>1</v>
      </c>
      <c r="G796" t="n">
        <v>0</v>
      </c>
      <c r="H796" t="n">
        <v>2</v>
      </c>
      <c r="I796" t="n">
        <v>0</v>
      </c>
      <c r="J796" t="n">
        <v>0</v>
      </c>
      <c r="K796">
        <f>IF(H796-I796-J796&gt;0,H796-I796-J796,0)</f>
        <v/>
      </c>
      <c r="L796" s="1">
        <f>IFERROR(I796*E796,0)</f>
        <v/>
      </c>
      <c r="M796" s="1">
        <f>IFERROR(K796*E796,0)</f>
        <v/>
      </c>
    </row>
    <row r="797">
      <c r="A797" t="inlineStr">
        <is>
          <t>D100016</t>
        </is>
      </c>
      <c r="B797" t="inlineStr">
        <is>
          <t>NEOSILENT 200</t>
        </is>
      </c>
      <c r="C797" t="inlineStr">
        <is>
          <t>Luft Industries Natal (Pty) Ltd</t>
        </is>
      </c>
      <c r="D797" t="inlineStr">
        <is>
          <t>FM - SODECA</t>
        </is>
      </c>
      <c r="E797" s="1" t="n">
        <v>2681.07</v>
      </c>
      <c r="F797" t="n">
        <v>1</v>
      </c>
      <c r="G797" t="n">
        <v>0</v>
      </c>
      <c r="H797" t="n">
        <v>2</v>
      </c>
      <c r="I797" t="n">
        <v>0</v>
      </c>
      <c r="J797" t="n">
        <v>0</v>
      </c>
      <c r="K797">
        <f>IF(H797-I797-J797&gt;0,H797-I797-J797,0)</f>
        <v/>
      </c>
      <c r="L797" s="1">
        <f>IFERROR(I797*E797,0)</f>
        <v/>
      </c>
      <c r="M797" s="1">
        <f>IFERROR(K797*E797,0)</f>
        <v/>
      </c>
    </row>
    <row r="798">
      <c r="A798" t="inlineStr">
        <is>
          <t>D100017</t>
        </is>
      </c>
      <c r="B798" t="inlineStr">
        <is>
          <t>NEOSILENT 150</t>
        </is>
      </c>
      <c r="C798" t="inlineStr">
        <is>
          <t>Luft Industries Natal (Pty) Ltd</t>
        </is>
      </c>
      <c r="D798" t="inlineStr">
        <is>
          <t>FM - SODECA</t>
        </is>
      </c>
      <c r="E798" s="1" t="n">
        <v>930</v>
      </c>
      <c r="F798" t="n">
        <v>1</v>
      </c>
      <c r="G798" t="n">
        <v>0</v>
      </c>
      <c r="H798" t="n">
        <v>2</v>
      </c>
      <c r="I798" t="n">
        <v>0</v>
      </c>
      <c r="J798" t="n">
        <v>0</v>
      </c>
      <c r="K798">
        <f>IF(H798-I798-J798&gt;0,H798-I798-J798,0)</f>
        <v/>
      </c>
      <c r="L798" s="1">
        <f>IFERROR(I798*E798,0)</f>
        <v/>
      </c>
      <c r="M798" s="1">
        <f>IFERROR(K798*E798,0)</f>
        <v/>
      </c>
    </row>
    <row r="799">
      <c r="A799" t="inlineStr">
        <is>
          <t>D100018</t>
        </is>
      </c>
      <c r="B799" t="inlineStr">
        <is>
          <t>CA-160-2T-2</t>
        </is>
      </c>
      <c r="C799" t="inlineStr">
        <is>
          <t>Luft Industries Natal (Pty) Ltd</t>
        </is>
      </c>
      <c r="D799" t="inlineStr">
        <is>
          <t>FM - SODECA</t>
        </is>
      </c>
      <c r="E799" s="1" t="n">
        <v>338.39</v>
      </c>
      <c r="F799" t="n">
        <v>1</v>
      </c>
      <c r="G799" t="n">
        <v>0</v>
      </c>
      <c r="H799" t="n">
        <v>2</v>
      </c>
      <c r="I799" t="n">
        <v>0</v>
      </c>
      <c r="J799" t="n">
        <v>0</v>
      </c>
      <c r="K799">
        <f>IF(H799-I799-J799&gt;0,H799-I799-J799,0)</f>
        <v/>
      </c>
      <c r="L799" s="1">
        <f>IFERROR(I799*E799,0)</f>
        <v/>
      </c>
      <c r="M799" s="1">
        <f>IFERROR(K799*E799,0)</f>
        <v/>
      </c>
    </row>
    <row r="800">
      <c r="A800" t="inlineStr">
        <is>
          <t>D100019</t>
        </is>
      </c>
      <c r="B800" t="inlineStr">
        <is>
          <t>BD 9/9 - M4 0.35KW 230V - 500HZ STC</t>
        </is>
      </c>
      <c r="C800" t="inlineStr">
        <is>
          <t>Luft Industries Natal (Pty) Ltd</t>
        </is>
      </c>
      <c r="D800" t="inlineStr">
        <is>
          <t>FM - NICOTRA</t>
        </is>
      </c>
      <c r="E800" s="1" t="n">
        <v>906.86</v>
      </c>
      <c r="F800" t="n">
        <v>1</v>
      </c>
      <c r="G800" t="n">
        <v>0</v>
      </c>
      <c r="H800" t="n">
        <v>2</v>
      </c>
      <c r="I800" t="n">
        <v>0</v>
      </c>
      <c r="J800" t="n">
        <v>0</v>
      </c>
      <c r="K800">
        <f>IF(H800-I800-J800&gt;0,H800-I800-J800,0)</f>
        <v/>
      </c>
      <c r="L800" s="1">
        <f>IFERROR(I800*E800,0)</f>
        <v/>
      </c>
      <c r="M800" s="1">
        <f>IFERROR(K800*E800,0)</f>
        <v/>
      </c>
    </row>
    <row r="801">
      <c r="A801" t="inlineStr">
        <is>
          <t>D100020</t>
        </is>
      </c>
      <c r="B801" t="inlineStr">
        <is>
          <t>DDM 9/9 6P</t>
        </is>
      </c>
      <c r="C801" t="inlineStr">
        <is>
          <t>Attenu-Tec</t>
        </is>
      </c>
      <c r="D801" t="inlineStr">
        <is>
          <t>FM - NICOTRA</t>
        </is>
      </c>
      <c r="E801" s="1" t="n">
        <v>10531</v>
      </c>
      <c r="F801" t="n">
        <v>1</v>
      </c>
      <c r="G801" t="n">
        <v>0</v>
      </c>
      <c r="H801" t="n">
        <v>3</v>
      </c>
      <c r="I801" t="n">
        <v>0</v>
      </c>
      <c r="J801" t="n">
        <v>0</v>
      </c>
      <c r="K801">
        <f>IF(H801-I801-J801&gt;0,H801-I801-J801,0)</f>
        <v/>
      </c>
      <c r="L801" s="1">
        <f>IFERROR(I801*E801,0)</f>
        <v/>
      </c>
      <c r="M801" s="1">
        <f>IFERROR(K801*E801,0)</f>
        <v/>
      </c>
    </row>
    <row r="802">
      <c r="A802" t="inlineStr">
        <is>
          <t>D100021</t>
        </is>
      </c>
      <c r="B802" t="inlineStr">
        <is>
          <t>DDM 10/8 245W 230V 6P 6M0648</t>
        </is>
      </c>
      <c r="C802" t="inlineStr"/>
      <c r="D802" t="inlineStr">
        <is>
          <t>FM - NICOTRA</t>
        </is>
      </c>
      <c r="E802" s="1" t="n">
        <v>0</v>
      </c>
      <c r="F802" t="n">
        <v>1</v>
      </c>
      <c r="G802" t="n">
        <v>0</v>
      </c>
      <c r="H802" t="n">
        <v>2</v>
      </c>
      <c r="I802" t="n">
        <v>0</v>
      </c>
      <c r="J802" t="n">
        <v>0</v>
      </c>
      <c r="K802">
        <f>IF(H802-I802-J802&gt;0,H802-I802-J802,0)</f>
        <v/>
      </c>
      <c r="L802" s="1">
        <f>IFERROR(I802*E802,0)</f>
        <v/>
      </c>
      <c r="M802" s="1">
        <f>IFERROR(K802*E802,0)</f>
        <v/>
      </c>
    </row>
    <row r="803">
      <c r="A803" t="inlineStr">
        <is>
          <t>D100023</t>
        </is>
      </c>
      <c r="B803" t="inlineStr">
        <is>
          <t>BD 12/12 T6 1.1KW 230V/400 50HZ LPC</t>
        </is>
      </c>
      <c r="C803" t="inlineStr"/>
      <c r="D803" t="inlineStr">
        <is>
          <t>FM - NICOTRA</t>
        </is>
      </c>
      <c r="E803" s="1" t="n">
        <v>0</v>
      </c>
      <c r="F803" t="n">
        <v>1</v>
      </c>
      <c r="G803" t="n">
        <v>0</v>
      </c>
      <c r="H803" t="n">
        <v>5</v>
      </c>
      <c r="I803" t="n">
        <v>0</v>
      </c>
      <c r="J803" t="n">
        <v>0</v>
      </c>
      <c r="K803">
        <f>IF(H803-I803-J803&gt;0,H803-I803-J803,0)</f>
        <v/>
      </c>
      <c r="L803" s="1">
        <f>IFERROR(I803*E803,0)</f>
        <v/>
      </c>
      <c r="M803" s="1">
        <f>IFERROR(K803*E803,0)</f>
        <v/>
      </c>
    </row>
    <row r="804">
      <c r="A804" t="inlineStr">
        <is>
          <t>D100039</t>
        </is>
      </c>
      <c r="B804" t="inlineStr">
        <is>
          <t>CONTROL UNIT</t>
        </is>
      </c>
      <c r="C804" t="inlineStr">
        <is>
          <t>Attenu-Tec</t>
        </is>
      </c>
      <c r="D804" t="inlineStr">
        <is>
          <t>FM - FPZ</t>
        </is>
      </c>
      <c r="E804" s="1" t="n">
        <v>2827.17</v>
      </c>
      <c r="F804" t="n">
        <v>12</v>
      </c>
      <c r="G804" t="n">
        <v>0</v>
      </c>
      <c r="H804" t="n">
        <v>43</v>
      </c>
      <c r="I804" t="n">
        <v>0</v>
      </c>
      <c r="J804" t="n">
        <v>0</v>
      </c>
      <c r="K804">
        <f>IF(H804-I804-J804&gt;0,H804-I804-J804,0)</f>
        <v/>
      </c>
      <c r="L804" s="1">
        <f>IFERROR(I804*E804,0)</f>
        <v/>
      </c>
      <c r="M804" s="1">
        <f>IFERROR(K804*E804,0)</f>
        <v/>
      </c>
    </row>
    <row r="805">
      <c r="A805" t="inlineStr">
        <is>
          <t>D100056</t>
        </is>
      </c>
      <c r="B805" t="inlineStr">
        <is>
          <t>KSB 200 BOX FAN</t>
        </is>
      </c>
      <c r="C805" t="inlineStr"/>
      <c r="D805" t="inlineStr">
        <is>
          <t>FM - DONKIN</t>
        </is>
      </c>
      <c r="E805" s="1" t="n">
        <v>0</v>
      </c>
      <c r="F805" t="n">
        <v>1</v>
      </c>
      <c r="G805" t="n">
        <v>0</v>
      </c>
      <c r="H805" t="n">
        <v>4</v>
      </c>
      <c r="I805" t="n">
        <v>0</v>
      </c>
      <c r="J805" t="n">
        <v>0</v>
      </c>
      <c r="K805">
        <f>IF(H805-I805-J805&gt;0,H805-I805-J805,0)</f>
        <v/>
      </c>
      <c r="L805" s="1">
        <f>IFERROR(I805*E805,0)</f>
        <v/>
      </c>
      <c r="M805" s="1">
        <f>IFERROR(K805*E805,0)</f>
        <v/>
      </c>
    </row>
    <row r="806">
      <c r="A806" t="inlineStr">
        <is>
          <t>D100058</t>
        </is>
      </c>
      <c r="B806" t="inlineStr">
        <is>
          <t>KSB 250 BOX FAN</t>
        </is>
      </c>
      <c r="C806" t="inlineStr"/>
      <c r="D806" t="inlineStr">
        <is>
          <t>FM - DONKIN</t>
        </is>
      </c>
      <c r="E806" s="1" t="n">
        <v>0</v>
      </c>
      <c r="F806" t="n">
        <v>1</v>
      </c>
      <c r="G806" t="n">
        <v>0</v>
      </c>
      <c r="H806" t="n">
        <v>2</v>
      </c>
      <c r="I806" t="n">
        <v>0</v>
      </c>
      <c r="J806" t="n">
        <v>0</v>
      </c>
      <c r="K806">
        <f>IF(H806-I806-J806&gt;0,H806-I806-J806,0)</f>
        <v/>
      </c>
      <c r="L806" s="1">
        <f>IFERROR(I806*E806,0)</f>
        <v/>
      </c>
      <c r="M806" s="1">
        <f>IFERROR(K806*E806,0)</f>
        <v/>
      </c>
    </row>
    <row r="807">
      <c r="A807" t="inlineStr">
        <is>
          <t>D100059</t>
        </is>
      </c>
      <c r="B807" t="inlineStr">
        <is>
          <t>TT SILENT M250</t>
        </is>
      </c>
      <c r="C807" t="inlineStr"/>
      <c r="D807" t="inlineStr">
        <is>
          <t>FM - DONKIN</t>
        </is>
      </c>
      <c r="E807" s="1" t="n">
        <v>0</v>
      </c>
      <c r="F807" t="n">
        <v>1</v>
      </c>
      <c r="G807" t="n">
        <v>0</v>
      </c>
      <c r="H807" t="n">
        <v>5</v>
      </c>
      <c r="I807" t="n">
        <v>0</v>
      </c>
      <c r="J807" t="n">
        <v>0</v>
      </c>
      <c r="K807">
        <f>IF(H807-I807-J807&gt;0,H807-I807-J807,0)</f>
        <v/>
      </c>
      <c r="L807" s="1">
        <f>IFERROR(I807*E807,0)</f>
        <v/>
      </c>
      <c r="M807" s="1">
        <f>IFERROR(K807*E807,0)</f>
        <v/>
      </c>
    </row>
    <row r="808">
      <c r="A808" t="inlineStr">
        <is>
          <t>D100073</t>
        </is>
      </c>
      <c r="B808" t="inlineStr">
        <is>
          <t>CE250BB</t>
        </is>
      </c>
      <c r="C808" t="inlineStr"/>
      <c r="D808" t="inlineStr"/>
      <c r="E808" s="1" t="n">
        <v>0</v>
      </c>
      <c r="F808" t="n">
        <v>1</v>
      </c>
      <c r="G808" t="n">
        <v>0</v>
      </c>
      <c r="H808" t="n">
        <v>4</v>
      </c>
      <c r="I808" t="n">
        <v>0</v>
      </c>
      <c r="J808" t="n">
        <v>0</v>
      </c>
      <c r="K808">
        <f>IF(H808-I808-J808&gt;0,H808-I808-J808,0)</f>
        <v/>
      </c>
      <c r="L808" s="1">
        <f>IFERROR(I808*E808,0)</f>
        <v/>
      </c>
      <c r="M808" s="1">
        <f>IFERROR(K808*E808,0)</f>
        <v/>
      </c>
    </row>
    <row r="809">
      <c r="A809" t="inlineStr">
        <is>
          <t>D10075</t>
        </is>
      </c>
      <c r="B809" t="inlineStr">
        <is>
          <t>Lineo 125 Kit</t>
        </is>
      </c>
      <c r="C809" t="inlineStr"/>
      <c r="D809" t="inlineStr"/>
      <c r="E809" s="1" t="n">
        <v>0</v>
      </c>
      <c r="F809" t="n">
        <v>2</v>
      </c>
      <c r="G809" t="n">
        <v>0</v>
      </c>
      <c r="H809" t="n">
        <v>8</v>
      </c>
      <c r="I809" t="n">
        <v>0</v>
      </c>
      <c r="J809" t="n">
        <v>0</v>
      </c>
      <c r="K809">
        <f>IF(H809-I809-J809&gt;0,H809-I809-J809,0)</f>
        <v/>
      </c>
      <c r="L809" s="1">
        <f>IFERROR(I809*E809,0)</f>
        <v/>
      </c>
      <c r="M809" s="1">
        <f>IFERROR(K809*E809,0)</f>
        <v/>
      </c>
    </row>
    <row r="810">
      <c r="A810" t="inlineStr">
        <is>
          <t>D4E180</t>
        </is>
      </c>
      <c r="B810" t="inlineStr">
        <is>
          <t>CA02-02 50/60Hz 230V</t>
        </is>
      </c>
      <c r="C810" t="inlineStr">
        <is>
          <t>Ebmpapst</t>
        </is>
      </c>
      <c r="D810" t="inlineStr"/>
      <c r="E810" s="1" t="n">
        <v>6032.72</v>
      </c>
      <c r="F810" t="n">
        <v>1</v>
      </c>
      <c r="G810" t="n">
        <v>0</v>
      </c>
      <c r="H810" t="n">
        <v>2</v>
      </c>
      <c r="I810" t="n">
        <v>0</v>
      </c>
      <c r="J810" t="n">
        <v>0</v>
      </c>
      <c r="K810">
        <f>IF(H810-I810-J810&gt;0,H810-I810-J810,0)</f>
        <v/>
      </c>
      <c r="L810" s="1">
        <f>IFERROR(I810*E810,0)</f>
        <v/>
      </c>
      <c r="M810" s="1">
        <f>IFERROR(K810*E810,0)</f>
        <v/>
      </c>
    </row>
    <row r="811">
      <c r="A811" t="inlineStr">
        <is>
          <t>DMP</t>
        </is>
      </c>
      <c r="B811" t="inlineStr">
        <is>
          <t>VCDQK - VC DAMPER WITH QUADRANT KIT 150*150</t>
        </is>
      </c>
      <c r="C811" t="inlineStr">
        <is>
          <t>Advantage Air Africa Pty Ltd</t>
        </is>
      </c>
      <c r="D811" t="inlineStr"/>
      <c r="E811" s="1" t="n">
        <v>0</v>
      </c>
      <c r="F811" t="n">
        <v>65</v>
      </c>
      <c r="G811" t="n">
        <v>0</v>
      </c>
      <c r="H811" t="n">
        <v>325</v>
      </c>
      <c r="I811" t="n">
        <v>0</v>
      </c>
      <c r="J811" t="n">
        <v>0</v>
      </c>
      <c r="K811">
        <f>IF(H811-I811-J811&gt;0,H811-I811-J811,0)</f>
        <v/>
      </c>
      <c r="L811" s="1">
        <f>IFERROR(I811*E811,0)</f>
        <v/>
      </c>
      <c r="M811" s="1">
        <f>IFERROR(K811*E811,0)</f>
        <v/>
      </c>
    </row>
    <row r="812">
      <c r="A812" t="inlineStr">
        <is>
          <t>DRILL BIT</t>
        </is>
      </c>
      <c r="B812" t="inlineStr">
        <is>
          <t>3MM - Drill bit 3mm HSS</t>
        </is>
      </c>
      <c r="C812" t="inlineStr">
        <is>
          <t>SPARES 2000 CC t/a SHARP-RITE</t>
        </is>
      </c>
      <c r="D812" t="inlineStr"/>
      <c r="E812" s="1" t="n">
        <v>0</v>
      </c>
      <c r="F812" t="n">
        <v>22</v>
      </c>
      <c r="G812" t="n">
        <v>0</v>
      </c>
      <c r="H812" t="n">
        <v>108</v>
      </c>
      <c r="I812" t="n">
        <v>0</v>
      </c>
      <c r="J812" t="n">
        <v>0</v>
      </c>
      <c r="K812">
        <f>IF(H812-I812-J812&gt;0,H812-I812-J812,0)</f>
        <v/>
      </c>
      <c r="L812" s="1">
        <f>IFERROR(I812*E812,0)</f>
        <v/>
      </c>
      <c r="M812" s="1">
        <f>IFERROR(K812*E812,0)</f>
        <v/>
      </c>
    </row>
    <row r="813">
      <c r="A813" t="inlineStr">
        <is>
          <t>DTG/01</t>
        </is>
      </c>
      <c r="B813" t="inlineStr">
        <is>
          <t>DRG 300x150 Mill c/w Powder Coating</t>
        </is>
      </c>
      <c r="C813" t="inlineStr"/>
      <c r="D813" t="inlineStr"/>
      <c r="E813" s="1" t="n">
        <v>0</v>
      </c>
      <c r="F813" t="n">
        <v>3</v>
      </c>
      <c r="G813" t="n">
        <v>0</v>
      </c>
      <c r="H813" t="n">
        <v>15</v>
      </c>
      <c r="I813" t="n">
        <v>0</v>
      </c>
      <c r="J813" t="n">
        <v>0</v>
      </c>
      <c r="K813">
        <f>IF(H813-I813-J813&gt;0,H813-I813-J813,0)</f>
        <v/>
      </c>
      <c r="L813" s="1">
        <f>IFERROR(I813*E813,0)</f>
        <v/>
      </c>
      <c r="M813" s="1">
        <f>IFERROR(K813*E813,0)</f>
        <v/>
      </c>
    </row>
    <row r="814">
      <c r="A814" t="inlineStr">
        <is>
          <t>Delivery</t>
        </is>
      </c>
      <c r="B814" t="inlineStr">
        <is>
          <t>- Delivery</t>
        </is>
      </c>
      <c r="C814" t="inlineStr">
        <is>
          <t>D3 Express (PTY) Ltd</t>
        </is>
      </c>
      <c r="D814" t="inlineStr"/>
      <c r="E814" s="1" t="n">
        <v>0</v>
      </c>
      <c r="F814" t="n">
        <v>1</v>
      </c>
      <c r="G814" t="n">
        <v>0</v>
      </c>
      <c r="H814" t="n">
        <v>4</v>
      </c>
      <c r="I814" t="n">
        <v>0</v>
      </c>
      <c r="J814" t="n">
        <v>0</v>
      </c>
      <c r="K814">
        <f>IF(H814-I814-J814&gt;0,H814-I814-J814,0)</f>
        <v/>
      </c>
      <c r="L814" s="1">
        <f>IFERROR(I814*E814,0)</f>
        <v/>
      </c>
      <c r="M814" s="1">
        <f>IFERROR(K814*E814,0)</f>
        <v/>
      </c>
    </row>
    <row r="815">
      <c r="A815" t="inlineStr">
        <is>
          <t>Disc Valve</t>
        </is>
      </c>
      <c r="B815" t="inlineStr">
        <is>
          <t>100 Diam</t>
        </is>
      </c>
      <c r="C815" t="inlineStr"/>
      <c r="D815" t="inlineStr">
        <is>
          <t>Accessories</t>
        </is>
      </c>
      <c r="E815" s="1" t="n">
        <v>0</v>
      </c>
      <c r="F815" t="n">
        <v>9</v>
      </c>
      <c r="G815" t="n">
        <v>0</v>
      </c>
      <c r="H815" t="n">
        <v>45</v>
      </c>
      <c r="I815" t="n">
        <v>0</v>
      </c>
      <c r="J815" t="n">
        <v>0</v>
      </c>
      <c r="K815">
        <f>IF(H815-I815-J815&gt;0,H815-I815-J815,0)</f>
        <v/>
      </c>
      <c r="L815" s="1">
        <f>IFERROR(I815*E815,0)</f>
        <v/>
      </c>
      <c r="M815" s="1">
        <f>IFERROR(K815*E815,0)</f>
        <v/>
      </c>
    </row>
    <row r="816">
      <c r="A816" t="inlineStr">
        <is>
          <t>Duct</t>
        </is>
      </c>
      <c r="B816" t="inlineStr">
        <is>
          <t>10 Meter Spiral Flexible Ducting</t>
        </is>
      </c>
      <c r="C816" t="inlineStr">
        <is>
          <t>AF Fans CC</t>
        </is>
      </c>
      <c r="D816" t="inlineStr"/>
      <c r="E816" s="1" t="n">
        <v>169.4</v>
      </c>
      <c r="F816" t="n">
        <v>1</v>
      </c>
      <c r="G816" t="n">
        <v>0</v>
      </c>
      <c r="H816" t="n">
        <v>2</v>
      </c>
      <c r="I816" t="n">
        <v>0</v>
      </c>
      <c r="J816" t="n">
        <v>0</v>
      </c>
      <c r="K816">
        <f>IF(H816-I816-J816&gt;0,H816-I816-J816,0)</f>
        <v/>
      </c>
      <c r="L816" s="1">
        <f>IFERROR(I816*E816,0)</f>
        <v/>
      </c>
      <c r="M816" s="1">
        <f>IFERROR(K816*E816,0)</f>
        <v/>
      </c>
    </row>
    <row r="817">
      <c r="A817" t="inlineStr">
        <is>
          <t>E)</t>
        </is>
      </c>
      <c r="B817" t="inlineStr">
        <is>
          <t>Brackets - sets motor mounting brackets (threaded rod)</t>
        </is>
      </c>
      <c r="C817" t="inlineStr">
        <is>
          <t>CFW Fans (Pty) Ltd</t>
        </is>
      </c>
      <c r="D817" t="inlineStr"/>
      <c r="E817" s="1" t="n">
        <v>172</v>
      </c>
      <c r="F817" t="n">
        <v>2</v>
      </c>
      <c r="G817" t="n">
        <v>0</v>
      </c>
      <c r="H817" t="n">
        <v>8</v>
      </c>
      <c r="I817" t="n">
        <v>0</v>
      </c>
      <c r="J817" t="n">
        <v>0</v>
      </c>
      <c r="K817">
        <f>IF(H817-I817-J817&gt;0,H817-I817-J817,0)</f>
        <v/>
      </c>
      <c r="L817" s="1">
        <f>IFERROR(I817*E817,0)</f>
        <v/>
      </c>
      <c r="M817" s="1">
        <f>IFERROR(K817*E817,0)</f>
        <v/>
      </c>
    </row>
    <row r="818">
      <c r="A818" t="inlineStr">
        <is>
          <t>E01-FAN1</t>
        </is>
      </c>
      <c r="B818" t="inlineStr">
        <is>
          <t>Torrette TR-A 450 T4 2.2KW ATEX ZONE 1 - Explosion Proof Roof Top Exhaust Fan</t>
        </is>
      </c>
      <c r="C818" t="inlineStr"/>
      <c r="D818" t="inlineStr"/>
      <c r="E818" s="1" t="n">
        <v>0</v>
      </c>
      <c r="F818" t="n">
        <v>1</v>
      </c>
      <c r="G818" t="n">
        <v>0</v>
      </c>
      <c r="H818" t="n">
        <v>5</v>
      </c>
      <c r="I818" t="n">
        <v>0</v>
      </c>
      <c r="J818" t="n">
        <v>0</v>
      </c>
      <c r="K818">
        <f>IF(H818-I818-J818&gt;0,H818-I818-J818,0)</f>
        <v/>
      </c>
      <c r="L818" s="1">
        <f>IFERROR(I818*E818,0)</f>
        <v/>
      </c>
      <c r="M818" s="1">
        <f>IFERROR(K818*E818,0)</f>
        <v/>
      </c>
    </row>
    <row r="819">
      <c r="A819" t="inlineStr">
        <is>
          <t>E01-FAN2</t>
        </is>
      </c>
      <c r="B819" t="inlineStr">
        <is>
          <t>TORRETTE TR-A 355 T4 0.55KW ATEX Zone 1 - Explosion Proof Roof Top Exhaust Fan</t>
        </is>
      </c>
      <c r="C819" t="inlineStr"/>
      <c r="D819" t="inlineStr"/>
      <c r="E819" s="1" t="n">
        <v>0</v>
      </c>
      <c r="F819" t="n">
        <v>1</v>
      </c>
      <c r="G819" t="n">
        <v>0</v>
      </c>
      <c r="H819" t="n">
        <v>5</v>
      </c>
      <c r="I819" t="n">
        <v>0</v>
      </c>
      <c r="J819" t="n">
        <v>0</v>
      </c>
      <c r="K819">
        <f>IF(H819-I819-J819&gt;0,H819-I819-J819,0)</f>
        <v/>
      </c>
      <c r="L819" s="1">
        <f>IFERROR(I819*E819,0)</f>
        <v/>
      </c>
      <c r="M819" s="1">
        <f>IFERROR(K819*E819,0)</f>
        <v/>
      </c>
    </row>
    <row r="820">
      <c r="A820" t="inlineStr">
        <is>
          <t>E01-FAN3</t>
        </is>
      </c>
      <c r="B820" t="inlineStr">
        <is>
          <t>ENKEL QBK 190 EC - Cassette Type Exhaust Fan</t>
        </is>
      </c>
      <c r="C820" t="inlineStr"/>
      <c r="D820" t="inlineStr"/>
      <c r="E820" s="1" t="n">
        <v>0</v>
      </c>
      <c r="F820" t="n">
        <v>1</v>
      </c>
      <c r="G820" t="n">
        <v>0</v>
      </c>
      <c r="H820" t="n">
        <v>2</v>
      </c>
      <c r="I820" t="n">
        <v>0</v>
      </c>
      <c r="J820" t="n">
        <v>0</v>
      </c>
      <c r="K820">
        <f>IF(H820-I820-J820&gt;0,H820-I820-J820,0)</f>
        <v/>
      </c>
      <c r="L820" s="1">
        <f>IFERROR(I820*E820,0)</f>
        <v/>
      </c>
      <c r="M820" s="1">
        <f>IFERROR(K820*E820,0)</f>
        <v/>
      </c>
    </row>
    <row r="821">
      <c r="A821" t="inlineStr">
        <is>
          <t>E01-FAN4</t>
        </is>
      </c>
      <c r="B821" t="inlineStr">
        <is>
          <t>CA 150 MD E RF - Roof Top Exhaust Fan</t>
        </is>
      </c>
      <c r="C821" t="inlineStr"/>
      <c r="D821" t="inlineStr"/>
      <c r="E821" s="1" t="n">
        <v>0</v>
      </c>
      <c r="F821" t="n">
        <v>1</v>
      </c>
      <c r="G821" t="n">
        <v>0</v>
      </c>
      <c r="H821" t="n">
        <v>5</v>
      </c>
      <c r="I821" t="n">
        <v>0</v>
      </c>
      <c r="J821" t="n">
        <v>0</v>
      </c>
      <c r="K821">
        <f>IF(H821-I821-J821&gt;0,H821-I821-J821,0)</f>
        <v/>
      </c>
      <c r="L821" s="1">
        <f>IFERROR(I821*E821,0)</f>
        <v/>
      </c>
      <c r="M821" s="1">
        <f>IFERROR(K821*E821,0)</f>
        <v/>
      </c>
    </row>
    <row r="822">
      <c r="A822" t="inlineStr">
        <is>
          <t>E01-FAN5</t>
        </is>
      </c>
      <c r="B822" t="inlineStr">
        <is>
          <t>A-E 354 T - Wall Mounted Exhaust Fan</t>
        </is>
      </c>
      <c r="C822" t="inlineStr"/>
      <c r="D822" t="inlineStr"/>
      <c r="E822" s="1" t="n">
        <v>0</v>
      </c>
      <c r="F822" t="n">
        <v>1</v>
      </c>
      <c r="G822" t="n">
        <v>0</v>
      </c>
      <c r="H822" t="n">
        <v>2</v>
      </c>
      <c r="I822" t="n">
        <v>0</v>
      </c>
      <c r="J822" t="n">
        <v>0</v>
      </c>
      <c r="K822">
        <f>IF(H822-I822-J822&gt;0,H822-I822-J822,0)</f>
        <v/>
      </c>
      <c r="L822" s="1">
        <f>IFERROR(I822*E822,0)</f>
        <v/>
      </c>
      <c r="M822" s="1">
        <f>IFERROR(K822*E822,0)</f>
        <v/>
      </c>
    </row>
    <row r="823">
      <c r="A823" t="inlineStr">
        <is>
          <t>E01-FAN6</t>
        </is>
      </c>
      <c r="B823" t="inlineStr">
        <is>
          <t>A-E 304 T - Wall Mounted Exhaust Fan</t>
        </is>
      </c>
      <c r="C823" t="inlineStr"/>
      <c r="D823" t="inlineStr"/>
      <c r="E823" s="1" t="n">
        <v>0</v>
      </c>
      <c r="F823" t="n">
        <v>1</v>
      </c>
      <c r="G823" t="n">
        <v>0</v>
      </c>
      <c r="H823" t="n">
        <v>2</v>
      </c>
      <c r="I823" t="n">
        <v>0</v>
      </c>
      <c r="J823" t="n">
        <v>0</v>
      </c>
      <c r="K823">
        <f>IF(H823-I823-J823&gt;0,H823-I823-J823,0)</f>
        <v/>
      </c>
      <c r="L823" s="1">
        <f>IFERROR(I823*E823,0)</f>
        <v/>
      </c>
      <c r="M823" s="1">
        <f>IFERROR(K823*E823,0)</f>
        <v/>
      </c>
    </row>
    <row r="824">
      <c r="A824" t="inlineStr">
        <is>
          <t>E1006999</t>
        </is>
      </c>
      <c r="B824" t="inlineStr">
        <is>
          <t>BD-140 / INOX 316 - Inlet Transition</t>
        </is>
      </c>
      <c r="C824" t="inlineStr">
        <is>
          <t>SODECA</t>
        </is>
      </c>
      <c r="D824" t="inlineStr"/>
      <c r="E824" s="1" t="n">
        <v>793.0700000000001</v>
      </c>
      <c r="F824" t="n">
        <v>4</v>
      </c>
      <c r="G824" t="n">
        <v>0</v>
      </c>
      <c r="H824" t="n">
        <v>8</v>
      </c>
      <c r="I824" t="n">
        <v>0</v>
      </c>
      <c r="J824" t="n">
        <v>0</v>
      </c>
      <c r="K824">
        <f>IF(H824-I824-J824&gt;0,H824-I824-J824,0)</f>
        <v/>
      </c>
      <c r="L824" s="1">
        <f>IFERROR(I824*E824,0)</f>
        <v/>
      </c>
      <c r="M824" s="1">
        <f>IFERROR(K824*E824,0)</f>
        <v/>
      </c>
    </row>
    <row r="825">
      <c r="A825" t="inlineStr">
        <is>
          <t>E1012489</t>
        </is>
      </c>
      <c r="B825" t="inlineStr">
        <is>
          <t>CMP-514-2T UL/CSA 480V. 60Hz</t>
        </is>
      </c>
      <c r="C825" t="inlineStr">
        <is>
          <t>SODECA</t>
        </is>
      </c>
      <c r="D825" t="inlineStr"/>
      <c r="E825" s="1" t="n">
        <v>14037.31</v>
      </c>
      <c r="F825" t="n">
        <v>4</v>
      </c>
      <c r="G825" t="n">
        <v>0</v>
      </c>
      <c r="H825" t="n">
        <v>8</v>
      </c>
      <c r="I825" t="n">
        <v>0</v>
      </c>
      <c r="J825" t="n">
        <v>0</v>
      </c>
      <c r="K825">
        <f>IF(H825-I825-J825&gt;0,H825-I825-J825,0)</f>
        <v/>
      </c>
      <c r="L825" s="1">
        <f>IFERROR(I825*E825,0)</f>
        <v/>
      </c>
      <c r="M825" s="1">
        <f>IFERROR(K825*E825,0)</f>
        <v/>
      </c>
    </row>
    <row r="826">
      <c r="A826" t="inlineStr">
        <is>
          <t>E1350433</t>
        </is>
      </c>
      <c r="B826" t="inlineStr">
        <is>
          <t>HCT/EC-45-2T-2 400V. 50/60Hz. IE5</t>
        </is>
      </c>
      <c r="C826" t="inlineStr">
        <is>
          <t>SODECA</t>
        </is>
      </c>
      <c r="D826" t="inlineStr"/>
      <c r="E826" s="1" t="n">
        <v>20527.39</v>
      </c>
      <c r="F826" t="n">
        <v>1</v>
      </c>
      <c r="G826" t="n">
        <v>0</v>
      </c>
      <c r="H826" t="n">
        <v>3</v>
      </c>
      <c r="I826" t="n">
        <v>0</v>
      </c>
      <c r="J826" t="n">
        <v>0</v>
      </c>
      <c r="K826">
        <f>IF(H826-I826-J826&gt;0,H826-I826-J826,0)</f>
        <v/>
      </c>
      <c r="L826" s="1">
        <f>IFERROR(I826*E826,0)</f>
        <v/>
      </c>
      <c r="M826" s="1">
        <f>IFERROR(K826*E826,0)</f>
        <v/>
      </c>
    </row>
    <row r="827">
      <c r="A827" t="inlineStr">
        <is>
          <t>EAF 06.</t>
        </is>
      </c>
      <c r="B827" t="inlineStr">
        <is>
          <t>3040 l/s @ 300Pa (Set 710 Blades to 20 Degree)</t>
        </is>
      </c>
      <c r="C827" t="inlineStr"/>
      <c r="D827" t="inlineStr"/>
      <c r="E827" s="1" t="n">
        <v>0</v>
      </c>
      <c r="F827" t="n">
        <v>1</v>
      </c>
      <c r="G827" t="n">
        <v>0</v>
      </c>
      <c r="H827" t="n">
        <v>2</v>
      </c>
      <c r="I827" t="n">
        <v>0</v>
      </c>
      <c r="J827" t="n">
        <v>0</v>
      </c>
      <c r="K827">
        <f>IF(H827-I827-J827&gt;0,H827-I827-J827,0)</f>
        <v/>
      </c>
      <c r="L827" s="1">
        <f>IFERROR(I827*E827,0)</f>
        <v/>
      </c>
      <c r="M827" s="1">
        <f>IFERROR(K827*E827,0)</f>
        <v/>
      </c>
    </row>
    <row r="828">
      <c r="A828" t="inlineStr">
        <is>
          <t>ECO100220</t>
        </is>
      </c>
      <c r="B828" t="inlineStr">
        <is>
          <t>Bubble Wrap - 1250mm x 100mm</t>
        </is>
      </c>
      <c r="C828" t="inlineStr">
        <is>
          <t>Econopak CC</t>
        </is>
      </c>
      <c r="D828" t="inlineStr"/>
      <c r="E828" s="1" t="n">
        <v>291.06</v>
      </c>
      <c r="F828" t="n">
        <v>2</v>
      </c>
      <c r="G828" t="n">
        <v>0</v>
      </c>
      <c r="H828" t="n">
        <v>10</v>
      </c>
      <c r="I828" t="n">
        <v>0</v>
      </c>
      <c r="J828" t="n">
        <v>0</v>
      </c>
      <c r="K828">
        <f>IF(H828-I828-J828&gt;0,H828-I828-J828,0)</f>
        <v/>
      </c>
      <c r="L828" s="1">
        <f>IFERROR(I828*E828,0)</f>
        <v/>
      </c>
      <c r="M828" s="1">
        <f>IFERROR(K828*E828,0)</f>
        <v/>
      </c>
    </row>
    <row r="829">
      <c r="A829" t="inlineStr">
        <is>
          <t>EG/01</t>
        </is>
      </c>
      <c r="B829" t="inlineStr">
        <is>
          <t>Disc Valve</t>
        </is>
      </c>
      <c r="C829" t="inlineStr"/>
      <c r="D829" t="inlineStr"/>
      <c r="E829" s="1" t="n">
        <v>0</v>
      </c>
      <c r="F829" t="n">
        <v>20</v>
      </c>
      <c r="G829" t="n">
        <v>0</v>
      </c>
      <c r="H829" t="n">
        <v>100</v>
      </c>
      <c r="I829" t="n">
        <v>0</v>
      </c>
      <c r="J829" t="n">
        <v>0</v>
      </c>
      <c r="K829">
        <f>IF(H829-I829-J829&gt;0,H829-I829-J829,0)</f>
        <v/>
      </c>
      <c r="L829" s="1">
        <f>IFERROR(I829*E829,0)</f>
        <v/>
      </c>
      <c r="M829" s="1">
        <f>IFERROR(K829*E829,0)</f>
        <v/>
      </c>
    </row>
    <row r="830">
      <c r="A830" t="inlineStr">
        <is>
          <t>EG/02</t>
        </is>
      </c>
      <c r="B830" t="inlineStr">
        <is>
          <t>4 way Ceiling Diffuser</t>
        </is>
      </c>
      <c r="C830" t="inlineStr"/>
      <c r="D830" t="inlineStr"/>
      <c r="E830" s="1" t="n">
        <v>0</v>
      </c>
      <c r="F830" t="n">
        <v>1</v>
      </c>
      <c r="G830" t="n">
        <v>0</v>
      </c>
      <c r="H830" t="n">
        <v>2</v>
      </c>
      <c r="I830" t="n">
        <v>0</v>
      </c>
      <c r="J830" t="n">
        <v>0</v>
      </c>
      <c r="K830">
        <f>IF(H830-I830-J830&gt;0,H830-I830-J830,0)</f>
        <v/>
      </c>
      <c r="L830" s="1">
        <f>IFERROR(I830*E830,0)</f>
        <v/>
      </c>
      <c r="M830" s="1">
        <f>IFERROR(K830*E830,0)</f>
        <v/>
      </c>
    </row>
    <row r="831">
      <c r="A831" t="inlineStr">
        <is>
          <t>EML2303033</t>
        </is>
      </c>
      <c r="B831" t="inlineStr">
        <is>
          <t>5.5kw 4P 400V/690V B3T 132S IE1 Motor</t>
        </is>
      </c>
      <c r="C831" t="inlineStr">
        <is>
          <t>WEG South Africa</t>
        </is>
      </c>
      <c r="D831" t="inlineStr"/>
      <c r="E831" s="1" t="n">
        <v>4555.65</v>
      </c>
      <c r="F831" t="n">
        <v>1</v>
      </c>
      <c r="G831" t="n">
        <v>0</v>
      </c>
      <c r="H831" t="n">
        <v>3</v>
      </c>
      <c r="I831" t="n">
        <v>0</v>
      </c>
      <c r="J831" t="n">
        <v>0</v>
      </c>
      <c r="K831">
        <f>IF(H831-I831-J831&gt;0,H831-I831-J831,0)</f>
        <v/>
      </c>
      <c r="L831" s="1">
        <f>IFERROR(I831*E831,0)</f>
        <v/>
      </c>
      <c r="M831" s="1">
        <f>IFERROR(K831*E831,0)</f>
        <v/>
      </c>
    </row>
    <row r="832">
      <c r="A832" t="inlineStr">
        <is>
          <t>ENGINE-001</t>
        </is>
      </c>
      <c r="B832" t="inlineStr">
        <is>
          <t>Engineering Services - 3D Scanning, Modelling of a Fan Blade and Hub</t>
        </is>
      </c>
      <c r="C832" t="inlineStr">
        <is>
          <t>Holt Consulting Engineers</t>
        </is>
      </c>
      <c r="D832" t="inlineStr">
        <is>
          <t>FM - FAN BLADE MODELLING</t>
        </is>
      </c>
      <c r="E832" s="1" t="n">
        <v>44769</v>
      </c>
      <c r="F832" t="n">
        <v>1</v>
      </c>
      <c r="G832" t="n">
        <v>0</v>
      </c>
      <c r="H832" t="n">
        <v>2</v>
      </c>
      <c r="I832" t="n">
        <v>0</v>
      </c>
      <c r="J832" t="n">
        <v>0</v>
      </c>
      <c r="K832">
        <f>IF(H832-I832-J832&gt;0,H832-I832-J832,0)</f>
        <v/>
      </c>
      <c r="L832" s="1">
        <f>IFERROR(I832*E832,0)</f>
        <v/>
      </c>
      <c r="M832" s="1">
        <f>IFERROR(K832*E832,0)</f>
        <v/>
      </c>
    </row>
    <row r="833">
      <c r="A833" t="inlineStr">
        <is>
          <t>EUA1152MM</t>
        </is>
      </c>
      <c r="B833" t="inlineStr">
        <is>
          <t>Eurotherm A1 152mm - 10M</t>
        </is>
      </c>
      <c r="C833" t="inlineStr">
        <is>
          <t>HVAC DISTRIBUTORS (PTY) LTD</t>
        </is>
      </c>
      <c r="D833" t="inlineStr"/>
      <c r="E833" s="1" t="n">
        <v>305</v>
      </c>
      <c r="F833" t="n">
        <v>12</v>
      </c>
      <c r="G833" t="n">
        <v>0</v>
      </c>
      <c r="H833" t="n">
        <v>60</v>
      </c>
      <c r="I833" t="n">
        <v>0</v>
      </c>
      <c r="J833" t="n">
        <v>0</v>
      </c>
      <c r="K833">
        <f>IF(H833-I833-J833&gt;0,H833-I833-J833,0)</f>
        <v/>
      </c>
      <c r="L833" s="1">
        <f>IFERROR(I833*E833,0)</f>
        <v/>
      </c>
      <c r="M833" s="1">
        <f>IFERROR(K833*E833,0)</f>
        <v/>
      </c>
    </row>
    <row r="834">
      <c r="A834" t="inlineStr">
        <is>
          <t>EVC-JH168</t>
        </is>
      </c>
      <c r="B834" t="inlineStr">
        <is>
          <t>Evaporative Air Cooler: 220V, 380W, 3 Speed, 8000m3/hr, 80Pa</t>
        </is>
      </c>
      <c r="C834" t="inlineStr">
        <is>
          <t>AF Fans CC</t>
        </is>
      </c>
      <c r="D834" t="inlineStr"/>
      <c r="E834" s="1" t="n">
        <v>9480</v>
      </c>
      <c r="F834" t="n">
        <v>2</v>
      </c>
      <c r="G834" t="n">
        <v>0</v>
      </c>
      <c r="H834" t="n">
        <v>10</v>
      </c>
      <c r="I834" t="n">
        <v>0</v>
      </c>
      <c r="J834" t="n">
        <v>0</v>
      </c>
      <c r="K834">
        <f>IF(H834-I834-J834&gt;0,H834-I834-J834,0)</f>
        <v/>
      </c>
      <c r="L834" s="1">
        <f>IFERROR(I834*E834,0)</f>
        <v/>
      </c>
      <c r="M834" s="1">
        <f>IFERROR(K834*E834,0)</f>
        <v/>
      </c>
    </row>
    <row r="835">
      <c r="A835" t="inlineStr">
        <is>
          <t>EVM100</t>
        </is>
      </c>
      <c r="B835" t="inlineStr">
        <is>
          <t>100MM METAL EXTRACT VALVE</t>
        </is>
      </c>
      <c r="C835" t="inlineStr">
        <is>
          <t>Advantage Air Africa Pty Ltd</t>
        </is>
      </c>
      <c r="D835" t="inlineStr"/>
      <c r="E835" s="1" t="n">
        <v>75.59999999999999</v>
      </c>
      <c r="F835" t="n">
        <v>29</v>
      </c>
      <c r="G835" t="n">
        <v>0</v>
      </c>
      <c r="H835" t="n">
        <v>65</v>
      </c>
      <c r="I835" t="n">
        <v>0</v>
      </c>
      <c r="J835" t="n">
        <v>0</v>
      </c>
      <c r="K835">
        <f>IF(H835-I835-J835&gt;0,H835-I835-J835,0)</f>
        <v/>
      </c>
      <c r="L835" s="1">
        <f>IFERROR(I835*E835,0)</f>
        <v/>
      </c>
      <c r="M835" s="1">
        <f>IFERROR(K835*E835,0)</f>
        <v/>
      </c>
    </row>
    <row r="836">
      <c r="A836" t="inlineStr">
        <is>
          <t>EXD-2.2-2-4-B3</t>
        </is>
      </c>
      <c r="B836" t="inlineStr">
        <is>
          <t>2.2KW 2P 230/400V B3 EXD IE2 FS90L</t>
        </is>
      </c>
      <c r="C836" t="inlineStr">
        <is>
          <t>Shaka Machinery (Pty) Ltd</t>
        </is>
      </c>
      <c r="D836" t="inlineStr">
        <is>
          <t>MOTORS</t>
        </is>
      </c>
      <c r="E836" s="1" t="n">
        <v>7175</v>
      </c>
      <c r="F836" t="n">
        <v>1</v>
      </c>
      <c r="G836" t="n">
        <v>0</v>
      </c>
      <c r="H836" t="n">
        <v>2</v>
      </c>
      <c r="I836" t="n">
        <v>0</v>
      </c>
      <c r="J836" t="n">
        <v>0</v>
      </c>
      <c r="K836">
        <f>IF(H836-I836-J836&gt;0,H836-I836-J836,0)</f>
        <v/>
      </c>
      <c r="L836" s="1">
        <f>IFERROR(I836*E836,0)</f>
        <v/>
      </c>
      <c r="M836" s="1">
        <f>IFERROR(K836*E836,0)</f>
        <v/>
      </c>
    </row>
    <row r="837">
      <c r="A837" t="inlineStr">
        <is>
          <t>EXD-D90B5</t>
        </is>
      </c>
      <c r="B837" t="inlineStr">
        <is>
          <t>EXD D90B5 CAST IRON FLANGE</t>
        </is>
      </c>
      <c r="C837" t="inlineStr">
        <is>
          <t>Shaka Machinery (Pty) Ltd</t>
        </is>
      </c>
      <c r="D837" t="inlineStr">
        <is>
          <t>MOTOR FLANGE</t>
        </is>
      </c>
      <c r="E837" s="1" t="n">
        <v>0</v>
      </c>
      <c r="F837" t="n">
        <v>1</v>
      </c>
      <c r="G837" t="n">
        <v>0</v>
      </c>
      <c r="H837" t="n">
        <v>2</v>
      </c>
      <c r="I837" t="n">
        <v>0</v>
      </c>
      <c r="J837" t="n">
        <v>0</v>
      </c>
      <c r="K837">
        <f>IF(H837-I837-J837&gt;0,H837-I837-J837,0)</f>
        <v/>
      </c>
      <c r="L837" s="1">
        <f>IFERROR(I837*E837,0)</f>
        <v/>
      </c>
      <c r="M837" s="1">
        <f>IFERROR(K837*E837,0)</f>
        <v/>
      </c>
    </row>
    <row r="838">
      <c r="A838" t="inlineStr">
        <is>
          <t>F)</t>
        </is>
      </c>
      <c r="B838" t="inlineStr">
        <is>
          <t>Brackets - set motor mounting bracket (threaded rod)</t>
        </is>
      </c>
      <c r="C838" t="inlineStr">
        <is>
          <t>CFW Fans (Pty) Ltd</t>
        </is>
      </c>
      <c r="D838" t="inlineStr"/>
      <c r="E838" s="1" t="n">
        <v>172</v>
      </c>
      <c r="F838" t="n">
        <v>1</v>
      </c>
      <c r="G838" t="n">
        <v>0</v>
      </c>
      <c r="H838" t="n">
        <v>3</v>
      </c>
      <c r="I838" t="n">
        <v>0</v>
      </c>
      <c r="J838" t="n">
        <v>0</v>
      </c>
      <c r="K838">
        <f>IF(H838-I838-J838&gt;0,H838-I838-J838,0)</f>
        <v/>
      </c>
      <c r="L838" s="1">
        <f>IFERROR(I838*E838,0)</f>
        <v/>
      </c>
      <c r="M838" s="1">
        <f>IFERROR(K838*E838,0)</f>
        <v/>
      </c>
    </row>
    <row r="839">
      <c r="A839" t="inlineStr">
        <is>
          <t>F6942 Filter</t>
        </is>
      </c>
      <c r="B839" t="inlineStr">
        <is>
          <t>Donkin Fan Filter F6942 Set</t>
        </is>
      </c>
      <c r="C839" t="inlineStr"/>
      <c r="D839" t="inlineStr">
        <is>
          <t>FM - DONKIN</t>
        </is>
      </c>
      <c r="E839" s="1" t="n">
        <v>0</v>
      </c>
      <c r="F839" t="n">
        <v>1</v>
      </c>
      <c r="G839" t="n">
        <v>0</v>
      </c>
      <c r="H839" t="n">
        <v>5</v>
      </c>
      <c r="I839" t="n">
        <v>0</v>
      </c>
      <c r="J839" t="n">
        <v>0</v>
      </c>
      <c r="K839">
        <f>IF(H839-I839-J839&gt;0,H839-I839-J839,0)</f>
        <v/>
      </c>
      <c r="L839" s="1">
        <f>IFERROR(I839*E839,0)</f>
        <v/>
      </c>
      <c r="M839" s="1">
        <f>IFERROR(K839*E839,0)</f>
        <v/>
      </c>
    </row>
    <row r="840">
      <c r="A840" t="inlineStr">
        <is>
          <t>FAN QCP</t>
        </is>
      </c>
      <c r="B840" t="inlineStr">
        <is>
          <t>Data Book</t>
        </is>
      </c>
      <c r="C840" t="inlineStr"/>
      <c r="D840" t="inlineStr"/>
      <c r="E840" s="1" t="n">
        <v>0</v>
      </c>
      <c r="F840" t="n">
        <v>1</v>
      </c>
      <c r="G840" t="n">
        <v>0</v>
      </c>
      <c r="H840" t="n">
        <v>2</v>
      </c>
      <c r="I840" t="n">
        <v>0</v>
      </c>
      <c r="J840" t="n">
        <v>0</v>
      </c>
      <c r="K840">
        <f>IF(H840-I840-J840&gt;0,H840-I840-J840,0)</f>
        <v/>
      </c>
      <c r="L840" s="1">
        <f>IFERROR(I840*E840,0)</f>
        <v/>
      </c>
      <c r="M840" s="1">
        <f>IFERROR(K840*E840,0)</f>
        <v/>
      </c>
    </row>
    <row r="841">
      <c r="A841" t="inlineStr">
        <is>
          <t>FB</t>
        </is>
      </c>
      <c r="B841" t="inlineStr">
        <is>
          <t>Filter box, wall sleeve and flashing</t>
        </is>
      </c>
      <c r="C841" t="inlineStr">
        <is>
          <t>Intervent-Universal (Pty) Ltd</t>
        </is>
      </c>
      <c r="D841" t="inlineStr"/>
      <c r="E841" s="1" t="n">
        <v>785</v>
      </c>
      <c r="F841" t="n">
        <v>3</v>
      </c>
      <c r="G841" t="n">
        <v>0</v>
      </c>
      <c r="H841" t="n">
        <v>9</v>
      </c>
      <c r="I841" t="n">
        <v>0</v>
      </c>
      <c r="J841" t="n">
        <v>0</v>
      </c>
      <c r="K841">
        <f>IF(H841-I841-J841&gt;0,H841-I841-J841,0)</f>
        <v/>
      </c>
      <c r="L841" s="1">
        <f>IFERROR(I841*E841,0)</f>
        <v/>
      </c>
      <c r="M841" s="1">
        <f>IFERROR(K841*E841,0)</f>
        <v/>
      </c>
    </row>
    <row r="842">
      <c r="A842" t="inlineStr">
        <is>
          <t>FBar-50x8mm-6M</t>
        </is>
      </c>
      <c r="B842" t="inlineStr">
        <is>
          <t>Flat Bar CQ 50x8mm 6M</t>
        </is>
      </c>
      <c r="C842" t="inlineStr">
        <is>
          <t>NJR STEEL - ALRODE (PTY) LTD</t>
        </is>
      </c>
      <c r="D842" t="inlineStr"/>
      <c r="E842" s="1" t="n">
        <v>276.43</v>
      </c>
      <c r="F842" t="n">
        <v>1</v>
      </c>
      <c r="G842" t="n">
        <v>0</v>
      </c>
      <c r="H842" t="n">
        <v>5</v>
      </c>
      <c r="I842" t="n">
        <v>0</v>
      </c>
      <c r="J842" t="n">
        <v>0</v>
      </c>
      <c r="K842">
        <f>IF(H842-I842-J842&gt;0,H842-I842-J842,0)</f>
        <v/>
      </c>
      <c r="L842" s="1">
        <f>IFERROR(I842*E842,0)</f>
        <v/>
      </c>
      <c r="M842" s="1">
        <f>IFERROR(K842*E842,0)</f>
        <v/>
      </c>
    </row>
    <row r="843">
      <c r="A843" t="inlineStr">
        <is>
          <t>FILTERSS</t>
        </is>
      </c>
      <c r="B843" t="inlineStr">
        <is>
          <t>RIGID POC FILTERS</t>
        </is>
      </c>
      <c r="C843" t="inlineStr"/>
      <c r="D843" t="inlineStr"/>
      <c r="E843" s="1" t="n">
        <v>0</v>
      </c>
      <c r="F843" t="n">
        <v>1</v>
      </c>
      <c r="G843" t="n">
        <v>0</v>
      </c>
      <c r="H843" t="n">
        <v>2</v>
      </c>
      <c r="I843" t="n">
        <v>0</v>
      </c>
      <c r="J843" t="n">
        <v>0</v>
      </c>
      <c r="K843">
        <f>IF(H843-I843-J843&gt;0,H843-I843-J843,0)</f>
        <v/>
      </c>
      <c r="L843" s="1">
        <f>IFERROR(I843*E843,0)</f>
        <v/>
      </c>
      <c r="M843" s="1">
        <f>IFERROR(K843*E843,0)</f>
        <v/>
      </c>
    </row>
    <row r="844">
      <c r="A844" t="inlineStr">
        <is>
          <t>FL4</t>
        </is>
      </c>
      <c r="B844" t="inlineStr">
        <is>
          <t>FL4 - 1' 1/4</t>
        </is>
      </c>
      <c r="C844" t="inlineStr"/>
      <c r="D844" t="inlineStr">
        <is>
          <t>FM - FPZ</t>
        </is>
      </c>
      <c r="E844" s="1" t="n">
        <v>0</v>
      </c>
      <c r="F844" t="n">
        <v>1</v>
      </c>
      <c r="G844" t="n">
        <v>0</v>
      </c>
      <c r="H844" t="n">
        <v>2</v>
      </c>
      <c r="I844" t="n">
        <v>0</v>
      </c>
      <c r="J844" t="n">
        <v>0</v>
      </c>
      <c r="K844">
        <f>IF(H844-I844-J844&gt;0,H844-I844-J844,0)</f>
        <v/>
      </c>
      <c r="L844" s="1">
        <f>IFERROR(I844*E844,0)</f>
        <v/>
      </c>
      <c r="M844" s="1">
        <f>IFERROR(K844*E844,0)</f>
        <v/>
      </c>
    </row>
    <row r="845">
      <c r="A845" t="inlineStr">
        <is>
          <t>FL5</t>
        </is>
      </c>
      <c r="B845" t="inlineStr">
        <is>
          <t>FL5 - 1' 1/2</t>
        </is>
      </c>
      <c r="C845" t="inlineStr"/>
      <c r="D845" t="inlineStr">
        <is>
          <t>FM - FPZ</t>
        </is>
      </c>
      <c r="E845" s="1" t="n">
        <v>0</v>
      </c>
      <c r="F845" t="n">
        <v>1</v>
      </c>
      <c r="G845" t="n">
        <v>0</v>
      </c>
      <c r="H845" t="n">
        <v>2</v>
      </c>
      <c r="I845" t="n">
        <v>0</v>
      </c>
      <c r="J845" t="n">
        <v>0</v>
      </c>
      <c r="K845">
        <f>IF(H845-I845-J845&gt;0,H845-I845-J845,0)</f>
        <v/>
      </c>
      <c r="L845" s="1">
        <f>IFERROR(I845*E845,0)</f>
        <v/>
      </c>
      <c r="M845" s="1">
        <f>IFERROR(K845*E845,0)</f>
        <v/>
      </c>
    </row>
    <row r="846">
      <c r="A846" t="inlineStr">
        <is>
          <t>FL6</t>
        </is>
      </c>
      <c r="B846" t="inlineStr">
        <is>
          <t>FL6 - 2'</t>
        </is>
      </c>
      <c r="C846" t="inlineStr">
        <is>
          <t>Effepizeta</t>
        </is>
      </c>
      <c r="D846" t="inlineStr">
        <is>
          <t>FM - FPZ</t>
        </is>
      </c>
      <c r="E846" s="1" t="n">
        <v>785.39</v>
      </c>
      <c r="F846" t="n">
        <v>3</v>
      </c>
      <c r="G846" t="n">
        <v>0</v>
      </c>
      <c r="H846" t="n">
        <v>6</v>
      </c>
      <c r="I846" t="n">
        <v>0</v>
      </c>
      <c r="J846" t="n">
        <v>0</v>
      </c>
      <c r="K846">
        <f>IF(H846-I846-J846&gt;0,H846-I846-J846,0)</f>
        <v/>
      </c>
      <c r="L846" s="1">
        <f>IFERROR(I846*E846,0)</f>
        <v/>
      </c>
      <c r="M846" s="1">
        <f>IFERROR(K846*E846,0)</f>
        <v/>
      </c>
    </row>
    <row r="847">
      <c r="A847" t="inlineStr">
        <is>
          <t>FL8</t>
        </is>
      </c>
      <c r="B847" t="inlineStr">
        <is>
          <t>FL8 - 3'</t>
        </is>
      </c>
      <c r="C847" t="inlineStr">
        <is>
          <t>Effepizeta</t>
        </is>
      </c>
      <c r="D847" t="inlineStr">
        <is>
          <t>FM - FPZ</t>
        </is>
      </c>
      <c r="E847" s="1" t="n">
        <v>1114.09</v>
      </c>
      <c r="F847" t="n">
        <v>2</v>
      </c>
      <c r="G847" t="n">
        <v>0</v>
      </c>
      <c r="H847" t="n">
        <v>4</v>
      </c>
      <c r="I847" t="n">
        <v>0</v>
      </c>
      <c r="J847" t="n">
        <v>0</v>
      </c>
      <c r="K847">
        <f>IF(H847-I847-J847&gt;0,H847-I847-J847,0)</f>
        <v/>
      </c>
      <c r="L847" s="1">
        <f>IFERROR(I847*E847,0)</f>
        <v/>
      </c>
      <c r="M847" s="1">
        <f>IFERROR(K847*E847,0)</f>
        <v/>
      </c>
    </row>
    <row r="848">
      <c r="A848" t="inlineStr">
        <is>
          <t>FL9</t>
        </is>
      </c>
      <c r="B848" t="inlineStr">
        <is>
          <t>FL9 - 4 Intake Filter</t>
        </is>
      </c>
      <c r="C848" t="inlineStr">
        <is>
          <t>Effepizeta</t>
        </is>
      </c>
      <c r="D848" t="inlineStr">
        <is>
          <t>FM - FPZ</t>
        </is>
      </c>
      <c r="E848" s="1" t="n">
        <v>1147.25</v>
      </c>
      <c r="F848" t="n">
        <v>2</v>
      </c>
      <c r="G848" t="n">
        <v>0</v>
      </c>
      <c r="H848" t="n">
        <v>4</v>
      </c>
      <c r="I848" t="n">
        <v>0</v>
      </c>
      <c r="J848" t="n">
        <v>0</v>
      </c>
      <c r="K848">
        <f>IF(H848-I848-J848&gt;0,H848-I848-J848,0)</f>
        <v/>
      </c>
      <c r="L848" s="1">
        <f>IFERROR(I848*E848,0)</f>
        <v/>
      </c>
      <c r="M848" s="1">
        <f>IFERROR(K848*E848,0)</f>
        <v/>
      </c>
    </row>
    <row r="849">
      <c r="A849" t="inlineStr">
        <is>
          <t>FLEX-W/FRAME</t>
        </is>
      </c>
      <c r="B849" t="inlineStr">
        <is>
          <t>WELDING FRAME H=2m x W=3m, Galvanised steel frame (25x25 square tube)</t>
        </is>
      </c>
      <c r="C849" t="inlineStr">
        <is>
          <t>Fischli + Fuhrmann</t>
        </is>
      </c>
      <c r="D849" t="inlineStr">
        <is>
          <t>FM - FABRICATION</t>
        </is>
      </c>
      <c r="E849" s="1" t="n">
        <v>1680</v>
      </c>
      <c r="F849" t="n">
        <v>2</v>
      </c>
      <c r="G849" t="n">
        <v>0</v>
      </c>
      <c r="H849" t="n">
        <v>8</v>
      </c>
      <c r="I849" t="n">
        <v>0</v>
      </c>
      <c r="J849" t="n">
        <v>0</v>
      </c>
      <c r="K849">
        <f>IF(H849-I849-J849&gt;0,H849-I849-J849,0)</f>
        <v/>
      </c>
      <c r="L849" s="1">
        <f>IFERROR(I849*E849,0)</f>
        <v/>
      </c>
      <c r="M849" s="1">
        <f>IFERROR(K849*E849,0)</f>
        <v/>
      </c>
    </row>
    <row r="850">
      <c r="A850" t="inlineStr">
        <is>
          <t>FM</t>
        </is>
      </c>
      <c r="B850" t="inlineStr">
        <is>
          <t>004 - 2940 rpm SANS 60079-15</t>
        </is>
      </c>
      <c r="C850" t="inlineStr">
        <is>
          <t>Rhenus Logistics (Pty) Ltd</t>
        </is>
      </c>
      <c r="D850" t="inlineStr"/>
      <c r="E850" s="1" t="n">
        <v>0</v>
      </c>
      <c r="F850" t="n">
        <v>5</v>
      </c>
      <c r="G850" t="n">
        <v>0</v>
      </c>
      <c r="H850" t="n">
        <v>15</v>
      </c>
      <c r="I850" t="n">
        <v>0</v>
      </c>
      <c r="J850" t="n">
        <v>0</v>
      </c>
      <c r="K850">
        <f>IF(H850-I850-J850&gt;0,H850-I850-J850,0)</f>
        <v/>
      </c>
      <c r="L850" s="1">
        <f>IFERROR(I850*E850,0)</f>
        <v/>
      </c>
      <c r="M850" s="1">
        <f>IFERROR(K850*E850,0)</f>
        <v/>
      </c>
    </row>
    <row r="851">
      <c r="A851" t="inlineStr">
        <is>
          <t>FM- 003</t>
        </is>
      </c>
      <c r="B851" t="inlineStr">
        <is>
          <t>7.5kW Stator Rewind to 525V</t>
        </is>
      </c>
      <c r="C851" t="inlineStr">
        <is>
          <t>Luck and King</t>
        </is>
      </c>
      <c r="D851" t="inlineStr"/>
      <c r="E851" s="1" t="n">
        <v>5122.46</v>
      </c>
      <c r="F851" t="n">
        <v>3</v>
      </c>
      <c r="G851" t="n">
        <v>0</v>
      </c>
      <c r="H851" t="n">
        <v>7</v>
      </c>
      <c r="I851" t="n">
        <v>0</v>
      </c>
      <c r="J851" t="n">
        <v>0</v>
      </c>
      <c r="K851">
        <f>IF(H851-I851-J851&gt;0,H851-I851-J851,0)</f>
        <v/>
      </c>
      <c r="L851" s="1">
        <f>IFERROR(I851*E851,0)</f>
        <v/>
      </c>
      <c r="M851" s="1">
        <f>IFERROR(K851*E851,0)</f>
        <v/>
      </c>
    </row>
    <row r="852">
      <c r="A852" t="inlineStr">
        <is>
          <t>FR500A-4T-4.0G/5.5P-H</t>
        </is>
      </c>
      <c r="B852" t="inlineStr">
        <is>
          <t>4.0KW 380V 9.5A</t>
        </is>
      </c>
      <c r="C852" t="inlineStr">
        <is>
          <t>Drive Dynamics (Pty) Ltd</t>
        </is>
      </c>
      <c r="D852" t="inlineStr"/>
      <c r="E852" s="1" t="n">
        <v>4900</v>
      </c>
      <c r="F852" t="n">
        <v>1</v>
      </c>
      <c r="G852" t="n">
        <v>0</v>
      </c>
      <c r="H852" t="n">
        <v>2</v>
      </c>
      <c r="I852" t="n">
        <v>0</v>
      </c>
      <c r="J852" t="n">
        <v>0</v>
      </c>
      <c r="K852">
        <f>IF(H852-I852-J852&gt;0,H852-I852-J852,0)</f>
        <v/>
      </c>
      <c r="L852" s="1">
        <f>IFERROR(I852*E852,0)</f>
        <v/>
      </c>
      <c r="M852" s="1">
        <f>IFERROR(K852*E852,0)</f>
        <v/>
      </c>
    </row>
    <row r="853">
      <c r="A853" t="inlineStr">
        <is>
          <t>FRK-25</t>
        </is>
      </c>
      <c r="B853" t="inlineStr">
        <is>
          <t>DUCT WRAP 10m X 1200 X 25 X 23 FRK (silver)</t>
        </is>
      </c>
      <c r="C853" t="inlineStr">
        <is>
          <t>Advantage Air Africa Pty Ltd</t>
        </is>
      </c>
      <c r="D853" t="inlineStr"/>
      <c r="E853" s="1" t="n">
        <v>645</v>
      </c>
      <c r="F853" t="n">
        <v>2</v>
      </c>
      <c r="G853" t="n">
        <v>0</v>
      </c>
      <c r="H853" t="n">
        <v>8</v>
      </c>
      <c r="I853" t="n">
        <v>0</v>
      </c>
      <c r="J853" t="n">
        <v>0</v>
      </c>
      <c r="K853">
        <f>IF(H853-I853-J853&gt;0,H853-I853-J853,0)</f>
        <v/>
      </c>
      <c r="L853" s="1">
        <f>IFERROR(I853*E853,0)</f>
        <v/>
      </c>
      <c r="M853" s="1">
        <f>IFERROR(K853*E853,0)</f>
        <v/>
      </c>
    </row>
    <row r="854">
      <c r="A854" t="inlineStr">
        <is>
          <t>FS C.25A</t>
        </is>
      </c>
      <c r="B854" t="inlineStr">
        <is>
          <t>Fan Speed Controller</t>
        </is>
      </c>
      <c r="C854" t="inlineStr"/>
      <c r="D854" t="inlineStr"/>
      <c r="E854" s="1" t="n">
        <v>0</v>
      </c>
      <c r="F854" t="n">
        <v>2</v>
      </c>
      <c r="G854" t="n">
        <v>0</v>
      </c>
      <c r="H854" t="n">
        <v>11</v>
      </c>
      <c r="I854" t="n">
        <v>0</v>
      </c>
      <c r="J854" t="n">
        <v>0</v>
      </c>
      <c r="K854">
        <f>IF(H854-I854-J854&gt;0,H854-I854-J854,0)</f>
        <v/>
      </c>
      <c r="L854" s="1">
        <f>IFERROR(I854*E854,0)</f>
        <v/>
      </c>
      <c r="M854" s="1">
        <f>IFERROR(K854*E854,0)</f>
        <v/>
      </c>
    </row>
    <row r="855">
      <c r="A855" t="inlineStr">
        <is>
          <t>FT4001502</t>
        </is>
      </c>
      <c r="B855" t="inlineStr">
        <is>
          <t>Funmax 400 15.D.8 c/w 1.5kw 2P 380 V Motor</t>
        </is>
      </c>
      <c r="C855" t="inlineStr"/>
      <c r="D855" t="inlineStr">
        <is>
          <t>FM - DONKIN</t>
        </is>
      </c>
      <c r="E855" s="1" t="n">
        <v>0</v>
      </c>
      <c r="F855" t="n">
        <v>1</v>
      </c>
      <c r="G855" t="n">
        <v>0</v>
      </c>
      <c r="H855" t="n">
        <v>2</v>
      </c>
      <c r="I855" t="n">
        <v>0</v>
      </c>
      <c r="J855" t="n">
        <v>0</v>
      </c>
      <c r="K855">
        <f>IF(H855-I855-J855&gt;0,H855-I855-J855,0)</f>
        <v/>
      </c>
      <c r="L855" s="1">
        <f>IFERROR(I855*E855,0)</f>
        <v/>
      </c>
      <c r="M855" s="1">
        <f>IFERROR(K855*E855,0)</f>
        <v/>
      </c>
    </row>
    <row r="856">
      <c r="A856" t="inlineStr">
        <is>
          <t>FT7101104</t>
        </is>
      </c>
      <c r="B856" t="inlineStr">
        <is>
          <t>Funmax 710 20.D.8 c/w 1.1kw 4P 380 V Motor</t>
        </is>
      </c>
      <c r="C856" t="inlineStr">
        <is>
          <t>Centrifab (Pty) Ltd</t>
        </is>
      </c>
      <c r="D856" t="inlineStr">
        <is>
          <t>FM - DONKIN</t>
        </is>
      </c>
      <c r="E856" s="1" t="n">
        <v>13600</v>
      </c>
      <c r="F856" t="n">
        <v>2</v>
      </c>
      <c r="G856" t="n">
        <v>0</v>
      </c>
      <c r="H856" t="n">
        <v>4</v>
      </c>
      <c r="I856" t="n">
        <v>0</v>
      </c>
      <c r="J856" t="n">
        <v>0</v>
      </c>
      <c r="K856">
        <f>IF(H856-I856-J856&gt;0,H856-I856-J856,0)</f>
        <v/>
      </c>
      <c r="L856" s="1">
        <f>IFERROR(I856*E856,0)</f>
        <v/>
      </c>
      <c r="M856" s="1">
        <f>IFERROR(K856*E856,0)</f>
        <v/>
      </c>
    </row>
    <row r="857">
      <c r="A857" t="inlineStr">
        <is>
          <t>FT8003004</t>
        </is>
      </c>
      <c r="B857" t="inlineStr">
        <is>
          <t>Fumax 800.32.E.8.300.4.3 c/w 3 kW 4 Pole 380V</t>
        </is>
      </c>
      <c r="C857" t="inlineStr">
        <is>
          <t>Centrifab (Pty) Ltd</t>
        </is>
      </c>
      <c r="D857" t="inlineStr"/>
      <c r="E857" s="1" t="n">
        <v>22673.9</v>
      </c>
      <c r="F857" t="n">
        <v>1</v>
      </c>
      <c r="G857" t="n">
        <v>0</v>
      </c>
      <c r="H857" t="n">
        <v>3</v>
      </c>
      <c r="I857" t="n">
        <v>0</v>
      </c>
      <c r="J857" t="n">
        <v>0</v>
      </c>
      <c r="K857">
        <f>IF(H857-I857-J857&gt;0,H857-I857-J857,0)</f>
        <v/>
      </c>
      <c r="L857" s="1">
        <f>IFERROR(I857*E857,0)</f>
        <v/>
      </c>
      <c r="M857" s="1">
        <f>IFERROR(K857*E857,0)</f>
        <v/>
      </c>
    </row>
    <row r="858">
      <c r="A858" t="inlineStr">
        <is>
          <t>FUMAX105X105</t>
        </is>
      </c>
      <c r="B858" t="inlineStr">
        <is>
          <t>UV print onto alu plates (105mm x105mm) block cut</t>
        </is>
      </c>
      <c r="C858" t="inlineStr">
        <is>
          <t>HC Soekoe CC</t>
        </is>
      </c>
      <c r="D858" t="inlineStr"/>
      <c r="E858" s="1" t="n">
        <v>8.039999999999999</v>
      </c>
      <c r="F858" t="n">
        <v>25</v>
      </c>
      <c r="G858" t="n">
        <v>0</v>
      </c>
      <c r="H858" t="n">
        <v>125</v>
      </c>
      <c r="I858" t="n">
        <v>0</v>
      </c>
      <c r="J858" t="n">
        <v>0</v>
      </c>
      <c r="K858">
        <f>IF(H858-I858-J858&gt;0,H858-I858-J858,0)</f>
        <v/>
      </c>
      <c r="L858" s="1">
        <f>IFERROR(I858*E858,0)</f>
        <v/>
      </c>
      <c r="M858" s="1">
        <f>IFERROR(K858*E858,0)</f>
        <v/>
      </c>
    </row>
    <row r="859">
      <c r="A859" t="inlineStr">
        <is>
          <t>FUMAX40X65</t>
        </is>
      </c>
      <c r="B859" t="inlineStr">
        <is>
          <t>UV print onto alu plates (40mm x65mm) block cut</t>
        </is>
      </c>
      <c r="C859" t="inlineStr">
        <is>
          <t>HC Soekoe CC</t>
        </is>
      </c>
      <c r="D859" t="inlineStr"/>
      <c r="E859" s="1" t="n">
        <v>4.77</v>
      </c>
      <c r="F859" t="n">
        <v>25</v>
      </c>
      <c r="G859" t="n">
        <v>0</v>
      </c>
      <c r="H859" t="n">
        <v>125</v>
      </c>
      <c r="I859" t="n">
        <v>0</v>
      </c>
      <c r="J859" t="n">
        <v>0</v>
      </c>
      <c r="K859">
        <f>IF(H859-I859-J859&gt;0,H859-I859-J859,0)</f>
        <v/>
      </c>
      <c r="L859" s="1">
        <f>IFERROR(I859*E859,0)</f>
        <v/>
      </c>
      <c r="M859" s="1">
        <f>IFERROR(K859*E859,0)</f>
        <v/>
      </c>
    </row>
    <row r="860">
      <c r="A860" t="inlineStr">
        <is>
          <t>Fan Screen</t>
        </is>
      </c>
      <c r="B860" t="inlineStr">
        <is>
          <t>500mm Dia</t>
        </is>
      </c>
      <c r="C860" t="inlineStr"/>
      <c r="D860" t="inlineStr"/>
      <c r="E860" s="1" t="n">
        <v>0</v>
      </c>
      <c r="F860" t="n">
        <v>1</v>
      </c>
      <c r="G860" t="n">
        <v>0</v>
      </c>
      <c r="H860" t="n">
        <v>2</v>
      </c>
      <c r="I860" t="n">
        <v>0</v>
      </c>
      <c r="J860" t="n">
        <v>0</v>
      </c>
      <c r="K860">
        <f>IF(H860-I860-J860&gt;0,H860-I860-J860,0)</f>
        <v/>
      </c>
      <c r="L860" s="1">
        <f>IFERROR(I860*E860,0)</f>
        <v/>
      </c>
      <c r="M860" s="1">
        <f>IFERROR(K860*E860,0)</f>
        <v/>
      </c>
    </row>
    <row r="861">
      <c r="A861" t="inlineStr">
        <is>
          <t>Fan Testing</t>
        </is>
      </c>
      <c r="B861" t="inlineStr">
        <is>
          <t>Service Engineer x1</t>
        </is>
      </c>
      <c r="C861" t="inlineStr">
        <is>
          <t>TDCM Engineering cc</t>
        </is>
      </c>
      <c r="D861" t="inlineStr"/>
      <c r="E861" s="1" t="n">
        <v>940.5</v>
      </c>
      <c r="F861" t="n">
        <v>9</v>
      </c>
      <c r="G861" t="n">
        <v>0</v>
      </c>
      <c r="H861" t="n">
        <v>25</v>
      </c>
      <c r="I861" t="n">
        <v>0</v>
      </c>
      <c r="J861" t="n">
        <v>0</v>
      </c>
      <c r="K861">
        <f>IF(H861-I861-J861&gt;0,H861-I861-J861,0)</f>
        <v/>
      </c>
      <c r="L861" s="1">
        <f>IFERROR(I861*E861,0)</f>
        <v/>
      </c>
      <c r="M861" s="1">
        <f>IFERROR(K861*E861,0)</f>
        <v/>
      </c>
    </row>
    <row r="862">
      <c r="A862" t="inlineStr">
        <is>
          <t>Fuel Surcharge</t>
        </is>
      </c>
      <c r="B862" t="inlineStr">
        <is>
          <t>Fuel Surcharge</t>
        </is>
      </c>
      <c r="C862" t="inlineStr">
        <is>
          <t>Rhenus Logistics (Pty) Ltd</t>
        </is>
      </c>
      <c r="D862" t="inlineStr">
        <is>
          <t>FREIGHT</t>
        </is>
      </c>
      <c r="E862" s="1" t="n">
        <v>81.45</v>
      </c>
      <c r="F862" t="n">
        <v>2</v>
      </c>
      <c r="G862" t="n">
        <v>0</v>
      </c>
      <c r="H862" t="n">
        <v>4</v>
      </c>
      <c r="I862" t="n">
        <v>0</v>
      </c>
      <c r="J862" t="n">
        <v>0</v>
      </c>
      <c r="K862">
        <f>IF(H862-I862-J862&gt;0,H862-I862-J862,0)</f>
        <v/>
      </c>
      <c r="L862" s="1">
        <f>IFERROR(I862*E862,0)</f>
        <v/>
      </c>
      <c r="M862" s="1">
        <f>IFERROR(K862*E862,0)</f>
        <v/>
      </c>
    </row>
    <row r="863">
      <c r="A863" t="inlineStr">
        <is>
          <t>Fumax 1000.32.F.8.1100.4.3</t>
        </is>
      </c>
      <c r="B863" t="inlineStr">
        <is>
          <t>c/w 11 kW 4 Pole 380 V Motor</t>
        </is>
      </c>
      <c r="C863" t="inlineStr"/>
      <c r="D863" t="inlineStr"/>
      <c r="E863" s="1" t="n">
        <v>0</v>
      </c>
      <c r="F863" t="n">
        <v>5</v>
      </c>
      <c r="G863" t="n">
        <v>0</v>
      </c>
      <c r="H863" t="n">
        <v>25</v>
      </c>
      <c r="I863" t="n">
        <v>0</v>
      </c>
      <c r="J863" t="n">
        <v>0</v>
      </c>
      <c r="K863">
        <f>IF(H863-I863-J863&gt;0,H863-I863-J863,0)</f>
        <v/>
      </c>
      <c r="L863" s="1">
        <f>IFERROR(I863*E863,0)</f>
        <v/>
      </c>
      <c r="M863" s="1">
        <f>IFERROR(K863*E863,0)</f>
        <v/>
      </c>
    </row>
    <row r="864">
      <c r="A864" t="inlineStr">
        <is>
          <t>Fumax 1000.32.F.8.1850.4.3</t>
        </is>
      </c>
      <c r="B864" t="inlineStr">
        <is>
          <t>c/w 18.5 kW 4 Pole 400 V Motor</t>
        </is>
      </c>
      <c r="C864" t="inlineStr">
        <is>
          <t>Air Speration</t>
        </is>
      </c>
      <c r="D864" t="inlineStr"/>
      <c r="E864" s="1" t="n">
        <v>48642</v>
      </c>
      <c r="F864" t="n">
        <v>2</v>
      </c>
      <c r="G864" t="n">
        <v>0</v>
      </c>
      <c r="H864" t="n">
        <v>4</v>
      </c>
      <c r="I864" t="n">
        <v>0</v>
      </c>
      <c r="J864" t="n">
        <v>0</v>
      </c>
      <c r="K864">
        <f>IF(H864-I864-J864&gt;0,H864-I864-J864,0)</f>
        <v/>
      </c>
      <c r="L864" s="1">
        <f>IFERROR(I864*E864,0)</f>
        <v/>
      </c>
      <c r="M864" s="1">
        <f>IFERROR(K864*E864,0)</f>
        <v/>
      </c>
    </row>
    <row r="865">
      <c r="A865" t="inlineStr">
        <is>
          <t>Fumax 10007504</t>
        </is>
      </c>
      <c r="B865" t="inlineStr">
        <is>
          <t>1000 32.F.8 c/w 7.5kW 4 Pole 380V</t>
        </is>
      </c>
      <c r="C865" t="inlineStr">
        <is>
          <t>Centrifab (Pty) Ltd</t>
        </is>
      </c>
      <c r="D865" t="inlineStr"/>
      <c r="E865" s="1" t="n">
        <v>26270</v>
      </c>
      <c r="F865" t="n">
        <v>10</v>
      </c>
      <c r="G865" t="n">
        <v>0</v>
      </c>
      <c r="H865" t="n">
        <v>26</v>
      </c>
      <c r="I865" t="n">
        <v>0</v>
      </c>
      <c r="J865" t="n">
        <v>4</v>
      </c>
      <c r="K865">
        <f>IF(H865-I865-J865&gt;0,H865-I865-J865,0)</f>
        <v/>
      </c>
      <c r="L865" s="1">
        <f>IFERROR(I865*E865,0)</f>
        <v/>
      </c>
      <c r="M865" s="1">
        <f>IFERROR(K865*E865,0)</f>
        <v/>
      </c>
    </row>
    <row r="866">
      <c r="A866" t="inlineStr">
        <is>
          <t>Fumax 560</t>
        </is>
      </c>
      <c r="B866" t="inlineStr">
        <is>
          <t>Fumax 560.20.D.8 C/W 3KW 2P 380V</t>
        </is>
      </c>
      <c r="C866" t="inlineStr">
        <is>
          <t>Centrifab (Pty) Ltd</t>
        </is>
      </c>
      <c r="D866" t="inlineStr"/>
      <c r="E866" s="1" t="n">
        <v>14394</v>
      </c>
      <c r="F866" t="n">
        <v>1</v>
      </c>
      <c r="G866" t="n">
        <v>0</v>
      </c>
      <c r="H866" t="n">
        <v>3</v>
      </c>
      <c r="I866" t="n">
        <v>0</v>
      </c>
      <c r="J866" t="n">
        <v>0</v>
      </c>
      <c r="K866">
        <f>IF(H866-I866-J866&gt;0,H866-I866-J866,0)</f>
        <v/>
      </c>
      <c r="L866" s="1">
        <f>IFERROR(I866*E866,0)</f>
        <v/>
      </c>
      <c r="M866" s="1">
        <f>IFERROR(K866*E866,0)</f>
        <v/>
      </c>
    </row>
    <row r="867">
      <c r="A867" t="inlineStr">
        <is>
          <t>Fumax 630</t>
        </is>
      </c>
      <c r="B867" t="inlineStr">
        <is>
          <t>Fumax 630</t>
        </is>
      </c>
      <c r="C867" t="inlineStr">
        <is>
          <t>Centrifab (Pty) Ltd</t>
        </is>
      </c>
      <c r="D867" t="inlineStr"/>
      <c r="E867" s="1" t="n">
        <v>9248</v>
      </c>
      <c r="F867" t="n">
        <v>1</v>
      </c>
      <c r="G867" t="n">
        <v>0</v>
      </c>
      <c r="H867" t="n">
        <v>4</v>
      </c>
      <c r="I867" t="n">
        <v>0</v>
      </c>
      <c r="J867" t="n">
        <v>0</v>
      </c>
      <c r="K867">
        <f>IF(H867-I867-J867&gt;0,H867-I867-J867,0)</f>
        <v/>
      </c>
      <c r="L867" s="1">
        <f>IFERROR(I867*E867,0)</f>
        <v/>
      </c>
      <c r="M867" s="1">
        <f>IFERROR(K867*E867,0)</f>
        <v/>
      </c>
    </row>
    <row r="868">
      <c r="A868" t="inlineStr">
        <is>
          <t>Fumax 710.20.D.8.0220.4.3</t>
        </is>
      </c>
      <c r="B868" t="inlineStr">
        <is>
          <t>c/w 2.2 kW 4 Pole 380 V Motor</t>
        </is>
      </c>
      <c r="C868" t="inlineStr">
        <is>
          <t>Centrifab (Pty) Ltd</t>
        </is>
      </c>
      <c r="D868" t="inlineStr"/>
      <c r="E868" s="1" t="n">
        <v>12391</v>
      </c>
      <c r="F868" t="n">
        <v>2</v>
      </c>
      <c r="G868" t="n">
        <v>0</v>
      </c>
      <c r="H868" t="n">
        <v>4</v>
      </c>
      <c r="I868" t="n">
        <v>0</v>
      </c>
      <c r="J868" t="n">
        <v>0</v>
      </c>
      <c r="K868">
        <f>IF(H868-I868-J868&gt;0,H868-I868-J868,0)</f>
        <v/>
      </c>
      <c r="L868" s="1">
        <f>IFERROR(I868*E868,0)</f>
        <v/>
      </c>
      <c r="M868" s="1">
        <f>IFERROR(K868*E868,0)</f>
        <v/>
      </c>
    </row>
    <row r="869">
      <c r="A869" t="inlineStr">
        <is>
          <t>Fumax 800.32.E.8.0400.4.3</t>
        </is>
      </c>
      <c r="B869" t="inlineStr">
        <is>
          <t>c/w 4 kW 4 Pole 380 V Motor</t>
        </is>
      </c>
      <c r="C869" t="inlineStr">
        <is>
          <t>Centrifab (Pty) Ltd</t>
        </is>
      </c>
      <c r="D869" t="inlineStr"/>
      <c r="E869" s="1" t="n">
        <v>21973</v>
      </c>
      <c r="F869" t="n">
        <v>1</v>
      </c>
      <c r="G869" t="n">
        <v>0</v>
      </c>
      <c r="H869" t="n">
        <v>3</v>
      </c>
      <c r="I869" t="n">
        <v>0</v>
      </c>
      <c r="J869" t="n">
        <v>0</v>
      </c>
      <c r="K869">
        <f>IF(H869-I869-J869&gt;0,H869-I869-J869,0)</f>
        <v/>
      </c>
      <c r="L869" s="1">
        <f>IFERROR(I869*E869,0)</f>
        <v/>
      </c>
      <c r="M869" s="1">
        <f>IFERROR(K869*E869,0)</f>
        <v/>
      </c>
    </row>
    <row r="870">
      <c r="A870" t="inlineStr">
        <is>
          <t>Fumax 8004004</t>
        </is>
      </c>
      <c r="B870" t="inlineStr">
        <is>
          <t>800 32.F.8 c/w 4 kW 4 Pole 380V</t>
        </is>
      </c>
      <c r="C870" t="inlineStr">
        <is>
          <t>Centrifab (Pty) Ltd</t>
        </is>
      </c>
      <c r="D870" t="inlineStr"/>
      <c r="E870" s="1" t="n">
        <v>17220</v>
      </c>
      <c r="F870" t="n">
        <v>7</v>
      </c>
      <c r="G870" t="n">
        <v>0</v>
      </c>
      <c r="H870" t="n">
        <v>15</v>
      </c>
      <c r="I870" t="n">
        <v>0</v>
      </c>
      <c r="J870" t="n">
        <v>0</v>
      </c>
      <c r="K870">
        <f>IF(H870-I870-J870&gt;0,H870-I870-J870,0)</f>
        <v/>
      </c>
      <c r="L870" s="1">
        <f>IFERROR(I870*E870,0)</f>
        <v/>
      </c>
      <c r="M870" s="1">
        <f>IFERROR(K870*E870,0)</f>
        <v/>
      </c>
    </row>
    <row r="871">
      <c r="A871" t="inlineStr">
        <is>
          <t>Fumax 900.20.E.8.0550.4.3</t>
        </is>
      </c>
      <c r="B871" t="inlineStr">
        <is>
          <t>c/w 5.5 kW 4 Pole 380 V</t>
        </is>
      </c>
      <c r="C871" t="inlineStr">
        <is>
          <t>Centrifab (Pty) Ltd</t>
        </is>
      </c>
      <c r="D871" t="inlineStr"/>
      <c r="E871" s="1" t="n">
        <v>21973</v>
      </c>
      <c r="F871" t="n">
        <v>8</v>
      </c>
      <c r="G871" t="n">
        <v>0</v>
      </c>
      <c r="H871" t="n">
        <v>22</v>
      </c>
      <c r="I871" t="n">
        <v>0</v>
      </c>
      <c r="J871" t="n">
        <v>0</v>
      </c>
      <c r="K871">
        <f>IF(H871-I871-J871&gt;0,H871-I871-J871,0)</f>
        <v/>
      </c>
      <c r="L871" s="1">
        <f>IFERROR(I871*E871,0)</f>
        <v/>
      </c>
      <c r="M871" s="1">
        <f>IFERROR(K871*E871,0)</f>
        <v/>
      </c>
    </row>
    <row r="872">
      <c r="A872" t="inlineStr">
        <is>
          <t>Fumax 900.20.E.8.0750.4.3</t>
        </is>
      </c>
      <c r="B872" t="inlineStr">
        <is>
          <t>c/w 7.7 kW 4 Pole 380 V Motor</t>
        </is>
      </c>
      <c r="C872" t="inlineStr">
        <is>
          <t>Centrifab (Pty) Ltd</t>
        </is>
      </c>
      <c r="D872" t="inlineStr"/>
      <c r="E872" s="1" t="n">
        <v>21973</v>
      </c>
      <c r="F872" t="n">
        <v>6</v>
      </c>
      <c r="G872" t="n">
        <v>0</v>
      </c>
      <c r="H872" t="n">
        <v>16</v>
      </c>
      <c r="I872" t="n">
        <v>0</v>
      </c>
      <c r="J872" t="n">
        <v>0</v>
      </c>
      <c r="K872">
        <f>IF(H872-I872-J872&gt;0,H872-I872-J872,0)</f>
        <v/>
      </c>
      <c r="L872" s="1">
        <f>IFERROR(I872*E872,0)</f>
        <v/>
      </c>
      <c r="M872" s="1">
        <f>IFERROR(K872*E872,0)</f>
        <v/>
      </c>
    </row>
    <row r="873">
      <c r="A873" t="inlineStr">
        <is>
          <t>Fumax400</t>
        </is>
      </c>
      <c r="B873" t="inlineStr">
        <is>
          <t>Fumax 4000.15.B.4 C/W 1.5KW 2P 380V</t>
        </is>
      </c>
      <c r="C873" t="inlineStr">
        <is>
          <t>Centrifab (Pty) Ltd</t>
        </is>
      </c>
      <c r="D873" t="inlineStr"/>
      <c r="E873" s="1" t="n">
        <v>9462.959999999999</v>
      </c>
      <c r="F873" t="n">
        <v>8</v>
      </c>
      <c r="G873" t="n">
        <v>0</v>
      </c>
      <c r="H873" t="n">
        <v>18</v>
      </c>
      <c r="I873" t="n">
        <v>0</v>
      </c>
      <c r="J873" t="n">
        <v>0</v>
      </c>
      <c r="K873">
        <f>IF(H873-I873-J873&gt;0,H873-I873-J873,0)</f>
        <v/>
      </c>
      <c r="L873" s="1">
        <f>IFERROR(I873*E873,0)</f>
        <v/>
      </c>
      <c r="M873" s="1">
        <f>IFERROR(K873*E873,0)</f>
        <v/>
      </c>
    </row>
    <row r="874">
      <c r="A874" t="inlineStr">
        <is>
          <t>G023</t>
        </is>
      </c>
      <c r="B874" t="inlineStr">
        <is>
          <t>GLOVES 2.5 GREEN WRIST</t>
        </is>
      </c>
      <c r="C874" t="inlineStr">
        <is>
          <t>INTROWELD CC</t>
        </is>
      </c>
      <c r="D874" t="inlineStr"/>
      <c r="E874" s="1" t="n">
        <v>48</v>
      </c>
      <c r="F874" t="n">
        <v>2</v>
      </c>
      <c r="G874" t="n">
        <v>0</v>
      </c>
      <c r="H874" t="n">
        <v>10</v>
      </c>
      <c r="I874" t="n">
        <v>0</v>
      </c>
      <c r="J874" t="n">
        <v>0</v>
      </c>
      <c r="K874">
        <f>IF(H874-I874-J874&gt;0,H874-I874-J874,0)</f>
        <v/>
      </c>
      <c r="L874" s="1">
        <f>IFERROR(I874*E874,0)</f>
        <v/>
      </c>
      <c r="M874" s="1">
        <f>IFERROR(K874*E874,0)</f>
        <v/>
      </c>
    </row>
    <row r="875">
      <c r="A875" t="inlineStr">
        <is>
          <t>G028</t>
        </is>
      </c>
      <c r="B875" t="inlineStr">
        <is>
          <t>8 RED HEAT RESISTANT GLOVES</t>
        </is>
      </c>
      <c r="C875" t="inlineStr">
        <is>
          <t>INTROWELD CC</t>
        </is>
      </c>
      <c r="D875" t="inlineStr">
        <is>
          <t>CONSUMABLES</t>
        </is>
      </c>
      <c r="E875" s="1" t="n">
        <v>69</v>
      </c>
      <c r="F875" t="n">
        <v>1</v>
      </c>
      <c r="G875" t="n">
        <v>0</v>
      </c>
      <c r="H875" t="n">
        <v>5</v>
      </c>
      <c r="I875" t="n">
        <v>0</v>
      </c>
      <c r="J875" t="n">
        <v>0</v>
      </c>
      <c r="K875">
        <f>IF(H875-I875-J875&gt;0,H875-I875-J875,0)</f>
        <v/>
      </c>
      <c r="L875" s="1">
        <f>IFERROR(I875*E875,0)</f>
        <v/>
      </c>
      <c r="M875" s="1">
        <f>IFERROR(K875*E875,0)</f>
        <v/>
      </c>
    </row>
    <row r="876">
      <c r="A876" t="inlineStr">
        <is>
          <t>G2E180EH0301</t>
        </is>
      </c>
      <c r="B876" t="inlineStr">
        <is>
          <t>220V SI Centrifugal Fan</t>
        </is>
      </c>
      <c r="C876" t="inlineStr">
        <is>
          <t>Ebmpapst</t>
        </is>
      </c>
      <c r="D876" t="inlineStr"/>
      <c r="E876" s="1" t="n">
        <v>5110.49</v>
      </c>
      <c r="F876" t="n">
        <v>6</v>
      </c>
      <c r="G876" t="n">
        <v>0</v>
      </c>
      <c r="H876" t="n">
        <v>30</v>
      </c>
      <c r="I876" t="n">
        <v>0</v>
      </c>
      <c r="J876" t="n">
        <v>0</v>
      </c>
      <c r="K876">
        <f>IF(H876-I876-J876&gt;0,H876-I876-J876,0)</f>
        <v/>
      </c>
      <c r="L876" s="1">
        <f>IFERROR(I876*E876,0)</f>
        <v/>
      </c>
      <c r="M876" s="1">
        <f>IFERROR(K876*E876,0)</f>
        <v/>
      </c>
    </row>
    <row r="877">
      <c r="A877" t="inlineStr">
        <is>
          <t>GALV PLATE</t>
        </is>
      </c>
      <c r="B877" t="inlineStr">
        <is>
          <t>3mm Galvanised Plate</t>
        </is>
      </c>
      <c r="C877" t="inlineStr">
        <is>
          <t>Kart Shop TA Ultimate Laser Cutting</t>
        </is>
      </c>
      <c r="D877" t="inlineStr">
        <is>
          <t>PLATE</t>
        </is>
      </c>
      <c r="E877" s="1" t="n">
        <v>2334</v>
      </c>
      <c r="F877" t="n">
        <v>1</v>
      </c>
      <c r="G877" t="n">
        <v>0</v>
      </c>
      <c r="H877" t="n">
        <v>6</v>
      </c>
      <c r="I877" t="n">
        <v>0</v>
      </c>
      <c r="J877" t="n">
        <v>0</v>
      </c>
      <c r="K877">
        <f>IF(H877-I877-J877&gt;0,H877-I877-J877,0)</f>
        <v/>
      </c>
      <c r="L877" s="1">
        <f>IFERROR(I877*E877,0)</f>
        <v/>
      </c>
      <c r="M877" s="1">
        <f>IFERROR(K877*E877,0)</f>
        <v/>
      </c>
    </row>
    <row r="878">
      <c r="A878" t="inlineStr">
        <is>
          <t>GALV-TERMINAL CAP</t>
        </is>
      </c>
      <c r="B878" t="inlineStr">
        <is>
          <t>TERMINAL CAP</t>
        </is>
      </c>
      <c r="C878" t="inlineStr">
        <is>
          <t>GALVAGLOW (PTY) LTD</t>
        </is>
      </c>
      <c r="D878" t="inlineStr"/>
      <c r="E878" s="1" t="n">
        <v>0</v>
      </c>
      <c r="F878" t="n">
        <v>16</v>
      </c>
      <c r="G878" t="n">
        <v>0</v>
      </c>
      <c r="H878" t="n">
        <v>80</v>
      </c>
      <c r="I878" t="n">
        <v>0</v>
      </c>
      <c r="J878" t="n">
        <v>0</v>
      </c>
      <c r="K878">
        <f>IF(H878-I878-J878&gt;0,H878-I878-J878,0)</f>
        <v/>
      </c>
      <c r="L878" s="1">
        <f>IFERROR(I878*E878,0)</f>
        <v/>
      </c>
      <c r="M878" s="1">
        <f>IFERROR(K878*E878,0)</f>
        <v/>
      </c>
    </row>
    <row r="879">
      <c r="A879" t="inlineStr">
        <is>
          <t>GALVANISING</t>
        </is>
      </c>
      <c r="B879" t="inlineStr">
        <is>
          <t>Galvanizing General 11 X FAN CASING</t>
        </is>
      </c>
      <c r="C879" t="inlineStr">
        <is>
          <t>GALVAGLOW (PTY) LTD</t>
        </is>
      </c>
      <c r="D879" t="inlineStr"/>
      <c r="E879" s="1" t="n">
        <v>13.02</v>
      </c>
      <c r="F879" t="n">
        <v>298</v>
      </c>
      <c r="G879" t="n">
        <v>0</v>
      </c>
      <c r="H879" t="n">
        <v>1491</v>
      </c>
      <c r="I879" t="n">
        <v>0</v>
      </c>
      <c r="J879" t="n">
        <v>0</v>
      </c>
      <c r="K879">
        <f>IF(H879-I879-J879&gt;0,H879-I879-J879,0)</f>
        <v/>
      </c>
      <c r="L879" s="1">
        <f>IFERROR(I879*E879,0)</f>
        <v/>
      </c>
      <c r="M879" s="1">
        <f>IFERROR(K879*E879,0)</f>
        <v/>
      </c>
    </row>
    <row r="880">
      <c r="A880" t="inlineStr">
        <is>
          <t>GAS001</t>
        </is>
      </c>
      <c r="B880" t="inlineStr">
        <is>
          <t>Rolls Gasketing</t>
        </is>
      </c>
      <c r="C880" t="inlineStr">
        <is>
          <t>Filtermac Design ( Pty) Ltd</t>
        </is>
      </c>
      <c r="D880" t="inlineStr"/>
      <c r="E880" s="1" t="n">
        <v>73</v>
      </c>
      <c r="F880" t="n">
        <v>3</v>
      </c>
      <c r="G880" t="n">
        <v>0</v>
      </c>
      <c r="H880" t="n">
        <v>11</v>
      </c>
      <c r="I880" t="n">
        <v>0</v>
      </c>
      <c r="J880" t="n">
        <v>0</v>
      </c>
      <c r="K880">
        <f>IF(H880-I880-J880&gt;0,H880-I880-J880,0)</f>
        <v/>
      </c>
      <c r="L880" s="1">
        <f>IFERROR(I880*E880,0)</f>
        <v/>
      </c>
      <c r="M880" s="1">
        <f>IFERROR(K880*E880,0)</f>
        <v/>
      </c>
    </row>
    <row r="881">
      <c r="A881" t="inlineStr">
        <is>
          <t>GL5</t>
        </is>
      </c>
      <c r="B881" t="inlineStr">
        <is>
          <t>380V Extraction &amp; Ventilation 380V, 0.55kW 1430rpm 7000m3/hr</t>
        </is>
      </c>
      <c r="C881" t="inlineStr">
        <is>
          <t>Bluetech Fans (Pty) Ltd</t>
        </is>
      </c>
      <c r="D881" t="inlineStr"/>
      <c r="E881" s="1" t="n">
        <v>735</v>
      </c>
      <c r="F881" t="n">
        <v>3</v>
      </c>
      <c r="G881" t="n">
        <v>0</v>
      </c>
      <c r="H881" t="n">
        <v>7</v>
      </c>
      <c r="I881" t="n">
        <v>0</v>
      </c>
      <c r="J881" t="n">
        <v>0</v>
      </c>
      <c r="K881">
        <f>IF(H881-I881-J881&gt;0,H881-I881-J881,0)</f>
        <v/>
      </c>
      <c r="L881" s="1">
        <f>IFERROR(I881*E881,0)</f>
        <v/>
      </c>
      <c r="M881" s="1">
        <f>IFERROR(K881*E881,0)</f>
        <v/>
      </c>
    </row>
    <row r="882">
      <c r="A882" t="inlineStr">
        <is>
          <t>GLF12.5</t>
        </is>
      </c>
      <c r="B882" t="inlineStr">
        <is>
          <t>Box, NO MOTOR</t>
        </is>
      </c>
      <c r="C882" t="inlineStr">
        <is>
          <t>AF Fans CC</t>
        </is>
      </c>
      <c r="D882" t="inlineStr"/>
      <c r="E882" s="1" t="n">
        <v>3280</v>
      </c>
      <c r="F882" t="n">
        <v>1</v>
      </c>
      <c r="G882" t="n">
        <v>0</v>
      </c>
      <c r="H882" t="n">
        <v>6</v>
      </c>
      <c r="I882" t="n">
        <v>0</v>
      </c>
      <c r="J882" t="n">
        <v>0</v>
      </c>
      <c r="K882">
        <f>IF(H882-I882-J882&gt;0,H882-I882-J882,0)</f>
        <v/>
      </c>
      <c r="L882" s="1">
        <f>IFERROR(I882*E882,0)</f>
        <v/>
      </c>
      <c r="M882" s="1">
        <f>IFERROR(K882*E882,0)</f>
        <v/>
      </c>
    </row>
    <row r="883">
      <c r="A883" t="inlineStr">
        <is>
          <t>GLF7</t>
        </is>
      </c>
      <c r="B883" t="inlineStr">
        <is>
          <t>c/w 0.45kW 960RPM 380V Motor</t>
        </is>
      </c>
      <c r="C883" t="inlineStr">
        <is>
          <t>Bluetech Fans (Pty) Ltd</t>
        </is>
      </c>
      <c r="D883" t="inlineStr"/>
      <c r="E883" s="1" t="n">
        <v>1064.25</v>
      </c>
      <c r="F883" t="n">
        <v>2</v>
      </c>
      <c r="G883" t="n">
        <v>0</v>
      </c>
      <c r="H883" t="n">
        <v>6</v>
      </c>
      <c r="I883" t="n">
        <v>0</v>
      </c>
      <c r="J883" t="n">
        <v>0</v>
      </c>
      <c r="K883">
        <f>IF(H883-I883-J883&gt;0,H883-I883-J883,0)</f>
        <v/>
      </c>
      <c r="L883" s="1">
        <f>IFERROR(I883*E883,0)</f>
        <v/>
      </c>
      <c r="M883" s="1">
        <f>IFERROR(K883*E883,0)</f>
        <v/>
      </c>
    </row>
    <row r="884">
      <c r="A884" t="inlineStr">
        <is>
          <t>GRM300</t>
        </is>
      </c>
      <c r="B884" t="inlineStr">
        <is>
          <t>Shutter PVC Gravity for 200mmFan S/Frame</t>
        </is>
      </c>
      <c r="C884" t="inlineStr">
        <is>
          <t>Luft Industries Natal (Pty) Ltd</t>
        </is>
      </c>
      <c r="D884" t="inlineStr"/>
      <c r="E884" s="1" t="n">
        <v>450.75</v>
      </c>
      <c r="F884" t="n">
        <v>1</v>
      </c>
      <c r="G884" t="n">
        <v>0</v>
      </c>
      <c r="H884" t="n">
        <v>5</v>
      </c>
      <c r="I884" t="n">
        <v>0</v>
      </c>
      <c r="J884" t="n">
        <v>0</v>
      </c>
      <c r="K884">
        <f>IF(H884-I884-J884&gt;0,H884-I884-J884,0)</f>
        <v/>
      </c>
      <c r="L884" s="1">
        <f>IFERROR(I884*E884,0)</f>
        <v/>
      </c>
      <c r="M884" s="1">
        <f>IFERROR(K884*E884,0)</f>
        <v/>
      </c>
    </row>
    <row r="885">
      <c r="A885" t="inlineStr">
        <is>
          <t>GRM350</t>
        </is>
      </c>
      <c r="B885" t="inlineStr">
        <is>
          <t>Shutter PVC Gravity for 250mmFan S/Frame</t>
        </is>
      </c>
      <c r="C885" t="inlineStr">
        <is>
          <t>Luft Industries Natal (Pty) Ltd</t>
        </is>
      </c>
      <c r="D885" t="inlineStr">
        <is>
          <t>Accessories</t>
        </is>
      </c>
      <c r="E885" s="1" t="n">
        <v>503.25</v>
      </c>
      <c r="F885" t="n">
        <v>1</v>
      </c>
      <c r="G885" t="n">
        <v>0</v>
      </c>
      <c r="H885" t="n">
        <v>2</v>
      </c>
      <c r="I885" t="n">
        <v>0</v>
      </c>
      <c r="J885" t="n">
        <v>0</v>
      </c>
      <c r="K885">
        <f>IF(H885-I885-J885&gt;0,H885-I885-J885,0)</f>
        <v/>
      </c>
      <c r="L885" s="1">
        <f>IFERROR(I885*E885,0)</f>
        <v/>
      </c>
      <c r="M885" s="1">
        <f>IFERROR(K885*E885,0)</f>
        <v/>
      </c>
    </row>
    <row r="886">
      <c r="A886" t="inlineStr">
        <is>
          <t>GRM535</t>
        </is>
      </c>
      <c r="B886" t="inlineStr">
        <is>
          <t>Shutter PVC Gravity for 400mmFan S/Frame</t>
        </is>
      </c>
      <c r="C886" t="inlineStr">
        <is>
          <t>Luft Industries Natal (Pty) Ltd</t>
        </is>
      </c>
      <c r="D886" t="inlineStr"/>
      <c r="E886" s="1" t="n">
        <v>708</v>
      </c>
      <c r="F886" t="n">
        <v>1</v>
      </c>
      <c r="G886" t="n">
        <v>0</v>
      </c>
      <c r="H886" t="n">
        <v>4</v>
      </c>
      <c r="I886" t="n">
        <v>0</v>
      </c>
      <c r="J886" t="n">
        <v>0</v>
      </c>
      <c r="K886">
        <f>IF(H886-I886-J886&gt;0,H886-I886-J886,0)</f>
        <v/>
      </c>
      <c r="L886" s="1">
        <f>IFERROR(I886*E886,0)</f>
        <v/>
      </c>
      <c r="M886" s="1">
        <f>IFERROR(K886*E886,0)</f>
        <v/>
      </c>
    </row>
    <row r="887">
      <c r="A887" t="inlineStr">
        <is>
          <t>GUN H827P</t>
        </is>
      </c>
      <c r="B887" t="inlineStr">
        <is>
          <t>SPRAY GUN H827P BULLDOG</t>
        </is>
      </c>
      <c r="C887" t="inlineStr">
        <is>
          <t>MG AUTO PAINT (PTY) LTD</t>
        </is>
      </c>
      <c r="D887" t="inlineStr">
        <is>
          <t>CONSUMABLES</t>
        </is>
      </c>
      <c r="E887" s="1" t="n">
        <v>521.74</v>
      </c>
      <c r="F887" t="n">
        <v>1</v>
      </c>
      <c r="G887" t="n">
        <v>0</v>
      </c>
      <c r="H887" t="n">
        <v>2</v>
      </c>
      <c r="I887" t="n">
        <v>0</v>
      </c>
      <c r="J887" t="n">
        <v>0</v>
      </c>
      <c r="K887">
        <f>IF(H887-I887-J887&gt;0,H887-I887-J887,0)</f>
        <v/>
      </c>
      <c r="L887" s="1">
        <f>IFERROR(I887*E887,0)</f>
        <v/>
      </c>
      <c r="M887" s="1">
        <f>IFERROR(K887*E887,0)</f>
        <v/>
      </c>
    </row>
    <row r="888">
      <c r="A888" t="inlineStr">
        <is>
          <t>H20102</t>
        </is>
      </c>
      <c r="B888" t="inlineStr">
        <is>
          <t>WEATHER SEAL 6mm*25mm*5mt BLACK FOAM</t>
        </is>
      </c>
      <c r="C888" t="inlineStr">
        <is>
          <t>Securadeal</t>
        </is>
      </c>
      <c r="D888" t="inlineStr"/>
      <c r="E888" s="1" t="n">
        <v>29.87</v>
      </c>
      <c r="F888" t="n">
        <v>4</v>
      </c>
      <c r="G888" t="n">
        <v>0</v>
      </c>
      <c r="H888" t="n">
        <v>20</v>
      </c>
      <c r="I888" t="n">
        <v>0</v>
      </c>
      <c r="J888" t="n">
        <v>0</v>
      </c>
      <c r="K888">
        <f>IF(H888-I888-J888&gt;0,H888-I888-J888,0)</f>
        <v/>
      </c>
      <c r="L888" s="1">
        <f>IFERROR(I888*E888,0)</f>
        <v/>
      </c>
      <c r="M888" s="1">
        <f>IFERROR(K888*E888,0)</f>
        <v/>
      </c>
    </row>
    <row r="889">
      <c r="A889" t="inlineStr">
        <is>
          <t>HANDLING FEE.</t>
        </is>
      </c>
      <c r="B889" t="inlineStr">
        <is>
          <t>GOODS RETURNED HANDLING FEE - CHARGED AT 15%</t>
        </is>
      </c>
      <c r="C889" t="inlineStr"/>
      <c r="D889" t="inlineStr"/>
      <c r="E889" s="1" t="n">
        <v>2672.7</v>
      </c>
      <c r="F889" t="n">
        <v>3</v>
      </c>
      <c r="G889" t="n">
        <v>0</v>
      </c>
      <c r="H889" t="n">
        <v>14</v>
      </c>
      <c r="I889" t="n">
        <v>0</v>
      </c>
      <c r="J889" t="n">
        <v>0</v>
      </c>
      <c r="K889">
        <f>IF(H889-I889-J889&gt;0,H889-I889-J889,0)</f>
        <v/>
      </c>
      <c r="L889" s="1">
        <f>IFERROR(I889*E889,0)</f>
        <v/>
      </c>
      <c r="M889" s="1">
        <f>IFERROR(K889*E889,0)</f>
        <v/>
      </c>
    </row>
    <row r="890">
      <c r="A890" t="inlineStr">
        <is>
          <t>HCT/EC</t>
        </is>
      </c>
      <c r="B890" t="inlineStr">
        <is>
          <t>45-2T-2 400V 50/60HZ IE5</t>
        </is>
      </c>
      <c r="C890" t="inlineStr"/>
      <c r="D890" t="inlineStr"/>
      <c r="E890" s="1" t="n">
        <v>0</v>
      </c>
      <c r="F890" t="n">
        <v>1</v>
      </c>
      <c r="G890" t="n">
        <v>0</v>
      </c>
      <c r="H890" t="n">
        <v>2</v>
      </c>
      <c r="I890" t="n">
        <v>0</v>
      </c>
      <c r="J890" t="n">
        <v>0</v>
      </c>
      <c r="K890">
        <f>IF(H890-I890-J890&gt;0,H890-I890-J890,0)</f>
        <v/>
      </c>
      <c r="L890" s="1">
        <f>IFERROR(I890*E890,0)</f>
        <v/>
      </c>
      <c r="M890" s="1">
        <f>IFERROR(K890*E890,0)</f>
        <v/>
      </c>
    </row>
    <row r="891">
      <c r="A891" t="inlineStr">
        <is>
          <t>HDA 9/9</t>
        </is>
      </c>
      <c r="B891" t="inlineStr">
        <is>
          <t>Crop to 959mm - 42mm Bore</t>
        </is>
      </c>
      <c r="C891" t="inlineStr">
        <is>
          <t>CFW Fans (Pty) Ltd</t>
        </is>
      </c>
      <c r="D891" t="inlineStr"/>
      <c r="E891" s="1" t="n">
        <v>7022</v>
      </c>
      <c r="F891" t="n">
        <v>1</v>
      </c>
      <c r="G891" t="n">
        <v>0</v>
      </c>
      <c r="H891" t="n">
        <v>5</v>
      </c>
      <c r="I891" t="n">
        <v>0</v>
      </c>
      <c r="J891" t="n">
        <v>0</v>
      </c>
      <c r="K891">
        <f>IF(H891-I891-J891&gt;0,H891-I891-J891,0)</f>
        <v/>
      </c>
      <c r="L891" s="1">
        <f>IFERROR(I891*E891,0)</f>
        <v/>
      </c>
      <c r="M891" s="1">
        <f>IFERROR(K891*E891,0)</f>
        <v/>
      </c>
    </row>
    <row r="892">
      <c r="A892" t="inlineStr">
        <is>
          <t>HDA1250</t>
        </is>
      </c>
      <c r="B892" t="inlineStr">
        <is>
          <t>HDA 1250 , 9Bladed , axial flow impeller</t>
        </is>
      </c>
      <c r="C892" t="inlineStr">
        <is>
          <t>CFW Fans (Pty) Ltd</t>
        </is>
      </c>
      <c r="D892" t="inlineStr"/>
      <c r="E892" s="1" t="n">
        <v>7532.2</v>
      </c>
      <c r="F892" t="n">
        <v>1</v>
      </c>
      <c r="G892" t="n">
        <v>0</v>
      </c>
      <c r="H892" t="n">
        <v>2</v>
      </c>
      <c r="I892" t="n">
        <v>0</v>
      </c>
      <c r="J892" t="n">
        <v>0</v>
      </c>
      <c r="K892">
        <f>IF(H892-I892-J892&gt;0,H892-I892-J892,0)</f>
        <v/>
      </c>
      <c r="L892" s="1">
        <f>IFERROR(I892*E892,0)</f>
        <v/>
      </c>
      <c r="M892" s="1">
        <f>IFERROR(K892*E892,0)</f>
        <v/>
      </c>
    </row>
    <row r="893">
      <c r="A893" t="inlineStr">
        <is>
          <t>HDA9B315</t>
        </is>
      </c>
      <c r="B893" t="inlineStr">
        <is>
          <t>HDA9 - 315 Impeller to suit 0.37Kw 2pole Motor</t>
        </is>
      </c>
      <c r="C893" t="inlineStr">
        <is>
          <t>CFW Fans (Pty) Ltd</t>
        </is>
      </c>
      <c r="D893" t="inlineStr">
        <is>
          <t>FM - CFW FANS</t>
        </is>
      </c>
      <c r="E893" s="1" t="n">
        <v>1880</v>
      </c>
      <c r="F893" t="n">
        <v>1</v>
      </c>
      <c r="G893" t="n">
        <v>0</v>
      </c>
      <c r="H893" t="n">
        <v>2</v>
      </c>
      <c r="I893" t="n">
        <v>0</v>
      </c>
      <c r="J893" t="n">
        <v>0</v>
      </c>
      <c r="K893">
        <f>IF(H893-I893-J893&gt;0,H893-I893-J893,0)</f>
        <v/>
      </c>
      <c r="L893" s="1">
        <f>IFERROR(I893*E893,0)</f>
        <v/>
      </c>
      <c r="M893" s="1">
        <f>IFERROR(K893*E893,0)</f>
        <v/>
      </c>
    </row>
    <row r="894">
      <c r="A894" t="inlineStr">
        <is>
          <t>HEP.25.2TH</t>
        </is>
      </c>
      <c r="B894" t="inlineStr">
        <is>
          <t>HEP.25.2T/H</t>
        </is>
      </c>
      <c r="C894" t="inlineStr">
        <is>
          <t>SODECA</t>
        </is>
      </c>
      <c r="D894" t="inlineStr"/>
      <c r="E894" s="1" t="n">
        <v>3171.49</v>
      </c>
      <c r="F894" t="n">
        <v>5</v>
      </c>
      <c r="G894" t="n">
        <v>0</v>
      </c>
      <c r="H894" t="n">
        <v>9</v>
      </c>
      <c r="I894" t="n">
        <v>0</v>
      </c>
      <c r="J894" t="n">
        <v>0</v>
      </c>
      <c r="K894">
        <f>IF(H894-I894-J894&gt;0,H894-I894-J894,0)</f>
        <v/>
      </c>
      <c r="L894" s="1">
        <f>IFERROR(I894*E894,0)</f>
        <v/>
      </c>
      <c r="M894" s="1">
        <f>IFERROR(K894*E894,0)</f>
        <v/>
      </c>
    </row>
    <row r="895">
      <c r="A895" t="inlineStr">
        <is>
          <t>HF002</t>
        </is>
      </c>
      <c r="B895" t="inlineStr">
        <is>
          <t>Galvanised Holding Frame 610x610x55</t>
        </is>
      </c>
      <c r="C895" t="inlineStr">
        <is>
          <t>Filtermac Design ( Pty) Ltd</t>
        </is>
      </c>
      <c r="D895" t="inlineStr"/>
      <c r="E895" s="1" t="n">
        <v>198</v>
      </c>
      <c r="F895" t="n">
        <v>13</v>
      </c>
      <c r="G895" t="n">
        <v>0</v>
      </c>
      <c r="H895" t="n">
        <v>45</v>
      </c>
      <c r="I895" t="n">
        <v>0</v>
      </c>
      <c r="J895" t="n">
        <v>0</v>
      </c>
      <c r="K895">
        <f>IF(H895-I895-J895&gt;0,H895-I895-J895,0)</f>
        <v/>
      </c>
      <c r="L895" s="1">
        <f>IFERROR(I895*E895,0)</f>
        <v/>
      </c>
      <c r="M895" s="1">
        <f>IFERROR(K895*E895,0)</f>
        <v/>
      </c>
    </row>
    <row r="896">
      <c r="A896" t="inlineStr">
        <is>
          <t>HIGH H</t>
        </is>
      </c>
      <c r="B896" t="inlineStr">
        <is>
          <t>HIGH HEAT 5LT SILVER</t>
        </is>
      </c>
      <c r="C896" t="inlineStr">
        <is>
          <t>MG AUTO PAINT (PTY) LTD</t>
        </is>
      </c>
      <c r="D896" t="inlineStr"/>
      <c r="E896" s="1" t="n">
        <v>347.83</v>
      </c>
      <c r="F896" t="n">
        <v>1</v>
      </c>
      <c r="G896" t="n">
        <v>0</v>
      </c>
      <c r="H896" t="n">
        <v>2</v>
      </c>
      <c r="I896" t="n">
        <v>0</v>
      </c>
      <c r="J896" t="n">
        <v>0</v>
      </c>
      <c r="K896">
        <f>IF(H896-I896-J896&gt;0,H896-I896-J896,0)</f>
        <v/>
      </c>
      <c r="L896" s="1">
        <f>IFERROR(I896*E896,0)</f>
        <v/>
      </c>
      <c r="M896" s="1">
        <f>IFERROR(K896*E896,0)</f>
        <v/>
      </c>
    </row>
    <row r="897">
      <c r="A897" t="inlineStr">
        <is>
          <t>HJBM-Plus</t>
        </is>
      </c>
      <c r="B897" t="inlineStr">
        <is>
          <t>50-T-4 c/w 0.55KW 1400rpm 380V</t>
        </is>
      </c>
      <c r="C897" t="inlineStr"/>
      <c r="D897" t="inlineStr"/>
      <c r="E897" s="1" t="n">
        <v>0</v>
      </c>
      <c r="F897" t="n">
        <v>1</v>
      </c>
      <c r="G897" t="n">
        <v>0</v>
      </c>
      <c r="H897" t="n">
        <v>2</v>
      </c>
      <c r="I897" t="n">
        <v>0</v>
      </c>
      <c r="J897" t="n">
        <v>0</v>
      </c>
      <c r="K897">
        <f>IF(H897-I897-J897&gt;0,H897-I897-J897,0)</f>
        <v/>
      </c>
      <c r="L897" s="1">
        <f>IFERROR(I897*E897,0)</f>
        <v/>
      </c>
      <c r="M897" s="1">
        <f>IFERROR(K897*E897,0)</f>
        <v/>
      </c>
    </row>
    <row r="898">
      <c r="A898" t="inlineStr">
        <is>
          <t>HJBM.PLUS.45.T4</t>
        </is>
      </c>
      <c r="B898" t="inlineStr">
        <is>
          <t>0.55kw</t>
        </is>
      </c>
      <c r="C898" t="inlineStr">
        <is>
          <t>Vortice Elettrosociali SpA</t>
        </is>
      </c>
      <c r="D898" t="inlineStr"/>
      <c r="E898" s="1" t="n">
        <v>6153.01</v>
      </c>
      <c r="F898" t="n">
        <v>1</v>
      </c>
      <c r="G898" t="n">
        <v>0</v>
      </c>
      <c r="H898" t="n">
        <v>2</v>
      </c>
      <c r="I898" t="n">
        <v>0</v>
      </c>
      <c r="J898" t="n">
        <v>0</v>
      </c>
      <c r="K898">
        <f>IF(H898-I898-J898&gt;0,H898-I898-J898,0)</f>
        <v/>
      </c>
      <c r="L898" s="1">
        <f>IFERROR(I898*E898,0)</f>
        <v/>
      </c>
      <c r="M898" s="1">
        <f>IFERROR(K898*E898,0)</f>
        <v/>
      </c>
    </row>
    <row r="899">
      <c r="A899" t="inlineStr">
        <is>
          <t>HPLV710152</t>
        </is>
      </c>
      <c r="B899" t="inlineStr">
        <is>
          <t>HPLV 710/1.0 SISW Ar 6A c/w 15Kw 2P 400V</t>
        </is>
      </c>
      <c r="C899" t="inlineStr">
        <is>
          <t>Centrifab (Pty) Ltd</t>
        </is>
      </c>
      <c r="D899" t="inlineStr"/>
      <c r="E899" s="1" t="n">
        <v>28000</v>
      </c>
      <c r="F899" t="n">
        <v>6</v>
      </c>
      <c r="G899" t="n">
        <v>0</v>
      </c>
      <c r="H899" t="n">
        <v>12</v>
      </c>
      <c r="I899" t="n">
        <v>0</v>
      </c>
      <c r="J899" t="n">
        <v>0</v>
      </c>
      <c r="K899">
        <f>IF(H899-I899-J899&gt;0,H899-I899-J899,0)</f>
        <v/>
      </c>
      <c r="L899" s="1">
        <f>IFERROR(I899*E899,0)</f>
        <v/>
      </c>
      <c r="M899" s="1">
        <f>IFERROR(K899*E899,0)</f>
        <v/>
      </c>
    </row>
    <row r="900">
      <c r="A900" t="inlineStr">
        <is>
          <t>HV 12.5</t>
        </is>
      </c>
      <c r="B900" t="inlineStr">
        <is>
          <t>HV1250 c/w 1.1Kw 450 rpm 380V</t>
        </is>
      </c>
      <c r="C900" t="inlineStr">
        <is>
          <t>AF Fans CC</t>
        </is>
      </c>
      <c r="D900" t="inlineStr"/>
      <c r="E900" s="1" t="n">
        <v>6515.6</v>
      </c>
      <c r="F900" t="n">
        <v>1</v>
      </c>
      <c r="G900" t="n">
        <v>0</v>
      </c>
      <c r="H900" t="n">
        <v>4</v>
      </c>
      <c r="I900" t="n">
        <v>0</v>
      </c>
      <c r="J900" t="n">
        <v>0</v>
      </c>
      <c r="K900">
        <f>IF(H900-I900-J900&gt;0,H900-I900-J900,0)</f>
        <v/>
      </c>
      <c r="L900" s="1">
        <f>IFERROR(I900*E900,0)</f>
        <v/>
      </c>
      <c r="M900" s="1">
        <f>IFERROR(K900*E900,0)</f>
        <v/>
      </c>
    </row>
    <row r="901">
      <c r="A901" t="inlineStr">
        <is>
          <t>HV-7</t>
        </is>
      </c>
      <c r="B901" t="inlineStr">
        <is>
          <t>HV 7 c/w 0.45kW 6Pole</t>
        </is>
      </c>
      <c r="C901" t="inlineStr">
        <is>
          <t>AF Fans CC</t>
        </is>
      </c>
      <c r="D901" t="inlineStr"/>
      <c r="E901" s="1" t="n">
        <v>3799.6</v>
      </c>
      <c r="F901" t="n">
        <v>1</v>
      </c>
      <c r="G901" t="n">
        <v>0</v>
      </c>
      <c r="H901" t="n">
        <v>2</v>
      </c>
      <c r="I901" t="n">
        <v>0</v>
      </c>
      <c r="J901" t="n">
        <v>0</v>
      </c>
      <c r="K901">
        <f>IF(H901-I901-J901&gt;0,H901-I901-J901,0)</f>
        <v/>
      </c>
      <c r="L901" s="1">
        <f>IFERROR(I901*E901,0)</f>
        <v/>
      </c>
      <c r="M901" s="1">
        <f>IFERROR(K901*E901,0)</f>
        <v/>
      </c>
    </row>
    <row r="902">
      <c r="A902" t="inlineStr">
        <is>
          <t>HV5380V</t>
        </is>
      </c>
      <c r="B902" t="inlineStr">
        <is>
          <t>HV5 c/w 0.55kw 380V</t>
        </is>
      </c>
      <c r="C902" t="inlineStr">
        <is>
          <t>Bluetech Fans (Pty) Ltd</t>
        </is>
      </c>
      <c r="D902" t="inlineStr"/>
      <c r="E902" s="1" t="n">
        <v>5395.5</v>
      </c>
      <c r="F902" t="n">
        <v>1</v>
      </c>
      <c r="G902" t="n">
        <v>0</v>
      </c>
      <c r="H902" t="n">
        <v>2</v>
      </c>
      <c r="I902" t="n">
        <v>0</v>
      </c>
      <c r="J902" t="n">
        <v>0</v>
      </c>
      <c r="K902">
        <f>IF(H902-I902-J902&gt;0,H902-I902-J902,0)</f>
        <v/>
      </c>
      <c r="L902" s="1">
        <f>IFERROR(I902*E902,0)</f>
        <v/>
      </c>
      <c r="M902" s="1">
        <f>IFERROR(K902*E902,0)</f>
        <v/>
      </c>
    </row>
    <row r="903">
      <c r="A903" t="inlineStr">
        <is>
          <t>HV7T</t>
        </is>
      </c>
      <c r="B903" t="inlineStr">
        <is>
          <t>HV 7 c/w 0.45kw 6P 380v</t>
        </is>
      </c>
      <c r="C903" t="inlineStr">
        <is>
          <t>AF Fans CC</t>
        </is>
      </c>
      <c r="D903" t="inlineStr"/>
      <c r="E903" s="1" t="n">
        <v>3799.6</v>
      </c>
      <c r="F903" t="n">
        <v>1</v>
      </c>
      <c r="G903" t="n">
        <v>0</v>
      </c>
      <c r="H903" t="n">
        <v>2</v>
      </c>
      <c r="I903" t="n">
        <v>0</v>
      </c>
      <c r="J903" t="n">
        <v>0</v>
      </c>
      <c r="K903">
        <f>IF(H903-I903-J903&gt;0,H903-I903-J903,0)</f>
        <v/>
      </c>
      <c r="L903" s="1">
        <f>IFERROR(I903*E903,0)</f>
        <v/>
      </c>
      <c r="M903" s="1">
        <f>IFERROR(K903*E903,0)</f>
        <v/>
      </c>
    </row>
    <row r="904">
      <c r="A904" t="inlineStr">
        <is>
          <t>HV9.5 Fan</t>
        </is>
      </c>
      <c r="B904" t="inlineStr">
        <is>
          <t>HV 9.5 - 220V 0.55KW</t>
        </is>
      </c>
      <c r="C904" t="inlineStr">
        <is>
          <t>Luft Industries Natal (Pty) Ltd</t>
        </is>
      </c>
      <c r="D904" t="inlineStr"/>
      <c r="E904" s="1" t="n">
        <v>6021</v>
      </c>
      <c r="F904" t="n">
        <v>1</v>
      </c>
      <c r="G904" t="n">
        <v>0</v>
      </c>
      <c r="H904" t="n">
        <v>3</v>
      </c>
      <c r="I904" t="n">
        <v>0</v>
      </c>
      <c r="J904" t="n">
        <v>0</v>
      </c>
      <c r="K904">
        <f>IF(H904-I904-J904&gt;0,H904-I904-J904,0)</f>
        <v/>
      </c>
      <c r="L904" s="1">
        <f>IFERROR(I904*E904,0)</f>
        <v/>
      </c>
      <c r="M904" s="1">
        <f>IFERROR(K904*E904,0)</f>
        <v/>
      </c>
    </row>
    <row r="905">
      <c r="A905" t="inlineStr">
        <is>
          <t>HVF</t>
        </is>
      </c>
      <c r="B905" t="inlineStr">
        <is>
          <t>105L-6</t>
        </is>
      </c>
      <c r="C905" t="inlineStr">
        <is>
          <t>AF Fans CC</t>
        </is>
      </c>
      <c r="D905" t="inlineStr"/>
      <c r="E905" s="1" t="n">
        <v>0</v>
      </c>
      <c r="F905" t="n">
        <v>1</v>
      </c>
      <c r="G905" t="n">
        <v>0</v>
      </c>
      <c r="H905" t="n">
        <v>2</v>
      </c>
      <c r="I905" t="n">
        <v>0</v>
      </c>
      <c r="J905" t="n">
        <v>0</v>
      </c>
      <c r="K905">
        <f>IF(H905-I905-J905&gt;0,H905-I905-J905,0)</f>
        <v/>
      </c>
      <c r="L905" s="1">
        <f>IFERROR(I905*E905,0)</f>
        <v/>
      </c>
      <c r="M905" s="1">
        <f>IFERROR(K905*E905,0)</f>
        <v/>
      </c>
    </row>
    <row r="906">
      <c r="A906" t="inlineStr">
        <is>
          <t>HVJ2</t>
        </is>
      </c>
      <c r="B906" t="inlineStr">
        <is>
          <t>HVJ2</t>
        </is>
      </c>
      <c r="C906" t="inlineStr"/>
      <c r="D906" t="inlineStr"/>
      <c r="E906" s="1" t="n">
        <v>0</v>
      </c>
      <c r="F906" t="n">
        <v>3</v>
      </c>
      <c r="G906" t="n">
        <v>0</v>
      </c>
      <c r="H906" t="n">
        <v>15</v>
      </c>
      <c r="I906" t="n">
        <v>0</v>
      </c>
      <c r="J906" t="n">
        <v>0</v>
      </c>
      <c r="K906">
        <f>IF(H906-I906-J906&gt;0,H906-I906-J906,0)</f>
        <v/>
      </c>
      <c r="L906" s="1">
        <f>IFERROR(I906*E906,0)</f>
        <v/>
      </c>
      <c r="M906" s="1">
        <f>IFERROR(K906*E906,0)</f>
        <v/>
      </c>
    </row>
    <row r="907">
      <c r="A907" t="inlineStr">
        <is>
          <t>HVMotor 380V</t>
        </is>
      </c>
      <c r="B907" t="inlineStr">
        <is>
          <t>HV 1250 - 380V Motor</t>
        </is>
      </c>
      <c r="C907" t="inlineStr">
        <is>
          <t>Luft Industries Natal (Pty) Ltd</t>
        </is>
      </c>
      <c r="D907" t="inlineStr"/>
      <c r="E907" s="1" t="n">
        <v>1447.5</v>
      </c>
      <c r="F907" t="n">
        <v>4</v>
      </c>
      <c r="G907" t="n">
        <v>0</v>
      </c>
      <c r="H907" t="n">
        <v>14</v>
      </c>
      <c r="I907" t="n">
        <v>0</v>
      </c>
      <c r="J907" t="n">
        <v>0</v>
      </c>
      <c r="K907">
        <f>IF(H907-I907-J907&gt;0,H907-I907-J907,0)</f>
        <v/>
      </c>
      <c r="L907" s="1">
        <f>IFERROR(I907*E907,0)</f>
        <v/>
      </c>
      <c r="M907" s="1">
        <f>IFERROR(K907*E907,0)</f>
        <v/>
      </c>
    </row>
    <row r="908">
      <c r="A908" t="inlineStr">
        <is>
          <t>HWP100/001</t>
        </is>
      </c>
      <c r="B908" t="inlineStr">
        <is>
          <t>500mm Dia Fan Guard 3mm Spiral, 4mm Support, Mild Steel, Uncoated</t>
        </is>
      </c>
      <c r="C908" t="inlineStr">
        <is>
          <t>Heinmor Wire Products CC</t>
        </is>
      </c>
      <c r="D908" t="inlineStr"/>
      <c r="E908" s="1" t="n">
        <v>433.36</v>
      </c>
      <c r="F908" t="n">
        <v>1</v>
      </c>
      <c r="G908" t="n">
        <v>0</v>
      </c>
      <c r="H908" t="n">
        <v>2</v>
      </c>
      <c r="I908" t="n">
        <v>0</v>
      </c>
      <c r="J908" t="n">
        <v>0</v>
      </c>
      <c r="K908">
        <f>IF(H908-I908-J908&gt;0,H908-I908-J908,0)</f>
        <v/>
      </c>
      <c r="L908" s="1">
        <f>IFERROR(I908*E908,0)</f>
        <v/>
      </c>
      <c r="M908" s="1">
        <f>IFERROR(K908*E908,0)</f>
        <v/>
      </c>
    </row>
    <row r="909">
      <c r="A909" t="inlineStr">
        <is>
          <t>HWP100/001-</t>
        </is>
      </c>
      <c r="B909" t="inlineStr">
        <is>
          <t>800mm Dia Fan Guard</t>
        </is>
      </c>
      <c r="C909" t="inlineStr">
        <is>
          <t>Heinmor Wire Products CC</t>
        </is>
      </c>
      <c r="D909" t="inlineStr"/>
      <c r="E909" s="1" t="n">
        <v>498</v>
      </c>
      <c r="F909" t="n">
        <v>1</v>
      </c>
      <c r="G909" t="n">
        <v>0</v>
      </c>
      <c r="H909" t="n">
        <v>5</v>
      </c>
      <c r="I909" t="n">
        <v>0</v>
      </c>
      <c r="J909" t="n">
        <v>0</v>
      </c>
      <c r="K909">
        <f>IF(H909-I909-J909&gt;0,H909-I909-J909,0)</f>
        <v/>
      </c>
      <c r="L909" s="1">
        <f>IFERROR(I909*E909,0)</f>
        <v/>
      </c>
      <c r="M909" s="1">
        <f>IFERROR(K909*E909,0)</f>
        <v/>
      </c>
    </row>
    <row r="910">
      <c r="A910" t="inlineStr">
        <is>
          <t>ID75/180OD</t>
        </is>
      </c>
      <c r="B910" t="inlineStr">
        <is>
          <t>Cooling Spinner - 75mm ID - 180 OD</t>
        </is>
      </c>
      <c r="C910" t="inlineStr">
        <is>
          <t>Centrifab (Pty) Ltd</t>
        </is>
      </c>
      <c r="D910" t="inlineStr"/>
      <c r="E910" s="1" t="n">
        <v>850</v>
      </c>
      <c r="F910" t="n">
        <v>1</v>
      </c>
      <c r="G910" t="n">
        <v>0</v>
      </c>
      <c r="H910" t="n">
        <v>2</v>
      </c>
      <c r="I910" t="n">
        <v>0</v>
      </c>
      <c r="J910" t="n">
        <v>0</v>
      </c>
      <c r="K910">
        <f>IF(H910-I910-J910&gt;0,H910-I910-J910,0)</f>
        <v/>
      </c>
      <c r="L910" s="1">
        <f>IFERROR(I910*E910,0)</f>
        <v/>
      </c>
      <c r="M910" s="1">
        <f>IFERROR(K910*E910,0)</f>
        <v/>
      </c>
    </row>
    <row r="911">
      <c r="A911" t="inlineStr">
        <is>
          <t>IM-CF</t>
        </is>
      </c>
      <c r="B911" t="inlineStr">
        <is>
          <t>Light duty Impeller</t>
        </is>
      </c>
      <c r="C911" t="inlineStr"/>
      <c r="D911" t="inlineStr"/>
      <c r="E911" s="1" t="n">
        <v>0</v>
      </c>
      <c r="F911" t="n">
        <v>1</v>
      </c>
      <c r="G911" t="n">
        <v>0</v>
      </c>
      <c r="H911" t="n">
        <v>2</v>
      </c>
      <c r="I911" t="n">
        <v>0</v>
      </c>
      <c r="J911" t="n">
        <v>0</v>
      </c>
      <c r="K911">
        <f>IF(H911-I911-J911&gt;0,H911-I911-J911,0)</f>
        <v/>
      </c>
      <c r="L911" s="1">
        <f>IFERROR(I911*E911,0)</f>
        <v/>
      </c>
      <c r="M911" s="1">
        <f>IFERROR(K911*E911,0)</f>
        <v/>
      </c>
    </row>
    <row r="912">
      <c r="A912" t="inlineStr">
        <is>
          <t>IMP0315B150A05PR14071</t>
        </is>
      </c>
      <c r="B912" t="inlineStr">
        <is>
          <t>Impeller 0315mm 'B' 150A05PR 14mm 071Frame Deg00 -10 DEG</t>
        </is>
      </c>
      <c r="C912" t="inlineStr">
        <is>
          <t>Luft Industries Natal (Pty) Ltd</t>
        </is>
      </c>
      <c r="D912" t="inlineStr"/>
      <c r="E912" s="1" t="n">
        <v>782.25</v>
      </c>
      <c r="F912" t="n">
        <v>1</v>
      </c>
      <c r="G912" t="n">
        <v>0</v>
      </c>
      <c r="H912" t="n">
        <v>2</v>
      </c>
      <c r="I912" t="n">
        <v>0</v>
      </c>
      <c r="J912" t="n">
        <v>0</v>
      </c>
      <c r="K912">
        <f>IF(H912-I912-J912&gt;0,H912-I912-J912,0)</f>
        <v/>
      </c>
      <c r="L912" s="1">
        <f>IFERROR(I912*E912,0)</f>
        <v/>
      </c>
      <c r="M912" s="1">
        <f>IFERROR(K912*E912,0)</f>
        <v/>
      </c>
    </row>
    <row r="913">
      <c r="A913" t="inlineStr">
        <is>
          <t>IMP0315B150A10AR14071</t>
        </is>
      </c>
      <c r="B913" t="inlineStr">
        <is>
          <t>Impeller 0315mm 'B' 150A10AR 14mm 071Frame Deg00 -26 DEG</t>
        </is>
      </c>
      <c r="C913" t="inlineStr">
        <is>
          <t>Luft Industries Natal (Pty) Ltd</t>
        </is>
      </c>
      <c r="D913" t="inlineStr"/>
      <c r="E913" s="1" t="n">
        <v>1571.25</v>
      </c>
      <c r="F913" t="n">
        <v>1</v>
      </c>
      <c r="G913" t="n">
        <v>0</v>
      </c>
      <c r="H913" t="n">
        <v>5</v>
      </c>
      <c r="I913" t="n">
        <v>0</v>
      </c>
      <c r="J913" t="n">
        <v>0</v>
      </c>
      <c r="K913">
        <f>IF(H913-I913-J913&gt;0,H913-I913-J913,0)</f>
        <v/>
      </c>
      <c r="L913" s="1">
        <f>IFERROR(I913*E913,0)</f>
        <v/>
      </c>
      <c r="M913" s="1">
        <f>IFERROR(K913*E913,0)</f>
        <v/>
      </c>
    </row>
    <row r="914">
      <c r="A914" t="inlineStr">
        <is>
          <t>IMP0315B150A10PR14071</t>
        </is>
      </c>
      <c r="B914" t="inlineStr">
        <is>
          <t>Impeller 0315mm 'B' 150A10PR 14mm 071Frame Deg00 21 DEG</t>
        </is>
      </c>
      <c r="C914" t="inlineStr">
        <is>
          <t>Luft Industries Natal (Pty) Ltd</t>
        </is>
      </c>
      <c r="D914" t="inlineStr"/>
      <c r="E914" s="1" t="n">
        <v>1164.75</v>
      </c>
      <c r="F914" t="n">
        <v>1</v>
      </c>
      <c r="G914" t="n">
        <v>0</v>
      </c>
      <c r="H914" t="n">
        <v>3</v>
      </c>
      <c r="I914" t="n">
        <v>0</v>
      </c>
      <c r="J914" t="n">
        <v>0</v>
      </c>
      <c r="K914">
        <f>IF(H914-I914-J914&gt;0,H914-I914-J914,0)</f>
        <v/>
      </c>
      <c r="L914" s="1">
        <f>IFERROR(I914*E914,0)</f>
        <v/>
      </c>
      <c r="M914" s="1">
        <f>IFERROR(K914*E914,0)</f>
        <v/>
      </c>
    </row>
    <row r="915">
      <c r="A915" t="inlineStr">
        <is>
          <t>IMP0400B150A05AR19080</t>
        </is>
      </c>
      <c r="B915" t="inlineStr">
        <is>
          <t>Impeller 0400mm 'B' 150A05AR 19mm 080Frame Deg00 - 17 DEG</t>
        </is>
      </c>
      <c r="C915" t="inlineStr">
        <is>
          <t>Luft Industries Natal (Pty) Ltd</t>
        </is>
      </c>
      <c r="D915" t="inlineStr">
        <is>
          <t>IMPELLER</t>
        </is>
      </c>
      <c r="E915" s="1" t="n">
        <v>854.1</v>
      </c>
      <c r="F915" t="n">
        <v>1</v>
      </c>
      <c r="G915" t="n">
        <v>0</v>
      </c>
      <c r="H915" t="n">
        <v>2</v>
      </c>
      <c r="I915" t="n">
        <v>0</v>
      </c>
      <c r="J915" t="n">
        <v>0</v>
      </c>
      <c r="K915">
        <f>IF(H915-I915-J915&gt;0,H915-I915-J915,0)</f>
        <v/>
      </c>
      <c r="L915" s="1">
        <f>IFERROR(I915*E915,0)</f>
        <v/>
      </c>
      <c r="M915" s="1">
        <f>IFERROR(K915*E915,0)</f>
        <v/>
      </c>
    </row>
    <row r="916">
      <c r="A916" t="inlineStr">
        <is>
          <t>IMP0400B150A05PR14071</t>
        </is>
      </c>
      <c r="B916" t="inlineStr">
        <is>
          <t>Impeller 0400mm 'B' 150A05PR 14mm 071Frame Deg00 - 10 DEG</t>
        </is>
      </c>
      <c r="C916" t="inlineStr">
        <is>
          <t>Luft Industries Natal (Pty) Ltd</t>
        </is>
      </c>
      <c r="D916" t="inlineStr"/>
      <c r="E916" s="1" t="n">
        <v>782.25</v>
      </c>
      <c r="F916" t="n">
        <v>1</v>
      </c>
      <c r="G916" t="n">
        <v>0</v>
      </c>
      <c r="H916" t="n">
        <v>2</v>
      </c>
      <c r="I916" t="n">
        <v>0</v>
      </c>
      <c r="J916" t="n">
        <v>0</v>
      </c>
      <c r="K916">
        <f>IF(H916-I916-J916&gt;0,H916-I916-J916,0)</f>
        <v/>
      </c>
      <c r="L916" s="1">
        <f>IFERROR(I916*E916,0)</f>
        <v/>
      </c>
      <c r="M916" s="1">
        <f>IFERROR(K916*E916,0)</f>
        <v/>
      </c>
    </row>
    <row r="917">
      <c r="A917" t="inlineStr">
        <is>
          <t>IMP0400B150A05PR19080</t>
        </is>
      </c>
      <c r="B917" t="inlineStr">
        <is>
          <t>Impeller 0400mm 'B' 150A05PR 19mm 080Frame - 23Deg</t>
        </is>
      </c>
      <c r="C917" t="inlineStr">
        <is>
          <t>Luft Industries Natal (Pty) Ltd</t>
        </is>
      </c>
      <c r="D917" t="inlineStr"/>
      <c r="E917" s="1" t="n">
        <v>858.75</v>
      </c>
      <c r="F917" t="n">
        <v>2</v>
      </c>
      <c r="G917" t="n">
        <v>0</v>
      </c>
      <c r="H917" t="n">
        <v>12</v>
      </c>
      <c r="I917" t="n">
        <v>0</v>
      </c>
      <c r="J917" t="n">
        <v>0</v>
      </c>
      <c r="K917">
        <f>IF(H917-I917-J917&gt;0,H917-I917-J917,0)</f>
        <v/>
      </c>
      <c r="L917" s="1">
        <f>IFERROR(I917*E917,0)</f>
        <v/>
      </c>
      <c r="M917" s="1">
        <f>IFERROR(K917*E917,0)</f>
        <v/>
      </c>
    </row>
    <row r="918">
      <c r="A918" t="inlineStr">
        <is>
          <t>IMP0400B150A05PR24090</t>
        </is>
      </c>
      <c r="B918" t="inlineStr">
        <is>
          <t>Impeller 0400mm 'B' 150A05PR 24mm 090Frame - 29Deg</t>
        </is>
      </c>
      <c r="C918" t="inlineStr">
        <is>
          <t>Luft Industries Natal (Pty) Ltd</t>
        </is>
      </c>
      <c r="D918" t="inlineStr"/>
      <c r="E918" s="1" t="n">
        <v>782.25</v>
      </c>
      <c r="F918" t="n">
        <v>1</v>
      </c>
      <c r="G918" t="n">
        <v>0</v>
      </c>
      <c r="H918" t="n">
        <v>2</v>
      </c>
      <c r="I918" t="n">
        <v>0</v>
      </c>
      <c r="J918" t="n">
        <v>0</v>
      </c>
      <c r="K918">
        <f>IF(H918-I918-J918&gt;0,H918-I918-J918,0)</f>
        <v/>
      </c>
      <c r="L918" s="1">
        <f>IFERROR(I918*E918,0)</f>
        <v/>
      </c>
      <c r="M918" s="1">
        <f>IFERROR(K918*E918,0)</f>
        <v/>
      </c>
    </row>
    <row r="919">
      <c r="A919" t="inlineStr">
        <is>
          <t>IMP0400B150A10PR14071</t>
        </is>
      </c>
      <c r="B919" t="inlineStr">
        <is>
          <t>Impeller 0400mm 'B' 150A10PR 14mm 071Frame Deg00 19 DEG</t>
        </is>
      </c>
      <c r="C919" t="inlineStr">
        <is>
          <t>Luft Industries Natal (Pty) Ltd</t>
        </is>
      </c>
      <c r="D919" t="inlineStr"/>
      <c r="E919" s="1" t="n">
        <v>1164.75</v>
      </c>
      <c r="F919" t="n">
        <v>1</v>
      </c>
      <c r="G919" t="n">
        <v>0</v>
      </c>
      <c r="H919" t="n">
        <v>3</v>
      </c>
      <c r="I919" t="n">
        <v>0</v>
      </c>
      <c r="J919" t="n">
        <v>0</v>
      </c>
      <c r="K919">
        <f>IF(H919-I919-J919&gt;0,H919-I919-J919,0)</f>
        <v/>
      </c>
      <c r="L919" s="1">
        <f>IFERROR(I919*E919,0)</f>
        <v/>
      </c>
      <c r="M919" s="1">
        <f>IFERROR(K919*E919,0)</f>
        <v/>
      </c>
    </row>
    <row r="920">
      <c r="A920" t="inlineStr">
        <is>
          <t>IMP0500B150A05AR19080</t>
        </is>
      </c>
      <c r="B920" t="inlineStr">
        <is>
          <t>Impeller 0500mm 'B' 150A05AR 19mm 080Frame Deg00 - 10 DEG</t>
        </is>
      </c>
      <c r="C920" t="inlineStr">
        <is>
          <t>Luft Industries Natal (Pty) Ltd</t>
        </is>
      </c>
      <c r="D920" t="inlineStr"/>
      <c r="E920" s="1" t="n">
        <v>985.5</v>
      </c>
      <c r="F920" t="n">
        <v>1</v>
      </c>
      <c r="G920" t="n">
        <v>0</v>
      </c>
      <c r="H920" t="n">
        <v>2</v>
      </c>
      <c r="I920" t="n">
        <v>0</v>
      </c>
      <c r="J920" t="n">
        <v>0</v>
      </c>
      <c r="K920">
        <f>IF(H920-I920-J920&gt;0,H920-I920-J920,0)</f>
        <v/>
      </c>
      <c r="L920" s="1">
        <f>IFERROR(I920*E920,0)</f>
        <v/>
      </c>
      <c r="M920" s="1">
        <f>IFERROR(K920*E920,0)</f>
        <v/>
      </c>
    </row>
    <row r="921">
      <c r="A921" t="inlineStr">
        <is>
          <t>IMP0500B150A05AR24090</t>
        </is>
      </c>
      <c r="B921" t="inlineStr">
        <is>
          <t>Impeller 0500mm 'B' 150A05AR 24mm 090Frame Deg00 -14 DEG</t>
        </is>
      </c>
      <c r="C921" t="inlineStr">
        <is>
          <t>Luft Industries Natal (Pty) Ltd</t>
        </is>
      </c>
      <c r="D921" t="inlineStr"/>
      <c r="E921" s="1" t="n">
        <v>985.5</v>
      </c>
      <c r="F921" t="n">
        <v>1</v>
      </c>
      <c r="G921" t="n">
        <v>0</v>
      </c>
      <c r="H921" t="n">
        <v>2</v>
      </c>
      <c r="I921" t="n">
        <v>0</v>
      </c>
      <c r="J921" t="n">
        <v>0</v>
      </c>
      <c r="K921">
        <f>IF(H921-I921-J921&gt;0,H921-I921-J921,0)</f>
        <v/>
      </c>
      <c r="L921" s="1">
        <f>IFERROR(I921*E921,0)</f>
        <v/>
      </c>
      <c r="M921" s="1">
        <f>IFERROR(K921*E921,0)</f>
        <v/>
      </c>
    </row>
    <row r="922">
      <c r="A922" t="inlineStr">
        <is>
          <t>IMP0500B150A05PR14071</t>
        </is>
      </c>
      <c r="B922" t="inlineStr">
        <is>
          <t>Impeller 0500mm 'B' 150A05PR 14mm 071Frame Deg00 -17 DEG</t>
        </is>
      </c>
      <c r="C922" t="inlineStr">
        <is>
          <t>Luft Industries Natal (Pty) Ltd</t>
        </is>
      </c>
      <c r="D922" t="inlineStr"/>
      <c r="E922" s="1" t="n">
        <v>782.25</v>
      </c>
      <c r="F922" t="n">
        <v>1</v>
      </c>
      <c r="G922" t="n">
        <v>0</v>
      </c>
      <c r="H922" t="n">
        <v>2</v>
      </c>
      <c r="I922" t="n">
        <v>0</v>
      </c>
      <c r="J922" t="n">
        <v>0</v>
      </c>
      <c r="K922">
        <f>IF(H922-I922-J922&gt;0,H922-I922-J922,0)</f>
        <v/>
      </c>
      <c r="L922" s="1">
        <f>IFERROR(I922*E922,0)</f>
        <v/>
      </c>
      <c r="M922" s="1">
        <f>IFERROR(K922*E922,0)</f>
        <v/>
      </c>
    </row>
    <row r="923">
      <c r="A923" t="inlineStr">
        <is>
          <t>IMP0500B150A10AR14071</t>
        </is>
      </c>
      <c r="B923" t="inlineStr">
        <is>
          <t>Impeller 0500mm 'B' 150A10AR 14mm 071Frame Deg00 -10 DEG</t>
        </is>
      </c>
      <c r="C923" t="inlineStr">
        <is>
          <t>Luft Industries Natal (Pty) Ltd</t>
        </is>
      </c>
      <c r="D923" t="inlineStr"/>
      <c r="E923" s="1" t="n">
        <v>1571.25</v>
      </c>
      <c r="F923" t="n">
        <v>1</v>
      </c>
      <c r="G923" t="n">
        <v>0</v>
      </c>
      <c r="H923" t="n">
        <v>2</v>
      </c>
      <c r="I923" t="n">
        <v>0</v>
      </c>
      <c r="J923" t="n">
        <v>0</v>
      </c>
      <c r="K923">
        <f>IF(H923-I923-J923&gt;0,H923-I923-J923,0)</f>
        <v/>
      </c>
      <c r="L923" s="1">
        <f>IFERROR(I923*E923,0)</f>
        <v/>
      </c>
      <c r="M923" s="1">
        <f>IFERROR(K923*E923,0)</f>
        <v/>
      </c>
    </row>
    <row r="924">
      <c r="A924" t="inlineStr">
        <is>
          <t>IMP0500B150A10AR19071</t>
        </is>
      </c>
      <c r="B924" t="inlineStr">
        <is>
          <t>Impeller 0500mm 'B' 150A10AR 19mm 071Frame Deg00 -28 DEG</t>
        </is>
      </c>
      <c r="C924" t="inlineStr">
        <is>
          <t>Luft Industries Natal (Pty) Ltd</t>
        </is>
      </c>
      <c r="D924" t="inlineStr"/>
      <c r="E924" s="1" t="n">
        <v>1361.75</v>
      </c>
      <c r="F924" t="n">
        <v>1</v>
      </c>
      <c r="G924" t="n">
        <v>0</v>
      </c>
      <c r="H924" t="n">
        <v>2</v>
      </c>
      <c r="I924" t="n">
        <v>0</v>
      </c>
      <c r="J924" t="n">
        <v>0</v>
      </c>
      <c r="K924">
        <f>IF(H924-I924-J924&gt;0,H924-I924-J924,0)</f>
        <v/>
      </c>
      <c r="L924" s="1">
        <f>IFERROR(I924*E924,0)</f>
        <v/>
      </c>
      <c r="M924" s="1">
        <f>IFERROR(K924*E924,0)</f>
        <v/>
      </c>
    </row>
    <row r="925">
      <c r="A925" t="inlineStr">
        <is>
          <t>IMP0500B150A10AR24090</t>
        </is>
      </c>
      <c r="B925" t="inlineStr">
        <is>
          <t>Impeller 0500mm 'B' 150A10AR 24mm 090Frame Deg16</t>
        </is>
      </c>
      <c r="C925" t="inlineStr">
        <is>
          <t>Luft Industries Natal (Pty) Ltd</t>
        </is>
      </c>
      <c r="D925" t="inlineStr"/>
      <c r="E925" s="1" t="n">
        <v>1571.25</v>
      </c>
      <c r="F925" t="n">
        <v>1</v>
      </c>
      <c r="G925" t="n">
        <v>0</v>
      </c>
      <c r="H925" t="n">
        <v>3</v>
      </c>
      <c r="I925" t="n">
        <v>0</v>
      </c>
      <c r="J925" t="n">
        <v>0</v>
      </c>
      <c r="K925">
        <f>IF(H925-I925-J925&gt;0,H925-I925-J925,0)</f>
        <v/>
      </c>
      <c r="L925" s="1">
        <f>IFERROR(I925*E925,0)</f>
        <v/>
      </c>
      <c r="M925" s="1">
        <f>IFERROR(K925*E925,0)</f>
        <v/>
      </c>
    </row>
    <row r="926">
      <c r="A926" t="inlineStr">
        <is>
          <t>IMP0500B150A10AR24090.</t>
        </is>
      </c>
      <c r="B926" t="inlineStr">
        <is>
          <t>Impeller 0500mm 'B' 150A10AR 24mm 090Fram 16deg</t>
        </is>
      </c>
      <c r="C926" t="inlineStr">
        <is>
          <t>Luft Industries Natal (Pty) Ltd</t>
        </is>
      </c>
      <c r="D926" t="inlineStr"/>
      <c r="E926" s="1" t="n">
        <v>1571.25</v>
      </c>
      <c r="F926" t="n">
        <v>1</v>
      </c>
      <c r="G926" t="n">
        <v>0</v>
      </c>
      <c r="H926" t="n">
        <v>2</v>
      </c>
      <c r="I926" t="n">
        <v>0</v>
      </c>
      <c r="J926" t="n">
        <v>0</v>
      </c>
      <c r="K926">
        <f>IF(H926-I926-J926&gt;0,H926-I926-J926,0)</f>
        <v/>
      </c>
      <c r="L926" s="1">
        <f>IFERROR(I926*E926,0)</f>
        <v/>
      </c>
      <c r="M926" s="1">
        <f>IFERROR(K926*E926,0)</f>
        <v/>
      </c>
    </row>
    <row r="927">
      <c r="A927" t="inlineStr">
        <is>
          <t>IMP0500B150A10AR28100</t>
        </is>
      </c>
      <c r="B927" t="inlineStr">
        <is>
          <t>Impeller 0500mm 'B' 150A10AR 28mm 100Frame Deg00 -25 DEG</t>
        </is>
      </c>
      <c r="C927" t="inlineStr">
        <is>
          <t>Luft Industries Natal (Pty) Ltd</t>
        </is>
      </c>
      <c r="D927" t="inlineStr"/>
      <c r="E927" s="1" t="n">
        <v>1403.65</v>
      </c>
      <c r="F927" t="n">
        <v>1</v>
      </c>
      <c r="G927" t="n">
        <v>0</v>
      </c>
      <c r="H927" t="n">
        <v>2</v>
      </c>
      <c r="I927" t="n">
        <v>0</v>
      </c>
      <c r="J927" t="n">
        <v>0</v>
      </c>
      <c r="K927">
        <f>IF(H927-I927-J927&gt;0,H927-I927-J927,0)</f>
        <v/>
      </c>
      <c r="L927" s="1">
        <f>IFERROR(I927*E927,0)</f>
        <v/>
      </c>
      <c r="M927" s="1">
        <f>IFERROR(K927*E927,0)</f>
        <v/>
      </c>
    </row>
    <row r="928">
      <c r="A928" t="inlineStr">
        <is>
          <t>IMP0500B150A10AR28100.</t>
        </is>
      </c>
      <c r="B928" t="inlineStr">
        <is>
          <t>Impeller 0500mm 'B' 150A10AR 28mm 100Frame Deg00 - 10 DEG</t>
        </is>
      </c>
      <c r="C928" t="inlineStr">
        <is>
          <t>Luft Industries Natal (Pty) Ltd</t>
        </is>
      </c>
      <c r="D928" t="inlineStr">
        <is>
          <t>IMPELLER</t>
        </is>
      </c>
      <c r="E928" s="1" t="n">
        <v>1361.75</v>
      </c>
      <c r="F928" t="n">
        <v>1</v>
      </c>
      <c r="G928" t="n">
        <v>0</v>
      </c>
      <c r="H928" t="n">
        <v>2</v>
      </c>
      <c r="I928" t="n">
        <v>0</v>
      </c>
      <c r="J928" t="n">
        <v>0</v>
      </c>
      <c r="K928">
        <f>IF(H928-I928-J928&gt;0,H928-I928-J928,0)</f>
        <v/>
      </c>
      <c r="L928" s="1">
        <f>IFERROR(I928*E928,0)</f>
        <v/>
      </c>
      <c r="M928" s="1">
        <f>IFERROR(K928*E928,0)</f>
        <v/>
      </c>
    </row>
    <row r="929">
      <c r="A929" t="inlineStr">
        <is>
          <t>IMP0500B150A10PR14071</t>
        </is>
      </c>
      <c r="B929" t="inlineStr">
        <is>
          <t>Impeller 0500mm 'B' 150A10PR 14mm 071Frame Deg00 - 18 DEG</t>
        </is>
      </c>
      <c r="C929" t="inlineStr">
        <is>
          <t>Luft Industries Natal (Pty) Ltd</t>
        </is>
      </c>
      <c r="D929" t="inlineStr"/>
      <c r="E929" s="1" t="n">
        <v>1087.1</v>
      </c>
      <c r="F929" t="n">
        <v>1</v>
      </c>
      <c r="G929" t="n">
        <v>0</v>
      </c>
      <c r="H929" t="n">
        <v>2</v>
      </c>
      <c r="I929" t="n">
        <v>0</v>
      </c>
      <c r="J929" t="n">
        <v>0</v>
      </c>
      <c r="K929">
        <f>IF(H929-I929-J929&gt;0,H929-I929-J929,0)</f>
        <v/>
      </c>
      <c r="L929" s="1">
        <f>IFERROR(I929*E929,0)</f>
        <v/>
      </c>
      <c r="M929" s="1">
        <f>IFERROR(K929*E929,0)</f>
        <v/>
      </c>
    </row>
    <row r="930">
      <c r="A930" t="inlineStr">
        <is>
          <t>IMP0500B150A10PR140711</t>
        </is>
      </c>
      <c r="B930" t="inlineStr">
        <is>
          <t>Impeller 0500mm 'B' 150A10PR 14mm 071Frame Deg00 - 12 DEG</t>
        </is>
      </c>
      <c r="C930" t="inlineStr">
        <is>
          <t>Luft Industries Natal (Pty) Ltd</t>
        </is>
      </c>
      <c r="D930" t="inlineStr"/>
      <c r="E930" s="1" t="n">
        <v>1164.75</v>
      </c>
      <c r="F930" t="n">
        <v>1</v>
      </c>
      <c r="G930" t="n">
        <v>0</v>
      </c>
      <c r="H930" t="n">
        <v>5</v>
      </c>
      <c r="I930" t="n">
        <v>0</v>
      </c>
      <c r="J930" t="n">
        <v>0</v>
      </c>
      <c r="K930">
        <f>IF(H930-I930-J930&gt;0,H930-I930-J930,0)</f>
        <v/>
      </c>
      <c r="L930" s="1">
        <f>IFERROR(I930*E930,0)</f>
        <v/>
      </c>
      <c r="M930" s="1">
        <f>IFERROR(K930*E930,0)</f>
        <v/>
      </c>
    </row>
    <row r="931">
      <c r="A931" t="inlineStr">
        <is>
          <t>IMP0560B150A05AR14071</t>
        </is>
      </c>
      <c r="B931" t="inlineStr">
        <is>
          <t>Impeller 0560mm 'B' 150A05AR 14mm 071Frame Deg00 - 20 DEG</t>
        </is>
      </c>
      <c r="C931" t="inlineStr">
        <is>
          <t>Luft Industries Natal (Pty) Ltd</t>
        </is>
      </c>
      <c r="D931" t="inlineStr"/>
      <c r="E931" s="1" t="n">
        <v>1076.25</v>
      </c>
      <c r="F931" t="n">
        <v>1</v>
      </c>
      <c r="G931" t="n">
        <v>0</v>
      </c>
      <c r="H931" t="n">
        <v>2</v>
      </c>
      <c r="I931" t="n">
        <v>0</v>
      </c>
      <c r="J931" t="n">
        <v>0</v>
      </c>
      <c r="K931">
        <f>IF(H931-I931-J931&gt;0,H931-I931-J931,0)</f>
        <v/>
      </c>
      <c r="L931" s="1">
        <f>IFERROR(I931*E931,0)</f>
        <v/>
      </c>
      <c r="M931" s="1">
        <f>IFERROR(K931*E931,0)</f>
        <v/>
      </c>
    </row>
    <row r="932">
      <c r="A932" t="inlineStr">
        <is>
          <t>IMP0560B150A05AR28100</t>
        </is>
      </c>
      <c r="B932" t="inlineStr">
        <is>
          <t>Impeller 0560mm 'B' 150A05AR 28mm 100Frame Deg00 - 22 DEG</t>
        </is>
      </c>
      <c r="C932" t="inlineStr">
        <is>
          <t>Luft Industries Natal (Pty) Ltd</t>
        </is>
      </c>
      <c r="D932" t="inlineStr"/>
      <c r="E932" s="1" t="n">
        <v>1076.25</v>
      </c>
      <c r="F932" t="n">
        <v>1</v>
      </c>
      <c r="G932" t="n">
        <v>0</v>
      </c>
      <c r="H932" t="n">
        <v>5</v>
      </c>
      <c r="I932" t="n">
        <v>0</v>
      </c>
      <c r="J932" t="n">
        <v>0</v>
      </c>
      <c r="K932">
        <f>IF(H932-I932-J932&gt;0,H932-I932-J932,0)</f>
        <v/>
      </c>
      <c r="L932" s="1">
        <f>IFERROR(I932*E932,0)</f>
        <v/>
      </c>
      <c r="M932" s="1">
        <f>IFERROR(K932*E932,0)</f>
        <v/>
      </c>
    </row>
    <row r="933">
      <c r="A933" t="inlineStr">
        <is>
          <t>IMP0560B150A05PR14071</t>
        </is>
      </c>
      <c r="B933" t="inlineStr">
        <is>
          <t>Impeller 0560mm 'B' 150A05PR 14mm 071Frame Deg00 20 DEG</t>
        </is>
      </c>
      <c r="C933" t="inlineStr">
        <is>
          <t>Luft Industries Natal (Pty) Ltd</t>
        </is>
      </c>
      <c r="D933" t="inlineStr"/>
      <c r="E933" s="1" t="n">
        <v>782.25</v>
      </c>
      <c r="F933" t="n">
        <v>1</v>
      </c>
      <c r="G933" t="n">
        <v>0</v>
      </c>
      <c r="H933" t="n">
        <v>3</v>
      </c>
      <c r="I933" t="n">
        <v>0</v>
      </c>
      <c r="J933" t="n">
        <v>0</v>
      </c>
      <c r="K933">
        <f>IF(H933-I933-J933&gt;0,H933-I933-J933,0)</f>
        <v/>
      </c>
      <c r="L933" s="1">
        <f>IFERROR(I933*E933,0)</f>
        <v/>
      </c>
      <c r="M933" s="1">
        <f>IFERROR(K933*E933,0)</f>
        <v/>
      </c>
    </row>
    <row r="934">
      <c r="A934" t="inlineStr">
        <is>
          <t>IMP0560B150A10AR14071</t>
        </is>
      </c>
      <c r="B934" t="inlineStr">
        <is>
          <t>Impeller 0560mm 'B' 150A10AR 14mm 071Frame Deg00 10 DEG FM3517</t>
        </is>
      </c>
      <c r="C934" t="inlineStr">
        <is>
          <t>Luft Industries Natal (Pty) Ltd</t>
        </is>
      </c>
      <c r="D934" t="inlineStr"/>
      <c r="E934" s="1" t="n">
        <v>1517.75</v>
      </c>
      <c r="F934" t="n">
        <v>1</v>
      </c>
      <c r="G934" t="n">
        <v>0</v>
      </c>
      <c r="H934" t="n">
        <v>2</v>
      </c>
      <c r="I934" t="n">
        <v>0</v>
      </c>
      <c r="J934" t="n">
        <v>0</v>
      </c>
      <c r="K934">
        <f>IF(H934-I934-J934&gt;0,H934-I934-J934,0)</f>
        <v/>
      </c>
      <c r="L934" s="1">
        <f>IFERROR(I934*E934,0)</f>
        <v/>
      </c>
      <c r="M934" s="1">
        <f>IFERROR(K934*E934,0)</f>
        <v/>
      </c>
    </row>
    <row r="935">
      <c r="A935" t="inlineStr">
        <is>
          <t>IMP0560B150A10AR19080</t>
        </is>
      </c>
      <c r="B935" t="inlineStr">
        <is>
          <t>Impeller 0560mm 'B' 150A10AR 19mm 080Frame Deg00 - 15 DEG</t>
        </is>
      </c>
      <c r="C935" t="inlineStr">
        <is>
          <t>Luft Industries Natal (Pty) Ltd</t>
        </is>
      </c>
      <c r="D935" t="inlineStr"/>
      <c r="E935" s="1" t="n">
        <v>1634.5</v>
      </c>
      <c r="F935" t="n">
        <v>2</v>
      </c>
      <c r="G935" t="n">
        <v>0</v>
      </c>
      <c r="H935" t="n">
        <v>11</v>
      </c>
      <c r="I935" t="n">
        <v>0</v>
      </c>
      <c r="J935" t="n">
        <v>0</v>
      </c>
      <c r="K935">
        <f>IF(H935-I935-J935&gt;0,H935-I935-J935,0)</f>
        <v/>
      </c>
      <c r="L935" s="1">
        <f>IFERROR(I935*E935,0)</f>
        <v/>
      </c>
      <c r="M935" s="1">
        <f>IFERROR(K935*E935,0)</f>
        <v/>
      </c>
    </row>
    <row r="936">
      <c r="A936" t="inlineStr">
        <is>
          <t>IMP0560B150A10AR19080.</t>
        </is>
      </c>
      <c r="B936" t="inlineStr">
        <is>
          <t>Impeller 0560mm 'B' 150A10AR 19mm 080Frame Deg00 - 20 DEG</t>
        </is>
      </c>
      <c r="C936" t="inlineStr">
        <is>
          <t>Luft Industries Natal (Pty) Ltd</t>
        </is>
      </c>
      <c r="D936" t="inlineStr"/>
      <c r="E936" s="1" t="n">
        <v>1634.5</v>
      </c>
      <c r="F936" t="n">
        <v>1</v>
      </c>
      <c r="G936" t="n">
        <v>0</v>
      </c>
      <c r="H936" t="n">
        <v>2</v>
      </c>
      <c r="I936" t="n">
        <v>0</v>
      </c>
      <c r="J936" t="n">
        <v>0</v>
      </c>
      <c r="K936">
        <f>IF(H936-I936-J936&gt;0,H936-I936-J936,0)</f>
        <v/>
      </c>
      <c r="L936" s="1">
        <f>IFERROR(I936*E936,0)</f>
        <v/>
      </c>
      <c r="M936" s="1">
        <f>IFERROR(K936*E936,0)</f>
        <v/>
      </c>
    </row>
    <row r="937">
      <c r="A937" t="inlineStr">
        <is>
          <t>IMP0560B150A10AR19080..</t>
        </is>
      </c>
      <c r="B937" t="inlineStr">
        <is>
          <t>Impeller 0560mm 'B' 150A10AR 19mm 080Frame Deg00 - 12 DEG</t>
        </is>
      </c>
      <c r="C937" t="inlineStr">
        <is>
          <t>Luft Industries Natal (Pty) Ltd</t>
        </is>
      </c>
      <c r="D937" t="inlineStr"/>
      <c r="E937" s="1" t="n">
        <v>1751.25</v>
      </c>
      <c r="F937" t="n">
        <v>1</v>
      </c>
      <c r="G937" t="n">
        <v>0</v>
      </c>
      <c r="H937" t="n">
        <v>5</v>
      </c>
      <c r="I937" t="n">
        <v>0</v>
      </c>
      <c r="J937" t="n">
        <v>0</v>
      </c>
      <c r="K937">
        <f>IF(H937-I937-J937&gt;0,H937-I937-J937,0)</f>
        <v/>
      </c>
      <c r="L937" s="1">
        <f>IFERROR(I937*E937,0)</f>
        <v/>
      </c>
      <c r="M937" s="1">
        <f>IFERROR(K937*E937,0)</f>
        <v/>
      </c>
    </row>
    <row r="938">
      <c r="A938" t="inlineStr">
        <is>
          <t>IMP0560B150A10AR19080...</t>
        </is>
      </c>
      <c r="B938" t="inlineStr">
        <is>
          <t>Impeller 0560mm 'B' 150A10AR 19mm 080Frame Deg00 13 DEG FM3516</t>
        </is>
      </c>
      <c r="C938" t="inlineStr">
        <is>
          <t>Luft Industries Natal (Pty) Ltd</t>
        </is>
      </c>
      <c r="D938" t="inlineStr"/>
      <c r="E938" s="1" t="n">
        <v>1517.75</v>
      </c>
      <c r="F938" t="n">
        <v>1</v>
      </c>
      <c r="G938" t="n">
        <v>0</v>
      </c>
      <c r="H938" t="n">
        <v>2</v>
      </c>
      <c r="I938" t="n">
        <v>0</v>
      </c>
      <c r="J938" t="n">
        <v>0</v>
      </c>
      <c r="K938">
        <f>IF(H938-I938-J938&gt;0,H938-I938-J938,0)</f>
        <v/>
      </c>
      <c r="L938" s="1">
        <f>IFERROR(I938*E938,0)</f>
        <v/>
      </c>
      <c r="M938" s="1">
        <f>IFERROR(K938*E938,0)</f>
        <v/>
      </c>
    </row>
    <row r="939">
      <c r="A939" t="inlineStr">
        <is>
          <t>IMP0560B150A10AR24090</t>
        </is>
      </c>
      <c r="B939" t="inlineStr">
        <is>
          <t>Impeller 0560mm 'B' 150A10AR 24mm 090Frame Deg00 - 33 DEG</t>
        </is>
      </c>
      <c r="C939" t="inlineStr">
        <is>
          <t>Luft Industries Natal (Pty) Ltd</t>
        </is>
      </c>
      <c r="D939" t="inlineStr"/>
      <c r="E939" s="1" t="n">
        <v>1751.25</v>
      </c>
      <c r="F939" t="n">
        <v>1</v>
      </c>
      <c r="G939" t="n">
        <v>0</v>
      </c>
      <c r="H939" t="n">
        <v>2</v>
      </c>
      <c r="I939" t="n">
        <v>0</v>
      </c>
      <c r="J939" t="n">
        <v>0</v>
      </c>
      <c r="K939">
        <f>IF(H939-I939-J939&gt;0,H939-I939-J939,0)</f>
        <v/>
      </c>
      <c r="L939" s="1">
        <f>IFERROR(I939*E939,0)</f>
        <v/>
      </c>
      <c r="M939" s="1">
        <f>IFERROR(K939*E939,0)</f>
        <v/>
      </c>
    </row>
    <row r="940">
      <c r="A940" t="inlineStr">
        <is>
          <t>IMP0560B150A10AR24090.</t>
        </is>
      </c>
      <c r="B940" t="inlineStr">
        <is>
          <t>Impeller 0560mm 'B' 150A10AR 24mm 090Frame Deg00 - 28 DEG</t>
        </is>
      </c>
      <c r="C940" t="inlineStr">
        <is>
          <t>Luft Industries Natal (Pty) Ltd</t>
        </is>
      </c>
      <c r="D940" t="inlineStr"/>
      <c r="E940" s="1" t="n">
        <v>1751.25</v>
      </c>
      <c r="F940" t="n">
        <v>1</v>
      </c>
      <c r="G940" t="n">
        <v>0</v>
      </c>
      <c r="H940" t="n">
        <v>5</v>
      </c>
      <c r="I940" t="n">
        <v>0</v>
      </c>
      <c r="J940" t="n">
        <v>0</v>
      </c>
      <c r="K940">
        <f>IF(H940-I940-J940&gt;0,H940-I940-J940,0)</f>
        <v/>
      </c>
      <c r="L940" s="1">
        <f>IFERROR(I940*E940,0)</f>
        <v/>
      </c>
      <c r="M940" s="1">
        <f>IFERROR(K940*E940,0)</f>
        <v/>
      </c>
    </row>
    <row r="941">
      <c r="A941" t="inlineStr">
        <is>
          <t>IMP0560B150A10PR14071</t>
        </is>
      </c>
      <c r="B941" t="inlineStr">
        <is>
          <t>Impeller 0560mm 'B' 150A10PR 14mm 071Frame</t>
        </is>
      </c>
      <c r="C941" t="inlineStr">
        <is>
          <t>Luft Industries Natal (Pty) Ltd</t>
        </is>
      </c>
      <c r="D941" t="inlineStr"/>
      <c r="E941" s="1" t="n">
        <v>1009.45</v>
      </c>
      <c r="F941" t="n">
        <v>1</v>
      </c>
      <c r="G941" t="n">
        <v>0</v>
      </c>
      <c r="H941" t="n">
        <v>2</v>
      </c>
      <c r="I941" t="n">
        <v>0</v>
      </c>
      <c r="J941" t="n">
        <v>0</v>
      </c>
      <c r="K941">
        <f>IF(H941-I941-J941&gt;0,H941-I941-J941,0)</f>
        <v/>
      </c>
      <c r="L941" s="1">
        <f>IFERROR(I941*E941,0)</f>
        <v/>
      </c>
      <c r="M941" s="1">
        <f>IFERROR(K941*E941,0)</f>
        <v/>
      </c>
    </row>
    <row r="942">
      <c r="A942" t="inlineStr">
        <is>
          <t>IMP0560B150A10PR19080</t>
        </is>
      </c>
      <c r="B942" t="inlineStr">
        <is>
          <t>Impeller 0560mm 'B' 150A10PR 19mm 080Frame Deg00 - 11 DEG</t>
        </is>
      </c>
      <c r="C942" t="inlineStr">
        <is>
          <t>Luft Industries Natal (Pty) Ltd</t>
        </is>
      </c>
      <c r="D942" t="inlineStr"/>
      <c r="E942" s="1" t="n">
        <v>1164.75</v>
      </c>
      <c r="F942" t="n">
        <v>1</v>
      </c>
      <c r="G942" t="n">
        <v>0</v>
      </c>
      <c r="H942" t="n">
        <v>2</v>
      </c>
      <c r="I942" t="n">
        <v>0</v>
      </c>
      <c r="J942" t="n">
        <v>0</v>
      </c>
      <c r="K942">
        <f>IF(H942-I942-J942&gt;0,H942-I942-J942,0)</f>
        <v/>
      </c>
      <c r="L942" s="1">
        <f>IFERROR(I942*E942,0)</f>
        <v/>
      </c>
      <c r="M942" s="1">
        <f>IFERROR(K942*E942,0)</f>
        <v/>
      </c>
    </row>
    <row r="943">
      <c r="A943" t="inlineStr">
        <is>
          <t>IMP0560B250A14AR19080</t>
        </is>
      </c>
      <c r="B943" t="inlineStr">
        <is>
          <t>Impeller 0560mm 'B' 250A14AR19mm 080Frame</t>
        </is>
      </c>
      <c r="C943" t="inlineStr">
        <is>
          <t>Luft Industries Natal (Pty) Ltd</t>
        </is>
      </c>
      <c r="D943" t="inlineStr"/>
      <c r="E943" s="1" t="n">
        <v>2104.7</v>
      </c>
      <c r="F943" t="n">
        <v>1</v>
      </c>
      <c r="G943" t="n">
        <v>0</v>
      </c>
      <c r="H943" t="n">
        <v>2</v>
      </c>
      <c r="I943" t="n">
        <v>0</v>
      </c>
      <c r="J943" t="n">
        <v>0</v>
      </c>
      <c r="K943">
        <f>IF(H943-I943-J943&gt;0,H943-I943-J943,0)</f>
        <v/>
      </c>
      <c r="L943" s="1">
        <f>IFERROR(I943*E943,0)</f>
        <v/>
      </c>
      <c r="M943" s="1">
        <f>IFERROR(K943*E943,0)</f>
        <v/>
      </c>
    </row>
    <row r="944">
      <c r="A944" t="inlineStr">
        <is>
          <t>IMP0560B250A14AR24090</t>
        </is>
      </c>
      <c r="B944" t="inlineStr">
        <is>
          <t>Impeller 0560mm 'B' 250A14AR 24mm 090Frame Deg00 - 31 DEG</t>
        </is>
      </c>
      <c r="C944" t="inlineStr">
        <is>
          <t>Luft Industries Natal (Pty) Ltd</t>
        </is>
      </c>
      <c r="D944" t="inlineStr">
        <is>
          <t>IMPELLER</t>
        </is>
      </c>
      <c r="E944" s="1" t="n">
        <v>2098.2</v>
      </c>
      <c r="F944" t="n">
        <v>1</v>
      </c>
      <c r="G944" t="n">
        <v>0</v>
      </c>
      <c r="H944" t="n">
        <v>2</v>
      </c>
      <c r="I944" t="n">
        <v>0</v>
      </c>
      <c r="J944" t="n">
        <v>0</v>
      </c>
      <c r="K944">
        <f>IF(H944-I944-J944&gt;0,H944-I944-J944,0)</f>
        <v/>
      </c>
      <c r="L944" s="1">
        <f>IFERROR(I944*E944,0)</f>
        <v/>
      </c>
      <c r="M944" s="1">
        <f>IFERROR(K944*E944,0)</f>
        <v/>
      </c>
    </row>
    <row r="945">
      <c r="A945" t="inlineStr">
        <is>
          <t>IMP0560B250A14AR28100</t>
        </is>
      </c>
      <c r="B945" t="inlineStr">
        <is>
          <t>Impeller 0560mm 'B' 250A14AR 28mm 100Frame Deg00 - 32 DEG</t>
        </is>
      </c>
      <c r="C945" t="inlineStr">
        <is>
          <t>Luft Industries Natal (Pty) Ltd</t>
        </is>
      </c>
      <c r="D945" t="inlineStr">
        <is>
          <t>IMPELLER</t>
        </is>
      </c>
      <c r="E945" s="1" t="n">
        <v>2104.7</v>
      </c>
      <c r="F945" t="n">
        <v>1</v>
      </c>
      <c r="G945" t="n">
        <v>0</v>
      </c>
      <c r="H945" t="n">
        <v>2</v>
      </c>
      <c r="I945" t="n">
        <v>0</v>
      </c>
      <c r="J945" t="n">
        <v>0</v>
      </c>
      <c r="K945">
        <f>IF(H945-I945-J945&gt;0,H945-I945-J945,0)</f>
        <v/>
      </c>
      <c r="L945" s="1">
        <f>IFERROR(I945*E945,0)</f>
        <v/>
      </c>
      <c r="M945" s="1">
        <f>IFERROR(K945*E945,0)</f>
        <v/>
      </c>
    </row>
    <row r="946">
      <c r="A946" t="inlineStr">
        <is>
          <t>IMP0560B250A14PR24090</t>
        </is>
      </c>
      <c r="B946" t="inlineStr">
        <is>
          <t>Impeller 0560mm 'B' 250A14PR 24mm 090Frame</t>
        </is>
      </c>
      <c r="C946" t="inlineStr">
        <is>
          <t>Luft Industries Natal (Pty) Ltd</t>
        </is>
      </c>
      <c r="D946" t="inlineStr"/>
      <c r="E946" s="1" t="n">
        <v>1860</v>
      </c>
      <c r="F946" t="n">
        <v>1</v>
      </c>
      <c r="G946" t="n">
        <v>0</v>
      </c>
      <c r="H946" t="n">
        <v>5</v>
      </c>
      <c r="I946" t="n">
        <v>0</v>
      </c>
      <c r="J946" t="n">
        <v>0</v>
      </c>
      <c r="K946">
        <f>IF(H946-I946-J946&gt;0,H946-I946-J946,0)</f>
        <v/>
      </c>
      <c r="L946" s="1">
        <f>IFERROR(I946*E946,0)</f>
        <v/>
      </c>
      <c r="M946" s="1">
        <f>IFERROR(K946*E946,0)</f>
        <v/>
      </c>
    </row>
    <row r="947">
      <c r="A947" t="inlineStr">
        <is>
          <t>IMP0630B150A10AR24090</t>
        </is>
      </c>
      <c r="B947" t="inlineStr">
        <is>
          <t>Impeller 0630mm 'B' 150A10AR 24mm 090Frame Deg00 -27 DEG</t>
        </is>
      </c>
      <c r="C947" t="inlineStr">
        <is>
          <t>Luft Industries Natal (Pty) Ltd</t>
        </is>
      </c>
      <c r="D947" t="inlineStr"/>
      <c r="E947" s="1" t="n">
        <v>1611.15</v>
      </c>
      <c r="F947" t="n">
        <v>1</v>
      </c>
      <c r="G947" t="n">
        <v>0</v>
      </c>
      <c r="H947" t="n">
        <v>2</v>
      </c>
      <c r="I947" t="n">
        <v>0</v>
      </c>
      <c r="J947" t="n">
        <v>0</v>
      </c>
      <c r="K947">
        <f>IF(H947-I947-J947&gt;0,H947-I947-J947,0)</f>
        <v/>
      </c>
      <c r="L947" s="1">
        <f>IFERROR(I947*E947,0)</f>
        <v/>
      </c>
      <c r="M947" s="1">
        <f>IFERROR(K947*E947,0)</f>
        <v/>
      </c>
    </row>
    <row r="948">
      <c r="A948" t="inlineStr">
        <is>
          <t>IMP0630B150A10AR28100</t>
        </is>
      </c>
      <c r="B948" t="inlineStr">
        <is>
          <t>Impeller 0630mm 'B' 150A10AR 28mm 100Frame Deg00 - 29 DEG</t>
        </is>
      </c>
      <c r="C948" t="inlineStr">
        <is>
          <t>Luft Industries Natal (Pty) Ltd</t>
        </is>
      </c>
      <c r="D948" t="inlineStr">
        <is>
          <t>IMPELLER</t>
        </is>
      </c>
      <c r="E948" s="1" t="n">
        <v>1517.75</v>
      </c>
      <c r="F948" t="n">
        <v>1</v>
      </c>
      <c r="G948" t="n">
        <v>0</v>
      </c>
      <c r="H948" t="n">
        <v>5</v>
      </c>
      <c r="I948" t="n">
        <v>0</v>
      </c>
      <c r="J948" t="n">
        <v>0</v>
      </c>
      <c r="K948">
        <f>IF(H948-I948-J948&gt;0,H948-I948-J948,0)</f>
        <v/>
      </c>
      <c r="L948" s="1">
        <f>IFERROR(I948*E948,0)</f>
        <v/>
      </c>
      <c r="M948" s="1">
        <f>IFERROR(K948*E948,0)</f>
        <v/>
      </c>
    </row>
    <row r="949">
      <c r="A949" t="inlineStr">
        <is>
          <t>IMP0630B250A14AR24090</t>
        </is>
      </c>
      <c r="B949" t="inlineStr">
        <is>
          <t>Impeller 0630mm 'B' 250A14AR 24mm 090Frame</t>
        </is>
      </c>
      <c r="C949" t="inlineStr">
        <is>
          <t>Luft Industries Natal (Pty) Ltd</t>
        </is>
      </c>
      <c r="D949" t="inlineStr"/>
      <c r="E949" s="1" t="n">
        <v>2086.5</v>
      </c>
      <c r="F949" t="n">
        <v>2</v>
      </c>
      <c r="G949" t="n">
        <v>0</v>
      </c>
      <c r="H949" t="n">
        <v>8</v>
      </c>
      <c r="I949" t="n">
        <v>0</v>
      </c>
      <c r="J949" t="n">
        <v>0</v>
      </c>
      <c r="K949">
        <f>IF(H949-I949-J949&gt;0,H949-I949-J949,0)</f>
        <v/>
      </c>
      <c r="L949" s="1">
        <f>IFERROR(I949*E949,0)</f>
        <v/>
      </c>
      <c r="M949" s="1">
        <f>IFERROR(K949*E949,0)</f>
        <v/>
      </c>
    </row>
    <row r="950">
      <c r="A950" t="inlineStr">
        <is>
          <t>IMP0630B250A14AR28100</t>
        </is>
      </c>
      <c r="B950" t="inlineStr">
        <is>
          <t>Impeller 0630mm 'B' 250A14AR 28mm 100Frame</t>
        </is>
      </c>
      <c r="C950" t="inlineStr">
        <is>
          <t>Luft Industries Natal (Pty) Ltd</t>
        </is>
      </c>
      <c r="D950" t="inlineStr"/>
      <c r="E950" s="1" t="n">
        <v>2442.91</v>
      </c>
      <c r="F950" t="n">
        <v>1</v>
      </c>
      <c r="G950" t="n">
        <v>0</v>
      </c>
      <c r="H950" t="n">
        <v>4</v>
      </c>
      <c r="I950" t="n">
        <v>0</v>
      </c>
      <c r="J950" t="n">
        <v>0</v>
      </c>
      <c r="K950">
        <f>IF(H950-I950-J950&gt;0,H950-I950-J950,0)</f>
        <v/>
      </c>
      <c r="L950" s="1">
        <f>IFERROR(I950*E950,0)</f>
        <v/>
      </c>
      <c r="M950" s="1">
        <f>IFERROR(K950*E950,0)</f>
        <v/>
      </c>
    </row>
    <row r="951">
      <c r="A951" t="inlineStr">
        <is>
          <t>IMP0630B250A14PR28100</t>
        </is>
      </c>
      <c r="B951" t="inlineStr">
        <is>
          <t>Impeller 0630mm 'B' 250A14PR 28mm 100Frame Deg00 - 30 DEG</t>
        </is>
      </c>
      <c r="C951" t="inlineStr">
        <is>
          <t>Luft Industries Natal (Pty) Ltd</t>
        </is>
      </c>
      <c r="D951" t="inlineStr"/>
      <c r="E951" s="1" t="n">
        <v>1860</v>
      </c>
      <c r="F951" t="n">
        <v>1</v>
      </c>
      <c r="G951" t="n">
        <v>0</v>
      </c>
      <c r="H951" t="n">
        <v>2</v>
      </c>
      <c r="I951" t="n">
        <v>0</v>
      </c>
      <c r="J951" t="n">
        <v>0</v>
      </c>
      <c r="K951">
        <f>IF(H951-I951-J951&gt;0,H951-I951-J951,0)</f>
        <v/>
      </c>
      <c r="L951" s="1">
        <f>IFERROR(I951*E951,0)</f>
        <v/>
      </c>
      <c r="M951" s="1">
        <f>IFERROR(K951*E951,0)</f>
        <v/>
      </c>
    </row>
    <row r="952">
      <c r="A952" t="inlineStr">
        <is>
          <t>IMP0710A150A10AR28100</t>
        </is>
      </c>
      <c r="B952" t="inlineStr">
        <is>
          <t>Impeller 0710mm 'A' 150A10AR 28mm 100Frame Deg00 - 38 DEG</t>
        </is>
      </c>
      <c r="C952" t="inlineStr">
        <is>
          <t>Luft Industries Natal (Pty) Ltd</t>
        </is>
      </c>
      <c r="D952" t="inlineStr"/>
      <c r="E952" s="1" t="n">
        <v>1576.12</v>
      </c>
      <c r="F952" t="n">
        <v>1</v>
      </c>
      <c r="G952" t="n">
        <v>0</v>
      </c>
      <c r="H952" t="n">
        <v>2</v>
      </c>
      <c r="I952" t="n">
        <v>0</v>
      </c>
      <c r="J952" t="n">
        <v>0</v>
      </c>
      <c r="K952">
        <f>IF(H952-I952-J952&gt;0,H952-I952-J952,0)</f>
        <v/>
      </c>
      <c r="L952" s="1">
        <f>IFERROR(I952*E952,0)</f>
        <v/>
      </c>
      <c r="M952" s="1">
        <f>IFERROR(K952*E952,0)</f>
        <v/>
      </c>
    </row>
    <row r="953">
      <c r="A953" t="inlineStr">
        <is>
          <t>IMP0710B150A05AR28100</t>
        </is>
      </c>
      <c r="B953" t="inlineStr">
        <is>
          <t>Impeller 0710mm 'B' 150A05AR 28mm 100Frame Deg00 - 35 DEG</t>
        </is>
      </c>
      <c r="C953" t="inlineStr">
        <is>
          <t>Luft Industries Natal (Pty) Ltd</t>
        </is>
      </c>
      <c r="D953" t="inlineStr"/>
      <c r="E953" s="1" t="n">
        <v>1076.25</v>
      </c>
      <c r="F953" t="n">
        <v>2</v>
      </c>
      <c r="G953" t="n">
        <v>0</v>
      </c>
      <c r="H953" t="n">
        <v>8</v>
      </c>
      <c r="I953" t="n">
        <v>0</v>
      </c>
      <c r="J953" t="n">
        <v>0</v>
      </c>
      <c r="K953">
        <f>IF(H953-I953-J953&gt;0,H953-I953-J953,0)</f>
        <v/>
      </c>
      <c r="L953" s="1">
        <f>IFERROR(I953*E953,0)</f>
        <v/>
      </c>
      <c r="M953" s="1">
        <f>IFERROR(K953*E953,0)</f>
        <v/>
      </c>
    </row>
    <row r="954">
      <c r="A954" t="inlineStr">
        <is>
          <t>IMP0710B150A05PR24090</t>
        </is>
      </c>
      <c r="B954" t="inlineStr">
        <is>
          <t>Impeller 0710mm 'B' 150A05PR 24mm 090Frame Deg00 -21 DEG</t>
        </is>
      </c>
      <c r="C954" t="inlineStr">
        <is>
          <t>Luft Industries Natal (Pty) Ltd</t>
        </is>
      </c>
      <c r="D954" t="inlineStr"/>
      <c r="E954" s="1" t="n">
        <v>782.25</v>
      </c>
      <c r="F954" t="n">
        <v>2</v>
      </c>
      <c r="G954" t="n">
        <v>0</v>
      </c>
      <c r="H954" t="n">
        <v>8</v>
      </c>
      <c r="I954" t="n">
        <v>0</v>
      </c>
      <c r="J954" t="n">
        <v>0</v>
      </c>
      <c r="K954">
        <f>IF(H954-I954-J954&gt;0,H954-I954-J954,0)</f>
        <v/>
      </c>
      <c r="L954" s="1">
        <f>IFERROR(I954*E954,0)</f>
        <v/>
      </c>
      <c r="M954" s="1">
        <f>IFERROR(K954*E954,0)</f>
        <v/>
      </c>
    </row>
    <row r="955">
      <c r="A955" t="inlineStr">
        <is>
          <t>IMP0710B150A10AR28100</t>
        </is>
      </c>
      <c r="B955" t="inlineStr">
        <is>
          <t>Impeller 0710mm 'B' 150A10AR 28mm 100Frame Deg00 - 33 DEG</t>
        </is>
      </c>
      <c r="C955" t="inlineStr">
        <is>
          <t>Luft Industries Natal (Pty) Ltd</t>
        </is>
      </c>
      <c r="D955" t="inlineStr"/>
      <c r="E955" s="1" t="n">
        <v>1751.25</v>
      </c>
      <c r="F955" t="n">
        <v>1</v>
      </c>
      <c r="G955" t="n">
        <v>0</v>
      </c>
      <c r="H955" t="n">
        <v>5</v>
      </c>
      <c r="I955" t="n">
        <v>0</v>
      </c>
      <c r="J955" t="n">
        <v>0</v>
      </c>
      <c r="K955">
        <f>IF(H955-I955-J955&gt;0,H955-I955-J955,0)</f>
        <v/>
      </c>
      <c r="L955" s="1">
        <f>IFERROR(I955*E955,0)</f>
        <v/>
      </c>
      <c r="M955" s="1">
        <f>IFERROR(K955*E955,0)</f>
        <v/>
      </c>
    </row>
    <row r="956">
      <c r="A956" t="inlineStr">
        <is>
          <t>IMP0710B150A10AR28100.</t>
        </is>
      </c>
      <c r="B956" t="inlineStr">
        <is>
          <t>Impeller 0710mm 'B' 150A10AR 28mm 100Frame Deg00 - 38 DEG</t>
        </is>
      </c>
      <c r="C956" t="inlineStr">
        <is>
          <t>Luft Industries Natal (Pty) Ltd</t>
        </is>
      </c>
      <c r="D956" t="inlineStr"/>
      <c r="E956" s="1" t="n">
        <v>1751.25</v>
      </c>
      <c r="F956" t="n">
        <v>1</v>
      </c>
      <c r="G956" t="n">
        <v>0</v>
      </c>
      <c r="H956" t="n">
        <v>5</v>
      </c>
      <c r="I956" t="n">
        <v>0</v>
      </c>
      <c r="J956" t="n">
        <v>0</v>
      </c>
      <c r="K956">
        <f>IF(H956-I956-J956&gt;0,H956-I956-J956,0)</f>
        <v/>
      </c>
      <c r="L956" s="1">
        <f>IFERROR(I956*E956,0)</f>
        <v/>
      </c>
      <c r="M956" s="1">
        <f>IFERROR(K956*E956,0)</f>
        <v/>
      </c>
    </row>
    <row r="957">
      <c r="A957" t="inlineStr">
        <is>
          <t>IMP0710B250A07PR240903</t>
        </is>
      </c>
      <c r="B957" t="inlineStr">
        <is>
          <t>Impeller 0710mm 'B' 250A07PR 24mm 090Frame Deg00 -24 DEG</t>
        </is>
      </c>
      <c r="C957" t="inlineStr">
        <is>
          <t>Luft Industries Natal (Pty) Ltd</t>
        </is>
      </c>
      <c r="D957" t="inlineStr"/>
      <c r="E957" s="1" t="n">
        <v>1324.5</v>
      </c>
      <c r="F957" t="n">
        <v>1</v>
      </c>
      <c r="G957" t="n">
        <v>0</v>
      </c>
      <c r="H957" t="n">
        <v>2</v>
      </c>
      <c r="I957" t="n">
        <v>0</v>
      </c>
      <c r="J957" t="n">
        <v>0</v>
      </c>
      <c r="K957">
        <f>IF(H957-I957-J957&gt;0,H957-I957-J957,0)</f>
        <v/>
      </c>
      <c r="L957" s="1">
        <f>IFERROR(I957*E957,0)</f>
        <v/>
      </c>
      <c r="M957" s="1">
        <f>IFERROR(K957*E957,0)</f>
        <v/>
      </c>
    </row>
    <row r="958">
      <c r="A958" t="inlineStr">
        <is>
          <t>IMP0710B250A14AR28100</t>
        </is>
      </c>
      <c r="B958" t="inlineStr">
        <is>
          <t>Impeller 0710mm 'B' 250A14AR 28mm 100Frame</t>
        </is>
      </c>
      <c r="C958" t="inlineStr">
        <is>
          <t>Luft Industries Natal (Pty) Ltd</t>
        </is>
      </c>
      <c r="D958" t="inlineStr"/>
      <c r="E958" s="1" t="n">
        <v>2145.82</v>
      </c>
      <c r="F958" t="n">
        <v>1</v>
      </c>
      <c r="G958" t="n">
        <v>0</v>
      </c>
      <c r="H958" t="n">
        <v>4</v>
      </c>
      <c r="I958" t="n">
        <v>0</v>
      </c>
      <c r="J958" t="n">
        <v>0</v>
      </c>
      <c r="K958">
        <f>IF(H958-I958-J958&gt;0,H958-I958-J958,0)</f>
        <v/>
      </c>
      <c r="L958" s="1">
        <f>IFERROR(I958*E958,0)</f>
        <v/>
      </c>
      <c r="M958" s="1">
        <f>IFERROR(K958*E958,0)</f>
        <v/>
      </c>
    </row>
    <row r="959">
      <c r="A959" t="inlineStr">
        <is>
          <t>IMP0710B250A14PR24090</t>
        </is>
      </c>
      <c r="B959" t="inlineStr">
        <is>
          <t>Impeller 0710mm 'B' 250A14PR 24mm 090Frame</t>
        </is>
      </c>
      <c r="C959" t="inlineStr">
        <is>
          <t>Luft Industries Natal (Pty) Ltd</t>
        </is>
      </c>
      <c r="D959" t="inlineStr"/>
      <c r="E959" s="1" t="n">
        <v>1736</v>
      </c>
      <c r="F959" t="n">
        <v>1</v>
      </c>
      <c r="G959" t="n">
        <v>0</v>
      </c>
      <c r="H959" t="n">
        <v>5</v>
      </c>
      <c r="I959" t="n">
        <v>0</v>
      </c>
      <c r="J959" t="n">
        <v>0</v>
      </c>
      <c r="K959">
        <f>IF(H959-I959-J959&gt;0,H959-I959-J959,0)</f>
        <v/>
      </c>
      <c r="L959" s="1">
        <f>IFERROR(I959*E959,0)</f>
        <v/>
      </c>
      <c r="M959" s="1">
        <f>IFERROR(K959*E959,0)</f>
        <v/>
      </c>
    </row>
    <row r="960">
      <c r="A960" t="inlineStr">
        <is>
          <t>IMP0800B150A10AR28100</t>
        </is>
      </c>
      <c r="B960" t="inlineStr">
        <is>
          <t>Impeller 0800mm 'B' 150A10AR 28mm 100Frame Deg00 - 25 DEG</t>
        </is>
      </c>
      <c r="C960" t="inlineStr">
        <is>
          <t>Luft Industries Natal (Pty) Ltd</t>
        </is>
      </c>
      <c r="D960" t="inlineStr"/>
      <c r="E960" s="1" t="n">
        <v>1668.88</v>
      </c>
      <c r="F960" t="n">
        <v>1</v>
      </c>
      <c r="G960" t="n">
        <v>0</v>
      </c>
      <c r="H960" t="n">
        <v>2</v>
      </c>
      <c r="I960" t="n">
        <v>0</v>
      </c>
      <c r="J960" t="n">
        <v>0</v>
      </c>
      <c r="K960">
        <f>IF(H960-I960-J960&gt;0,H960-I960-J960,0)</f>
        <v/>
      </c>
      <c r="L960" s="1">
        <f>IFERROR(I960*E960,0)</f>
        <v/>
      </c>
      <c r="M960" s="1">
        <f>IFERROR(K960*E960,0)</f>
        <v/>
      </c>
    </row>
    <row r="961">
      <c r="A961" t="inlineStr">
        <is>
          <t>IMP0800B150A10AR28100.</t>
        </is>
      </c>
      <c r="B961" t="inlineStr">
        <is>
          <t>Impeller 0800mm 'B' 150A10AR 28mm 100Frame Deg00 -14 DEG</t>
        </is>
      </c>
      <c r="C961" t="inlineStr">
        <is>
          <t>Luft Industries Natal (Pty) Ltd</t>
        </is>
      </c>
      <c r="D961" t="inlineStr"/>
      <c r="E961" s="1" t="n">
        <v>1732.25</v>
      </c>
      <c r="F961" t="n">
        <v>1</v>
      </c>
      <c r="G961" t="n">
        <v>0</v>
      </c>
      <c r="H961" t="n">
        <v>2</v>
      </c>
      <c r="I961" t="n">
        <v>0</v>
      </c>
      <c r="J961" t="n">
        <v>0</v>
      </c>
      <c r="K961">
        <f>IF(H961-I961-J961&gt;0,H961-I961-J961,0)</f>
        <v/>
      </c>
      <c r="L961" s="1">
        <f>IFERROR(I961*E961,0)</f>
        <v/>
      </c>
      <c r="M961" s="1">
        <f>IFERROR(K961*E961,0)</f>
        <v/>
      </c>
    </row>
    <row r="962">
      <c r="A962" t="inlineStr">
        <is>
          <t>IMP0800B150A10PR28100</t>
        </is>
      </c>
      <c r="B962" t="inlineStr">
        <is>
          <t>Impeller 0800mm 'B' 150A10PR 28mm 100Frame Deg 25</t>
        </is>
      </c>
      <c r="C962" t="inlineStr">
        <is>
          <t>Luft Industries Natal (Pty) Ltd</t>
        </is>
      </c>
      <c r="D962" t="inlineStr"/>
      <c r="E962" s="1" t="n">
        <v>1753.95</v>
      </c>
      <c r="F962" t="n">
        <v>2</v>
      </c>
      <c r="G962" t="n">
        <v>0</v>
      </c>
      <c r="H962" t="n">
        <v>12</v>
      </c>
      <c r="I962" t="n">
        <v>0</v>
      </c>
      <c r="J962" t="n">
        <v>0</v>
      </c>
      <c r="K962">
        <f>IF(H962-I962-J962&gt;0,H962-I962-J962,0)</f>
        <v/>
      </c>
      <c r="L962" s="1">
        <f>IFERROR(I962*E962,0)</f>
        <v/>
      </c>
      <c r="M962" s="1">
        <f>IFERROR(K962*E962,0)</f>
        <v/>
      </c>
    </row>
    <row r="963">
      <c r="A963" t="inlineStr">
        <is>
          <t>IMP0800B250A14AR28100</t>
        </is>
      </c>
      <c r="B963" t="inlineStr">
        <is>
          <t>Impeller 0800mm 'B' 250A14AR 28mm 100Frame</t>
        </is>
      </c>
      <c r="C963" t="inlineStr">
        <is>
          <t>Luft Industries Natal (Pty) Ltd</t>
        </is>
      </c>
      <c r="D963" t="inlineStr"/>
      <c r="E963" s="1" t="n">
        <v>1612</v>
      </c>
      <c r="F963" t="n">
        <v>1</v>
      </c>
      <c r="G963" t="n">
        <v>0</v>
      </c>
      <c r="H963" t="n">
        <v>2</v>
      </c>
      <c r="I963" t="n">
        <v>0</v>
      </c>
      <c r="J963" t="n">
        <v>0</v>
      </c>
      <c r="K963">
        <f>IF(H963-I963-J963&gt;0,H963-I963-J963,0)</f>
        <v/>
      </c>
      <c r="L963" s="1">
        <f>IFERROR(I963*E963,0)</f>
        <v/>
      </c>
      <c r="M963" s="1">
        <f>IFERROR(K963*E963,0)</f>
        <v/>
      </c>
    </row>
    <row r="964">
      <c r="A964" t="inlineStr">
        <is>
          <t>IMP0800B250A14AR38132</t>
        </is>
      </c>
      <c r="B964" t="inlineStr">
        <is>
          <t>Impeller 0800mm 'B' 250A14AR 38mm 132Frame Deg00 - 35 DEG</t>
        </is>
      </c>
      <c r="C964" t="inlineStr">
        <is>
          <t>Luft Industries Natal (Pty) Ltd</t>
        </is>
      </c>
      <c r="D964" t="inlineStr"/>
      <c r="E964" s="1" t="n">
        <v>2562</v>
      </c>
      <c r="F964" t="n">
        <v>4</v>
      </c>
      <c r="G964" t="n">
        <v>0</v>
      </c>
      <c r="H964" t="n">
        <v>22</v>
      </c>
      <c r="I964" t="n">
        <v>0</v>
      </c>
      <c r="J964" t="n">
        <v>0</v>
      </c>
      <c r="K964">
        <f>IF(H964-I964-J964&gt;0,H964-I964-J964,0)</f>
        <v/>
      </c>
      <c r="L964" s="1">
        <f>IFERROR(I964*E964,0)</f>
        <v/>
      </c>
      <c r="M964" s="1">
        <f>IFERROR(K964*E964,0)</f>
        <v/>
      </c>
    </row>
    <row r="965">
      <c r="A965" t="inlineStr">
        <is>
          <t>IMP0900B250A14AR28</t>
        </is>
      </c>
      <c r="B965" t="inlineStr">
        <is>
          <t>900/250/14 13 deg pitch 28mm bore form B Aluminium Blades</t>
        </is>
      </c>
      <c r="C965" t="inlineStr">
        <is>
          <t>Luft Industries Natal (Pty) Ltd</t>
        </is>
      </c>
      <c r="D965" t="inlineStr"/>
      <c r="E965" s="1" t="n">
        <v>2505.75</v>
      </c>
      <c r="F965" t="n">
        <v>1</v>
      </c>
      <c r="G965" t="n">
        <v>0</v>
      </c>
      <c r="H965" t="n">
        <v>2</v>
      </c>
      <c r="I965" t="n">
        <v>0</v>
      </c>
      <c r="J965" t="n">
        <v>0</v>
      </c>
      <c r="K965">
        <f>IF(H965-I965-J965&gt;0,H965-I965-J965,0)</f>
        <v/>
      </c>
      <c r="L965" s="1">
        <f>IFERROR(I965*E965,0)</f>
        <v/>
      </c>
      <c r="M965" s="1">
        <f>IFERROR(K965*E965,0)</f>
        <v/>
      </c>
    </row>
    <row r="966">
      <c r="A966" t="inlineStr">
        <is>
          <t>IMP0900B250A14AR38</t>
        </is>
      </c>
      <c r="B966" t="inlineStr">
        <is>
          <t>900/250/14 15 deg pitch 38mm bore form B Aluminium Blades</t>
        </is>
      </c>
      <c r="C966" t="inlineStr">
        <is>
          <t>Luft Industries Natal (Pty) Ltd</t>
        </is>
      </c>
      <c r="D966" t="inlineStr"/>
      <c r="E966" s="1" t="n">
        <v>2594.15</v>
      </c>
      <c r="F966" t="n">
        <v>1</v>
      </c>
      <c r="G966" t="n">
        <v>0</v>
      </c>
      <c r="H966" t="n">
        <v>2</v>
      </c>
      <c r="I966" t="n">
        <v>0</v>
      </c>
      <c r="J966" t="n">
        <v>0</v>
      </c>
      <c r="K966">
        <f>IF(H966-I966-J966&gt;0,H966-I966-J966,0)</f>
        <v/>
      </c>
      <c r="L966" s="1">
        <f>IFERROR(I966*E966,0)</f>
        <v/>
      </c>
      <c r="M966" s="1">
        <f>IFERROR(K966*E966,0)</f>
        <v/>
      </c>
    </row>
    <row r="967">
      <c r="A967" t="inlineStr">
        <is>
          <t>IMP0900B250A14AR38132</t>
        </is>
      </c>
      <c r="B967" t="inlineStr">
        <is>
          <t>Impeller 0900mm 'B' 250A14AR 38mm 132Frame Deg00 - 15 DEG</t>
        </is>
      </c>
      <c r="C967" t="inlineStr">
        <is>
          <t>Luft Industries Natal (Pty) Ltd</t>
        </is>
      </c>
      <c r="D967" t="inlineStr">
        <is>
          <t>IMPELLER</t>
        </is>
      </c>
      <c r="E967" s="1" t="n">
        <v>2594.15</v>
      </c>
      <c r="F967" t="n">
        <v>1</v>
      </c>
      <c r="G967" t="n">
        <v>0</v>
      </c>
      <c r="H967" t="n">
        <v>5</v>
      </c>
      <c r="I967" t="n">
        <v>0</v>
      </c>
      <c r="J967" t="n">
        <v>0</v>
      </c>
      <c r="K967">
        <f>IF(H967-I967-J967&gt;0,H967-I967-J967,0)</f>
        <v/>
      </c>
      <c r="L967" s="1">
        <f>IFERROR(I967*E967,0)</f>
        <v/>
      </c>
      <c r="M967" s="1">
        <f>IFERROR(K967*E967,0)</f>
        <v/>
      </c>
    </row>
    <row r="968">
      <c r="A968" t="inlineStr">
        <is>
          <t>IMP1000B250A14AR38132</t>
        </is>
      </c>
      <c r="B968" t="inlineStr">
        <is>
          <t>Impeller 1000mm 'B' 250A14AR 38mm 132Frame Deg00 - 25 DEG</t>
        </is>
      </c>
      <c r="C968" t="inlineStr">
        <is>
          <t>Luft Industries Natal (Pty) Ltd</t>
        </is>
      </c>
      <c r="D968" t="inlineStr"/>
      <c r="E968" s="1" t="n">
        <v>2993.25</v>
      </c>
      <c r="F968" t="n">
        <v>1</v>
      </c>
      <c r="G968" t="n">
        <v>0</v>
      </c>
      <c r="H968" t="n">
        <v>2</v>
      </c>
      <c r="I968" t="n">
        <v>0</v>
      </c>
      <c r="J968" t="n">
        <v>0</v>
      </c>
      <c r="K968">
        <f>IF(H968-I968-J968&gt;0,H968-I968-J968,0)</f>
        <v/>
      </c>
      <c r="L968" s="1">
        <f>IFERROR(I968*E968,0)</f>
        <v/>
      </c>
      <c r="M968" s="1">
        <f>IFERROR(K968*E968,0)</f>
        <v/>
      </c>
    </row>
    <row r="969">
      <c r="A969" t="inlineStr">
        <is>
          <t>IMP315LDA</t>
        </is>
      </c>
      <c r="B969" t="inlineStr">
        <is>
          <t>315diam LDA Impeller</t>
        </is>
      </c>
      <c r="C969" t="inlineStr">
        <is>
          <t>CFW Fans (Pty) Ltd</t>
        </is>
      </c>
      <c r="D969" t="inlineStr"/>
      <c r="E969" s="1" t="n">
        <v>1249</v>
      </c>
      <c r="F969" t="n">
        <v>1</v>
      </c>
      <c r="G969" t="n">
        <v>0</v>
      </c>
      <c r="H969" t="n">
        <v>3</v>
      </c>
      <c r="I969" t="n">
        <v>0</v>
      </c>
      <c r="J969" t="n">
        <v>0</v>
      </c>
      <c r="K969">
        <f>IF(H969-I969-J969&gt;0,H969-I969-J969,0)</f>
        <v/>
      </c>
      <c r="L969" s="1">
        <f>IFERROR(I969*E969,0)</f>
        <v/>
      </c>
      <c r="M969" s="1">
        <f>IFERROR(K969*E969,0)</f>
        <v/>
      </c>
    </row>
    <row r="970">
      <c r="A970" t="inlineStr">
        <is>
          <t>IMP400LDA</t>
        </is>
      </c>
      <c r="B970" t="inlineStr">
        <is>
          <t>400diam LDA Impeller</t>
        </is>
      </c>
      <c r="C970" t="inlineStr">
        <is>
          <t>CFW Fans (Pty) Ltd</t>
        </is>
      </c>
      <c r="D970" t="inlineStr"/>
      <c r="E970" s="1" t="n">
        <v>1249</v>
      </c>
      <c r="F970" t="n">
        <v>1</v>
      </c>
      <c r="G970" t="n">
        <v>0</v>
      </c>
      <c r="H970" t="n">
        <v>3</v>
      </c>
      <c r="I970" t="n">
        <v>0</v>
      </c>
      <c r="J970" t="n">
        <v>0</v>
      </c>
      <c r="K970">
        <f>IF(H970-I970-J970&gt;0,H970-I970-J970,0)</f>
        <v/>
      </c>
      <c r="L970" s="1">
        <f>IFERROR(I970*E970,0)</f>
        <v/>
      </c>
      <c r="M970" s="1">
        <f>IFERROR(K970*E970,0)</f>
        <v/>
      </c>
    </row>
    <row r="971">
      <c r="A971" t="inlineStr">
        <is>
          <t>IMP400LDP</t>
        </is>
      </c>
      <c r="B971" t="inlineStr">
        <is>
          <t>400diam LDP Impeller</t>
        </is>
      </c>
      <c r="C971" t="inlineStr">
        <is>
          <t>CFW Fans (Pty) Ltd</t>
        </is>
      </c>
      <c r="D971" t="inlineStr"/>
      <c r="E971" s="1" t="n">
        <v>3706.67</v>
      </c>
      <c r="F971" t="n">
        <v>1</v>
      </c>
      <c r="G971" t="n">
        <v>0</v>
      </c>
      <c r="H971" t="n">
        <v>3</v>
      </c>
      <c r="I971" t="n">
        <v>0</v>
      </c>
      <c r="J971" t="n">
        <v>0</v>
      </c>
      <c r="K971">
        <f>IF(H971-I971-J971&gt;0,H971-I971-J971,0)</f>
        <v/>
      </c>
      <c r="L971" s="1">
        <f>IFERROR(I971*E971,0)</f>
        <v/>
      </c>
      <c r="M971" s="1">
        <f>IFERROR(K971*E971,0)</f>
        <v/>
      </c>
    </row>
    <row r="972">
      <c r="A972" t="inlineStr">
        <is>
          <t>IMP560LDP</t>
        </is>
      </c>
      <c r="B972" t="inlineStr">
        <is>
          <t>LDP 560/250/12/1440-Form B - 15 degrees</t>
        </is>
      </c>
      <c r="C972" t="inlineStr">
        <is>
          <t>CFW Fans (Pty) Ltd</t>
        </is>
      </c>
      <c r="D972" t="inlineStr"/>
      <c r="E972" s="1" t="n">
        <v>2287.33</v>
      </c>
      <c r="F972" t="n">
        <v>1</v>
      </c>
      <c r="G972" t="n">
        <v>0</v>
      </c>
      <c r="H972" t="n">
        <v>3</v>
      </c>
      <c r="I972" t="n">
        <v>0</v>
      </c>
      <c r="J972" t="n">
        <v>0</v>
      </c>
      <c r="K972">
        <f>IF(H972-I972-J972&gt;0,H972-I972-J972,0)</f>
        <v/>
      </c>
      <c r="L972" s="1">
        <f>IFERROR(I972*E972,0)</f>
        <v/>
      </c>
      <c r="M972" s="1">
        <f>IFERROR(K972*E972,0)</f>
        <v/>
      </c>
    </row>
    <row r="973">
      <c r="A973" t="inlineStr">
        <is>
          <t>IMP800LDA</t>
        </is>
      </c>
      <c r="B973" t="inlineStr">
        <is>
          <t>LDA 800-9-A16</t>
        </is>
      </c>
      <c r="C973" t="inlineStr">
        <is>
          <t>CFW Fans (Pty) Ltd</t>
        </is>
      </c>
      <c r="D973" t="inlineStr"/>
      <c r="E973" s="1" t="n">
        <v>1249</v>
      </c>
      <c r="F973" t="n">
        <v>1</v>
      </c>
      <c r="G973" t="n">
        <v>0</v>
      </c>
      <c r="H973" t="n">
        <v>3</v>
      </c>
      <c r="I973" t="n">
        <v>0</v>
      </c>
      <c r="J973" t="n">
        <v>0</v>
      </c>
      <c r="K973">
        <f>IF(H973-I973-J973&gt;0,H973-I973-J973,0)</f>
        <v/>
      </c>
      <c r="L973" s="1">
        <f>IFERROR(I973*E973,0)</f>
        <v/>
      </c>
      <c r="M973" s="1">
        <f>IFERROR(K973*E973,0)</f>
        <v/>
      </c>
    </row>
    <row r="974">
      <c r="A974" t="inlineStr">
        <is>
          <t>INLET-CONE</t>
        </is>
      </c>
      <c r="B974" t="inlineStr">
        <is>
          <t>18 Inch Inlet Cone</t>
        </is>
      </c>
      <c r="C974" t="inlineStr">
        <is>
          <t>CFW Fans (Pty) Ltd</t>
        </is>
      </c>
      <c r="D974" t="inlineStr"/>
      <c r="E974" s="1" t="n">
        <v>1600</v>
      </c>
      <c r="F974" t="n">
        <v>1</v>
      </c>
      <c r="G974" t="n">
        <v>0</v>
      </c>
      <c r="H974" t="n">
        <v>6</v>
      </c>
      <c r="I974" t="n">
        <v>0</v>
      </c>
      <c r="J974" t="n">
        <v>0</v>
      </c>
      <c r="K974">
        <f>IF(H974-I974-J974&gt;0,H974-I974-J974,0)</f>
        <v/>
      </c>
      <c r="L974" s="1">
        <f>IFERROR(I974*E974,0)</f>
        <v/>
      </c>
      <c r="M974" s="1">
        <f>IFERROR(K974*E974,0)</f>
        <v/>
      </c>
    </row>
    <row r="975">
      <c r="A975" t="inlineStr">
        <is>
          <t>Imepeller 560mm 'B' 250A14AR</t>
        </is>
      </c>
      <c r="B975" t="inlineStr">
        <is>
          <t>19mm 080Frame 15DEG</t>
        </is>
      </c>
      <c r="C975" t="inlineStr">
        <is>
          <t>Luft Industries Natal (Pty) Ltd</t>
        </is>
      </c>
      <c r="D975" t="inlineStr"/>
      <c r="E975" s="1" t="n">
        <v>2104.7</v>
      </c>
      <c r="F975" t="n">
        <v>2</v>
      </c>
      <c r="G975" t="n">
        <v>0</v>
      </c>
      <c r="H975" t="n">
        <v>8</v>
      </c>
      <c r="I975" t="n">
        <v>0</v>
      </c>
      <c r="J975" t="n">
        <v>0</v>
      </c>
      <c r="K975">
        <f>IF(H975-I975-J975&gt;0,H975-I975-J975,0)</f>
        <v/>
      </c>
      <c r="L975" s="1">
        <f>IFERROR(I975*E975,0)</f>
        <v/>
      </c>
      <c r="M975" s="1">
        <f>IFERROR(K975*E975,0)</f>
        <v/>
      </c>
    </row>
    <row r="976">
      <c r="A976" t="inlineStr">
        <is>
          <t>Imp BI</t>
        </is>
      </c>
      <c r="B976" t="inlineStr">
        <is>
          <t>Set pitch, Crop &amp; Balance impeller</t>
        </is>
      </c>
      <c r="C976" t="inlineStr">
        <is>
          <t>Centrifab (Pty) Ltd</t>
        </is>
      </c>
      <c r="D976" t="inlineStr"/>
      <c r="E976" s="1" t="n">
        <v>7509.5</v>
      </c>
      <c r="F976" t="n">
        <v>1</v>
      </c>
      <c r="G976" t="n">
        <v>0</v>
      </c>
      <c r="H976" t="n">
        <v>2</v>
      </c>
      <c r="I976" t="n">
        <v>0</v>
      </c>
      <c r="J976" t="n">
        <v>0</v>
      </c>
      <c r="K976">
        <f>IF(H976-I976-J976&gt;0,H976-I976-J976,0)</f>
        <v/>
      </c>
      <c r="L976" s="1">
        <f>IFERROR(I976*E976,0)</f>
        <v/>
      </c>
      <c r="M976" s="1">
        <f>IFERROR(K976*E976,0)</f>
        <v/>
      </c>
    </row>
    <row r="977">
      <c r="A977" t="inlineStr">
        <is>
          <t>Impeller 0710mm 'B' 150A10AR</t>
        </is>
      </c>
      <c r="B977" t="inlineStr">
        <is>
          <t>24mm 090Frame 13 DEG</t>
        </is>
      </c>
      <c r="C977" t="inlineStr">
        <is>
          <t>Luft Industries Natal (Pty) Ltd</t>
        </is>
      </c>
      <c r="D977" t="inlineStr"/>
      <c r="E977" s="1" t="n">
        <v>1517.75</v>
      </c>
      <c r="F977" t="n">
        <v>1</v>
      </c>
      <c r="G977" t="n">
        <v>0</v>
      </c>
      <c r="H977" t="n">
        <v>2</v>
      </c>
      <c r="I977" t="n">
        <v>0</v>
      </c>
      <c r="J977" t="n">
        <v>0</v>
      </c>
      <c r="K977">
        <f>IF(H977-I977-J977&gt;0,H977-I977-J977,0)</f>
        <v/>
      </c>
      <c r="L977" s="1">
        <f>IFERROR(I977*E977,0)</f>
        <v/>
      </c>
      <c r="M977" s="1">
        <f>IFERROR(K977*E977,0)</f>
        <v/>
      </c>
    </row>
    <row r="978">
      <c r="A978" t="inlineStr">
        <is>
          <t>Impeller 0710mm 'B' 250A14AR</t>
        </is>
      </c>
      <c r="B978" t="inlineStr">
        <is>
          <t>24mm 090 Frame 10 DEG</t>
        </is>
      </c>
      <c r="C978" t="inlineStr">
        <is>
          <t>Luft Industries Natal (Pty) Ltd</t>
        </is>
      </c>
      <c r="D978" t="inlineStr"/>
      <c r="E978" s="1" t="n">
        <v>2323.75</v>
      </c>
      <c r="F978" t="n">
        <v>2</v>
      </c>
      <c r="G978" t="n">
        <v>0</v>
      </c>
      <c r="H978" t="n">
        <v>8</v>
      </c>
      <c r="I978" t="n">
        <v>0</v>
      </c>
      <c r="J978" t="n">
        <v>0</v>
      </c>
      <c r="K978">
        <f>IF(H978-I978-J978&gt;0,H978-I978-J978,0)</f>
        <v/>
      </c>
      <c r="L978" s="1">
        <f>IFERROR(I978*E978,0)</f>
        <v/>
      </c>
      <c r="M978" s="1">
        <f>IFERROR(K978*E978,0)</f>
        <v/>
      </c>
    </row>
    <row r="979">
      <c r="A979" t="inlineStr">
        <is>
          <t>Impeller 560mm 'B' 150A10AR</t>
        </is>
      </c>
      <c r="B979" t="inlineStr">
        <is>
          <t>14mm 071Frame 12DEG</t>
        </is>
      </c>
      <c r="C979" t="inlineStr">
        <is>
          <t>Luft Industries Natal (Pty) Ltd</t>
        </is>
      </c>
      <c r="D979" t="inlineStr"/>
      <c r="E979" s="1" t="n">
        <v>1517.75</v>
      </c>
      <c r="F979" t="n">
        <v>2</v>
      </c>
      <c r="G979" t="n">
        <v>0</v>
      </c>
      <c r="H979" t="n">
        <v>8</v>
      </c>
      <c r="I979" t="n">
        <v>0</v>
      </c>
      <c r="J979" t="n">
        <v>0</v>
      </c>
      <c r="K979">
        <f>IF(H979-I979-J979&gt;0,H979-I979-J979,0)</f>
        <v/>
      </c>
      <c r="L979" s="1">
        <f>IFERROR(I979*E979,0)</f>
        <v/>
      </c>
      <c r="M979" s="1">
        <f>IFERROR(K979*E979,0)</f>
        <v/>
      </c>
    </row>
    <row r="980">
      <c r="A980" t="inlineStr">
        <is>
          <t>Impeller 630mm 'B' 150A10AR</t>
        </is>
      </c>
      <c r="B980" t="inlineStr">
        <is>
          <t>24mm 090Frame 15DEG</t>
        </is>
      </c>
      <c r="C980" t="inlineStr">
        <is>
          <t>Luft Industries Natal (Pty) Ltd</t>
        </is>
      </c>
      <c r="D980" t="inlineStr"/>
      <c r="E980" s="1" t="n">
        <v>1517.75</v>
      </c>
      <c r="F980" t="n">
        <v>1</v>
      </c>
      <c r="G980" t="n">
        <v>0</v>
      </c>
      <c r="H980" t="n">
        <v>5</v>
      </c>
      <c r="I980" t="n">
        <v>0</v>
      </c>
      <c r="J980" t="n">
        <v>0</v>
      </c>
      <c r="K980">
        <f>IF(H980-I980-J980&gt;0,H980-I980-J980,0)</f>
        <v/>
      </c>
      <c r="L980" s="1">
        <f>IFERROR(I980*E980,0)</f>
        <v/>
      </c>
      <c r="M980" s="1">
        <f>IFERROR(K980*E980,0)</f>
        <v/>
      </c>
    </row>
    <row r="981">
      <c r="A981" t="inlineStr">
        <is>
          <t>Impeller 630mm 'B' 250A14AR</t>
        </is>
      </c>
      <c r="B981" t="inlineStr">
        <is>
          <t>24mm 090Frame 15 DEG</t>
        </is>
      </c>
      <c r="C981" t="inlineStr">
        <is>
          <t>Luft Industries Natal (Pty) Ltd</t>
        </is>
      </c>
      <c r="D981" t="inlineStr"/>
      <c r="E981" s="1" t="n">
        <v>2323.75</v>
      </c>
      <c r="F981" t="n">
        <v>1</v>
      </c>
      <c r="G981" t="n">
        <v>0</v>
      </c>
      <c r="H981" t="n">
        <v>2</v>
      </c>
      <c r="I981" t="n">
        <v>0</v>
      </c>
      <c r="J981" t="n">
        <v>0</v>
      </c>
      <c r="K981">
        <f>IF(H981-I981-J981&gt;0,H981-I981-J981,0)</f>
        <v/>
      </c>
      <c r="L981" s="1">
        <f>IFERROR(I981*E981,0)</f>
        <v/>
      </c>
      <c r="M981" s="1">
        <f>IFERROR(K981*E981,0)</f>
        <v/>
      </c>
    </row>
    <row r="982">
      <c r="A982" t="inlineStr">
        <is>
          <t>Impeller 710mm 'B' 250A14R</t>
        </is>
      </c>
      <c r="B982" t="inlineStr">
        <is>
          <t>24mm 090Frame 12 DEG</t>
        </is>
      </c>
      <c r="C982" t="inlineStr">
        <is>
          <t>Luft Industries Natal (Pty) Ltd</t>
        </is>
      </c>
      <c r="D982" t="inlineStr"/>
      <c r="E982" s="1" t="n">
        <v>2323.75</v>
      </c>
      <c r="F982" t="n">
        <v>1</v>
      </c>
      <c r="G982" t="n">
        <v>0</v>
      </c>
      <c r="H982" t="n">
        <v>2</v>
      </c>
      <c r="I982" t="n">
        <v>0</v>
      </c>
      <c r="J982" t="n">
        <v>0</v>
      </c>
      <c r="K982">
        <f>IF(H982-I982-J982&gt;0,H982-I982-J982,0)</f>
        <v/>
      </c>
      <c r="L982" s="1">
        <f>IFERROR(I982*E982,0)</f>
        <v/>
      </c>
      <c r="M982" s="1">
        <f>IFERROR(K982*E982,0)</f>
        <v/>
      </c>
    </row>
    <row r="983">
      <c r="A983" t="inlineStr">
        <is>
          <t>Impeller Plate Mount Fans</t>
        </is>
      </c>
      <c r="B983" t="inlineStr">
        <is>
          <t>Spare Impeller</t>
        </is>
      </c>
      <c r="C983" t="inlineStr"/>
      <c r="D983" t="inlineStr"/>
      <c r="E983" s="1" t="n">
        <v>0</v>
      </c>
      <c r="F983" t="n">
        <v>1</v>
      </c>
      <c r="G983" t="n">
        <v>0</v>
      </c>
      <c r="H983" t="n">
        <v>2</v>
      </c>
      <c r="I983" t="n">
        <v>0</v>
      </c>
      <c r="J983" t="n">
        <v>0</v>
      </c>
      <c r="K983">
        <f>IF(H983-I983-J983&gt;0,H983-I983-J983,0)</f>
        <v/>
      </c>
      <c r="L983" s="1">
        <f>IFERROR(I983*E983,0)</f>
        <v/>
      </c>
      <c r="M983" s="1">
        <f>IFERROR(K983*E983,0)</f>
        <v/>
      </c>
    </row>
    <row r="984">
      <c r="A984" t="inlineStr">
        <is>
          <t>Impeller shaft</t>
        </is>
      </c>
      <c r="B984" t="inlineStr">
        <is>
          <t>Impeller shaft+2 keys. Stainless Steel</t>
        </is>
      </c>
      <c r="C984" t="inlineStr">
        <is>
          <t>Hulmak Engineering cc</t>
        </is>
      </c>
      <c r="D984" t="inlineStr"/>
      <c r="E984" s="1" t="n">
        <v>600</v>
      </c>
      <c r="F984" t="n">
        <v>1</v>
      </c>
      <c r="G984" t="n">
        <v>0</v>
      </c>
      <c r="H984" t="n">
        <v>5</v>
      </c>
      <c r="I984" t="n">
        <v>0</v>
      </c>
      <c r="J984" t="n">
        <v>0</v>
      </c>
      <c r="K984">
        <f>IF(H984-I984-J984&gt;0,H984-I984-J984,0)</f>
        <v/>
      </c>
      <c r="L984" s="1">
        <f>IFERROR(I984*E984,0)</f>
        <v/>
      </c>
      <c r="M984" s="1">
        <f>IFERROR(K984*E984,0)</f>
        <v/>
      </c>
    </row>
    <row r="985">
      <c r="A985" t="inlineStr">
        <is>
          <t>Induced Draft Plan</t>
        </is>
      </c>
      <c r="B985" t="inlineStr">
        <is>
          <t>INSPECTION TEST PALN (ITP)</t>
        </is>
      </c>
      <c r="C985" t="inlineStr">
        <is>
          <t>SODECA</t>
        </is>
      </c>
      <c r="D985" t="inlineStr"/>
      <c r="E985" s="1" t="n">
        <v>2955.79</v>
      </c>
      <c r="F985" t="n">
        <v>3</v>
      </c>
      <c r="G985" t="n">
        <v>0</v>
      </c>
      <c r="H985" t="n">
        <v>5</v>
      </c>
      <c r="I985" t="n">
        <v>0</v>
      </c>
      <c r="J985" t="n">
        <v>0</v>
      </c>
      <c r="K985">
        <f>IF(H985-I985-J985&gt;0,H985-I985-J985,0)</f>
        <v/>
      </c>
      <c r="L985" s="1">
        <f>IFERROR(I985*E985,0)</f>
        <v/>
      </c>
      <c r="M985" s="1">
        <f>IFERROR(K985*E985,0)</f>
        <v/>
      </c>
    </row>
    <row r="986">
      <c r="A986" t="inlineStr">
        <is>
          <t>Installation</t>
        </is>
      </c>
      <c r="B986" t="inlineStr">
        <is>
          <t>Attenuators</t>
        </is>
      </c>
      <c r="C986" t="inlineStr">
        <is>
          <t>Fresh Air Projects (Pty) Ltd</t>
        </is>
      </c>
      <c r="D986" t="inlineStr"/>
      <c r="E986" s="1" t="n">
        <v>9478.26</v>
      </c>
      <c r="F986" t="n">
        <v>1</v>
      </c>
      <c r="G986" t="n">
        <v>0</v>
      </c>
      <c r="H986" t="n">
        <v>2</v>
      </c>
      <c r="I986" t="n">
        <v>0</v>
      </c>
      <c r="J986" t="n">
        <v>0</v>
      </c>
      <c r="K986">
        <f>IF(H986-I986-J986&gt;0,H986-I986-J986,0)</f>
        <v/>
      </c>
      <c r="L986" s="1">
        <f>IFERROR(I986*E986,0)</f>
        <v/>
      </c>
      <c r="M986" s="1">
        <f>IFERROR(K986*E986,0)</f>
        <v/>
      </c>
    </row>
    <row r="987">
      <c r="A987" t="inlineStr">
        <is>
          <t>J70889 FAN</t>
        </is>
      </c>
      <c r="B987" t="inlineStr">
        <is>
          <t>BCC-2 900/1.0 SISW c/w 7.5Kw 4P 380V</t>
        </is>
      </c>
      <c r="C987" t="inlineStr">
        <is>
          <t>Centrifab (Pty) Ltd</t>
        </is>
      </c>
      <c r="D987" t="inlineStr"/>
      <c r="E987" s="1" t="n">
        <v>74600</v>
      </c>
      <c r="F987" t="n">
        <v>1</v>
      </c>
      <c r="G987" t="n">
        <v>0</v>
      </c>
      <c r="H987" t="n">
        <v>3</v>
      </c>
      <c r="I987" t="n">
        <v>0</v>
      </c>
      <c r="J987" t="n">
        <v>0</v>
      </c>
      <c r="K987">
        <f>IF(H987-I987-J987&gt;0,H987-I987-J987,0)</f>
        <v/>
      </c>
      <c r="L987" s="1">
        <f>IFERROR(I987*E987,0)</f>
        <v/>
      </c>
      <c r="M987" s="1">
        <f>IFERROR(K987*E987,0)</f>
        <v/>
      </c>
    </row>
    <row r="988">
      <c r="A988" t="inlineStr">
        <is>
          <t>J96202-BCC-2315</t>
        </is>
      </c>
      <c r="B988" t="inlineStr">
        <is>
          <t>BCC-2 315 Class 1 AR 4A DIDW excl motor</t>
        </is>
      </c>
      <c r="C988" t="inlineStr">
        <is>
          <t>Centrifab (Pty) Ltd</t>
        </is>
      </c>
      <c r="D988" t="inlineStr"/>
      <c r="E988" s="1" t="n">
        <v>23613.33</v>
      </c>
      <c r="F988" t="n">
        <v>1</v>
      </c>
      <c r="G988" t="n">
        <v>0</v>
      </c>
      <c r="H988" t="n">
        <v>3</v>
      </c>
      <c r="I988" t="n">
        <v>0</v>
      </c>
      <c r="J988" t="n">
        <v>0</v>
      </c>
      <c r="K988">
        <f>IF(H988-I988-J988&gt;0,H988-I988-J988,0)</f>
        <v/>
      </c>
      <c r="L988" s="1">
        <f>IFERROR(I988*E988,0)</f>
        <v/>
      </c>
      <c r="M988" s="1">
        <f>IFERROR(K988*E988,0)</f>
        <v/>
      </c>
    </row>
    <row r="989">
      <c r="A989" t="inlineStr">
        <is>
          <t>JB1948</t>
        </is>
      </c>
      <c r="B989" t="inlineStr">
        <is>
          <t>HPLV 630/0.71 c/w 4.0kw 2890rpm 525V Motor</t>
        </is>
      </c>
      <c r="C989" t="inlineStr">
        <is>
          <t>Centrifab (Pty) Ltd</t>
        </is>
      </c>
      <c r="D989" t="inlineStr"/>
      <c r="E989" s="1" t="n">
        <v>4750</v>
      </c>
      <c r="F989" t="n">
        <v>1</v>
      </c>
      <c r="G989" t="n">
        <v>0</v>
      </c>
      <c r="H989" t="n">
        <v>3</v>
      </c>
      <c r="I989" t="n">
        <v>0</v>
      </c>
      <c r="J989" t="n">
        <v>0</v>
      </c>
      <c r="K989">
        <f>IF(H989-I989-J989&gt;0,H989-I989-J989,0)</f>
        <v/>
      </c>
      <c r="L989" s="1">
        <f>IFERROR(I989*E989,0)</f>
        <v/>
      </c>
      <c r="M989" s="1">
        <f>IFERROR(K989*E989,0)</f>
        <v/>
      </c>
    </row>
    <row r="990">
      <c r="A990" t="inlineStr">
        <is>
          <t>JC6202</t>
        </is>
      </c>
      <c r="B990" t="inlineStr">
        <is>
          <t>BCC-2 Class 1 DI2DW c/w 2,2kW 4P 400V - 2522RPM</t>
        </is>
      </c>
      <c r="C990" t="inlineStr"/>
      <c r="D990" t="inlineStr"/>
      <c r="E990" s="1" t="n">
        <v>0</v>
      </c>
      <c r="F990" t="n">
        <v>1</v>
      </c>
      <c r="G990" t="n">
        <v>0</v>
      </c>
      <c r="H990" t="n">
        <v>2</v>
      </c>
      <c r="I990" t="n">
        <v>0</v>
      </c>
      <c r="J990" t="n">
        <v>0</v>
      </c>
      <c r="K990">
        <f>IF(H990-I990-J990&gt;0,H990-I990-J990,0)</f>
        <v/>
      </c>
      <c r="L990" s="1">
        <f>IFERROR(I990*E990,0)</f>
        <v/>
      </c>
      <c r="M990" s="1">
        <f>IFERROR(K990*E990,0)</f>
        <v/>
      </c>
    </row>
    <row r="991">
      <c r="A991" t="inlineStr">
        <is>
          <t>JN2002-GNTBOOT-500-00-06</t>
        </is>
      </c>
      <c r="B991" t="inlineStr">
        <is>
          <t>GRANITE CHELSEA BOOTS BLACK 6</t>
        </is>
      </c>
      <c r="C991" t="inlineStr">
        <is>
          <t>Workwear Depot (Pty)Ltd</t>
        </is>
      </c>
      <c r="D991" t="inlineStr"/>
      <c r="E991" s="1" t="n">
        <v>931.76</v>
      </c>
      <c r="F991" t="n">
        <v>1</v>
      </c>
      <c r="G991" t="n">
        <v>0</v>
      </c>
      <c r="H991" t="n">
        <v>2</v>
      </c>
      <c r="I991" t="n">
        <v>0</v>
      </c>
      <c r="J991" t="n">
        <v>0</v>
      </c>
      <c r="K991">
        <f>IF(H991-I991-J991&gt;0,H991-I991-J991,0)</f>
        <v/>
      </c>
      <c r="L991" s="1">
        <f>IFERROR(I991*E991,0)</f>
        <v/>
      </c>
      <c r="M991" s="1">
        <f>IFERROR(K991*E991,0)</f>
        <v/>
      </c>
    </row>
    <row r="992">
      <c r="A992" t="inlineStr">
        <is>
          <t>JN2002-GNTBOOT-500-00-07</t>
        </is>
      </c>
      <c r="B992" t="inlineStr">
        <is>
          <t>GRANITE CHELSEA BOOTS BLACK 7</t>
        </is>
      </c>
      <c r="C992" t="inlineStr">
        <is>
          <t>Workwear Depot (Pty)Ltd</t>
        </is>
      </c>
      <c r="D992" t="inlineStr"/>
      <c r="E992" s="1" t="n">
        <v>931.76</v>
      </c>
      <c r="F992" t="n">
        <v>1</v>
      </c>
      <c r="G992" t="n">
        <v>0</v>
      </c>
      <c r="H992" t="n">
        <v>2</v>
      </c>
      <c r="I992" t="n">
        <v>0</v>
      </c>
      <c r="J992" t="n">
        <v>0</v>
      </c>
      <c r="K992">
        <f>IF(H992-I992-J992&gt;0,H992-I992-J992,0)</f>
        <v/>
      </c>
      <c r="L992" s="1">
        <f>IFERROR(I992*E992,0)</f>
        <v/>
      </c>
      <c r="M992" s="1">
        <f>IFERROR(K992*E992,0)</f>
        <v/>
      </c>
    </row>
    <row r="993">
      <c r="A993" t="inlineStr">
        <is>
          <t>JN3002-TUNBOOT-600-00-07</t>
        </is>
      </c>
      <c r="B993" t="inlineStr">
        <is>
          <t>TUNGSTEN BOOT BLACK 7</t>
        </is>
      </c>
      <c r="C993" t="inlineStr">
        <is>
          <t>Workwear Depot (Pty)Ltd</t>
        </is>
      </c>
      <c r="D993" t="inlineStr">
        <is>
          <t>FM - UNIFORM</t>
        </is>
      </c>
      <c r="E993" s="1" t="n">
        <v>592.64</v>
      </c>
      <c r="F993" t="n">
        <v>1</v>
      </c>
      <c r="G993" t="n">
        <v>0</v>
      </c>
      <c r="H993" t="n">
        <v>5</v>
      </c>
      <c r="I993" t="n">
        <v>0</v>
      </c>
      <c r="J993" t="n">
        <v>0</v>
      </c>
      <c r="K993">
        <f>IF(H993-I993-J993&gt;0,H993-I993-J993,0)</f>
        <v/>
      </c>
      <c r="L993" s="1">
        <f>IFERROR(I993*E993,0)</f>
        <v/>
      </c>
      <c r="M993" s="1">
        <f>IFERROR(K993*E993,0)</f>
        <v/>
      </c>
    </row>
    <row r="994">
      <c r="A994" t="inlineStr">
        <is>
          <t>JN3002-TUNBOOT-600-00-09</t>
        </is>
      </c>
      <c r="B994" t="inlineStr">
        <is>
          <t>TUNGSTEN BOOT BLACK 9</t>
        </is>
      </c>
      <c r="C994" t="inlineStr">
        <is>
          <t>Workwear Depot (Pty)Ltd</t>
        </is>
      </c>
      <c r="D994" t="inlineStr">
        <is>
          <t>FM - UNIFORM</t>
        </is>
      </c>
      <c r="E994" s="1" t="n">
        <v>592.63</v>
      </c>
      <c r="F994" t="n">
        <v>1</v>
      </c>
      <c r="G994" t="n">
        <v>0</v>
      </c>
      <c r="H994" t="n">
        <v>2</v>
      </c>
      <c r="I994" t="n">
        <v>0</v>
      </c>
      <c r="J994" t="n">
        <v>0</v>
      </c>
      <c r="K994">
        <f>IF(H994-I994-J994&gt;0,H994-I994-J994,0)</f>
        <v/>
      </c>
      <c r="L994" s="1">
        <f>IFERROR(I994*E994,0)</f>
        <v/>
      </c>
      <c r="M994" s="1">
        <f>IFERROR(K994*E994,0)</f>
        <v/>
      </c>
    </row>
    <row r="995">
      <c r="A995" t="inlineStr">
        <is>
          <t>JRAD50F300</t>
        </is>
      </c>
      <c r="B995" t="inlineStr">
        <is>
          <t>JRAD 50 F300 'C / 2H</t>
        </is>
      </c>
      <c r="C995" t="inlineStr">
        <is>
          <t>Kayites</t>
        </is>
      </c>
      <c r="D995" t="inlineStr">
        <is>
          <t>FM - KAYITES</t>
        </is>
      </c>
      <c r="E995" s="1" t="n">
        <v>8234.75</v>
      </c>
      <c r="F995" t="n">
        <v>1</v>
      </c>
      <c r="G995" t="n">
        <v>0</v>
      </c>
      <c r="H995" t="n">
        <v>3</v>
      </c>
      <c r="I995" t="n">
        <v>0</v>
      </c>
      <c r="J995" t="n">
        <v>0</v>
      </c>
      <c r="K995">
        <f>IF(H995-I995-J995&gt;0,H995-I995-J995,0)</f>
        <v/>
      </c>
      <c r="L995" s="1">
        <f>IFERROR(I995*E995,0)</f>
        <v/>
      </c>
      <c r="M995" s="1">
        <f>IFERROR(K995*E995,0)</f>
        <v/>
      </c>
    </row>
    <row r="996">
      <c r="A996" t="inlineStr">
        <is>
          <t>JRAD70F300</t>
        </is>
      </c>
      <c r="B996" t="inlineStr">
        <is>
          <t>JRAD 70 F300 'C / 2H</t>
        </is>
      </c>
      <c r="C996" t="inlineStr">
        <is>
          <t>Kayites</t>
        </is>
      </c>
      <c r="D996" t="inlineStr">
        <is>
          <t>FM - KAYITES</t>
        </is>
      </c>
      <c r="E996" s="1" t="n">
        <v>10200.65</v>
      </c>
      <c r="F996" t="n">
        <v>3</v>
      </c>
      <c r="G996" t="n">
        <v>0</v>
      </c>
      <c r="H996" t="n">
        <v>15</v>
      </c>
      <c r="I996" t="n">
        <v>0</v>
      </c>
      <c r="J996" t="n">
        <v>0</v>
      </c>
      <c r="K996">
        <f>IF(H996-I996-J996&gt;0,H996-I996-J996,0)</f>
        <v/>
      </c>
      <c r="L996" s="1">
        <f>IFERROR(I996*E996,0)</f>
        <v/>
      </c>
      <c r="M996" s="1">
        <f>IFERROR(K996*E996,0)</f>
        <v/>
      </c>
    </row>
    <row r="997">
      <c r="A997" t="inlineStr">
        <is>
          <t>JRAD90F300</t>
        </is>
      </c>
      <c r="B997" t="inlineStr">
        <is>
          <t>JRAD 90 F300 'C / 2H</t>
        </is>
      </c>
      <c r="C997" t="inlineStr">
        <is>
          <t>Kayites</t>
        </is>
      </c>
      <c r="D997" t="inlineStr">
        <is>
          <t>FM - KAYITES</t>
        </is>
      </c>
      <c r="E997" s="1" t="n">
        <v>10609.51</v>
      </c>
      <c r="F997" t="n">
        <v>1</v>
      </c>
      <c r="G997" t="n">
        <v>0</v>
      </c>
      <c r="H997" t="n">
        <v>2</v>
      </c>
      <c r="I997" t="n">
        <v>0</v>
      </c>
      <c r="J997" t="n">
        <v>0</v>
      </c>
      <c r="K997">
        <f>IF(H997-I997-J997&gt;0,H997-I997-J997,0)</f>
        <v/>
      </c>
      <c r="L997" s="1">
        <f>IFERROR(I997*E997,0)</f>
        <v/>
      </c>
      <c r="M997" s="1">
        <f>IFERROR(K997*E997,0)</f>
        <v/>
      </c>
    </row>
    <row r="998">
      <c r="A998" t="inlineStr">
        <is>
          <t>JTPOLY-6398B-600-03-M</t>
        </is>
      </c>
      <c r="B998" t="inlineStr">
        <is>
          <t>WORK T BLACK M</t>
        </is>
      </c>
      <c r="C998" t="inlineStr">
        <is>
          <t>Workwear Depot (Pty)Ltd</t>
        </is>
      </c>
      <c r="D998" t="inlineStr"/>
      <c r="E998" s="1" t="n">
        <v>194.15</v>
      </c>
      <c r="F998" t="n">
        <v>1</v>
      </c>
      <c r="G998" t="n">
        <v>0</v>
      </c>
      <c r="H998" t="n">
        <v>5</v>
      </c>
      <c r="I998" t="n">
        <v>0</v>
      </c>
      <c r="J998" t="n">
        <v>0</v>
      </c>
      <c r="K998">
        <f>IF(H998-I998-J998&gt;0,H998-I998-J998,0)</f>
        <v/>
      </c>
      <c r="L998" s="1">
        <f>IFERROR(I998*E998,0)</f>
        <v/>
      </c>
      <c r="M998" s="1">
        <f>IFERROR(K998*E998,0)</f>
        <v/>
      </c>
    </row>
    <row r="999">
      <c r="A999" t="inlineStr">
        <is>
          <t>JTPOLY-6398B-600-04-L</t>
        </is>
      </c>
      <c r="B999" t="inlineStr">
        <is>
          <t>WORK T BLACK L</t>
        </is>
      </c>
      <c r="C999" t="inlineStr">
        <is>
          <t>Workwear Depot (Pty)Ltd</t>
        </is>
      </c>
      <c r="D999" t="inlineStr">
        <is>
          <t>FM - UNIFORM</t>
        </is>
      </c>
      <c r="E999" s="1" t="n">
        <v>194.15</v>
      </c>
      <c r="F999" t="n">
        <v>1</v>
      </c>
      <c r="G999" t="n">
        <v>0</v>
      </c>
      <c r="H999" t="n">
        <v>5</v>
      </c>
      <c r="I999" t="n">
        <v>0</v>
      </c>
      <c r="J999" t="n">
        <v>0</v>
      </c>
      <c r="K999">
        <f>IF(H999-I999-J999&gt;0,H999-I999-J999,0)</f>
        <v/>
      </c>
      <c r="L999" s="1">
        <f>IFERROR(I999*E999,0)</f>
        <v/>
      </c>
      <c r="M999" s="1">
        <f>IFERROR(K999*E999,0)</f>
        <v/>
      </c>
    </row>
    <row r="1000">
      <c r="A1000" t="inlineStr">
        <is>
          <t>K03MS055S</t>
        </is>
      </c>
      <c r="B1000" t="inlineStr">
        <is>
          <t>SCL-K03 MS-0.55kW-1</t>
        </is>
      </c>
      <c r="C1000" t="inlineStr"/>
      <c r="D1000" t="inlineStr">
        <is>
          <t>FM - FPZ</t>
        </is>
      </c>
      <c r="E1000" s="1" t="n">
        <v>0</v>
      </c>
      <c r="F1000" t="n">
        <v>1</v>
      </c>
      <c r="G1000" t="n">
        <v>0</v>
      </c>
      <c r="H1000" t="n">
        <v>2</v>
      </c>
      <c r="I1000" t="n">
        <v>0</v>
      </c>
      <c r="J1000" t="n">
        <v>0</v>
      </c>
      <c r="K1000">
        <f>IF(H1000-I1000-J1000&gt;0,H1000-I1000-J1000,0)</f>
        <v/>
      </c>
      <c r="L1000" s="1">
        <f>IFERROR(I1000*E1000,0)</f>
        <v/>
      </c>
      <c r="M1000" s="1">
        <f>IFERROR(K1000*E1000,0)</f>
        <v/>
      </c>
    </row>
    <row r="1001">
      <c r="A1001" t="inlineStr">
        <is>
          <t>K04MS11S</t>
        </is>
      </c>
      <c r="B1001" t="inlineStr">
        <is>
          <t>SCL-K04 MS-1.1kW-1-220V</t>
        </is>
      </c>
      <c r="C1001" t="inlineStr">
        <is>
          <t>Effepizeta</t>
        </is>
      </c>
      <c r="D1001" t="inlineStr">
        <is>
          <t>FM - FPZ</t>
        </is>
      </c>
      <c r="E1001" s="1" t="n">
        <v>6609.77</v>
      </c>
      <c r="F1001" t="n">
        <v>2</v>
      </c>
      <c r="G1001" t="n">
        <v>0</v>
      </c>
      <c r="H1001" t="n">
        <v>4</v>
      </c>
      <c r="I1001" t="n">
        <v>0</v>
      </c>
      <c r="J1001" t="n">
        <v>0</v>
      </c>
      <c r="K1001">
        <f>IF(H1001-I1001-J1001&gt;0,H1001-I1001-J1001,0)</f>
        <v/>
      </c>
      <c r="L1001" s="1">
        <f>IFERROR(I1001*E1001,0)</f>
        <v/>
      </c>
      <c r="M1001" s="1">
        <f>IFERROR(K1001*E1001,0)</f>
        <v/>
      </c>
    </row>
    <row r="1002">
      <c r="A1002" t="inlineStr">
        <is>
          <t>K04MS11T</t>
        </is>
      </c>
      <c r="B1002" t="inlineStr">
        <is>
          <t>SCL-K04 MS-1.1kW</t>
        </is>
      </c>
      <c r="C1002" t="inlineStr">
        <is>
          <t>Effepizeta</t>
        </is>
      </c>
      <c r="D1002" t="inlineStr">
        <is>
          <t>FM - FPZ</t>
        </is>
      </c>
      <c r="E1002" s="1" t="n">
        <v>6335</v>
      </c>
      <c r="F1002" t="n">
        <v>2</v>
      </c>
      <c r="G1002" t="n">
        <v>0</v>
      </c>
      <c r="H1002" t="n">
        <v>4</v>
      </c>
      <c r="I1002" t="n">
        <v>0</v>
      </c>
      <c r="J1002" t="n">
        <v>0</v>
      </c>
      <c r="K1002">
        <f>IF(H1002-I1002-J1002&gt;0,H1002-I1002-J1002,0)</f>
        <v/>
      </c>
      <c r="L1002" s="1">
        <f>IFERROR(I1002*E1002,0)</f>
        <v/>
      </c>
      <c r="M1002" s="1">
        <f>IFERROR(K1002*E1002,0)</f>
        <v/>
      </c>
    </row>
    <row r="1003">
      <c r="A1003" t="inlineStr">
        <is>
          <t>K05MS15T</t>
        </is>
      </c>
      <c r="B1003" t="inlineStr">
        <is>
          <t>SCL-K05 MS-1.5kW</t>
        </is>
      </c>
      <c r="C1003" t="inlineStr">
        <is>
          <t>Effepizeta</t>
        </is>
      </c>
      <c r="D1003" t="inlineStr">
        <is>
          <t>FM - FPZ</t>
        </is>
      </c>
      <c r="E1003" s="1" t="n">
        <v>8276.559999999999</v>
      </c>
      <c r="F1003" t="n">
        <v>2</v>
      </c>
      <c r="G1003" t="n">
        <v>0</v>
      </c>
      <c r="H1003" t="n">
        <v>4</v>
      </c>
      <c r="I1003" t="n">
        <v>0</v>
      </c>
      <c r="J1003" t="n">
        <v>0</v>
      </c>
      <c r="K1003">
        <f>IF(H1003-I1003-J1003&gt;0,H1003-I1003-J1003,0)</f>
        <v/>
      </c>
      <c r="L1003" s="1">
        <f>IFERROR(I1003*E1003,0)</f>
        <v/>
      </c>
      <c r="M1003" s="1">
        <f>IFERROR(K1003*E1003,0)</f>
        <v/>
      </c>
    </row>
    <row r="1004">
      <c r="A1004" t="inlineStr">
        <is>
          <t>K05MS22T</t>
        </is>
      </c>
      <c r="B1004" t="inlineStr">
        <is>
          <t>SCL-K05 MS-2.2kW</t>
        </is>
      </c>
      <c r="C1004" t="inlineStr">
        <is>
          <t>Effepizeta</t>
        </is>
      </c>
      <c r="D1004" t="inlineStr">
        <is>
          <t>FM - FPZ</t>
        </is>
      </c>
      <c r="E1004" s="1" t="n">
        <v>8273.66</v>
      </c>
      <c r="F1004" t="n">
        <v>2</v>
      </c>
      <c r="G1004" t="n">
        <v>0</v>
      </c>
      <c r="H1004" t="n">
        <v>4</v>
      </c>
      <c r="I1004" t="n">
        <v>0</v>
      </c>
      <c r="J1004" t="n">
        <v>0</v>
      </c>
      <c r="K1004">
        <f>IF(H1004-I1004-J1004&gt;0,H1004-I1004-J1004,0)</f>
        <v/>
      </c>
      <c r="L1004" s="1">
        <f>IFERROR(I1004*E1004,0)</f>
        <v/>
      </c>
      <c r="M1004" s="1">
        <f>IFERROR(K1004*E1004,0)</f>
        <v/>
      </c>
    </row>
    <row r="1005">
      <c r="A1005" t="inlineStr">
        <is>
          <t>K06MS4</t>
        </is>
      </c>
      <c r="B1005" t="inlineStr">
        <is>
          <t>SCL-K06 MS-4W</t>
        </is>
      </c>
      <c r="C1005" t="inlineStr">
        <is>
          <t>Effepizeta</t>
        </is>
      </c>
      <c r="D1005" t="inlineStr">
        <is>
          <t>FM - FPZ</t>
        </is>
      </c>
      <c r="E1005" s="1" t="n">
        <v>7417.57</v>
      </c>
      <c r="F1005" t="n">
        <v>2</v>
      </c>
      <c r="G1005" t="n">
        <v>0</v>
      </c>
      <c r="H1005" t="n">
        <v>4</v>
      </c>
      <c r="I1005" t="n">
        <v>0</v>
      </c>
      <c r="J1005" t="n">
        <v>0</v>
      </c>
      <c r="K1005">
        <f>IF(H1005-I1005-J1005&gt;0,H1005-I1005-J1005,0)</f>
        <v/>
      </c>
      <c r="L1005" s="1">
        <f>IFERROR(I1005*E1005,0)</f>
        <v/>
      </c>
      <c r="M1005" s="1">
        <f>IFERROR(K1005*E1005,0)</f>
        <v/>
      </c>
    </row>
    <row r="1006">
      <c r="A1006" t="inlineStr">
        <is>
          <t>K07MS4</t>
        </is>
      </c>
      <c r="B1006" t="inlineStr">
        <is>
          <t>SCL-K07 MS-4kW</t>
        </is>
      </c>
      <c r="C1006" t="inlineStr">
        <is>
          <t>Effepizeta</t>
        </is>
      </c>
      <c r="D1006" t="inlineStr">
        <is>
          <t>FM - FPZ</t>
        </is>
      </c>
      <c r="E1006" s="1" t="n">
        <v>15200.44</v>
      </c>
      <c r="F1006" t="n">
        <v>2</v>
      </c>
      <c r="G1006" t="n">
        <v>0</v>
      </c>
      <c r="H1006" t="n">
        <v>4</v>
      </c>
      <c r="I1006" t="n">
        <v>0</v>
      </c>
      <c r="J1006" t="n">
        <v>0</v>
      </c>
      <c r="K1006">
        <f>IF(H1006-I1006-J1006&gt;0,H1006-I1006-J1006,0)</f>
        <v/>
      </c>
      <c r="L1006" s="1">
        <f>IFERROR(I1006*E1006,0)</f>
        <v/>
      </c>
      <c r="M1006" s="1">
        <f>IFERROR(K1006*E1006,0)</f>
        <v/>
      </c>
    </row>
    <row r="1007">
      <c r="A1007" t="inlineStr">
        <is>
          <t>K07MS55</t>
        </is>
      </c>
      <c r="B1007" t="inlineStr">
        <is>
          <t>SCL-K07 MS-5.5kW</t>
        </is>
      </c>
      <c r="C1007" t="inlineStr"/>
      <c r="D1007" t="inlineStr">
        <is>
          <t>FM - FPZ</t>
        </is>
      </c>
      <c r="E1007" s="1" t="n">
        <v>0</v>
      </c>
      <c r="F1007" t="n">
        <v>1</v>
      </c>
      <c r="G1007" t="n">
        <v>0</v>
      </c>
      <c r="H1007" t="n">
        <v>2</v>
      </c>
      <c r="I1007" t="n">
        <v>0</v>
      </c>
      <c r="J1007" t="n">
        <v>0</v>
      </c>
      <c r="K1007">
        <f>IF(H1007-I1007-J1007&gt;0,H1007-I1007-J1007,0)</f>
        <v/>
      </c>
      <c r="L1007" s="1">
        <f>IFERROR(I1007*E1007,0)</f>
        <v/>
      </c>
      <c r="M1007" s="1">
        <f>IFERROR(K1007*E1007,0)</f>
        <v/>
      </c>
    </row>
    <row r="1008">
      <c r="A1008" t="inlineStr">
        <is>
          <t>K08MS75</t>
        </is>
      </c>
      <c r="B1008" t="inlineStr">
        <is>
          <t>SCL-K08 MS-7.5kW</t>
        </is>
      </c>
      <c r="C1008" t="inlineStr">
        <is>
          <t>Effepizeta</t>
        </is>
      </c>
      <c r="D1008" t="inlineStr">
        <is>
          <t>FM - FPZ</t>
        </is>
      </c>
      <c r="E1008" s="1" t="n">
        <v>30692.13</v>
      </c>
      <c r="F1008" t="n">
        <v>2</v>
      </c>
      <c r="G1008" t="n">
        <v>0</v>
      </c>
      <c r="H1008" t="n">
        <v>4</v>
      </c>
      <c r="I1008" t="n">
        <v>0</v>
      </c>
      <c r="J1008" t="n">
        <v>0</v>
      </c>
      <c r="K1008">
        <f>IF(H1008-I1008-J1008&gt;0,H1008-I1008-J1008,0)</f>
        <v/>
      </c>
      <c r="L1008" s="1">
        <f>IFERROR(I1008*E1008,0)</f>
        <v/>
      </c>
      <c r="M1008" s="1">
        <f>IFERROR(K1008*E1008,0)</f>
        <v/>
      </c>
    </row>
    <row r="1009">
      <c r="A1009" t="inlineStr">
        <is>
          <t>K09MS55</t>
        </is>
      </c>
      <c r="B1009" t="inlineStr">
        <is>
          <t>SCL-K09 MS-5.5kW</t>
        </is>
      </c>
      <c r="C1009" t="inlineStr">
        <is>
          <t>Effepizeta</t>
        </is>
      </c>
      <c r="D1009" t="inlineStr">
        <is>
          <t>FM - FPZ</t>
        </is>
      </c>
      <c r="E1009" s="1" t="n">
        <v>37510.41</v>
      </c>
      <c r="F1009" t="n">
        <v>2</v>
      </c>
      <c r="G1009" t="n">
        <v>0</v>
      </c>
      <c r="H1009" t="n">
        <v>4</v>
      </c>
      <c r="I1009" t="n">
        <v>0</v>
      </c>
      <c r="J1009" t="n">
        <v>0</v>
      </c>
      <c r="K1009">
        <f>IF(H1009-I1009-J1009&gt;0,H1009-I1009-J1009,0)</f>
        <v/>
      </c>
      <c r="L1009" s="1">
        <f>IFERROR(I1009*E1009,0)</f>
        <v/>
      </c>
      <c r="M1009" s="1">
        <f>IFERROR(K1009*E1009,0)</f>
        <v/>
      </c>
    </row>
    <row r="1010">
      <c r="A1010" t="inlineStr">
        <is>
          <t>K09TD15</t>
        </is>
      </c>
      <c r="B1010" t="inlineStr">
        <is>
          <t>SCL-K09 TD-15kW</t>
        </is>
      </c>
      <c r="C1010" t="inlineStr">
        <is>
          <t>Effepizeta</t>
        </is>
      </c>
      <c r="D1010" t="inlineStr">
        <is>
          <t>FM - FPZ</t>
        </is>
      </c>
      <c r="E1010" s="1" t="n">
        <v>0</v>
      </c>
      <c r="F1010" t="n">
        <v>2</v>
      </c>
      <c r="G1010" t="n">
        <v>0</v>
      </c>
      <c r="H1010" t="n">
        <v>4</v>
      </c>
      <c r="I1010" t="n">
        <v>0</v>
      </c>
      <c r="J1010" t="n">
        <v>0</v>
      </c>
      <c r="K1010">
        <f>IF(H1010-I1010-J1010&gt;0,H1010-I1010-J1010,0)</f>
        <v/>
      </c>
      <c r="L1010" s="1">
        <f>IFERROR(I1010*E1010,0)</f>
        <v/>
      </c>
      <c r="M1010" s="1">
        <f>IFERROR(K1010*E1010,0)</f>
        <v/>
      </c>
    </row>
    <row r="1011">
      <c r="A1011" t="inlineStr">
        <is>
          <t>K09TS15</t>
        </is>
      </c>
      <c r="B1011" t="inlineStr">
        <is>
          <t>SCL-K09 TS-15kW</t>
        </is>
      </c>
      <c r="C1011" t="inlineStr">
        <is>
          <t>Effepizeta</t>
        </is>
      </c>
      <c r="D1011" t="inlineStr">
        <is>
          <t>FM - FPZ</t>
        </is>
      </c>
      <c r="E1011" s="1" t="n">
        <v>64921.97</v>
      </c>
      <c r="F1011" t="n">
        <v>2</v>
      </c>
      <c r="G1011" t="n">
        <v>0</v>
      </c>
      <c r="H1011" t="n">
        <v>4</v>
      </c>
      <c r="I1011" t="n">
        <v>0</v>
      </c>
      <c r="J1011" t="n">
        <v>0</v>
      </c>
      <c r="K1011">
        <f>IF(H1011-I1011-J1011&gt;0,H1011-I1011-J1011,0)</f>
        <v/>
      </c>
      <c r="L1011" s="1">
        <f>IFERROR(I1011*E1011,0)</f>
        <v/>
      </c>
      <c r="M1011" s="1">
        <f>IFERROR(K1011*E1011,0)</f>
        <v/>
      </c>
    </row>
    <row r="1012">
      <c r="A1012" t="inlineStr">
        <is>
          <t>K10MD75</t>
        </is>
      </c>
      <c r="B1012" t="inlineStr">
        <is>
          <t>SCL-K10 MD-7.5kW</t>
        </is>
      </c>
      <c r="C1012" t="inlineStr"/>
      <c r="D1012" t="inlineStr">
        <is>
          <t>FM - FPZ</t>
        </is>
      </c>
      <c r="E1012" s="1" t="n">
        <v>0</v>
      </c>
      <c r="F1012" t="n">
        <v>1</v>
      </c>
      <c r="G1012" t="n">
        <v>0</v>
      </c>
      <c r="H1012" t="n">
        <v>2</v>
      </c>
      <c r="I1012" t="n">
        <v>0</v>
      </c>
      <c r="J1012" t="n">
        <v>0</v>
      </c>
      <c r="K1012">
        <f>IF(H1012-I1012-J1012&gt;0,H1012-I1012-J1012,0)</f>
        <v/>
      </c>
      <c r="L1012" s="1">
        <f>IFERROR(I1012*E1012,0)</f>
        <v/>
      </c>
      <c r="M1012" s="1">
        <f>IFERROR(K1012*E1012,0)</f>
        <v/>
      </c>
    </row>
    <row r="1013">
      <c r="A1013" t="inlineStr">
        <is>
          <t>K10MS11</t>
        </is>
      </c>
      <c r="B1013" t="inlineStr">
        <is>
          <t>SCL-K10 MS-11kW</t>
        </is>
      </c>
      <c r="C1013" t="inlineStr">
        <is>
          <t>Effepizeta</t>
        </is>
      </c>
      <c r="D1013" t="inlineStr">
        <is>
          <t>FM - FPZ</t>
        </is>
      </c>
      <c r="E1013" s="1" t="n">
        <v>40775.36</v>
      </c>
      <c r="F1013" t="n">
        <v>2</v>
      </c>
      <c r="G1013" t="n">
        <v>0</v>
      </c>
      <c r="H1013" t="n">
        <v>4</v>
      </c>
      <c r="I1013" t="n">
        <v>0</v>
      </c>
      <c r="J1013" t="n">
        <v>0</v>
      </c>
      <c r="K1013">
        <f>IF(H1013-I1013-J1013&gt;0,H1013-I1013-J1013,0)</f>
        <v/>
      </c>
      <c r="L1013" s="1">
        <f>IFERROR(I1013*E1013,0)</f>
        <v/>
      </c>
      <c r="M1013" s="1">
        <f>IFERROR(K1013*E1013,0)</f>
        <v/>
      </c>
    </row>
    <row r="1014">
      <c r="A1014" t="inlineStr">
        <is>
          <t>K11MS11</t>
        </is>
      </c>
      <c r="B1014" t="inlineStr">
        <is>
          <t>SCL-K11 MS-11kW</t>
        </is>
      </c>
      <c r="C1014" t="inlineStr">
        <is>
          <t>Effepizeta</t>
        </is>
      </c>
      <c r="D1014" t="inlineStr">
        <is>
          <t>FM - FPZ</t>
        </is>
      </c>
      <c r="E1014" s="1" t="n">
        <v>48810.59</v>
      </c>
      <c r="F1014" t="n">
        <v>2</v>
      </c>
      <c r="G1014" t="n">
        <v>0</v>
      </c>
      <c r="H1014" t="n">
        <v>4</v>
      </c>
      <c r="I1014" t="n">
        <v>0</v>
      </c>
      <c r="J1014" t="n">
        <v>0</v>
      </c>
      <c r="K1014">
        <f>IF(H1014-I1014-J1014&gt;0,H1014-I1014-J1014,0)</f>
        <v/>
      </c>
      <c r="L1014" s="1">
        <f>IFERROR(I1014*E1014,0)</f>
        <v/>
      </c>
      <c r="M1014" s="1">
        <f>IFERROR(K1014*E1014,0)</f>
        <v/>
      </c>
    </row>
    <row r="1015">
      <c r="A1015" t="inlineStr">
        <is>
          <t>K11TS22</t>
        </is>
      </c>
      <c r="B1015" t="inlineStr">
        <is>
          <t>SCL-K11 TS-22kW</t>
        </is>
      </c>
      <c r="C1015" t="inlineStr"/>
      <c r="D1015" t="inlineStr">
        <is>
          <t>FM - FPZ</t>
        </is>
      </c>
      <c r="E1015" s="1" t="n">
        <v>0</v>
      </c>
      <c r="F1015" t="n">
        <v>1</v>
      </c>
      <c r="G1015" t="n">
        <v>0</v>
      </c>
      <c r="H1015" t="n">
        <v>2</v>
      </c>
      <c r="I1015" t="n">
        <v>0</v>
      </c>
      <c r="J1015" t="n">
        <v>0</v>
      </c>
      <c r="K1015">
        <f>IF(H1015-I1015-J1015&gt;0,H1015-I1015-J1015,0)</f>
        <v/>
      </c>
      <c r="L1015" s="1">
        <f>IFERROR(I1015*E1015,0)</f>
        <v/>
      </c>
      <c r="M1015" s="1">
        <f>IFERROR(K1015*E1015,0)</f>
        <v/>
      </c>
    </row>
    <row r="1016">
      <c r="A1016" t="inlineStr">
        <is>
          <t>K12MS15</t>
        </is>
      </c>
      <c r="B1016" t="inlineStr">
        <is>
          <t>SCL-K12 MS-15kW</t>
        </is>
      </c>
      <c r="C1016" t="inlineStr">
        <is>
          <t>Effepizeta</t>
        </is>
      </c>
      <c r="D1016" t="inlineStr">
        <is>
          <t>FM - FPZ</t>
        </is>
      </c>
      <c r="E1016" s="1" t="n">
        <v>0</v>
      </c>
      <c r="F1016" t="n">
        <v>1</v>
      </c>
      <c r="G1016" t="n">
        <v>0</v>
      </c>
      <c r="H1016" t="n">
        <v>3</v>
      </c>
      <c r="I1016" t="n">
        <v>0</v>
      </c>
      <c r="J1016" t="n">
        <v>0</v>
      </c>
      <c r="K1016">
        <f>IF(H1016-I1016-J1016&gt;0,H1016-I1016-J1016,0)</f>
        <v/>
      </c>
      <c r="L1016" s="1">
        <f>IFERROR(I1016*E1016,0)</f>
        <v/>
      </c>
      <c r="M1016" s="1">
        <f>IFERROR(K1016*E1016,0)</f>
        <v/>
      </c>
    </row>
    <row r="1017">
      <c r="A1017" t="inlineStr">
        <is>
          <t>K75MS55</t>
        </is>
      </c>
      <c r="B1017" t="inlineStr">
        <is>
          <t>SCL-K75 MS-5.5kW</t>
        </is>
      </c>
      <c r="C1017" t="inlineStr">
        <is>
          <t>Effepizeta</t>
        </is>
      </c>
      <c r="D1017" t="inlineStr">
        <is>
          <t>FM - FPZ</t>
        </is>
      </c>
      <c r="E1017" s="1" t="n">
        <v>0</v>
      </c>
      <c r="F1017" t="n">
        <v>1</v>
      </c>
      <c r="G1017" t="n">
        <v>0</v>
      </c>
      <c r="H1017" t="n">
        <v>3</v>
      </c>
      <c r="I1017" t="n">
        <v>0</v>
      </c>
      <c r="J1017" t="n">
        <v>0</v>
      </c>
      <c r="K1017">
        <f>IF(H1017-I1017-J1017&gt;0,H1017-I1017-J1017,0)</f>
        <v/>
      </c>
      <c r="L1017" s="1">
        <f>IFERROR(I1017*E1017,0)</f>
        <v/>
      </c>
      <c r="M1017" s="1">
        <f>IFERROR(K1017*E1017,0)</f>
        <v/>
      </c>
    </row>
    <row r="1018">
      <c r="A1018" t="inlineStr">
        <is>
          <t>KAF125</t>
        </is>
      </c>
      <c r="B1018" t="inlineStr">
        <is>
          <t>KAF 125</t>
        </is>
      </c>
      <c r="C1018" t="inlineStr"/>
      <c r="D1018" t="inlineStr">
        <is>
          <t>FM - KAYITES</t>
        </is>
      </c>
      <c r="E1018" s="1" t="n">
        <v>0</v>
      </c>
      <c r="F1018" t="n">
        <v>1</v>
      </c>
      <c r="G1018" t="n">
        <v>0</v>
      </c>
      <c r="H1018" t="n">
        <v>2</v>
      </c>
      <c r="I1018" t="n">
        <v>0</v>
      </c>
      <c r="J1018" t="n">
        <v>0</v>
      </c>
      <c r="K1018">
        <f>IF(H1018-I1018-J1018&gt;0,H1018-I1018-J1018,0)</f>
        <v/>
      </c>
      <c r="L1018" s="1">
        <f>IFERROR(I1018*E1018,0)</f>
        <v/>
      </c>
      <c r="M1018" s="1">
        <f>IFERROR(K1018*E1018,0)</f>
        <v/>
      </c>
    </row>
    <row r="1019">
      <c r="A1019" t="inlineStr">
        <is>
          <t>KAF150</t>
        </is>
      </c>
      <c r="B1019" t="inlineStr">
        <is>
          <t>KAF 150</t>
        </is>
      </c>
      <c r="C1019" t="inlineStr"/>
      <c r="D1019" t="inlineStr">
        <is>
          <t>FM - KAYITES</t>
        </is>
      </c>
      <c r="E1019" s="1" t="n">
        <v>0</v>
      </c>
      <c r="F1019" t="n">
        <v>1</v>
      </c>
      <c r="G1019" t="n">
        <v>0</v>
      </c>
      <c r="H1019" t="n">
        <v>2</v>
      </c>
      <c r="I1019" t="n">
        <v>0</v>
      </c>
      <c r="J1019" t="n">
        <v>0</v>
      </c>
      <c r="K1019">
        <f>IF(H1019-I1019-J1019&gt;0,H1019-I1019-J1019,0)</f>
        <v/>
      </c>
      <c r="L1019" s="1">
        <f>IFERROR(I1019*E1019,0)</f>
        <v/>
      </c>
      <c r="M1019" s="1">
        <f>IFERROR(K1019*E1019,0)</f>
        <v/>
      </c>
    </row>
    <row r="1020">
      <c r="A1020" t="inlineStr">
        <is>
          <t>KAF200</t>
        </is>
      </c>
      <c r="B1020" t="inlineStr">
        <is>
          <t>KAF 200</t>
        </is>
      </c>
      <c r="C1020" t="inlineStr"/>
      <c r="D1020" t="inlineStr">
        <is>
          <t>FM - KAYITES</t>
        </is>
      </c>
      <c r="E1020" s="1" t="n">
        <v>0</v>
      </c>
      <c r="F1020" t="n">
        <v>1</v>
      </c>
      <c r="G1020" t="n">
        <v>0</v>
      </c>
      <c r="H1020" t="n">
        <v>2</v>
      </c>
      <c r="I1020" t="n">
        <v>0</v>
      </c>
      <c r="J1020" t="n">
        <v>0</v>
      </c>
      <c r="K1020">
        <f>IF(H1020-I1020-J1020&gt;0,H1020-I1020-J1020,0)</f>
        <v/>
      </c>
      <c r="L1020" s="1">
        <f>IFERROR(I1020*E1020,0)</f>
        <v/>
      </c>
      <c r="M1020" s="1">
        <f>IFERROR(K1020*E1020,0)</f>
        <v/>
      </c>
    </row>
    <row r="1021">
      <c r="A1021" t="inlineStr">
        <is>
          <t>KAF250</t>
        </is>
      </c>
      <c r="B1021" t="inlineStr">
        <is>
          <t>KAF 250</t>
        </is>
      </c>
      <c r="C1021" t="inlineStr"/>
      <c r="D1021" t="inlineStr">
        <is>
          <t>FM - KAYITES</t>
        </is>
      </c>
      <c r="E1021" s="1" t="n">
        <v>0</v>
      </c>
      <c r="F1021" t="n">
        <v>1</v>
      </c>
      <c r="G1021" t="n">
        <v>0</v>
      </c>
      <c r="H1021" t="n">
        <v>2</v>
      </c>
      <c r="I1021" t="n">
        <v>0</v>
      </c>
      <c r="J1021" t="n">
        <v>0</v>
      </c>
      <c r="K1021">
        <f>IF(H1021-I1021-J1021&gt;0,H1021-I1021-J1021,0)</f>
        <v/>
      </c>
      <c r="L1021" s="1">
        <f>IFERROR(I1021*E1021,0)</f>
        <v/>
      </c>
      <c r="M1021" s="1">
        <f>IFERROR(K1021*E1021,0)</f>
        <v/>
      </c>
    </row>
    <row r="1022">
      <c r="A1022" t="inlineStr">
        <is>
          <t>KAF315</t>
        </is>
      </c>
      <c r="B1022" t="inlineStr">
        <is>
          <t>KAF 315</t>
        </is>
      </c>
      <c r="C1022" t="inlineStr"/>
      <c r="D1022" t="inlineStr">
        <is>
          <t>FM - KAYITES</t>
        </is>
      </c>
      <c r="E1022" s="1" t="n">
        <v>0</v>
      </c>
      <c r="F1022" t="n">
        <v>1</v>
      </c>
      <c r="G1022" t="n">
        <v>0</v>
      </c>
      <c r="H1022" t="n">
        <v>4</v>
      </c>
      <c r="I1022" t="n">
        <v>0</v>
      </c>
      <c r="J1022" t="n">
        <v>0</v>
      </c>
      <c r="K1022">
        <f>IF(H1022-I1022-J1022&gt;0,H1022-I1022-J1022,0)</f>
        <v/>
      </c>
      <c r="L1022" s="1">
        <f>IFERROR(I1022*E1022,0)</f>
        <v/>
      </c>
      <c r="M1022" s="1">
        <f>IFERROR(K1022*E1022,0)</f>
        <v/>
      </c>
    </row>
    <row r="1023">
      <c r="A1023" t="inlineStr">
        <is>
          <t>KAT 15/15 C2</t>
        </is>
      </c>
      <c r="B1023" t="inlineStr">
        <is>
          <t>TWIN BARE FAN 380/380 CW FCC</t>
        </is>
      </c>
      <c r="C1023" t="inlineStr">
        <is>
          <t>Air Movement Supplies</t>
        </is>
      </c>
      <c r="D1023" t="inlineStr"/>
      <c r="E1023" s="1" t="n">
        <v>10899</v>
      </c>
      <c r="F1023" t="n">
        <v>1</v>
      </c>
      <c r="G1023" t="n">
        <v>0</v>
      </c>
      <c r="H1023" t="n">
        <v>2</v>
      </c>
      <c r="I1023" t="n">
        <v>0</v>
      </c>
      <c r="J1023" t="n">
        <v>0</v>
      </c>
      <c r="K1023">
        <f>IF(H1023-I1023-J1023&gt;0,H1023-I1023-J1023,0)</f>
        <v/>
      </c>
      <c r="L1023" s="1">
        <f>IFERROR(I1023*E1023,0)</f>
        <v/>
      </c>
      <c r="M1023" s="1">
        <f>IFERROR(K1023*E1023,0)</f>
        <v/>
      </c>
    </row>
    <row r="1024">
      <c r="A1024" t="inlineStr">
        <is>
          <t>KAZ120</t>
        </is>
      </c>
      <c r="B1024" t="inlineStr">
        <is>
          <t>KAZ 120</t>
        </is>
      </c>
      <c r="C1024" t="inlineStr">
        <is>
          <t>Kayites</t>
        </is>
      </c>
      <c r="D1024" t="inlineStr">
        <is>
          <t>FM - KAYITES</t>
        </is>
      </c>
      <c r="E1024" s="1" t="n">
        <v>479.32</v>
      </c>
      <c r="F1024" t="n">
        <v>1</v>
      </c>
      <c r="G1024" t="n">
        <v>0</v>
      </c>
      <c r="H1024" t="n">
        <v>5</v>
      </c>
      <c r="I1024" t="n">
        <v>0</v>
      </c>
      <c r="J1024" t="n">
        <v>0</v>
      </c>
      <c r="K1024">
        <f>IF(H1024-I1024-J1024&gt;0,H1024-I1024-J1024,0)</f>
        <v/>
      </c>
      <c r="L1024" s="1">
        <f>IFERROR(I1024*E1024,0)</f>
        <v/>
      </c>
      <c r="M1024" s="1">
        <f>IFERROR(K1024*E1024,0)</f>
        <v/>
      </c>
    </row>
    <row r="1025">
      <c r="A1025" t="inlineStr">
        <is>
          <t>KAZ140</t>
        </is>
      </c>
      <c r="B1025" t="inlineStr">
        <is>
          <t>KAZ 140</t>
        </is>
      </c>
      <c r="C1025" t="inlineStr">
        <is>
          <t>Kayites</t>
        </is>
      </c>
      <c r="D1025" t="inlineStr">
        <is>
          <t>FM - KAYITES</t>
        </is>
      </c>
      <c r="E1025" s="1" t="n">
        <v>492.37</v>
      </c>
      <c r="F1025" t="n">
        <v>1</v>
      </c>
      <c r="G1025" t="n">
        <v>0</v>
      </c>
      <c r="H1025" t="n">
        <v>2</v>
      </c>
      <c r="I1025" t="n">
        <v>0</v>
      </c>
      <c r="J1025" t="n">
        <v>0</v>
      </c>
      <c r="K1025">
        <f>IF(H1025-I1025-J1025&gt;0,H1025-I1025-J1025,0)</f>
        <v/>
      </c>
      <c r="L1025" s="1">
        <f>IFERROR(I1025*E1025,0)</f>
        <v/>
      </c>
      <c r="M1025" s="1">
        <f>IFERROR(K1025*E1025,0)</f>
        <v/>
      </c>
    </row>
    <row r="1026">
      <c r="A1026" t="inlineStr">
        <is>
          <t>KAZ160</t>
        </is>
      </c>
      <c r="B1026" t="inlineStr">
        <is>
          <t>KAZ 160</t>
        </is>
      </c>
      <c r="C1026" t="inlineStr">
        <is>
          <t>Kayites</t>
        </is>
      </c>
      <c r="D1026" t="inlineStr">
        <is>
          <t>FM - KAYITES</t>
        </is>
      </c>
      <c r="E1026" s="1" t="n">
        <v>555.49</v>
      </c>
      <c r="F1026" t="n">
        <v>1</v>
      </c>
      <c r="G1026" t="n">
        <v>0</v>
      </c>
      <c r="H1026" t="n">
        <v>6</v>
      </c>
      <c r="I1026" t="n">
        <v>0</v>
      </c>
      <c r="J1026" t="n">
        <v>0</v>
      </c>
      <c r="K1026">
        <f>IF(H1026-I1026-J1026&gt;0,H1026-I1026-J1026,0)</f>
        <v/>
      </c>
      <c r="L1026" s="1">
        <f>IFERROR(I1026*E1026,0)</f>
        <v/>
      </c>
      <c r="M1026" s="1">
        <f>IFERROR(K1026*E1026,0)</f>
        <v/>
      </c>
    </row>
    <row r="1027">
      <c r="A1027" t="inlineStr">
        <is>
          <t>KDAXIS200</t>
        </is>
      </c>
      <c r="B1027" t="inlineStr">
        <is>
          <t>KDAXIS 200</t>
        </is>
      </c>
      <c r="C1027" t="inlineStr">
        <is>
          <t>Kayites</t>
        </is>
      </c>
      <c r="D1027" t="inlineStr">
        <is>
          <t>FM - KAYITES</t>
        </is>
      </c>
      <c r="E1027" s="1" t="n">
        <v>432.77</v>
      </c>
      <c r="F1027" t="n">
        <v>1</v>
      </c>
      <c r="G1027" t="n">
        <v>0</v>
      </c>
      <c r="H1027" t="n">
        <v>5</v>
      </c>
      <c r="I1027" t="n">
        <v>0</v>
      </c>
      <c r="J1027" t="n">
        <v>0</v>
      </c>
      <c r="K1027">
        <f>IF(H1027-I1027-J1027&gt;0,H1027-I1027-J1027,0)</f>
        <v/>
      </c>
      <c r="L1027" s="1">
        <f>IFERROR(I1027*E1027,0)</f>
        <v/>
      </c>
      <c r="M1027" s="1">
        <f>IFERROR(K1027*E1027,0)</f>
        <v/>
      </c>
    </row>
    <row r="1028">
      <c r="A1028" t="inlineStr">
        <is>
          <t>KDAXIS250</t>
        </is>
      </c>
      <c r="B1028" t="inlineStr">
        <is>
          <t>KDAXIS 250</t>
        </is>
      </c>
      <c r="C1028" t="inlineStr">
        <is>
          <t>Kayites</t>
        </is>
      </c>
      <c r="D1028" t="inlineStr">
        <is>
          <t>FM - KAYITES</t>
        </is>
      </c>
      <c r="E1028" s="1" t="n">
        <v>538.3</v>
      </c>
      <c r="F1028" t="n">
        <v>1</v>
      </c>
      <c r="G1028" t="n">
        <v>0</v>
      </c>
      <c r="H1028" t="n">
        <v>6</v>
      </c>
      <c r="I1028" t="n">
        <v>0</v>
      </c>
      <c r="J1028" t="n">
        <v>0</v>
      </c>
      <c r="K1028">
        <f>IF(H1028-I1028-J1028&gt;0,H1028-I1028-J1028,0)</f>
        <v/>
      </c>
      <c r="L1028" s="1">
        <f>IFERROR(I1028*E1028,0)</f>
        <v/>
      </c>
      <c r="M1028" s="1">
        <f>IFERROR(K1028*E1028,0)</f>
        <v/>
      </c>
    </row>
    <row r="1029">
      <c r="A1029" t="inlineStr">
        <is>
          <t>KDAXIS300</t>
        </is>
      </c>
      <c r="B1029" t="inlineStr">
        <is>
          <t>KDAXIS 300</t>
        </is>
      </c>
      <c r="C1029" t="inlineStr">
        <is>
          <t>Kayites</t>
        </is>
      </c>
      <c r="D1029" t="inlineStr">
        <is>
          <t>FM - KAYITES</t>
        </is>
      </c>
      <c r="E1029" s="1" t="n">
        <v>605.5</v>
      </c>
      <c r="F1029" t="n">
        <v>1</v>
      </c>
      <c r="G1029" t="n">
        <v>0</v>
      </c>
      <c r="H1029" t="n">
        <v>6</v>
      </c>
      <c r="I1029" t="n">
        <v>0</v>
      </c>
      <c r="J1029" t="n">
        <v>0</v>
      </c>
      <c r="K1029">
        <f>IF(H1029-I1029-J1029&gt;0,H1029-I1029-J1029,0)</f>
        <v/>
      </c>
      <c r="L1029" s="1">
        <f>IFERROR(I1029*E1029,0)</f>
        <v/>
      </c>
      <c r="M1029" s="1">
        <f>IFERROR(K1029*E1029,0)</f>
        <v/>
      </c>
    </row>
    <row r="1030">
      <c r="A1030" t="inlineStr">
        <is>
          <t>KDAXIS350</t>
        </is>
      </c>
      <c r="B1030" t="inlineStr">
        <is>
          <t>KDAXIS 350</t>
        </is>
      </c>
      <c r="C1030" t="inlineStr">
        <is>
          <t>Kayites</t>
        </is>
      </c>
      <c r="D1030" t="inlineStr">
        <is>
          <t>FM - KAYITES</t>
        </is>
      </c>
      <c r="E1030" s="1" t="n">
        <v>672.8200000000001</v>
      </c>
      <c r="F1030" t="n">
        <v>1</v>
      </c>
      <c r="G1030" t="n">
        <v>0</v>
      </c>
      <c r="H1030" t="n">
        <v>5</v>
      </c>
      <c r="I1030" t="n">
        <v>0</v>
      </c>
      <c r="J1030" t="n">
        <v>0</v>
      </c>
      <c r="K1030">
        <f>IF(H1030-I1030-J1030&gt;0,H1030-I1030-J1030,0)</f>
        <v/>
      </c>
      <c r="L1030" s="1">
        <f>IFERROR(I1030*E1030,0)</f>
        <v/>
      </c>
      <c r="M1030" s="1">
        <f>IFERROR(K1030*E1030,0)</f>
        <v/>
      </c>
    </row>
    <row r="1031">
      <c r="A1031" t="inlineStr">
        <is>
          <t>KDD 12/12-6-1</t>
        </is>
      </c>
      <c r="B1031" t="inlineStr">
        <is>
          <t>FAN KDD 12/12 517W 6P-1 3SY</t>
        </is>
      </c>
      <c r="C1031" t="inlineStr">
        <is>
          <t>Air Movement Supplies</t>
        </is>
      </c>
      <c r="D1031" t="inlineStr"/>
      <c r="E1031" s="1" t="n">
        <v>6088</v>
      </c>
      <c r="F1031" t="n">
        <v>5</v>
      </c>
      <c r="G1031" t="n">
        <v>0</v>
      </c>
      <c r="H1031" t="n">
        <v>25</v>
      </c>
      <c r="I1031" t="n">
        <v>0</v>
      </c>
      <c r="J1031" t="n">
        <v>0</v>
      </c>
      <c r="K1031">
        <f>IF(H1031-I1031-J1031&gt;0,H1031-I1031-J1031,0)</f>
        <v/>
      </c>
      <c r="L1031" s="1">
        <f>IFERROR(I1031*E1031,0)</f>
        <v/>
      </c>
      <c r="M1031" s="1">
        <f>IFERROR(K1031*E1031,0)</f>
        <v/>
      </c>
    </row>
    <row r="1032">
      <c r="A1032" t="inlineStr">
        <is>
          <t>KHA50</t>
        </is>
      </c>
      <c r="B1032" t="inlineStr">
        <is>
          <t>Speed Controller</t>
        </is>
      </c>
      <c r="C1032" t="inlineStr"/>
      <c r="D1032" t="inlineStr"/>
      <c r="E1032" s="1" t="n">
        <v>0</v>
      </c>
      <c r="F1032" t="n">
        <v>2</v>
      </c>
      <c r="G1032" t="n">
        <v>0</v>
      </c>
      <c r="H1032" t="n">
        <v>10</v>
      </c>
      <c r="I1032" t="n">
        <v>0</v>
      </c>
      <c r="J1032" t="n">
        <v>0</v>
      </c>
      <c r="K1032">
        <f>IF(H1032-I1032-J1032&gt;0,H1032-I1032-J1032,0)</f>
        <v/>
      </c>
      <c r="L1032" s="1">
        <f>IFERROR(I1032*E1032,0)</f>
        <v/>
      </c>
      <c r="M1032" s="1">
        <f>IFERROR(K1032*E1032,0)</f>
        <v/>
      </c>
    </row>
    <row r="1033">
      <c r="A1033" t="inlineStr">
        <is>
          <t>KSA4004M</t>
        </is>
      </c>
      <c r="B1033" t="inlineStr">
        <is>
          <t>KSA-400-4K-M-220V</t>
        </is>
      </c>
      <c r="C1033" t="inlineStr">
        <is>
          <t>Kayites</t>
        </is>
      </c>
      <c r="D1033" t="inlineStr">
        <is>
          <t>FM - KAYITES</t>
        </is>
      </c>
      <c r="E1033" s="1" t="n">
        <v>1520.58</v>
      </c>
      <c r="F1033" t="n">
        <v>1</v>
      </c>
      <c r="G1033" t="n">
        <v>0</v>
      </c>
      <c r="H1033" t="n">
        <v>3</v>
      </c>
      <c r="I1033" t="n">
        <v>0</v>
      </c>
      <c r="J1033" t="n">
        <v>0</v>
      </c>
      <c r="K1033">
        <f>IF(H1033-I1033-J1033&gt;0,H1033-I1033-J1033,0)</f>
        <v/>
      </c>
      <c r="L1033" s="1">
        <f>IFERROR(I1033*E1033,0)</f>
        <v/>
      </c>
      <c r="M1033" s="1">
        <f>IFERROR(K1033*E1033,0)</f>
        <v/>
      </c>
    </row>
    <row r="1034">
      <c r="A1034" t="inlineStr">
        <is>
          <t>KSA4004T</t>
        </is>
      </c>
      <c r="B1034" t="inlineStr">
        <is>
          <t>KSA-400-4K-T-380V</t>
        </is>
      </c>
      <c r="C1034" t="inlineStr">
        <is>
          <t>Kayites</t>
        </is>
      </c>
      <c r="D1034" t="inlineStr">
        <is>
          <t>FM - KAYITES</t>
        </is>
      </c>
      <c r="E1034" s="1" t="n">
        <v>1520.58</v>
      </c>
      <c r="F1034" t="n">
        <v>1</v>
      </c>
      <c r="G1034" t="n">
        <v>0</v>
      </c>
      <c r="H1034" t="n">
        <v>3</v>
      </c>
      <c r="I1034" t="n">
        <v>0</v>
      </c>
      <c r="J1034" t="n">
        <v>0</v>
      </c>
      <c r="K1034">
        <f>IF(H1034-I1034-J1034&gt;0,H1034-I1034-J1034,0)</f>
        <v/>
      </c>
      <c r="L1034" s="1">
        <f>IFERROR(I1034*E1034,0)</f>
        <v/>
      </c>
      <c r="M1034" s="1">
        <f>IFERROR(K1034*E1034,0)</f>
        <v/>
      </c>
    </row>
    <row r="1035">
      <c r="A1035" t="inlineStr">
        <is>
          <t>KSA4504T</t>
        </is>
      </c>
      <c r="B1035" t="inlineStr">
        <is>
          <t>KSA-450-4K-T-380V</t>
        </is>
      </c>
      <c r="C1035" t="inlineStr"/>
      <c r="D1035" t="inlineStr">
        <is>
          <t>FM - KAYITES</t>
        </is>
      </c>
      <c r="E1035" s="1" t="n">
        <v>0</v>
      </c>
      <c r="F1035" t="n">
        <v>1</v>
      </c>
      <c r="G1035" t="n">
        <v>0</v>
      </c>
      <c r="H1035" t="n">
        <v>2</v>
      </c>
      <c r="I1035" t="n">
        <v>0</v>
      </c>
      <c r="J1035" t="n">
        <v>0</v>
      </c>
      <c r="K1035">
        <f>IF(H1035-I1035-J1035&gt;0,H1035-I1035-J1035,0)</f>
        <v/>
      </c>
      <c r="L1035" s="1">
        <f>IFERROR(I1035*E1035,0)</f>
        <v/>
      </c>
      <c r="M1035" s="1">
        <f>IFERROR(K1035*E1035,0)</f>
        <v/>
      </c>
    </row>
    <row r="1036">
      <c r="A1036" t="inlineStr">
        <is>
          <t>KSA5004M</t>
        </is>
      </c>
      <c r="B1036" t="inlineStr">
        <is>
          <t>KSA-500-4K-M-220V</t>
        </is>
      </c>
      <c r="C1036" t="inlineStr">
        <is>
          <t>Kayites</t>
        </is>
      </c>
      <c r="D1036" t="inlineStr">
        <is>
          <t>FM - KAYITES</t>
        </is>
      </c>
      <c r="E1036" s="1" t="n">
        <v>1547.46</v>
      </c>
      <c r="F1036" t="n">
        <v>1</v>
      </c>
      <c r="G1036" t="n">
        <v>0</v>
      </c>
      <c r="H1036" t="n">
        <v>3</v>
      </c>
      <c r="I1036" t="n">
        <v>0</v>
      </c>
      <c r="J1036" t="n">
        <v>0</v>
      </c>
      <c r="K1036">
        <f>IF(H1036-I1036-J1036&gt;0,H1036-I1036-J1036,0)</f>
        <v/>
      </c>
      <c r="L1036" s="1">
        <f>IFERROR(I1036*E1036,0)</f>
        <v/>
      </c>
      <c r="M1036" s="1">
        <f>IFERROR(K1036*E1036,0)</f>
        <v/>
      </c>
    </row>
    <row r="1037">
      <c r="A1037" t="inlineStr">
        <is>
          <t>KSA5004T</t>
        </is>
      </c>
      <c r="B1037" t="inlineStr">
        <is>
          <t>KSA-500-4K-T-380V</t>
        </is>
      </c>
      <c r="C1037" t="inlineStr">
        <is>
          <t>Kayites</t>
        </is>
      </c>
      <c r="D1037" t="inlineStr">
        <is>
          <t>FM - KAYITES</t>
        </is>
      </c>
      <c r="E1037" s="1" t="n">
        <v>928.48</v>
      </c>
      <c r="F1037" t="n">
        <v>1</v>
      </c>
      <c r="G1037" t="n">
        <v>0</v>
      </c>
      <c r="H1037" t="n">
        <v>3</v>
      </c>
      <c r="I1037" t="n">
        <v>0</v>
      </c>
      <c r="J1037" t="n">
        <v>0</v>
      </c>
      <c r="K1037">
        <f>IF(H1037-I1037-J1037&gt;0,H1037-I1037-J1037,0)</f>
        <v/>
      </c>
      <c r="L1037" s="1">
        <f>IFERROR(I1037*E1037,0)</f>
        <v/>
      </c>
      <c r="M1037" s="1">
        <f>IFERROR(K1037*E1037,0)</f>
        <v/>
      </c>
    </row>
    <row r="1038">
      <c r="A1038" t="inlineStr">
        <is>
          <t>KSA6004T</t>
        </is>
      </c>
      <c r="B1038" t="inlineStr">
        <is>
          <t>KSA-600-4K-T-380V</t>
        </is>
      </c>
      <c r="C1038" t="inlineStr">
        <is>
          <t>Kayites</t>
        </is>
      </c>
      <c r="D1038" t="inlineStr">
        <is>
          <t>FM - KAYITES</t>
        </is>
      </c>
      <c r="E1038" s="1" t="n">
        <v>0</v>
      </c>
      <c r="F1038" t="n">
        <v>1</v>
      </c>
      <c r="G1038" t="n">
        <v>0</v>
      </c>
      <c r="H1038" t="n">
        <v>2</v>
      </c>
      <c r="I1038" t="n">
        <v>0</v>
      </c>
      <c r="J1038" t="n">
        <v>0</v>
      </c>
      <c r="K1038">
        <f>IF(H1038-I1038-J1038&gt;0,H1038-I1038-J1038,0)</f>
        <v/>
      </c>
      <c r="L1038" s="1">
        <f>IFERROR(I1038*E1038,0)</f>
        <v/>
      </c>
      <c r="M1038" s="1">
        <f>IFERROR(K1038*E1038,0)</f>
        <v/>
      </c>
    </row>
    <row r="1039">
      <c r="A1039" t="inlineStr">
        <is>
          <t>KSB 150</t>
        </is>
      </c>
      <c r="B1039" t="inlineStr">
        <is>
          <t>INLINE SILENT FAN</t>
        </is>
      </c>
      <c r="C1039" t="inlineStr"/>
      <c r="D1039" t="inlineStr"/>
      <c r="E1039" s="1" t="n">
        <v>0</v>
      </c>
      <c r="F1039" t="n">
        <v>3</v>
      </c>
      <c r="G1039" t="n">
        <v>0</v>
      </c>
      <c r="H1039" t="n">
        <v>15</v>
      </c>
      <c r="I1039" t="n">
        <v>0</v>
      </c>
      <c r="J1039" t="n">
        <v>0</v>
      </c>
      <c r="K1039">
        <f>IF(H1039-I1039-J1039&gt;0,H1039-I1039-J1039,0)</f>
        <v/>
      </c>
      <c r="L1039" s="1">
        <f>IFERROR(I1039*E1039,0)</f>
        <v/>
      </c>
      <c r="M1039" s="1">
        <f>IFERROR(K1039*E1039,0)</f>
        <v/>
      </c>
    </row>
    <row r="1040">
      <c r="A1040" t="inlineStr">
        <is>
          <t>KSB250</t>
        </is>
      </c>
      <c r="B1040" t="inlineStr">
        <is>
          <t>KSB250</t>
        </is>
      </c>
      <c r="C1040" t="inlineStr"/>
      <c r="D1040" t="inlineStr">
        <is>
          <t>Vents</t>
        </is>
      </c>
      <c r="E1040" s="1" t="n">
        <v>1922.9</v>
      </c>
      <c r="F1040" t="n">
        <v>1</v>
      </c>
      <c r="G1040" t="n">
        <v>0</v>
      </c>
      <c r="H1040" t="n">
        <v>2</v>
      </c>
      <c r="I1040" t="n">
        <v>0</v>
      </c>
      <c r="J1040" t="n">
        <v>0</v>
      </c>
      <c r="K1040">
        <f>IF(H1040-I1040-J1040&gt;0,H1040-I1040-J1040,0)</f>
        <v/>
      </c>
      <c r="L1040" s="1">
        <f>IFERROR(I1040*E1040,0)</f>
        <v/>
      </c>
      <c r="M1040" s="1">
        <f>IFERROR(K1040*E1040,0)</f>
        <v/>
      </c>
    </row>
    <row r="1041">
      <c r="A1041" t="inlineStr">
        <is>
          <t>KUL</t>
        </is>
      </c>
      <c r="B1041" t="inlineStr">
        <is>
          <t>1/200 X 200 back draft damper</t>
        </is>
      </c>
      <c r="C1041" t="inlineStr">
        <is>
          <t>TROX South Africa (Pty) Ltd</t>
        </is>
      </c>
      <c r="D1041" t="inlineStr"/>
      <c r="E1041" s="1" t="n">
        <v>900</v>
      </c>
      <c r="F1041" t="n">
        <v>15</v>
      </c>
      <c r="G1041" t="n">
        <v>0</v>
      </c>
      <c r="H1041" t="n">
        <v>75</v>
      </c>
      <c r="I1041" t="n">
        <v>0</v>
      </c>
      <c r="J1041" t="n">
        <v>0</v>
      </c>
      <c r="K1041">
        <f>IF(H1041-I1041-J1041&gt;0,H1041-I1041-J1041,0)</f>
        <v/>
      </c>
      <c r="L1041" s="1">
        <f>IFERROR(I1041*E1041,0)</f>
        <v/>
      </c>
      <c r="M1041" s="1">
        <f>IFERROR(K1041*E1041,0)</f>
        <v/>
      </c>
    </row>
    <row r="1042">
      <c r="A1042" t="inlineStr">
        <is>
          <t>Keep-plate5mmOD</t>
        </is>
      </c>
      <c r="B1042" t="inlineStr">
        <is>
          <t>Keep Plate 5mm OD. 42mm, ID. 6mm</t>
        </is>
      </c>
      <c r="C1042" t="inlineStr">
        <is>
          <t>Attenu-Tec HVAC Parts</t>
        </is>
      </c>
      <c r="D1042" t="inlineStr"/>
      <c r="E1042" s="1" t="n">
        <v>4.73</v>
      </c>
      <c r="F1042" t="n">
        <v>126</v>
      </c>
      <c r="G1042" t="n">
        <v>0</v>
      </c>
      <c r="H1042" t="n">
        <v>630</v>
      </c>
      <c r="I1042" t="n">
        <v>0</v>
      </c>
      <c r="J1042" t="n">
        <v>0</v>
      </c>
      <c r="K1042">
        <f>IF(H1042-I1042-J1042&gt;0,H1042-I1042-J1042,0)</f>
        <v/>
      </c>
      <c r="L1042" s="1">
        <f>IFERROR(I1042*E1042,0)</f>
        <v/>
      </c>
      <c r="M1042" s="1">
        <f>IFERROR(K1042*E1042,0)</f>
        <v/>
      </c>
    </row>
    <row r="1043">
      <c r="A1043" t="inlineStr">
        <is>
          <t>Kilometer</t>
        </is>
      </c>
      <c r="B1043" t="inlineStr">
        <is>
          <t>Travelled Kilometers</t>
        </is>
      </c>
      <c r="C1043" t="inlineStr">
        <is>
          <t>Lime Laser service</t>
        </is>
      </c>
      <c r="D1043" t="inlineStr">
        <is>
          <t>FM - MACHINERY</t>
        </is>
      </c>
      <c r="E1043" s="1" t="n">
        <v>7</v>
      </c>
      <c r="F1043" t="n">
        <v>100</v>
      </c>
      <c r="G1043" t="n">
        <v>0</v>
      </c>
      <c r="H1043" t="n">
        <v>500</v>
      </c>
      <c r="I1043" t="n">
        <v>0</v>
      </c>
      <c r="J1043" t="n">
        <v>0</v>
      </c>
      <c r="K1043">
        <f>IF(H1043-I1043-J1043&gt;0,H1043-I1043-J1043,0)</f>
        <v/>
      </c>
      <c r="L1043" s="1">
        <f>IFERROR(I1043*E1043,0)</f>
        <v/>
      </c>
      <c r="M1043" s="1">
        <f>IFERROR(K1043*E1043,0)</f>
        <v/>
      </c>
    </row>
    <row r="1044">
      <c r="A1044" t="inlineStr">
        <is>
          <t>L10101250</t>
        </is>
      </c>
      <c r="B1044" t="inlineStr">
        <is>
          <t>CA 250 VO In-Line Tube Fan Plastic Casing</t>
        </is>
      </c>
      <c r="C1044" t="inlineStr"/>
      <c r="D1044" t="inlineStr">
        <is>
          <t>FM - VORTICE</t>
        </is>
      </c>
      <c r="E1044" s="1" t="n">
        <v>0</v>
      </c>
      <c r="F1044" t="n">
        <v>1</v>
      </c>
      <c r="G1044" t="n">
        <v>0</v>
      </c>
      <c r="H1044" t="n">
        <v>2</v>
      </c>
      <c r="I1044" t="n">
        <v>0</v>
      </c>
      <c r="J1044" t="n">
        <v>0</v>
      </c>
      <c r="K1044">
        <f>IF(H1044-I1044-J1044&gt;0,H1044-I1044-J1044,0)</f>
        <v/>
      </c>
      <c r="L1044" s="1">
        <f>IFERROR(I1044*E1044,0)</f>
        <v/>
      </c>
      <c r="M1044" s="1">
        <f>IFERROR(K1044*E1044,0)</f>
        <v/>
      </c>
    </row>
    <row r="1045">
      <c r="A1045" t="inlineStr">
        <is>
          <t>L10101317</t>
        </is>
      </c>
      <c r="B1045" t="inlineStr">
        <is>
          <t>CA 355</t>
        </is>
      </c>
      <c r="C1045" t="inlineStr"/>
      <c r="D1045" t="inlineStr">
        <is>
          <t>FM - VORTICE</t>
        </is>
      </c>
      <c r="E1045" s="1" t="n">
        <v>0</v>
      </c>
      <c r="F1045" t="n">
        <v>1</v>
      </c>
      <c r="G1045" t="n">
        <v>0</v>
      </c>
      <c r="H1045" t="n">
        <v>2</v>
      </c>
      <c r="I1045" t="n">
        <v>0</v>
      </c>
      <c r="J1045" t="n">
        <v>0</v>
      </c>
      <c r="K1045">
        <f>IF(H1045-I1045-J1045&gt;0,H1045-I1045-J1045,0)</f>
        <v/>
      </c>
      <c r="L1045" s="1">
        <f>IFERROR(I1045*E1045,0)</f>
        <v/>
      </c>
      <c r="M1045" s="1">
        <f>IFERROR(K1045*E1045,0)</f>
        <v/>
      </c>
    </row>
    <row r="1046">
      <c r="A1046" t="inlineStr">
        <is>
          <t>L20300630</t>
        </is>
      </c>
      <c r="B1046" t="inlineStr">
        <is>
          <t>24 - 630mm Louvre Shutter Size 756 X 756</t>
        </is>
      </c>
      <c r="C1046" t="inlineStr"/>
      <c r="D1046" t="inlineStr"/>
      <c r="E1046" s="1" t="n">
        <v>0</v>
      </c>
      <c r="F1046" t="n">
        <v>1</v>
      </c>
      <c r="G1046" t="n">
        <v>0</v>
      </c>
      <c r="H1046" t="n">
        <v>2</v>
      </c>
      <c r="I1046" t="n">
        <v>0</v>
      </c>
      <c r="J1046" t="n">
        <v>0</v>
      </c>
      <c r="K1046">
        <f>IF(H1046-I1046-J1046&gt;0,H1046-I1046-J1046,0)</f>
        <v/>
      </c>
      <c r="L1046" s="1">
        <f>IFERROR(I1046*E1046,0)</f>
        <v/>
      </c>
      <c r="M1046" s="1">
        <f>IFERROR(K1046*E1046,0)</f>
        <v/>
      </c>
    </row>
    <row r="1047">
      <c r="A1047" t="inlineStr">
        <is>
          <t>LASER CUTTING-255</t>
        </is>
      </c>
      <c r="B1047" t="inlineStr">
        <is>
          <t>255 x 298 x 5mm</t>
        </is>
      </c>
      <c r="C1047" t="inlineStr">
        <is>
          <t>ULTIMATENG (PTY) LTD</t>
        </is>
      </c>
      <c r="D1047" t="inlineStr"/>
      <c r="E1047" s="1" t="n">
        <v>81.98999999999999</v>
      </c>
      <c r="F1047" t="n">
        <v>1</v>
      </c>
      <c r="G1047" t="n">
        <v>0</v>
      </c>
      <c r="H1047" t="n">
        <v>5</v>
      </c>
      <c r="I1047" t="n">
        <v>0</v>
      </c>
      <c r="J1047" t="n">
        <v>0</v>
      </c>
      <c r="K1047">
        <f>IF(H1047-I1047-J1047&gt;0,H1047-I1047-J1047,0)</f>
        <v/>
      </c>
      <c r="L1047" s="1">
        <f>IFERROR(I1047*E1047,0)</f>
        <v/>
      </c>
      <c r="M1047" s="1">
        <f>IFERROR(K1047*E1047,0)</f>
        <v/>
      </c>
    </row>
    <row r="1048">
      <c r="A1048" t="inlineStr">
        <is>
          <t>LASER CUTTING-775</t>
        </is>
      </c>
      <c r="B1048" t="inlineStr">
        <is>
          <t>775 x 225 x 5mm</t>
        </is>
      </c>
      <c r="C1048" t="inlineStr">
        <is>
          <t>ULTIMATENG (PTY) LTD</t>
        </is>
      </c>
      <c r="D1048" t="inlineStr">
        <is>
          <t>FM - FABRICATION</t>
        </is>
      </c>
      <c r="E1048" s="1" t="n">
        <v>217.32</v>
      </c>
      <c r="F1048" t="n">
        <v>1</v>
      </c>
      <c r="G1048" t="n">
        <v>0</v>
      </c>
      <c r="H1048" t="n">
        <v>5</v>
      </c>
      <c r="I1048" t="n">
        <v>0</v>
      </c>
      <c r="J1048" t="n">
        <v>0</v>
      </c>
      <c r="K1048">
        <f>IF(H1048-I1048-J1048&gt;0,H1048-I1048-J1048,0)</f>
        <v/>
      </c>
      <c r="L1048" s="1">
        <f>IFERROR(I1048*E1048,0)</f>
        <v/>
      </c>
      <c r="M1048" s="1">
        <f>IFERROR(K1048*E1048,0)</f>
        <v/>
      </c>
    </row>
    <row r="1049">
      <c r="A1049" t="inlineStr">
        <is>
          <t>LCE 250</t>
        </is>
      </c>
      <c r="B1049" t="inlineStr">
        <is>
          <t>Extractor Ceiling Fan 250mm 220v</t>
        </is>
      </c>
      <c r="C1049" t="inlineStr">
        <is>
          <t>Luft Industries Natal (Pty) Ltd</t>
        </is>
      </c>
      <c r="D1049" t="inlineStr"/>
      <c r="E1049" s="1" t="n">
        <v>344</v>
      </c>
      <c r="F1049" t="n">
        <v>3</v>
      </c>
      <c r="G1049" t="n">
        <v>0</v>
      </c>
      <c r="H1049" t="n">
        <v>11</v>
      </c>
      <c r="I1049" t="n">
        <v>0</v>
      </c>
      <c r="J1049" t="n">
        <v>0</v>
      </c>
      <c r="K1049">
        <f>IF(H1049-I1049-J1049&gt;0,H1049-I1049-J1049,0)</f>
        <v/>
      </c>
      <c r="L1049" s="1">
        <f>IFERROR(I1049*E1049,0)</f>
        <v/>
      </c>
      <c r="M1049" s="1">
        <f>IFERROR(K1049*E1049,0)</f>
        <v/>
      </c>
    </row>
    <row r="1050">
      <c r="A1050" t="inlineStr">
        <is>
          <t>LDA9B710</t>
        </is>
      </c>
      <c r="B1050" t="inlineStr">
        <is>
          <t>LDA9B - Allumium bladed Impeller - Form B to suit 1.1kw 4Pole motor</t>
        </is>
      </c>
      <c r="C1050" t="inlineStr">
        <is>
          <t>CFW Fans (Pty) Ltd</t>
        </is>
      </c>
      <c r="D1050" t="inlineStr">
        <is>
          <t>FM - CFW FANS</t>
        </is>
      </c>
      <c r="E1050" s="1" t="n">
        <v>1737</v>
      </c>
      <c r="F1050" t="n">
        <v>2</v>
      </c>
      <c r="G1050" t="n">
        <v>0</v>
      </c>
      <c r="H1050" t="n">
        <v>10</v>
      </c>
      <c r="I1050" t="n">
        <v>0</v>
      </c>
      <c r="J1050" t="n">
        <v>0</v>
      </c>
      <c r="K1050">
        <f>IF(H1050-I1050-J1050&gt;0,H1050-I1050-J1050,0)</f>
        <v/>
      </c>
      <c r="L1050" s="1">
        <f>IFERROR(I1050*E1050,0)</f>
        <v/>
      </c>
      <c r="M1050" s="1">
        <f>IFERROR(K1050*E1050,0)</f>
        <v/>
      </c>
    </row>
    <row r="1051">
      <c r="A1051" t="inlineStr">
        <is>
          <t>LDP 560/250/12/1440/</t>
        </is>
      </c>
      <c r="B1051" t="inlineStr">
        <is>
          <t>Form B - Blade Angle 15 Deg</t>
        </is>
      </c>
      <c r="C1051" t="inlineStr">
        <is>
          <t>CFW Fans (Pty) Ltd</t>
        </is>
      </c>
      <c r="D1051" t="inlineStr"/>
      <c r="E1051" s="1" t="n">
        <v>1729</v>
      </c>
      <c r="F1051" t="n">
        <v>2</v>
      </c>
      <c r="G1051" t="n">
        <v>0</v>
      </c>
      <c r="H1051" t="n">
        <v>8</v>
      </c>
      <c r="I1051" t="n">
        <v>0</v>
      </c>
      <c r="J1051" t="n">
        <v>0</v>
      </c>
      <c r="K1051">
        <f>IF(H1051-I1051-J1051&gt;0,H1051-I1051-J1051,0)</f>
        <v/>
      </c>
      <c r="L1051" s="1">
        <f>IFERROR(I1051*E1051,0)</f>
        <v/>
      </c>
      <c r="M1051" s="1">
        <f>IFERROR(K1051*E1051,0)</f>
        <v/>
      </c>
    </row>
    <row r="1052">
      <c r="A1052" t="inlineStr">
        <is>
          <t>LEGESSS-COT135-100-03-M</t>
        </is>
      </c>
      <c r="B1052" t="inlineStr">
        <is>
          <t>LEGENDARY SHORT SLEEVE SHIRT BLUE M</t>
        </is>
      </c>
      <c r="C1052" t="inlineStr">
        <is>
          <t>Workwear Depot (Pty)Ltd</t>
        </is>
      </c>
      <c r="D1052" t="inlineStr"/>
      <c r="E1052" s="1" t="n">
        <v>520.87</v>
      </c>
      <c r="F1052" t="n">
        <v>1</v>
      </c>
      <c r="G1052" t="n">
        <v>0</v>
      </c>
      <c r="H1052" t="n">
        <v>2</v>
      </c>
      <c r="I1052" t="n">
        <v>0</v>
      </c>
      <c r="J1052" t="n">
        <v>0</v>
      </c>
      <c r="K1052">
        <f>IF(H1052-I1052-J1052&gt;0,H1052-I1052-J1052,0)</f>
        <v/>
      </c>
      <c r="L1052" s="1">
        <f>IFERROR(I1052*E1052,0)</f>
        <v/>
      </c>
      <c r="M1052" s="1">
        <f>IFERROR(K1052*E1052,0)</f>
        <v/>
      </c>
    </row>
    <row r="1053">
      <c r="A1053" t="inlineStr">
        <is>
          <t>LEGESSS-COT135-101-03-M</t>
        </is>
      </c>
      <c r="B1053" t="inlineStr">
        <is>
          <t>LEGENDARY SHORT SLEEVE SHIRT NAVY M</t>
        </is>
      </c>
      <c r="C1053" t="inlineStr">
        <is>
          <t>Workwear Depot (Pty)Ltd</t>
        </is>
      </c>
      <c r="D1053" t="inlineStr"/>
      <c r="E1053" s="1" t="n">
        <v>520.87</v>
      </c>
      <c r="F1053" t="n">
        <v>2</v>
      </c>
      <c r="G1053" t="n">
        <v>0</v>
      </c>
      <c r="H1053" t="n">
        <v>8</v>
      </c>
      <c r="I1053" t="n">
        <v>0</v>
      </c>
      <c r="J1053" t="n">
        <v>0</v>
      </c>
      <c r="K1053">
        <f>IF(H1053-I1053-J1053&gt;0,H1053-I1053-J1053,0)</f>
        <v/>
      </c>
      <c r="L1053" s="1">
        <f>IFERROR(I1053*E1053,0)</f>
        <v/>
      </c>
      <c r="M1053" s="1">
        <f>IFERROR(K1053*E1053,0)</f>
        <v/>
      </c>
    </row>
    <row r="1054">
      <c r="A1054" t="inlineStr">
        <is>
          <t>LEGESSS-COT135-914-04-L</t>
        </is>
      </c>
      <c r="B1054" t="inlineStr">
        <is>
          <t>LEGENDARY SHORT SLEEVE SHIRT FATIGUE L</t>
        </is>
      </c>
      <c r="C1054" t="inlineStr">
        <is>
          <t>Workwear Depot (Pty)Ltd</t>
        </is>
      </c>
      <c r="D1054" t="inlineStr"/>
      <c r="E1054" s="1" t="n">
        <v>520.87</v>
      </c>
      <c r="F1054" t="n">
        <v>1</v>
      </c>
      <c r="G1054" t="n">
        <v>0</v>
      </c>
      <c r="H1054" t="n">
        <v>2</v>
      </c>
      <c r="I1054" t="n">
        <v>0</v>
      </c>
      <c r="J1054" t="n">
        <v>0</v>
      </c>
      <c r="K1054">
        <f>IF(H1054-I1054-J1054&gt;0,H1054-I1054-J1054,0)</f>
        <v/>
      </c>
      <c r="L1054" s="1">
        <f>IFERROR(I1054*E1054,0)</f>
        <v/>
      </c>
      <c r="M1054" s="1">
        <f>IFERROR(K1054*E1054,0)</f>
        <v/>
      </c>
    </row>
    <row r="1055">
      <c r="A1055" t="inlineStr">
        <is>
          <t>LEGESSS-MCNAST-M45-03-M</t>
        </is>
      </c>
      <c r="B1055" t="inlineStr">
        <is>
          <t>LEGENDARY TWO-TONE SHORT SLEEVE SHIRT - NAVY/STONE M</t>
        </is>
      </c>
      <c r="C1055" t="inlineStr">
        <is>
          <t>Workwear Depot (Pty)Ltd</t>
        </is>
      </c>
      <c r="D1055" t="inlineStr"/>
      <c r="E1055" s="1" t="n">
        <v>520.87</v>
      </c>
      <c r="F1055" t="n">
        <v>2</v>
      </c>
      <c r="G1055" t="n">
        <v>0</v>
      </c>
      <c r="H1055" t="n">
        <v>10</v>
      </c>
      <c r="I1055" t="n">
        <v>0</v>
      </c>
      <c r="J1055" t="n">
        <v>0</v>
      </c>
      <c r="K1055">
        <f>IF(H1055-I1055-J1055&gt;0,H1055-I1055-J1055,0)</f>
        <v/>
      </c>
      <c r="L1055" s="1">
        <f>IFERROR(I1055*E1055,0)</f>
        <v/>
      </c>
      <c r="M1055" s="1">
        <f>IFERROR(K1055*E1055,0)</f>
        <v/>
      </c>
    </row>
    <row r="1056">
      <c r="A1056" t="inlineStr">
        <is>
          <t>LEGESSS-MCNAST-M45-04-L</t>
        </is>
      </c>
      <c r="B1056" t="inlineStr">
        <is>
          <t>LEGENDARY TWO-TONE SHORT SLEEVE SHIRT NAVY/STONE L</t>
        </is>
      </c>
      <c r="C1056" t="inlineStr">
        <is>
          <t>Workwear Depot (Pty)Ltd</t>
        </is>
      </c>
      <c r="D1056" t="inlineStr"/>
      <c r="E1056" s="1" t="n">
        <v>520.87</v>
      </c>
      <c r="F1056" t="n">
        <v>1</v>
      </c>
      <c r="G1056" t="n">
        <v>0</v>
      </c>
      <c r="H1056" t="n">
        <v>2</v>
      </c>
      <c r="I1056" t="n">
        <v>0</v>
      </c>
      <c r="J1056" t="n">
        <v>0</v>
      </c>
      <c r="K1056">
        <f>IF(H1056-I1056-J1056&gt;0,H1056-I1056-J1056,0)</f>
        <v/>
      </c>
      <c r="L1056" s="1">
        <f>IFERROR(I1056*E1056,0)</f>
        <v/>
      </c>
      <c r="M1056" s="1">
        <f>IFERROR(K1056*E1056,0)</f>
        <v/>
      </c>
    </row>
    <row r="1057">
      <c r="A1057" t="inlineStr">
        <is>
          <t>LS250</t>
        </is>
      </c>
      <c r="B1057" t="inlineStr">
        <is>
          <t>LOUVER SHUTTER Alum. 9</t>
        </is>
      </c>
      <c r="C1057" t="inlineStr"/>
      <c r="D1057" t="inlineStr">
        <is>
          <t>FM - DONKIN</t>
        </is>
      </c>
      <c r="E1057" s="1" t="n">
        <v>518.48</v>
      </c>
      <c r="F1057" t="n">
        <v>1</v>
      </c>
      <c r="G1057" t="n">
        <v>0</v>
      </c>
      <c r="H1057" t="n">
        <v>2</v>
      </c>
      <c r="I1057" t="n">
        <v>0</v>
      </c>
      <c r="J1057" t="n">
        <v>0</v>
      </c>
      <c r="K1057">
        <f>IF(H1057-I1057-J1057&gt;0,H1057-I1057-J1057,0)</f>
        <v/>
      </c>
      <c r="L1057" s="1">
        <f>IFERROR(I1057*E1057,0)</f>
        <v/>
      </c>
      <c r="M1057" s="1">
        <f>IFERROR(K1057*E1057,0)</f>
        <v/>
      </c>
    </row>
    <row r="1058">
      <c r="A1058" t="inlineStr">
        <is>
          <t>LS315</t>
        </is>
      </c>
      <c r="B1058" t="inlineStr">
        <is>
          <t>LOUVER SHUTTER Alum. 12</t>
        </is>
      </c>
      <c r="C1058" t="inlineStr"/>
      <c r="D1058" t="inlineStr">
        <is>
          <t>FM - DONKIN</t>
        </is>
      </c>
      <c r="E1058" s="1" t="n">
        <v>437.68</v>
      </c>
      <c r="F1058" t="n">
        <v>1</v>
      </c>
      <c r="G1058" t="n">
        <v>0</v>
      </c>
      <c r="H1058" t="n">
        <v>2</v>
      </c>
      <c r="I1058" t="n">
        <v>0</v>
      </c>
      <c r="J1058" t="n">
        <v>0</v>
      </c>
      <c r="K1058">
        <f>IF(H1058-I1058-J1058&gt;0,H1058-I1058-J1058,0)</f>
        <v/>
      </c>
      <c r="L1058" s="1">
        <f>IFERROR(I1058*E1058,0)</f>
        <v/>
      </c>
      <c r="M1058" s="1">
        <f>IFERROR(K1058*E1058,0)</f>
        <v/>
      </c>
    </row>
    <row r="1059">
      <c r="A1059" t="inlineStr">
        <is>
          <t>LS400</t>
        </is>
      </c>
      <c r="B1059" t="inlineStr">
        <is>
          <t>LOUVRE SHUTTER 15''</t>
        </is>
      </c>
      <c r="C1059" t="inlineStr"/>
      <c r="D1059" t="inlineStr">
        <is>
          <t>FM - DONKIN</t>
        </is>
      </c>
      <c r="E1059" s="1" t="n">
        <v>555.74</v>
      </c>
      <c r="F1059" t="n">
        <v>1</v>
      </c>
      <c r="G1059" t="n">
        <v>0</v>
      </c>
      <c r="H1059" t="n">
        <v>2</v>
      </c>
      <c r="I1059" t="n">
        <v>0</v>
      </c>
      <c r="J1059" t="n">
        <v>0</v>
      </c>
      <c r="K1059">
        <f>IF(H1059-I1059-J1059&gt;0,H1059-I1059-J1059,0)</f>
        <v/>
      </c>
      <c r="L1059" s="1">
        <f>IFERROR(I1059*E1059,0)</f>
        <v/>
      </c>
      <c r="M1059" s="1">
        <f>IFERROR(K1059*E1059,0)</f>
        <v/>
      </c>
    </row>
    <row r="1060">
      <c r="A1060" t="inlineStr">
        <is>
          <t>LS500</t>
        </is>
      </c>
      <c r="B1060" t="inlineStr">
        <is>
          <t>LOUVRE SHUTTER Alum. 18</t>
        </is>
      </c>
      <c r="C1060" t="inlineStr"/>
      <c r="D1060" t="inlineStr">
        <is>
          <t>FM - DONKIN</t>
        </is>
      </c>
      <c r="E1060" s="1" t="n">
        <v>724.5</v>
      </c>
      <c r="F1060" t="n">
        <v>1</v>
      </c>
      <c r="G1060" t="n">
        <v>0</v>
      </c>
      <c r="H1060" t="n">
        <v>2</v>
      </c>
      <c r="I1060" t="n">
        <v>0</v>
      </c>
      <c r="J1060" t="n">
        <v>0</v>
      </c>
      <c r="K1060">
        <f>IF(H1060-I1060-J1060&gt;0,H1060-I1060-J1060,0)</f>
        <v/>
      </c>
      <c r="L1060" s="1">
        <f>IFERROR(I1060*E1060,0)</f>
        <v/>
      </c>
      <c r="M1060" s="1">
        <f>IFERROR(K1060*E1060,0)</f>
        <v/>
      </c>
    </row>
    <row r="1061">
      <c r="A1061" t="inlineStr">
        <is>
          <t>LS630</t>
        </is>
      </c>
      <c r="B1061" t="inlineStr">
        <is>
          <t>LOUVRE SHUTTER Alum. 24</t>
        </is>
      </c>
      <c r="C1061" t="inlineStr"/>
      <c r="D1061" t="inlineStr">
        <is>
          <t>FM - DONKIN</t>
        </is>
      </c>
      <c r="E1061" s="1" t="n">
        <v>974.05</v>
      </c>
      <c r="F1061" t="n">
        <v>1</v>
      </c>
      <c r="G1061" t="n">
        <v>0</v>
      </c>
      <c r="H1061" t="n">
        <v>2</v>
      </c>
      <c r="I1061" t="n">
        <v>0</v>
      </c>
      <c r="J1061" t="n">
        <v>0</v>
      </c>
      <c r="K1061">
        <f>IF(H1061-I1061-J1061&gt;0,H1061-I1061-J1061,0)</f>
        <v/>
      </c>
      <c r="L1061" s="1">
        <f>IFERROR(I1061*E1061,0)</f>
        <v/>
      </c>
      <c r="M1061" s="1">
        <f>IFERROR(K1061*E1061,0)</f>
        <v/>
      </c>
    </row>
    <row r="1062">
      <c r="A1062" t="inlineStr">
        <is>
          <t>LT10-3SPD</t>
        </is>
      </c>
      <c r="B1062" t="inlineStr">
        <is>
          <t>LT10 - 3-Step Speed Controller 10Amp</t>
        </is>
      </c>
      <c r="C1062" t="inlineStr"/>
      <c r="D1062" t="inlineStr"/>
      <c r="E1062" s="1" t="n">
        <v>0</v>
      </c>
      <c r="F1062" t="n">
        <v>1</v>
      </c>
      <c r="G1062" t="n">
        <v>0</v>
      </c>
      <c r="H1062" t="n">
        <v>2</v>
      </c>
      <c r="I1062" t="n">
        <v>0</v>
      </c>
      <c r="J1062" t="n">
        <v>0</v>
      </c>
      <c r="K1062">
        <f>IF(H1062-I1062-J1062&gt;0,H1062-I1062-J1062,0)</f>
        <v/>
      </c>
      <c r="L1062" s="1">
        <f>IFERROR(I1062*E1062,0)</f>
        <v/>
      </c>
      <c r="M1062" s="1">
        <f>IFERROR(K1062*E1062,0)</f>
        <v/>
      </c>
    </row>
    <row r="1063">
      <c r="A1063" t="inlineStr">
        <is>
          <t>Labour.</t>
        </is>
      </c>
      <c r="B1063" t="inlineStr">
        <is>
          <t>Repair Dasqua 1012-2010-A COMBINATION SET SQUARE</t>
        </is>
      </c>
      <c r="C1063" t="inlineStr">
        <is>
          <t>SPARES 2000 CC t/a SHARP-RITE</t>
        </is>
      </c>
      <c r="D1063" t="inlineStr"/>
      <c r="E1063" s="1" t="n">
        <v>2025</v>
      </c>
      <c r="F1063" t="n">
        <v>1</v>
      </c>
      <c r="G1063" t="n">
        <v>0</v>
      </c>
      <c r="H1063" t="n">
        <v>2</v>
      </c>
      <c r="I1063" t="n">
        <v>0</v>
      </c>
      <c r="J1063" t="n">
        <v>0</v>
      </c>
      <c r="K1063">
        <f>IF(H1063-I1063-J1063&gt;0,H1063-I1063-J1063,0)</f>
        <v/>
      </c>
      <c r="L1063" s="1">
        <f>IFERROR(I1063*E1063,0)</f>
        <v/>
      </c>
      <c r="M1063" s="1">
        <f>IFERROR(K1063*E1063,0)</f>
        <v/>
      </c>
    </row>
    <row r="1064">
      <c r="A1064" t="inlineStr">
        <is>
          <t>Laptop</t>
        </is>
      </c>
      <c r="B1064" t="inlineStr">
        <is>
          <t>Lenovo AMD RYZEN 7 (i7) 7730U 2.0GHz -8GB ram 512GB 15.6 ich FHD battery 3 Cell</t>
        </is>
      </c>
      <c r="C1064" t="inlineStr">
        <is>
          <t>AXEGROUP</t>
        </is>
      </c>
      <c r="D1064" t="inlineStr"/>
      <c r="E1064" s="1" t="n">
        <v>11999</v>
      </c>
      <c r="F1064" t="n">
        <v>1</v>
      </c>
      <c r="G1064" t="n">
        <v>0</v>
      </c>
      <c r="H1064" t="n">
        <v>2</v>
      </c>
      <c r="I1064" t="n">
        <v>0</v>
      </c>
      <c r="J1064" t="n">
        <v>0</v>
      </c>
      <c r="K1064">
        <f>IF(H1064-I1064-J1064&gt;0,H1064-I1064-J1064,0)</f>
        <v/>
      </c>
      <c r="L1064" s="1">
        <f>IFERROR(I1064*E1064,0)</f>
        <v/>
      </c>
      <c r="M1064" s="1">
        <f>IFERROR(K1064*E1064,0)</f>
        <v/>
      </c>
    </row>
    <row r="1065">
      <c r="A1065" t="inlineStr">
        <is>
          <t>Laser Cutting</t>
        </is>
      </c>
      <c r="B1065" t="inlineStr">
        <is>
          <t>Fans Casing</t>
        </is>
      </c>
      <c r="C1065" t="inlineStr">
        <is>
          <t>ULTIMATENG (PTY) LTD</t>
        </is>
      </c>
      <c r="D1065" t="inlineStr">
        <is>
          <t>CASING</t>
        </is>
      </c>
      <c r="E1065" s="1" t="n">
        <v>1475</v>
      </c>
      <c r="F1065" t="n">
        <v>3</v>
      </c>
      <c r="G1065" t="n">
        <v>0</v>
      </c>
      <c r="H1065" t="n">
        <v>15</v>
      </c>
      <c r="I1065" t="n">
        <v>0</v>
      </c>
      <c r="J1065" t="n">
        <v>0</v>
      </c>
      <c r="K1065">
        <f>IF(H1065-I1065-J1065&gt;0,H1065-I1065-J1065,0)</f>
        <v/>
      </c>
      <c r="L1065" s="1">
        <f>IFERROR(I1065*E1065,0)</f>
        <v/>
      </c>
      <c r="M1065" s="1">
        <f>IFERROR(K1065*E1065,0)</f>
        <v/>
      </c>
    </row>
    <row r="1066">
      <c r="A1066" t="inlineStr">
        <is>
          <t>Laser Cutting-Axial P1</t>
        </is>
      </c>
      <c r="B1066" t="inlineStr">
        <is>
          <t>Axial Program 1 Cover</t>
        </is>
      </c>
      <c r="C1066" t="inlineStr">
        <is>
          <t>ULTIMATENG (PTY) LTD</t>
        </is>
      </c>
      <c r="D1066" t="inlineStr">
        <is>
          <t>FM - FABRICATION</t>
        </is>
      </c>
      <c r="E1066" s="1" t="n">
        <v>2950</v>
      </c>
      <c r="F1066" t="n">
        <v>1</v>
      </c>
      <c r="G1066" t="n">
        <v>0</v>
      </c>
      <c r="H1066" t="n">
        <v>2</v>
      </c>
      <c r="I1066" t="n">
        <v>0</v>
      </c>
      <c r="J1066" t="n">
        <v>0</v>
      </c>
      <c r="K1066">
        <f>IF(H1066-I1066-J1066&gt;0,H1066-I1066-J1066,0)</f>
        <v/>
      </c>
      <c r="L1066" s="1">
        <f>IFERROR(I1066*E1066,0)</f>
        <v/>
      </c>
      <c r="M1066" s="1">
        <f>IFERROR(K1066*E1066,0)</f>
        <v/>
      </c>
    </row>
    <row r="1067">
      <c r="A1067" t="inlineStr">
        <is>
          <t>Laser Cutting-Axial P3</t>
        </is>
      </c>
      <c r="B1067" t="inlineStr">
        <is>
          <t>Axial Program 3 Covers</t>
        </is>
      </c>
      <c r="C1067" t="inlineStr">
        <is>
          <t>ULTIMATENG (PTY) LTD</t>
        </is>
      </c>
      <c r="D1067" t="inlineStr">
        <is>
          <t>FM - FABRICATION</t>
        </is>
      </c>
      <c r="E1067" s="1" t="n">
        <v>2950</v>
      </c>
      <c r="F1067" t="n">
        <v>1</v>
      </c>
      <c r="G1067" t="n">
        <v>0</v>
      </c>
      <c r="H1067" t="n">
        <v>2</v>
      </c>
      <c r="I1067" t="n">
        <v>0</v>
      </c>
      <c r="J1067" t="n">
        <v>0</v>
      </c>
      <c r="K1067">
        <f>IF(H1067-I1067-J1067&gt;0,H1067-I1067-J1067,0)</f>
        <v/>
      </c>
      <c r="L1067" s="1">
        <f>IFERROR(I1067*E1067,0)</f>
        <v/>
      </c>
      <c r="M1067" s="1">
        <f>IFERROR(K1067*E1067,0)</f>
        <v/>
      </c>
    </row>
    <row r="1068">
      <c r="A1068" t="inlineStr">
        <is>
          <t>Laser Cutting-B</t>
        </is>
      </c>
      <c r="B1068" t="inlineStr">
        <is>
          <t>Program Buffalo</t>
        </is>
      </c>
      <c r="C1068" t="inlineStr">
        <is>
          <t>ULTIMATENG (PTY) LTD</t>
        </is>
      </c>
      <c r="D1068" t="inlineStr"/>
      <c r="E1068" s="1" t="n">
        <v>3230</v>
      </c>
      <c r="F1068" t="n">
        <v>2</v>
      </c>
      <c r="G1068" t="n">
        <v>0</v>
      </c>
      <c r="H1068" t="n">
        <v>8</v>
      </c>
      <c r="I1068" t="n">
        <v>0</v>
      </c>
      <c r="J1068" t="n">
        <v>0</v>
      </c>
      <c r="K1068">
        <f>IF(H1068-I1068-J1068&gt;0,H1068-I1068-J1068,0)</f>
        <v/>
      </c>
      <c r="L1068" s="1">
        <f>IFERROR(I1068*E1068,0)</f>
        <v/>
      </c>
      <c r="M1068" s="1">
        <f>IFERROR(K1068*E1068,0)</f>
        <v/>
      </c>
    </row>
    <row r="1069">
      <c r="A1069" t="inlineStr">
        <is>
          <t>Laser Cutting-Bends</t>
        </is>
      </c>
      <c r="B1069" t="inlineStr">
        <is>
          <t>Laser Cutting Bends</t>
        </is>
      </c>
      <c r="C1069" t="inlineStr">
        <is>
          <t>ULTIMATENG (PTY) LTD</t>
        </is>
      </c>
      <c r="D1069" t="inlineStr">
        <is>
          <t>FM - FABRICATION</t>
        </is>
      </c>
      <c r="E1069" s="1" t="n">
        <v>5</v>
      </c>
      <c r="F1069" t="n">
        <v>21</v>
      </c>
      <c r="G1069" t="n">
        <v>0</v>
      </c>
      <c r="H1069" t="n">
        <v>105</v>
      </c>
      <c r="I1069" t="n">
        <v>0</v>
      </c>
      <c r="J1069" t="n">
        <v>410</v>
      </c>
      <c r="K1069">
        <f>IF(H1069-I1069-J1069&gt;0,H1069-I1069-J1069,0)</f>
        <v/>
      </c>
      <c r="L1069" s="1">
        <f>IFERROR(I1069*E1069,0)</f>
        <v/>
      </c>
      <c r="M1069" s="1">
        <f>IFERROR(K1069*E1069,0)</f>
        <v/>
      </c>
    </row>
    <row r="1070">
      <c r="A1070" t="inlineStr">
        <is>
          <t>Laser Cutting-P1000</t>
        </is>
      </c>
      <c r="B1070" t="inlineStr">
        <is>
          <t>Program 1000 - 4mm</t>
        </is>
      </c>
      <c r="C1070" t="inlineStr">
        <is>
          <t>ULTIMATENG (PTY) LTD</t>
        </is>
      </c>
      <c r="D1070" t="inlineStr">
        <is>
          <t>FM - DONKIN</t>
        </is>
      </c>
      <c r="E1070" s="1" t="n">
        <v>3000</v>
      </c>
      <c r="F1070" t="n">
        <v>2</v>
      </c>
      <c r="G1070" t="n">
        <v>0</v>
      </c>
      <c r="H1070" t="n">
        <v>8</v>
      </c>
      <c r="I1070" t="n">
        <v>0</v>
      </c>
      <c r="J1070" t="n">
        <v>0</v>
      </c>
      <c r="K1070">
        <f>IF(H1070-I1070-J1070&gt;0,H1070-I1070-J1070,0)</f>
        <v/>
      </c>
      <c r="L1070" s="1">
        <f>IFERROR(I1070*E1070,0)</f>
        <v/>
      </c>
      <c r="M1070" s="1">
        <f>IFERROR(K1070*E1070,0)</f>
        <v/>
      </c>
    </row>
    <row r="1071">
      <c r="A1071" t="inlineStr">
        <is>
          <t>Laser Cutting-P3</t>
        </is>
      </c>
      <c r="B1071" t="inlineStr">
        <is>
          <t>Program 3</t>
        </is>
      </c>
      <c r="C1071" t="inlineStr">
        <is>
          <t>ULTIMATENG (PTY) LTD</t>
        </is>
      </c>
      <c r="D1071" t="inlineStr">
        <is>
          <t>FM - DONKIN</t>
        </is>
      </c>
      <c r="E1071" s="1" t="n">
        <v>3230</v>
      </c>
      <c r="F1071" t="n">
        <v>2</v>
      </c>
      <c r="G1071" t="n">
        <v>0</v>
      </c>
      <c r="H1071" t="n">
        <v>12</v>
      </c>
      <c r="I1071" t="n">
        <v>0</v>
      </c>
      <c r="J1071" t="n">
        <v>5</v>
      </c>
      <c r="K1071">
        <f>IF(H1071-I1071-J1071&gt;0,H1071-I1071-J1071,0)</f>
        <v/>
      </c>
      <c r="L1071" s="1">
        <f>IFERROR(I1071*E1071,0)</f>
        <v/>
      </c>
      <c r="M1071" s="1">
        <f>IFERROR(K1071*E1071,0)</f>
        <v/>
      </c>
    </row>
    <row r="1072">
      <c r="A1072" t="inlineStr">
        <is>
          <t>Laser Cutting-P4</t>
        </is>
      </c>
      <c r="B1072" t="inlineStr">
        <is>
          <t>Program 4</t>
        </is>
      </c>
      <c r="C1072" t="inlineStr">
        <is>
          <t>ULTIMATENG (PTY) LTD</t>
        </is>
      </c>
      <c r="D1072" t="inlineStr">
        <is>
          <t>FM - DONKIN</t>
        </is>
      </c>
      <c r="E1072" s="1" t="n">
        <v>2355</v>
      </c>
      <c r="F1072" t="n">
        <v>2</v>
      </c>
      <c r="G1072" t="n">
        <v>0</v>
      </c>
      <c r="H1072" t="n">
        <v>10</v>
      </c>
      <c r="I1072" t="n">
        <v>0</v>
      </c>
      <c r="J1072" t="n">
        <v>5</v>
      </c>
      <c r="K1072">
        <f>IF(H1072-I1072-J1072&gt;0,H1072-I1072-J1072,0)</f>
        <v/>
      </c>
      <c r="L1072" s="1">
        <f>IFERROR(I1072*E1072,0)</f>
        <v/>
      </c>
      <c r="M1072" s="1">
        <f>IFERROR(K1072*E1072,0)</f>
        <v/>
      </c>
    </row>
    <row r="1073">
      <c r="A1073" t="inlineStr">
        <is>
          <t>Laser Cutting-P5</t>
        </is>
      </c>
      <c r="B1073" t="inlineStr">
        <is>
          <t>Program 5</t>
        </is>
      </c>
      <c r="C1073" t="inlineStr">
        <is>
          <t>ULTIMATENG (PTY) LTD</t>
        </is>
      </c>
      <c r="D1073" t="inlineStr">
        <is>
          <t>CONSUMABLES</t>
        </is>
      </c>
      <c r="E1073" s="1" t="n">
        <v>3100</v>
      </c>
      <c r="F1073" t="n">
        <v>1</v>
      </c>
      <c r="G1073" t="n">
        <v>0</v>
      </c>
      <c r="H1073" t="n">
        <v>3</v>
      </c>
      <c r="I1073" t="n">
        <v>0</v>
      </c>
      <c r="J1073" t="n">
        <v>0</v>
      </c>
      <c r="K1073">
        <f>IF(H1073-I1073-J1073&gt;0,H1073-I1073-J1073,0)</f>
        <v/>
      </c>
      <c r="L1073" s="1">
        <f>IFERROR(I1073*E1073,0)</f>
        <v/>
      </c>
      <c r="M1073" s="1">
        <f>IFERROR(K1073*E1073,0)</f>
        <v/>
      </c>
    </row>
    <row r="1074">
      <c r="A1074" t="inlineStr">
        <is>
          <t>Laser Cutting-P6</t>
        </is>
      </c>
      <c r="B1074" t="inlineStr">
        <is>
          <t>Program 6</t>
        </is>
      </c>
      <c r="C1074" t="inlineStr">
        <is>
          <t>ULTIMATENG (PTY) LTD</t>
        </is>
      </c>
      <c r="D1074" t="inlineStr">
        <is>
          <t>CONSUMABLES</t>
        </is>
      </c>
      <c r="E1074" s="1" t="n">
        <v>4545</v>
      </c>
      <c r="F1074" t="n">
        <v>1</v>
      </c>
      <c r="G1074" t="n">
        <v>0</v>
      </c>
      <c r="H1074" t="n">
        <v>5</v>
      </c>
      <c r="I1074" t="n">
        <v>0</v>
      </c>
      <c r="J1074" t="n">
        <v>0</v>
      </c>
      <c r="K1074">
        <f>IF(H1074-I1074-J1074&gt;0,H1074-I1074-J1074,0)</f>
        <v/>
      </c>
      <c r="L1074" s="1">
        <f>IFERROR(I1074*E1074,0)</f>
        <v/>
      </c>
      <c r="M1074" s="1">
        <f>IFERROR(K1074*E1074,0)</f>
        <v/>
      </c>
    </row>
    <row r="1075">
      <c r="A1075" t="inlineStr">
        <is>
          <t>Laser Cutting-P900</t>
        </is>
      </c>
      <c r="B1075" t="inlineStr">
        <is>
          <t>Program 900 - 4mm</t>
        </is>
      </c>
      <c r="C1075" t="inlineStr">
        <is>
          <t>ULTIMATENG (PTY) LTD</t>
        </is>
      </c>
      <c r="D1075" t="inlineStr">
        <is>
          <t>FM - DONKIN</t>
        </is>
      </c>
      <c r="E1075" s="1" t="n">
        <v>4200</v>
      </c>
      <c r="F1075" t="n">
        <v>2</v>
      </c>
      <c r="G1075" t="n">
        <v>0</v>
      </c>
      <c r="H1075" t="n">
        <v>8</v>
      </c>
      <c r="I1075" t="n">
        <v>0</v>
      </c>
      <c r="J1075" t="n">
        <v>0</v>
      </c>
      <c r="K1075">
        <f>IF(H1075-I1075-J1075&gt;0,H1075-I1075-J1075,0)</f>
        <v/>
      </c>
      <c r="L1075" s="1">
        <f>IFERROR(I1075*E1075,0)</f>
        <v/>
      </c>
      <c r="M1075" s="1">
        <f>IFERROR(K1075*E1075,0)</f>
        <v/>
      </c>
    </row>
    <row r="1076">
      <c r="A1076" t="inlineStr">
        <is>
          <t>Laser Cutting-S</t>
        </is>
      </c>
      <c r="B1076" t="inlineStr">
        <is>
          <t>Strips</t>
        </is>
      </c>
      <c r="C1076" t="inlineStr">
        <is>
          <t>ULTIMATENG (PTY) LTD</t>
        </is>
      </c>
      <c r="D1076" t="inlineStr">
        <is>
          <t>CASING</t>
        </is>
      </c>
      <c r="E1076" s="1" t="n">
        <v>0</v>
      </c>
      <c r="F1076" t="n">
        <v>1</v>
      </c>
      <c r="G1076" t="n">
        <v>0</v>
      </c>
      <c r="H1076" t="n">
        <v>5</v>
      </c>
      <c r="I1076" t="n">
        <v>0</v>
      </c>
      <c r="J1076" t="n">
        <v>0</v>
      </c>
      <c r="K1076">
        <f>IF(H1076-I1076-J1076&gt;0,H1076-I1076-J1076,0)</f>
        <v/>
      </c>
      <c r="L1076" s="1">
        <f>IFERROR(I1076*E1076,0)</f>
        <v/>
      </c>
      <c r="M1076" s="1">
        <f>IFERROR(K1076*E1076,0)</f>
        <v/>
      </c>
    </row>
    <row r="1077">
      <c r="A1077" t="inlineStr">
        <is>
          <t>M10 DIN 934 GRADE 8.8 HEX NUT Z/BLUE 10 934 GR8 ZB</t>
        </is>
      </c>
      <c r="B1077" t="inlineStr">
        <is>
          <t>M10 DIN 934 GRADE 8.8 HEX NUT Z/BLUE 10 934 GR8 ZB</t>
        </is>
      </c>
      <c r="C1077" t="inlineStr">
        <is>
          <t>M&amp;D SPECIALISED FASTENERS (PTY) LTD</t>
        </is>
      </c>
      <c r="D1077" t="inlineStr"/>
      <c r="E1077" s="1" t="n">
        <v>0.65</v>
      </c>
      <c r="F1077" t="n">
        <v>43</v>
      </c>
      <c r="G1077" t="n">
        <v>0</v>
      </c>
      <c r="H1077" t="n">
        <v>214</v>
      </c>
      <c r="I1077" t="n">
        <v>0</v>
      </c>
      <c r="J1077" t="n">
        <v>0</v>
      </c>
      <c r="K1077">
        <f>IF(H1077-I1077-J1077&gt;0,H1077-I1077-J1077,0)</f>
        <v/>
      </c>
      <c r="L1077" s="1">
        <f>IFERROR(I1077*E1077,0)</f>
        <v/>
      </c>
      <c r="M1077" s="1">
        <f>IFERROR(K1077*E1077,0)</f>
        <v/>
      </c>
    </row>
    <row r="1078">
      <c r="A1078" t="inlineStr">
        <is>
          <t>M10 FLAT WASHER (10 .5i/dx20o/dxthk) S/S A2</t>
        </is>
      </c>
      <c r="B1078" t="inlineStr">
        <is>
          <t>M10 Flat Washer S/S A2</t>
        </is>
      </c>
      <c r="C1078" t="inlineStr">
        <is>
          <t>M&amp;D SPECIALISED FASTENERS (PTY) LTD</t>
        </is>
      </c>
      <c r="D1078" t="inlineStr"/>
      <c r="E1078" s="1" t="n">
        <v>0.4</v>
      </c>
      <c r="F1078" t="n">
        <v>144</v>
      </c>
      <c r="G1078" t="n">
        <v>0</v>
      </c>
      <c r="H1078" t="n">
        <v>504</v>
      </c>
      <c r="I1078" t="n">
        <v>0</v>
      </c>
      <c r="J1078" t="n">
        <v>0</v>
      </c>
      <c r="K1078">
        <f>IF(H1078-I1078-J1078&gt;0,H1078-I1078-J1078,0)</f>
        <v/>
      </c>
      <c r="L1078" s="1">
        <f>IFERROR(I1078*E1078,0)</f>
        <v/>
      </c>
      <c r="M1078" s="1">
        <f>IFERROR(K1078*E1078,0)</f>
        <v/>
      </c>
    </row>
    <row r="1079">
      <c r="A1079" t="inlineStr">
        <is>
          <t>M10 FLAT WASHER (S/S)</t>
        </is>
      </c>
      <c r="B1079" t="inlineStr">
        <is>
          <t>M10x20x3 FLAT WASHER STAINLESS STEEL A2</t>
        </is>
      </c>
      <c r="C1079" t="inlineStr">
        <is>
          <t>M&amp;D SPECIALISED FASTENERS (PTY) LTD</t>
        </is>
      </c>
      <c r="D1079" t="inlineStr">
        <is>
          <t>FASTENERS</t>
        </is>
      </c>
      <c r="E1079" s="1" t="n">
        <v>4</v>
      </c>
      <c r="F1079" t="n">
        <v>125</v>
      </c>
      <c r="G1079" t="n">
        <v>0</v>
      </c>
      <c r="H1079" t="n">
        <v>625</v>
      </c>
      <c r="I1079" t="n">
        <v>0</v>
      </c>
      <c r="J1079" t="n">
        <v>0</v>
      </c>
      <c r="K1079">
        <f>IF(H1079-I1079-J1079&gt;0,H1079-I1079-J1079,0)</f>
        <v/>
      </c>
      <c r="L1079" s="1">
        <f>IFERROR(I1079*E1079,0)</f>
        <v/>
      </c>
      <c r="M1079" s="1">
        <f>IFERROR(K1079*E1079,0)</f>
        <v/>
      </c>
    </row>
    <row r="1080">
      <c r="A1080" t="inlineStr">
        <is>
          <t>M10 FLAT WASHER ZB</t>
        </is>
      </c>
      <c r="B1080" t="inlineStr">
        <is>
          <t>M10 FLAT WASHER DIN 125A ZINC BLUE (10 .5i/dx20o/dxthk) 10 125A ZB</t>
        </is>
      </c>
      <c r="C1080" t="inlineStr">
        <is>
          <t>M&amp;D SPECIALISED FASTENERS (PTY) LTD</t>
        </is>
      </c>
      <c r="D1080" t="inlineStr">
        <is>
          <t>FASTENERS</t>
        </is>
      </c>
      <c r="E1080" s="1" t="n">
        <v>0.24</v>
      </c>
      <c r="F1080" t="n">
        <v>68</v>
      </c>
      <c r="G1080" t="n">
        <v>0</v>
      </c>
      <c r="H1080" t="n">
        <v>339</v>
      </c>
      <c r="I1080" t="n">
        <v>0</v>
      </c>
      <c r="J1080" t="n">
        <v>0</v>
      </c>
      <c r="K1080">
        <f>IF(H1080-I1080-J1080&gt;0,H1080-I1080-J1080,0)</f>
        <v/>
      </c>
      <c r="L1080" s="1">
        <f>IFERROR(I1080*E1080,0)</f>
        <v/>
      </c>
      <c r="M1080" s="1">
        <f>IFERROR(K1080*E1080,0)</f>
        <v/>
      </c>
    </row>
    <row r="1081">
      <c r="A1081" t="inlineStr">
        <is>
          <t>M10 HEX NUT (S/S)</t>
        </is>
      </c>
      <c r="B1081" t="inlineStr">
        <is>
          <t>M10 HEX NUT STAINLESS STEEL A2</t>
        </is>
      </c>
      <c r="C1081" t="inlineStr">
        <is>
          <t>M&amp;D SPECIALISED FASTENERS (PTY) LTD</t>
        </is>
      </c>
      <c r="D1081" t="inlineStr">
        <is>
          <t>FASTENERS</t>
        </is>
      </c>
      <c r="E1081" s="1" t="n">
        <v>1.5</v>
      </c>
      <c r="F1081" t="n">
        <v>75</v>
      </c>
      <c r="G1081" t="n">
        <v>0</v>
      </c>
      <c r="H1081" t="n">
        <v>375</v>
      </c>
      <c r="I1081" t="n">
        <v>0</v>
      </c>
      <c r="J1081" t="n">
        <v>0</v>
      </c>
      <c r="K1081">
        <f>IF(H1081-I1081-J1081&gt;0,H1081-I1081-J1081,0)</f>
        <v/>
      </c>
      <c r="L1081" s="1">
        <f>IFERROR(I1081*E1081,0)</f>
        <v/>
      </c>
      <c r="M1081" s="1">
        <f>IFERROR(K1081*E1081,0)</f>
        <v/>
      </c>
    </row>
    <row r="1082">
      <c r="A1082" t="inlineStr">
        <is>
          <t>M10 Nylock Nut</t>
        </is>
      </c>
      <c r="B1082" t="inlineStr">
        <is>
          <t>M10 Nylock Nut Zinc Blue(Silver)</t>
        </is>
      </c>
      <c r="C1082" t="inlineStr">
        <is>
          <t>M&amp;D SPECIALISED FASTENERS (PTY) LTD</t>
        </is>
      </c>
      <c r="D1082" t="inlineStr"/>
      <c r="E1082" s="1" t="n">
        <v>1.1</v>
      </c>
      <c r="F1082" t="n">
        <v>87</v>
      </c>
      <c r="G1082" t="n">
        <v>0</v>
      </c>
      <c r="H1082" t="n">
        <v>377</v>
      </c>
      <c r="I1082" t="n">
        <v>0</v>
      </c>
      <c r="J1082" t="n">
        <v>0</v>
      </c>
      <c r="K1082">
        <f>IF(H1082-I1082-J1082&gt;0,H1082-I1082-J1082,0)</f>
        <v/>
      </c>
      <c r="L1082" s="1">
        <f>IFERROR(I1082*E1082,0)</f>
        <v/>
      </c>
      <c r="M1082" s="1">
        <f>IFERROR(K1082*E1082,0)</f>
        <v/>
      </c>
    </row>
    <row r="1083">
      <c r="A1083" t="inlineStr">
        <is>
          <t>M10*1 M/S THREADED ROD Z/BLUE 10X1 975 ZB</t>
        </is>
      </c>
      <c r="B1083" t="inlineStr">
        <is>
          <t>M10*1 M/S THREADED ROD Z/BLUE 10X1 975 ZB</t>
        </is>
      </c>
      <c r="C1083" t="inlineStr">
        <is>
          <t>M&amp;D SPECIALISED FASTENERS (PTY) LTD</t>
        </is>
      </c>
      <c r="D1083" t="inlineStr"/>
      <c r="E1083" s="1" t="n">
        <v>20</v>
      </c>
      <c r="F1083" t="n">
        <v>6</v>
      </c>
      <c r="G1083" t="n">
        <v>0</v>
      </c>
      <c r="H1083" t="n">
        <v>22</v>
      </c>
      <c r="I1083" t="n">
        <v>0</v>
      </c>
      <c r="J1083" t="n">
        <v>0</v>
      </c>
      <c r="K1083">
        <f>IF(H1083-I1083-J1083&gt;0,H1083-I1083-J1083,0)</f>
        <v/>
      </c>
      <c r="L1083" s="1">
        <f>IFERROR(I1083*E1083,0)</f>
        <v/>
      </c>
      <c r="M1083" s="1">
        <f>IFERROR(K1083*E1083,0)</f>
        <v/>
      </c>
    </row>
    <row r="1084">
      <c r="A1084" t="inlineStr">
        <is>
          <t>M10*16</t>
        </is>
      </c>
      <c r="B1084" t="inlineStr">
        <is>
          <t>M10*16 HT HEX SET SCREW</t>
        </is>
      </c>
      <c r="C1084" t="inlineStr">
        <is>
          <t>M&amp;D SPECIALISED FASTENERS (PTY) LTD</t>
        </is>
      </c>
      <c r="D1084" t="inlineStr"/>
      <c r="E1084" s="1" t="n">
        <v>1.88</v>
      </c>
      <c r="F1084" t="n">
        <v>52</v>
      </c>
      <c r="G1084" t="n">
        <v>0</v>
      </c>
      <c r="H1084" t="n">
        <v>259</v>
      </c>
      <c r="I1084" t="n">
        <v>0</v>
      </c>
      <c r="J1084" t="n">
        <v>0</v>
      </c>
      <c r="K1084">
        <f>IF(H1084-I1084-J1084&gt;0,H1084-I1084-J1084,0)</f>
        <v/>
      </c>
      <c r="L1084" s="1">
        <f>IFERROR(I1084*E1084,0)</f>
        <v/>
      </c>
      <c r="M1084" s="1">
        <f>IFERROR(K1084*E1084,0)</f>
        <v/>
      </c>
    </row>
    <row r="1085">
      <c r="A1085" t="inlineStr">
        <is>
          <t>M10*16 (S/S)</t>
        </is>
      </c>
      <c r="B1085" t="inlineStr">
        <is>
          <t>M10*16 HT HEX SET SCREW (S/S) A2</t>
        </is>
      </c>
      <c r="C1085" t="inlineStr">
        <is>
          <t>M&amp;D SPECIALISED FASTENERS (PTY) LTD</t>
        </is>
      </c>
      <c r="D1085" t="inlineStr">
        <is>
          <t>FASTENERS</t>
        </is>
      </c>
      <c r="E1085" s="1" t="n">
        <v>3</v>
      </c>
      <c r="F1085" t="n">
        <v>75</v>
      </c>
      <c r="G1085" t="n">
        <v>0</v>
      </c>
      <c r="H1085" t="n">
        <v>375</v>
      </c>
      <c r="I1085" t="n">
        <v>0</v>
      </c>
      <c r="J1085" t="n">
        <v>0</v>
      </c>
      <c r="K1085">
        <f>IF(H1085-I1085-J1085&gt;0,H1085-I1085-J1085,0)</f>
        <v/>
      </c>
      <c r="L1085" s="1">
        <f>IFERROR(I1085*E1085,0)</f>
        <v/>
      </c>
      <c r="M1085" s="1">
        <f>IFERROR(K1085*E1085,0)</f>
        <v/>
      </c>
    </row>
    <row r="1086">
      <c r="A1086" t="inlineStr">
        <is>
          <t>M10*25 HT HEX SET SCREW Z/BLUE 10X25 933 8.8 ZB</t>
        </is>
      </c>
      <c r="B1086" t="inlineStr">
        <is>
          <t>M10*25 HT HEX SET SCREW Z/BLUE 10X25 933 8.8 ZB</t>
        </is>
      </c>
      <c r="C1086" t="inlineStr">
        <is>
          <t>M&amp;D SPECIALISED FASTENERS (PTY) LTD</t>
        </is>
      </c>
      <c r="D1086" t="inlineStr"/>
      <c r="E1086" s="1" t="n">
        <v>1.8</v>
      </c>
      <c r="F1086" t="n">
        <v>36</v>
      </c>
      <c r="G1086" t="n">
        <v>0</v>
      </c>
      <c r="H1086" t="n">
        <v>181</v>
      </c>
      <c r="I1086" t="n">
        <v>0</v>
      </c>
      <c r="J1086" t="n">
        <v>0</v>
      </c>
      <c r="K1086">
        <f>IF(H1086-I1086-J1086&gt;0,H1086-I1086-J1086,0)</f>
        <v/>
      </c>
      <c r="L1086" s="1">
        <f>IFERROR(I1086*E1086,0)</f>
        <v/>
      </c>
      <c r="M1086" s="1">
        <f>IFERROR(K1086*E1086,0)</f>
        <v/>
      </c>
    </row>
    <row r="1087">
      <c r="A1087" t="inlineStr">
        <is>
          <t>M10X25</t>
        </is>
      </c>
      <c r="B1087" t="inlineStr">
        <is>
          <t>HEX SET SCREW - S/S 304 - A2</t>
        </is>
      </c>
      <c r="C1087" t="inlineStr">
        <is>
          <t>M&amp;D SPECIALISED FASTENERS (PTY) LTD</t>
        </is>
      </c>
      <c r="D1087" t="inlineStr"/>
      <c r="E1087" s="1" t="n">
        <v>2.25</v>
      </c>
      <c r="F1087" t="n">
        <v>80</v>
      </c>
      <c r="G1087" t="n">
        <v>0</v>
      </c>
      <c r="H1087" t="n">
        <v>400</v>
      </c>
      <c r="I1087" t="n">
        <v>0</v>
      </c>
      <c r="J1087" t="n">
        <v>0</v>
      </c>
      <c r="K1087">
        <f>IF(H1087-I1087-J1087&gt;0,H1087-I1087-J1087,0)</f>
        <v/>
      </c>
      <c r="L1087" s="1">
        <f>IFERROR(I1087*E1087,0)</f>
        <v/>
      </c>
      <c r="M1087" s="1">
        <f>IFERROR(K1087*E1087,0)</f>
        <v/>
      </c>
    </row>
    <row r="1088">
      <c r="A1088" t="inlineStr">
        <is>
          <t>M10X25X2 FLAT WASHER Z/BLUE 10X25X2 OLD ZB</t>
        </is>
      </c>
      <c r="B1088" t="inlineStr">
        <is>
          <t>M10X25X2 FLAT WASHER Z/BLUE 10X25X2 OLD ZB</t>
        </is>
      </c>
      <c r="C1088" t="inlineStr">
        <is>
          <t>M&amp;D SPECIALISED FASTENERS (PTY) LTD</t>
        </is>
      </c>
      <c r="D1088" t="inlineStr"/>
      <c r="E1088" s="1" t="n">
        <v>0.5</v>
      </c>
      <c r="F1088" t="n">
        <v>109</v>
      </c>
      <c r="G1088" t="n">
        <v>0</v>
      </c>
      <c r="H1088" t="n">
        <v>544</v>
      </c>
      <c r="I1088" t="n">
        <v>0</v>
      </c>
      <c r="J1088" t="n">
        <v>0</v>
      </c>
      <c r="K1088">
        <f>IF(H1088-I1088-J1088&gt;0,H1088-I1088-J1088,0)</f>
        <v/>
      </c>
      <c r="L1088" s="1">
        <f>IFERROR(I1088*E1088,0)</f>
        <v/>
      </c>
      <c r="M1088" s="1">
        <f>IFERROR(K1088*E1088,0)</f>
        <v/>
      </c>
    </row>
    <row r="1089">
      <c r="A1089" t="inlineStr">
        <is>
          <t>M10X35</t>
        </is>
      </c>
      <c r="B1089" t="inlineStr">
        <is>
          <t>Hex Bolts zinc Blue(Silver)</t>
        </is>
      </c>
      <c r="C1089" t="inlineStr">
        <is>
          <t>M&amp;D SPECIALISED FASTENERS (PTY) LTD</t>
        </is>
      </c>
      <c r="D1089" t="inlineStr"/>
      <c r="E1089" s="1" t="n">
        <v>1.8</v>
      </c>
      <c r="F1089" t="n">
        <v>22</v>
      </c>
      <c r="G1089" t="n">
        <v>0</v>
      </c>
      <c r="H1089" t="n">
        <v>112</v>
      </c>
      <c r="I1089" t="n">
        <v>0</v>
      </c>
      <c r="J1089" t="n">
        <v>0</v>
      </c>
      <c r="K1089">
        <f>IF(H1089-I1089-J1089&gt;0,H1089-I1089-J1089,0)</f>
        <v/>
      </c>
      <c r="L1089" s="1">
        <f>IFERROR(I1089*E1089,0)</f>
        <v/>
      </c>
      <c r="M1089" s="1">
        <f>IFERROR(K1089*E1089,0)</f>
        <v/>
      </c>
    </row>
    <row r="1090">
      <c r="A1090" t="inlineStr">
        <is>
          <t>M10X40</t>
        </is>
      </c>
      <c r="B1090" t="inlineStr">
        <is>
          <t>HT HEX SET SCREWS</t>
        </is>
      </c>
      <c r="C1090" t="inlineStr">
        <is>
          <t>M&amp;D SPECIALISED FASTENERS (PTY) LTD</t>
        </is>
      </c>
      <c r="D1090" t="inlineStr"/>
      <c r="E1090" s="1" t="n">
        <v>3.17</v>
      </c>
      <c r="F1090" t="n">
        <v>432</v>
      </c>
      <c r="G1090" t="n">
        <v>0</v>
      </c>
      <c r="H1090" t="n">
        <v>1512</v>
      </c>
      <c r="I1090" t="n">
        <v>0</v>
      </c>
      <c r="J1090" t="n">
        <v>0</v>
      </c>
      <c r="K1090">
        <f>IF(H1090-I1090-J1090&gt;0,H1090-I1090-J1090,0)</f>
        <v/>
      </c>
      <c r="L1090" s="1">
        <f>IFERROR(I1090*E1090,0)</f>
        <v/>
      </c>
      <c r="M1090" s="1">
        <f>IFERROR(K1090*E1090,0)</f>
        <v/>
      </c>
    </row>
    <row r="1091">
      <c r="A1091" t="inlineStr">
        <is>
          <t>M10X45</t>
        </is>
      </c>
      <c r="B1091" t="inlineStr">
        <is>
          <t>M10X45 HT HEX SET SCREWS</t>
        </is>
      </c>
      <c r="C1091" t="inlineStr">
        <is>
          <t>M&amp;D SPECIALISED FASTENERS (PTY) LTD</t>
        </is>
      </c>
      <c r="D1091" t="inlineStr"/>
      <c r="E1091" s="1" t="n">
        <v>4.33</v>
      </c>
      <c r="F1091" t="n">
        <v>25</v>
      </c>
      <c r="G1091" t="n">
        <v>0</v>
      </c>
      <c r="H1091" t="n">
        <v>125</v>
      </c>
      <c r="I1091" t="n">
        <v>0</v>
      </c>
      <c r="J1091" t="n">
        <v>0</v>
      </c>
      <c r="K1091">
        <f>IF(H1091-I1091-J1091&gt;0,H1091-I1091-J1091,0)</f>
        <v/>
      </c>
      <c r="L1091" s="1">
        <f>IFERROR(I1091*E1091,0)</f>
        <v/>
      </c>
      <c r="M1091" s="1">
        <f>IFERROR(K1091*E1091,0)</f>
        <v/>
      </c>
    </row>
    <row r="1092">
      <c r="A1092" t="inlineStr">
        <is>
          <t>M10X65</t>
        </is>
      </c>
      <c r="B1092" t="inlineStr">
        <is>
          <t>M10X65 HT HEX SET SCREWS</t>
        </is>
      </c>
      <c r="C1092" t="inlineStr">
        <is>
          <t>M&amp;D SPECIALISED FASTENERS (PTY) LTD</t>
        </is>
      </c>
      <c r="D1092" t="inlineStr"/>
      <c r="E1092" s="1" t="n">
        <v>4</v>
      </c>
      <c r="F1092" t="n">
        <v>8</v>
      </c>
      <c r="G1092" t="n">
        <v>0</v>
      </c>
      <c r="H1092" t="n">
        <v>36</v>
      </c>
      <c r="I1092" t="n">
        <v>0</v>
      </c>
      <c r="J1092" t="n">
        <v>0</v>
      </c>
      <c r="K1092">
        <f>IF(H1092-I1092-J1092&gt;0,H1092-I1092-J1092,0)</f>
        <v/>
      </c>
      <c r="L1092" s="1">
        <f>IFERROR(I1092*E1092,0)</f>
        <v/>
      </c>
      <c r="M1092" s="1">
        <f>IFERROR(K1092*E1092,0)</f>
        <v/>
      </c>
    </row>
    <row r="1093">
      <c r="A1093" t="inlineStr">
        <is>
          <t>M12</t>
        </is>
      </c>
      <c r="B1093" t="inlineStr">
        <is>
          <t>HEX NUT ZINC BLUE</t>
        </is>
      </c>
      <c r="C1093" t="inlineStr">
        <is>
          <t>M&amp;D SPECIALISED FASTENERS (PTY) LTD</t>
        </is>
      </c>
      <c r="D1093" t="inlineStr"/>
      <c r="E1093" s="1" t="n">
        <v>1.12</v>
      </c>
      <c r="F1093" t="n">
        <v>100</v>
      </c>
      <c r="G1093" t="n">
        <v>0</v>
      </c>
      <c r="H1093" t="n">
        <v>500</v>
      </c>
      <c r="I1093" t="n">
        <v>0</v>
      </c>
      <c r="J1093" t="n">
        <v>0</v>
      </c>
      <c r="K1093">
        <f>IF(H1093-I1093-J1093&gt;0,H1093-I1093-J1093,0)</f>
        <v/>
      </c>
      <c r="L1093" s="1">
        <f>IFERROR(I1093*E1093,0)</f>
        <v/>
      </c>
      <c r="M1093" s="1">
        <f>IFERROR(K1093*E1093,0)</f>
        <v/>
      </c>
    </row>
    <row r="1094">
      <c r="A1094" t="inlineStr">
        <is>
          <t>M12 FLAT WASHER (S/S)</t>
        </is>
      </c>
      <c r="B1094" t="inlineStr">
        <is>
          <t>M12x30x3 FLAT WASHER STAINLESS STEEL A2</t>
        </is>
      </c>
      <c r="C1094" t="inlineStr">
        <is>
          <t>M&amp;D SPECIALISED FASTENERS (PTY) LTD</t>
        </is>
      </c>
      <c r="D1094" t="inlineStr">
        <is>
          <t>FASTENERS</t>
        </is>
      </c>
      <c r="E1094" s="1" t="n">
        <v>2.5</v>
      </c>
      <c r="F1094" t="n">
        <v>125</v>
      </c>
      <c r="G1094" t="n">
        <v>0</v>
      </c>
      <c r="H1094" t="n">
        <v>625</v>
      </c>
      <c r="I1094" t="n">
        <v>0</v>
      </c>
      <c r="J1094" t="n">
        <v>0</v>
      </c>
      <c r="K1094">
        <f>IF(H1094-I1094-J1094&gt;0,H1094-I1094-J1094,0)</f>
        <v/>
      </c>
      <c r="L1094" s="1">
        <f>IFERROR(I1094*E1094,0)</f>
        <v/>
      </c>
      <c r="M1094" s="1">
        <f>IFERROR(K1094*E1094,0)</f>
        <v/>
      </c>
    </row>
    <row r="1095">
      <c r="A1095" t="inlineStr">
        <is>
          <t>M12 HEX NUT (S/S)</t>
        </is>
      </c>
      <c r="B1095" t="inlineStr">
        <is>
          <t>M12 HEX NUT STAINLESS STEEL A2</t>
        </is>
      </c>
      <c r="C1095" t="inlineStr">
        <is>
          <t>M&amp;D SPECIALISED FASTENERS (PTY) LTD</t>
        </is>
      </c>
      <c r="D1095" t="inlineStr">
        <is>
          <t>FASTENERS</t>
        </is>
      </c>
      <c r="E1095" s="1" t="n">
        <v>1.8</v>
      </c>
      <c r="F1095" t="n">
        <v>75</v>
      </c>
      <c r="G1095" t="n">
        <v>0</v>
      </c>
      <c r="H1095" t="n">
        <v>375</v>
      </c>
      <c r="I1095" t="n">
        <v>0</v>
      </c>
      <c r="J1095" t="n">
        <v>0</v>
      </c>
      <c r="K1095">
        <f>IF(H1095-I1095-J1095&gt;0,H1095-I1095-J1095,0)</f>
        <v/>
      </c>
      <c r="L1095" s="1">
        <f>IFERROR(I1095*E1095,0)</f>
        <v/>
      </c>
      <c r="M1095" s="1">
        <f>IFERROR(K1095*E1095,0)</f>
        <v/>
      </c>
    </row>
    <row r="1096">
      <c r="A1096" t="inlineStr">
        <is>
          <t>M12 S/S</t>
        </is>
      </c>
      <c r="B1096" t="inlineStr">
        <is>
          <t>M12 FLAT WASHER - S/S A2 - 304</t>
        </is>
      </c>
      <c r="C1096" t="inlineStr">
        <is>
          <t>M&amp;D SPECIALISED FASTENERS (PTY) LTD</t>
        </is>
      </c>
      <c r="D1096" t="inlineStr"/>
      <c r="E1096" s="1" t="n">
        <v>0.8</v>
      </c>
      <c r="F1096" t="n">
        <v>360</v>
      </c>
      <c r="G1096" t="n">
        <v>0</v>
      </c>
      <c r="H1096" t="n">
        <v>840</v>
      </c>
      <c r="I1096" t="n">
        <v>0</v>
      </c>
      <c r="J1096" t="n">
        <v>0</v>
      </c>
      <c r="K1096">
        <f>IF(H1096-I1096-J1096&gt;0,H1096-I1096-J1096,0)</f>
        <v/>
      </c>
      <c r="L1096" s="1">
        <f>IFERROR(I1096*E1096,0)</f>
        <v/>
      </c>
      <c r="M1096" s="1">
        <f>IFERROR(K1096*E1096,0)</f>
        <v/>
      </c>
    </row>
    <row r="1097">
      <c r="A1097" t="inlineStr">
        <is>
          <t>M12*20 HT HEX SET SCREW Z/BLUE 12X20 933 8.8 ZB</t>
        </is>
      </c>
      <c r="B1097" t="inlineStr">
        <is>
          <t>M12*20 HT HEX SET SCREW Z/BLUE 12X20 933 8.8 ZB</t>
        </is>
      </c>
      <c r="C1097" t="inlineStr">
        <is>
          <t>M&amp;D SPECIALISED FASTENERS (PTY) LTD</t>
        </is>
      </c>
      <c r="D1097" t="inlineStr"/>
      <c r="E1097" s="1" t="n">
        <v>3</v>
      </c>
      <c r="F1097" t="n">
        <v>48</v>
      </c>
      <c r="G1097" t="n">
        <v>0</v>
      </c>
      <c r="H1097" t="n">
        <v>208</v>
      </c>
      <c r="I1097" t="n">
        <v>0</v>
      </c>
      <c r="J1097" t="n">
        <v>0</v>
      </c>
      <c r="K1097">
        <f>IF(H1097-I1097-J1097&gt;0,H1097-I1097-J1097,0)</f>
        <v/>
      </c>
      <c r="L1097" s="1">
        <f>IFERROR(I1097*E1097,0)</f>
        <v/>
      </c>
      <c r="M1097" s="1">
        <f>IFERROR(K1097*E1097,0)</f>
        <v/>
      </c>
    </row>
    <row r="1098">
      <c r="A1098" t="inlineStr">
        <is>
          <t>M12*20(S/S)</t>
        </is>
      </c>
      <c r="B1098" t="inlineStr">
        <is>
          <t>M12*20 HEX SET SCREWS S/S 304 A2</t>
        </is>
      </c>
      <c r="C1098" t="inlineStr"/>
      <c r="D1098" t="inlineStr">
        <is>
          <t>CONSUMABLES</t>
        </is>
      </c>
      <c r="E1098" s="1" t="n">
        <v>6</v>
      </c>
      <c r="F1098" t="n">
        <v>75</v>
      </c>
      <c r="G1098" t="n">
        <v>0</v>
      </c>
      <c r="H1098" t="n">
        <v>375</v>
      </c>
      <c r="I1098" t="n">
        <v>0</v>
      </c>
      <c r="J1098" t="n">
        <v>0</v>
      </c>
      <c r="K1098">
        <f>IF(H1098-I1098-J1098&gt;0,H1098-I1098-J1098,0)</f>
        <v/>
      </c>
      <c r="L1098" s="1">
        <f>IFERROR(I1098*E1098,0)</f>
        <v/>
      </c>
      <c r="M1098" s="1">
        <f>IFERROR(K1098*E1098,0)</f>
        <v/>
      </c>
    </row>
    <row r="1099">
      <c r="A1099" t="inlineStr">
        <is>
          <t>M12*40</t>
        </is>
      </c>
      <c r="B1099" t="inlineStr">
        <is>
          <t>M12*40 HT HEX NUT Z/BLUE</t>
        </is>
      </c>
      <c r="C1099" t="inlineStr">
        <is>
          <t>M&amp;D SPECIALISED FASTENERS (PTY) LTD</t>
        </is>
      </c>
      <c r="D1099" t="inlineStr"/>
      <c r="E1099" s="1" t="n">
        <v>4.92</v>
      </c>
      <c r="F1099" t="n">
        <v>87</v>
      </c>
      <c r="G1099" t="n">
        <v>0</v>
      </c>
      <c r="H1099" t="n">
        <v>434</v>
      </c>
      <c r="I1099" t="n">
        <v>0</v>
      </c>
      <c r="J1099" t="n">
        <v>0</v>
      </c>
      <c r="K1099">
        <f>IF(H1099-I1099-J1099&gt;0,H1099-I1099-J1099,0)</f>
        <v/>
      </c>
      <c r="L1099" s="1">
        <f>IFERROR(I1099*E1099,0)</f>
        <v/>
      </c>
      <c r="M1099" s="1">
        <f>IFERROR(K1099*E1099,0)</f>
        <v/>
      </c>
    </row>
    <row r="1100">
      <c r="A1100" t="inlineStr">
        <is>
          <t>M12*60</t>
        </is>
      </c>
      <c r="B1100" t="inlineStr">
        <is>
          <t>M12X60 HT HEX SET SCREW Z/BLUE -Silver</t>
        </is>
      </c>
      <c r="C1100" t="inlineStr">
        <is>
          <t>M&amp;D SPECIALISED FASTENERS (PTY) LTD</t>
        </is>
      </c>
      <c r="D1100" t="inlineStr"/>
      <c r="E1100" s="1" t="n">
        <v>4.97</v>
      </c>
      <c r="F1100" t="n">
        <v>64</v>
      </c>
      <c r="G1100" t="n">
        <v>0</v>
      </c>
      <c r="H1100" t="n">
        <v>318</v>
      </c>
      <c r="I1100" t="n">
        <v>0</v>
      </c>
      <c r="J1100" t="n">
        <v>0</v>
      </c>
      <c r="K1100">
        <f>IF(H1100-I1100-J1100&gt;0,H1100-I1100-J1100,0)</f>
        <v/>
      </c>
      <c r="L1100" s="1">
        <f>IFERROR(I1100*E1100,0)</f>
        <v/>
      </c>
      <c r="M1100" s="1">
        <f>IFERROR(K1100*E1100,0)</f>
        <v/>
      </c>
    </row>
    <row r="1101">
      <c r="A1101" t="inlineStr">
        <is>
          <t>M12*90</t>
        </is>
      </c>
      <c r="B1101" t="inlineStr">
        <is>
          <t>HEX SET SCREW</t>
        </is>
      </c>
      <c r="C1101" t="inlineStr">
        <is>
          <t>M&amp;D SPECIALISED FASTENERS (PTY) LTD</t>
        </is>
      </c>
      <c r="D1101" t="inlineStr"/>
      <c r="E1101" s="1" t="n">
        <v>6.42</v>
      </c>
      <c r="F1101" t="n">
        <v>43</v>
      </c>
      <c r="G1101" t="n">
        <v>0</v>
      </c>
      <c r="H1101" t="n">
        <v>214</v>
      </c>
      <c r="I1101" t="n">
        <v>0</v>
      </c>
      <c r="J1101" t="n">
        <v>0</v>
      </c>
      <c r="K1101">
        <f>IF(H1101-I1101-J1101&gt;0,H1101-I1101-J1101,0)</f>
        <v/>
      </c>
      <c r="L1101" s="1">
        <f>IFERROR(I1101*E1101,0)</f>
        <v/>
      </c>
      <c r="M1101" s="1">
        <f>IFERROR(K1101*E1101,0)</f>
        <v/>
      </c>
    </row>
    <row r="1102">
      <c r="A1102" t="inlineStr">
        <is>
          <t>M12X16</t>
        </is>
      </c>
      <c r="B1102" t="inlineStr">
        <is>
          <t>M12X16 HT HEX SET SCREWS</t>
        </is>
      </c>
      <c r="C1102" t="inlineStr">
        <is>
          <t>M&amp;D SPECIALISED FASTENERS (PTY) LTD</t>
        </is>
      </c>
      <c r="D1102" t="inlineStr"/>
      <c r="E1102" s="1" t="n">
        <v>6.25</v>
      </c>
      <c r="F1102" t="n">
        <v>100</v>
      </c>
      <c r="G1102" t="n">
        <v>0</v>
      </c>
      <c r="H1102" t="n">
        <v>500</v>
      </c>
      <c r="I1102" t="n">
        <v>0</v>
      </c>
      <c r="J1102" t="n">
        <v>0</v>
      </c>
      <c r="K1102">
        <f>IF(H1102-I1102-J1102&gt;0,H1102-I1102-J1102,0)</f>
        <v/>
      </c>
      <c r="L1102" s="1">
        <f>IFERROR(I1102*E1102,0)</f>
        <v/>
      </c>
      <c r="M1102" s="1">
        <f>IFERROR(K1102*E1102,0)</f>
        <v/>
      </c>
    </row>
    <row r="1103">
      <c r="A1103" t="inlineStr">
        <is>
          <t>M12X25</t>
        </is>
      </c>
      <c r="B1103" t="inlineStr">
        <is>
          <t>M12*25 HT HEX SET SCREW Z/BLUE 12X25 933 8.8 ZB</t>
        </is>
      </c>
      <c r="C1103" t="inlineStr">
        <is>
          <t>M&amp;D SPECIALISED FASTENERS (PTY) LTD</t>
        </is>
      </c>
      <c r="D1103" t="inlineStr"/>
      <c r="E1103" s="1" t="n">
        <v>3</v>
      </c>
      <c r="F1103" t="n">
        <v>56</v>
      </c>
      <c r="G1103" t="n">
        <v>0</v>
      </c>
      <c r="H1103" t="n">
        <v>282</v>
      </c>
      <c r="I1103" t="n">
        <v>0</v>
      </c>
      <c r="J1103" t="n">
        <v>0</v>
      </c>
      <c r="K1103">
        <f>IF(H1103-I1103-J1103&gt;0,H1103-I1103-J1103,0)</f>
        <v/>
      </c>
      <c r="L1103" s="1">
        <f>IFERROR(I1103*E1103,0)</f>
        <v/>
      </c>
      <c r="M1103" s="1">
        <f>IFERROR(K1103*E1103,0)</f>
        <v/>
      </c>
    </row>
    <row r="1104">
      <c r="A1104" t="inlineStr">
        <is>
          <t>M12X30X3 FLAT WASHER Z/BLUE 12X30X3 OLD ZB</t>
        </is>
      </c>
      <c r="B1104" t="inlineStr">
        <is>
          <t>M12X30X3 FLAT WASHER Z/BLUE 12X30X3 OLD ZB</t>
        </is>
      </c>
      <c r="C1104" t="inlineStr">
        <is>
          <t>M&amp;D SPECIALISED FASTENERS (PTY) LTD</t>
        </is>
      </c>
      <c r="D1104" t="inlineStr"/>
      <c r="E1104" s="1" t="n">
        <v>0.86</v>
      </c>
      <c r="F1104" t="n">
        <v>112</v>
      </c>
      <c r="G1104" t="n">
        <v>0</v>
      </c>
      <c r="H1104" t="n">
        <v>560</v>
      </c>
      <c r="I1104" t="n">
        <v>0</v>
      </c>
      <c r="J1104" t="n">
        <v>0</v>
      </c>
      <c r="K1104">
        <f>IF(H1104-I1104-J1104&gt;0,H1104-I1104-J1104,0)</f>
        <v/>
      </c>
      <c r="L1104" s="1">
        <f>IFERROR(I1104*E1104,0)</f>
        <v/>
      </c>
      <c r="M1104" s="1">
        <f>IFERROR(K1104*E1104,0)</f>
        <v/>
      </c>
    </row>
    <row r="1105">
      <c r="A1105" t="inlineStr">
        <is>
          <t>M12X35</t>
        </is>
      </c>
      <c r="B1105" t="inlineStr">
        <is>
          <t>M12X35 HT Hex Set Screws</t>
        </is>
      </c>
      <c r="C1105" t="inlineStr">
        <is>
          <t>M&amp;D SPECIALISED FASTENERS (PTY) LTD</t>
        </is>
      </c>
      <c r="D1105" t="inlineStr"/>
      <c r="E1105" s="1" t="n">
        <v>3</v>
      </c>
      <c r="F1105" t="n">
        <v>24</v>
      </c>
      <c r="G1105" t="n">
        <v>0</v>
      </c>
      <c r="H1105" t="n">
        <v>122</v>
      </c>
      <c r="I1105" t="n">
        <v>0</v>
      </c>
      <c r="J1105" t="n">
        <v>0</v>
      </c>
      <c r="K1105">
        <f>IF(H1105-I1105-J1105&gt;0,H1105-I1105-J1105,0)</f>
        <v/>
      </c>
      <c r="L1105" s="1">
        <f>IFERROR(I1105*E1105,0)</f>
        <v/>
      </c>
      <c r="M1105" s="1">
        <f>IFERROR(K1105*E1105,0)</f>
        <v/>
      </c>
    </row>
    <row r="1106">
      <c r="A1106" t="inlineStr">
        <is>
          <t>M13X40X3</t>
        </is>
      </c>
      <c r="B1106" t="inlineStr">
        <is>
          <t>M13X40X3</t>
        </is>
      </c>
      <c r="C1106" t="inlineStr"/>
      <c r="D1106" t="inlineStr">
        <is>
          <t>CONSUMABLES</t>
        </is>
      </c>
      <c r="E1106" s="1" t="n">
        <v>1.15</v>
      </c>
      <c r="F1106" t="n">
        <v>100</v>
      </c>
      <c r="G1106" t="n">
        <v>0</v>
      </c>
      <c r="H1106" t="n">
        <v>500</v>
      </c>
      <c r="I1106" t="n">
        <v>0</v>
      </c>
      <c r="J1106" t="n">
        <v>0</v>
      </c>
      <c r="K1106">
        <f>IF(H1106-I1106-J1106&gt;0,H1106-I1106-J1106,0)</f>
        <v/>
      </c>
      <c r="L1106" s="1">
        <f>IFERROR(I1106*E1106,0)</f>
        <v/>
      </c>
      <c r="M1106" s="1">
        <f>IFERROR(K1106*E1106,0)</f>
        <v/>
      </c>
    </row>
    <row r="1107">
      <c r="A1107" t="inlineStr">
        <is>
          <t>M14 FLAT WASHER DIN 125A ZINC BLUE (15i / d X 28o/d X 2.5thk) 14 125A ZB</t>
        </is>
      </c>
      <c r="B1107" t="inlineStr">
        <is>
          <t>M14 FLAT WASHER DIN 125A ZINC BLUE (15i / d X 28o/d X 2.5thk) 14 125A ZB</t>
        </is>
      </c>
      <c r="C1107" t="inlineStr">
        <is>
          <t>M&amp;D SPECIALISED FASTENERS (PTY) LTD</t>
        </is>
      </c>
      <c r="D1107" t="inlineStr"/>
      <c r="E1107" s="1" t="n">
        <v>0.6</v>
      </c>
      <c r="F1107" t="n">
        <v>15</v>
      </c>
      <c r="G1107" t="n">
        <v>0</v>
      </c>
      <c r="H1107" t="n">
        <v>75</v>
      </c>
      <c r="I1107" t="n">
        <v>0</v>
      </c>
      <c r="J1107" t="n">
        <v>0</v>
      </c>
      <c r="K1107">
        <f>IF(H1107-I1107-J1107&gt;0,H1107-I1107-J1107,0)</f>
        <v/>
      </c>
      <c r="L1107" s="1">
        <f>IFERROR(I1107*E1107,0)</f>
        <v/>
      </c>
      <c r="M1107" s="1">
        <f>IFERROR(K1107*E1107,0)</f>
        <v/>
      </c>
    </row>
    <row r="1108">
      <c r="A1108" t="inlineStr">
        <is>
          <t>M14 FLAT WASHER ZB</t>
        </is>
      </c>
      <c r="B1108" t="inlineStr">
        <is>
          <t>M14x30x3 FLAT WASHER Z/BLUE</t>
        </is>
      </c>
      <c r="C1108" t="inlineStr">
        <is>
          <t>M&amp;D SPECIALISED FASTENERS (PTY) LTD</t>
        </is>
      </c>
      <c r="D1108" t="inlineStr">
        <is>
          <t>FASTENERS</t>
        </is>
      </c>
      <c r="E1108" s="1" t="n">
        <v>0.6</v>
      </c>
      <c r="F1108" t="n">
        <v>50</v>
      </c>
      <c r="G1108" t="n">
        <v>0</v>
      </c>
      <c r="H1108" t="n">
        <v>250</v>
      </c>
      <c r="I1108" t="n">
        <v>0</v>
      </c>
      <c r="J1108" t="n">
        <v>0</v>
      </c>
      <c r="K1108">
        <f>IF(H1108-I1108-J1108&gt;0,H1108-I1108-J1108,0)</f>
        <v/>
      </c>
      <c r="L1108" s="1">
        <f>IFERROR(I1108*E1108,0)</f>
        <v/>
      </c>
      <c r="M1108" s="1">
        <f>IFERROR(K1108*E1108,0)</f>
        <v/>
      </c>
    </row>
    <row r="1109">
      <c r="A1109" t="inlineStr">
        <is>
          <t>M14 HT NYLOCK NUT 14 985 GR8</t>
        </is>
      </c>
      <c r="B1109" t="inlineStr">
        <is>
          <t>M14 HT NYLOCK NUT 14 985 GR8</t>
        </is>
      </c>
      <c r="C1109" t="inlineStr">
        <is>
          <t>M&amp;D SPECIALISED FASTENERS (PTY) LTD</t>
        </is>
      </c>
      <c r="D1109" t="inlineStr"/>
      <c r="E1109" s="1" t="n">
        <v>1.3</v>
      </c>
      <c r="F1109" t="n">
        <v>8</v>
      </c>
      <c r="G1109" t="n">
        <v>0</v>
      </c>
      <c r="H1109" t="n">
        <v>38</v>
      </c>
      <c r="I1109" t="n">
        <v>0</v>
      </c>
      <c r="J1109" t="n">
        <v>0</v>
      </c>
      <c r="K1109">
        <f>IF(H1109-I1109-J1109&gt;0,H1109-I1109-J1109,0)</f>
        <v/>
      </c>
      <c r="L1109" s="1">
        <f>IFERROR(I1109*E1109,0)</f>
        <v/>
      </c>
      <c r="M1109" s="1">
        <f>IFERROR(K1109*E1109,0)</f>
        <v/>
      </c>
    </row>
    <row r="1110">
      <c r="A1110" t="inlineStr">
        <is>
          <t>M14*50 HT HEX SET SCREW Z/BLUE 14X50 933 8 . 8 ZB</t>
        </is>
      </c>
      <c r="B1110" t="inlineStr">
        <is>
          <t>M14*50 HT HEX SET SCREW Z/BLUE 14X50 933 8 . 8 ZB</t>
        </is>
      </c>
      <c r="C1110" t="inlineStr">
        <is>
          <t>M&amp;D SPECIALISED FASTENERS (PTY) LTD</t>
        </is>
      </c>
      <c r="D1110" t="inlineStr"/>
      <c r="E1110" s="1" t="n">
        <v>8</v>
      </c>
      <c r="F1110" t="n">
        <v>15</v>
      </c>
      <c r="G1110" t="n">
        <v>0</v>
      </c>
      <c r="H1110" t="n">
        <v>75</v>
      </c>
      <c r="I1110" t="n">
        <v>0</v>
      </c>
      <c r="J1110" t="n">
        <v>0</v>
      </c>
      <c r="K1110">
        <f>IF(H1110-I1110-J1110&gt;0,H1110-I1110-J1110,0)</f>
        <v/>
      </c>
      <c r="L1110" s="1">
        <f>IFERROR(I1110*E1110,0)</f>
        <v/>
      </c>
      <c r="M1110" s="1">
        <f>IFERROR(K1110*E1110,0)</f>
        <v/>
      </c>
    </row>
    <row r="1111">
      <c r="A1111" t="inlineStr">
        <is>
          <t>M14X65 Hex Set Screw</t>
        </is>
      </c>
      <c r="B1111" t="inlineStr">
        <is>
          <t>M14*65 HT HEX SET SCREW Z/BLUE</t>
        </is>
      </c>
      <c r="C1111" t="inlineStr">
        <is>
          <t>M&amp;D SPECIALISED FASTENERS (PTY) LTD</t>
        </is>
      </c>
      <c r="D1111" t="inlineStr">
        <is>
          <t>FASTENERS</t>
        </is>
      </c>
      <c r="E1111" s="1" t="n">
        <v>6.5</v>
      </c>
      <c r="F1111" t="n">
        <v>50</v>
      </c>
      <c r="G1111" t="n">
        <v>0</v>
      </c>
      <c r="H1111" t="n">
        <v>250</v>
      </c>
      <c r="I1111" t="n">
        <v>0</v>
      </c>
      <c r="J1111" t="n">
        <v>0</v>
      </c>
      <c r="K1111">
        <f>IF(H1111-I1111-J1111&gt;0,H1111-I1111-J1111,0)</f>
        <v/>
      </c>
      <c r="L1111" s="1">
        <f>IFERROR(I1111*E1111,0)</f>
        <v/>
      </c>
      <c r="M1111" s="1">
        <f>IFERROR(K1111*E1111,0)</f>
        <v/>
      </c>
    </row>
    <row r="1112">
      <c r="A1112" t="inlineStr">
        <is>
          <t>M16 FLAT WASHER (S/S)</t>
        </is>
      </c>
      <c r="B1112" t="inlineStr">
        <is>
          <t>M16 FLAT WASHER STAINLESS STEEL A2</t>
        </is>
      </c>
      <c r="C1112" t="inlineStr">
        <is>
          <t>M&amp;D SPECIALISED FASTENERS (PTY) LTD</t>
        </is>
      </c>
      <c r="D1112" t="inlineStr">
        <is>
          <t>FASTENERS</t>
        </is>
      </c>
      <c r="E1112" s="1" t="n">
        <v>1.3</v>
      </c>
      <c r="F1112" t="n">
        <v>50</v>
      </c>
      <c r="G1112" t="n">
        <v>0</v>
      </c>
      <c r="H1112" t="n">
        <v>250</v>
      </c>
      <c r="I1112" t="n">
        <v>0</v>
      </c>
      <c r="J1112" t="n">
        <v>0</v>
      </c>
      <c r="K1112">
        <f>IF(H1112-I1112-J1112&gt;0,H1112-I1112-J1112,0)</f>
        <v/>
      </c>
      <c r="L1112" s="1">
        <f>IFERROR(I1112*E1112,0)</f>
        <v/>
      </c>
      <c r="M1112" s="1">
        <f>IFERROR(K1112*E1112,0)</f>
        <v/>
      </c>
    </row>
    <row r="1113">
      <c r="A1113" t="inlineStr">
        <is>
          <t>M16 FLAT WASHER DIN (17i/d X 30o/d 3thk) S/S A2</t>
        </is>
      </c>
      <c r="B1113" t="inlineStr">
        <is>
          <t>M16 FLAT WASHER DIN (17i/d x 30o/d X 3thk) S/S A2</t>
        </is>
      </c>
      <c r="C1113" t="inlineStr">
        <is>
          <t>M&amp;D SPECIALISED FASTENERS (PTY) LTD</t>
        </is>
      </c>
      <c r="D1113" t="inlineStr"/>
      <c r="E1113" s="1" t="n">
        <v>1.3</v>
      </c>
      <c r="F1113" t="n">
        <v>144</v>
      </c>
      <c r="G1113" t="n">
        <v>0</v>
      </c>
      <c r="H1113" t="n">
        <v>504</v>
      </c>
      <c r="I1113" t="n">
        <v>0</v>
      </c>
      <c r="J1113" t="n">
        <v>0</v>
      </c>
      <c r="K1113">
        <f>IF(H1113-I1113-J1113&gt;0,H1113-I1113-J1113,0)</f>
        <v/>
      </c>
      <c r="L1113" s="1">
        <f>IFERROR(I1113*E1113,0)</f>
        <v/>
      </c>
      <c r="M1113" s="1">
        <f>IFERROR(K1113*E1113,0)</f>
        <v/>
      </c>
    </row>
    <row r="1114">
      <c r="A1114" t="inlineStr">
        <is>
          <t>M16 FLAT WASHER DIN 125A ZINC BLUE (17i/d X 30o/d 3thk) 16 125A ZB</t>
        </is>
      </c>
      <c r="B1114" t="inlineStr">
        <is>
          <t>M16 FLAT WASHER DIN 125A ZINC BLUE (17i/d X 30o/d 3thk) 16 125A ZB</t>
        </is>
      </c>
      <c r="C1114" t="inlineStr">
        <is>
          <t>M&amp;D SPECIALISED FASTENERS (PTY) LTD</t>
        </is>
      </c>
      <c r="D1114" t="inlineStr"/>
      <c r="E1114" s="1" t="n">
        <v>0.8</v>
      </c>
      <c r="F1114" t="n">
        <v>167</v>
      </c>
      <c r="G1114" t="n">
        <v>0</v>
      </c>
      <c r="H1114" t="n">
        <v>836</v>
      </c>
      <c r="I1114" t="n">
        <v>0</v>
      </c>
      <c r="J1114" t="n">
        <v>0</v>
      </c>
      <c r="K1114">
        <f>IF(H1114-I1114-J1114&gt;0,H1114-I1114-J1114,0)</f>
        <v/>
      </c>
      <c r="L1114" s="1">
        <f>IFERROR(I1114*E1114,0)</f>
        <v/>
      </c>
      <c r="M1114" s="1">
        <f>IFERROR(K1114*E1114,0)</f>
        <v/>
      </c>
    </row>
    <row r="1115">
      <c r="A1115" t="inlineStr">
        <is>
          <t>M16 GR8 HEX NUT Z/BLUE 16 934 GR8 ZB</t>
        </is>
      </c>
      <c r="B1115" t="inlineStr">
        <is>
          <t>M16 GR8 HEX NUT Z/BLUE 16 934 GR8 ZB</t>
        </is>
      </c>
      <c r="C1115" t="inlineStr">
        <is>
          <t>M&amp;D SPECIALISED FASTENERS (PTY) LTD</t>
        </is>
      </c>
      <c r="D1115" t="inlineStr"/>
      <c r="E1115" s="1" t="n">
        <v>2.02</v>
      </c>
      <c r="F1115" t="n">
        <v>110</v>
      </c>
      <c r="G1115" t="n">
        <v>0</v>
      </c>
      <c r="H1115" t="n">
        <v>551</v>
      </c>
      <c r="I1115" t="n">
        <v>0</v>
      </c>
      <c r="J1115" t="n">
        <v>0</v>
      </c>
      <c r="K1115">
        <f>IF(H1115-I1115-J1115&gt;0,H1115-I1115-J1115,0)</f>
        <v/>
      </c>
      <c r="L1115" s="1">
        <f>IFERROR(I1115*E1115,0)</f>
        <v/>
      </c>
      <c r="M1115" s="1">
        <f>IFERROR(K1115*E1115,0)</f>
        <v/>
      </c>
    </row>
    <row r="1116">
      <c r="A1116" t="inlineStr">
        <is>
          <t>M16 HEX</t>
        </is>
      </c>
      <c r="B1116" t="inlineStr">
        <is>
          <t>M16 HEX NUT HOT DIP GALV</t>
        </is>
      </c>
      <c r="C1116" t="inlineStr">
        <is>
          <t>M&amp;D SPECIALISED FASTENERS (PTY) LTD</t>
        </is>
      </c>
      <c r="D1116" t="inlineStr"/>
      <c r="E1116" s="1" t="n">
        <v>2</v>
      </c>
      <c r="F1116" t="n">
        <v>2</v>
      </c>
      <c r="G1116" t="n">
        <v>0</v>
      </c>
      <c r="H1116" t="n">
        <v>10</v>
      </c>
      <c r="I1116" t="n">
        <v>0</v>
      </c>
      <c r="J1116" t="n">
        <v>0</v>
      </c>
      <c r="K1116">
        <f>IF(H1116-I1116-J1116&gt;0,H1116-I1116-J1116,0)</f>
        <v/>
      </c>
      <c r="L1116" s="1">
        <f>IFERROR(I1116*E1116,0)</f>
        <v/>
      </c>
      <c r="M1116" s="1">
        <f>IFERROR(K1116*E1116,0)</f>
        <v/>
      </c>
    </row>
    <row r="1117">
      <c r="A1117" t="inlineStr">
        <is>
          <t>M16 HEX NUT (S/S)</t>
        </is>
      </c>
      <c r="B1117" t="inlineStr">
        <is>
          <t>M16 HEX NUT STAINLESS STEEL A2</t>
        </is>
      </c>
      <c r="C1117" t="inlineStr">
        <is>
          <t>M&amp;D SPECIALISED FASTENERS (PTY) LTD</t>
        </is>
      </c>
      <c r="D1117" t="inlineStr">
        <is>
          <t>FASTENERS</t>
        </is>
      </c>
      <c r="E1117" s="1" t="n">
        <v>3.5</v>
      </c>
      <c r="F1117" t="n">
        <v>100</v>
      </c>
      <c r="G1117" t="n">
        <v>0</v>
      </c>
      <c r="H1117" t="n">
        <v>500</v>
      </c>
      <c r="I1117" t="n">
        <v>0</v>
      </c>
      <c r="J1117" t="n">
        <v>0</v>
      </c>
      <c r="K1117">
        <f>IF(H1117-I1117-J1117&gt;0,H1117-I1117-J1117,0)</f>
        <v/>
      </c>
      <c r="L1117" s="1">
        <f>IFERROR(I1117*E1117,0)</f>
        <v/>
      </c>
      <c r="M1117" s="1">
        <f>IFERROR(K1117*E1117,0)</f>
        <v/>
      </c>
    </row>
    <row r="1118">
      <c r="A1118" t="inlineStr">
        <is>
          <t>M16 LOCK NUT</t>
        </is>
      </c>
      <c r="B1118" t="inlineStr">
        <is>
          <t>M16 HT LOCK NUT</t>
        </is>
      </c>
      <c r="C1118" t="inlineStr">
        <is>
          <t>M&amp;D SPECIALISED FASTENERS (PTY) LTD</t>
        </is>
      </c>
      <c r="D1118" t="inlineStr"/>
      <c r="E1118" s="1" t="n">
        <v>1.8</v>
      </c>
      <c r="F1118" t="n">
        <v>150</v>
      </c>
      <c r="G1118" t="n">
        <v>0</v>
      </c>
      <c r="H1118" t="n">
        <v>750</v>
      </c>
      <c r="I1118" t="n">
        <v>0</v>
      </c>
      <c r="J1118" t="n">
        <v>0</v>
      </c>
      <c r="K1118">
        <f>IF(H1118-I1118-J1118&gt;0,H1118-I1118-J1118,0)</f>
        <v/>
      </c>
      <c r="L1118" s="1">
        <f>IFERROR(I1118*E1118,0)</f>
        <v/>
      </c>
      <c r="M1118" s="1">
        <f>IFERROR(K1118*E1118,0)</f>
        <v/>
      </c>
    </row>
    <row r="1119">
      <c r="A1119" t="inlineStr">
        <is>
          <t>M16*1</t>
        </is>
      </c>
      <c r="B1119" t="inlineStr">
        <is>
          <t>MM16*1 M/S THREADED ROD Z/BLUE - 16*1 975 ZB</t>
        </is>
      </c>
      <c r="C1119" t="inlineStr">
        <is>
          <t>M&amp;D SPECIALISED FASTENERS (PTY) LTD</t>
        </is>
      </c>
      <c r="D1119" t="inlineStr"/>
      <c r="E1119" s="1" t="n">
        <v>75</v>
      </c>
      <c r="F1119" t="n">
        <v>2</v>
      </c>
      <c r="G1119" t="n">
        <v>0</v>
      </c>
      <c r="H1119" t="n">
        <v>12</v>
      </c>
      <c r="I1119" t="n">
        <v>0</v>
      </c>
      <c r="J1119" t="n">
        <v>0</v>
      </c>
      <c r="K1119">
        <f>IF(H1119-I1119-J1119&gt;0,H1119-I1119-J1119,0)</f>
        <v/>
      </c>
      <c r="L1119" s="1">
        <f>IFERROR(I1119*E1119,0)</f>
        <v/>
      </c>
      <c r="M1119" s="1">
        <f>IFERROR(K1119*E1119,0)</f>
        <v/>
      </c>
    </row>
    <row r="1120">
      <c r="A1120" t="inlineStr">
        <is>
          <t>M16*110</t>
        </is>
      </c>
      <c r="B1120" t="inlineStr">
        <is>
          <t>M16*110 GR8.8 HEX BOLT HOT</t>
        </is>
      </c>
      <c r="C1120" t="inlineStr">
        <is>
          <t>M&amp;D SPECIALISED FASTENERS (PTY) LTD</t>
        </is>
      </c>
      <c r="D1120" t="inlineStr"/>
      <c r="E1120" s="1" t="n">
        <v>20</v>
      </c>
      <c r="F1120" t="n">
        <v>2</v>
      </c>
      <c r="G1120" t="n">
        <v>0</v>
      </c>
      <c r="H1120" t="n">
        <v>10</v>
      </c>
      <c r="I1120" t="n">
        <v>0</v>
      </c>
      <c r="J1120" t="n">
        <v>0</v>
      </c>
      <c r="K1120">
        <f>IF(H1120-I1120-J1120&gt;0,H1120-I1120-J1120,0)</f>
        <v/>
      </c>
      <c r="L1120" s="1">
        <f>IFERROR(I1120*E1120,0)</f>
        <v/>
      </c>
      <c r="M1120" s="1">
        <f>IFERROR(K1120*E1120,0)</f>
        <v/>
      </c>
    </row>
    <row r="1121">
      <c r="A1121" t="inlineStr">
        <is>
          <t>M16*120 (S/S)</t>
        </is>
      </c>
      <c r="B1121" t="inlineStr">
        <is>
          <t>M16*120 HT HEX SET SCREW (S/S) A2</t>
        </is>
      </c>
      <c r="C1121" t="inlineStr">
        <is>
          <t>M&amp;D SPECIALISED FASTENERS (PTY) LTD</t>
        </is>
      </c>
      <c r="D1121" t="inlineStr">
        <is>
          <t>FASTENERS</t>
        </is>
      </c>
      <c r="E1121" s="1" t="n">
        <v>45</v>
      </c>
      <c r="F1121" t="n">
        <v>75</v>
      </c>
      <c r="G1121" t="n">
        <v>0</v>
      </c>
      <c r="H1121" t="n">
        <v>375</v>
      </c>
      <c r="I1121" t="n">
        <v>0</v>
      </c>
      <c r="J1121" t="n">
        <v>0</v>
      </c>
      <c r="K1121">
        <f>IF(H1121-I1121-J1121&gt;0,H1121-I1121-J1121,0)</f>
        <v/>
      </c>
      <c r="L1121" s="1">
        <f>IFERROR(I1121*E1121,0)</f>
        <v/>
      </c>
      <c r="M1121" s="1">
        <f>IFERROR(K1121*E1121,0)</f>
        <v/>
      </c>
    </row>
    <row r="1122">
      <c r="A1122" t="inlineStr">
        <is>
          <t>M16*120 HT HEX SET SCREW</t>
        </is>
      </c>
      <c r="B1122" t="inlineStr">
        <is>
          <t>M16*120 HT HEX SET SCREW 16X120 933 8.8</t>
        </is>
      </c>
      <c r="C1122" t="inlineStr">
        <is>
          <t>M&amp;D SPECIALISED FASTENERS (PTY) LTD</t>
        </is>
      </c>
      <c r="D1122" t="inlineStr"/>
      <c r="E1122" s="1" t="n">
        <v>18.05</v>
      </c>
      <c r="F1122" t="n">
        <v>36</v>
      </c>
      <c r="G1122" t="n">
        <v>0</v>
      </c>
      <c r="H1122" t="n">
        <v>181</v>
      </c>
      <c r="I1122" t="n">
        <v>0</v>
      </c>
      <c r="J1122" t="n">
        <v>0</v>
      </c>
      <c r="K1122">
        <f>IF(H1122-I1122-J1122&gt;0,H1122-I1122-J1122,0)</f>
        <v/>
      </c>
      <c r="L1122" s="1">
        <f>IFERROR(I1122*E1122,0)</f>
        <v/>
      </c>
      <c r="M1122" s="1">
        <f>IFERROR(K1122*E1122,0)</f>
        <v/>
      </c>
    </row>
    <row r="1123">
      <c r="A1123" t="inlineStr">
        <is>
          <t>M16*20</t>
        </is>
      </c>
      <c r="B1123" t="inlineStr">
        <is>
          <t>M16*20 Hex Set Screws</t>
        </is>
      </c>
      <c r="C1123" t="inlineStr">
        <is>
          <t>M&amp;D SPECIALISED FASTENERS (PTY) LTD</t>
        </is>
      </c>
      <c r="D1123" t="inlineStr"/>
      <c r="E1123" s="1" t="n">
        <v>7.14</v>
      </c>
      <c r="F1123" t="n">
        <v>70</v>
      </c>
      <c r="G1123" t="n">
        <v>0</v>
      </c>
      <c r="H1123" t="n">
        <v>350</v>
      </c>
      <c r="I1123" t="n">
        <v>0</v>
      </c>
      <c r="J1123" t="n">
        <v>0</v>
      </c>
      <c r="K1123">
        <f>IF(H1123-I1123-J1123&gt;0,H1123-I1123-J1123,0)</f>
        <v/>
      </c>
      <c r="L1123" s="1">
        <f>IFERROR(I1123*E1123,0)</f>
        <v/>
      </c>
      <c r="M1123" s="1">
        <f>IFERROR(K1123*E1123,0)</f>
        <v/>
      </c>
    </row>
    <row r="1124">
      <c r="A1124" t="inlineStr">
        <is>
          <t>M16*20(S/S)</t>
        </is>
      </c>
      <c r="B1124" t="inlineStr">
        <is>
          <t>M16*20 Hex Set Screws A2</t>
        </is>
      </c>
      <c r="C1124" t="inlineStr"/>
      <c r="D1124" t="inlineStr">
        <is>
          <t>CONSUMABLES</t>
        </is>
      </c>
      <c r="E1124" s="1" t="n">
        <v>11</v>
      </c>
      <c r="F1124" t="n">
        <v>42</v>
      </c>
      <c r="G1124" t="n">
        <v>0</v>
      </c>
      <c r="H1124" t="n">
        <v>212</v>
      </c>
      <c r="I1124" t="n">
        <v>0</v>
      </c>
      <c r="J1124" t="n">
        <v>0</v>
      </c>
      <c r="K1124">
        <f>IF(H1124-I1124-J1124&gt;0,H1124-I1124-J1124,0)</f>
        <v/>
      </c>
      <c r="L1124" s="1">
        <f>IFERROR(I1124*E1124,0)</f>
        <v/>
      </c>
      <c r="M1124" s="1">
        <f>IFERROR(K1124*E1124,0)</f>
        <v/>
      </c>
    </row>
    <row r="1125">
      <c r="A1125" t="inlineStr">
        <is>
          <t>M16*25(S/S)</t>
        </is>
      </c>
      <c r="B1125" t="inlineStr">
        <is>
          <t>M16*25 A2 HEX SET SCREW 933 A2</t>
        </is>
      </c>
      <c r="C1125" t="inlineStr"/>
      <c r="D1125" t="inlineStr">
        <is>
          <t>CONSUMABLES</t>
        </is>
      </c>
      <c r="E1125" s="1" t="n">
        <v>11</v>
      </c>
      <c r="F1125" t="n">
        <v>32</v>
      </c>
      <c r="G1125" t="n">
        <v>0</v>
      </c>
      <c r="H1125" t="n">
        <v>162</v>
      </c>
      <c r="I1125" t="n">
        <v>0</v>
      </c>
      <c r="J1125" t="n">
        <v>0</v>
      </c>
      <c r="K1125">
        <f>IF(H1125-I1125-J1125&gt;0,H1125-I1125-J1125,0)</f>
        <v/>
      </c>
      <c r="L1125" s="1">
        <f>IFERROR(I1125*E1125,0)</f>
        <v/>
      </c>
      <c r="M1125" s="1">
        <f>IFERROR(K1125*E1125,0)</f>
        <v/>
      </c>
    </row>
    <row r="1126">
      <c r="A1126" t="inlineStr">
        <is>
          <t>M16*40 HT HEX SET SCREW 8 . 8 Z/BLUE 16X40 933 8 . 8 ZB</t>
        </is>
      </c>
      <c r="B1126" t="inlineStr">
        <is>
          <t>M16*40 HT HEX SET SCREW 8 . 8 Z/BLUE 16X40 933 8 . 8 ZB</t>
        </is>
      </c>
      <c r="C1126" t="inlineStr">
        <is>
          <t>M&amp;D SPECIALISED FASTENERS (PTY) LTD</t>
        </is>
      </c>
      <c r="D1126" t="inlineStr"/>
      <c r="E1126" s="1" t="n">
        <v>6</v>
      </c>
      <c r="F1126" t="n">
        <v>32</v>
      </c>
      <c r="G1126" t="n">
        <v>0</v>
      </c>
      <c r="H1126" t="n">
        <v>160</v>
      </c>
      <c r="I1126" t="n">
        <v>0</v>
      </c>
      <c r="J1126" t="n">
        <v>0</v>
      </c>
      <c r="K1126">
        <f>IF(H1126-I1126-J1126&gt;0,H1126-I1126-J1126,0)</f>
        <v/>
      </c>
      <c r="L1126" s="1">
        <f>IFERROR(I1126*E1126,0)</f>
        <v/>
      </c>
      <c r="M1126" s="1">
        <f>IFERROR(K1126*E1126,0)</f>
        <v/>
      </c>
    </row>
    <row r="1127">
      <c r="A1127" t="inlineStr">
        <is>
          <t>M16X110 HT SET SCREW 16X110 933 8.8</t>
        </is>
      </c>
      <c r="B1127" t="inlineStr">
        <is>
          <t>M16X110 HT SET SCREW 16X110 933 8.8</t>
        </is>
      </c>
      <c r="C1127" t="inlineStr">
        <is>
          <t>M&amp;D SPECIALISED FASTENERS (PTY) LTD</t>
        </is>
      </c>
      <c r="D1127" t="inlineStr"/>
      <c r="E1127" s="1" t="n">
        <v>20</v>
      </c>
      <c r="F1127" t="n">
        <v>16</v>
      </c>
      <c r="G1127" t="n">
        <v>0</v>
      </c>
      <c r="H1127" t="n">
        <v>36</v>
      </c>
      <c r="I1127" t="n">
        <v>0</v>
      </c>
      <c r="J1127" t="n">
        <v>0</v>
      </c>
      <c r="K1127">
        <f>IF(H1127-I1127-J1127&gt;0,H1127-I1127-J1127,0)</f>
        <v/>
      </c>
      <c r="L1127" s="1">
        <f>IFERROR(I1127*E1127,0)</f>
        <v/>
      </c>
      <c r="M1127" s="1">
        <f>IFERROR(K1127*E1127,0)</f>
        <v/>
      </c>
    </row>
    <row r="1128">
      <c r="A1128" t="inlineStr">
        <is>
          <t>M16X130 HT</t>
        </is>
      </c>
      <c r="B1128" t="inlineStr">
        <is>
          <t>M16X130 HT SET SCREW MECH</t>
        </is>
      </c>
      <c r="C1128" t="inlineStr">
        <is>
          <t>M&amp;D SPECIALISED FASTENERS (PTY) LTD</t>
        </is>
      </c>
      <c r="D1128" t="inlineStr"/>
      <c r="E1128" s="1" t="n">
        <v>65</v>
      </c>
      <c r="F1128" t="n">
        <v>1</v>
      </c>
      <c r="G1128" t="n">
        <v>0</v>
      </c>
      <c r="H1128" t="n">
        <v>5</v>
      </c>
      <c r="I1128" t="n">
        <v>0</v>
      </c>
      <c r="J1128" t="n">
        <v>0</v>
      </c>
      <c r="K1128">
        <f>IF(H1128-I1128-J1128&gt;0,H1128-I1128-J1128,0)</f>
        <v/>
      </c>
      <c r="L1128" s="1">
        <f>IFERROR(I1128*E1128,0)</f>
        <v/>
      </c>
      <c r="M1128" s="1">
        <f>IFERROR(K1128*E1128,0)</f>
        <v/>
      </c>
    </row>
    <row r="1129">
      <c r="A1129" t="inlineStr">
        <is>
          <t>M16X90</t>
        </is>
      </c>
      <c r="B1129" t="inlineStr">
        <is>
          <t>M16X90 HT HEX SET SCREWS Z/BLUE</t>
        </is>
      </c>
      <c r="C1129" t="inlineStr">
        <is>
          <t>M&amp;D SPECIALISED FASTENERS (PTY) LTD</t>
        </is>
      </c>
      <c r="D1129" t="inlineStr"/>
      <c r="E1129" s="1" t="n">
        <v>12</v>
      </c>
      <c r="F1129" t="n">
        <v>150</v>
      </c>
      <c r="G1129" t="n">
        <v>0</v>
      </c>
      <c r="H1129" t="n">
        <v>750</v>
      </c>
      <c r="I1129" t="n">
        <v>0</v>
      </c>
      <c r="J1129" t="n">
        <v>0</v>
      </c>
      <c r="K1129">
        <f>IF(H1129-I1129-J1129&gt;0,H1129-I1129-J1129,0)</f>
        <v/>
      </c>
      <c r="L1129" s="1">
        <f>IFERROR(I1129*E1129,0)</f>
        <v/>
      </c>
      <c r="M1129" s="1">
        <f>IFERROR(K1129*E1129,0)</f>
        <v/>
      </c>
    </row>
    <row r="1130">
      <c r="A1130" t="inlineStr">
        <is>
          <t>M20 DIN 580 TESTED EYE BOLT GALV M20EYE OLD</t>
        </is>
      </c>
      <c r="B1130" t="inlineStr">
        <is>
          <t>M20 DIN 580 TESTED EYE BOLT GALV M20EYE OLD</t>
        </is>
      </c>
      <c r="C1130" t="inlineStr">
        <is>
          <t>M&amp;D SPECIALISED FASTENERS (PTY) LTD</t>
        </is>
      </c>
      <c r="D1130" t="inlineStr"/>
      <c r="E1130" s="1" t="n">
        <v>43.15</v>
      </c>
      <c r="F1130" t="n">
        <v>4</v>
      </c>
      <c r="G1130" t="n">
        <v>0</v>
      </c>
      <c r="H1130" t="n">
        <v>20</v>
      </c>
      <c r="I1130" t="n">
        <v>0</v>
      </c>
      <c r="J1130" t="n">
        <v>0</v>
      </c>
      <c r="K1130">
        <f>IF(H1130-I1130-J1130&gt;0,H1130-I1130-J1130,0)</f>
        <v/>
      </c>
      <c r="L1130" s="1">
        <f>IFERROR(I1130*E1130,0)</f>
        <v/>
      </c>
      <c r="M1130" s="1">
        <f>IFERROR(K1130*E1130,0)</f>
        <v/>
      </c>
    </row>
    <row r="1131">
      <c r="A1131" t="inlineStr">
        <is>
          <t>M20*20 GRUB SCREW Z/BLUE 20X20 916 14.9 ZB</t>
        </is>
      </c>
      <c r="B1131" t="inlineStr">
        <is>
          <t>M20*20 GRUB SCREW Z/BLUE 20X20 916 14.9 ZB</t>
        </is>
      </c>
      <c r="C1131" t="inlineStr">
        <is>
          <t>M&amp;D SPECIALISED FASTENERS (PTY) LTD</t>
        </is>
      </c>
      <c r="D1131" t="inlineStr"/>
      <c r="E1131" s="1" t="n">
        <v>8</v>
      </c>
      <c r="F1131" t="n">
        <v>1</v>
      </c>
      <c r="G1131" t="n">
        <v>0</v>
      </c>
      <c r="H1131" t="n">
        <v>2</v>
      </c>
      <c r="I1131" t="n">
        <v>0</v>
      </c>
      <c r="J1131" t="n">
        <v>0</v>
      </c>
      <c r="K1131">
        <f>IF(H1131-I1131-J1131&gt;0,H1131-I1131-J1131,0)</f>
        <v/>
      </c>
      <c r="L1131" s="1">
        <f>IFERROR(I1131*E1131,0)</f>
        <v/>
      </c>
      <c r="M1131" s="1">
        <f>IFERROR(K1131*E1131,0)</f>
        <v/>
      </c>
    </row>
    <row r="1132">
      <c r="A1132" t="inlineStr">
        <is>
          <t>M5 HT NUT Z/BLUE 5 934 GR8 ZB</t>
        </is>
      </c>
      <c r="B1132" t="inlineStr">
        <is>
          <t>M5 HT NUT Z/BLUE 5 934 GR8 ZB</t>
        </is>
      </c>
      <c r="C1132" t="inlineStr">
        <is>
          <t>M&amp;D SPECIALISED FASTENERS (PTY) LTD</t>
        </is>
      </c>
      <c r="D1132" t="inlineStr"/>
      <c r="E1132" s="1" t="n">
        <v>0.15</v>
      </c>
      <c r="F1132" t="n">
        <v>46</v>
      </c>
      <c r="G1132" t="n">
        <v>0</v>
      </c>
      <c r="H1132" t="n">
        <v>228</v>
      </c>
      <c r="I1132" t="n">
        <v>0</v>
      </c>
      <c r="J1132" t="n">
        <v>0</v>
      </c>
      <c r="K1132">
        <f>IF(H1132-I1132-J1132&gt;0,H1132-I1132-J1132,0)</f>
        <v/>
      </c>
      <c r="L1132" s="1">
        <f>IFERROR(I1132*E1132,0)</f>
        <v/>
      </c>
      <c r="M1132" s="1">
        <f>IFERROR(K1132*E1132,0)</f>
        <v/>
      </c>
    </row>
    <row r="1133">
      <c r="A1133" t="inlineStr">
        <is>
          <t>M5*16 HT HEX SET SCREW Z/BLUE 5X16 933 8.8 ZB</t>
        </is>
      </c>
      <c r="B1133" t="inlineStr">
        <is>
          <t>M5*16 HT HEX SET SCREW Z/BLUE 5X16 933 8.8 ZB</t>
        </is>
      </c>
      <c r="C1133" t="inlineStr">
        <is>
          <t>M&amp;D SPECIALISED FASTENERS (PTY) LTD</t>
        </is>
      </c>
      <c r="D1133" t="inlineStr"/>
      <c r="E1133" s="1" t="n">
        <v>0.36</v>
      </c>
      <c r="F1133" t="n">
        <v>48</v>
      </c>
      <c r="G1133" t="n">
        <v>0</v>
      </c>
      <c r="H1133" t="n">
        <v>240</v>
      </c>
      <c r="I1133" t="n">
        <v>0</v>
      </c>
      <c r="J1133" t="n">
        <v>0</v>
      </c>
      <c r="K1133">
        <f>IF(H1133-I1133-J1133&gt;0,H1133-I1133-J1133,0)</f>
        <v/>
      </c>
      <c r="L1133" s="1">
        <f>IFERROR(I1133*E1133,0)</f>
        <v/>
      </c>
      <c r="M1133" s="1">
        <f>IFERROR(K1133*E1133,0)</f>
        <v/>
      </c>
    </row>
    <row r="1134">
      <c r="A1134" t="inlineStr">
        <is>
          <t>M5*45 HT HEX SET SCREW 5X45 933 8 . 8</t>
        </is>
      </c>
      <c r="B1134" t="inlineStr">
        <is>
          <t>M5*45 HT HEX SET SCREW 5X45 933 8 . 8</t>
        </is>
      </c>
      <c r="C1134" t="inlineStr">
        <is>
          <t>M&amp;D SPECIALISED FASTENERS (PTY) LTD</t>
        </is>
      </c>
      <c r="D1134" t="inlineStr"/>
      <c r="E1134" s="1" t="n">
        <v>0.95</v>
      </c>
      <c r="F1134" t="n">
        <v>14</v>
      </c>
      <c r="G1134" t="n">
        <v>0</v>
      </c>
      <c r="H1134" t="n">
        <v>69</v>
      </c>
      <c r="I1134" t="n">
        <v>0</v>
      </c>
      <c r="J1134" t="n">
        <v>0</v>
      </c>
      <c r="K1134">
        <f>IF(H1134-I1134-J1134&gt;0,H1134-I1134-J1134,0)</f>
        <v/>
      </c>
      <c r="L1134" s="1">
        <f>IFERROR(I1134*E1134,0)</f>
        <v/>
      </c>
      <c r="M1134" s="1">
        <f>IFERROR(K1134*E1134,0)</f>
        <v/>
      </c>
    </row>
    <row r="1135">
      <c r="A1135" t="inlineStr">
        <is>
          <t>M5-ROD</t>
        </is>
      </c>
      <c r="B1135" t="inlineStr">
        <is>
          <t>M5 Threaded Rod</t>
        </is>
      </c>
      <c r="C1135" t="inlineStr">
        <is>
          <t>M&amp;D SPECIALISED FASTENERS (PTY) LTD</t>
        </is>
      </c>
      <c r="D1135" t="inlineStr">
        <is>
          <t>CONSUMABLES</t>
        </is>
      </c>
      <c r="E1135" s="1" t="n">
        <v>15</v>
      </c>
      <c r="F1135" t="n">
        <v>1</v>
      </c>
      <c r="G1135" t="n">
        <v>0</v>
      </c>
      <c r="H1135" t="n">
        <v>2</v>
      </c>
      <c r="I1135" t="n">
        <v>0</v>
      </c>
      <c r="J1135" t="n">
        <v>0</v>
      </c>
      <c r="K1135">
        <f>IF(H1135-I1135-J1135&gt;0,H1135-I1135-J1135,0)</f>
        <v/>
      </c>
      <c r="L1135" s="1">
        <f>IFERROR(I1135*E1135,0)</f>
        <v/>
      </c>
      <c r="M1135" s="1">
        <f>IFERROR(K1135*E1135,0)</f>
        <v/>
      </c>
    </row>
    <row r="1136">
      <c r="A1136" t="inlineStr">
        <is>
          <t>M5001-</t>
        </is>
      </c>
      <c r="B1136" t="inlineStr">
        <is>
          <t>Majax-2 500 20.C.8 Mancooler c/w 2.2 kW 2P 525V With Start/Stop Box</t>
        </is>
      </c>
      <c r="C1136" t="inlineStr">
        <is>
          <t>Air Speration</t>
        </is>
      </c>
      <c r="D1136" t="inlineStr"/>
      <c r="E1136" s="1" t="n">
        <v>18017.61</v>
      </c>
      <c r="F1136" t="n">
        <v>1</v>
      </c>
      <c r="G1136" t="n">
        <v>0</v>
      </c>
      <c r="H1136" t="n">
        <v>3</v>
      </c>
      <c r="I1136" t="n">
        <v>0</v>
      </c>
      <c r="J1136" t="n">
        <v>0</v>
      </c>
      <c r="K1136">
        <f>IF(H1136-I1136-J1136&gt;0,H1136-I1136-J1136,0)</f>
        <v/>
      </c>
      <c r="L1136" s="1">
        <f>IFERROR(I1136*E1136,0)</f>
        <v/>
      </c>
      <c r="M1136" s="1">
        <f>IFERROR(K1136*E1136,0)</f>
        <v/>
      </c>
    </row>
    <row r="1137">
      <c r="A1137" t="inlineStr">
        <is>
          <t>M5X16X1.5</t>
        </is>
      </c>
      <c r="B1137" t="inlineStr">
        <is>
          <t>HT Flat washer</t>
        </is>
      </c>
      <c r="C1137" t="inlineStr">
        <is>
          <t>M&amp;D SPECIALISED FASTENERS (PTY) LTD</t>
        </is>
      </c>
      <c r="D1137" t="inlineStr"/>
      <c r="E1137" s="1" t="n">
        <v>0.15</v>
      </c>
      <c r="F1137" t="n">
        <v>90</v>
      </c>
      <c r="G1137" t="n">
        <v>0</v>
      </c>
      <c r="H1137" t="n">
        <v>450</v>
      </c>
      <c r="I1137" t="n">
        <v>0</v>
      </c>
      <c r="J1137" t="n">
        <v>0</v>
      </c>
      <c r="K1137">
        <f>IF(H1137-I1137-J1137&gt;0,H1137-I1137-J1137,0)</f>
        <v/>
      </c>
      <c r="L1137" s="1">
        <f>IFERROR(I1137*E1137,0)</f>
        <v/>
      </c>
      <c r="M1137" s="1">
        <f>IFERROR(K1137*E1137,0)</f>
        <v/>
      </c>
    </row>
    <row r="1138">
      <c r="A1138" t="inlineStr">
        <is>
          <t>M5X25</t>
        </is>
      </c>
      <c r="B1138" t="inlineStr">
        <is>
          <t>HEX SET SCREW - S/S 304 - A2</t>
        </is>
      </c>
      <c r="C1138" t="inlineStr">
        <is>
          <t>M&amp;D SPECIALISED FASTENERS (PTY) LTD</t>
        </is>
      </c>
      <c r="D1138" t="inlineStr"/>
      <c r="E1138" s="1" t="n">
        <v>0.9</v>
      </c>
      <c r="F1138" t="n">
        <v>120</v>
      </c>
      <c r="G1138" t="n">
        <v>0</v>
      </c>
      <c r="H1138" t="n">
        <v>600</v>
      </c>
      <c r="I1138" t="n">
        <v>0</v>
      </c>
      <c r="J1138" t="n">
        <v>0</v>
      </c>
      <c r="K1138">
        <f>IF(H1138-I1138-J1138&gt;0,H1138-I1138-J1138,0)</f>
        <v/>
      </c>
      <c r="L1138" s="1">
        <f>IFERROR(I1138*E1138,0)</f>
        <v/>
      </c>
      <c r="M1138" s="1">
        <f>IFERROR(K1138*E1138,0)</f>
        <v/>
      </c>
    </row>
    <row r="1139">
      <c r="A1139" t="inlineStr">
        <is>
          <t>M6 (6.4 X12X1.6) FLAT WASHER DIN 125A ZINC BLUE</t>
        </is>
      </c>
      <c r="B1139" t="inlineStr">
        <is>
          <t>M6 (6.4 X12X1.6) FLAT WASHER DIN 125A ZINC BLUE</t>
        </is>
      </c>
      <c r="C1139" t="inlineStr">
        <is>
          <t>M&amp;D SPECIALISED FASTENERS (PTY) LTD</t>
        </is>
      </c>
      <c r="D1139" t="inlineStr"/>
      <c r="E1139" s="1" t="n">
        <v>0.09</v>
      </c>
      <c r="F1139" t="n">
        <v>136</v>
      </c>
      <c r="G1139" t="n">
        <v>0</v>
      </c>
      <c r="H1139" t="n">
        <v>679</v>
      </c>
      <c r="I1139" t="n">
        <v>0</v>
      </c>
      <c r="J1139" t="n">
        <v>0</v>
      </c>
      <c r="K1139">
        <f>IF(H1139-I1139-J1139&gt;0,H1139-I1139-J1139,0)</f>
        <v/>
      </c>
      <c r="L1139" s="1">
        <f>IFERROR(I1139*E1139,0)</f>
        <v/>
      </c>
      <c r="M1139" s="1">
        <f>IFERROR(K1139*E1139,0)</f>
        <v/>
      </c>
    </row>
    <row r="1140">
      <c r="A1140" t="inlineStr">
        <is>
          <t>M6 HT HEX NUT Z/BLUE 6 934 GR8 ZB</t>
        </is>
      </c>
      <c r="B1140" t="inlineStr">
        <is>
          <t>M6 HT HEX NUT Z/BLUE 6 934 GR8 ZB</t>
        </is>
      </c>
      <c r="C1140" t="inlineStr">
        <is>
          <t>M&amp;D SPECIALISED FASTENERS (PTY) LTD</t>
        </is>
      </c>
      <c r="D1140" t="inlineStr"/>
      <c r="E1140" s="1" t="n">
        <v>0.12</v>
      </c>
      <c r="F1140" t="n">
        <v>22</v>
      </c>
      <c r="G1140" t="n">
        <v>0</v>
      </c>
      <c r="H1140" t="n">
        <v>111</v>
      </c>
      <c r="I1140" t="n">
        <v>0</v>
      </c>
      <c r="J1140" t="n">
        <v>0</v>
      </c>
      <c r="K1140">
        <f>IF(H1140-I1140-J1140&gt;0,H1140-I1140-J1140,0)</f>
        <v/>
      </c>
      <c r="L1140" s="1">
        <f>IFERROR(I1140*E1140,0)</f>
        <v/>
      </c>
      <c r="M1140" s="1">
        <f>IFERROR(K1140*E1140,0)</f>
        <v/>
      </c>
    </row>
    <row r="1141">
      <c r="A1141" t="inlineStr">
        <is>
          <t>M6 HT NYLOCK NUT</t>
        </is>
      </c>
      <c r="B1141" t="inlineStr">
        <is>
          <t>M6 HT NYLOCK NUT</t>
        </is>
      </c>
      <c r="C1141" t="inlineStr">
        <is>
          <t>M&amp;D SPECIALISED FASTENERS (PTY) LTD</t>
        </is>
      </c>
      <c r="D1141" t="inlineStr"/>
      <c r="E1141" s="1" t="n">
        <v>0.2</v>
      </c>
      <c r="F1141" t="n">
        <v>79</v>
      </c>
      <c r="G1141" t="n">
        <v>0</v>
      </c>
      <c r="H1141" t="n">
        <v>396</v>
      </c>
      <c r="I1141" t="n">
        <v>0</v>
      </c>
      <c r="J1141" t="n">
        <v>0</v>
      </c>
      <c r="K1141">
        <f>IF(H1141-I1141-J1141&gt;0,H1141-I1141-J1141,0)</f>
        <v/>
      </c>
      <c r="L1141" s="1">
        <f>IFERROR(I1141*E1141,0)</f>
        <v/>
      </c>
      <c r="M1141" s="1">
        <f>IFERROR(K1141*E1141,0)</f>
        <v/>
      </c>
    </row>
    <row r="1142">
      <c r="A1142" t="inlineStr">
        <is>
          <t>M6*16 CSK ALLEN CAP SCREW MECHANICAL YELLOW 6X16 7991 10.9 MY</t>
        </is>
      </c>
      <c r="B1142" t="inlineStr">
        <is>
          <t>M6*16 CSK ALLEN CAP SCREW MECHANICAL YELLOW 6X16 7991 10.9 MY</t>
        </is>
      </c>
      <c r="C1142" t="inlineStr">
        <is>
          <t>M&amp;D SPECIALISED FASTENERS (PTY) LTD</t>
        </is>
      </c>
      <c r="D1142" t="inlineStr"/>
      <c r="E1142" s="1" t="n">
        <v>6</v>
      </c>
      <c r="F1142" t="n">
        <v>15</v>
      </c>
      <c r="G1142" t="n">
        <v>0</v>
      </c>
      <c r="H1142" t="n">
        <v>75</v>
      </c>
      <c r="I1142" t="n">
        <v>0</v>
      </c>
      <c r="J1142" t="n">
        <v>0</v>
      </c>
      <c r="K1142">
        <f>IF(H1142-I1142-J1142&gt;0,H1142-I1142-J1142,0)</f>
        <v/>
      </c>
      <c r="L1142" s="1">
        <f>IFERROR(I1142*E1142,0)</f>
        <v/>
      </c>
      <c r="M1142" s="1">
        <f>IFERROR(K1142*E1142,0)</f>
        <v/>
      </c>
    </row>
    <row r="1143">
      <c r="A1143" t="inlineStr">
        <is>
          <t>M6*16 HT HEX SET SCREW ENVIROPAS 6X16 933 8.8 EN</t>
        </is>
      </c>
      <c r="B1143" t="inlineStr">
        <is>
          <t>M6*16 HT HEX SET SCREW ENVIROPAS 6X16 933 8.8 EN</t>
        </is>
      </c>
      <c r="C1143" t="inlineStr">
        <is>
          <t>M&amp;D SPECIALISED FASTENERS (PTY) LTD</t>
        </is>
      </c>
      <c r="D1143" t="inlineStr"/>
      <c r="E1143" s="1" t="n">
        <v>0.59</v>
      </c>
      <c r="F1143" t="n">
        <v>28</v>
      </c>
      <c r="G1143" t="n">
        <v>0</v>
      </c>
      <c r="H1143" t="n">
        <v>140</v>
      </c>
      <c r="I1143" t="n">
        <v>0</v>
      </c>
      <c r="J1143" t="n">
        <v>0</v>
      </c>
      <c r="K1143">
        <f>IF(H1143-I1143-J1143&gt;0,H1143-I1143-J1143,0)</f>
        <v/>
      </c>
      <c r="L1143" s="1">
        <f>IFERROR(I1143*E1143,0)</f>
        <v/>
      </c>
      <c r="M1143" s="1">
        <f>IFERROR(K1143*E1143,0)</f>
        <v/>
      </c>
    </row>
    <row r="1144">
      <c r="A1144" t="inlineStr">
        <is>
          <t>M6*25</t>
        </is>
      </c>
      <c r="B1144" t="inlineStr">
        <is>
          <t>M6*25 HT HEX SET SCREW S/S A2</t>
        </is>
      </c>
      <c r="C1144" t="inlineStr">
        <is>
          <t>M&amp;D SPECIALISED FASTENERS (PTY) LTD</t>
        </is>
      </c>
      <c r="D1144" t="inlineStr"/>
      <c r="E1144" s="1" t="n">
        <v>1</v>
      </c>
      <c r="F1144" t="n">
        <v>150</v>
      </c>
      <c r="G1144" t="n">
        <v>0</v>
      </c>
      <c r="H1144" t="n">
        <v>750</v>
      </c>
      <c r="I1144" t="n">
        <v>0</v>
      </c>
      <c r="J1144" t="n">
        <v>0</v>
      </c>
      <c r="K1144">
        <f>IF(H1144-I1144-J1144&gt;0,H1144-I1144-J1144,0)</f>
        <v/>
      </c>
      <c r="L1144" s="1">
        <f>IFERROR(I1144*E1144,0)</f>
        <v/>
      </c>
      <c r="M1144" s="1">
        <f>IFERROR(K1144*E1144,0)</f>
        <v/>
      </c>
    </row>
    <row r="1145">
      <c r="A1145" t="inlineStr">
        <is>
          <t>M6*25 HT HEX SET SCREW Z/BLUE</t>
        </is>
      </c>
      <c r="B1145" t="inlineStr">
        <is>
          <t>M6*25 HT HEX SET SCREW Z/BLUE</t>
        </is>
      </c>
      <c r="C1145" t="inlineStr">
        <is>
          <t>M&amp;D SPECIALISED FASTENERS (PTY) LTD</t>
        </is>
      </c>
      <c r="D1145" t="inlineStr"/>
      <c r="E1145" s="1" t="n">
        <v>0.65</v>
      </c>
      <c r="F1145" t="n">
        <v>82</v>
      </c>
      <c r="G1145" t="n">
        <v>0</v>
      </c>
      <c r="H1145" t="n">
        <v>412</v>
      </c>
      <c r="I1145" t="n">
        <v>0</v>
      </c>
      <c r="J1145" t="n">
        <v>0</v>
      </c>
      <c r="K1145">
        <f>IF(H1145-I1145-J1145&gt;0,H1145-I1145-J1145,0)</f>
        <v/>
      </c>
      <c r="L1145" s="1">
        <f>IFERROR(I1145*E1145,0)</f>
        <v/>
      </c>
      <c r="M1145" s="1">
        <f>IFERROR(K1145*E1145,0)</f>
        <v/>
      </c>
    </row>
    <row r="1146">
      <c r="A1146" t="inlineStr">
        <is>
          <t>M6*35 HT SET SCREW Z/BLUE 6X35 933 8.8 ZB</t>
        </is>
      </c>
      <c r="B1146" t="inlineStr">
        <is>
          <t>M6*35 HT SET SCREW Z/BLUE 6X35 933 8.8 ZB</t>
        </is>
      </c>
      <c r="C1146" t="inlineStr">
        <is>
          <t>M&amp;D SPECIALISED FASTENERS (PTY) LTD</t>
        </is>
      </c>
      <c r="D1146" t="inlineStr"/>
      <c r="E1146" s="1" t="n">
        <v>0.91</v>
      </c>
      <c r="F1146" t="n">
        <v>22</v>
      </c>
      <c r="G1146" t="n">
        <v>0</v>
      </c>
      <c r="H1146" t="n">
        <v>111</v>
      </c>
      <c r="I1146" t="n">
        <v>0</v>
      </c>
      <c r="J1146" t="n">
        <v>0</v>
      </c>
      <c r="K1146">
        <f>IF(H1146-I1146-J1146&gt;0,H1146-I1146-J1146,0)</f>
        <v/>
      </c>
      <c r="L1146" s="1">
        <f>IFERROR(I1146*E1146,0)</f>
        <v/>
      </c>
      <c r="M1146" s="1">
        <f>IFERROR(K1146*E1146,0)</f>
        <v/>
      </c>
    </row>
    <row r="1147">
      <c r="A1147" t="inlineStr">
        <is>
          <t>M6X1</t>
        </is>
      </c>
      <c r="B1147" t="inlineStr">
        <is>
          <t>M6*1 M/S THREADED ROD Z/BLUE - 6*1 975 ZB</t>
        </is>
      </c>
      <c r="C1147" t="inlineStr">
        <is>
          <t>M&amp;D SPECIALISED FASTENERS (PTY) LTD</t>
        </is>
      </c>
      <c r="D1147" t="inlineStr">
        <is>
          <t>CONSUMABLES</t>
        </is>
      </c>
      <c r="E1147" s="1" t="n">
        <v>16</v>
      </c>
      <c r="F1147" t="n">
        <v>1</v>
      </c>
      <c r="G1147" t="n">
        <v>0</v>
      </c>
      <c r="H1147" t="n">
        <v>2</v>
      </c>
      <c r="I1147" t="n">
        <v>0</v>
      </c>
      <c r="J1147" t="n">
        <v>0</v>
      </c>
      <c r="K1147">
        <f>IF(H1147-I1147-J1147&gt;0,H1147-I1147-J1147,0)</f>
        <v/>
      </c>
      <c r="L1147" s="1">
        <f>IFERROR(I1147*E1147,0)</f>
        <v/>
      </c>
      <c r="M1147" s="1">
        <f>IFERROR(K1147*E1147,0)</f>
        <v/>
      </c>
    </row>
    <row r="1148">
      <c r="A1148" t="inlineStr">
        <is>
          <t>M6X16</t>
        </is>
      </c>
      <c r="B1148" t="inlineStr">
        <is>
          <t>GRUB SCREW</t>
        </is>
      </c>
      <c r="C1148" t="inlineStr">
        <is>
          <t>M&amp;D SPECIALISED FASTENERS (PTY) LTD</t>
        </is>
      </c>
      <c r="D1148" t="inlineStr">
        <is>
          <t>CONSUMABLES</t>
        </is>
      </c>
      <c r="E1148" s="1" t="n">
        <v>0.65</v>
      </c>
      <c r="F1148" t="n">
        <v>17</v>
      </c>
      <c r="G1148" t="n">
        <v>0</v>
      </c>
      <c r="H1148" t="n">
        <v>85</v>
      </c>
      <c r="I1148" t="n">
        <v>0</v>
      </c>
      <c r="J1148" t="n">
        <v>0</v>
      </c>
      <c r="K1148">
        <f>IF(H1148-I1148-J1148&gt;0,H1148-I1148-J1148,0)</f>
        <v/>
      </c>
      <c r="L1148" s="1">
        <f>IFERROR(I1148*E1148,0)</f>
        <v/>
      </c>
      <c r="M1148" s="1">
        <f>IFERROR(K1148*E1148,0)</f>
        <v/>
      </c>
    </row>
    <row r="1149">
      <c r="A1149" t="inlineStr">
        <is>
          <t>M6X16 COUNTER SUNK</t>
        </is>
      </c>
      <c r="B1149" t="inlineStr">
        <is>
          <t>M6X16 COUNTER SUNK BOLTS - Allen key screw in - Zinc blue</t>
        </is>
      </c>
      <c r="C1149" t="inlineStr">
        <is>
          <t>M&amp;D SPECIALISED FASTENERS (PTY) LTD</t>
        </is>
      </c>
      <c r="D1149" t="inlineStr">
        <is>
          <t>CONSUMABLES</t>
        </is>
      </c>
      <c r="E1149" s="1" t="n">
        <v>1.2</v>
      </c>
      <c r="F1149" t="n">
        <v>20</v>
      </c>
      <c r="G1149" t="n">
        <v>0</v>
      </c>
      <c r="H1149" t="n">
        <v>100</v>
      </c>
      <c r="I1149" t="n">
        <v>0</v>
      </c>
      <c r="J1149" t="n">
        <v>0</v>
      </c>
      <c r="K1149">
        <f>IF(H1149-I1149-J1149&gt;0,H1149-I1149-J1149,0)</f>
        <v/>
      </c>
      <c r="L1149" s="1">
        <f>IFERROR(I1149*E1149,0)</f>
        <v/>
      </c>
      <c r="M1149" s="1">
        <f>IFERROR(K1149*E1149,0)</f>
        <v/>
      </c>
    </row>
    <row r="1150">
      <c r="A1150" t="inlineStr">
        <is>
          <t>M6X16 COUNTER SUNK-MACH</t>
        </is>
      </c>
      <c r="B1150" t="inlineStr">
        <is>
          <t>M6X16 COUNTER SUNK BOLTS - Machine screw in - zinc blue</t>
        </is>
      </c>
      <c r="C1150" t="inlineStr">
        <is>
          <t>M&amp;D SPECIALISED FASTENERS (PTY) LTD</t>
        </is>
      </c>
      <c r="D1150" t="inlineStr">
        <is>
          <t>CONSUMABLES</t>
        </is>
      </c>
      <c r="E1150" s="1" t="n">
        <v>0.15</v>
      </c>
      <c r="F1150" t="n">
        <v>20</v>
      </c>
      <c r="G1150" t="n">
        <v>0</v>
      </c>
      <c r="H1150" t="n">
        <v>100</v>
      </c>
      <c r="I1150" t="n">
        <v>0</v>
      </c>
      <c r="J1150" t="n">
        <v>0</v>
      </c>
      <c r="K1150">
        <f>IF(H1150-I1150-J1150&gt;0,H1150-I1150-J1150,0)</f>
        <v/>
      </c>
      <c r="L1150" s="1">
        <f>IFERROR(I1150*E1150,0)</f>
        <v/>
      </c>
      <c r="M1150" s="1">
        <f>IFERROR(K1150*E1150,0)</f>
        <v/>
      </c>
    </row>
    <row r="1151">
      <c r="A1151" t="inlineStr">
        <is>
          <t>M6X20X2</t>
        </is>
      </c>
      <c r="B1151" t="inlineStr">
        <is>
          <t>M6x20x2 - Flat Washer Zinc Blue</t>
        </is>
      </c>
      <c r="C1151" t="inlineStr">
        <is>
          <t>M&amp;D SPECIALISED FASTENERS (PTY) LTD</t>
        </is>
      </c>
      <c r="D1151" t="inlineStr">
        <is>
          <t>Accessories</t>
        </is>
      </c>
      <c r="E1151" s="1" t="n">
        <v>0.3</v>
      </c>
      <c r="F1151" t="n">
        <v>114</v>
      </c>
      <c r="G1151" t="n">
        <v>0</v>
      </c>
      <c r="H1151" t="n">
        <v>572</v>
      </c>
      <c r="I1151" t="n">
        <v>0</v>
      </c>
      <c r="J1151" t="n">
        <v>0</v>
      </c>
      <c r="K1151">
        <f>IF(H1151-I1151-J1151&gt;0,H1151-I1151-J1151,0)</f>
        <v/>
      </c>
      <c r="L1151" s="1">
        <f>IFERROR(I1151*E1151,0)</f>
        <v/>
      </c>
      <c r="M1151" s="1">
        <f>IFERROR(K1151*E1151,0)</f>
        <v/>
      </c>
    </row>
    <row r="1152">
      <c r="A1152" t="inlineStr">
        <is>
          <t>M8 . 4*20*3 FLAT WASHER Z/BLUE 8X20X3 OLD ZB</t>
        </is>
      </c>
      <c r="B1152" t="inlineStr">
        <is>
          <t>M8 . 4*20*3 FLAT WASHER Z/BLUE 8X20X3 OLD ZB</t>
        </is>
      </c>
      <c r="C1152" t="inlineStr">
        <is>
          <t>M&amp;D SPECIALISED FASTENERS (PTY) LTD</t>
        </is>
      </c>
      <c r="D1152" t="inlineStr"/>
      <c r="E1152" s="1" t="n">
        <v>1.8</v>
      </c>
      <c r="F1152" t="n">
        <v>22</v>
      </c>
      <c r="G1152" t="n">
        <v>0</v>
      </c>
      <c r="H1152" t="n">
        <v>112</v>
      </c>
      <c r="I1152" t="n">
        <v>0</v>
      </c>
      <c r="J1152" t="n">
        <v>0</v>
      </c>
      <c r="K1152">
        <f>IF(H1152-I1152-J1152&gt;0,H1152-I1152-J1152,0)</f>
        <v/>
      </c>
      <c r="L1152" s="1">
        <f>IFERROR(I1152*E1152,0)</f>
        <v/>
      </c>
      <c r="M1152" s="1">
        <f>IFERROR(K1152*E1152,0)</f>
        <v/>
      </c>
    </row>
    <row r="1153">
      <c r="A1153" t="inlineStr">
        <is>
          <t>M8 ANCHOR BOLTS</t>
        </is>
      </c>
      <c r="B1153" t="inlineStr">
        <is>
          <t>M8 ANCHOR BOLTS</t>
        </is>
      </c>
      <c r="C1153" t="inlineStr">
        <is>
          <t>M&amp;D SPECIALISED FASTENERS (PTY) LTD</t>
        </is>
      </c>
      <c r="D1153" t="inlineStr"/>
      <c r="E1153" s="1" t="n">
        <v>5</v>
      </c>
      <c r="F1153" t="n">
        <v>28</v>
      </c>
      <c r="G1153" t="n">
        <v>0</v>
      </c>
      <c r="H1153" t="n">
        <v>68</v>
      </c>
      <c r="I1153" t="n">
        <v>0</v>
      </c>
      <c r="J1153" t="n">
        <v>0</v>
      </c>
      <c r="K1153">
        <f>IF(H1153-I1153-J1153&gt;0,H1153-I1153-J1153,0)</f>
        <v/>
      </c>
      <c r="L1153" s="1">
        <f>IFERROR(I1153*E1153,0)</f>
        <v/>
      </c>
      <c r="M1153" s="1">
        <f>IFERROR(K1153*E1153,0)</f>
        <v/>
      </c>
    </row>
    <row r="1154">
      <c r="A1154" t="inlineStr">
        <is>
          <t>M8 FLAT WASHER DIN 125A ZINC BLUE (8 . 4ID*16OD*1.6THICK) 8 125A ZB</t>
        </is>
      </c>
      <c r="B1154" t="inlineStr">
        <is>
          <t>M8 FLAT WASHER DIN 125A ZINC BLUE (8 . 4ID*16OD*1.6THICK) 8 125A ZB</t>
        </is>
      </c>
      <c r="C1154" t="inlineStr">
        <is>
          <t>M&amp;D SPECIALISED FASTENERS (PTY) LTD</t>
        </is>
      </c>
      <c r="D1154" t="inlineStr"/>
      <c r="E1154" s="1" t="n">
        <v>0.12</v>
      </c>
      <c r="F1154" t="n">
        <v>68</v>
      </c>
      <c r="G1154" t="n">
        <v>0</v>
      </c>
      <c r="H1154" t="n">
        <v>339</v>
      </c>
      <c r="I1154" t="n">
        <v>0</v>
      </c>
      <c r="J1154" t="n">
        <v>0</v>
      </c>
      <c r="K1154">
        <f>IF(H1154-I1154-J1154&gt;0,H1154-I1154-J1154,0)</f>
        <v/>
      </c>
      <c r="L1154" s="1">
        <f>IFERROR(I1154*E1154,0)</f>
        <v/>
      </c>
      <c r="M1154" s="1">
        <f>IFERROR(K1154*E1154,0)</f>
        <v/>
      </c>
    </row>
    <row r="1155">
      <c r="A1155" t="inlineStr">
        <is>
          <t>M8 HT NYLOCK NUT 8 985 GR8</t>
        </is>
      </c>
      <c r="B1155" t="inlineStr">
        <is>
          <t>M8 HT NYLOCK NUT 8 985 GR8</t>
        </is>
      </c>
      <c r="C1155" t="inlineStr">
        <is>
          <t>M&amp;D SPECIALISED FASTENERS (PTY) LTD</t>
        </is>
      </c>
      <c r="D1155" t="inlineStr"/>
      <c r="E1155" s="1" t="n">
        <v>0.3</v>
      </c>
      <c r="F1155" t="n">
        <v>54</v>
      </c>
      <c r="G1155" t="n">
        <v>0</v>
      </c>
      <c r="H1155" t="n">
        <v>270</v>
      </c>
      <c r="I1155" t="n">
        <v>0</v>
      </c>
      <c r="J1155" t="n">
        <v>0</v>
      </c>
      <c r="K1155">
        <f>IF(H1155-I1155-J1155&gt;0,H1155-I1155-J1155,0)</f>
        <v/>
      </c>
      <c r="L1155" s="1">
        <f>IFERROR(I1155*E1155,0)</f>
        <v/>
      </c>
      <c r="M1155" s="1">
        <f>IFERROR(K1155*E1155,0)</f>
        <v/>
      </c>
    </row>
    <row r="1156">
      <c r="A1156" t="inlineStr">
        <is>
          <t>M8 NUT</t>
        </is>
      </c>
      <c r="B1156" t="inlineStr">
        <is>
          <t>M8 HEX NUT ZINC/BLUE</t>
        </is>
      </c>
      <c r="C1156" t="inlineStr">
        <is>
          <t>M&amp;D SPECIALISED FASTENERS (PTY) LTD</t>
        </is>
      </c>
      <c r="D1156" t="inlineStr"/>
      <c r="E1156" s="1" t="n">
        <v>0.4</v>
      </c>
      <c r="F1156" t="n">
        <v>29</v>
      </c>
      <c r="G1156" t="n">
        <v>0</v>
      </c>
      <c r="H1156" t="n">
        <v>146</v>
      </c>
      <c r="I1156" t="n">
        <v>0</v>
      </c>
      <c r="J1156" t="n">
        <v>0</v>
      </c>
      <c r="K1156">
        <f>IF(H1156-I1156-J1156&gt;0,H1156-I1156-J1156,0)</f>
        <v/>
      </c>
      <c r="L1156" s="1">
        <f>IFERROR(I1156*E1156,0)</f>
        <v/>
      </c>
      <c r="M1156" s="1">
        <f>IFERROR(K1156*E1156,0)</f>
        <v/>
      </c>
    </row>
    <row r="1157">
      <c r="A1157" t="inlineStr">
        <is>
          <t>M8*16</t>
        </is>
      </c>
      <c r="B1157" t="inlineStr">
        <is>
          <t>M8*16 HT SET SCREW S/S A2</t>
        </is>
      </c>
      <c r="C1157" t="inlineStr">
        <is>
          <t>M&amp;D SPECIALISED FASTENERS (PTY) LTD</t>
        </is>
      </c>
      <c r="D1157" t="inlineStr"/>
      <c r="E1157" s="1" t="n">
        <v>1.2</v>
      </c>
      <c r="F1157" t="n">
        <v>150</v>
      </c>
      <c r="G1157" t="n">
        <v>0</v>
      </c>
      <c r="H1157" t="n">
        <v>750</v>
      </c>
      <c r="I1157" t="n">
        <v>0</v>
      </c>
      <c r="J1157" t="n">
        <v>0</v>
      </c>
      <c r="K1157">
        <f>IF(H1157-I1157-J1157&gt;0,H1157-I1157-J1157,0)</f>
        <v/>
      </c>
      <c r="L1157" s="1">
        <f>IFERROR(I1157*E1157,0)</f>
        <v/>
      </c>
      <c r="M1157" s="1">
        <f>IFERROR(K1157*E1157,0)</f>
        <v/>
      </c>
    </row>
    <row r="1158">
      <c r="A1158" t="inlineStr">
        <is>
          <t>M8*16 HT SET SCREW Z/BLUE</t>
        </is>
      </c>
      <c r="B1158" t="inlineStr">
        <is>
          <t>M8*16 HT SET SCREW Z/BLUE</t>
        </is>
      </c>
      <c r="C1158" t="inlineStr">
        <is>
          <t>M&amp;D SPECIALISED FASTENERS (PTY) LTD</t>
        </is>
      </c>
      <c r="D1158" t="inlineStr"/>
      <c r="E1158" s="1" t="n">
        <v>0.93</v>
      </c>
      <c r="F1158" t="n">
        <v>43</v>
      </c>
      <c r="G1158" t="n">
        <v>0</v>
      </c>
      <c r="H1158" t="n">
        <v>214</v>
      </c>
      <c r="I1158" t="n">
        <v>0</v>
      </c>
      <c r="J1158" t="n">
        <v>0</v>
      </c>
      <c r="K1158">
        <f>IF(H1158-I1158-J1158&gt;0,H1158-I1158-J1158,0)</f>
        <v/>
      </c>
      <c r="L1158" s="1">
        <f>IFERROR(I1158*E1158,0)</f>
        <v/>
      </c>
      <c r="M1158" s="1">
        <f>IFERROR(K1158*E1158,0)</f>
        <v/>
      </c>
    </row>
    <row r="1159">
      <c r="A1159" t="inlineStr">
        <is>
          <t>M8*25 HT HEX 8 . 8 SET SCREW Z/BLUE 8X25 933 8 . 8 ZB</t>
        </is>
      </c>
      <c r="B1159" t="inlineStr">
        <is>
          <t>M8*25 HT HEX 8 . 8 SET SCREW Z/BLUE 8X25 933 8 . 8 ZB</t>
        </is>
      </c>
      <c r="C1159" t="inlineStr">
        <is>
          <t>M&amp;D SPECIALISED FASTENERS (PTY) LTD</t>
        </is>
      </c>
      <c r="D1159" t="inlineStr"/>
      <c r="E1159" s="1" t="n">
        <v>1</v>
      </c>
      <c r="F1159" t="n">
        <v>24</v>
      </c>
      <c r="G1159" t="n">
        <v>0</v>
      </c>
      <c r="H1159" t="n">
        <v>119</v>
      </c>
      <c r="I1159" t="n">
        <v>0</v>
      </c>
      <c r="J1159" t="n">
        <v>0</v>
      </c>
      <c r="K1159">
        <f>IF(H1159-I1159-J1159&gt;0,H1159-I1159-J1159,0)</f>
        <v/>
      </c>
      <c r="L1159" s="1">
        <f>IFERROR(I1159*E1159,0)</f>
        <v/>
      </c>
      <c r="M1159" s="1">
        <f>IFERROR(K1159*E1159,0)</f>
        <v/>
      </c>
    </row>
    <row r="1160">
      <c r="A1160" t="inlineStr">
        <is>
          <t>M8X25</t>
        </is>
      </c>
      <c r="B1160" t="inlineStr">
        <is>
          <t>HEX SET SCREW - S/S 304 - A2</t>
        </is>
      </c>
      <c r="C1160" t="inlineStr">
        <is>
          <t>M&amp;D SPECIALISED FASTENERS (PTY) LTD</t>
        </is>
      </c>
      <c r="D1160" t="inlineStr"/>
      <c r="E1160" s="1" t="n">
        <v>1.5</v>
      </c>
      <c r="F1160" t="n">
        <v>120</v>
      </c>
      <c r="G1160" t="n">
        <v>0</v>
      </c>
      <c r="H1160" t="n">
        <v>600</v>
      </c>
      <c r="I1160" t="n">
        <v>0</v>
      </c>
      <c r="J1160" t="n">
        <v>0</v>
      </c>
      <c r="K1160">
        <f>IF(H1160-I1160-J1160&gt;0,H1160-I1160-J1160,0)</f>
        <v/>
      </c>
      <c r="L1160" s="1">
        <f>IFERROR(I1160*E1160,0)</f>
        <v/>
      </c>
      <c r="M1160" s="1">
        <f>IFERROR(K1160*E1160,0)</f>
        <v/>
      </c>
    </row>
    <row r="1161">
      <c r="A1161" t="inlineStr">
        <is>
          <t>M8X70</t>
        </is>
      </c>
      <c r="B1161" t="inlineStr">
        <is>
          <t>M8X70 HT HEX SET SCREWS ZINC/BLUE</t>
        </is>
      </c>
      <c r="C1161" t="inlineStr">
        <is>
          <t>M&amp;D SPECIALISED FASTENERS (PTY) LTD</t>
        </is>
      </c>
      <c r="D1161" t="inlineStr"/>
      <c r="E1161" s="1" t="n">
        <v>2</v>
      </c>
      <c r="F1161" t="n">
        <v>65</v>
      </c>
      <c r="G1161" t="n">
        <v>0</v>
      </c>
      <c r="H1161" t="n">
        <v>325</v>
      </c>
      <c r="I1161" t="n">
        <v>0</v>
      </c>
      <c r="J1161" t="n">
        <v>0</v>
      </c>
      <c r="K1161">
        <f>IF(H1161-I1161-J1161&gt;0,H1161-I1161-J1161,0)</f>
        <v/>
      </c>
      <c r="L1161" s="1">
        <f>IFERROR(I1161*E1161,0)</f>
        <v/>
      </c>
      <c r="M1161" s="1">
        <f>IFERROR(K1161*E1161,0)</f>
        <v/>
      </c>
    </row>
    <row r="1162">
      <c r="A1162" t="inlineStr">
        <is>
          <t>MANUFACTURE RAW CASINGS</t>
        </is>
      </c>
      <c r="B1162" t="inlineStr">
        <is>
          <t>RAW CASING</t>
        </is>
      </c>
      <c r="C1162" t="inlineStr">
        <is>
          <t>TS TELEKI T/A VENT SYSTEM AND PROJECTS</t>
        </is>
      </c>
      <c r="D1162" t="inlineStr"/>
      <c r="E1162" s="1" t="n">
        <v>1609.25</v>
      </c>
      <c r="F1162" t="n">
        <v>24</v>
      </c>
      <c r="G1162" t="n">
        <v>0</v>
      </c>
      <c r="H1162" t="n">
        <v>118</v>
      </c>
      <c r="I1162" t="n">
        <v>0</v>
      </c>
      <c r="J1162" t="n">
        <v>0</v>
      </c>
      <c r="K1162">
        <f>IF(H1162-I1162-J1162&gt;0,H1162-I1162-J1162,0)</f>
        <v/>
      </c>
      <c r="L1162" s="1">
        <f>IFERROR(I1162*E1162,0)</f>
        <v/>
      </c>
      <c r="M1162" s="1">
        <f>IFERROR(K1162*E1162,0)</f>
        <v/>
      </c>
    </row>
    <row r="1163">
      <c r="A1163" t="inlineStr">
        <is>
          <t>MB1000UG</t>
        </is>
      </c>
      <c r="B1163" t="inlineStr">
        <is>
          <t>1000diam mounting brackets Ungalvanized (4 per set)</t>
        </is>
      </c>
      <c r="C1163" t="inlineStr">
        <is>
          <t>ULTIMATENG (PTY) LTD</t>
        </is>
      </c>
      <c r="D1163" t="inlineStr">
        <is>
          <t>FM - DONKIN</t>
        </is>
      </c>
      <c r="E1163" s="1" t="n">
        <v>0</v>
      </c>
      <c r="F1163" t="n">
        <v>6</v>
      </c>
      <c r="G1163" t="n">
        <v>0</v>
      </c>
      <c r="H1163" t="n">
        <v>30</v>
      </c>
      <c r="I1163" t="n">
        <v>0</v>
      </c>
      <c r="J1163" t="n">
        <v>0</v>
      </c>
      <c r="K1163">
        <f>IF(H1163-I1163-J1163&gt;0,H1163-I1163-J1163,0)</f>
        <v/>
      </c>
      <c r="L1163" s="1">
        <f>IFERROR(I1163*E1163,0)</f>
        <v/>
      </c>
      <c r="M1163" s="1">
        <f>IFERROR(K1163*E1163,0)</f>
        <v/>
      </c>
    </row>
    <row r="1164">
      <c r="A1164" t="inlineStr">
        <is>
          <t>MB315</t>
        </is>
      </c>
      <c r="B1164" t="inlineStr">
        <is>
          <t>315diam mounting brackets</t>
        </is>
      </c>
      <c r="C1164" t="inlineStr">
        <is>
          <t>CFW Fans (Pty) Ltd</t>
        </is>
      </c>
      <c r="D1164" t="inlineStr"/>
      <c r="E1164" s="1" t="n">
        <v>172</v>
      </c>
      <c r="F1164" t="n">
        <v>2</v>
      </c>
      <c r="G1164" t="n">
        <v>0</v>
      </c>
      <c r="H1164" t="n">
        <v>6</v>
      </c>
      <c r="I1164" t="n">
        <v>0</v>
      </c>
      <c r="J1164" t="n">
        <v>0</v>
      </c>
      <c r="K1164">
        <f>IF(H1164-I1164-J1164&gt;0,H1164-I1164-J1164,0)</f>
        <v/>
      </c>
      <c r="L1164" s="1">
        <f>IFERROR(I1164*E1164,0)</f>
        <v/>
      </c>
      <c r="M1164" s="1">
        <f>IFERROR(K1164*E1164,0)</f>
        <v/>
      </c>
    </row>
    <row r="1165">
      <c r="A1165" t="inlineStr">
        <is>
          <t>MB400</t>
        </is>
      </c>
      <c r="B1165" t="inlineStr">
        <is>
          <t>400diam mounting brackets</t>
        </is>
      </c>
      <c r="C1165" t="inlineStr">
        <is>
          <t>CFW Fans (Pty) Ltd</t>
        </is>
      </c>
      <c r="D1165" t="inlineStr"/>
      <c r="E1165" s="1" t="n">
        <v>187</v>
      </c>
      <c r="F1165" t="n">
        <v>2</v>
      </c>
      <c r="G1165" t="n">
        <v>0</v>
      </c>
      <c r="H1165" t="n">
        <v>6</v>
      </c>
      <c r="I1165" t="n">
        <v>0</v>
      </c>
      <c r="J1165" t="n">
        <v>0</v>
      </c>
      <c r="K1165">
        <f>IF(H1165-I1165-J1165&gt;0,H1165-I1165-J1165,0)</f>
        <v/>
      </c>
      <c r="L1165" s="1">
        <f>IFERROR(I1165*E1165,0)</f>
        <v/>
      </c>
      <c r="M1165" s="1">
        <f>IFERROR(K1165*E1165,0)</f>
        <v/>
      </c>
    </row>
    <row r="1166">
      <c r="A1166" t="inlineStr">
        <is>
          <t>MB500</t>
        </is>
      </c>
      <c r="B1166" t="inlineStr">
        <is>
          <t>500diam mounting brackets</t>
        </is>
      </c>
      <c r="C1166" t="inlineStr">
        <is>
          <t>CFW Fans (Pty) Ltd</t>
        </is>
      </c>
      <c r="D1166" t="inlineStr"/>
      <c r="E1166" s="1" t="n">
        <v>208</v>
      </c>
      <c r="F1166" t="n">
        <v>1</v>
      </c>
      <c r="G1166" t="n">
        <v>0</v>
      </c>
      <c r="H1166" t="n">
        <v>3</v>
      </c>
      <c r="I1166" t="n">
        <v>0</v>
      </c>
      <c r="J1166" t="n">
        <v>0</v>
      </c>
      <c r="K1166">
        <f>IF(H1166-I1166-J1166&gt;0,H1166-I1166-J1166,0)</f>
        <v/>
      </c>
      <c r="L1166" s="1">
        <f>IFERROR(I1166*E1166,0)</f>
        <v/>
      </c>
      <c r="M1166" s="1">
        <f>IFERROR(K1166*E1166,0)</f>
        <v/>
      </c>
    </row>
    <row r="1167">
      <c r="A1167" t="inlineStr">
        <is>
          <t>MB560</t>
        </is>
      </c>
      <c r="B1167" t="inlineStr">
        <is>
          <t>560diam mounting brackets</t>
        </is>
      </c>
      <c r="C1167" t="inlineStr">
        <is>
          <t>CFW Fans (Pty) Ltd</t>
        </is>
      </c>
      <c r="D1167" t="inlineStr"/>
      <c r="E1167" s="1" t="n">
        <v>223</v>
      </c>
      <c r="F1167" t="n">
        <v>1</v>
      </c>
      <c r="G1167" t="n">
        <v>0</v>
      </c>
      <c r="H1167" t="n">
        <v>3</v>
      </c>
      <c r="I1167" t="n">
        <v>0</v>
      </c>
      <c r="J1167" t="n">
        <v>0</v>
      </c>
      <c r="K1167">
        <f>IF(H1167-I1167-J1167&gt;0,H1167-I1167-J1167,0)</f>
        <v/>
      </c>
      <c r="L1167" s="1">
        <f>IFERROR(I1167*E1167,0)</f>
        <v/>
      </c>
      <c r="M1167" s="1">
        <f>IFERROR(K1167*E1167,0)</f>
        <v/>
      </c>
    </row>
    <row r="1168">
      <c r="A1168" t="inlineStr">
        <is>
          <t>MB630</t>
        </is>
      </c>
      <c r="B1168" t="inlineStr">
        <is>
          <t>630diam Mounting Brackets (4 per set)</t>
        </is>
      </c>
      <c r="C1168" t="inlineStr">
        <is>
          <t>GALVAGLOW (PTY) LTD</t>
        </is>
      </c>
      <c r="D1168" t="inlineStr">
        <is>
          <t>FM - DONKIN</t>
        </is>
      </c>
      <c r="E1168" s="1" t="n">
        <v>0</v>
      </c>
      <c r="F1168" t="n">
        <v>5</v>
      </c>
      <c r="G1168" t="n">
        <v>0</v>
      </c>
      <c r="H1168" t="n">
        <v>25</v>
      </c>
      <c r="I1168" t="n">
        <v>0</v>
      </c>
      <c r="J1168" t="n">
        <v>0</v>
      </c>
      <c r="K1168">
        <f>IF(H1168-I1168-J1168&gt;0,H1168-I1168-J1168,0)</f>
        <v/>
      </c>
      <c r="L1168" s="1">
        <f>IFERROR(I1168*E1168,0)</f>
        <v/>
      </c>
      <c r="M1168" s="1">
        <f>IFERROR(K1168*E1168,0)</f>
        <v/>
      </c>
    </row>
    <row r="1169">
      <c r="A1169" t="inlineStr">
        <is>
          <t>MB630UG</t>
        </is>
      </c>
      <c r="B1169" t="inlineStr">
        <is>
          <t>630diam Mounting Brackets Ungalvanized (4 per set)</t>
        </is>
      </c>
      <c r="C1169" t="inlineStr">
        <is>
          <t>ULTIMATENG (PTY) LTD</t>
        </is>
      </c>
      <c r="D1169" t="inlineStr">
        <is>
          <t>FM - DONKIN</t>
        </is>
      </c>
      <c r="E1169" s="1" t="n">
        <v>0</v>
      </c>
      <c r="F1169" t="n">
        <v>18</v>
      </c>
      <c r="G1169" t="n">
        <v>0</v>
      </c>
      <c r="H1169" t="n">
        <v>88</v>
      </c>
      <c r="I1169" t="n">
        <v>0</v>
      </c>
      <c r="J1169" t="n">
        <v>0</v>
      </c>
      <c r="K1169">
        <f>IF(H1169-I1169-J1169&gt;0,H1169-I1169-J1169,0)</f>
        <v/>
      </c>
      <c r="L1169" s="1">
        <f>IFERROR(I1169*E1169,0)</f>
        <v/>
      </c>
      <c r="M1169" s="1">
        <f>IFERROR(K1169*E1169,0)</f>
        <v/>
      </c>
    </row>
    <row r="1170">
      <c r="A1170" t="inlineStr">
        <is>
          <t>MB710</t>
        </is>
      </c>
      <c r="B1170" t="inlineStr">
        <is>
          <t>710diam mounting brackets (4 per set)</t>
        </is>
      </c>
      <c r="C1170" t="inlineStr">
        <is>
          <t>GALVAGLOW (PTY) LTD</t>
        </is>
      </c>
      <c r="D1170" t="inlineStr">
        <is>
          <t>FM - DONKIN</t>
        </is>
      </c>
      <c r="E1170" s="1" t="n">
        <v>0</v>
      </c>
      <c r="F1170" t="n">
        <v>4</v>
      </c>
      <c r="G1170" t="n">
        <v>0</v>
      </c>
      <c r="H1170" t="n">
        <v>22</v>
      </c>
      <c r="I1170" t="n">
        <v>0</v>
      </c>
      <c r="J1170" t="n">
        <v>0</v>
      </c>
      <c r="K1170">
        <f>IF(H1170-I1170-J1170&gt;0,H1170-I1170-J1170,0)</f>
        <v/>
      </c>
      <c r="L1170" s="1">
        <f>IFERROR(I1170*E1170,0)</f>
        <v/>
      </c>
      <c r="M1170" s="1">
        <f>IFERROR(K1170*E1170,0)</f>
        <v/>
      </c>
    </row>
    <row r="1171">
      <c r="A1171" t="inlineStr">
        <is>
          <t>MB710UG</t>
        </is>
      </c>
      <c r="B1171" t="inlineStr">
        <is>
          <t>710diam mounting brackets Ungalvanized (4 per set)</t>
        </is>
      </c>
      <c r="C1171" t="inlineStr">
        <is>
          <t>ULTIMATENG (PTY) LTD</t>
        </is>
      </c>
      <c r="D1171" t="inlineStr">
        <is>
          <t>FM - DONKIN</t>
        </is>
      </c>
      <c r="E1171" s="1" t="n">
        <v>0</v>
      </c>
      <c r="F1171" t="n">
        <v>16</v>
      </c>
      <c r="G1171" t="n">
        <v>0</v>
      </c>
      <c r="H1171" t="n">
        <v>80</v>
      </c>
      <c r="I1171" t="n">
        <v>0</v>
      </c>
      <c r="J1171" t="n">
        <v>0</v>
      </c>
      <c r="K1171">
        <f>IF(H1171-I1171-J1171&gt;0,H1171-I1171-J1171,0)</f>
        <v/>
      </c>
      <c r="L1171" s="1">
        <f>IFERROR(I1171*E1171,0)</f>
        <v/>
      </c>
      <c r="M1171" s="1">
        <f>IFERROR(K1171*E1171,0)</f>
        <v/>
      </c>
    </row>
    <row r="1172">
      <c r="A1172" t="inlineStr">
        <is>
          <t>MB800</t>
        </is>
      </c>
      <c r="B1172" t="inlineStr">
        <is>
          <t>800diam mounting brackets</t>
        </is>
      </c>
      <c r="C1172" t="inlineStr">
        <is>
          <t>CFW Fans (Pty) Ltd</t>
        </is>
      </c>
      <c r="D1172" t="inlineStr"/>
      <c r="E1172" s="1" t="n">
        <v>48.78</v>
      </c>
      <c r="F1172" t="n">
        <v>1</v>
      </c>
      <c r="G1172" t="n">
        <v>0</v>
      </c>
      <c r="H1172" t="n">
        <v>3</v>
      </c>
      <c r="I1172" t="n">
        <v>0</v>
      </c>
      <c r="J1172" t="n">
        <v>0</v>
      </c>
      <c r="K1172">
        <f>IF(H1172-I1172-J1172&gt;0,H1172-I1172-J1172,0)</f>
        <v/>
      </c>
      <c r="L1172" s="1">
        <f>IFERROR(I1172*E1172,0)</f>
        <v/>
      </c>
      <c r="M1172" s="1">
        <f>IFERROR(K1172*E1172,0)</f>
        <v/>
      </c>
    </row>
    <row r="1173">
      <c r="A1173" t="inlineStr">
        <is>
          <t>MB800UG</t>
        </is>
      </c>
      <c r="B1173" t="inlineStr">
        <is>
          <t>800diam mounting brackets Ungalvanized (4 per set)</t>
        </is>
      </c>
      <c r="C1173" t="inlineStr">
        <is>
          <t>ULTIMATENG (PTY) LTD</t>
        </is>
      </c>
      <c r="D1173" t="inlineStr">
        <is>
          <t>FM - DONKIN</t>
        </is>
      </c>
      <c r="E1173" s="1" t="n">
        <v>0</v>
      </c>
      <c r="F1173" t="n">
        <v>11</v>
      </c>
      <c r="G1173" t="n">
        <v>0</v>
      </c>
      <c r="H1173" t="n">
        <v>55</v>
      </c>
      <c r="I1173" t="n">
        <v>0</v>
      </c>
      <c r="J1173" t="n">
        <v>0</v>
      </c>
      <c r="K1173">
        <f>IF(H1173-I1173-J1173&gt;0,H1173-I1173-J1173,0)</f>
        <v/>
      </c>
      <c r="L1173" s="1">
        <f>IFERROR(I1173*E1173,0)</f>
        <v/>
      </c>
      <c r="M1173" s="1">
        <f>IFERROR(K1173*E1173,0)</f>
        <v/>
      </c>
    </row>
    <row r="1174">
      <c r="A1174" t="inlineStr">
        <is>
          <t>MB900UG</t>
        </is>
      </c>
      <c r="B1174" t="inlineStr">
        <is>
          <t>900diam mounting brackets Ungalvanized (4 per set)</t>
        </is>
      </c>
      <c r="C1174" t="inlineStr">
        <is>
          <t>ULTIMATENG (PTY) LTD</t>
        </is>
      </c>
      <c r="D1174" t="inlineStr">
        <is>
          <t>FM - DONKIN</t>
        </is>
      </c>
      <c r="E1174" s="1" t="n">
        <v>0</v>
      </c>
      <c r="F1174" t="n">
        <v>12</v>
      </c>
      <c r="G1174" t="n">
        <v>0</v>
      </c>
      <c r="H1174" t="n">
        <v>60</v>
      </c>
      <c r="I1174" t="n">
        <v>0</v>
      </c>
      <c r="J1174" t="n">
        <v>0</v>
      </c>
      <c r="K1174">
        <f>IF(H1174-I1174-J1174&gt;0,H1174-I1174-J1174,0)</f>
        <v/>
      </c>
      <c r="L1174" s="1">
        <f>IFERROR(I1174*E1174,0)</f>
        <v/>
      </c>
      <c r="M1174" s="1">
        <f>IFERROR(K1174*E1174,0)</f>
        <v/>
      </c>
    </row>
    <row r="1175">
      <c r="A1175" t="inlineStr">
        <is>
          <t>MF12504008</t>
        </is>
      </c>
      <c r="B1175" t="inlineStr">
        <is>
          <t>MFAJAX-3 1250 c/w 4,00KW 8P 380V</t>
        </is>
      </c>
      <c r="C1175" t="inlineStr"/>
      <c r="D1175" t="inlineStr">
        <is>
          <t>FM - DONKIN</t>
        </is>
      </c>
      <c r="E1175" s="1" t="n">
        <v>0</v>
      </c>
      <c r="F1175" t="n">
        <v>1</v>
      </c>
      <c r="G1175" t="n">
        <v>0</v>
      </c>
      <c r="H1175" t="n">
        <v>2</v>
      </c>
      <c r="I1175" t="n">
        <v>0</v>
      </c>
      <c r="J1175" t="n">
        <v>0</v>
      </c>
      <c r="K1175">
        <f>IF(H1175-I1175-J1175&gt;0,H1175-I1175-J1175,0)</f>
        <v/>
      </c>
      <c r="L1175" s="1">
        <f>IFERROR(I1175*E1175,0)</f>
        <v/>
      </c>
      <c r="M1175" s="1">
        <f>IFERROR(K1175*E1175,0)</f>
        <v/>
      </c>
    </row>
    <row r="1176">
      <c r="A1176" t="inlineStr">
        <is>
          <t>MFA100011004</t>
        </is>
      </c>
      <c r="B1176" t="inlineStr">
        <is>
          <t>MAXFLO 1000/250/14 A c/w 11,00KW 4P 380V</t>
        </is>
      </c>
      <c r="C1176" t="inlineStr">
        <is>
          <t>Centrifab (Pty) Ltd</t>
        </is>
      </c>
      <c r="D1176" t="inlineStr">
        <is>
          <t>FM - DONKIN</t>
        </is>
      </c>
      <c r="E1176" s="1" t="n">
        <v>3774</v>
      </c>
      <c r="F1176" t="n">
        <v>1</v>
      </c>
      <c r="G1176" t="n">
        <v>0</v>
      </c>
      <c r="H1176" t="n">
        <v>3</v>
      </c>
      <c r="I1176" t="n">
        <v>0</v>
      </c>
      <c r="J1176" t="n">
        <v>0</v>
      </c>
      <c r="K1176">
        <f>IF(H1176-I1176-J1176&gt;0,H1176-I1176-J1176,0)</f>
        <v/>
      </c>
      <c r="L1176" s="1">
        <f>IFERROR(I1176*E1176,0)</f>
        <v/>
      </c>
      <c r="M1176" s="1">
        <f>IFERROR(K1176*E1176,0)</f>
        <v/>
      </c>
    </row>
    <row r="1177">
      <c r="A1177" t="inlineStr">
        <is>
          <t>MFA10004004</t>
        </is>
      </c>
      <c r="B1177" t="inlineStr">
        <is>
          <t>MAXFLO 1000/250/14 A c/w 4,00KW 4P 380V</t>
        </is>
      </c>
      <c r="C1177" t="inlineStr">
        <is>
          <t>Centrifab (Pty) Ltd</t>
        </is>
      </c>
      <c r="D1177" t="inlineStr">
        <is>
          <t>FM - DONKIN</t>
        </is>
      </c>
      <c r="E1177" s="1" t="n">
        <v>11554.27</v>
      </c>
      <c r="F1177" t="n">
        <v>1</v>
      </c>
      <c r="G1177" t="n">
        <v>0</v>
      </c>
      <c r="H1177" t="n">
        <v>2</v>
      </c>
      <c r="I1177" t="n">
        <v>0</v>
      </c>
      <c r="J1177" t="n">
        <v>0</v>
      </c>
      <c r="K1177">
        <f>IF(H1177-I1177-J1177&gt;0,H1177-I1177-J1177,0)</f>
        <v/>
      </c>
      <c r="L1177" s="1">
        <f>IFERROR(I1177*E1177,0)</f>
        <v/>
      </c>
      <c r="M1177" s="1">
        <f>IFERROR(K1177*E1177,0)</f>
        <v/>
      </c>
    </row>
    <row r="1178">
      <c r="A1178" t="inlineStr">
        <is>
          <t>MFA10005504</t>
        </is>
      </c>
      <c r="B1178" t="inlineStr">
        <is>
          <t>MAXFLO 1000/250/14 A c/w 5,50KW 4P 380V</t>
        </is>
      </c>
      <c r="C1178" t="inlineStr"/>
      <c r="D1178" t="inlineStr">
        <is>
          <t>FM - DONKIN</t>
        </is>
      </c>
      <c r="E1178" s="1" t="n">
        <v>0</v>
      </c>
      <c r="F1178" t="n">
        <v>1</v>
      </c>
      <c r="G1178" t="n">
        <v>0</v>
      </c>
      <c r="H1178" t="n">
        <v>2</v>
      </c>
      <c r="I1178" t="n">
        <v>0</v>
      </c>
      <c r="J1178" t="n">
        <v>0</v>
      </c>
      <c r="K1178">
        <f>IF(H1178-I1178-J1178&gt;0,H1178-I1178-J1178,0)</f>
        <v/>
      </c>
      <c r="L1178" s="1">
        <f>IFERROR(I1178*E1178,0)</f>
        <v/>
      </c>
      <c r="M1178" s="1">
        <f>IFERROR(K1178*E1178,0)</f>
        <v/>
      </c>
    </row>
    <row r="1179">
      <c r="A1179" t="inlineStr">
        <is>
          <t>MFA3150552</t>
        </is>
      </c>
      <c r="B1179" t="inlineStr">
        <is>
          <t>MAXFLO 315/150/10 A c/w 0,55KW 2P 380V</t>
        </is>
      </c>
      <c r="C1179" t="inlineStr"/>
      <c r="D1179" t="inlineStr">
        <is>
          <t>FM - DONKIN</t>
        </is>
      </c>
      <c r="E1179" s="1" t="n">
        <v>0</v>
      </c>
      <c r="F1179" t="n">
        <v>1</v>
      </c>
      <c r="G1179" t="n">
        <v>0</v>
      </c>
      <c r="H1179" t="n">
        <v>2</v>
      </c>
      <c r="I1179" t="n">
        <v>0</v>
      </c>
      <c r="J1179" t="n">
        <v>0</v>
      </c>
      <c r="K1179">
        <f>IF(H1179-I1179-J1179&gt;0,H1179-I1179-J1179,0)</f>
        <v/>
      </c>
      <c r="L1179" s="1">
        <f>IFERROR(I1179*E1179,0)</f>
        <v/>
      </c>
      <c r="M1179" s="1">
        <f>IFERROR(K1179*E1179,0)</f>
        <v/>
      </c>
    </row>
    <row r="1180">
      <c r="A1180" t="inlineStr">
        <is>
          <t>MFA3150752</t>
        </is>
      </c>
      <c r="B1180" t="inlineStr">
        <is>
          <t>MAXFLO 315/150/10 A c/w 0,75KW 2P 380V</t>
        </is>
      </c>
      <c r="C1180" t="inlineStr"/>
      <c r="D1180" t="inlineStr">
        <is>
          <t>FM - DONKIN</t>
        </is>
      </c>
      <c r="E1180" s="1" t="n">
        <v>0</v>
      </c>
      <c r="F1180" t="n">
        <v>1</v>
      </c>
      <c r="G1180" t="n">
        <v>0</v>
      </c>
      <c r="H1180" t="n">
        <v>2</v>
      </c>
      <c r="I1180" t="n">
        <v>0</v>
      </c>
      <c r="J1180" t="n">
        <v>0</v>
      </c>
      <c r="K1180">
        <f>IF(H1180-I1180-J1180&gt;0,H1180-I1180-J1180,0)</f>
        <v/>
      </c>
      <c r="L1180" s="1">
        <f>IFERROR(I1180*E1180,0)</f>
        <v/>
      </c>
      <c r="M1180" s="1">
        <f>IFERROR(K1180*E1180,0)</f>
        <v/>
      </c>
    </row>
    <row r="1181">
      <c r="A1181" t="inlineStr">
        <is>
          <t>MFA4000374</t>
        </is>
      </c>
      <c r="B1181" t="inlineStr">
        <is>
          <t>MAXFLO 400/150/10 A c/w 0,37KW 4P 380V</t>
        </is>
      </c>
      <c r="C1181" t="inlineStr"/>
      <c r="D1181" t="inlineStr">
        <is>
          <t>FM - DONKIN</t>
        </is>
      </c>
      <c r="E1181" s="1" t="n">
        <v>0</v>
      </c>
      <c r="F1181" t="n">
        <v>1</v>
      </c>
      <c r="G1181" t="n">
        <v>0</v>
      </c>
      <c r="H1181" t="n">
        <v>2</v>
      </c>
      <c r="I1181" t="n">
        <v>0</v>
      </c>
      <c r="J1181" t="n">
        <v>0</v>
      </c>
      <c r="K1181">
        <f>IF(H1181-I1181-J1181&gt;0,H1181-I1181-J1181,0)</f>
        <v/>
      </c>
      <c r="L1181" s="1">
        <f>IFERROR(I1181*E1181,0)</f>
        <v/>
      </c>
      <c r="M1181" s="1">
        <f>IFERROR(K1181*E1181,0)</f>
        <v/>
      </c>
    </row>
    <row r="1182">
      <c r="A1182" t="inlineStr">
        <is>
          <t>MFA4000552</t>
        </is>
      </c>
      <c r="B1182" t="inlineStr">
        <is>
          <t>MAXFLO 400/150/10 A c/w 0,55KW 2P 380V</t>
        </is>
      </c>
      <c r="C1182" t="inlineStr"/>
      <c r="D1182" t="inlineStr">
        <is>
          <t>FM - DONKIN</t>
        </is>
      </c>
      <c r="E1182" s="1" t="n">
        <v>0</v>
      </c>
      <c r="F1182" t="n">
        <v>1</v>
      </c>
      <c r="G1182" t="n">
        <v>0</v>
      </c>
      <c r="H1182" t="n">
        <v>2</v>
      </c>
      <c r="I1182" t="n">
        <v>0</v>
      </c>
      <c r="J1182" t="n">
        <v>0</v>
      </c>
      <c r="K1182">
        <f>IF(H1182-I1182-J1182&gt;0,H1182-I1182-J1182,0)</f>
        <v/>
      </c>
      <c r="L1182" s="1">
        <f>IFERROR(I1182*E1182,0)</f>
        <v/>
      </c>
      <c r="M1182" s="1">
        <f>IFERROR(K1182*E1182,0)</f>
        <v/>
      </c>
    </row>
    <row r="1183">
      <c r="A1183" t="inlineStr">
        <is>
          <t>MFA4000752</t>
        </is>
      </c>
      <c r="B1183" t="inlineStr">
        <is>
          <t>MAXFLO 400/150/10 A c/w 0,75KW 2P 380V</t>
        </is>
      </c>
      <c r="C1183" t="inlineStr"/>
      <c r="D1183" t="inlineStr">
        <is>
          <t>FM - DONKIN</t>
        </is>
      </c>
      <c r="E1183" s="1" t="n">
        <v>0</v>
      </c>
      <c r="F1183" t="n">
        <v>1</v>
      </c>
      <c r="G1183" t="n">
        <v>0</v>
      </c>
      <c r="H1183" t="n">
        <v>2</v>
      </c>
      <c r="I1183" t="n">
        <v>0</v>
      </c>
      <c r="J1183" t="n">
        <v>0</v>
      </c>
      <c r="K1183">
        <f>IF(H1183-I1183-J1183&gt;0,H1183-I1183-J1183,0)</f>
        <v/>
      </c>
      <c r="L1183" s="1">
        <f>IFERROR(I1183*E1183,0)</f>
        <v/>
      </c>
      <c r="M1183" s="1">
        <f>IFERROR(K1183*E1183,0)</f>
        <v/>
      </c>
    </row>
    <row r="1184">
      <c r="A1184" t="inlineStr">
        <is>
          <t>MFA4001102</t>
        </is>
      </c>
      <c r="B1184" t="inlineStr">
        <is>
          <t>MAXFLO 400/150/10 A c/w 1,10KW 2P 380V</t>
        </is>
      </c>
      <c r="C1184" t="inlineStr">
        <is>
          <t>Centrifab (Pty) Ltd</t>
        </is>
      </c>
      <c r="D1184" t="inlineStr">
        <is>
          <t>FM - DONKIN</t>
        </is>
      </c>
      <c r="E1184" s="1" t="n">
        <v>7100</v>
      </c>
      <c r="F1184" t="n">
        <v>1</v>
      </c>
      <c r="G1184" t="n">
        <v>0</v>
      </c>
      <c r="H1184" t="n">
        <v>2</v>
      </c>
      <c r="I1184" t="n">
        <v>0</v>
      </c>
      <c r="J1184" t="n">
        <v>0</v>
      </c>
      <c r="K1184">
        <f>IF(H1184-I1184-J1184&gt;0,H1184-I1184-J1184,0)</f>
        <v/>
      </c>
      <c r="L1184" s="1">
        <f>IFERROR(I1184*E1184,0)</f>
        <v/>
      </c>
      <c r="M1184" s="1">
        <f>IFERROR(K1184*E1184,0)</f>
        <v/>
      </c>
    </row>
    <row r="1185">
      <c r="A1185" t="inlineStr">
        <is>
          <t>MFA4001502</t>
        </is>
      </c>
      <c r="B1185" t="inlineStr">
        <is>
          <t>MAXFLO 400/150/10 A c/w 1.50KW 2P 380V</t>
        </is>
      </c>
      <c r="C1185" t="inlineStr"/>
      <c r="D1185" t="inlineStr">
        <is>
          <t>FM - DONKIN</t>
        </is>
      </c>
      <c r="E1185" s="1" t="n">
        <v>0</v>
      </c>
      <c r="F1185" t="n">
        <v>1</v>
      </c>
      <c r="G1185" t="n">
        <v>0</v>
      </c>
      <c r="H1185" t="n">
        <v>2</v>
      </c>
      <c r="I1185" t="n">
        <v>0</v>
      </c>
      <c r="J1185" t="n">
        <v>0</v>
      </c>
      <c r="K1185">
        <f>IF(H1185-I1185-J1185&gt;0,H1185-I1185-J1185,0)</f>
        <v/>
      </c>
      <c r="L1185" s="1">
        <f>IFERROR(I1185*E1185,0)</f>
        <v/>
      </c>
      <c r="M1185" s="1">
        <f>IFERROR(K1185*E1185,0)</f>
        <v/>
      </c>
    </row>
    <row r="1186">
      <c r="A1186" t="inlineStr">
        <is>
          <t>MFA5000554</t>
        </is>
      </c>
      <c r="B1186" t="inlineStr">
        <is>
          <t>MAXFLO 500/150/10 A c/w 0,55KW 4P 380V</t>
        </is>
      </c>
      <c r="C1186" t="inlineStr">
        <is>
          <t>Air Speration</t>
        </is>
      </c>
      <c r="D1186" t="inlineStr">
        <is>
          <t>FM - DONKIN</t>
        </is>
      </c>
      <c r="E1186" s="1" t="n">
        <v>5824.76</v>
      </c>
      <c r="F1186" t="n">
        <v>1</v>
      </c>
      <c r="G1186" t="n">
        <v>0</v>
      </c>
      <c r="H1186" t="n">
        <v>2</v>
      </c>
      <c r="I1186" t="n">
        <v>0</v>
      </c>
      <c r="J1186" t="n">
        <v>0</v>
      </c>
      <c r="K1186">
        <f>IF(H1186-I1186-J1186&gt;0,H1186-I1186-J1186,0)</f>
        <v/>
      </c>
      <c r="L1186" s="1">
        <f>IFERROR(I1186*E1186,0)</f>
        <v/>
      </c>
      <c r="M1186" s="1">
        <f>IFERROR(K1186*E1186,0)</f>
        <v/>
      </c>
    </row>
    <row r="1187">
      <c r="A1187" t="inlineStr">
        <is>
          <t>MFA5000754</t>
        </is>
      </c>
      <c r="B1187" t="inlineStr">
        <is>
          <t>MAXFLO 500/150/10 A c/w 0,75KW 4P 380V</t>
        </is>
      </c>
      <c r="C1187" t="inlineStr"/>
      <c r="D1187" t="inlineStr">
        <is>
          <t>FM - DONKIN</t>
        </is>
      </c>
      <c r="E1187" s="1" t="n">
        <v>0</v>
      </c>
      <c r="F1187" t="n">
        <v>1</v>
      </c>
      <c r="G1187" t="n">
        <v>0</v>
      </c>
      <c r="H1187" t="n">
        <v>2</v>
      </c>
      <c r="I1187" t="n">
        <v>0</v>
      </c>
      <c r="J1187" t="n">
        <v>0</v>
      </c>
      <c r="K1187">
        <f>IF(H1187-I1187-J1187&gt;0,H1187-I1187-J1187,0)</f>
        <v/>
      </c>
      <c r="L1187" s="1">
        <f>IFERROR(I1187*E1187,0)</f>
        <v/>
      </c>
      <c r="M1187" s="1">
        <f>IFERROR(K1187*E1187,0)</f>
        <v/>
      </c>
    </row>
    <row r="1188">
      <c r="A1188" t="inlineStr">
        <is>
          <t>MFA5001102</t>
        </is>
      </c>
      <c r="B1188" t="inlineStr">
        <is>
          <t>MAXFLO 500/150/10 A c/w 1,10KW 2P 380V</t>
        </is>
      </c>
      <c r="C1188" t="inlineStr"/>
      <c r="D1188" t="inlineStr">
        <is>
          <t>FM - DONKIN</t>
        </is>
      </c>
      <c r="E1188" s="1" t="n">
        <v>0</v>
      </c>
      <c r="F1188" t="n">
        <v>1</v>
      </c>
      <c r="G1188" t="n">
        <v>0</v>
      </c>
      <c r="H1188" t="n">
        <v>2</v>
      </c>
      <c r="I1188" t="n">
        <v>0</v>
      </c>
      <c r="J1188" t="n">
        <v>0</v>
      </c>
      <c r="K1188">
        <f>IF(H1188-I1188-J1188&gt;0,H1188-I1188-J1188,0)</f>
        <v/>
      </c>
      <c r="L1188" s="1">
        <f>IFERROR(I1188*E1188,0)</f>
        <v/>
      </c>
      <c r="M1188" s="1">
        <f>IFERROR(K1188*E1188,0)</f>
        <v/>
      </c>
    </row>
    <row r="1189">
      <c r="A1189" t="inlineStr">
        <is>
          <t>MFA5001104</t>
        </is>
      </c>
      <c r="B1189" t="inlineStr">
        <is>
          <t>MAXFLO 500/150/10 A c/w 1,10KW 4P 380V</t>
        </is>
      </c>
      <c r="C1189" t="inlineStr"/>
      <c r="D1189" t="inlineStr">
        <is>
          <t>FM - DONKIN</t>
        </is>
      </c>
      <c r="E1189" s="1" t="n">
        <v>0</v>
      </c>
      <c r="F1189" t="n">
        <v>1</v>
      </c>
      <c r="G1189" t="n">
        <v>0</v>
      </c>
      <c r="H1189" t="n">
        <v>2</v>
      </c>
      <c r="I1189" t="n">
        <v>0</v>
      </c>
      <c r="J1189" t="n">
        <v>0</v>
      </c>
      <c r="K1189">
        <f>IF(H1189-I1189-J1189&gt;0,H1189-I1189-J1189,0)</f>
        <v/>
      </c>
      <c r="L1189" s="1">
        <f>IFERROR(I1189*E1189,0)</f>
        <v/>
      </c>
      <c r="M1189" s="1">
        <f>IFERROR(K1189*E1189,0)</f>
        <v/>
      </c>
    </row>
    <row r="1190">
      <c r="A1190" t="inlineStr">
        <is>
          <t>MFA5002202</t>
        </is>
      </c>
      <c r="B1190" t="inlineStr">
        <is>
          <t>MAXFLO 500/150/10 A c/w 2,20KW 2P 380V</t>
        </is>
      </c>
      <c r="C1190" t="inlineStr">
        <is>
          <t>Air Speration</t>
        </is>
      </c>
      <c r="D1190" t="inlineStr">
        <is>
          <t>FM - DONKIN</t>
        </is>
      </c>
      <c r="E1190" s="1" t="n">
        <v>8942.15</v>
      </c>
      <c r="F1190" t="n">
        <v>1</v>
      </c>
      <c r="G1190" t="n">
        <v>0</v>
      </c>
      <c r="H1190" t="n">
        <v>3</v>
      </c>
      <c r="I1190" t="n">
        <v>0</v>
      </c>
      <c r="J1190" t="n">
        <v>0</v>
      </c>
      <c r="K1190">
        <f>IF(H1190-I1190-J1190&gt;0,H1190-I1190-J1190,0)</f>
        <v/>
      </c>
      <c r="L1190" s="1">
        <f>IFERROR(I1190*E1190,0)</f>
        <v/>
      </c>
      <c r="M1190" s="1">
        <f>IFERROR(K1190*E1190,0)</f>
        <v/>
      </c>
    </row>
    <row r="1191">
      <c r="A1191" t="inlineStr">
        <is>
          <t>MFA5003002</t>
        </is>
      </c>
      <c r="B1191" t="inlineStr">
        <is>
          <t>MAXFLO 500/150/10 A c/w 3.00kW 2P 380V</t>
        </is>
      </c>
      <c r="C1191" t="inlineStr"/>
      <c r="D1191" t="inlineStr">
        <is>
          <t>FM - DONKIN</t>
        </is>
      </c>
      <c r="E1191" s="1" t="n">
        <v>0</v>
      </c>
      <c r="F1191" t="n">
        <v>1</v>
      </c>
      <c r="G1191" t="n">
        <v>0</v>
      </c>
      <c r="H1191" t="n">
        <v>2</v>
      </c>
      <c r="I1191" t="n">
        <v>0</v>
      </c>
      <c r="J1191" t="n">
        <v>0</v>
      </c>
      <c r="K1191">
        <f>IF(H1191-I1191-J1191&gt;0,H1191-I1191-J1191,0)</f>
        <v/>
      </c>
      <c r="L1191" s="1">
        <f>IFERROR(I1191*E1191,0)</f>
        <v/>
      </c>
      <c r="M1191" s="1">
        <f>IFERROR(K1191*E1191,0)</f>
        <v/>
      </c>
    </row>
    <row r="1192">
      <c r="A1192" t="inlineStr">
        <is>
          <t>MFA5004002</t>
        </is>
      </c>
      <c r="B1192" t="inlineStr">
        <is>
          <t>MAXFLO 500/150/10 A c/w 4,00KW 2P 380V</t>
        </is>
      </c>
      <c r="C1192" t="inlineStr"/>
      <c r="D1192" t="inlineStr">
        <is>
          <t>FM - DONKIN</t>
        </is>
      </c>
      <c r="E1192" s="1" t="n">
        <v>0</v>
      </c>
      <c r="F1192" t="n">
        <v>1</v>
      </c>
      <c r="G1192" t="n">
        <v>0</v>
      </c>
      <c r="H1192" t="n">
        <v>2</v>
      </c>
      <c r="I1192" t="n">
        <v>0</v>
      </c>
      <c r="J1192" t="n">
        <v>0</v>
      </c>
      <c r="K1192">
        <f>IF(H1192-I1192-J1192&gt;0,H1192-I1192-J1192,0)</f>
        <v/>
      </c>
      <c r="L1192" s="1">
        <f>IFERROR(I1192*E1192,0)</f>
        <v/>
      </c>
      <c r="M1192" s="1">
        <f>IFERROR(K1192*E1192,0)</f>
        <v/>
      </c>
    </row>
    <row r="1193">
      <c r="A1193" t="inlineStr">
        <is>
          <t>MFA90011004</t>
        </is>
      </c>
      <c r="B1193" t="inlineStr">
        <is>
          <t>MAXFLO 900/250/14 A c/w 11,00KW 4P 380V</t>
        </is>
      </c>
      <c r="C1193" t="inlineStr">
        <is>
          <t>Air Speration</t>
        </is>
      </c>
      <c r="D1193" t="inlineStr">
        <is>
          <t>FM - DONKIN</t>
        </is>
      </c>
      <c r="E1193" s="1" t="n">
        <v>8127.2</v>
      </c>
      <c r="F1193" t="n">
        <v>1</v>
      </c>
      <c r="G1193" t="n">
        <v>0</v>
      </c>
      <c r="H1193" t="n">
        <v>2</v>
      </c>
      <c r="I1193" t="n">
        <v>0</v>
      </c>
      <c r="J1193" t="n">
        <v>0</v>
      </c>
      <c r="K1193">
        <f>IF(H1193-I1193-J1193&gt;0,H1193-I1193-J1193,0)</f>
        <v/>
      </c>
      <c r="L1193" s="1">
        <f>IFERROR(I1193*E1193,0)</f>
        <v/>
      </c>
      <c r="M1193" s="1">
        <f>IFERROR(K1193*E1193,0)</f>
        <v/>
      </c>
    </row>
    <row r="1194">
      <c r="A1194" t="inlineStr">
        <is>
          <t>MFA9001506</t>
        </is>
      </c>
      <c r="B1194" t="inlineStr">
        <is>
          <t>MAXFLO 900/250/14 A c/w 1,50KW 6P 380V</t>
        </is>
      </c>
      <c r="C1194" t="inlineStr"/>
      <c r="D1194" t="inlineStr">
        <is>
          <t>FM - DONKIN</t>
        </is>
      </c>
      <c r="E1194" s="1" t="n">
        <v>0</v>
      </c>
      <c r="F1194" t="n">
        <v>1</v>
      </c>
      <c r="G1194" t="n">
        <v>0</v>
      </c>
      <c r="H1194" t="n">
        <v>2</v>
      </c>
      <c r="I1194" t="n">
        <v>0</v>
      </c>
      <c r="J1194" t="n">
        <v>0</v>
      </c>
      <c r="K1194">
        <f>IF(H1194-I1194-J1194&gt;0,H1194-I1194-J1194,0)</f>
        <v/>
      </c>
      <c r="L1194" s="1">
        <f>IFERROR(I1194*E1194,0)</f>
        <v/>
      </c>
      <c r="M1194" s="1">
        <f>IFERROR(K1194*E1194,0)</f>
        <v/>
      </c>
    </row>
    <row r="1195">
      <c r="A1195" t="inlineStr">
        <is>
          <t>MFA9002204</t>
        </is>
      </c>
      <c r="B1195" t="inlineStr">
        <is>
          <t>MAXFLO 900/250/14 A c/w 2,20KW 4P 380V</t>
        </is>
      </c>
      <c r="C1195" t="inlineStr">
        <is>
          <t>Centrifab (Pty) Ltd</t>
        </is>
      </c>
      <c r="D1195" t="inlineStr">
        <is>
          <t>FM - DONKIN</t>
        </is>
      </c>
      <c r="E1195" s="1" t="n">
        <v>8127.2</v>
      </c>
      <c r="F1195" t="n">
        <v>1</v>
      </c>
      <c r="G1195" t="n">
        <v>0</v>
      </c>
      <c r="H1195" t="n">
        <v>2</v>
      </c>
      <c r="I1195" t="n">
        <v>0</v>
      </c>
      <c r="J1195" t="n">
        <v>0</v>
      </c>
      <c r="K1195">
        <f>IF(H1195-I1195-J1195&gt;0,H1195-I1195-J1195,0)</f>
        <v/>
      </c>
      <c r="L1195" s="1">
        <f>IFERROR(I1195*E1195,0)</f>
        <v/>
      </c>
      <c r="M1195" s="1">
        <f>IFERROR(K1195*E1195,0)</f>
        <v/>
      </c>
    </row>
    <row r="1196">
      <c r="A1196" t="inlineStr">
        <is>
          <t>MFA9003004</t>
        </is>
      </c>
      <c r="B1196" t="inlineStr">
        <is>
          <t>MAXFLO 900/250/14 A c/w 3,00KW 4P 380V</t>
        </is>
      </c>
      <c r="C1196" t="inlineStr"/>
      <c r="D1196" t="inlineStr">
        <is>
          <t>FM - DONKIN</t>
        </is>
      </c>
      <c r="E1196" s="1" t="n">
        <v>0</v>
      </c>
      <c r="F1196" t="n">
        <v>1</v>
      </c>
      <c r="G1196" t="n">
        <v>0</v>
      </c>
      <c r="H1196" t="n">
        <v>2</v>
      </c>
      <c r="I1196" t="n">
        <v>0</v>
      </c>
      <c r="J1196" t="n">
        <v>0</v>
      </c>
      <c r="K1196">
        <f>IF(H1196-I1196-J1196&gt;0,H1196-I1196-J1196,0)</f>
        <v/>
      </c>
      <c r="L1196" s="1">
        <f>IFERROR(I1196*E1196,0)</f>
        <v/>
      </c>
      <c r="M1196" s="1">
        <f>IFERROR(K1196*E1196,0)</f>
        <v/>
      </c>
    </row>
    <row r="1197">
      <c r="A1197" t="inlineStr">
        <is>
          <t>MFA9004004</t>
        </is>
      </c>
      <c r="B1197" t="inlineStr">
        <is>
          <t>MAXFLO 900/250/14 A c/w 4,00KW 4P 380V</t>
        </is>
      </c>
      <c r="C1197" t="inlineStr"/>
      <c r="D1197" t="inlineStr">
        <is>
          <t>FM - DONKIN</t>
        </is>
      </c>
      <c r="E1197" s="1" t="n">
        <v>0</v>
      </c>
      <c r="F1197" t="n">
        <v>1</v>
      </c>
      <c r="G1197" t="n">
        <v>0</v>
      </c>
      <c r="H1197" t="n">
        <v>2</v>
      </c>
      <c r="I1197" t="n">
        <v>0</v>
      </c>
      <c r="J1197" t="n">
        <v>0</v>
      </c>
      <c r="K1197">
        <f>IF(H1197-I1197-J1197&gt;0,H1197-I1197-J1197,0)</f>
        <v/>
      </c>
      <c r="L1197" s="1">
        <f>IFERROR(I1197*E1197,0)</f>
        <v/>
      </c>
      <c r="M1197" s="1">
        <f>IFERROR(K1197*E1197,0)</f>
        <v/>
      </c>
    </row>
    <row r="1198">
      <c r="A1198" t="inlineStr">
        <is>
          <t>MFA9005504</t>
        </is>
      </c>
      <c r="B1198" t="inlineStr">
        <is>
          <t>MAXFLO 900/250/14 A c/w 5,50KW 4P 380V</t>
        </is>
      </c>
      <c r="C1198" t="inlineStr"/>
      <c r="D1198" t="inlineStr">
        <is>
          <t>FM - DONKIN</t>
        </is>
      </c>
      <c r="E1198" s="1" t="n">
        <v>0</v>
      </c>
      <c r="F1198" t="n">
        <v>1</v>
      </c>
      <c r="G1198" t="n">
        <v>0</v>
      </c>
      <c r="H1198" t="n">
        <v>2</v>
      </c>
      <c r="I1198" t="n">
        <v>0</v>
      </c>
      <c r="J1198" t="n">
        <v>0</v>
      </c>
      <c r="K1198">
        <f>IF(H1198-I1198-J1198&gt;0,H1198-I1198-J1198,0)</f>
        <v/>
      </c>
      <c r="L1198" s="1">
        <f>IFERROR(I1198*E1198,0)</f>
        <v/>
      </c>
      <c r="M1198" s="1">
        <f>IFERROR(K1198*E1198,0)</f>
        <v/>
      </c>
    </row>
    <row r="1199">
      <c r="A1199" t="inlineStr">
        <is>
          <t>MFA9007504</t>
        </is>
      </c>
      <c r="B1199" t="inlineStr">
        <is>
          <t>MAXFLO 900/250/14 A c/w 7,50KW 4P 380V</t>
        </is>
      </c>
      <c r="C1199" t="inlineStr"/>
      <c r="D1199" t="inlineStr">
        <is>
          <t>FM - DONKIN</t>
        </is>
      </c>
      <c r="E1199" s="1" t="n">
        <v>0</v>
      </c>
      <c r="F1199" t="n">
        <v>1</v>
      </c>
      <c r="G1199" t="n">
        <v>0</v>
      </c>
      <c r="H1199" t="n">
        <v>2</v>
      </c>
      <c r="I1199" t="n">
        <v>0</v>
      </c>
      <c r="J1199" t="n">
        <v>0</v>
      </c>
      <c r="K1199">
        <f>IF(H1199-I1199-J1199&gt;0,H1199-I1199-J1199,0)</f>
        <v/>
      </c>
      <c r="L1199" s="1">
        <f>IFERROR(I1199*E1199,0)</f>
        <v/>
      </c>
      <c r="M1199" s="1">
        <f>IFERROR(K1199*E1199,0)</f>
        <v/>
      </c>
    </row>
    <row r="1200">
      <c r="A1200" t="inlineStr">
        <is>
          <t>MFAY5600374</t>
        </is>
      </c>
      <c r="B1200" t="inlineStr">
        <is>
          <t>MAXFLO 560/150/10 A c/w 0,37KW 4P 380V</t>
        </is>
      </c>
      <c r="C1200" t="inlineStr"/>
      <c r="D1200" t="inlineStr">
        <is>
          <t>FM - DONKIN</t>
        </is>
      </c>
      <c r="E1200" s="1" t="n">
        <v>0</v>
      </c>
      <c r="F1200" t="n">
        <v>1</v>
      </c>
      <c r="G1200" t="n">
        <v>0</v>
      </c>
      <c r="H1200" t="n">
        <v>2</v>
      </c>
      <c r="I1200" t="n">
        <v>0</v>
      </c>
      <c r="J1200" t="n">
        <v>0</v>
      </c>
      <c r="K1200">
        <f>IF(H1200-I1200-J1200&gt;0,H1200-I1200-J1200,0)</f>
        <v/>
      </c>
      <c r="L1200" s="1">
        <f>IFERROR(I1200*E1200,0)</f>
        <v/>
      </c>
      <c r="M1200" s="1">
        <f>IFERROR(K1200*E1200,0)</f>
        <v/>
      </c>
    </row>
    <row r="1201">
      <c r="A1201" t="inlineStr">
        <is>
          <t>MFAY5600554</t>
        </is>
      </c>
      <c r="B1201" t="inlineStr">
        <is>
          <t>MAXFLO 560/150/10 A c/w 0,55KW 4P 380V</t>
        </is>
      </c>
      <c r="C1201" t="inlineStr">
        <is>
          <t>Air Speration</t>
        </is>
      </c>
      <c r="D1201" t="inlineStr">
        <is>
          <t>FM - DONKIN</t>
        </is>
      </c>
      <c r="E1201" s="1" t="n">
        <v>5685.45</v>
      </c>
      <c r="F1201" t="n">
        <v>1</v>
      </c>
      <c r="G1201" t="n">
        <v>0</v>
      </c>
      <c r="H1201" t="n">
        <v>2</v>
      </c>
      <c r="I1201" t="n">
        <v>0</v>
      </c>
      <c r="J1201" t="n">
        <v>0</v>
      </c>
      <c r="K1201">
        <f>IF(H1201-I1201-J1201&gt;0,H1201-I1201-J1201,0)</f>
        <v/>
      </c>
      <c r="L1201" s="1">
        <f>IFERROR(I1201*E1201,0)</f>
        <v/>
      </c>
      <c r="M1201" s="1">
        <f>IFERROR(K1201*E1201,0)</f>
        <v/>
      </c>
    </row>
    <row r="1202">
      <c r="A1202" t="inlineStr">
        <is>
          <t>MFAY5600754</t>
        </is>
      </c>
      <c r="B1202" t="inlineStr">
        <is>
          <t>MAXFLO 560/150/10 A c/w 0,75KW 4P 380V</t>
        </is>
      </c>
      <c r="C1202" t="inlineStr"/>
      <c r="D1202" t="inlineStr">
        <is>
          <t>FM - DONKIN</t>
        </is>
      </c>
      <c r="E1202" s="1" t="n">
        <v>0</v>
      </c>
      <c r="F1202" t="n">
        <v>1</v>
      </c>
      <c r="G1202" t="n">
        <v>0</v>
      </c>
      <c r="H1202" t="n">
        <v>2</v>
      </c>
      <c r="I1202" t="n">
        <v>0</v>
      </c>
      <c r="J1202" t="n">
        <v>0</v>
      </c>
      <c r="K1202">
        <f>IF(H1202-I1202-J1202&gt;0,H1202-I1202-J1202,0)</f>
        <v/>
      </c>
      <c r="L1202" s="1">
        <f>IFERROR(I1202*E1202,0)</f>
        <v/>
      </c>
      <c r="M1202" s="1">
        <f>IFERROR(K1202*E1202,0)</f>
        <v/>
      </c>
    </row>
    <row r="1203">
      <c r="A1203" t="inlineStr">
        <is>
          <t>MFAY5601104</t>
        </is>
      </c>
      <c r="B1203" t="inlineStr">
        <is>
          <t>MAXFLO 560/150/10 A c/w 1,10KW 4P 380V</t>
        </is>
      </c>
      <c r="C1203" t="inlineStr"/>
      <c r="D1203" t="inlineStr">
        <is>
          <t>FM - DONKIN</t>
        </is>
      </c>
      <c r="E1203" s="1" t="n">
        <v>0</v>
      </c>
      <c r="F1203" t="n">
        <v>1</v>
      </c>
      <c r="G1203" t="n">
        <v>0</v>
      </c>
      <c r="H1203" t="n">
        <v>2</v>
      </c>
      <c r="I1203" t="n">
        <v>0</v>
      </c>
      <c r="J1203" t="n">
        <v>0</v>
      </c>
      <c r="K1203">
        <f>IF(H1203-I1203-J1203&gt;0,H1203-I1203-J1203,0)</f>
        <v/>
      </c>
      <c r="L1203" s="1">
        <f>IFERROR(I1203*E1203,0)</f>
        <v/>
      </c>
      <c r="M1203" s="1">
        <f>IFERROR(K1203*E1203,0)</f>
        <v/>
      </c>
    </row>
    <row r="1204">
      <c r="A1204" t="inlineStr">
        <is>
          <t>MFAY5601504</t>
        </is>
      </c>
      <c r="B1204" t="inlineStr">
        <is>
          <t>MAXFLO 560/150/10 A c/w 1,50KW 4P 380V</t>
        </is>
      </c>
      <c r="C1204" t="inlineStr"/>
      <c r="D1204" t="inlineStr">
        <is>
          <t>FM - DONKIN</t>
        </is>
      </c>
      <c r="E1204" s="1" t="n">
        <v>0</v>
      </c>
      <c r="F1204" t="n">
        <v>1</v>
      </c>
      <c r="G1204" t="n">
        <v>0</v>
      </c>
      <c r="H1204" t="n">
        <v>2</v>
      </c>
      <c r="I1204" t="n">
        <v>0</v>
      </c>
      <c r="J1204" t="n">
        <v>0</v>
      </c>
      <c r="K1204">
        <f>IF(H1204-I1204-J1204&gt;0,H1204-I1204-J1204,0)</f>
        <v/>
      </c>
      <c r="L1204" s="1">
        <f>IFERROR(I1204*E1204,0)</f>
        <v/>
      </c>
      <c r="M1204" s="1">
        <f>IFERROR(K1204*E1204,0)</f>
        <v/>
      </c>
    </row>
    <row r="1205">
      <c r="A1205" t="inlineStr">
        <is>
          <t>MFAY5602202</t>
        </is>
      </c>
      <c r="B1205" t="inlineStr">
        <is>
          <t>MAXFLO 560/150/10 A c/w 2,20KW 2P 380V</t>
        </is>
      </c>
      <c r="C1205" t="inlineStr"/>
      <c r="D1205" t="inlineStr">
        <is>
          <t>FM - DONKIN</t>
        </is>
      </c>
      <c r="E1205" s="1" t="n">
        <v>0</v>
      </c>
      <c r="F1205" t="n">
        <v>1</v>
      </c>
      <c r="G1205" t="n">
        <v>0</v>
      </c>
      <c r="H1205" t="n">
        <v>5</v>
      </c>
      <c r="I1205" t="n">
        <v>0</v>
      </c>
      <c r="J1205" t="n">
        <v>0</v>
      </c>
      <c r="K1205">
        <f>IF(H1205-I1205-J1205&gt;0,H1205-I1205-J1205,0)</f>
        <v/>
      </c>
      <c r="L1205" s="1">
        <f>IFERROR(I1205*E1205,0)</f>
        <v/>
      </c>
      <c r="M1205" s="1">
        <f>IFERROR(K1205*E1205,0)</f>
        <v/>
      </c>
    </row>
    <row r="1206">
      <c r="A1206" t="inlineStr">
        <is>
          <t>MFAY5604002</t>
        </is>
      </c>
      <c r="B1206" t="inlineStr">
        <is>
          <t>MAXFLO 560/150/10 A c/w 4,00KW 2P 380V</t>
        </is>
      </c>
      <c r="C1206" t="inlineStr"/>
      <c r="D1206" t="inlineStr">
        <is>
          <t>FM - DONKIN</t>
        </is>
      </c>
      <c r="E1206" s="1" t="n">
        <v>0</v>
      </c>
      <c r="F1206" t="n">
        <v>1</v>
      </c>
      <c r="G1206" t="n">
        <v>0</v>
      </c>
      <c r="H1206" t="n">
        <v>5</v>
      </c>
      <c r="I1206" t="n">
        <v>0</v>
      </c>
      <c r="J1206" t="n">
        <v>0</v>
      </c>
      <c r="K1206">
        <f>IF(H1206-I1206-J1206&gt;0,H1206-I1206-J1206,0)</f>
        <v/>
      </c>
      <c r="L1206" s="1">
        <f>IFERROR(I1206*E1206,0)</f>
        <v/>
      </c>
      <c r="M1206" s="1">
        <f>IFERROR(K1206*E1206,0)</f>
        <v/>
      </c>
    </row>
    <row r="1207">
      <c r="A1207" t="inlineStr">
        <is>
          <t>MFAY6300554</t>
        </is>
      </c>
      <c r="B1207" t="inlineStr">
        <is>
          <t>MAXFLO 630/150/10 A c/w 0,55KW 4P 380V</t>
        </is>
      </c>
      <c r="C1207" t="inlineStr">
        <is>
          <t>Centrifab (Pty) Ltd</t>
        </is>
      </c>
      <c r="D1207" t="inlineStr">
        <is>
          <t>FM - DONKIN</t>
        </is>
      </c>
      <c r="E1207" s="1" t="n">
        <v>2700</v>
      </c>
      <c r="F1207" t="n">
        <v>1</v>
      </c>
      <c r="G1207" t="n">
        <v>0</v>
      </c>
      <c r="H1207" t="n">
        <v>5</v>
      </c>
      <c r="I1207" t="n">
        <v>0</v>
      </c>
      <c r="J1207" t="n">
        <v>0</v>
      </c>
      <c r="K1207">
        <f>IF(H1207-I1207-J1207&gt;0,H1207-I1207-J1207,0)</f>
        <v/>
      </c>
      <c r="L1207" s="1">
        <f>IFERROR(I1207*E1207,0)</f>
        <v/>
      </c>
      <c r="M1207" s="1">
        <f>IFERROR(K1207*E1207,0)</f>
        <v/>
      </c>
    </row>
    <row r="1208">
      <c r="A1208" t="inlineStr">
        <is>
          <t>MFAY6300556</t>
        </is>
      </c>
      <c r="B1208" t="inlineStr">
        <is>
          <t>MAXFLO 630/150/10 A c/w 0,55KW 6P 380V</t>
        </is>
      </c>
      <c r="C1208" t="inlineStr"/>
      <c r="D1208" t="inlineStr">
        <is>
          <t>FM - DONKIN</t>
        </is>
      </c>
      <c r="E1208" s="1" t="n">
        <v>0</v>
      </c>
      <c r="F1208" t="n">
        <v>1</v>
      </c>
      <c r="G1208" t="n">
        <v>0</v>
      </c>
      <c r="H1208" t="n">
        <v>2</v>
      </c>
      <c r="I1208" t="n">
        <v>0</v>
      </c>
      <c r="J1208" t="n">
        <v>0</v>
      </c>
      <c r="K1208">
        <f>IF(H1208-I1208-J1208&gt;0,H1208-I1208-J1208,0)</f>
        <v/>
      </c>
      <c r="L1208" s="1">
        <f>IFERROR(I1208*E1208,0)</f>
        <v/>
      </c>
      <c r="M1208" s="1">
        <f>IFERROR(K1208*E1208,0)</f>
        <v/>
      </c>
    </row>
    <row r="1209">
      <c r="A1209" t="inlineStr">
        <is>
          <t>MFAY6300754</t>
        </is>
      </c>
      <c r="B1209" t="inlineStr">
        <is>
          <t>MAXFLO 630/150/10 A c/w 0,75KW 4P 380V</t>
        </is>
      </c>
      <c r="C1209" t="inlineStr"/>
      <c r="D1209" t="inlineStr">
        <is>
          <t>FM - DONKIN</t>
        </is>
      </c>
      <c r="E1209" s="1" t="n">
        <v>0</v>
      </c>
      <c r="F1209" t="n">
        <v>2</v>
      </c>
      <c r="G1209" t="n">
        <v>0</v>
      </c>
      <c r="H1209" t="n">
        <v>10</v>
      </c>
      <c r="I1209" t="n">
        <v>0</v>
      </c>
      <c r="J1209" t="n">
        <v>0</v>
      </c>
      <c r="K1209">
        <f>IF(H1209-I1209-J1209&gt;0,H1209-I1209-J1209,0)</f>
        <v/>
      </c>
      <c r="L1209" s="1">
        <f>IFERROR(I1209*E1209,0)</f>
        <v/>
      </c>
      <c r="M1209" s="1">
        <f>IFERROR(K1209*E1209,0)</f>
        <v/>
      </c>
    </row>
    <row r="1210">
      <c r="A1210" t="inlineStr">
        <is>
          <t>MFAY6301104</t>
        </is>
      </c>
      <c r="B1210" t="inlineStr">
        <is>
          <t>MAXFLO 630/150/10 A c/w 1,10KW 4P 380V</t>
        </is>
      </c>
      <c r="C1210" t="inlineStr"/>
      <c r="D1210" t="inlineStr">
        <is>
          <t>FM - DONKIN</t>
        </is>
      </c>
      <c r="E1210" s="1" t="n">
        <v>0</v>
      </c>
      <c r="F1210" t="n">
        <v>1</v>
      </c>
      <c r="G1210" t="n">
        <v>0</v>
      </c>
      <c r="H1210" t="n">
        <v>2</v>
      </c>
      <c r="I1210" t="n">
        <v>0</v>
      </c>
      <c r="J1210" t="n">
        <v>0</v>
      </c>
      <c r="K1210">
        <f>IF(H1210-I1210-J1210&gt;0,H1210-I1210-J1210,0)</f>
        <v/>
      </c>
      <c r="L1210" s="1">
        <f>IFERROR(I1210*E1210,0)</f>
        <v/>
      </c>
      <c r="M1210" s="1">
        <f>IFERROR(K1210*E1210,0)</f>
        <v/>
      </c>
    </row>
    <row r="1211">
      <c r="A1211" t="inlineStr">
        <is>
          <t>MFAY6301504</t>
        </is>
      </c>
      <c r="B1211" t="inlineStr">
        <is>
          <t>MAXFLO 630/150/10 A c/w 1,50KW 4P 380V</t>
        </is>
      </c>
      <c r="C1211" t="inlineStr"/>
      <c r="D1211" t="inlineStr">
        <is>
          <t>FM - DONKIN</t>
        </is>
      </c>
      <c r="E1211" s="1" t="n">
        <v>0</v>
      </c>
      <c r="F1211" t="n">
        <v>1</v>
      </c>
      <c r="G1211" t="n">
        <v>0</v>
      </c>
      <c r="H1211" t="n">
        <v>2</v>
      </c>
      <c r="I1211" t="n">
        <v>0</v>
      </c>
      <c r="J1211" t="n">
        <v>0</v>
      </c>
      <c r="K1211">
        <f>IF(H1211-I1211-J1211&gt;0,H1211-I1211-J1211,0)</f>
        <v/>
      </c>
      <c r="L1211" s="1">
        <f>IFERROR(I1211*E1211,0)</f>
        <v/>
      </c>
      <c r="M1211" s="1">
        <f>IFERROR(K1211*E1211,0)</f>
        <v/>
      </c>
    </row>
    <row r="1212">
      <c r="A1212" t="inlineStr">
        <is>
          <t>MFAY6302204</t>
        </is>
      </c>
      <c r="B1212" t="inlineStr">
        <is>
          <t>MAXFLO 630/150/10 A c/w 2,20KW 4P 380V</t>
        </is>
      </c>
      <c r="C1212" t="inlineStr"/>
      <c r="D1212" t="inlineStr">
        <is>
          <t>FM - DONKIN</t>
        </is>
      </c>
      <c r="E1212" s="1" t="n">
        <v>0</v>
      </c>
      <c r="F1212" t="n">
        <v>1</v>
      </c>
      <c r="G1212" t="n">
        <v>0</v>
      </c>
      <c r="H1212" t="n">
        <v>2</v>
      </c>
      <c r="I1212" t="n">
        <v>0</v>
      </c>
      <c r="J1212" t="n">
        <v>0</v>
      </c>
      <c r="K1212">
        <f>IF(H1212-I1212-J1212&gt;0,H1212-I1212-J1212,0)</f>
        <v/>
      </c>
      <c r="L1212" s="1">
        <f>IFERROR(I1212*E1212,0)</f>
        <v/>
      </c>
      <c r="M1212" s="1">
        <f>IFERROR(K1212*E1212,0)</f>
        <v/>
      </c>
    </row>
    <row r="1213">
      <c r="A1213" t="inlineStr">
        <is>
          <t>MFAY7101104</t>
        </is>
      </c>
      <c r="B1213" t="inlineStr">
        <is>
          <t>MAXFLO 710/150/10 A c/w 1,10KW 4P 380V</t>
        </is>
      </c>
      <c r="C1213" t="inlineStr">
        <is>
          <t>Centrifab (Pty) Ltd</t>
        </is>
      </c>
      <c r="D1213" t="inlineStr">
        <is>
          <t>FM - DONKIN</t>
        </is>
      </c>
      <c r="E1213" s="1" t="n">
        <v>8558.02</v>
      </c>
      <c r="F1213" t="n">
        <v>1</v>
      </c>
      <c r="G1213" t="n">
        <v>0</v>
      </c>
      <c r="H1213" t="n">
        <v>3</v>
      </c>
      <c r="I1213" t="n">
        <v>0</v>
      </c>
      <c r="J1213" t="n">
        <v>0</v>
      </c>
      <c r="K1213">
        <f>IF(H1213-I1213-J1213&gt;0,H1213-I1213-J1213,0)</f>
        <v/>
      </c>
      <c r="L1213" s="1">
        <f>IFERROR(I1213*E1213,0)</f>
        <v/>
      </c>
      <c r="M1213" s="1">
        <f>IFERROR(K1213*E1213,0)</f>
        <v/>
      </c>
    </row>
    <row r="1214">
      <c r="A1214" t="inlineStr">
        <is>
          <t>MFAY7101504</t>
        </is>
      </c>
      <c r="B1214" t="inlineStr">
        <is>
          <t>MAXFLO 710/150/10 A c/w 1,50KW 4P 380V</t>
        </is>
      </c>
      <c r="C1214" t="inlineStr"/>
      <c r="D1214" t="inlineStr">
        <is>
          <t>FM - DONKIN</t>
        </is>
      </c>
      <c r="E1214" s="1" t="n">
        <v>0</v>
      </c>
      <c r="F1214" t="n">
        <v>1</v>
      </c>
      <c r="G1214" t="n">
        <v>0</v>
      </c>
      <c r="H1214" t="n">
        <v>5</v>
      </c>
      <c r="I1214" t="n">
        <v>0</v>
      </c>
      <c r="J1214" t="n">
        <v>0</v>
      </c>
      <c r="K1214">
        <f>IF(H1214-I1214-J1214&gt;0,H1214-I1214-J1214,0)</f>
        <v/>
      </c>
      <c r="L1214" s="1">
        <f>IFERROR(I1214*E1214,0)</f>
        <v/>
      </c>
      <c r="M1214" s="1">
        <f>IFERROR(K1214*E1214,0)</f>
        <v/>
      </c>
    </row>
    <row r="1215">
      <c r="A1215" t="inlineStr">
        <is>
          <t>MFAY7102204</t>
        </is>
      </c>
      <c r="B1215" t="inlineStr">
        <is>
          <t>MAXFLO 710/150/10 A c/w 2,20KW 4P 380V</t>
        </is>
      </c>
      <c r="C1215" t="inlineStr"/>
      <c r="D1215" t="inlineStr">
        <is>
          <t>FM - DONKIN</t>
        </is>
      </c>
      <c r="E1215" s="1" t="n">
        <v>0</v>
      </c>
      <c r="F1215" t="n">
        <v>1</v>
      </c>
      <c r="G1215" t="n">
        <v>0</v>
      </c>
      <c r="H1215" t="n">
        <v>2</v>
      </c>
      <c r="I1215" t="n">
        <v>0</v>
      </c>
      <c r="J1215" t="n">
        <v>0</v>
      </c>
      <c r="K1215">
        <f>IF(H1215-I1215-J1215&gt;0,H1215-I1215-J1215,0)</f>
        <v/>
      </c>
      <c r="L1215" s="1">
        <f>IFERROR(I1215*E1215,0)</f>
        <v/>
      </c>
      <c r="M1215" s="1">
        <f>IFERROR(K1215*E1215,0)</f>
        <v/>
      </c>
    </row>
    <row r="1216">
      <c r="A1216" t="inlineStr">
        <is>
          <t>MFAY7104004</t>
        </is>
      </c>
      <c r="B1216" t="inlineStr">
        <is>
          <t>MAXFLO 710/150/10 A c/w 4,00KW 4P 380V</t>
        </is>
      </c>
      <c r="C1216" t="inlineStr">
        <is>
          <t>Air Speration</t>
        </is>
      </c>
      <c r="D1216" t="inlineStr">
        <is>
          <t>FM - DONKIN</t>
        </is>
      </c>
      <c r="E1216" s="1" t="n">
        <v>9521.1</v>
      </c>
      <c r="F1216" t="n">
        <v>2</v>
      </c>
      <c r="G1216" t="n">
        <v>0</v>
      </c>
      <c r="H1216" t="n">
        <v>4</v>
      </c>
      <c r="I1216" t="n">
        <v>0</v>
      </c>
      <c r="J1216" t="n">
        <v>0</v>
      </c>
      <c r="K1216">
        <f>IF(H1216-I1216-J1216&gt;0,H1216-I1216-J1216,0)</f>
        <v/>
      </c>
      <c r="L1216" s="1">
        <f>IFERROR(I1216*E1216,0)</f>
        <v/>
      </c>
      <c r="M1216" s="1">
        <f>IFERROR(K1216*E1216,0)</f>
        <v/>
      </c>
    </row>
    <row r="1217">
      <c r="A1217" t="inlineStr">
        <is>
          <t>MFAY8001504</t>
        </is>
      </c>
      <c r="B1217" t="inlineStr">
        <is>
          <t>MAXFLO 800/150/10 A c/w 1,50KW 4P 380V</t>
        </is>
      </c>
      <c r="C1217" t="inlineStr"/>
      <c r="D1217" t="inlineStr">
        <is>
          <t>FM - DONKIN</t>
        </is>
      </c>
      <c r="E1217" s="1" t="n">
        <v>0</v>
      </c>
      <c r="F1217" t="n">
        <v>1</v>
      </c>
      <c r="G1217" t="n">
        <v>0</v>
      </c>
      <c r="H1217" t="n">
        <v>2</v>
      </c>
      <c r="I1217" t="n">
        <v>0</v>
      </c>
      <c r="J1217" t="n">
        <v>0</v>
      </c>
      <c r="K1217">
        <f>IF(H1217-I1217-J1217&gt;0,H1217-I1217-J1217,0)</f>
        <v/>
      </c>
      <c r="L1217" s="1">
        <f>IFERROR(I1217*E1217,0)</f>
        <v/>
      </c>
      <c r="M1217" s="1">
        <f>IFERROR(K1217*E1217,0)</f>
        <v/>
      </c>
    </row>
    <row r="1218">
      <c r="A1218" t="inlineStr">
        <is>
          <t>MFAY8002204</t>
        </is>
      </c>
      <c r="B1218" t="inlineStr">
        <is>
          <t>MAXFLO 800/150/10 A c/w 2,20KW 4P 380V</t>
        </is>
      </c>
      <c r="C1218" t="inlineStr"/>
      <c r="D1218" t="inlineStr">
        <is>
          <t>FM - DONKIN</t>
        </is>
      </c>
      <c r="E1218" s="1" t="n">
        <v>0</v>
      </c>
      <c r="F1218" t="n">
        <v>2</v>
      </c>
      <c r="G1218" t="n">
        <v>0</v>
      </c>
      <c r="H1218" t="n">
        <v>8</v>
      </c>
      <c r="I1218" t="n">
        <v>0</v>
      </c>
      <c r="J1218" t="n">
        <v>0</v>
      </c>
      <c r="K1218">
        <f>IF(H1218-I1218-J1218&gt;0,H1218-I1218-J1218,0)</f>
        <v/>
      </c>
      <c r="L1218" s="1">
        <f>IFERROR(I1218*E1218,0)</f>
        <v/>
      </c>
      <c r="M1218" s="1">
        <f>IFERROR(K1218*E1218,0)</f>
        <v/>
      </c>
    </row>
    <row r="1219">
      <c r="A1219" t="inlineStr">
        <is>
          <t>MFAY8003004</t>
        </is>
      </c>
      <c r="B1219" t="inlineStr">
        <is>
          <t>MAXFLO 800/150/10 A c/w 3,00KW 4P 380V</t>
        </is>
      </c>
      <c r="C1219" t="inlineStr"/>
      <c r="D1219" t="inlineStr">
        <is>
          <t>FM - DONKIN</t>
        </is>
      </c>
      <c r="E1219" s="1" t="n">
        <v>0</v>
      </c>
      <c r="F1219" t="n">
        <v>1</v>
      </c>
      <c r="G1219" t="n">
        <v>0</v>
      </c>
      <c r="H1219" t="n">
        <v>2</v>
      </c>
      <c r="I1219" t="n">
        <v>0</v>
      </c>
      <c r="J1219" t="n">
        <v>0</v>
      </c>
      <c r="K1219">
        <f>IF(H1219-I1219-J1219&gt;0,H1219-I1219-J1219,0)</f>
        <v/>
      </c>
      <c r="L1219" s="1">
        <f>IFERROR(I1219*E1219,0)</f>
        <v/>
      </c>
      <c r="M1219" s="1">
        <f>IFERROR(K1219*E1219,0)</f>
        <v/>
      </c>
    </row>
    <row r="1220">
      <c r="A1220" t="inlineStr">
        <is>
          <t>MFAY8004004</t>
        </is>
      </c>
      <c r="B1220" t="inlineStr">
        <is>
          <t>MAXFLO 800/150/10 A c/w 4,00KW 4P 380V</t>
        </is>
      </c>
      <c r="C1220" t="inlineStr"/>
      <c r="D1220" t="inlineStr">
        <is>
          <t>FM - DONKIN</t>
        </is>
      </c>
      <c r="E1220" s="1" t="n">
        <v>0</v>
      </c>
      <c r="F1220" t="n">
        <v>1</v>
      </c>
      <c r="G1220" t="n">
        <v>0</v>
      </c>
      <c r="H1220" t="n">
        <v>2</v>
      </c>
      <c r="I1220" t="n">
        <v>0</v>
      </c>
      <c r="J1220" t="n">
        <v>0</v>
      </c>
      <c r="K1220">
        <f>IF(H1220-I1220-J1220&gt;0,H1220-I1220-J1220,0)</f>
        <v/>
      </c>
      <c r="L1220" s="1">
        <f>IFERROR(I1220*E1220,0)</f>
        <v/>
      </c>
      <c r="M1220" s="1">
        <f>IFERROR(K1220*E1220,0)</f>
        <v/>
      </c>
    </row>
    <row r="1221">
      <c r="A1221" t="inlineStr">
        <is>
          <t>MFAY8007504</t>
        </is>
      </c>
      <c r="B1221" t="inlineStr">
        <is>
          <t>MAXFLO 800/150/10 A c/w 7,50KW 4P 380V</t>
        </is>
      </c>
      <c r="C1221" t="inlineStr"/>
      <c r="D1221" t="inlineStr">
        <is>
          <t>FM - DONKIN</t>
        </is>
      </c>
      <c r="E1221" s="1" t="n">
        <v>0</v>
      </c>
      <c r="F1221" t="n">
        <v>1</v>
      </c>
      <c r="G1221" t="n">
        <v>0</v>
      </c>
      <c r="H1221" t="n">
        <v>2</v>
      </c>
      <c r="I1221" t="n">
        <v>0</v>
      </c>
      <c r="J1221" t="n">
        <v>0</v>
      </c>
      <c r="K1221">
        <f>IF(H1221-I1221-J1221&gt;0,H1221-I1221-J1221,0)</f>
        <v/>
      </c>
      <c r="L1221" s="1">
        <f>IFERROR(I1221*E1221,0)</f>
        <v/>
      </c>
      <c r="M1221" s="1">
        <f>IFERROR(K1221*E1221,0)</f>
        <v/>
      </c>
    </row>
    <row r="1222">
      <c r="A1222" t="inlineStr">
        <is>
          <t>MFAZ5600554</t>
        </is>
      </c>
      <c r="B1222" t="inlineStr">
        <is>
          <t>MAXFLO 560/250/14 A c/w 0,55KW 4P 380V</t>
        </is>
      </c>
      <c r="C1222" t="inlineStr"/>
      <c r="D1222" t="inlineStr">
        <is>
          <t>FM - DONKIN</t>
        </is>
      </c>
      <c r="E1222" s="1" t="n">
        <v>0</v>
      </c>
      <c r="F1222" t="n">
        <v>1</v>
      </c>
      <c r="G1222" t="n">
        <v>0</v>
      </c>
      <c r="H1222" t="n">
        <v>2</v>
      </c>
      <c r="I1222" t="n">
        <v>0</v>
      </c>
      <c r="J1222" t="n">
        <v>0</v>
      </c>
      <c r="K1222">
        <f>IF(H1222-I1222-J1222&gt;0,H1222-I1222-J1222,0)</f>
        <v/>
      </c>
      <c r="L1222" s="1">
        <f>IFERROR(I1222*E1222,0)</f>
        <v/>
      </c>
      <c r="M1222" s="1">
        <f>IFERROR(K1222*E1222,0)</f>
        <v/>
      </c>
    </row>
    <row r="1223">
      <c r="A1223" t="inlineStr">
        <is>
          <t>MFAZ5600754</t>
        </is>
      </c>
      <c r="B1223" t="inlineStr">
        <is>
          <t>MAXFLO 560/250/14 A c/w 0,75KW 4P 380V</t>
        </is>
      </c>
      <c r="C1223" t="inlineStr"/>
      <c r="D1223" t="inlineStr">
        <is>
          <t>FM - DONKIN</t>
        </is>
      </c>
      <c r="E1223" s="1" t="n">
        <v>0</v>
      </c>
      <c r="F1223" t="n">
        <v>1</v>
      </c>
      <c r="G1223" t="n">
        <v>0</v>
      </c>
      <c r="H1223" t="n">
        <v>4</v>
      </c>
      <c r="I1223" t="n">
        <v>0</v>
      </c>
      <c r="J1223" t="n">
        <v>0</v>
      </c>
      <c r="K1223">
        <f>IF(H1223-I1223-J1223&gt;0,H1223-I1223-J1223,0)</f>
        <v/>
      </c>
      <c r="L1223" s="1">
        <f>IFERROR(I1223*E1223,0)</f>
        <v/>
      </c>
      <c r="M1223" s="1">
        <f>IFERROR(K1223*E1223,0)</f>
        <v/>
      </c>
    </row>
    <row r="1224">
      <c r="A1224" t="inlineStr">
        <is>
          <t>MFAZ5601104</t>
        </is>
      </c>
      <c r="B1224" t="inlineStr">
        <is>
          <t>MAXFLO 560/250/14 A c/w 1,10KW 4P 380V</t>
        </is>
      </c>
      <c r="C1224" t="inlineStr"/>
      <c r="D1224" t="inlineStr">
        <is>
          <t>FM - DONKIN</t>
        </is>
      </c>
      <c r="E1224" s="1" t="n">
        <v>0</v>
      </c>
      <c r="F1224" t="n">
        <v>1</v>
      </c>
      <c r="G1224" t="n">
        <v>0</v>
      </c>
      <c r="H1224" t="n">
        <v>2</v>
      </c>
      <c r="I1224" t="n">
        <v>0</v>
      </c>
      <c r="J1224" t="n">
        <v>0</v>
      </c>
      <c r="K1224">
        <f>IF(H1224-I1224-J1224&gt;0,H1224-I1224-J1224,0)</f>
        <v/>
      </c>
      <c r="L1224" s="1">
        <f>IFERROR(I1224*E1224,0)</f>
        <v/>
      </c>
      <c r="M1224" s="1">
        <f>IFERROR(K1224*E1224,0)</f>
        <v/>
      </c>
    </row>
    <row r="1225">
      <c r="A1225" t="inlineStr">
        <is>
          <t>MFAZ5601504</t>
        </is>
      </c>
      <c r="B1225" t="inlineStr">
        <is>
          <t>MAXFLO 560/250/14 A c/w 1,50KW 4P 380V</t>
        </is>
      </c>
      <c r="C1225" t="inlineStr"/>
      <c r="D1225" t="inlineStr">
        <is>
          <t>FM - DONKIN</t>
        </is>
      </c>
      <c r="E1225" s="1" t="n">
        <v>0</v>
      </c>
      <c r="F1225" t="n">
        <v>2</v>
      </c>
      <c r="G1225" t="n">
        <v>0</v>
      </c>
      <c r="H1225" t="n">
        <v>8</v>
      </c>
      <c r="I1225" t="n">
        <v>0</v>
      </c>
      <c r="J1225" t="n">
        <v>0</v>
      </c>
      <c r="K1225">
        <f>IF(H1225-I1225-J1225&gt;0,H1225-I1225-J1225,0)</f>
        <v/>
      </c>
      <c r="L1225" s="1">
        <f>IFERROR(I1225*E1225,0)</f>
        <v/>
      </c>
      <c r="M1225" s="1">
        <f>IFERROR(K1225*E1225,0)</f>
        <v/>
      </c>
    </row>
    <row r="1226">
      <c r="A1226" t="inlineStr">
        <is>
          <t>MFAZ5602202</t>
        </is>
      </c>
      <c r="B1226" t="inlineStr">
        <is>
          <t>MAXFLO 560/250/14 A c/w 2,20KW 2P 380V</t>
        </is>
      </c>
      <c r="C1226" t="inlineStr"/>
      <c r="D1226" t="inlineStr">
        <is>
          <t>FM - DONKIN</t>
        </is>
      </c>
      <c r="E1226" s="1" t="n">
        <v>0</v>
      </c>
      <c r="F1226" t="n">
        <v>1</v>
      </c>
      <c r="G1226" t="n">
        <v>0</v>
      </c>
      <c r="H1226" t="n">
        <v>2</v>
      </c>
      <c r="I1226" t="n">
        <v>0</v>
      </c>
      <c r="J1226" t="n">
        <v>0</v>
      </c>
      <c r="K1226">
        <f>IF(H1226-I1226-J1226&gt;0,H1226-I1226-J1226,0)</f>
        <v/>
      </c>
      <c r="L1226" s="1">
        <f>IFERROR(I1226*E1226,0)</f>
        <v/>
      </c>
      <c r="M1226" s="1">
        <f>IFERROR(K1226*E1226,0)</f>
        <v/>
      </c>
    </row>
    <row r="1227">
      <c r="A1227" t="inlineStr">
        <is>
          <t>MFAZ5604002</t>
        </is>
      </c>
      <c r="B1227" t="inlineStr">
        <is>
          <t>MAXFLO 560/250/14 A c/w 4,00KW 2P 380V</t>
        </is>
      </c>
      <c r="C1227" t="inlineStr">
        <is>
          <t>Air Speration</t>
        </is>
      </c>
      <c r="D1227" t="inlineStr">
        <is>
          <t>FM - DONKIN</t>
        </is>
      </c>
      <c r="E1227" s="1" t="n">
        <v>9281.52</v>
      </c>
      <c r="F1227" t="n">
        <v>1</v>
      </c>
      <c r="G1227" t="n">
        <v>0</v>
      </c>
      <c r="H1227" t="n">
        <v>2</v>
      </c>
      <c r="I1227" t="n">
        <v>0</v>
      </c>
      <c r="J1227" t="n">
        <v>0</v>
      </c>
      <c r="K1227">
        <f>IF(H1227-I1227-J1227&gt;0,H1227-I1227-J1227,0)</f>
        <v/>
      </c>
      <c r="L1227" s="1">
        <f>IFERROR(I1227*E1227,0)</f>
        <v/>
      </c>
      <c r="M1227" s="1">
        <f>IFERROR(K1227*E1227,0)</f>
        <v/>
      </c>
    </row>
    <row r="1228">
      <c r="A1228" t="inlineStr">
        <is>
          <t>MFAZ6300374</t>
        </is>
      </c>
      <c r="B1228" t="inlineStr">
        <is>
          <t>MAXFLO 630/250/14 A c/w 0,37KW 4P 380V</t>
        </is>
      </c>
      <c r="C1228" t="inlineStr">
        <is>
          <t>Centrifab (Pty) Ltd</t>
        </is>
      </c>
      <c r="D1228" t="inlineStr">
        <is>
          <t>FM - DONKIN</t>
        </is>
      </c>
      <c r="E1228" s="1" t="n">
        <v>3511.53</v>
      </c>
      <c r="F1228" t="n">
        <v>1</v>
      </c>
      <c r="G1228" t="n">
        <v>0</v>
      </c>
      <c r="H1228" t="n">
        <v>3</v>
      </c>
      <c r="I1228" t="n">
        <v>0</v>
      </c>
      <c r="J1228" t="n">
        <v>0</v>
      </c>
      <c r="K1228">
        <f>IF(H1228-I1228-J1228&gt;0,H1228-I1228-J1228,0)</f>
        <v/>
      </c>
      <c r="L1228" s="1">
        <f>IFERROR(I1228*E1228,0)</f>
        <v/>
      </c>
      <c r="M1228" s="1">
        <f>IFERROR(K1228*E1228,0)</f>
        <v/>
      </c>
    </row>
    <row r="1229">
      <c r="A1229" t="inlineStr">
        <is>
          <t>MFAZ6300554</t>
        </is>
      </c>
      <c r="B1229" t="inlineStr">
        <is>
          <t>MAXFLO 630/250/14 A c/w 0,55KW 4P 380V</t>
        </is>
      </c>
      <c r="C1229" t="inlineStr"/>
      <c r="D1229" t="inlineStr">
        <is>
          <t>FM - DONKIN</t>
        </is>
      </c>
      <c r="E1229" s="1" t="n">
        <v>0</v>
      </c>
      <c r="F1229" t="n">
        <v>1</v>
      </c>
      <c r="G1229" t="n">
        <v>0</v>
      </c>
      <c r="H1229" t="n">
        <v>2</v>
      </c>
      <c r="I1229" t="n">
        <v>0</v>
      </c>
      <c r="J1229" t="n">
        <v>0</v>
      </c>
      <c r="K1229">
        <f>IF(H1229-I1229-J1229&gt;0,H1229-I1229-J1229,0)</f>
        <v/>
      </c>
      <c r="L1229" s="1">
        <f>IFERROR(I1229*E1229,0)</f>
        <v/>
      </c>
      <c r="M1229" s="1">
        <f>IFERROR(K1229*E1229,0)</f>
        <v/>
      </c>
    </row>
    <row r="1230">
      <c r="A1230" t="inlineStr">
        <is>
          <t>MFAZ6300754</t>
        </is>
      </c>
      <c r="B1230" t="inlineStr">
        <is>
          <t>MAXFLO 630/250/14 A c/w 0,75KW 4P 380V</t>
        </is>
      </c>
      <c r="C1230" t="inlineStr"/>
      <c r="D1230" t="inlineStr">
        <is>
          <t>FM - DONKIN</t>
        </is>
      </c>
      <c r="E1230" s="1" t="n">
        <v>0</v>
      </c>
      <c r="F1230" t="n">
        <v>1</v>
      </c>
      <c r="G1230" t="n">
        <v>0</v>
      </c>
      <c r="H1230" t="n">
        <v>2</v>
      </c>
      <c r="I1230" t="n">
        <v>0</v>
      </c>
      <c r="J1230" t="n">
        <v>0</v>
      </c>
      <c r="K1230">
        <f>IF(H1230-I1230-J1230&gt;0,H1230-I1230-J1230,0)</f>
        <v/>
      </c>
      <c r="L1230" s="1">
        <f>IFERROR(I1230*E1230,0)</f>
        <v/>
      </c>
      <c r="M1230" s="1">
        <f>IFERROR(K1230*E1230,0)</f>
        <v/>
      </c>
    </row>
    <row r="1231">
      <c r="A1231" t="inlineStr">
        <is>
          <t>MFAZ6301104</t>
        </is>
      </c>
      <c r="B1231" t="inlineStr">
        <is>
          <t>MAXFLO 630/250/14 A c/w 1,10KW 4P 380V</t>
        </is>
      </c>
      <c r="C1231" t="inlineStr">
        <is>
          <t>Air Speration</t>
        </is>
      </c>
      <c r="D1231" t="inlineStr">
        <is>
          <t>FM - DONKIN</t>
        </is>
      </c>
      <c r="E1231" s="1" t="n">
        <v>8775</v>
      </c>
      <c r="F1231" t="n">
        <v>1</v>
      </c>
      <c r="G1231" t="n">
        <v>0</v>
      </c>
      <c r="H1231" t="n">
        <v>3</v>
      </c>
      <c r="I1231" t="n">
        <v>0</v>
      </c>
      <c r="J1231" t="n">
        <v>0</v>
      </c>
      <c r="K1231">
        <f>IF(H1231-I1231-J1231&gt;0,H1231-I1231-J1231,0)</f>
        <v/>
      </c>
      <c r="L1231" s="1">
        <f>IFERROR(I1231*E1231,0)</f>
        <v/>
      </c>
      <c r="M1231" s="1">
        <f>IFERROR(K1231*E1231,0)</f>
        <v/>
      </c>
    </row>
    <row r="1232">
      <c r="A1232" t="inlineStr">
        <is>
          <t>MFAZ6301504</t>
        </is>
      </c>
      <c r="B1232" t="inlineStr">
        <is>
          <t>MAXFLO 630/250/14 A c/w 1,50KW 4P 380V</t>
        </is>
      </c>
      <c r="C1232" t="inlineStr">
        <is>
          <t>Centrifab (Pty) Ltd</t>
        </is>
      </c>
      <c r="D1232" t="inlineStr">
        <is>
          <t>FM - DONKIN</t>
        </is>
      </c>
      <c r="E1232" s="1" t="n">
        <v>8058</v>
      </c>
      <c r="F1232" t="n">
        <v>1</v>
      </c>
      <c r="G1232" t="n">
        <v>0</v>
      </c>
      <c r="H1232" t="n">
        <v>2</v>
      </c>
      <c r="I1232" t="n">
        <v>0</v>
      </c>
      <c r="J1232" t="n">
        <v>0</v>
      </c>
      <c r="K1232">
        <f>IF(H1232-I1232-J1232&gt;0,H1232-I1232-J1232,0)</f>
        <v/>
      </c>
      <c r="L1232" s="1">
        <f>IFERROR(I1232*E1232,0)</f>
        <v/>
      </c>
      <c r="M1232" s="1">
        <f>IFERROR(K1232*E1232,0)</f>
        <v/>
      </c>
    </row>
    <row r="1233">
      <c r="A1233" t="inlineStr">
        <is>
          <t>MFAZ6302204</t>
        </is>
      </c>
      <c r="B1233" t="inlineStr">
        <is>
          <t>MAXFLO 630/250/14 A c/w 2,20KW 4P 380V</t>
        </is>
      </c>
      <c r="C1233" t="inlineStr"/>
      <c r="D1233" t="inlineStr">
        <is>
          <t>FM - DONKIN</t>
        </is>
      </c>
      <c r="E1233" s="1" t="n">
        <v>0</v>
      </c>
      <c r="F1233" t="n">
        <v>1</v>
      </c>
      <c r="G1233" t="n">
        <v>0</v>
      </c>
      <c r="H1233" t="n">
        <v>2</v>
      </c>
      <c r="I1233" t="n">
        <v>0</v>
      </c>
      <c r="J1233" t="n">
        <v>0</v>
      </c>
      <c r="K1233">
        <f>IF(H1233-I1233-J1233&gt;0,H1233-I1233-J1233,0)</f>
        <v/>
      </c>
      <c r="L1233" s="1">
        <f>IFERROR(I1233*E1233,0)</f>
        <v/>
      </c>
      <c r="M1233" s="1">
        <f>IFERROR(K1233*E1233,0)</f>
        <v/>
      </c>
    </row>
    <row r="1234">
      <c r="A1234" t="inlineStr">
        <is>
          <t>MFAZ6303004</t>
        </is>
      </c>
      <c r="B1234" t="inlineStr">
        <is>
          <t>MAXFLO 630/250/14 A c/w 3,00KW 4P 380V</t>
        </is>
      </c>
      <c r="C1234" t="inlineStr"/>
      <c r="D1234" t="inlineStr">
        <is>
          <t>FM - DONKIN</t>
        </is>
      </c>
      <c r="E1234" s="1" t="n">
        <v>0</v>
      </c>
      <c r="F1234" t="n">
        <v>1</v>
      </c>
      <c r="G1234" t="n">
        <v>0</v>
      </c>
      <c r="H1234" t="n">
        <v>2</v>
      </c>
      <c r="I1234" t="n">
        <v>0</v>
      </c>
      <c r="J1234" t="n">
        <v>0</v>
      </c>
      <c r="K1234">
        <f>IF(H1234-I1234-J1234&gt;0,H1234-I1234-J1234,0)</f>
        <v/>
      </c>
      <c r="L1234" s="1">
        <f>IFERROR(I1234*E1234,0)</f>
        <v/>
      </c>
      <c r="M1234" s="1">
        <f>IFERROR(K1234*E1234,0)</f>
        <v/>
      </c>
    </row>
    <row r="1235">
      <c r="A1235" t="inlineStr">
        <is>
          <t>MFAZ6304004</t>
        </is>
      </c>
      <c r="B1235" t="inlineStr">
        <is>
          <t>MAXFLO 630/250/14 A c/w 4,00KW 4P 380V</t>
        </is>
      </c>
      <c r="C1235" t="inlineStr"/>
      <c r="D1235" t="inlineStr">
        <is>
          <t>FM - DONKIN</t>
        </is>
      </c>
      <c r="E1235" s="1" t="n">
        <v>0</v>
      </c>
      <c r="F1235" t="n">
        <v>1</v>
      </c>
      <c r="G1235" t="n">
        <v>0</v>
      </c>
      <c r="H1235" t="n">
        <v>2</v>
      </c>
      <c r="I1235" t="n">
        <v>0</v>
      </c>
      <c r="J1235" t="n">
        <v>0</v>
      </c>
      <c r="K1235">
        <f>IF(H1235-I1235-J1235&gt;0,H1235-I1235-J1235,0)</f>
        <v/>
      </c>
      <c r="L1235" s="1">
        <f>IFERROR(I1235*E1235,0)</f>
        <v/>
      </c>
      <c r="M1235" s="1">
        <f>IFERROR(K1235*E1235,0)</f>
        <v/>
      </c>
    </row>
    <row r="1236">
      <c r="A1236" t="inlineStr">
        <is>
          <t>MFAZ7101104</t>
        </is>
      </c>
      <c r="B1236" t="inlineStr">
        <is>
          <t>MAXFLO 710/250/14 A c/w 1,10KW 4P 380V</t>
        </is>
      </c>
      <c r="C1236" t="inlineStr">
        <is>
          <t>Air Speration</t>
        </is>
      </c>
      <c r="D1236" t="inlineStr">
        <is>
          <t>FM - DONKIN</t>
        </is>
      </c>
      <c r="E1236" s="1" t="n">
        <v>10080</v>
      </c>
      <c r="F1236" t="n">
        <v>1</v>
      </c>
      <c r="G1236" t="n">
        <v>0</v>
      </c>
      <c r="H1236" t="n">
        <v>3</v>
      </c>
      <c r="I1236" t="n">
        <v>0</v>
      </c>
      <c r="J1236" t="n">
        <v>0</v>
      </c>
      <c r="K1236">
        <f>IF(H1236-I1236-J1236&gt;0,H1236-I1236-J1236,0)</f>
        <v/>
      </c>
      <c r="L1236" s="1">
        <f>IFERROR(I1236*E1236,0)</f>
        <v/>
      </c>
      <c r="M1236" s="1">
        <f>IFERROR(K1236*E1236,0)</f>
        <v/>
      </c>
    </row>
    <row r="1237">
      <c r="A1237" t="inlineStr">
        <is>
          <t>MFAZ7101504</t>
        </is>
      </c>
      <c r="B1237" t="inlineStr">
        <is>
          <t>MAXFLO 710/250/14 A c/w 1,50KW 4P 380V</t>
        </is>
      </c>
      <c r="C1237" t="inlineStr"/>
      <c r="D1237" t="inlineStr">
        <is>
          <t>FM - DONKIN</t>
        </is>
      </c>
      <c r="E1237" s="1" t="n">
        <v>0</v>
      </c>
      <c r="F1237" t="n">
        <v>1</v>
      </c>
      <c r="G1237" t="n">
        <v>0</v>
      </c>
      <c r="H1237" t="n">
        <v>2</v>
      </c>
      <c r="I1237" t="n">
        <v>0</v>
      </c>
      <c r="J1237" t="n">
        <v>0</v>
      </c>
      <c r="K1237">
        <f>IF(H1237-I1237-J1237&gt;0,H1237-I1237-J1237,0)</f>
        <v/>
      </c>
      <c r="L1237" s="1">
        <f>IFERROR(I1237*E1237,0)</f>
        <v/>
      </c>
      <c r="M1237" s="1">
        <f>IFERROR(K1237*E1237,0)</f>
        <v/>
      </c>
    </row>
    <row r="1238">
      <c r="A1238" t="inlineStr">
        <is>
          <t>MFAZ7102204</t>
        </is>
      </c>
      <c r="B1238" t="inlineStr">
        <is>
          <t>MAXFLO 710/250/14 A c/w 2,20KW 4P 380V</t>
        </is>
      </c>
      <c r="C1238" t="inlineStr"/>
      <c r="D1238" t="inlineStr">
        <is>
          <t>FM - DONKIN</t>
        </is>
      </c>
      <c r="E1238" s="1" t="n">
        <v>0</v>
      </c>
      <c r="F1238" t="n">
        <v>1</v>
      </c>
      <c r="G1238" t="n">
        <v>0</v>
      </c>
      <c r="H1238" t="n">
        <v>2</v>
      </c>
      <c r="I1238" t="n">
        <v>0</v>
      </c>
      <c r="J1238" t="n">
        <v>0</v>
      </c>
      <c r="K1238">
        <f>IF(H1238-I1238-J1238&gt;0,H1238-I1238-J1238,0)</f>
        <v/>
      </c>
      <c r="L1238" s="1">
        <f>IFERROR(I1238*E1238,0)</f>
        <v/>
      </c>
      <c r="M1238" s="1">
        <f>IFERROR(K1238*E1238,0)</f>
        <v/>
      </c>
    </row>
    <row r="1239">
      <c r="A1239" t="inlineStr">
        <is>
          <t>MFAZ7104004</t>
        </is>
      </c>
      <c r="B1239" t="inlineStr">
        <is>
          <t>MAXFLO 710/250/14 A c/w 4,00KW 4P 380V</t>
        </is>
      </c>
      <c r="C1239" t="inlineStr"/>
      <c r="D1239" t="inlineStr">
        <is>
          <t>FM - DONKIN</t>
        </is>
      </c>
      <c r="E1239" s="1" t="n">
        <v>0</v>
      </c>
      <c r="F1239" t="n">
        <v>1</v>
      </c>
      <c r="G1239" t="n">
        <v>0</v>
      </c>
      <c r="H1239" t="n">
        <v>2</v>
      </c>
      <c r="I1239" t="n">
        <v>0</v>
      </c>
      <c r="J1239" t="n">
        <v>0</v>
      </c>
      <c r="K1239">
        <f>IF(H1239-I1239-J1239&gt;0,H1239-I1239-J1239,0)</f>
        <v/>
      </c>
      <c r="L1239" s="1">
        <f>IFERROR(I1239*E1239,0)</f>
        <v/>
      </c>
      <c r="M1239" s="1">
        <f>IFERROR(K1239*E1239,0)</f>
        <v/>
      </c>
    </row>
    <row r="1240">
      <c r="A1240" t="inlineStr">
        <is>
          <t>MFAZ7105504</t>
        </is>
      </c>
      <c r="B1240" t="inlineStr">
        <is>
          <t>MAXFLO 710/250/14 A c/w 5,50KW 4P 380V</t>
        </is>
      </c>
      <c r="C1240" t="inlineStr">
        <is>
          <t>Air Speration</t>
        </is>
      </c>
      <c r="D1240" t="inlineStr">
        <is>
          <t>FM - DONKIN</t>
        </is>
      </c>
      <c r="E1240" s="1" t="n">
        <v>9912</v>
      </c>
      <c r="F1240" t="n">
        <v>1</v>
      </c>
      <c r="G1240" t="n">
        <v>0</v>
      </c>
      <c r="H1240" t="n">
        <v>2</v>
      </c>
      <c r="I1240" t="n">
        <v>0</v>
      </c>
      <c r="J1240" t="n">
        <v>0</v>
      </c>
      <c r="K1240">
        <f>IF(H1240-I1240-J1240&gt;0,H1240-I1240-J1240,0)</f>
        <v/>
      </c>
      <c r="L1240" s="1">
        <f>IFERROR(I1240*E1240,0)</f>
        <v/>
      </c>
      <c r="M1240" s="1">
        <f>IFERROR(K1240*E1240,0)</f>
        <v/>
      </c>
    </row>
    <row r="1241">
      <c r="A1241" t="inlineStr">
        <is>
          <t>MFAZ8002204</t>
        </is>
      </c>
      <c r="B1241" t="inlineStr">
        <is>
          <t>MAXFLO 800/250/14 A c/w 2,20KW 4P 380V</t>
        </is>
      </c>
      <c r="C1241" t="inlineStr">
        <is>
          <t>Air Speration</t>
        </is>
      </c>
      <c r="D1241" t="inlineStr">
        <is>
          <t>FM - DONKIN</t>
        </is>
      </c>
      <c r="E1241" s="1" t="n">
        <v>8492.74</v>
      </c>
      <c r="F1241" t="n">
        <v>1</v>
      </c>
      <c r="G1241" t="n">
        <v>0</v>
      </c>
      <c r="H1241" t="n">
        <v>2</v>
      </c>
      <c r="I1241" t="n">
        <v>0</v>
      </c>
      <c r="J1241" t="n">
        <v>0</v>
      </c>
      <c r="K1241">
        <f>IF(H1241-I1241-J1241&gt;0,H1241-I1241-J1241,0)</f>
        <v/>
      </c>
      <c r="L1241" s="1">
        <f>IFERROR(I1241*E1241,0)</f>
        <v/>
      </c>
      <c r="M1241" s="1">
        <f>IFERROR(K1241*E1241,0)</f>
        <v/>
      </c>
    </row>
    <row r="1242">
      <c r="A1242" t="inlineStr">
        <is>
          <t>MFAZ8003004</t>
        </is>
      </c>
      <c r="B1242" t="inlineStr">
        <is>
          <t>MAXFLO 800/250/14 A c/w 3,00KW 4P 380V</t>
        </is>
      </c>
      <c r="C1242" t="inlineStr"/>
      <c r="D1242" t="inlineStr">
        <is>
          <t>FM - DONKIN</t>
        </is>
      </c>
      <c r="E1242" s="1" t="n">
        <v>0</v>
      </c>
      <c r="F1242" t="n">
        <v>1</v>
      </c>
      <c r="G1242" t="n">
        <v>0</v>
      </c>
      <c r="H1242" t="n">
        <v>2</v>
      </c>
      <c r="I1242" t="n">
        <v>0</v>
      </c>
      <c r="J1242" t="n">
        <v>0</v>
      </c>
      <c r="K1242">
        <f>IF(H1242-I1242-J1242&gt;0,H1242-I1242-J1242,0)</f>
        <v/>
      </c>
      <c r="L1242" s="1">
        <f>IFERROR(I1242*E1242,0)</f>
        <v/>
      </c>
      <c r="M1242" s="1">
        <f>IFERROR(K1242*E1242,0)</f>
        <v/>
      </c>
    </row>
    <row r="1243">
      <c r="A1243" t="inlineStr">
        <is>
          <t>MFAZ8004004</t>
        </is>
      </c>
      <c r="B1243" t="inlineStr">
        <is>
          <t>MAXFLO 800/250/14 A c/w 4,00KW 4P 380V</t>
        </is>
      </c>
      <c r="C1243" t="inlineStr"/>
      <c r="D1243" t="inlineStr">
        <is>
          <t>FM - DONKIN</t>
        </is>
      </c>
      <c r="E1243" s="1" t="n">
        <v>0</v>
      </c>
      <c r="F1243" t="n">
        <v>2</v>
      </c>
      <c r="G1243" t="n">
        <v>0</v>
      </c>
      <c r="H1243" t="n">
        <v>8</v>
      </c>
      <c r="I1243" t="n">
        <v>0</v>
      </c>
      <c r="J1243" t="n">
        <v>0</v>
      </c>
      <c r="K1243">
        <f>IF(H1243-I1243-J1243&gt;0,H1243-I1243-J1243,0)</f>
        <v/>
      </c>
      <c r="L1243" s="1">
        <f>IFERROR(I1243*E1243,0)</f>
        <v/>
      </c>
      <c r="M1243" s="1">
        <f>IFERROR(K1243*E1243,0)</f>
        <v/>
      </c>
    </row>
    <row r="1244">
      <c r="A1244" t="inlineStr">
        <is>
          <t>MFAZ8005504</t>
        </is>
      </c>
      <c r="B1244" t="inlineStr">
        <is>
          <t>MAXFLO 800/250/14 A c/w 5,50KW 4P 380V</t>
        </is>
      </c>
      <c r="C1244" t="inlineStr"/>
      <c r="D1244" t="inlineStr">
        <is>
          <t>FM - DONKIN</t>
        </is>
      </c>
      <c r="E1244" s="1" t="n">
        <v>0</v>
      </c>
      <c r="F1244" t="n">
        <v>2</v>
      </c>
      <c r="G1244" t="n">
        <v>0</v>
      </c>
      <c r="H1244" t="n">
        <v>12</v>
      </c>
      <c r="I1244" t="n">
        <v>0</v>
      </c>
      <c r="J1244" t="n">
        <v>0</v>
      </c>
      <c r="K1244">
        <f>IF(H1244-I1244-J1244&gt;0,H1244-I1244-J1244,0)</f>
        <v/>
      </c>
      <c r="L1244" s="1">
        <f>IFERROR(I1244*E1244,0)</f>
        <v/>
      </c>
      <c r="M1244" s="1">
        <f>IFERROR(K1244*E1244,0)</f>
        <v/>
      </c>
    </row>
    <row r="1245">
      <c r="A1245" t="inlineStr">
        <is>
          <t>MFP10005504</t>
        </is>
      </c>
      <c r="B1245" t="inlineStr">
        <is>
          <t>MAXFLO 1000/250/14 P c/w 5,50KW 4P 380V</t>
        </is>
      </c>
      <c r="C1245" t="inlineStr"/>
      <c r="D1245" t="inlineStr">
        <is>
          <t>FM - DONKIN</t>
        </is>
      </c>
      <c r="E1245" s="1" t="n">
        <v>0</v>
      </c>
      <c r="F1245" t="n">
        <v>1</v>
      </c>
      <c r="G1245" t="n">
        <v>0</v>
      </c>
      <c r="H1245" t="n">
        <v>2</v>
      </c>
      <c r="I1245" t="n">
        <v>0</v>
      </c>
      <c r="J1245" t="n">
        <v>0</v>
      </c>
      <c r="K1245">
        <f>IF(H1245-I1245-J1245&gt;0,H1245-I1245-J1245,0)</f>
        <v/>
      </c>
      <c r="L1245" s="1">
        <f>IFERROR(I1245*E1245,0)</f>
        <v/>
      </c>
      <c r="M1245" s="1">
        <f>IFERROR(K1245*E1245,0)</f>
        <v/>
      </c>
    </row>
    <row r="1246">
      <c r="A1246" t="inlineStr">
        <is>
          <t>MFP10007504</t>
        </is>
      </c>
      <c r="B1246" t="inlineStr">
        <is>
          <t>MAXFLO 1000/250/14 P c/w 7,50KW 4P 380V</t>
        </is>
      </c>
      <c r="C1246" t="inlineStr"/>
      <c r="D1246" t="inlineStr">
        <is>
          <t>FM - DONKIN</t>
        </is>
      </c>
      <c r="E1246" s="1" t="n">
        <v>0</v>
      </c>
      <c r="F1246" t="n">
        <v>1</v>
      </c>
      <c r="G1246" t="n">
        <v>0</v>
      </c>
      <c r="H1246" t="n">
        <v>2</v>
      </c>
      <c r="I1246" t="n">
        <v>0</v>
      </c>
      <c r="J1246" t="n">
        <v>0</v>
      </c>
      <c r="K1246">
        <f>IF(H1246-I1246-J1246&gt;0,H1246-I1246-J1246,0)</f>
        <v/>
      </c>
      <c r="L1246" s="1">
        <f>IFERROR(I1246*E1246,0)</f>
        <v/>
      </c>
      <c r="M1246" s="1">
        <f>IFERROR(K1246*E1246,0)</f>
        <v/>
      </c>
    </row>
    <row r="1247">
      <c r="A1247" t="inlineStr">
        <is>
          <t>MFP3150254</t>
        </is>
      </c>
      <c r="B1247" t="inlineStr">
        <is>
          <t>MAXFLO 315/150/10 P c/w 0,25KW 4P 380V</t>
        </is>
      </c>
      <c r="C1247" t="inlineStr">
        <is>
          <t>Air Speration</t>
        </is>
      </c>
      <c r="D1247" t="inlineStr">
        <is>
          <t>FM - DONKIN</t>
        </is>
      </c>
      <c r="E1247" s="1" t="n">
        <v>4150.17</v>
      </c>
      <c r="F1247" t="n">
        <v>1</v>
      </c>
      <c r="G1247" t="n">
        <v>0</v>
      </c>
      <c r="H1247" t="n">
        <v>2</v>
      </c>
      <c r="I1247" t="n">
        <v>0</v>
      </c>
      <c r="J1247" t="n">
        <v>0</v>
      </c>
      <c r="K1247">
        <f>IF(H1247-I1247-J1247&gt;0,H1247-I1247-J1247,0)</f>
        <v/>
      </c>
      <c r="L1247" s="1">
        <f>IFERROR(I1247*E1247,0)</f>
        <v/>
      </c>
      <c r="M1247" s="1">
        <f>IFERROR(K1247*E1247,0)</f>
        <v/>
      </c>
    </row>
    <row r="1248">
      <c r="A1248" t="inlineStr">
        <is>
          <t>MFP3150374</t>
        </is>
      </c>
      <c r="B1248" t="inlineStr">
        <is>
          <t>MAXFLO 315/150/10 P c/w 0,37KW 4P 380V</t>
        </is>
      </c>
      <c r="C1248" t="inlineStr"/>
      <c r="D1248" t="inlineStr">
        <is>
          <t>FM - DONKIN</t>
        </is>
      </c>
      <c r="E1248" s="1" t="n">
        <v>0</v>
      </c>
      <c r="F1248" t="n">
        <v>1</v>
      </c>
      <c r="G1248" t="n">
        <v>0</v>
      </c>
      <c r="H1248" t="n">
        <v>2</v>
      </c>
      <c r="I1248" t="n">
        <v>0</v>
      </c>
      <c r="J1248" t="n">
        <v>0</v>
      </c>
      <c r="K1248">
        <f>IF(H1248-I1248-J1248&gt;0,H1248-I1248-J1248,0)</f>
        <v/>
      </c>
      <c r="L1248" s="1">
        <f>IFERROR(I1248*E1248,0)</f>
        <v/>
      </c>
      <c r="M1248" s="1">
        <f>IFERROR(K1248*E1248,0)</f>
        <v/>
      </c>
    </row>
    <row r="1249">
      <c r="A1249" t="inlineStr">
        <is>
          <t>MFP3150552</t>
        </is>
      </c>
      <c r="B1249" t="inlineStr">
        <is>
          <t>MAXFLO 315/150/10 P c/w 0,55KW 2P 380V</t>
        </is>
      </c>
      <c r="C1249" t="inlineStr">
        <is>
          <t>Air Speration</t>
        </is>
      </c>
      <c r="D1249" t="inlineStr">
        <is>
          <t>FM - DONKIN</t>
        </is>
      </c>
      <c r="E1249" s="1" t="n">
        <v>4157</v>
      </c>
      <c r="F1249" t="n">
        <v>1</v>
      </c>
      <c r="G1249" t="n">
        <v>0</v>
      </c>
      <c r="H1249" t="n">
        <v>4</v>
      </c>
      <c r="I1249" t="n">
        <v>0</v>
      </c>
      <c r="J1249" t="n">
        <v>0</v>
      </c>
      <c r="K1249">
        <f>IF(H1249-I1249-J1249&gt;0,H1249-I1249-J1249,0)</f>
        <v/>
      </c>
      <c r="L1249" s="1">
        <f>IFERROR(I1249*E1249,0)</f>
        <v/>
      </c>
      <c r="M1249" s="1">
        <f>IFERROR(K1249*E1249,0)</f>
        <v/>
      </c>
    </row>
    <row r="1250">
      <c r="A1250" t="inlineStr">
        <is>
          <t>MFP3150752</t>
        </is>
      </c>
      <c r="B1250" t="inlineStr">
        <is>
          <t>MAXFLO 315/150/10 P c/w 0,75KW 2P 380V</t>
        </is>
      </c>
      <c r="C1250" t="inlineStr">
        <is>
          <t>Air Speration</t>
        </is>
      </c>
      <c r="D1250" t="inlineStr">
        <is>
          <t>FM - DONKIN</t>
        </is>
      </c>
      <c r="E1250" s="1" t="n">
        <v>4633</v>
      </c>
      <c r="F1250" t="n">
        <v>1</v>
      </c>
      <c r="G1250" t="n">
        <v>0</v>
      </c>
      <c r="H1250" t="n">
        <v>2</v>
      </c>
      <c r="I1250" t="n">
        <v>0</v>
      </c>
      <c r="J1250" t="n">
        <v>0</v>
      </c>
      <c r="K1250">
        <f>IF(H1250-I1250-J1250&gt;0,H1250-I1250-J1250,0)</f>
        <v/>
      </c>
      <c r="L1250" s="1">
        <f>IFERROR(I1250*E1250,0)</f>
        <v/>
      </c>
      <c r="M1250" s="1">
        <f>IFERROR(K1250*E1250,0)</f>
        <v/>
      </c>
    </row>
    <row r="1251">
      <c r="A1251" t="inlineStr">
        <is>
          <t>MFP4000254</t>
        </is>
      </c>
      <c r="B1251" t="inlineStr">
        <is>
          <t>MAXFLO 400/150/10 P c/w 0,25KW 4P 380V</t>
        </is>
      </c>
      <c r="C1251" t="inlineStr">
        <is>
          <t>Centrifab (Pty) Ltd</t>
        </is>
      </c>
      <c r="D1251" t="inlineStr">
        <is>
          <t>FM - DONKIN</t>
        </is>
      </c>
      <c r="E1251" s="1" t="n">
        <v>4402.8</v>
      </c>
      <c r="F1251" t="n">
        <v>1</v>
      </c>
      <c r="G1251" t="n">
        <v>0</v>
      </c>
      <c r="H1251" t="n">
        <v>2</v>
      </c>
      <c r="I1251" t="n">
        <v>0</v>
      </c>
      <c r="J1251" t="n">
        <v>0</v>
      </c>
      <c r="K1251">
        <f>IF(H1251-I1251-J1251&gt;0,H1251-I1251-J1251,0)</f>
        <v/>
      </c>
      <c r="L1251" s="1">
        <f>IFERROR(I1251*E1251,0)</f>
        <v/>
      </c>
      <c r="M1251" s="1">
        <f>IFERROR(K1251*E1251,0)</f>
        <v/>
      </c>
    </row>
    <row r="1252">
      <c r="A1252" t="inlineStr">
        <is>
          <t>MFP4000374</t>
        </is>
      </c>
      <c r="B1252" t="inlineStr">
        <is>
          <t>MAXFLO 400/150/10 P c/w 0,37KW 4P 380V</t>
        </is>
      </c>
      <c r="C1252" t="inlineStr">
        <is>
          <t>Centrifab (Pty) Ltd</t>
        </is>
      </c>
      <c r="D1252" t="inlineStr">
        <is>
          <t>FM - DONKIN</t>
        </is>
      </c>
      <c r="E1252" s="1" t="n">
        <v>4559.13</v>
      </c>
      <c r="F1252" t="n">
        <v>1</v>
      </c>
      <c r="G1252" t="n">
        <v>0</v>
      </c>
      <c r="H1252" t="n">
        <v>2</v>
      </c>
      <c r="I1252" t="n">
        <v>0</v>
      </c>
      <c r="J1252" t="n">
        <v>0</v>
      </c>
      <c r="K1252">
        <f>IF(H1252-I1252-J1252&gt;0,H1252-I1252-J1252,0)</f>
        <v/>
      </c>
      <c r="L1252" s="1">
        <f>IFERROR(I1252*E1252,0)</f>
        <v/>
      </c>
      <c r="M1252" s="1">
        <f>IFERROR(K1252*E1252,0)</f>
        <v/>
      </c>
    </row>
    <row r="1253">
      <c r="A1253" t="inlineStr">
        <is>
          <t>MFP4000552</t>
        </is>
      </c>
      <c r="B1253" t="inlineStr">
        <is>
          <t>MAXFLO 400/150/10 P c/w 0,55KW 2P 380V</t>
        </is>
      </c>
      <c r="C1253" t="inlineStr"/>
      <c r="D1253" t="inlineStr">
        <is>
          <t>FM - DONKIN</t>
        </is>
      </c>
      <c r="E1253" s="1" t="n">
        <v>0</v>
      </c>
      <c r="F1253" t="n">
        <v>1</v>
      </c>
      <c r="G1253" t="n">
        <v>0</v>
      </c>
      <c r="H1253" t="n">
        <v>2</v>
      </c>
      <c r="I1253" t="n">
        <v>0</v>
      </c>
      <c r="J1253" t="n">
        <v>0</v>
      </c>
      <c r="K1253">
        <f>IF(H1253-I1253-J1253&gt;0,H1253-I1253-J1253,0)</f>
        <v/>
      </c>
      <c r="L1253" s="1">
        <f>IFERROR(I1253*E1253,0)</f>
        <v/>
      </c>
      <c r="M1253" s="1">
        <f>IFERROR(K1253*E1253,0)</f>
        <v/>
      </c>
    </row>
    <row r="1254">
      <c r="A1254" t="inlineStr">
        <is>
          <t>MFP4000554</t>
        </is>
      </c>
      <c r="B1254" t="inlineStr">
        <is>
          <t>MAXFLO 400/150/10 P c/w 0,55KW 4P 380V</t>
        </is>
      </c>
      <c r="C1254" t="inlineStr"/>
      <c r="D1254" t="inlineStr">
        <is>
          <t>FM - DONKIN</t>
        </is>
      </c>
      <c r="E1254" s="1" t="n">
        <v>0</v>
      </c>
      <c r="F1254" t="n">
        <v>1</v>
      </c>
      <c r="G1254" t="n">
        <v>0</v>
      </c>
      <c r="H1254" t="n">
        <v>2</v>
      </c>
      <c r="I1254" t="n">
        <v>0</v>
      </c>
      <c r="J1254" t="n">
        <v>0</v>
      </c>
      <c r="K1254">
        <f>IF(H1254-I1254-J1254&gt;0,H1254-I1254-J1254,0)</f>
        <v/>
      </c>
      <c r="L1254" s="1">
        <f>IFERROR(I1254*E1254,0)</f>
        <v/>
      </c>
      <c r="M1254" s="1">
        <f>IFERROR(K1254*E1254,0)</f>
        <v/>
      </c>
    </row>
    <row r="1255">
      <c r="A1255" t="inlineStr">
        <is>
          <t>MFP4000752</t>
        </is>
      </c>
      <c r="B1255" t="inlineStr">
        <is>
          <t>MAXFLO 400/150/10 P c/w 0,75KW 2P 380V</t>
        </is>
      </c>
      <c r="C1255" t="inlineStr"/>
      <c r="D1255" t="inlineStr">
        <is>
          <t>FM - DONKIN</t>
        </is>
      </c>
      <c r="E1255" s="1" t="n">
        <v>0</v>
      </c>
      <c r="F1255" t="n">
        <v>1</v>
      </c>
      <c r="G1255" t="n">
        <v>0</v>
      </c>
      <c r="H1255" t="n">
        <v>2</v>
      </c>
      <c r="I1255" t="n">
        <v>0</v>
      </c>
      <c r="J1255" t="n">
        <v>0</v>
      </c>
      <c r="K1255">
        <f>IF(H1255-I1255-J1255&gt;0,H1255-I1255-J1255,0)</f>
        <v/>
      </c>
      <c r="L1255" s="1">
        <f>IFERROR(I1255*E1255,0)</f>
        <v/>
      </c>
      <c r="M1255" s="1">
        <f>IFERROR(K1255*E1255,0)</f>
        <v/>
      </c>
    </row>
    <row r="1256">
      <c r="A1256" t="inlineStr">
        <is>
          <t>MFP4001102</t>
        </is>
      </c>
      <c r="B1256" t="inlineStr">
        <is>
          <t>MAXFLO 400/150/10 P c/w 1,10KW 2P 380V</t>
        </is>
      </c>
      <c r="C1256" t="inlineStr">
        <is>
          <t>Air Speration</t>
        </is>
      </c>
      <c r="D1256" t="inlineStr">
        <is>
          <t>FM - DONKIN</t>
        </is>
      </c>
      <c r="E1256" s="1" t="n">
        <v>4935.88</v>
      </c>
      <c r="F1256" t="n">
        <v>1</v>
      </c>
      <c r="G1256" t="n">
        <v>0</v>
      </c>
      <c r="H1256" t="n">
        <v>3</v>
      </c>
      <c r="I1256" t="n">
        <v>0</v>
      </c>
      <c r="J1256" t="n">
        <v>0</v>
      </c>
      <c r="K1256">
        <f>IF(H1256-I1256-J1256&gt;0,H1256-I1256-J1256,0)</f>
        <v/>
      </c>
      <c r="L1256" s="1">
        <f>IFERROR(I1256*E1256,0)</f>
        <v/>
      </c>
      <c r="M1256" s="1">
        <f>IFERROR(K1256*E1256,0)</f>
        <v/>
      </c>
    </row>
    <row r="1257">
      <c r="A1257" t="inlineStr">
        <is>
          <t>MFP5000374</t>
        </is>
      </c>
      <c r="B1257" t="inlineStr">
        <is>
          <t>MAXFLO 500/150/10 P c/w 0,37KW 4P 380V</t>
        </is>
      </c>
      <c r="C1257" t="inlineStr">
        <is>
          <t>Air Speration</t>
        </is>
      </c>
      <c r="D1257" t="inlineStr">
        <is>
          <t>FM - DONKIN</t>
        </is>
      </c>
      <c r="E1257" s="1" t="n">
        <v>4138</v>
      </c>
      <c r="F1257" t="n">
        <v>1</v>
      </c>
      <c r="G1257" t="n">
        <v>0</v>
      </c>
      <c r="H1257" t="n">
        <v>2</v>
      </c>
      <c r="I1257" t="n">
        <v>0</v>
      </c>
      <c r="J1257" t="n">
        <v>0</v>
      </c>
      <c r="K1257">
        <f>IF(H1257-I1257-J1257&gt;0,H1257-I1257-J1257,0)</f>
        <v/>
      </c>
      <c r="L1257" s="1">
        <f>IFERROR(I1257*E1257,0)</f>
        <v/>
      </c>
      <c r="M1257" s="1">
        <f>IFERROR(K1257*E1257,0)</f>
        <v/>
      </c>
    </row>
    <row r="1258">
      <c r="A1258" t="inlineStr">
        <is>
          <t>MFP5000554</t>
        </is>
      </c>
      <c r="B1258" t="inlineStr">
        <is>
          <t>MAXFLO 500/150/10 P c/w 0,55KW 4P 380V</t>
        </is>
      </c>
      <c r="C1258" t="inlineStr">
        <is>
          <t>Air Speration</t>
        </is>
      </c>
      <c r="D1258" t="inlineStr">
        <is>
          <t>FM - DONKIN</t>
        </is>
      </c>
      <c r="E1258" s="1" t="n">
        <v>5284.43</v>
      </c>
      <c r="F1258" t="n">
        <v>1</v>
      </c>
      <c r="G1258" t="n">
        <v>0</v>
      </c>
      <c r="H1258" t="n">
        <v>2</v>
      </c>
      <c r="I1258" t="n">
        <v>0</v>
      </c>
      <c r="J1258" t="n">
        <v>0</v>
      </c>
      <c r="K1258">
        <f>IF(H1258-I1258-J1258&gt;0,H1258-I1258-J1258,0)</f>
        <v/>
      </c>
      <c r="L1258" s="1">
        <f>IFERROR(I1258*E1258,0)</f>
        <v/>
      </c>
      <c r="M1258" s="1">
        <f>IFERROR(K1258*E1258,0)</f>
        <v/>
      </c>
    </row>
    <row r="1259">
      <c r="A1259" t="inlineStr">
        <is>
          <t>MFP5000754</t>
        </is>
      </c>
      <c r="B1259" t="inlineStr">
        <is>
          <t>MAXFLO 500/150/10 P c/w 0,75KW 4P 380V</t>
        </is>
      </c>
      <c r="C1259" t="inlineStr"/>
      <c r="D1259" t="inlineStr">
        <is>
          <t>FM - DONKIN</t>
        </is>
      </c>
      <c r="E1259" s="1" t="n">
        <v>0</v>
      </c>
      <c r="F1259" t="n">
        <v>1</v>
      </c>
      <c r="G1259" t="n">
        <v>0</v>
      </c>
      <c r="H1259" t="n">
        <v>2</v>
      </c>
      <c r="I1259" t="n">
        <v>0</v>
      </c>
      <c r="J1259" t="n">
        <v>0</v>
      </c>
      <c r="K1259">
        <f>IF(H1259-I1259-J1259&gt;0,H1259-I1259-J1259,0)</f>
        <v/>
      </c>
      <c r="L1259" s="1">
        <f>IFERROR(I1259*E1259,0)</f>
        <v/>
      </c>
      <c r="M1259" s="1">
        <f>IFERROR(K1259*E1259,0)</f>
        <v/>
      </c>
    </row>
    <row r="1260">
      <c r="A1260" t="inlineStr">
        <is>
          <t>MFP5001102</t>
        </is>
      </c>
      <c r="B1260" t="inlineStr">
        <is>
          <t>MAXFLO 500/150/10 P c/w 1,10KW 2P 380V</t>
        </is>
      </c>
      <c r="C1260" t="inlineStr"/>
      <c r="D1260" t="inlineStr">
        <is>
          <t>FM - DONKIN</t>
        </is>
      </c>
      <c r="E1260" s="1" t="n">
        <v>0</v>
      </c>
      <c r="F1260" t="n">
        <v>1</v>
      </c>
      <c r="G1260" t="n">
        <v>0</v>
      </c>
      <c r="H1260" t="n">
        <v>2</v>
      </c>
      <c r="I1260" t="n">
        <v>0</v>
      </c>
      <c r="J1260" t="n">
        <v>0</v>
      </c>
      <c r="K1260">
        <f>IF(H1260-I1260-J1260&gt;0,H1260-I1260-J1260,0)</f>
        <v/>
      </c>
      <c r="L1260" s="1">
        <f>IFERROR(I1260*E1260,0)</f>
        <v/>
      </c>
      <c r="M1260" s="1">
        <f>IFERROR(K1260*E1260,0)</f>
        <v/>
      </c>
    </row>
    <row r="1261">
      <c r="A1261" t="inlineStr">
        <is>
          <t>MFP5001104</t>
        </is>
      </c>
      <c r="B1261" t="inlineStr">
        <is>
          <t>MAXFLO 500/150/10 P c/w 1,10KW 4P 380V</t>
        </is>
      </c>
      <c r="C1261" t="inlineStr"/>
      <c r="D1261" t="inlineStr">
        <is>
          <t>FM - DONKIN</t>
        </is>
      </c>
      <c r="E1261" s="1" t="n">
        <v>0</v>
      </c>
      <c r="F1261" t="n">
        <v>1</v>
      </c>
      <c r="G1261" t="n">
        <v>0</v>
      </c>
      <c r="H1261" t="n">
        <v>2</v>
      </c>
      <c r="I1261" t="n">
        <v>0</v>
      </c>
      <c r="J1261" t="n">
        <v>0</v>
      </c>
      <c r="K1261">
        <f>IF(H1261-I1261-J1261&gt;0,H1261-I1261-J1261,0)</f>
        <v/>
      </c>
      <c r="L1261" s="1">
        <f>IFERROR(I1261*E1261,0)</f>
        <v/>
      </c>
      <c r="M1261" s="1">
        <f>IFERROR(K1261*E1261,0)</f>
        <v/>
      </c>
    </row>
    <row r="1262">
      <c r="A1262" t="inlineStr">
        <is>
          <t>MFP5001504</t>
        </is>
      </c>
      <c r="B1262" t="inlineStr">
        <is>
          <t>MAXFLO 500/150/10 P c/w 1,50KW 4P 380V</t>
        </is>
      </c>
      <c r="C1262" t="inlineStr"/>
      <c r="D1262" t="inlineStr">
        <is>
          <t>FM - DONKIN</t>
        </is>
      </c>
      <c r="E1262" s="1" t="n">
        <v>0</v>
      </c>
      <c r="F1262" t="n">
        <v>1</v>
      </c>
      <c r="G1262" t="n">
        <v>0</v>
      </c>
      <c r="H1262" t="n">
        <v>2</v>
      </c>
      <c r="I1262" t="n">
        <v>0</v>
      </c>
      <c r="J1262" t="n">
        <v>0</v>
      </c>
      <c r="K1262">
        <f>IF(H1262-I1262-J1262&gt;0,H1262-I1262-J1262,0)</f>
        <v/>
      </c>
      <c r="L1262" s="1">
        <f>IFERROR(I1262*E1262,0)</f>
        <v/>
      </c>
      <c r="M1262" s="1">
        <f>IFERROR(K1262*E1262,0)</f>
        <v/>
      </c>
    </row>
    <row r="1263">
      <c r="A1263" t="inlineStr">
        <is>
          <t>MFP5002202</t>
        </is>
      </c>
      <c r="B1263" t="inlineStr">
        <is>
          <t>MAXFLO 500/150/10 P c/w 2,20KW 2P 380V</t>
        </is>
      </c>
      <c r="C1263" t="inlineStr">
        <is>
          <t>Air Speration</t>
        </is>
      </c>
      <c r="D1263" t="inlineStr">
        <is>
          <t>FM - DONKIN</t>
        </is>
      </c>
      <c r="E1263" s="1" t="n">
        <v>6487.29</v>
      </c>
      <c r="F1263" t="n">
        <v>1</v>
      </c>
      <c r="G1263" t="n">
        <v>0</v>
      </c>
      <c r="H1263" t="n">
        <v>2</v>
      </c>
      <c r="I1263" t="n">
        <v>0</v>
      </c>
      <c r="J1263" t="n">
        <v>0</v>
      </c>
      <c r="K1263">
        <f>IF(H1263-I1263-J1263&gt;0,H1263-I1263-J1263,0)</f>
        <v/>
      </c>
      <c r="L1263" s="1">
        <f>IFERROR(I1263*E1263,0)</f>
        <v/>
      </c>
      <c r="M1263" s="1">
        <f>IFERROR(K1263*E1263,0)</f>
        <v/>
      </c>
    </row>
    <row r="1264">
      <c r="A1264" t="inlineStr">
        <is>
          <t>MFP5004002</t>
        </is>
      </c>
      <c r="B1264" t="inlineStr">
        <is>
          <t>MAXFLO 500/150/10 P c/w 4,00KW 2P 380V</t>
        </is>
      </c>
      <c r="C1264" t="inlineStr">
        <is>
          <t>Centrifab (Pty) Ltd</t>
        </is>
      </c>
      <c r="D1264" t="inlineStr">
        <is>
          <t>FM - DONKIN</t>
        </is>
      </c>
      <c r="E1264" s="1" t="n">
        <v>8039</v>
      </c>
      <c r="F1264" t="n">
        <v>2</v>
      </c>
      <c r="G1264" t="n">
        <v>0</v>
      </c>
      <c r="H1264" t="n">
        <v>10</v>
      </c>
      <c r="I1264" t="n">
        <v>0</v>
      </c>
      <c r="J1264" t="n">
        <v>0</v>
      </c>
      <c r="K1264">
        <f>IF(H1264-I1264-J1264&gt;0,H1264-I1264-J1264,0)</f>
        <v/>
      </c>
      <c r="L1264" s="1">
        <f>IFERROR(I1264*E1264,0)</f>
        <v/>
      </c>
      <c r="M1264" s="1">
        <f>IFERROR(K1264*E1264,0)</f>
        <v/>
      </c>
    </row>
    <row r="1265">
      <c r="A1265" t="inlineStr">
        <is>
          <t>MFP9002204</t>
        </is>
      </c>
      <c r="B1265" t="inlineStr">
        <is>
          <t>MAXFLO 900/250/14 P c/w 2,20KW 4P 380V</t>
        </is>
      </c>
      <c r="C1265" t="inlineStr"/>
      <c r="D1265" t="inlineStr">
        <is>
          <t>FM - DONKIN</t>
        </is>
      </c>
      <c r="E1265" s="1" t="n">
        <v>0</v>
      </c>
      <c r="F1265" t="n">
        <v>1</v>
      </c>
      <c r="G1265" t="n">
        <v>0</v>
      </c>
      <c r="H1265" t="n">
        <v>2</v>
      </c>
      <c r="I1265" t="n">
        <v>0</v>
      </c>
      <c r="J1265" t="n">
        <v>0</v>
      </c>
      <c r="K1265">
        <f>IF(H1265-I1265-J1265&gt;0,H1265-I1265-J1265,0)</f>
        <v/>
      </c>
      <c r="L1265" s="1">
        <f>IFERROR(I1265*E1265,0)</f>
        <v/>
      </c>
      <c r="M1265" s="1">
        <f>IFERROR(K1265*E1265,0)</f>
        <v/>
      </c>
    </row>
    <row r="1266">
      <c r="A1266" t="inlineStr">
        <is>
          <t>MFP9004004</t>
        </is>
      </c>
      <c r="B1266" t="inlineStr">
        <is>
          <t>MAXFLO 900/250/14 P c/w 4,00KW 4P 380V</t>
        </is>
      </c>
      <c r="C1266" t="inlineStr"/>
      <c r="D1266" t="inlineStr">
        <is>
          <t>FM - DONKIN</t>
        </is>
      </c>
      <c r="E1266" s="1" t="n">
        <v>0</v>
      </c>
      <c r="F1266" t="n">
        <v>1</v>
      </c>
      <c r="G1266" t="n">
        <v>0</v>
      </c>
      <c r="H1266" t="n">
        <v>2</v>
      </c>
      <c r="I1266" t="n">
        <v>0</v>
      </c>
      <c r="J1266" t="n">
        <v>0</v>
      </c>
      <c r="K1266">
        <f>IF(H1266-I1266-J1266&gt;0,H1266-I1266-J1266,0)</f>
        <v/>
      </c>
      <c r="L1266" s="1">
        <f>IFERROR(I1266*E1266,0)</f>
        <v/>
      </c>
      <c r="M1266" s="1">
        <f>IFERROR(K1266*E1266,0)</f>
        <v/>
      </c>
    </row>
    <row r="1267">
      <c r="A1267" t="inlineStr">
        <is>
          <t>MFP9005504</t>
        </is>
      </c>
      <c r="B1267" t="inlineStr">
        <is>
          <t>MAXFLO 900/250/14 P c/w 5,50KW 4P 380V</t>
        </is>
      </c>
      <c r="C1267" t="inlineStr"/>
      <c r="D1267" t="inlineStr">
        <is>
          <t>FM - DONKIN</t>
        </is>
      </c>
      <c r="E1267" s="1" t="n">
        <v>0</v>
      </c>
      <c r="F1267" t="n">
        <v>1</v>
      </c>
      <c r="G1267" t="n">
        <v>0</v>
      </c>
      <c r="H1267" t="n">
        <v>2</v>
      </c>
      <c r="I1267" t="n">
        <v>0</v>
      </c>
      <c r="J1267" t="n">
        <v>0</v>
      </c>
      <c r="K1267">
        <f>IF(H1267-I1267-J1267&gt;0,H1267-I1267-J1267,0)</f>
        <v/>
      </c>
      <c r="L1267" s="1">
        <f>IFERROR(I1267*E1267,0)</f>
        <v/>
      </c>
      <c r="M1267" s="1">
        <f>IFERROR(K1267*E1267,0)</f>
        <v/>
      </c>
    </row>
    <row r="1268">
      <c r="A1268" t="inlineStr">
        <is>
          <t>MFPY5600374</t>
        </is>
      </c>
      <c r="B1268" t="inlineStr">
        <is>
          <t>MAXFLO 560/150/10 P c/w 0,37KW 4P 380V</t>
        </is>
      </c>
      <c r="C1268" t="inlineStr"/>
      <c r="D1268" t="inlineStr">
        <is>
          <t>FM - DONKIN</t>
        </is>
      </c>
      <c r="E1268" s="1" t="n">
        <v>0</v>
      </c>
      <c r="F1268" t="n">
        <v>1</v>
      </c>
      <c r="G1268" t="n">
        <v>0</v>
      </c>
      <c r="H1268" t="n">
        <v>2</v>
      </c>
      <c r="I1268" t="n">
        <v>0</v>
      </c>
      <c r="J1268" t="n">
        <v>0</v>
      </c>
      <c r="K1268">
        <f>IF(H1268-I1268-J1268&gt;0,H1268-I1268-J1268,0)</f>
        <v/>
      </c>
      <c r="L1268" s="1">
        <f>IFERROR(I1268*E1268,0)</f>
        <v/>
      </c>
      <c r="M1268" s="1">
        <f>IFERROR(K1268*E1268,0)</f>
        <v/>
      </c>
    </row>
    <row r="1269">
      <c r="A1269" t="inlineStr">
        <is>
          <t>MFPY5600554</t>
        </is>
      </c>
      <c r="B1269" t="inlineStr">
        <is>
          <t>MAXFLO 560/150/10 P c/w 0,55KW 4P 380V</t>
        </is>
      </c>
      <c r="C1269" t="inlineStr">
        <is>
          <t>Air Speration</t>
        </is>
      </c>
      <c r="D1269" t="inlineStr">
        <is>
          <t>FM - DONKIN</t>
        </is>
      </c>
      <c r="E1269" s="1" t="n">
        <v>5138.69</v>
      </c>
      <c r="F1269" t="n">
        <v>1</v>
      </c>
      <c r="G1269" t="n">
        <v>0</v>
      </c>
      <c r="H1269" t="n">
        <v>2</v>
      </c>
      <c r="I1269" t="n">
        <v>0</v>
      </c>
      <c r="J1269" t="n">
        <v>0</v>
      </c>
      <c r="K1269">
        <f>IF(H1269-I1269-J1269&gt;0,H1269-I1269-J1269,0)</f>
        <v/>
      </c>
      <c r="L1269" s="1">
        <f>IFERROR(I1269*E1269,0)</f>
        <v/>
      </c>
      <c r="M1269" s="1">
        <f>IFERROR(K1269*E1269,0)</f>
        <v/>
      </c>
    </row>
    <row r="1270">
      <c r="A1270" t="inlineStr">
        <is>
          <t>MFPY5600754</t>
        </is>
      </c>
      <c r="B1270" t="inlineStr">
        <is>
          <t>MAXFLO 560/150/10 P c/w 0,75KW 4P 380V</t>
        </is>
      </c>
      <c r="C1270" t="inlineStr">
        <is>
          <t>Centrifab (Pty) Ltd</t>
        </is>
      </c>
      <c r="D1270" t="inlineStr">
        <is>
          <t>FM - DONKIN</t>
        </is>
      </c>
      <c r="E1270" s="1" t="n">
        <v>3606.45</v>
      </c>
      <c r="F1270" t="n">
        <v>1</v>
      </c>
      <c r="G1270" t="n">
        <v>0</v>
      </c>
      <c r="H1270" t="n">
        <v>2</v>
      </c>
      <c r="I1270" t="n">
        <v>0</v>
      </c>
      <c r="J1270" t="n">
        <v>0</v>
      </c>
      <c r="K1270">
        <f>IF(H1270-I1270-J1270&gt;0,H1270-I1270-J1270,0)</f>
        <v/>
      </c>
      <c r="L1270" s="1">
        <f>IFERROR(I1270*E1270,0)</f>
        <v/>
      </c>
      <c r="M1270" s="1">
        <f>IFERROR(K1270*E1270,0)</f>
        <v/>
      </c>
    </row>
    <row r="1271">
      <c r="A1271" t="inlineStr">
        <is>
          <t>MFPY5601104</t>
        </is>
      </c>
      <c r="B1271" t="inlineStr">
        <is>
          <t>MAXFLO 560/150/10 P c/w 1,10KW 4P 380V</t>
        </is>
      </c>
      <c r="C1271" t="inlineStr">
        <is>
          <t>Air Speration</t>
        </is>
      </c>
      <c r="D1271" t="inlineStr">
        <is>
          <t>FM - DONKIN</t>
        </is>
      </c>
      <c r="E1271" s="1" t="n">
        <v>5419</v>
      </c>
      <c r="F1271" t="n">
        <v>1</v>
      </c>
      <c r="G1271" t="n">
        <v>0</v>
      </c>
      <c r="H1271" t="n">
        <v>3</v>
      </c>
      <c r="I1271" t="n">
        <v>0</v>
      </c>
      <c r="J1271" t="n">
        <v>0</v>
      </c>
      <c r="K1271">
        <f>IF(H1271-I1271-J1271&gt;0,H1271-I1271-J1271,0)</f>
        <v/>
      </c>
      <c r="L1271" s="1">
        <f>IFERROR(I1271*E1271,0)</f>
        <v/>
      </c>
      <c r="M1271" s="1">
        <f>IFERROR(K1271*E1271,0)</f>
        <v/>
      </c>
    </row>
    <row r="1272">
      <c r="A1272" t="inlineStr">
        <is>
          <t>MFPY6300554</t>
        </is>
      </c>
      <c r="B1272" t="inlineStr">
        <is>
          <t>MAXFLO 630/150/10 P c/w 0,55KW 4P 380V</t>
        </is>
      </c>
      <c r="C1272" t="inlineStr"/>
      <c r="D1272" t="inlineStr">
        <is>
          <t>FM - DONKIN</t>
        </is>
      </c>
      <c r="E1272" s="1" t="n">
        <v>0</v>
      </c>
      <c r="F1272" t="n">
        <v>1</v>
      </c>
      <c r="G1272" t="n">
        <v>0</v>
      </c>
      <c r="H1272" t="n">
        <v>5</v>
      </c>
      <c r="I1272" t="n">
        <v>0</v>
      </c>
      <c r="J1272" t="n">
        <v>0</v>
      </c>
      <c r="K1272">
        <f>IF(H1272-I1272-J1272&gt;0,H1272-I1272-J1272,0)</f>
        <v/>
      </c>
      <c r="L1272" s="1">
        <f>IFERROR(I1272*E1272,0)</f>
        <v/>
      </c>
      <c r="M1272" s="1">
        <f>IFERROR(K1272*E1272,0)</f>
        <v/>
      </c>
    </row>
    <row r="1273">
      <c r="A1273" t="inlineStr">
        <is>
          <t>MFPY6300754</t>
        </is>
      </c>
      <c r="B1273" t="inlineStr">
        <is>
          <t>MAXFLO 630/150/10 P c/w 0,75KW 4P 380V</t>
        </is>
      </c>
      <c r="C1273" t="inlineStr">
        <is>
          <t>Air Speration</t>
        </is>
      </c>
      <c r="D1273" t="inlineStr">
        <is>
          <t>FM - DONKIN</t>
        </is>
      </c>
      <c r="E1273" s="1" t="n">
        <v>5978.54</v>
      </c>
      <c r="F1273" t="n">
        <v>2</v>
      </c>
      <c r="G1273" t="n">
        <v>0</v>
      </c>
      <c r="H1273" t="n">
        <v>4</v>
      </c>
      <c r="I1273" t="n">
        <v>0</v>
      </c>
      <c r="J1273" t="n">
        <v>0</v>
      </c>
      <c r="K1273">
        <f>IF(H1273-I1273-J1273&gt;0,H1273-I1273-J1273,0)</f>
        <v/>
      </c>
      <c r="L1273" s="1">
        <f>IFERROR(I1273*E1273,0)</f>
        <v/>
      </c>
      <c r="M1273" s="1">
        <f>IFERROR(K1273*E1273,0)</f>
        <v/>
      </c>
    </row>
    <row r="1274">
      <c r="A1274" t="inlineStr">
        <is>
          <t>MFPY6301104</t>
        </is>
      </c>
      <c r="B1274" t="inlineStr">
        <is>
          <t>MAXFLO 630/150/10 P c/w 1,10KW 4P 380V</t>
        </is>
      </c>
      <c r="C1274" t="inlineStr">
        <is>
          <t>Centrifab (Pty) Ltd</t>
        </is>
      </c>
      <c r="D1274" t="inlineStr">
        <is>
          <t>FM - DONKIN</t>
        </is>
      </c>
      <c r="E1274" s="1" t="n">
        <v>5809.2</v>
      </c>
      <c r="F1274" t="n">
        <v>1</v>
      </c>
      <c r="G1274" t="n">
        <v>0</v>
      </c>
      <c r="H1274" t="n">
        <v>5</v>
      </c>
      <c r="I1274" t="n">
        <v>0</v>
      </c>
      <c r="J1274" t="n">
        <v>0</v>
      </c>
      <c r="K1274">
        <f>IF(H1274-I1274-J1274&gt;0,H1274-I1274-J1274,0)</f>
        <v/>
      </c>
      <c r="L1274" s="1">
        <f>IFERROR(I1274*E1274,0)</f>
        <v/>
      </c>
      <c r="M1274" s="1">
        <f>IFERROR(K1274*E1274,0)</f>
        <v/>
      </c>
    </row>
    <row r="1275">
      <c r="A1275" t="inlineStr">
        <is>
          <t>MFPY6302204</t>
        </is>
      </c>
      <c r="B1275" t="inlineStr">
        <is>
          <t>MAXFLO 630/150/10 P c/w 2,20KW 4P 380V</t>
        </is>
      </c>
      <c r="C1275" t="inlineStr"/>
      <c r="D1275" t="inlineStr">
        <is>
          <t>FM - DONKIN</t>
        </is>
      </c>
      <c r="E1275" s="1" t="n">
        <v>0</v>
      </c>
      <c r="F1275" t="n">
        <v>2</v>
      </c>
      <c r="G1275" t="n">
        <v>0</v>
      </c>
      <c r="H1275" t="n">
        <v>8</v>
      </c>
      <c r="I1275" t="n">
        <v>0</v>
      </c>
      <c r="J1275" t="n">
        <v>0</v>
      </c>
      <c r="K1275">
        <f>IF(H1275-I1275-J1275&gt;0,H1275-I1275-J1275,0)</f>
        <v/>
      </c>
      <c r="L1275" s="1">
        <f>IFERROR(I1275*E1275,0)</f>
        <v/>
      </c>
      <c r="M1275" s="1">
        <f>IFERROR(K1275*E1275,0)</f>
        <v/>
      </c>
    </row>
    <row r="1276">
      <c r="A1276" t="inlineStr">
        <is>
          <t>MFPY6303004</t>
        </is>
      </c>
      <c r="B1276" t="inlineStr">
        <is>
          <t>MAXFLO 630/150/10 P c/w 3,00KW 4P 380V</t>
        </is>
      </c>
      <c r="C1276" t="inlineStr"/>
      <c r="D1276" t="inlineStr">
        <is>
          <t>FM - DONKIN</t>
        </is>
      </c>
      <c r="E1276" s="1" t="n">
        <v>0</v>
      </c>
      <c r="F1276" t="n">
        <v>1</v>
      </c>
      <c r="G1276" t="n">
        <v>0</v>
      </c>
      <c r="H1276" t="n">
        <v>2</v>
      </c>
      <c r="I1276" t="n">
        <v>0</v>
      </c>
      <c r="J1276" t="n">
        <v>0</v>
      </c>
      <c r="K1276">
        <f>IF(H1276-I1276-J1276&gt;0,H1276-I1276-J1276,0)</f>
        <v/>
      </c>
      <c r="L1276" s="1">
        <f>IFERROR(I1276*E1276,0)</f>
        <v/>
      </c>
      <c r="M1276" s="1">
        <f>IFERROR(K1276*E1276,0)</f>
        <v/>
      </c>
    </row>
    <row r="1277">
      <c r="A1277" t="inlineStr">
        <is>
          <t>MFPY7101104</t>
        </is>
      </c>
      <c r="B1277" t="inlineStr">
        <is>
          <t>MAXFLO 710/150/10 P c/w 1,10KW 4P 380V</t>
        </is>
      </c>
      <c r="C1277" t="inlineStr"/>
      <c r="D1277" t="inlineStr">
        <is>
          <t>FM - DONKIN</t>
        </is>
      </c>
      <c r="E1277" s="1" t="n">
        <v>0</v>
      </c>
      <c r="F1277" t="n">
        <v>1</v>
      </c>
      <c r="G1277" t="n">
        <v>0</v>
      </c>
      <c r="H1277" t="n">
        <v>5</v>
      </c>
      <c r="I1277" t="n">
        <v>0</v>
      </c>
      <c r="J1277" t="n">
        <v>0</v>
      </c>
      <c r="K1277">
        <f>IF(H1277-I1277-J1277&gt;0,H1277-I1277-J1277,0)</f>
        <v/>
      </c>
      <c r="L1277" s="1">
        <f>IFERROR(I1277*E1277,0)</f>
        <v/>
      </c>
      <c r="M1277" s="1">
        <f>IFERROR(K1277*E1277,0)</f>
        <v/>
      </c>
    </row>
    <row r="1278">
      <c r="A1278" t="inlineStr">
        <is>
          <t>MFPY7102204</t>
        </is>
      </c>
      <c r="B1278" t="inlineStr">
        <is>
          <t>MAXFLO 710/150/10 P c/w 2,20KW 4P 380V</t>
        </is>
      </c>
      <c r="C1278" t="inlineStr"/>
      <c r="D1278" t="inlineStr">
        <is>
          <t>FM - DONKIN</t>
        </is>
      </c>
      <c r="E1278" s="1" t="n">
        <v>0</v>
      </c>
      <c r="F1278" t="n">
        <v>1</v>
      </c>
      <c r="G1278" t="n">
        <v>0</v>
      </c>
      <c r="H1278" t="n">
        <v>2</v>
      </c>
      <c r="I1278" t="n">
        <v>0</v>
      </c>
      <c r="J1278" t="n">
        <v>0</v>
      </c>
      <c r="K1278">
        <f>IF(H1278-I1278-J1278&gt;0,H1278-I1278-J1278,0)</f>
        <v/>
      </c>
      <c r="L1278" s="1">
        <f>IFERROR(I1278*E1278,0)</f>
        <v/>
      </c>
      <c r="M1278" s="1">
        <f>IFERROR(K1278*E1278,0)</f>
        <v/>
      </c>
    </row>
    <row r="1279">
      <c r="A1279" t="inlineStr">
        <is>
          <t>MFPY7104004</t>
        </is>
      </c>
      <c r="B1279" t="inlineStr">
        <is>
          <t>MAXFLO 710/150/10 P c/w 4,00KW 4P 380V</t>
        </is>
      </c>
      <c r="C1279" t="inlineStr"/>
      <c r="D1279" t="inlineStr">
        <is>
          <t>FM - DONKIN</t>
        </is>
      </c>
      <c r="E1279" s="1" t="n">
        <v>0</v>
      </c>
      <c r="F1279" t="n">
        <v>1</v>
      </c>
      <c r="G1279" t="n">
        <v>0</v>
      </c>
      <c r="H1279" t="n">
        <v>2</v>
      </c>
      <c r="I1279" t="n">
        <v>0</v>
      </c>
      <c r="J1279" t="n">
        <v>0</v>
      </c>
      <c r="K1279">
        <f>IF(H1279-I1279-J1279&gt;0,H1279-I1279-J1279,0)</f>
        <v/>
      </c>
      <c r="L1279" s="1">
        <f>IFERROR(I1279*E1279,0)</f>
        <v/>
      </c>
      <c r="M1279" s="1">
        <f>IFERROR(K1279*E1279,0)</f>
        <v/>
      </c>
    </row>
    <row r="1280">
      <c r="A1280" t="inlineStr">
        <is>
          <t>MFPY8003004</t>
        </is>
      </c>
      <c r="B1280" t="inlineStr">
        <is>
          <t>MAXFLO 800/150/10 P c/w 3,00KW 4P 380V</t>
        </is>
      </c>
      <c r="C1280" t="inlineStr"/>
      <c r="D1280" t="inlineStr">
        <is>
          <t>FM - DONKIN</t>
        </is>
      </c>
      <c r="E1280" s="1" t="n">
        <v>0</v>
      </c>
      <c r="F1280" t="n">
        <v>1</v>
      </c>
      <c r="G1280" t="n">
        <v>0</v>
      </c>
      <c r="H1280" t="n">
        <v>2</v>
      </c>
      <c r="I1280" t="n">
        <v>0</v>
      </c>
      <c r="J1280" t="n">
        <v>0</v>
      </c>
      <c r="K1280">
        <f>IF(H1280-I1280-J1280&gt;0,H1280-I1280-J1280,0)</f>
        <v/>
      </c>
      <c r="L1280" s="1">
        <f>IFERROR(I1280*E1280,0)</f>
        <v/>
      </c>
      <c r="M1280" s="1">
        <f>IFERROR(K1280*E1280,0)</f>
        <v/>
      </c>
    </row>
    <row r="1281">
      <c r="A1281" t="inlineStr">
        <is>
          <t>MFPY8005504</t>
        </is>
      </c>
      <c r="B1281" t="inlineStr">
        <is>
          <t>MAXFLO 800/150/10 P c/w 5,50KW 4P 380V</t>
        </is>
      </c>
      <c r="C1281" t="inlineStr"/>
      <c r="D1281" t="inlineStr">
        <is>
          <t>FM - DONKIN</t>
        </is>
      </c>
      <c r="E1281" s="1" t="n">
        <v>0</v>
      </c>
      <c r="F1281" t="n">
        <v>1</v>
      </c>
      <c r="G1281" t="n">
        <v>0</v>
      </c>
      <c r="H1281" t="n">
        <v>2</v>
      </c>
      <c r="I1281" t="n">
        <v>0</v>
      </c>
      <c r="J1281" t="n">
        <v>0</v>
      </c>
      <c r="K1281">
        <f>IF(H1281-I1281-J1281&gt;0,H1281-I1281-J1281,0)</f>
        <v/>
      </c>
      <c r="L1281" s="1">
        <f>IFERROR(I1281*E1281,0)</f>
        <v/>
      </c>
      <c r="M1281" s="1">
        <f>IFERROR(K1281*E1281,0)</f>
        <v/>
      </c>
    </row>
    <row r="1282">
      <c r="A1282" t="inlineStr">
        <is>
          <t>MFPZ5600554</t>
        </is>
      </c>
      <c r="B1282" t="inlineStr">
        <is>
          <t>MAXFLO 560/250/14 P c/w 0,55KW 4P 380V</t>
        </is>
      </c>
      <c r="C1282" t="inlineStr">
        <is>
          <t>Air Speration</t>
        </is>
      </c>
      <c r="D1282" t="inlineStr">
        <is>
          <t>FM - DONKIN</t>
        </is>
      </c>
      <c r="E1282" s="1" t="n">
        <v>5219.33</v>
      </c>
      <c r="F1282" t="n">
        <v>1</v>
      </c>
      <c r="G1282" t="n">
        <v>0</v>
      </c>
      <c r="H1282" t="n">
        <v>3</v>
      </c>
      <c r="I1282" t="n">
        <v>0</v>
      </c>
      <c r="J1282" t="n">
        <v>0</v>
      </c>
      <c r="K1282">
        <f>IF(H1282-I1282-J1282&gt;0,H1282-I1282-J1282,0)</f>
        <v/>
      </c>
      <c r="L1282" s="1">
        <f>IFERROR(I1282*E1282,0)</f>
        <v/>
      </c>
      <c r="M1282" s="1">
        <f>IFERROR(K1282*E1282,0)</f>
        <v/>
      </c>
    </row>
    <row r="1283">
      <c r="A1283" t="inlineStr">
        <is>
          <t>MFPZ5600556</t>
        </is>
      </c>
      <c r="B1283" t="inlineStr">
        <is>
          <t>MAXFLO 560/250/14 P c/w 0,55KW 6P 380V</t>
        </is>
      </c>
      <c r="C1283" t="inlineStr"/>
      <c r="D1283" t="inlineStr">
        <is>
          <t>FM - DONKIN</t>
        </is>
      </c>
      <c r="E1283" s="1" t="n">
        <v>0</v>
      </c>
      <c r="F1283" t="n">
        <v>1</v>
      </c>
      <c r="G1283" t="n">
        <v>0</v>
      </c>
      <c r="H1283" t="n">
        <v>2</v>
      </c>
      <c r="I1283" t="n">
        <v>0</v>
      </c>
      <c r="J1283" t="n">
        <v>0</v>
      </c>
      <c r="K1283">
        <f>IF(H1283-I1283-J1283&gt;0,H1283-I1283-J1283,0)</f>
        <v/>
      </c>
      <c r="L1283" s="1">
        <f>IFERROR(I1283*E1283,0)</f>
        <v/>
      </c>
      <c r="M1283" s="1">
        <f>IFERROR(K1283*E1283,0)</f>
        <v/>
      </c>
    </row>
    <row r="1284">
      <c r="A1284" t="inlineStr">
        <is>
          <t>MFPZ5600754</t>
        </is>
      </c>
      <c r="B1284" t="inlineStr">
        <is>
          <t>MAXFLO 560/250/14 P c/w 0,75KW 4P 380V</t>
        </is>
      </c>
      <c r="C1284" t="inlineStr">
        <is>
          <t>Air Speration</t>
        </is>
      </c>
      <c r="D1284" t="inlineStr">
        <is>
          <t>FM - DONKIN</t>
        </is>
      </c>
      <c r="E1284" s="1" t="n">
        <v>5355.45</v>
      </c>
      <c r="F1284" t="n">
        <v>1</v>
      </c>
      <c r="G1284" t="n">
        <v>0</v>
      </c>
      <c r="H1284" t="n">
        <v>3</v>
      </c>
      <c r="I1284" t="n">
        <v>0</v>
      </c>
      <c r="J1284" t="n">
        <v>0</v>
      </c>
      <c r="K1284">
        <f>IF(H1284-I1284-J1284&gt;0,H1284-I1284-J1284,0)</f>
        <v/>
      </c>
      <c r="L1284" s="1">
        <f>IFERROR(I1284*E1284,0)</f>
        <v/>
      </c>
      <c r="M1284" s="1">
        <f>IFERROR(K1284*E1284,0)</f>
        <v/>
      </c>
    </row>
    <row r="1285">
      <c r="A1285" t="inlineStr">
        <is>
          <t>MFPZ5601104</t>
        </is>
      </c>
      <c r="B1285" t="inlineStr">
        <is>
          <t>MAXFLO 560/250/14 P c/w 1,10KW 4P 380V</t>
        </is>
      </c>
      <c r="C1285" t="inlineStr">
        <is>
          <t>Air Speration</t>
        </is>
      </c>
      <c r="D1285" t="inlineStr">
        <is>
          <t>FM - DONKIN</t>
        </is>
      </c>
      <c r="E1285" s="1" t="n">
        <v>5601</v>
      </c>
      <c r="F1285" t="n">
        <v>2</v>
      </c>
      <c r="G1285" t="n">
        <v>0</v>
      </c>
      <c r="H1285" t="n">
        <v>4</v>
      </c>
      <c r="I1285" t="n">
        <v>0</v>
      </c>
      <c r="J1285" t="n">
        <v>0</v>
      </c>
      <c r="K1285">
        <f>IF(H1285-I1285-J1285&gt;0,H1285-I1285-J1285,0)</f>
        <v/>
      </c>
      <c r="L1285" s="1">
        <f>IFERROR(I1285*E1285,0)</f>
        <v/>
      </c>
      <c r="M1285" s="1">
        <f>IFERROR(K1285*E1285,0)</f>
        <v/>
      </c>
    </row>
    <row r="1286">
      <c r="A1286" t="inlineStr">
        <is>
          <t>MFPZ5601504</t>
        </is>
      </c>
      <c r="B1286" t="inlineStr">
        <is>
          <t>MAXFLO 560/250/14 P c/w 1,50KW 4P 380V</t>
        </is>
      </c>
      <c r="C1286" t="inlineStr"/>
      <c r="D1286" t="inlineStr">
        <is>
          <t>FM - DONKIN</t>
        </is>
      </c>
      <c r="E1286" s="1" t="n">
        <v>0</v>
      </c>
      <c r="F1286" t="n">
        <v>1</v>
      </c>
      <c r="G1286" t="n">
        <v>0</v>
      </c>
      <c r="H1286" t="n">
        <v>2</v>
      </c>
      <c r="I1286" t="n">
        <v>0</v>
      </c>
      <c r="J1286" t="n">
        <v>0</v>
      </c>
      <c r="K1286">
        <f>IF(H1286-I1286-J1286&gt;0,H1286-I1286-J1286,0)</f>
        <v/>
      </c>
      <c r="L1286" s="1">
        <f>IFERROR(I1286*E1286,0)</f>
        <v/>
      </c>
      <c r="M1286" s="1">
        <f>IFERROR(K1286*E1286,0)</f>
        <v/>
      </c>
    </row>
    <row r="1287">
      <c r="A1287" t="inlineStr">
        <is>
          <t>MFPZ5602202</t>
        </is>
      </c>
      <c r="B1287" t="inlineStr">
        <is>
          <t>MAXFLO 560/250/14 P c/w 2,20KW 2P 380V</t>
        </is>
      </c>
      <c r="C1287" t="inlineStr"/>
      <c r="D1287" t="inlineStr">
        <is>
          <t>FM - DONKIN</t>
        </is>
      </c>
      <c r="E1287" s="1" t="n">
        <v>0</v>
      </c>
      <c r="F1287" t="n">
        <v>1</v>
      </c>
      <c r="G1287" t="n">
        <v>0</v>
      </c>
      <c r="H1287" t="n">
        <v>2</v>
      </c>
      <c r="I1287" t="n">
        <v>0</v>
      </c>
      <c r="J1287" t="n">
        <v>0</v>
      </c>
      <c r="K1287">
        <f>IF(H1287-I1287-J1287&gt;0,H1287-I1287-J1287,0)</f>
        <v/>
      </c>
      <c r="L1287" s="1">
        <f>IFERROR(I1287*E1287,0)</f>
        <v/>
      </c>
      <c r="M1287" s="1">
        <f>IFERROR(K1287*E1287,0)</f>
        <v/>
      </c>
    </row>
    <row r="1288">
      <c r="A1288" t="inlineStr">
        <is>
          <t>MFPZ6300554</t>
        </is>
      </c>
      <c r="B1288" t="inlineStr">
        <is>
          <t>MAXFLO 630/250/14 P c/w 0,55KW 4P 380V</t>
        </is>
      </c>
      <c r="C1288" t="inlineStr">
        <is>
          <t>Centrifab (Pty) Ltd</t>
        </is>
      </c>
      <c r="D1288" t="inlineStr">
        <is>
          <t>FM - DONKIN</t>
        </is>
      </c>
      <c r="E1288" s="1" t="n">
        <v>2032.3</v>
      </c>
      <c r="F1288" t="n">
        <v>1</v>
      </c>
      <c r="G1288" t="n">
        <v>0</v>
      </c>
      <c r="H1288" t="n">
        <v>3</v>
      </c>
      <c r="I1288" t="n">
        <v>0</v>
      </c>
      <c r="J1288" t="n">
        <v>0</v>
      </c>
      <c r="K1288">
        <f>IF(H1288-I1288-J1288&gt;0,H1288-I1288-J1288,0)</f>
        <v/>
      </c>
      <c r="L1288" s="1">
        <f>IFERROR(I1288*E1288,0)</f>
        <v/>
      </c>
      <c r="M1288" s="1">
        <f>IFERROR(K1288*E1288,0)</f>
        <v/>
      </c>
    </row>
    <row r="1289">
      <c r="A1289" t="inlineStr">
        <is>
          <t>MFPZ6300754</t>
        </is>
      </c>
      <c r="B1289" t="inlineStr">
        <is>
          <t>MAXFLO 630/250/14 P c/w 0,75KW 4P 380V</t>
        </is>
      </c>
      <c r="C1289" t="inlineStr"/>
      <c r="D1289" t="inlineStr">
        <is>
          <t>FM - DONKIN</t>
        </is>
      </c>
      <c r="E1289" s="1" t="n">
        <v>0</v>
      </c>
      <c r="F1289" t="n">
        <v>2</v>
      </c>
      <c r="G1289" t="n">
        <v>0</v>
      </c>
      <c r="H1289" t="n">
        <v>10</v>
      </c>
      <c r="I1289" t="n">
        <v>0</v>
      </c>
      <c r="J1289" t="n">
        <v>0</v>
      </c>
      <c r="K1289">
        <f>IF(H1289-I1289-J1289&gt;0,H1289-I1289-J1289,0)</f>
        <v/>
      </c>
      <c r="L1289" s="1">
        <f>IFERROR(I1289*E1289,0)</f>
        <v/>
      </c>
      <c r="M1289" s="1">
        <f>IFERROR(K1289*E1289,0)</f>
        <v/>
      </c>
    </row>
    <row r="1290">
      <c r="A1290" t="inlineStr">
        <is>
          <t>MFPZ6301104</t>
        </is>
      </c>
      <c r="B1290" t="inlineStr">
        <is>
          <t>MAXFLO 630/250/14 P c/w 1,10KW 4P 380V</t>
        </is>
      </c>
      <c r="C1290" t="inlineStr">
        <is>
          <t>Air Speration</t>
        </is>
      </c>
      <c r="D1290" t="inlineStr">
        <is>
          <t>FM - DONKIN</t>
        </is>
      </c>
      <c r="E1290" s="1" t="n">
        <v>2032.3</v>
      </c>
      <c r="F1290" t="n">
        <v>1</v>
      </c>
      <c r="G1290" t="n">
        <v>0</v>
      </c>
      <c r="H1290" t="n">
        <v>2</v>
      </c>
      <c r="I1290" t="n">
        <v>0</v>
      </c>
      <c r="J1290" t="n">
        <v>0</v>
      </c>
      <c r="K1290">
        <f>IF(H1290-I1290-J1290&gt;0,H1290-I1290-J1290,0)</f>
        <v/>
      </c>
      <c r="L1290" s="1">
        <f>IFERROR(I1290*E1290,0)</f>
        <v/>
      </c>
      <c r="M1290" s="1">
        <f>IFERROR(K1290*E1290,0)</f>
        <v/>
      </c>
    </row>
    <row r="1291">
      <c r="A1291" t="inlineStr">
        <is>
          <t>MFPZ6301504</t>
        </is>
      </c>
      <c r="B1291" t="inlineStr">
        <is>
          <t>MAXFLO 630/250/14 P c/w 1,50KW 4P 380V</t>
        </is>
      </c>
      <c r="C1291" t="inlineStr"/>
      <c r="D1291" t="inlineStr">
        <is>
          <t>FM - DONKIN</t>
        </is>
      </c>
      <c r="E1291" s="1" t="n">
        <v>0</v>
      </c>
      <c r="F1291" t="n">
        <v>1</v>
      </c>
      <c r="G1291" t="n">
        <v>0</v>
      </c>
      <c r="H1291" t="n">
        <v>5</v>
      </c>
      <c r="I1291" t="n">
        <v>0</v>
      </c>
      <c r="J1291" t="n">
        <v>0</v>
      </c>
      <c r="K1291">
        <f>IF(H1291-I1291-J1291&gt;0,H1291-I1291-J1291,0)</f>
        <v/>
      </c>
      <c r="L1291" s="1">
        <f>IFERROR(I1291*E1291,0)</f>
        <v/>
      </c>
      <c r="M1291" s="1">
        <f>IFERROR(K1291*E1291,0)</f>
        <v/>
      </c>
    </row>
    <row r="1292">
      <c r="A1292" t="inlineStr">
        <is>
          <t>MFPZ6302204</t>
        </is>
      </c>
      <c r="B1292" t="inlineStr">
        <is>
          <t>MAXFLO 630/250/14 P c/w 2,20KW 4P 380V</t>
        </is>
      </c>
      <c r="C1292" t="inlineStr"/>
      <c r="D1292" t="inlineStr">
        <is>
          <t>FM - DONKIN</t>
        </is>
      </c>
      <c r="E1292" s="1" t="n">
        <v>0</v>
      </c>
      <c r="F1292" t="n">
        <v>1</v>
      </c>
      <c r="G1292" t="n">
        <v>0</v>
      </c>
      <c r="H1292" t="n">
        <v>2</v>
      </c>
      <c r="I1292" t="n">
        <v>0</v>
      </c>
      <c r="J1292" t="n">
        <v>0</v>
      </c>
      <c r="K1292">
        <f>IF(H1292-I1292-J1292&gt;0,H1292-I1292-J1292,0)</f>
        <v/>
      </c>
      <c r="L1292" s="1">
        <f>IFERROR(I1292*E1292,0)</f>
        <v/>
      </c>
      <c r="M1292" s="1">
        <f>IFERROR(K1292*E1292,0)</f>
        <v/>
      </c>
    </row>
    <row r="1293">
      <c r="A1293" t="inlineStr">
        <is>
          <t>MFPZ6303004</t>
        </is>
      </c>
      <c r="B1293" t="inlineStr">
        <is>
          <t>MAXFLO 630/250/14 P c/w 3,00KW 4P 380V</t>
        </is>
      </c>
      <c r="C1293" t="inlineStr">
        <is>
          <t>Centrifab (Pty) Ltd</t>
        </is>
      </c>
      <c r="D1293" t="inlineStr">
        <is>
          <t>FM - DONKIN</t>
        </is>
      </c>
      <c r="E1293" s="1" t="n">
        <v>6348.78</v>
      </c>
      <c r="F1293" t="n">
        <v>2</v>
      </c>
      <c r="G1293" t="n">
        <v>0</v>
      </c>
      <c r="H1293" t="n">
        <v>4</v>
      </c>
      <c r="I1293" t="n">
        <v>0</v>
      </c>
      <c r="J1293" t="n">
        <v>0</v>
      </c>
      <c r="K1293">
        <f>IF(H1293-I1293-J1293&gt;0,H1293-I1293-J1293,0)</f>
        <v/>
      </c>
      <c r="L1293" s="1">
        <f>IFERROR(I1293*E1293,0)</f>
        <v/>
      </c>
      <c r="M1293" s="1">
        <f>IFERROR(K1293*E1293,0)</f>
        <v/>
      </c>
    </row>
    <row r="1294">
      <c r="A1294" t="inlineStr">
        <is>
          <t>MFPZ7101504</t>
        </is>
      </c>
      <c r="B1294" t="inlineStr">
        <is>
          <t>MAXFLO 710/250/14 P c/w 1,50KW 4P 380V</t>
        </is>
      </c>
      <c r="C1294" t="inlineStr">
        <is>
          <t>Air Speration</t>
        </is>
      </c>
      <c r="D1294" t="inlineStr">
        <is>
          <t>FM - DONKIN</t>
        </is>
      </c>
      <c r="E1294" s="1" t="n">
        <v>6479.3</v>
      </c>
      <c r="F1294" t="n">
        <v>1</v>
      </c>
      <c r="G1294" t="n">
        <v>0</v>
      </c>
      <c r="H1294" t="n">
        <v>2</v>
      </c>
      <c r="I1294" t="n">
        <v>0</v>
      </c>
      <c r="J1294" t="n">
        <v>0</v>
      </c>
      <c r="K1294">
        <f>IF(H1294-I1294-J1294&gt;0,H1294-I1294-J1294,0)</f>
        <v/>
      </c>
      <c r="L1294" s="1">
        <f>IFERROR(I1294*E1294,0)</f>
        <v/>
      </c>
      <c r="M1294" s="1">
        <f>IFERROR(K1294*E1294,0)</f>
        <v/>
      </c>
    </row>
    <row r="1295">
      <c r="A1295" t="inlineStr">
        <is>
          <t>MFPZ7103004</t>
        </is>
      </c>
      <c r="B1295" t="inlineStr">
        <is>
          <t>MAXFLO 710/250/14 P c/w 3,00KW 4P 380V</t>
        </is>
      </c>
      <c r="C1295" t="inlineStr"/>
      <c r="D1295" t="inlineStr">
        <is>
          <t>FM - DONKIN</t>
        </is>
      </c>
      <c r="E1295" s="1" t="n">
        <v>0</v>
      </c>
      <c r="F1295" t="n">
        <v>1</v>
      </c>
      <c r="G1295" t="n">
        <v>0</v>
      </c>
      <c r="H1295" t="n">
        <v>2</v>
      </c>
      <c r="I1295" t="n">
        <v>0</v>
      </c>
      <c r="J1295" t="n">
        <v>0</v>
      </c>
      <c r="K1295">
        <f>IF(H1295-I1295-J1295&gt;0,H1295-I1295-J1295,0)</f>
        <v/>
      </c>
      <c r="L1295" s="1">
        <f>IFERROR(I1295*E1295,0)</f>
        <v/>
      </c>
      <c r="M1295" s="1">
        <f>IFERROR(K1295*E1295,0)</f>
        <v/>
      </c>
    </row>
    <row r="1296">
      <c r="A1296" t="inlineStr">
        <is>
          <t>MFPZ7104004</t>
        </is>
      </c>
      <c r="B1296" t="inlineStr">
        <is>
          <t>MAXFLO 710/250/14 P c/w 4,00KW 4P 380V</t>
        </is>
      </c>
      <c r="C1296" t="inlineStr"/>
      <c r="D1296" t="inlineStr">
        <is>
          <t>FM - DONKIN</t>
        </is>
      </c>
      <c r="E1296" s="1" t="n">
        <v>0</v>
      </c>
      <c r="F1296" t="n">
        <v>1</v>
      </c>
      <c r="G1296" t="n">
        <v>0</v>
      </c>
      <c r="H1296" t="n">
        <v>2</v>
      </c>
      <c r="I1296" t="n">
        <v>0</v>
      </c>
      <c r="J1296" t="n">
        <v>0</v>
      </c>
      <c r="K1296">
        <f>IF(H1296-I1296-J1296&gt;0,H1296-I1296-J1296,0)</f>
        <v/>
      </c>
      <c r="L1296" s="1">
        <f>IFERROR(I1296*E1296,0)</f>
        <v/>
      </c>
      <c r="M1296" s="1">
        <f>IFERROR(K1296*E1296,0)</f>
        <v/>
      </c>
    </row>
    <row r="1297">
      <c r="A1297" t="inlineStr">
        <is>
          <t>MFPZ8002204</t>
        </is>
      </c>
      <c r="B1297" t="inlineStr">
        <is>
          <t>MAXFLO 800/250/14 P c/w 2,20KW 4P 380V</t>
        </is>
      </c>
      <c r="C1297" t="inlineStr">
        <is>
          <t>Air Speration</t>
        </is>
      </c>
      <c r="D1297" t="inlineStr">
        <is>
          <t>FM - DONKIN</t>
        </is>
      </c>
      <c r="E1297" s="1" t="n">
        <v>8203</v>
      </c>
      <c r="F1297" t="n">
        <v>1</v>
      </c>
      <c r="G1297" t="n">
        <v>0</v>
      </c>
      <c r="H1297" t="n">
        <v>2</v>
      </c>
      <c r="I1297" t="n">
        <v>0</v>
      </c>
      <c r="J1297" t="n">
        <v>0</v>
      </c>
      <c r="K1297">
        <f>IF(H1297-I1297-J1297&gt;0,H1297-I1297-J1297,0)</f>
        <v/>
      </c>
      <c r="L1297" s="1">
        <f>IFERROR(I1297*E1297,0)</f>
        <v/>
      </c>
      <c r="M1297" s="1">
        <f>IFERROR(K1297*E1297,0)</f>
        <v/>
      </c>
    </row>
    <row r="1298">
      <c r="A1298" t="inlineStr">
        <is>
          <t>MFPZ8003004</t>
        </is>
      </c>
      <c r="B1298" t="inlineStr">
        <is>
          <t>MAXFLO 800/250/14 P c/w 3,00KW 4P 380V</t>
        </is>
      </c>
      <c r="C1298" t="inlineStr"/>
      <c r="D1298" t="inlineStr">
        <is>
          <t>FM - DONKIN</t>
        </is>
      </c>
      <c r="E1298" s="1" t="n">
        <v>0</v>
      </c>
      <c r="F1298" t="n">
        <v>1</v>
      </c>
      <c r="G1298" t="n">
        <v>0</v>
      </c>
      <c r="H1298" t="n">
        <v>2</v>
      </c>
      <c r="I1298" t="n">
        <v>0</v>
      </c>
      <c r="J1298" t="n">
        <v>0</v>
      </c>
      <c r="K1298">
        <f>IF(H1298-I1298-J1298&gt;0,H1298-I1298-J1298,0)</f>
        <v/>
      </c>
      <c r="L1298" s="1">
        <f>IFERROR(I1298*E1298,0)</f>
        <v/>
      </c>
      <c r="M1298" s="1">
        <f>IFERROR(K1298*E1298,0)</f>
        <v/>
      </c>
    </row>
    <row r="1299">
      <c r="A1299" t="inlineStr">
        <is>
          <t>MFPZ8004004</t>
        </is>
      </c>
      <c r="B1299" t="inlineStr">
        <is>
          <t>MAXFLO 800/250/14 P c/w 4,00KW 4P 380V</t>
        </is>
      </c>
      <c r="C1299" t="inlineStr"/>
      <c r="D1299" t="inlineStr">
        <is>
          <t>FM - DONKIN</t>
        </is>
      </c>
      <c r="E1299" s="1" t="n">
        <v>0</v>
      </c>
      <c r="F1299" t="n">
        <v>1</v>
      </c>
      <c r="G1299" t="n">
        <v>0</v>
      </c>
      <c r="H1299" t="n">
        <v>5</v>
      </c>
      <c r="I1299" t="n">
        <v>0</v>
      </c>
      <c r="J1299" t="n">
        <v>0</v>
      </c>
      <c r="K1299">
        <f>IF(H1299-I1299-J1299&gt;0,H1299-I1299-J1299,0)</f>
        <v/>
      </c>
      <c r="L1299" s="1">
        <f>IFERROR(I1299*E1299,0)</f>
        <v/>
      </c>
      <c r="M1299" s="1">
        <f>IFERROR(K1299*E1299,0)</f>
        <v/>
      </c>
    </row>
    <row r="1300">
      <c r="A1300" t="inlineStr">
        <is>
          <t>MFPZ8005504</t>
        </is>
      </c>
      <c r="B1300" t="inlineStr">
        <is>
          <t>MAXFLO 800/250/14 P c/w 5,50KW 4P 380V</t>
        </is>
      </c>
      <c r="C1300" t="inlineStr"/>
      <c r="D1300" t="inlineStr">
        <is>
          <t>FM - DONKIN</t>
        </is>
      </c>
      <c r="E1300" s="1" t="n">
        <v>0</v>
      </c>
      <c r="F1300" t="n">
        <v>1</v>
      </c>
      <c r="G1300" t="n">
        <v>0</v>
      </c>
      <c r="H1300" t="n">
        <v>2</v>
      </c>
      <c r="I1300" t="n">
        <v>0</v>
      </c>
      <c r="J1300" t="n">
        <v>0</v>
      </c>
      <c r="K1300">
        <f>IF(H1300-I1300-J1300&gt;0,H1300-I1300-J1300,0)</f>
        <v/>
      </c>
      <c r="L1300" s="1">
        <f>IFERROR(I1300*E1300,0)</f>
        <v/>
      </c>
      <c r="M1300" s="1">
        <f>IFERROR(K1300*E1300,0)</f>
        <v/>
      </c>
    </row>
    <row r="1301">
      <c r="A1301" t="inlineStr">
        <is>
          <t>MH125045004</t>
        </is>
      </c>
      <c r="B1301" t="inlineStr">
        <is>
          <t>MFAJAX-3 1250 c/w 45,00KW 4P 380V</t>
        </is>
      </c>
      <c r="C1301" t="inlineStr">
        <is>
          <t>Air Speration</t>
        </is>
      </c>
      <c r="D1301" t="inlineStr">
        <is>
          <t>FM - DONKIN</t>
        </is>
      </c>
      <c r="E1301" s="1" t="n">
        <v>61563.24</v>
      </c>
      <c r="F1301" t="n">
        <v>1</v>
      </c>
      <c r="G1301" t="n">
        <v>0</v>
      </c>
      <c r="H1301" t="n">
        <v>5</v>
      </c>
      <c r="I1301" t="n">
        <v>0</v>
      </c>
      <c r="J1301" t="n">
        <v>0</v>
      </c>
      <c r="K1301">
        <f>IF(H1301-I1301-J1301&gt;0,H1301-I1301-J1301,0)</f>
        <v/>
      </c>
      <c r="L1301" s="1">
        <f>IFERROR(I1301*E1301,0)</f>
        <v/>
      </c>
      <c r="M1301" s="1">
        <f>IFERROR(K1301*E1301,0)</f>
        <v/>
      </c>
    </row>
    <row r="1302">
      <c r="A1302" t="inlineStr">
        <is>
          <t>MJ1500</t>
        </is>
      </c>
      <c r="B1302" t="inlineStr">
        <is>
          <t>Majax-1 470 Impeller</t>
        </is>
      </c>
      <c r="C1302" t="inlineStr"/>
      <c r="D1302" t="inlineStr"/>
      <c r="E1302" s="1" t="n">
        <v>0</v>
      </c>
      <c r="F1302" t="n">
        <v>1</v>
      </c>
      <c r="G1302" t="n">
        <v>0</v>
      </c>
      <c r="H1302" t="n">
        <v>5</v>
      </c>
      <c r="I1302" t="n">
        <v>0</v>
      </c>
      <c r="J1302" t="n">
        <v>0</v>
      </c>
      <c r="K1302">
        <f>IF(H1302-I1302-J1302&gt;0,H1302-I1302-J1302,0)</f>
        <v/>
      </c>
      <c r="L1302" s="1">
        <f>IFERROR(I1302*E1302,0)</f>
        <v/>
      </c>
      <c r="M1302" s="1">
        <f>IFERROR(K1302*E1302,0)</f>
        <v/>
      </c>
    </row>
    <row r="1303">
      <c r="A1303" t="inlineStr">
        <is>
          <t>MR60Hz</t>
        </is>
      </c>
      <c r="B1303" t="inlineStr">
        <is>
          <t>Rewind motor to 60Hz incl. SATMOS Treatment</t>
        </is>
      </c>
      <c r="C1303" t="inlineStr"/>
      <c r="D1303" t="inlineStr"/>
      <c r="E1303" s="1" t="n">
        <v>0</v>
      </c>
      <c r="F1303" t="n">
        <v>1</v>
      </c>
      <c r="G1303" t="n">
        <v>0</v>
      </c>
      <c r="H1303" t="n">
        <v>2</v>
      </c>
      <c r="I1303" t="n">
        <v>0</v>
      </c>
      <c r="J1303" t="n">
        <v>0</v>
      </c>
      <c r="K1303">
        <f>IF(H1303-I1303-J1303&gt;0,H1303-I1303-J1303,0)</f>
        <v/>
      </c>
      <c r="L1303" s="1">
        <f>IFERROR(I1303*E1303,0)</f>
        <v/>
      </c>
      <c r="M1303" s="1">
        <f>IFERROR(K1303*E1303,0)</f>
        <v/>
      </c>
    </row>
    <row r="1304">
      <c r="A1304" t="inlineStr">
        <is>
          <t>MRAD315</t>
        </is>
      </c>
      <c r="B1304" t="inlineStr">
        <is>
          <t>MRAD 315</t>
        </is>
      </c>
      <c r="C1304" t="inlineStr">
        <is>
          <t>Kayites</t>
        </is>
      </c>
      <c r="D1304" t="inlineStr">
        <is>
          <t>FM - KAYITES</t>
        </is>
      </c>
      <c r="E1304" s="1" t="n">
        <v>0</v>
      </c>
      <c r="F1304" t="n">
        <v>1</v>
      </c>
      <c r="G1304" t="n">
        <v>0</v>
      </c>
      <c r="H1304" t="n">
        <v>2</v>
      </c>
      <c r="I1304" t="n">
        <v>0</v>
      </c>
      <c r="J1304" t="n">
        <v>0</v>
      </c>
      <c r="K1304">
        <f>IF(H1304-I1304-J1304&gt;0,H1304-I1304-J1304,0)</f>
        <v/>
      </c>
      <c r="L1304" s="1">
        <f>IFERROR(I1304*E1304,0)</f>
        <v/>
      </c>
      <c r="M1304" s="1">
        <f>IFERROR(K1304*E1304,0)</f>
        <v/>
      </c>
    </row>
    <row r="1305">
      <c r="A1305" t="inlineStr">
        <is>
          <t>MS3150552</t>
        </is>
      </c>
      <c r="B1305" t="inlineStr">
        <is>
          <t>MAJAX-3 315 c/w 0,55KW 2P 220V</t>
        </is>
      </c>
      <c r="C1305" t="inlineStr"/>
      <c r="D1305" t="inlineStr">
        <is>
          <t>FM - DONKIN</t>
        </is>
      </c>
      <c r="E1305" s="1" t="n">
        <v>0</v>
      </c>
      <c r="F1305" t="n">
        <v>1</v>
      </c>
      <c r="G1305" t="n">
        <v>0</v>
      </c>
      <c r="H1305" t="n">
        <v>2</v>
      </c>
      <c r="I1305" t="n">
        <v>0</v>
      </c>
      <c r="J1305" t="n">
        <v>0</v>
      </c>
      <c r="K1305">
        <f>IF(H1305-I1305-J1305&gt;0,H1305-I1305-J1305,0)</f>
        <v/>
      </c>
      <c r="L1305" s="1">
        <f>IFERROR(I1305*E1305,0)</f>
        <v/>
      </c>
      <c r="M1305" s="1">
        <f>IFERROR(K1305*E1305,0)</f>
        <v/>
      </c>
    </row>
    <row r="1306">
      <c r="A1306" t="inlineStr">
        <is>
          <t>MS5605502</t>
        </is>
      </c>
      <c r="B1306" t="inlineStr">
        <is>
          <t>MAJAX-3 560 c/w 5,50KW 2P 220V</t>
        </is>
      </c>
      <c r="C1306" t="inlineStr">
        <is>
          <t>Air Speration</t>
        </is>
      </c>
      <c r="D1306" t="inlineStr">
        <is>
          <t>FM - DONKIN</t>
        </is>
      </c>
      <c r="E1306" s="1" t="n">
        <v>10432.26</v>
      </c>
      <c r="F1306" t="n">
        <v>1</v>
      </c>
      <c r="G1306" t="n">
        <v>0</v>
      </c>
      <c r="H1306" t="n">
        <v>2</v>
      </c>
      <c r="I1306" t="n">
        <v>0</v>
      </c>
      <c r="J1306" t="n">
        <v>0</v>
      </c>
      <c r="K1306">
        <f>IF(H1306-I1306-J1306&gt;0,H1306-I1306-J1306,0)</f>
        <v/>
      </c>
      <c r="L1306" s="1">
        <f>IFERROR(I1306*E1306,0)</f>
        <v/>
      </c>
      <c r="M1306" s="1">
        <f>IFERROR(K1306*E1306,0)</f>
        <v/>
      </c>
    </row>
    <row r="1307">
      <c r="A1307" t="inlineStr">
        <is>
          <t>MT-PROMIG 250T</t>
        </is>
      </c>
      <c r="B1307" t="inlineStr">
        <is>
          <t>PROMIG 250T MACHINE</t>
        </is>
      </c>
      <c r="C1307" t="inlineStr">
        <is>
          <t>INTROWELD CC</t>
        </is>
      </c>
      <c r="D1307" t="inlineStr"/>
      <c r="E1307" s="1" t="n">
        <v>15100</v>
      </c>
      <c r="F1307" t="n">
        <v>1</v>
      </c>
      <c r="G1307" t="n">
        <v>0</v>
      </c>
      <c r="H1307" t="n">
        <v>2</v>
      </c>
      <c r="I1307" t="n">
        <v>0</v>
      </c>
      <c r="J1307" t="n">
        <v>0</v>
      </c>
      <c r="K1307">
        <f>IF(H1307-I1307-J1307&gt;0,H1307-I1307-J1307,0)</f>
        <v/>
      </c>
      <c r="L1307" s="1">
        <f>IFERROR(I1307*E1307,0)</f>
        <v/>
      </c>
      <c r="M1307" s="1">
        <f>IFERROR(K1307*E1307,0)</f>
        <v/>
      </c>
    </row>
    <row r="1308">
      <c r="A1308" t="inlineStr">
        <is>
          <t>MT100011004</t>
        </is>
      </c>
      <c r="B1308" t="inlineStr">
        <is>
          <t>MAJAX-3 1000 c/w 11,00KW 4P 380V</t>
        </is>
      </c>
      <c r="C1308" t="inlineStr">
        <is>
          <t>Centrifab (Pty) Ltd</t>
        </is>
      </c>
      <c r="D1308" t="inlineStr">
        <is>
          <t>FM - DONKIN</t>
        </is>
      </c>
      <c r="E1308" s="1" t="n">
        <v>3940.5</v>
      </c>
      <c r="F1308" t="n">
        <v>1</v>
      </c>
      <c r="G1308" t="n">
        <v>0</v>
      </c>
      <c r="H1308" t="n">
        <v>2</v>
      </c>
      <c r="I1308" t="n">
        <v>0</v>
      </c>
      <c r="J1308" t="n">
        <v>0</v>
      </c>
      <c r="K1308">
        <f>IF(H1308-I1308-J1308&gt;0,H1308-I1308-J1308,0)</f>
        <v/>
      </c>
      <c r="L1308" s="1">
        <f>IFERROR(I1308*E1308,0)</f>
        <v/>
      </c>
      <c r="M1308" s="1">
        <f>IFERROR(K1308*E1308,0)</f>
        <v/>
      </c>
    </row>
    <row r="1309">
      <c r="A1309" t="inlineStr">
        <is>
          <t>MT100011006</t>
        </is>
      </c>
      <c r="B1309" t="inlineStr">
        <is>
          <t>MAJAX-3 1000 c/w 11,00KW 6P 380V</t>
        </is>
      </c>
      <c r="C1309" t="inlineStr">
        <is>
          <t>Centrifab (Pty) Ltd</t>
        </is>
      </c>
      <c r="D1309" t="inlineStr">
        <is>
          <t>FM - DONKIN</t>
        </is>
      </c>
      <c r="E1309" s="1" t="n">
        <v>3940.5</v>
      </c>
      <c r="F1309" t="n">
        <v>2</v>
      </c>
      <c r="G1309" t="n">
        <v>0</v>
      </c>
      <c r="H1309" t="n">
        <v>4</v>
      </c>
      <c r="I1309" t="n">
        <v>0</v>
      </c>
      <c r="J1309" t="n">
        <v>0</v>
      </c>
      <c r="K1309">
        <f>IF(H1309-I1309-J1309&gt;0,H1309-I1309-J1309,0)</f>
        <v/>
      </c>
      <c r="L1309" s="1">
        <f>IFERROR(I1309*E1309,0)</f>
        <v/>
      </c>
      <c r="M1309" s="1">
        <f>IFERROR(K1309*E1309,0)</f>
        <v/>
      </c>
    </row>
    <row r="1310">
      <c r="A1310" t="inlineStr">
        <is>
          <t>MT100015004</t>
        </is>
      </c>
      <c r="B1310" t="inlineStr">
        <is>
          <t>MAJAX-3 1000 c/w 15,00KW 4P 380V</t>
        </is>
      </c>
      <c r="C1310" t="inlineStr">
        <is>
          <t>Centrifab (Pty) Ltd</t>
        </is>
      </c>
      <c r="D1310" t="inlineStr">
        <is>
          <t>FM - DONKIN</t>
        </is>
      </c>
      <c r="E1310" s="1" t="n">
        <v>3940.5</v>
      </c>
      <c r="F1310" t="n">
        <v>1</v>
      </c>
      <c r="G1310" t="n">
        <v>0</v>
      </c>
      <c r="H1310" t="n">
        <v>2</v>
      </c>
      <c r="I1310" t="n">
        <v>0</v>
      </c>
      <c r="J1310" t="n">
        <v>0</v>
      </c>
      <c r="K1310">
        <f>IF(H1310-I1310-J1310&gt;0,H1310-I1310-J1310,0)</f>
        <v/>
      </c>
      <c r="L1310" s="1">
        <f>IFERROR(I1310*E1310,0)</f>
        <v/>
      </c>
      <c r="M1310" s="1">
        <f>IFERROR(K1310*E1310,0)</f>
        <v/>
      </c>
    </row>
    <row r="1311">
      <c r="A1311" t="inlineStr">
        <is>
          <t>MT100018504</t>
        </is>
      </c>
      <c r="B1311" t="inlineStr">
        <is>
          <t>MAJAX-3 1000 c/w 18,50KW 4P 380V</t>
        </is>
      </c>
      <c r="C1311" t="inlineStr">
        <is>
          <t>Air Speration</t>
        </is>
      </c>
      <c r="D1311" t="inlineStr">
        <is>
          <t>FM - DONKIN</t>
        </is>
      </c>
      <c r="E1311" s="1" t="n">
        <v>49784.83</v>
      </c>
      <c r="F1311" t="n">
        <v>1</v>
      </c>
      <c r="G1311" t="n">
        <v>0</v>
      </c>
      <c r="H1311" t="n">
        <v>5</v>
      </c>
      <c r="I1311" t="n">
        <v>0</v>
      </c>
      <c r="J1311" t="n">
        <v>0</v>
      </c>
      <c r="K1311">
        <f>IF(H1311-I1311-J1311&gt;0,H1311-I1311-J1311,0)</f>
        <v/>
      </c>
      <c r="L1311" s="1">
        <f>IFERROR(I1311*E1311,0)</f>
        <v/>
      </c>
      <c r="M1311" s="1">
        <f>IFERROR(K1311*E1311,0)</f>
        <v/>
      </c>
    </row>
    <row r="1312">
      <c r="A1312" t="inlineStr">
        <is>
          <t>MT100022004</t>
        </is>
      </c>
      <c r="B1312" t="inlineStr">
        <is>
          <t>MAJAX-3 1000 c/w 22,00KW 4P 380V</t>
        </is>
      </c>
      <c r="C1312" t="inlineStr"/>
      <c r="D1312" t="inlineStr">
        <is>
          <t>FM - DONKIN</t>
        </is>
      </c>
      <c r="E1312" s="1" t="n">
        <v>0</v>
      </c>
      <c r="F1312" t="n">
        <v>1</v>
      </c>
      <c r="G1312" t="n">
        <v>0</v>
      </c>
      <c r="H1312" t="n">
        <v>2</v>
      </c>
      <c r="I1312" t="n">
        <v>0</v>
      </c>
      <c r="J1312" t="n">
        <v>0</v>
      </c>
      <c r="K1312">
        <f>IF(H1312-I1312-J1312&gt;0,H1312-I1312-J1312,0)</f>
        <v/>
      </c>
      <c r="L1312" s="1">
        <f>IFERROR(I1312*E1312,0)</f>
        <v/>
      </c>
      <c r="M1312" s="1">
        <f>IFERROR(K1312*E1312,0)</f>
        <v/>
      </c>
    </row>
    <row r="1313">
      <c r="A1313" t="inlineStr">
        <is>
          <t>MT10004004</t>
        </is>
      </c>
      <c r="B1313" t="inlineStr">
        <is>
          <t>MAJAX-3 1000 c/w 4,00KW 4P 380V</t>
        </is>
      </c>
      <c r="C1313" t="inlineStr">
        <is>
          <t>Centrifab (Pty) Ltd</t>
        </is>
      </c>
      <c r="D1313" t="inlineStr">
        <is>
          <t>FM - DONKIN</t>
        </is>
      </c>
      <c r="E1313" s="1" t="n">
        <v>9552.190000000001</v>
      </c>
      <c r="F1313" t="n">
        <v>2</v>
      </c>
      <c r="G1313" t="n">
        <v>0</v>
      </c>
      <c r="H1313" t="n">
        <v>4</v>
      </c>
      <c r="I1313" t="n">
        <v>0</v>
      </c>
      <c r="J1313" t="n">
        <v>0</v>
      </c>
      <c r="K1313">
        <f>IF(H1313-I1313-J1313&gt;0,H1313-I1313-J1313,0)</f>
        <v/>
      </c>
      <c r="L1313" s="1">
        <f>IFERROR(I1313*E1313,0)</f>
        <v/>
      </c>
      <c r="M1313" s="1">
        <f>IFERROR(K1313*E1313,0)</f>
        <v/>
      </c>
    </row>
    <row r="1314">
      <c r="A1314" t="inlineStr">
        <is>
          <t>MT10005504</t>
        </is>
      </c>
      <c r="B1314" t="inlineStr">
        <is>
          <t>MAJAX-3 1000 c/w 5,50KW 4P 380V</t>
        </is>
      </c>
      <c r="C1314" t="inlineStr">
        <is>
          <t>Air Speration</t>
        </is>
      </c>
      <c r="D1314" t="inlineStr">
        <is>
          <t>FM - DONKIN</t>
        </is>
      </c>
      <c r="E1314" s="1" t="n">
        <v>13279.03</v>
      </c>
      <c r="F1314" t="n">
        <v>1</v>
      </c>
      <c r="G1314" t="n">
        <v>0</v>
      </c>
      <c r="H1314" t="n">
        <v>2</v>
      </c>
      <c r="I1314" t="n">
        <v>0</v>
      </c>
      <c r="J1314" t="n">
        <v>0</v>
      </c>
      <c r="K1314">
        <f>IF(H1314-I1314-J1314&gt;0,H1314-I1314-J1314,0)</f>
        <v/>
      </c>
      <c r="L1314" s="1">
        <f>IFERROR(I1314*E1314,0)</f>
        <v/>
      </c>
      <c r="M1314" s="1">
        <f>IFERROR(K1314*E1314,0)</f>
        <v/>
      </c>
    </row>
    <row r="1315">
      <c r="A1315" t="inlineStr">
        <is>
          <t>MT10005506</t>
        </is>
      </c>
      <c r="B1315" t="inlineStr">
        <is>
          <t>MAJAX-3 1000 c/w 5,50KW 6P 380V</t>
        </is>
      </c>
      <c r="C1315" t="inlineStr">
        <is>
          <t>Centrifab (Pty) Ltd</t>
        </is>
      </c>
      <c r="D1315" t="inlineStr">
        <is>
          <t>FM - DONKIN</t>
        </is>
      </c>
      <c r="E1315" s="1" t="n">
        <v>16136.44</v>
      </c>
      <c r="F1315" t="n">
        <v>2</v>
      </c>
      <c r="G1315" t="n">
        <v>0</v>
      </c>
      <c r="H1315" t="n">
        <v>4</v>
      </c>
      <c r="I1315" t="n">
        <v>0</v>
      </c>
      <c r="J1315" t="n">
        <v>0</v>
      </c>
      <c r="K1315">
        <f>IF(H1315-I1315-J1315&gt;0,H1315-I1315-J1315,0)</f>
        <v/>
      </c>
      <c r="L1315" s="1">
        <f>IFERROR(I1315*E1315,0)</f>
        <v/>
      </c>
      <c r="M1315" s="1">
        <f>IFERROR(K1315*E1315,0)</f>
        <v/>
      </c>
    </row>
    <row r="1316">
      <c r="A1316" t="inlineStr">
        <is>
          <t>MT10007504</t>
        </is>
      </c>
      <c r="B1316" t="inlineStr">
        <is>
          <t>MAJAX-3 1000 c/w 7,50KW 4P 380V</t>
        </is>
      </c>
      <c r="C1316" t="inlineStr"/>
      <c r="D1316" t="inlineStr">
        <is>
          <t>FM - DONKIN</t>
        </is>
      </c>
      <c r="E1316" s="1" t="n">
        <v>0</v>
      </c>
      <c r="F1316" t="n">
        <v>1</v>
      </c>
      <c r="G1316" t="n">
        <v>0</v>
      </c>
      <c r="H1316" t="n">
        <v>2</v>
      </c>
      <c r="I1316" t="n">
        <v>0</v>
      </c>
      <c r="J1316" t="n">
        <v>0</v>
      </c>
      <c r="K1316">
        <f>IF(H1316-I1316-J1316&gt;0,H1316-I1316-J1316,0)</f>
        <v/>
      </c>
      <c r="L1316" s="1">
        <f>IFERROR(I1316*E1316,0)</f>
        <v/>
      </c>
      <c r="M1316" s="1">
        <f>IFERROR(K1316*E1316,0)</f>
        <v/>
      </c>
    </row>
    <row r="1317">
      <c r="A1317" t="inlineStr">
        <is>
          <t>MT10007506</t>
        </is>
      </c>
      <c r="B1317" t="inlineStr">
        <is>
          <t>MAJAX-3 1000 c/w 7,50KW 6P 380V</t>
        </is>
      </c>
      <c r="C1317" t="inlineStr">
        <is>
          <t>Centrifab (Pty) Ltd</t>
        </is>
      </c>
      <c r="D1317" t="inlineStr">
        <is>
          <t>FM - DONKIN</t>
        </is>
      </c>
      <c r="E1317" s="1" t="n">
        <v>26555</v>
      </c>
      <c r="F1317" t="n">
        <v>1</v>
      </c>
      <c r="G1317" t="n">
        <v>0</v>
      </c>
      <c r="H1317" t="n">
        <v>2</v>
      </c>
      <c r="I1317" t="n">
        <v>0</v>
      </c>
      <c r="J1317" t="n">
        <v>0</v>
      </c>
      <c r="K1317">
        <f>IF(H1317-I1317-J1317&gt;0,H1317-I1317-J1317,0)</f>
        <v/>
      </c>
      <c r="L1317" s="1">
        <f>IFERROR(I1317*E1317,0)</f>
        <v/>
      </c>
      <c r="M1317" s="1">
        <f>IFERROR(K1317*E1317,0)</f>
        <v/>
      </c>
    </row>
    <row r="1318">
      <c r="A1318" t="inlineStr">
        <is>
          <t>MT3150254</t>
        </is>
      </c>
      <c r="B1318" t="inlineStr">
        <is>
          <t>MAJAX-3 315 c/w 0,25KW 4P 380V</t>
        </is>
      </c>
      <c r="C1318" t="inlineStr">
        <is>
          <t>Air Speration</t>
        </is>
      </c>
      <c r="D1318" t="inlineStr">
        <is>
          <t>FM - DONKIN</t>
        </is>
      </c>
      <c r="E1318" s="1" t="n">
        <v>4018.68</v>
      </c>
      <c r="F1318" t="n">
        <v>1</v>
      </c>
      <c r="G1318" t="n">
        <v>0</v>
      </c>
      <c r="H1318" t="n">
        <v>2</v>
      </c>
      <c r="I1318" t="n">
        <v>0</v>
      </c>
      <c r="J1318" t="n">
        <v>0</v>
      </c>
      <c r="K1318">
        <f>IF(H1318-I1318-J1318&gt;0,H1318-I1318-J1318,0)</f>
        <v/>
      </c>
      <c r="L1318" s="1">
        <f>IFERROR(I1318*E1318,0)</f>
        <v/>
      </c>
      <c r="M1318" s="1">
        <f>IFERROR(K1318*E1318,0)</f>
        <v/>
      </c>
    </row>
    <row r="1319">
      <c r="A1319" t="inlineStr">
        <is>
          <t>MT3150552</t>
        </is>
      </c>
      <c r="B1319" t="inlineStr">
        <is>
          <t>MAJAX-3 315 c/w 0,55KW 2P 380V</t>
        </is>
      </c>
      <c r="C1319" t="inlineStr">
        <is>
          <t>Air Speration</t>
        </is>
      </c>
      <c r="D1319" t="inlineStr">
        <is>
          <t>FM - DONKIN</t>
        </is>
      </c>
      <c r="E1319" s="1" t="n">
        <v>4018.68</v>
      </c>
      <c r="F1319" t="n">
        <v>1</v>
      </c>
      <c r="G1319" t="n">
        <v>0</v>
      </c>
      <c r="H1319" t="n">
        <v>4</v>
      </c>
      <c r="I1319" t="n">
        <v>0</v>
      </c>
      <c r="J1319" t="n">
        <v>0</v>
      </c>
      <c r="K1319">
        <f>IF(H1319-I1319-J1319&gt;0,H1319-I1319-J1319,0)</f>
        <v/>
      </c>
      <c r="L1319" s="1">
        <f>IFERROR(I1319*E1319,0)</f>
        <v/>
      </c>
      <c r="M1319" s="1">
        <f>IFERROR(K1319*E1319,0)</f>
        <v/>
      </c>
    </row>
    <row r="1320">
      <c r="A1320" t="inlineStr">
        <is>
          <t>MT4000186</t>
        </is>
      </c>
      <c r="B1320" t="inlineStr">
        <is>
          <t>MAJAX-3 400 c/w 0,18KW 6P 380V</t>
        </is>
      </c>
      <c r="C1320" t="inlineStr">
        <is>
          <t>Centrifab (Pty) Ltd</t>
        </is>
      </c>
      <c r="D1320" t="inlineStr">
        <is>
          <t>FM - DONKIN</t>
        </is>
      </c>
      <c r="E1320" s="1" t="n">
        <v>2180</v>
      </c>
      <c r="F1320" t="n">
        <v>2</v>
      </c>
      <c r="G1320" t="n">
        <v>0</v>
      </c>
      <c r="H1320" t="n">
        <v>6</v>
      </c>
      <c r="I1320" t="n">
        <v>0</v>
      </c>
      <c r="J1320" t="n">
        <v>0</v>
      </c>
      <c r="K1320">
        <f>IF(H1320-I1320-J1320&gt;0,H1320-I1320-J1320,0)</f>
        <v/>
      </c>
      <c r="L1320" s="1">
        <f>IFERROR(I1320*E1320,0)</f>
        <v/>
      </c>
      <c r="M1320" s="1">
        <f>IFERROR(K1320*E1320,0)</f>
        <v/>
      </c>
    </row>
    <row r="1321">
      <c r="A1321" t="inlineStr">
        <is>
          <t>MT4000254</t>
        </is>
      </c>
      <c r="B1321" t="inlineStr">
        <is>
          <t>MAJAX-3 400 c/w 0,25KW 4P 380V</t>
        </is>
      </c>
      <c r="C1321" t="inlineStr">
        <is>
          <t>Air Speration</t>
        </is>
      </c>
      <c r="D1321" t="inlineStr">
        <is>
          <t>FM - DONKIN</t>
        </is>
      </c>
      <c r="E1321" s="1" t="n">
        <v>4808.7</v>
      </c>
      <c r="F1321" t="n">
        <v>1</v>
      </c>
      <c r="G1321" t="n">
        <v>0</v>
      </c>
      <c r="H1321" t="n">
        <v>2</v>
      </c>
      <c r="I1321" t="n">
        <v>0</v>
      </c>
      <c r="J1321" t="n">
        <v>0</v>
      </c>
      <c r="K1321">
        <f>IF(H1321-I1321-J1321&gt;0,H1321-I1321-J1321,0)</f>
        <v/>
      </c>
      <c r="L1321" s="1">
        <f>IFERROR(I1321*E1321,0)</f>
        <v/>
      </c>
      <c r="M1321" s="1">
        <f>IFERROR(K1321*E1321,0)</f>
        <v/>
      </c>
    </row>
    <row r="1322">
      <c r="A1322" t="inlineStr">
        <is>
          <t>MT4000374</t>
        </is>
      </c>
      <c r="B1322" t="inlineStr">
        <is>
          <t>MAJAX-3 400 c/w 0,37KW 4P 380V</t>
        </is>
      </c>
      <c r="C1322" t="inlineStr">
        <is>
          <t>Air Speration</t>
        </is>
      </c>
      <c r="D1322" t="inlineStr">
        <is>
          <t>FM - DONKIN</t>
        </is>
      </c>
      <c r="E1322" s="1" t="n">
        <v>3174.33</v>
      </c>
      <c r="F1322" t="n">
        <v>1</v>
      </c>
      <c r="G1322" t="n">
        <v>0</v>
      </c>
      <c r="H1322" t="n">
        <v>2</v>
      </c>
      <c r="I1322" t="n">
        <v>0</v>
      </c>
      <c r="J1322" t="n">
        <v>0</v>
      </c>
      <c r="K1322">
        <f>IF(H1322-I1322-J1322&gt;0,H1322-I1322-J1322,0)</f>
        <v/>
      </c>
      <c r="L1322" s="1">
        <f>IFERROR(I1322*E1322,0)</f>
        <v/>
      </c>
      <c r="M1322" s="1">
        <f>IFERROR(K1322*E1322,0)</f>
        <v/>
      </c>
    </row>
    <row r="1323">
      <c r="A1323" t="inlineStr">
        <is>
          <t>MT4000552</t>
        </is>
      </c>
      <c r="B1323" t="inlineStr">
        <is>
          <t>MAJAX-3 400 c/w 0,55KW 2P 380V</t>
        </is>
      </c>
      <c r="C1323" t="inlineStr">
        <is>
          <t>Air Speration</t>
        </is>
      </c>
      <c r="D1323" t="inlineStr">
        <is>
          <t>FM - DONKIN</t>
        </is>
      </c>
      <c r="E1323" s="1" t="n">
        <v>4676.31</v>
      </c>
      <c r="F1323" t="n">
        <v>1</v>
      </c>
      <c r="G1323" t="n">
        <v>0</v>
      </c>
      <c r="H1323" t="n">
        <v>4</v>
      </c>
      <c r="I1323" t="n">
        <v>0</v>
      </c>
      <c r="J1323" t="n">
        <v>0</v>
      </c>
      <c r="K1323">
        <f>IF(H1323-I1323-J1323&gt;0,H1323-I1323-J1323,0)</f>
        <v/>
      </c>
      <c r="L1323" s="1">
        <f>IFERROR(I1323*E1323,0)</f>
        <v/>
      </c>
      <c r="M1323" s="1">
        <f>IFERROR(K1323*E1323,0)</f>
        <v/>
      </c>
    </row>
    <row r="1324">
      <c r="A1324" t="inlineStr">
        <is>
          <t>MT4001102</t>
        </is>
      </c>
      <c r="B1324" t="inlineStr">
        <is>
          <t>MAJAX-3 400 c/w 1,10KW 2P 380V</t>
        </is>
      </c>
      <c r="C1324" t="inlineStr">
        <is>
          <t>Air Speration</t>
        </is>
      </c>
      <c r="D1324" t="inlineStr">
        <is>
          <t>FM - DONKIN</t>
        </is>
      </c>
      <c r="E1324" s="1" t="n">
        <v>3834.39</v>
      </c>
      <c r="F1324" t="n">
        <v>1</v>
      </c>
      <c r="G1324" t="n">
        <v>0</v>
      </c>
      <c r="H1324" t="n">
        <v>3</v>
      </c>
      <c r="I1324" t="n">
        <v>0</v>
      </c>
      <c r="J1324" t="n">
        <v>0</v>
      </c>
      <c r="K1324">
        <f>IF(H1324-I1324-J1324&gt;0,H1324-I1324-J1324,0)</f>
        <v/>
      </c>
      <c r="L1324" s="1">
        <f>IFERROR(I1324*E1324,0)</f>
        <v/>
      </c>
      <c r="M1324" s="1">
        <f>IFERROR(K1324*E1324,0)</f>
        <v/>
      </c>
    </row>
    <row r="1325">
      <c r="A1325" t="inlineStr">
        <is>
          <t>MT4001502</t>
        </is>
      </c>
      <c r="B1325" t="inlineStr">
        <is>
          <t>MAJAX-3 400 c/w 1,50KW 2P 380V</t>
        </is>
      </c>
      <c r="C1325" t="inlineStr">
        <is>
          <t>Air Speration</t>
        </is>
      </c>
      <c r="D1325" t="inlineStr">
        <is>
          <t>FM - DONKIN</t>
        </is>
      </c>
      <c r="E1325" s="1" t="n">
        <v>5108.35</v>
      </c>
      <c r="F1325" t="n">
        <v>1</v>
      </c>
      <c r="G1325" t="n">
        <v>0</v>
      </c>
      <c r="H1325" t="n">
        <v>2</v>
      </c>
      <c r="I1325" t="n">
        <v>0</v>
      </c>
      <c r="J1325" t="n">
        <v>0</v>
      </c>
      <c r="K1325">
        <f>IF(H1325-I1325-J1325&gt;0,H1325-I1325-J1325,0)</f>
        <v/>
      </c>
      <c r="L1325" s="1">
        <f>IFERROR(I1325*E1325,0)</f>
        <v/>
      </c>
      <c r="M1325" s="1">
        <f>IFERROR(K1325*E1325,0)</f>
        <v/>
      </c>
    </row>
    <row r="1326">
      <c r="A1326" t="inlineStr">
        <is>
          <t>MT4002202</t>
        </is>
      </c>
      <c r="B1326" t="inlineStr">
        <is>
          <t>MAJAX-3 400 c/w 2,20KW 2P 380V</t>
        </is>
      </c>
      <c r="C1326" t="inlineStr">
        <is>
          <t>Air Speration</t>
        </is>
      </c>
      <c r="D1326" t="inlineStr">
        <is>
          <t>FM - DONKIN</t>
        </is>
      </c>
      <c r="E1326" s="1" t="n">
        <v>5580.89</v>
      </c>
      <c r="F1326" t="n">
        <v>1</v>
      </c>
      <c r="G1326" t="n">
        <v>0</v>
      </c>
      <c r="H1326" t="n">
        <v>5</v>
      </c>
      <c r="I1326" t="n">
        <v>0</v>
      </c>
      <c r="J1326" t="n">
        <v>0</v>
      </c>
      <c r="K1326">
        <f>IF(H1326-I1326-J1326&gt;0,H1326-I1326-J1326,0)</f>
        <v/>
      </c>
      <c r="L1326" s="1">
        <f>IFERROR(I1326*E1326,0)</f>
        <v/>
      </c>
      <c r="M1326" s="1">
        <f>IFERROR(K1326*E1326,0)</f>
        <v/>
      </c>
    </row>
    <row r="1327">
      <c r="A1327" t="inlineStr">
        <is>
          <t>MT4007502</t>
        </is>
      </c>
      <c r="B1327" t="inlineStr">
        <is>
          <t>MAJAX 400 c/w 0.75kW 2Pole 380V</t>
        </is>
      </c>
      <c r="C1327" t="inlineStr"/>
      <c r="D1327" t="inlineStr"/>
      <c r="E1327" s="1" t="n">
        <v>0</v>
      </c>
      <c r="F1327" t="n">
        <v>1</v>
      </c>
      <c r="G1327" t="n">
        <v>0</v>
      </c>
      <c r="H1327" t="n">
        <v>5</v>
      </c>
      <c r="I1327" t="n">
        <v>0</v>
      </c>
      <c r="J1327" t="n">
        <v>0</v>
      </c>
      <c r="K1327">
        <f>IF(H1327-I1327-J1327&gt;0,H1327-I1327-J1327,0)</f>
        <v/>
      </c>
      <c r="L1327" s="1">
        <f>IFERROR(I1327*E1327,0)</f>
        <v/>
      </c>
      <c r="M1327" s="1">
        <f>IFERROR(K1327*E1327,0)</f>
        <v/>
      </c>
    </row>
    <row r="1328">
      <c r="A1328" t="inlineStr">
        <is>
          <t>MT5000186</t>
        </is>
      </c>
      <c r="B1328" t="inlineStr">
        <is>
          <t>MAJAX-3 500 c/w 0,18KW 6P 380V</t>
        </is>
      </c>
      <c r="C1328" t="inlineStr">
        <is>
          <t>Centrifab (Pty) Ltd</t>
        </is>
      </c>
      <c r="D1328" t="inlineStr">
        <is>
          <t>FM - DONKIN</t>
        </is>
      </c>
      <c r="E1328" s="1" t="n">
        <v>2180</v>
      </c>
      <c r="F1328" t="n">
        <v>2</v>
      </c>
      <c r="G1328" t="n">
        <v>0</v>
      </c>
      <c r="H1328" t="n">
        <v>4</v>
      </c>
      <c r="I1328" t="n">
        <v>0</v>
      </c>
      <c r="J1328" t="n">
        <v>0</v>
      </c>
      <c r="K1328">
        <f>IF(H1328-I1328-J1328&gt;0,H1328-I1328-J1328,0)</f>
        <v/>
      </c>
      <c r="L1328" s="1">
        <f>IFERROR(I1328*E1328,0)</f>
        <v/>
      </c>
      <c r="M1328" s="1">
        <f>IFERROR(K1328*E1328,0)</f>
        <v/>
      </c>
    </row>
    <row r="1329">
      <c r="A1329" t="inlineStr">
        <is>
          <t>MT5000254</t>
        </is>
      </c>
      <c r="B1329" t="inlineStr">
        <is>
          <t>MAJAX-3 500 c/w 0,25KW 4P 380V</t>
        </is>
      </c>
      <c r="C1329" t="inlineStr">
        <is>
          <t>Air Speration</t>
        </is>
      </c>
      <c r="D1329" t="inlineStr">
        <is>
          <t>FM - DONKIN</t>
        </is>
      </c>
      <c r="E1329" s="1" t="n">
        <v>10392</v>
      </c>
      <c r="F1329" t="n">
        <v>1</v>
      </c>
      <c r="G1329" t="n">
        <v>0</v>
      </c>
      <c r="H1329" t="n">
        <v>2</v>
      </c>
      <c r="I1329" t="n">
        <v>0</v>
      </c>
      <c r="J1329" t="n">
        <v>0</v>
      </c>
      <c r="K1329">
        <f>IF(H1329-I1329-J1329&gt;0,H1329-I1329-J1329,0)</f>
        <v/>
      </c>
      <c r="L1329" s="1">
        <f>IFERROR(I1329*E1329,0)</f>
        <v/>
      </c>
      <c r="M1329" s="1">
        <f>IFERROR(K1329*E1329,0)</f>
        <v/>
      </c>
    </row>
    <row r="1330">
      <c r="A1330" t="inlineStr">
        <is>
          <t>MT5000374</t>
        </is>
      </c>
      <c r="B1330" t="inlineStr">
        <is>
          <t>MAJAX-3 500 c/w 0,37KW 4P 380V</t>
        </is>
      </c>
      <c r="C1330" t="inlineStr">
        <is>
          <t>Air Speration</t>
        </is>
      </c>
      <c r="D1330" t="inlineStr">
        <is>
          <t>FM - DONKIN</t>
        </is>
      </c>
      <c r="E1330" s="1" t="n">
        <v>4963.5</v>
      </c>
      <c r="F1330" t="n">
        <v>2</v>
      </c>
      <c r="G1330" t="n">
        <v>0</v>
      </c>
      <c r="H1330" t="n">
        <v>4</v>
      </c>
      <c r="I1330" t="n">
        <v>0</v>
      </c>
      <c r="J1330" t="n">
        <v>0</v>
      </c>
      <c r="K1330">
        <f>IF(H1330-I1330-J1330&gt;0,H1330-I1330-J1330,0)</f>
        <v/>
      </c>
      <c r="L1330" s="1">
        <f>IFERROR(I1330*E1330,0)</f>
        <v/>
      </c>
      <c r="M1330" s="1">
        <f>IFERROR(K1330*E1330,0)</f>
        <v/>
      </c>
    </row>
    <row r="1331">
      <c r="A1331" t="inlineStr">
        <is>
          <t>MT5000554</t>
        </is>
      </c>
      <c r="B1331" t="inlineStr">
        <is>
          <t>MAJAX-3 500 c/w 0,55KW 4P 380V</t>
        </is>
      </c>
      <c r="C1331" t="inlineStr"/>
      <c r="D1331" t="inlineStr">
        <is>
          <t>FM - DONKIN</t>
        </is>
      </c>
      <c r="E1331" s="1" t="n">
        <v>0</v>
      </c>
      <c r="F1331" t="n">
        <v>1</v>
      </c>
      <c r="G1331" t="n">
        <v>0</v>
      </c>
      <c r="H1331" t="n">
        <v>2</v>
      </c>
      <c r="I1331" t="n">
        <v>0</v>
      </c>
      <c r="J1331" t="n">
        <v>0</v>
      </c>
      <c r="K1331">
        <f>IF(H1331-I1331-J1331&gt;0,H1331-I1331-J1331,0)</f>
        <v/>
      </c>
      <c r="L1331" s="1">
        <f>IFERROR(I1331*E1331,0)</f>
        <v/>
      </c>
      <c r="M1331" s="1">
        <f>IFERROR(K1331*E1331,0)</f>
        <v/>
      </c>
    </row>
    <row r="1332">
      <c r="A1332" t="inlineStr">
        <is>
          <t>MT5000556</t>
        </is>
      </c>
      <c r="B1332" t="inlineStr">
        <is>
          <t>MAJAX-3 500 c/w 0,55KW 6P 380V</t>
        </is>
      </c>
      <c r="C1332" t="inlineStr">
        <is>
          <t>Air Speration</t>
        </is>
      </c>
      <c r="D1332" t="inlineStr">
        <is>
          <t>FM - DONKIN</t>
        </is>
      </c>
      <c r="E1332" s="1" t="n">
        <v>6221.34</v>
      </c>
      <c r="F1332" t="n">
        <v>1</v>
      </c>
      <c r="G1332" t="n">
        <v>0</v>
      </c>
      <c r="H1332" t="n">
        <v>2</v>
      </c>
      <c r="I1332" t="n">
        <v>0</v>
      </c>
      <c r="J1332" t="n">
        <v>0</v>
      </c>
      <c r="K1332">
        <f>IF(H1332-I1332-J1332&gt;0,H1332-I1332-J1332,0)</f>
        <v/>
      </c>
      <c r="L1332" s="1">
        <f>IFERROR(I1332*E1332,0)</f>
        <v/>
      </c>
      <c r="M1332" s="1">
        <f>IFERROR(K1332*E1332,0)</f>
        <v/>
      </c>
    </row>
    <row r="1333">
      <c r="A1333" t="inlineStr">
        <is>
          <t>MT5000754</t>
        </is>
      </c>
      <c r="B1333" t="inlineStr">
        <is>
          <t>MAJAX-3 500 c/w 0,75KW 4P 380V</t>
        </is>
      </c>
      <c r="C1333" t="inlineStr"/>
      <c r="D1333" t="inlineStr">
        <is>
          <t>FM - DONKIN</t>
        </is>
      </c>
      <c r="E1333" s="1" t="n">
        <v>0</v>
      </c>
      <c r="F1333" t="n">
        <v>1</v>
      </c>
      <c r="G1333" t="n">
        <v>0</v>
      </c>
      <c r="H1333" t="n">
        <v>2</v>
      </c>
      <c r="I1333" t="n">
        <v>0</v>
      </c>
      <c r="J1333" t="n">
        <v>0</v>
      </c>
      <c r="K1333">
        <f>IF(H1333-I1333-J1333&gt;0,H1333-I1333-J1333,0)</f>
        <v/>
      </c>
      <c r="L1333" s="1">
        <f>IFERROR(I1333*E1333,0)</f>
        <v/>
      </c>
      <c r="M1333" s="1">
        <f>IFERROR(K1333*E1333,0)</f>
        <v/>
      </c>
    </row>
    <row r="1334">
      <c r="A1334" t="inlineStr">
        <is>
          <t>MT5001102</t>
        </is>
      </c>
      <c r="B1334" t="inlineStr">
        <is>
          <t>MAJAX-3 500 c/w 1,10KW 2P 380V</t>
        </is>
      </c>
      <c r="C1334" t="inlineStr">
        <is>
          <t>Air Speration</t>
        </is>
      </c>
      <c r="D1334" t="inlineStr">
        <is>
          <t>FM - DONKIN</t>
        </is>
      </c>
      <c r="E1334" s="1" t="n">
        <v>11773.24</v>
      </c>
      <c r="F1334" t="n">
        <v>1</v>
      </c>
      <c r="G1334" t="n">
        <v>0</v>
      </c>
      <c r="H1334" t="n">
        <v>2</v>
      </c>
      <c r="I1334" t="n">
        <v>0</v>
      </c>
      <c r="J1334" t="n">
        <v>0</v>
      </c>
      <c r="K1334">
        <f>IF(H1334-I1334-J1334&gt;0,H1334-I1334-J1334,0)</f>
        <v/>
      </c>
      <c r="L1334" s="1">
        <f>IFERROR(I1334*E1334,0)</f>
        <v/>
      </c>
      <c r="M1334" s="1">
        <f>IFERROR(K1334*E1334,0)</f>
        <v/>
      </c>
    </row>
    <row r="1335">
      <c r="A1335" t="inlineStr">
        <is>
          <t>MT5001104</t>
        </is>
      </c>
      <c r="B1335" t="inlineStr">
        <is>
          <t>MAJAX-3 500 c/w 1,10KW 4P 380V</t>
        </is>
      </c>
      <c r="C1335" t="inlineStr"/>
      <c r="D1335" t="inlineStr">
        <is>
          <t>FM - DONKIN</t>
        </is>
      </c>
      <c r="E1335" s="1" t="n">
        <v>0</v>
      </c>
      <c r="F1335" t="n">
        <v>2</v>
      </c>
      <c r="G1335" t="n">
        <v>0</v>
      </c>
      <c r="H1335" t="n">
        <v>8</v>
      </c>
      <c r="I1335" t="n">
        <v>0</v>
      </c>
      <c r="J1335" t="n">
        <v>0</v>
      </c>
      <c r="K1335">
        <f>IF(H1335-I1335-J1335&gt;0,H1335-I1335-J1335,0)</f>
        <v/>
      </c>
      <c r="L1335" s="1">
        <f>IFERROR(I1335*E1335,0)</f>
        <v/>
      </c>
      <c r="M1335" s="1">
        <f>IFERROR(K1335*E1335,0)</f>
        <v/>
      </c>
    </row>
    <row r="1336">
      <c r="A1336" t="inlineStr">
        <is>
          <t>MT5001502</t>
        </is>
      </c>
      <c r="B1336" t="inlineStr">
        <is>
          <t>MAJAX-3 500 c/w 1,50KW 2P 380V</t>
        </is>
      </c>
      <c r="C1336" t="inlineStr">
        <is>
          <t>Air Speration</t>
        </is>
      </c>
      <c r="D1336" t="inlineStr">
        <is>
          <t>FM - DONKIN</t>
        </is>
      </c>
      <c r="E1336" s="1" t="n">
        <v>10969</v>
      </c>
      <c r="F1336" t="n">
        <v>1</v>
      </c>
      <c r="G1336" t="n">
        <v>0</v>
      </c>
      <c r="H1336" t="n">
        <v>2</v>
      </c>
      <c r="I1336" t="n">
        <v>0</v>
      </c>
      <c r="J1336" t="n">
        <v>0</v>
      </c>
      <c r="K1336">
        <f>IF(H1336-I1336-J1336&gt;0,H1336-I1336-J1336,0)</f>
        <v/>
      </c>
      <c r="L1336" s="1">
        <f>IFERROR(I1336*E1336,0)</f>
        <v/>
      </c>
      <c r="M1336" s="1">
        <f>IFERROR(K1336*E1336,0)</f>
        <v/>
      </c>
    </row>
    <row r="1337">
      <c r="A1337" t="inlineStr">
        <is>
          <t>MT5002202</t>
        </is>
      </c>
      <c r="B1337" t="inlineStr">
        <is>
          <t>MAJAX-3 500 c/w 2,20KW 2P 380V</t>
        </is>
      </c>
      <c r="C1337" t="inlineStr">
        <is>
          <t>Air Speration</t>
        </is>
      </c>
      <c r="D1337" t="inlineStr">
        <is>
          <t>FM - DONKIN</t>
        </is>
      </c>
      <c r="E1337" s="1" t="n">
        <v>10607.34</v>
      </c>
      <c r="F1337" t="n">
        <v>1</v>
      </c>
      <c r="G1337" t="n">
        <v>0</v>
      </c>
      <c r="H1337" t="n">
        <v>3</v>
      </c>
      <c r="I1337" t="n">
        <v>0</v>
      </c>
      <c r="J1337" t="n">
        <v>0</v>
      </c>
      <c r="K1337">
        <f>IF(H1337-I1337-J1337&gt;0,H1337-I1337-J1337,0)</f>
        <v/>
      </c>
      <c r="L1337" s="1">
        <f>IFERROR(I1337*E1337,0)</f>
        <v/>
      </c>
      <c r="M1337" s="1">
        <f>IFERROR(K1337*E1337,0)</f>
        <v/>
      </c>
    </row>
    <row r="1338">
      <c r="A1338" t="inlineStr">
        <is>
          <t>MT5004002</t>
        </is>
      </c>
      <c r="B1338" t="inlineStr">
        <is>
          <t>MAJAX-3 500 c/w 4,00KW 2P 380V</t>
        </is>
      </c>
      <c r="C1338" t="inlineStr">
        <is>
          <t>Air Speration</t>
        </is>
      </c>
      <c r="D1338" t="inlineStr">
        <is>
          <t>FM - DONKIN</t>
        </is>
      </c>
      <c r="E1338" s="1" t="n">
        <v>7366</v>
      </c>
      <c r="F1338" t="n">
        <v>1</v>
      </c>
      <c r="G1338" t="n">
        <v>0</v>
      </c>
      <c r="H1338" t="n">
        <v>2</v>
      </c>
      <c r="I1338" t="n">
        <v>0</v>
      </c>
      <c r="J1338" t="n">
        <v>0</v>
      </c>
      <c r="K1338">
        <f>IF(H1338-I1338-J1338&gt;0,H1338-I1338-J1338,0)</f>
        <v/>
      </c>
      <c r="L1338" s="1">
        <f>IFERROR(I1338*E1338,0)</f>
        <v/>
      </c>
      <c r="M1338" s="1">
        <f>IFERROR(K1338*E1338,0)</f>
        <v/>
      </c>
    </row>
    <row r="1339">
      <c r="A1339" t="inlineStr">
        <is>
          <t>MT5600374</t>
        </is>
      </c>
      <c r="B1339" t="inlineStr">
        <is>
          <t>MAJAX-3 560 c/w 0,37KW 4P 380V</t>
        </is>
      </c>
      <c r="C1339" t="inlineStr"/>
      <c r="D1339" t="inlineStr">
        <is>
          <t>FM - DONKIN</t>
        </is>
      </c>
      <c r="E1339" s="1" t="n">
        <v>0</v>
      </c>
      <c r="F1339" t="n">
        <v>1</v>
      </c>
      <c r="G1339" t="n">
        <v>0</v>
      </c>
      <c r="H1339" t="n">
        <v>2</v>
      </c>
      <c r="I1339" t="n">
        <v>0</v>
      </c>
      <c r="J1339" t="n">
        <v>0</v>
      </c>
      <c r="K1339">
        <f>IF(H1339-I1339-J1339&gt;0,H1339-I1339-J1339,0)</f>
        <v/>
      </c>
      <c r="L1339" s="1">
        <f>IFERROR(I1339*E1339,0)</f>
        <v/>
      </c>
      <c r="M1339" s="1">
        <f>IFERROR(K1339*E1339,0)</f>
        <v/>
      </c>
    </row>
    <row r="1340">
      <c r="A1340" t="inlineStr">
        <is>
          <t>MT5600554</t>
        </is>
      </c>
      <c r="B1340" t="inlineStr">
        <is>
          <t>MAJAX-3 560 c/w 0,55KW 4P 380V</t>
        </is>
      </c>
      <c r="C1340" t="inlineStr">
        <is>
          <t>Air Speration</t>
        </is>
      </c>
      <c r="D1340" t="inlineStr">
        <is>
          <t>FM - DONKIN</t>
        </is>
      </c>
      <c r="E1340" s="1" t="n">
        <v>6057.42</v>
      </c>
      <c r="F1340" t="n">
        <v>1</v>
      </c>
      <c r="G1340" t="n">
        <v>0</v>
      </c>
      <c r="H1340" t="n">
        <v>2</v>
      </c>
      <c r="I1340" t="n">
        <v>0</v>
      </c>
      <c r="J1340" t="n">
        <v>0</v>
      </c>
      <c r="K1340">
        <f>IF(H1340-I1340-J1340&gt;0,H1340-I1340-J1340,0)</f>
        <v/>
      </c>
      <c r="L1340" s="1">
        <f>IFERROR(I1340*E1340,0)</f>
        <v/>
      </c>
      <c r="M1340" s="1">
        <f>IFERROR(K1340*E1340,0)</f>
        <v/>
      </c>
    </row>
    <row r="1341">
      <c r="A1341" t="inlineStr">
        <is>
          <t>MT5600556</t>
        </is>
      </c>
      <c r="B1341" t="inlineStr">
        <is>
          <t>MAJAX-3 560 c/w 0,55KW 6P 380V</t>
        </is>
      </c>
      <c r="C1341" t="inlineStr">
        <is>
          <t>Air Speration</t>
        </is>
      </c>
      <c r="D1341" t="inlineStr">
        <is>
          <t>FM - DONKIN</t>
        </is>
      </c>
      <c r="E1341" s="1" t="n">
        <v>518.9400000000001</v>
      </c>
      <c r="F1341" t="n">
        <v>1</v>
      </c>
      <c r="G1341" t="n">
        <v>0</v>
      </c>
      <c r="H1341" t="n">
        <v>2</v>
      </c>
      <c r="I1341" t="n">
        <v>0</v>
      </c>
      <c r="J1341" t="n">
        <v>0</v>
      </c>
      <c r="K1341">
        <f>IF(H1341-I1341-J1341&gt;0,H1341-I1341-J1341,0)</f>
        <v/>
      </c>
      <c r="L1341" s="1">
        <f>IFERROR(I1341*E1341,0)</f>
        <v/>
      </c>
      <c r="M1341" s="1">
        <f>IFERROR(K1341*E1341,0)</f>
        <v/>
      </c>
    </row>
    <row r="1342">
      <c r="A1342" t="inlineStr">
        <is>
          <t>MT5600754</t>
        </is>
      </c>
      <c r="B1342" t="inlineStr">
        <is>
          <t>MAJAX-3 560 c/w 0,75KW 4P 380V</t>
        </is>
      </c>
      <c r="C1342" t="inlineStr">
        <is>
          <t>Air Speration</t>
        </is>
      </c>
      <c r="D1342" t="inlineStr">
        <is>
          <t>FM - DONKIN</t>
        </is>
      </c>
      <c r="E1342" s="1" t="n">
        <v>5649</v>
      </c>
      <c r="F1342" t="n">
        <v>1</v>
      </c>
      <c r="G1342" t="n">
        <v>0</v>
      </c>
      <c r="H1342" t="n">
        <v>2</v>
      </c>
      <c r="I1342" t="n">
        <v>0</v>
      </c>
      <c r="J1342" t="n">
        <v>0</v>
      </c>
      <c r="K1342">
        <f>IF(H1342-I1342-J1342&gt;0,H1342-I1342-J1342,0)</f>
        <v/>
      </c>
      <c r="L1342" s="1">
        <f>IFERROR(I1342*E1342,0)</f>
        <v/>
      </c>
      <c r="M1342" s="1">
        <f>IFERROR(K1342*E1342,0)</f>
        <v/>
      </c>
    </row>
    <row r="1343">
      <c r="A1343" t="inlineStr">
        <is>
          <t>MT5601104</t>
        </is>
      </c>
      <c r="B1343" t="inlineStr">
        <is>
          <t>MAJAX-3 560 c/w 1,10KW 4P 380V</t>
        </is>
      </c>
      <c r="C1343" t="inlineStr">
        <is>
          <t>Air Speration</t>
        </is>
      </c>
      <c r="D1343" t="inlineStr">
        <is>
          <t>FM - DONKIN</t>
        </is>
      </c>
      <c r="E1343" s="1" t="n">
        <v>6230.54</v>
      </c>
      <c r="F1343" t="n">
        <v>1</v>
      </c>
      <c r="G1343" t="n">
        <v>0</v>
      </c>
      <c r="H1343" t="n">
        <v>2</v>
      </c>
      <c r="I1343" t="n">
        <v>0</v>
      </c>
      <c r="J1343" t="n">
        <v>0</v>
      </c>
      <c r="K1343">
        <f>IF(H1343-I1343-J1343&gt;0,H1343-I1343-J1343,0)</f>
        <v/>
      </c>
      <c r="L1343" s="1">
        <f>IFERROR(I1343*E1343,0)</f>
        <v/>
      </c>
      <c r="M1343" s="1">
        <f>IFERROR(K1343*E1343,0)</f>
        <v/>
      </c>
    </row>
    <row r="1344">
      <c r="A1344" t="inlineStr">
        <is>
          <t>MT5601502</t>
        </is>
      </c>
      <c r="B1344" t="inlineStr">
        <is>
          <t>MAJAX-3 560 c/w 1,50KW 2P 380V</t>
        </is>
      </c>
      <c r="C1344" t="inlineStr">
        <is>
          <t>Centrifab (Pty) Ltd</t>
        </is>
      </c>
      <c r="D1344" t="inlineStr">
        <is>
          <t>FM - DONKIN</t>
        </is>
      </c>
      <c r="E1344" s="1" t="n">
        <v>6395</v>
      </c>
      <c r="F1344" t="n">
        <v>1</v>
      </c>
      <c r="G1344" t="n">
        <v>0</v>
      </c>
      <c r="H1344" t="n">
        <v>2</v>
      </c>
      <c r="I1344" t="n">
        <v>0</v>
      </c>
      <c r="J1344" t="n">
        <v>0</v>
      </c>
      <c r="K1344">
        <f>IF(H1344-I1344-J1344&gt;0,H1344-I1344-J1344,0)</f>
        <v/>
      </c>
      <c r="L1344" s="1">
        <f>IFERROR(I1344*E1344,0)</f>
        <v/>
      </c>
      <c r="M1344" s="1">
        <f>IFERROR(K1344*E1344,0)</f>
        <v/>
      </c>
    </row>
    <row r="1345">
      <c r="A1345" t="inlineStr">
        <is>
          <t>MT5601504</t>
        </is>
      </c>
      <c r="B1345" t="inlineStr">
        <is>
          <t>MAJAX-3 560 c/w 1,50KW 4P 380V</t>
        </is>
      </c>
      <c r="C1345" t="inlineStr">
        <is>
          <t>Centrifab (Pty) Ltd</t>
        </is>
      </c>
      <c r="D1345" t="inlineStr">
        <is>
          <t>FM - DONKIN</t>
        </is>
      </c>
      <c r="E1345" s="1" t="n">
        <v>7194.67</v>
      </c>
      <c r="F1345" t="n">
        <v>1</v>
      </c>
      <c r="G1345" t="n">
        <v>0</v>
      </c>
      <c r="H1345" t="n">
        <v>2</v>
      </c>
      <c r="I1345" t="n">
        <v>0</v>
      </c>
      <c r="J1345" t="n">
        <v>0</v>
      </c>
      <c r="K1345">
        <f>IF(H1345-I1345-J1345&gt;0,H1345-I1345-J1345,0)</f>
        <v/>
      </c>
      <c r="L1345" s="1">
        <f>IFERROR(I1345*E1345,0)</f>
        <v/>
      </c>
      <c r="M1345" s="1">
        <f>IFERROR(K1345*E1345,0)</f>
        <v/>
      </c>
    </row>
    <row r="1346">
      <c r="A1346" t="inlineStr">
        <is>
          <t>MT5602202</t>
        </is>
      </c>
      <c r="B1346" t="inlineStr">
        <is>
          <t>MAJAX-3 560 c/w 2,20KW 2P 380V</t>
        </is>
      </c>
      <c r="C1346" t="inlineStr">
        <is>
          <t>Air Speration</t>
        </is>
      </c>
      <c r="D1346" t="inlineStr">
        <is>
          <t>FM - DONKIN</t>
        </is>
      </c>
      <c r="E1346" s="1" t="n">
        <v>7167.96</v>
      </c>
      <c r="F1346" t="n">
        <v>1</v>
      </c>
      <c r="G1346" t="n">
        <v>0</v>
      </c>
      <c r="H1346" t="n">
        <v>2</v>
      </c>
      <c r="I1346" t="n">
        <v>0</v>
      </c>
      <c r="J1346" t="n">
        <v>0</v>
      </c>
      <c r="K1346">
        <f>IF(H1346-I1346-J1346&gt;0,H1346-I1346-J1346,0)</f>
        <v/>
      </c>
      <c r="L1346" s="1">
        <f>IFERROR(I1346*E1346,0)</f>
        <v/>
      </c>
      <c r="M1346" s="1">
        <f>IFERROR(K1346*E1346,0)</f>
        <v/>
      </c>
    </row>
    <row r="1347">
      <c r="A1347" t="inlineStr">
        <is>
          <t>MT5604002</t>
        </is>
      </c>
      <c r="B1347" t="inlineStr">
        <is>
          <t>MAJAX-3 560 c/w 4,00KW 2P 380V</t>
        </is>
      </c>
      <c r="C1347" t="inlineStr">
        <is>
          <t>Wide Range Engineering (Pty) Ltd</t>
        </is>
      </c>
      <c r="D1347" t="inlineStr">
        <is>
          <t>FM - DONKIN</t>
        </is>
      </c>
      <c r="E1347" s="1" t="n">
        <v>7876.05</v>
      </c>
      <c r="F1347" t="n">
        <v>1</v>
      </c>
      <c r="G1347" t="n">
        <v>0</v>
      </c>
      <c r="H1347" t="n">
        <v>2</v>
      </c>
      <c r="I1347" t="n">
        <v>0</v>
      </c>
      <c r="J1347" t="n">
        <v>0</v>
      </c>
      <c r="K1347">
        <f>IF(H1347-I1347-J1347&gt;0,H1347-I1347-J1347,0)</f>
        <v/>
      </c>
      <c r="L1347" s="1">
        <f>IFERROR(I1347*E1347,0)</f>
        <v/>
      </c>
      <c r="M1347" s="1">
        <f>IFERROR(K1347*E1347,0)</f>
        <v/>
      </c>
    </row>
    <row r="1348">
      <c r="A1348" t="inlineStr">
        <is>
          <t>MT6300186</t>
        </is>
      </c>
      <c r="B1348" t="inlineStr">
        <is>
          <t>MAJAX-3 630 c/w 0,18KW 6P 380V</t>
        </is>
      </c>
      <c r="C1348" t="inlineStr">
        <is>
          <t>Centrifab (Pty) Ltd</t>
        </is>
      </c>
      <c r="D1348" t="inlineStr">
        <is>
          <t>FM - DONKIN</t>
        </is>
      </c>
      <c r="E1348" s="1" t="n">
        <v>2597.6</v>
      </c>
      <c r="F1348" t="n">
        <v>1</v>
      </c>
      <c r="G1348" t="n">
        <v>0</v>
      </c>
      <c r="H1348" t="n">
        <v>2</v>
      </c>
      <c r="I1348" t="n">
        <v>0</v>
      </c>
      <c r="J1348" t="n">
        <v>0</v>
      </c>
      <c r="K1348">
        <f>IF(H1348-I1348-J1348&gt;0,H1348-I1348-J1348,0)</f>
        <v/>
      </c>
      <c r="L1348" s="1">
        <f>IFERROR(I1348*E1348,0)</f>
        <v/>
      </c>
      <c r="M1348" s="1">
        <f>IFERROR(K1348*E1348,0)</f>
        <v/>
      </c>
    </row>
    <row r="1349">
      <c r="A1349" t="inlineStr">
        <is>
          <t>MT6300374</t>
        </is>
      </c>
      <c r="B1349" t="inlineStr">
        <is>
          <t>MAJAX-3 630 c/w 0,37KW 4P 380V</t>
        </is>
      </c>
      <c r="C1349" t="inlineStr"/>
      <c r="D1349" t="inlineStr">
        <is>
          <t>FM - DONKIN</t>
        </is>
      </c>
      <c r="E1349" s="1" t="n">
        <v>0</v>
      </c>
      <c r="F1349" t="n">
        <v>1</v>
      </c>
      <c r="G1349" t="n">
        <v>0</v>
      </c>
      <c r="H1349" t="n">
        <v>2</v>
      </c>
      <c r="I1349" t="n">
        <v>0</v>
      </c>
      <c r="J1349" t="n">
        <v>0</v>
      </c>
      <c r="K1349">
        <f>IF(H1349-I1349-J1349&gt;0,H1349-I1349-J1349,0)</f>
        <v/>
      </c>
      <c r="L1349" s="1">
        <f>IFERROR(I1349*E1349,0)</f>
        <v/>
      </c>
      <c r="M1349" s="1">
        <f>IFERROR(K1349*E1349,0)</f>
        <v/>
      </c>
    </row>
    <row r="1350">
      <c r="A1350" t="inlineStr">
        <is>
          <t>MT6300554</t>
        </is>
      </c>
      <c r="B1350" t="inlineStr">
        <is>
          <t>MAJAX-3 630 c/w 0,55KW 4P 380V</t>
        </is>
      </c>
      <c r="C1350" t="inlineStr">
        <is>
          <t>Centrifab (Pty) Ltd</t>
        </is>
      </c>
      <c r="D1350" t="inlineStr">
        <is>
          <t>FM - DONKIN</t>
        </is>
      </c>
      <c r="E1350" s="1" t="n">
        <v>2770</v>
      </c>
      <c r="F1350" t="n">
        <v>1</v>
      </c>
      <c r="G1350" t="n">
        <v>0</v>
      </c>
      <c r="H1350" t="n">
        <v>2</v>
      </c>
      <c r="I1350" t="n">
        <v>0</v>
      </c>
      <c r="J1350" t="n">
        <v>0</v>
      </c>
      <c r="K1350">
        <f>IF(H1350-I1350-J1350&gt;0,H1350-I1350-J1350,0)</f>
        <v/>
      </c>
      <c r="L1350" s="1">
        <f>IFERROR(I1350*E1350,0)</f>
        <v/>
      </c>
      <c r="M1350" s="1">
        <f>IFERROR(K1350*E1350,0)</f>
        <v/>
      </c>
    </row>
    <row r="1351">
      <c r="A1351" t="inlineStr">
        <is>
          <t>MT6300556</t>
        </is>
      </c>
      <c r="B1351" t="inlineStr">
        <is>
          <t>MAJAX-3 630 c/w 0,55KW 6P 380V</t>
        </is>
      </c>
      <c r="C1351" t="inlineStr">
        <is>
          <t>Centrifab (Pty) Ltd</t>
        </is>
      </c>
      <c r="D1351" t="inlineStr">
        <is>
          <t>FM - DONKIN</t>
        </is>
      </c>
      <c r="E1351" s="1" t="n">
        <v>6943.86</v>
      </c>
      <c r="F1351" t="n">
        <v>1</v>
      </c>
      <c r="G1351" t="n">
        <v>0</v>
      </c>
      <c r="H1351" t="n">
        <v>3</v>
      </c>
      <c r="I1351" t="n">
        <v>0</v>
      </c>
      <c r="J1351" t="n">
        <v>0</v>
      </c>
      <c r="K1351">
        <f>IF(H1351-I1351-J1351&gt;0,H1351-I1351-J1351,0)</f>
        <v/>
      </c>
      <c r="L1351" s="1">
        <f>IFERROR(I1351*E1351,0)</f>
        <v/>
      </c>
      <c r="M1351" s="1">
        <f>IFERROR(K1351*E1351,0)</f>
        <v/>
      </c>
    </row>
    <row r="1352">
      <c r="A1352" t="inlineStr">
        <is>
          <t>MT6300754</t>
        </is>
      </c>
      <c r="B1352" t="inlineStr">
        <is>
          <t>MAJAX-3 630 c/w 0,75KW 4P 380V</t>
        </is>
      </c>
      <c r="C1352" t="inlineStr"/>
      <c r="D1352" t="inlineStr">
        <is>
          <t>FM - DONKIN</t>
        </is>
      </c>
      <c r="E1352" s="1" t="n">
        <v>0</v>
      </c>
      <c r="F1352" t="n">
        <v>1</v>
      </c>
      <c r="G1352" t="n">
        <v>0</v>
      </c>
      <c r="H1352" t="n">
        <v>2</v>
      </c>
      <c r="I1352" t="n">
        <v>0</v>
      </c>
      <c r="J1352" t="n">
        <v>0</v>
      </c>
      <c r="K1352">
        <f>IF(H1352-I1352-J1352&gt;0,H1352-I1352-J1352,0)</f>
        <v/>
      </c>
      <c r="L1352" s="1">
        <f>IFERROR(I1352*E1352,0)</f>
        <v/>
      </c>
      <c r="M1352" s="1">
        <f>IFERROR(K1352*E1352,0)</f>
        <v/>
      </c>
    </row>
    <row r="1353">
      <c r="A1353" t="inlineStr">
        <is>
          <t>MT6300756</t>
        </is>
      </c>
      <c r="B1353" t="inlineStr">
        <is>
          <t>MAJAX-3 630 c/w 0,75KW 6P 380V</t>
        </is>
      </c>
      <c r="C1353" t="inlineStr"/>
      <c r="D1353" t="inlineStr">
        <is>
          <t>FM - DONKIN</t>
        </is>
      </c>
      <c r="E1353" s="1" t="n">
        <v>0</v>
      </c>
      <c r="F1353" t="n">
        <v>1</v>
      </c>
      <c r="G1353" t="n">
        <v>0</v>
      </c>
      <c r="H1353" t="n">
        <v>2</v>
      </c>
      <c r="I1353" t="n">
        <v>0</v>
      </c>
      <c r="J1353" t="n">
        <v>0</v>
      </c>
      <c r="K1353">
        <f>IF(H1353-I1353-J1353&gt;0,H1353-I1353-J1353,0)</f>
        <v/>
      </c>
      <c r="L1353" s="1">
        <f>IFERROR(I1353*E1353,0)</f>
        <v/>
      </c>
      <c r="M1353" s="1">
        <f>IFERROR(K1353*E1353,0)</f>
        <v/>
      </c>
    </row>
    <row r="1354">
      <c r="A1354" t="inlineStr">
        <is>
          <t>MT6301104</t>
        </is>
      </c>
      <c r="B1354" t="inlineStr">
        <is>
          <t>MAJAX-3 630 c/w 1,10KW 4P 380V</t>
        </is>
      </c>
      <c r="C1354" t="inlineStr">
        <is>
          <t>Air Speration</t>
        </is>
      </c>
      <c r="D1354" t="inlineStr">
        <is>
          <t>FM - DONKIN</t>
        </is>
      </c>
      <c r="E1354" s="1" t="n">
        <v>8466.290000000001</v>
      </c>
      <c r="F1354" t="n">
        <v>1</v>
      </c>
      <c r="G1354" t="n">
        <v>0</v>
      </c>
      <c r="H1354" t="n">
        <v>2</v>
      </c>
      <c r="I1354" t="n">
        <v>0</v>
      </c>
      <c r="J1354" t="n">
        <v>0</v>
      </c>
      <c r="K1354">
        <f>IF(H1354-I1354-J1354&gt;0,H1354-I1354-J1354,0)</f>
        <v/>
      </c>
      <c r="L1354" s="1">
        <f>IFERROR(I1354*E1354,0)</f>
        <v/>
      </c>
      <c r="M1354" s="1">
        <f>IFERROR(K1354*E1354,0)</f>
        <v/>
      </c>
    </row>
    <row r="1355">
      <c r="A1355" t="inlineStr">
        <is>
          <t>MT6301504</t>
        </is>
      </c>
      <c r="B1355" t="inlineStr">
        <is>
          <t>MAJAX-3 630 c/w 1,50KW 4P 380V</t>
        </is>
      </c>
      <c r="C1355" t="inlineStr">
        <is>
          <t>Centrifab (Pty) Ltd</t>
        </is>
      </c>
      <c r="D1355" t="inlineStr">
        <is>
          <t>FM - DONKIN</t>
        </is>
      </c>
      <c r="E1355" s="1" t="n">
        <v>7314.9</v>
      </c>
      <c r="F1355" t="n">
        <v>1</v>
      </c>
      <c r="G1355" t="n">
        <v>0</v>
      </c>
      <c r="H1355" t="n">
        <v>2</v>
      </c>
      <c r="I1355" t="n">
        <v>0</v>
      </c>
      <c r="J1355" t="n">
        <v>0</v>
      </c>
      <c r="K1355">
        <f>IF(H1355-I1355-J1355&gt;0,H1355-I1355-J1355,0)</f>
        <v/>
      </c>
      <c r="L1355" s="1">
        <f>IFERROR(I1355*E1355,0)</f>
        <v/>
      </c>
      <c r="M1355" s="1">
        <f>IFERROR(K1355*E1355,0)</f>
        <v/>
      </c>
    </row>
    <row r="1356">
      <c r="A1356" t="inlineStr">
        <is>
          <t>MT6302204</t>
        </is>
      </c>
      <c r="B1356" t="inlineStr">
        <is>
          <t>MAJAX-3 630 c/w 2,20KW 4P 380V</t>
        </is>
      </c>
      <c r="C1356" t="inlineStr"/>
      <c r="D1356" t="inlineStr">
        <is>
          <t>FM - DONKIN</t>
        </is>
      </c>
      <c r="E1356" s="1" t="n">
        <v>0</v>
      </c>
      <c r="F1356" t="n">
        <v>1</v>
      </c>
      <c r="G1356" t="n">
        <v>0</v>
      </c>
      <c r="H1356" t="n">
        <v>2</v>
      </c>
      <c r="I1356" t="n">
        <v>0</v>
      </c>
      <c r="J1356" t="n">
        <v>0</v>
      </c>
      <c r="K1356">
        <f>IF(H1356-I1356-J1356&gt;0,H1356-I1356-J1356,0)</f>
        <v/>
      </c>
      <c r="L1356" s="1">
        <f>IFERROR(I1356*E1356,0)</f>
        <v/>
      </c>
      <c r="M1356" s="1">
        <f>IFERROR(K1356*E1356,0)</f>
        <v/>
      </c>
    </row>
    <row r="1357">
      <c r="A1357" t="inlineStr">
        <is>
          <t>MT6303004</t>
        </is>
      </c>
      <c r="B1357" t="inlineStr">
        <is>
          <t>MAJAX-3 630 c/w 3,00KW 4P 380V</t>
        </is>
      </c>
      <c r="C1357" t="inlineStr"/>
      <c r="D1357" t="inlineStr">
        <is>
          <t>FM - DONKIN</t>
        </is>
      </c>
      <c r="E1357" s="1" t="n">
        <v>0</v>
      </c>
      <c r="F1357" t="n">
        <v>1</v>
      </c>
      <c r="G1357" t="n">
        <v>0</v>
      </c>
      <c r="H1357" t="n">
        <v>2</v>
      </c>
      <c r="I1357" t="n">
        <v>0</v>
      </c>
      <c r="J1357" t="n">
        <v>0</v>
      </c>
      <c r="K1357">
        <f>IF(H1357-I1357-J1357&gt;0,H1357-I1357-J1357,0)</f>
        <v/>
      </c>
      <c r="L1357" s="1">
        <f>IFERROR(I1357*E1357,0)</f>
        <v/>
      </c>
      <c r="M1357" s="1">
        <f>IFERROR(K1357*E1357,0)</f>
        <v/>
      </c>
    </row>
    <row r="1358">
      <c r="A1358" t="inlineStr">
        <is>
          <t>MT6305502</t>
        </is>
      </c>
      <c r="B1358" t="inlineStr">
        <is>
          <t>MAJAX-3 630 c/w 5,50KW 2P 380V</t>
        </is>
      </c>
      <c r="C1358" t="inlineStr">
        <is>
          <t>Centrifab (Pty) Ltd</t>
        </is>
      </c>
      <c r="D1358" t="inlineStr">
        <is>
          <t>FM - DONKIN</t>
        </is>
      </c>
      <c r="E1358" s="1" t="n">
        <v>2908</v>
      </c>
      <c r="F1358" t="n">
        <v>1</v>
      </c>
      <c r="G1358" t="n">
        <v>0</v>
      </c>
      <c r="H1358" t="n">
        <v>2</v>
      </c>
      <c r="I1358" t="n">
        <v>0</v>
      </c>
      <c r="J1358" t="n">
        <v>0</v>
      </c>
      <c r="K1358">
        <f>IF(H1358-I1358-J1358&gt;0,H1358-I1358-J1358,0)</f>
        <v/>
      </c>
      <c r="L1358" s="1">
        <f>IFERROR(I1358*E1358,0)</f>
        <v/>
      </c>
      <c r="M1358" s="1">
        <f>IFERROR(K1358*E1358,0)</f>
        <v/>
      </c>
    </row>
    <row r="1359">
      <c r="A1359" t="inlineStr">
        <is>
          <t>MT6307502</t>
        </is>
      </c>
      <c r="B1359" t="inlineStr">
        <is>
          <t>MAJAX-3 630 c/w 7,50KW 2P 380V</t>
        </is>
      </c>
      <c r="C1359" t="inlineStr">
        <is>
          <t>Air Speration</t>
        </is>
      </c>
      <c r="D1359" t="inlineStr">
        <is>
          <t>FM - DONKIN</t>
        </is>
      </c>
      <c r="E1359" s="1" t="n">
        <v>11339.2</v>
      </c>
      <c r="F1359" t="n">
        <v>1</v>
      </c>
      <c r="G1359" t="n">
        <v>0</v>
      </c>
      <c r="H1359" t="n">
        <v>3</v>
      </c>
      <c r="I1359" t="n">
        <v>0</v>
      </c>
      <c r="J1359" t="n">
        <v>0</v>
      </c>
      <c r="K1359">
        <f>IF(H1359-I1359-J1359&gt;0,H1359-I1359-J1359,0)</f>
        <v/>
      </c>
      <c r="L1359" s="1">
        <f>IFERROR(I1359*E1359,0)</f>
        <v/>
      </c>
      <c r="M1359" s="1">
        <f>IFERROR(K1359*E1359,0)</f>
        <v/>
      </c>
    </row>
    <row r="1360">
      <c r="A1360" t="inlineStr">
        <is>
          <t>MT7100554</t>
        </is>
      </c>
      <c r="B1360" t="inlineStr">
        <is>
          <t>MAJAX-3 710 c/w 0,55KW 4P 380V</t>
        </is>
      </c>
      <c r="C1360" t="inlineStr"/>
      <c r="D1360" t="inlineStr">
        <is>
          <t>FM - DONKIN</t>
        </is>
      </c>
      <c r="E1360" s="1" t="n">
        <v>0</v>
      </c>
      <c r="F1360" t="n">
        <v>1</v>
      </c>
      <c r="G1360" t="n">
        <v>0</v>
      </c>
      <c r="H1360" t="n">
        <v>2</v>
      </c>
      <c r="I1360" t="n">
        <v>0</v>
      </c>
      <c r="J1360" t="n">
        <v>0</v>
      </c>
      <c r="K1360">
        <f>IF(H1360-I1360-J1360&gt;0,H1360-I1360-J1360,0)</f>
        <v/>
      </c>
      <c r="L1360" s="1">
        <f>IFERROR(I1360*E1360,0)</f>
        <v/>
      </c>
      <c r="M1360" s="1">
        <f>IFERROR(K1360*E1360,0)</f>
        <v/>
      </c>
    </row>
    <row r="1361">
      <c r="A1361" t="inlineStr">
        <is>
          <t>MT7100754</t>
        </is>
      </c>
      <c r="B1361" t="inlineStr">
        <is>
          <t>MAJAX-3 710 c/w 0,75KW 4P 380V</t>
        </is>
      </c>
      <c r="C1361" t="inlineStr">
        <is>
          <t>Centrifab (Pty) Ltd</t>
        </is>
      </c>
      <c r="D1361" t="inlineStr">
        <is>
          <t>FM - DONKIN</t>
        </is>
      </c>
      <c r="E1361" s="1" t="n">
        <v>6492.37</v>
      </c>
      <c r="F1361" t="n">
        <v>2</v>
      </c>
      <c r="G1361" t="n">
        <v>0</v>
      </c>
      <c r="H1361" t="n">
        <v>4</v>
      </c>
      <c r="I1361" t="n">
        <v>0</v>
      </c>
      <c r="J1361" t="n">
        <v>0</v>
      </c>
      <c r="K1361">
        <f>IF(H1361-I1361-J1361&gt;0,H1361-I1361-J1361,0)</f>
        <v/>
      </c>
      <c r="L1361" s="1">
        <f>IFERROR(I1361*E1361,0)</f>
        <v/>
      </c>
      <c r="M1361" s="1">
        <f>IFERROR(K1361*E1361,0)</f>
        <v/>
      </c>
    </row>
    <row r="1362">
      <c r="A1362" t="inlineStr">
        <is>
          <t>MT7101104</t>
        </is>
      </c>
      <c r="B1362" t="inlineStr">
        <is>
          <t>MAJAX-3 710 c/w 1,10KW 4P 380V</t>
        </is>
      </c>
      <c r="C1362" t="inlineStr"/>
      <c r="D1362" t="inlineStr">
        <is>
          <t>FM - DONKIN</t>
        </is>
      </c>
      <c r="E1362" s="1" t="n">
        <v>0</v>
      </c>
      <c r="F1362" t="n">
        <v>1</v>
      </c>
      <c r="G1362" t="n">
        <v>0</v>
      </c>
      <c r="H1362" t="n">
        <v>2</v>
      </c>
      <c r="I1362" t="n">
        <v>0</v>
      </c>
      <c r="J1362" t="n">
        <v>0</v>
      </c>
      <c r="K1362">
        <f>IF(H1362-I1362-J1362&gt;0,H1362-I1362-J1362,0)</f>
        <v/>
      </c>
      <c r="L1362" s="1">
        <f>IFERROR(I1362*E1362,0)</f>
        <v/>
      </c>
      <c r="M1362" s="1">
        <f>IFERROR(K1362*E1362,0)</f>
        <v/>
      </c>
    </row>
    <row r="1363">
      <c r="A1363" t="inlineStr">
        <is>
          <t>MT7101504</t>
        </is>
      </c>
      <c r="B1363" t="inlineStr">
        <is>
          <t>MAJAX-3 710 c/w 1,50KW 4P 380V</t>
        </is>
      </c>
      <c r="C1363" t="inlineStr">
        <is>
          <t>Centrifab (Pty) Ltd</t>
        </is>
      </c>
      <c r="D1363" t="inlineStr">
        <is>
          <t>FM - DONKIN</t>
        </is>
      </c>
      <c r="E1363" s="1" t="n">
        <v>14506</v>
      </c>
      <c r="F1363" t="n">
        <v>1</v>
      </c>
      <c r="G1363" t="n">
        <v>0</v>
      </c>
      <c r="H1363" t="n">
        <v>3</v>
      </c>
      <c r="I1363" t="n">
        <v>0</v>
      </c>
      <c r="J1363" t="n">
        <v>0</v>
      </c>
      <c r="K1363">
        <f>IF(H1363-I1363-J1363&gt;0,H1363-I1363-J1363,0)</f>
        <v/>
      </c>
      <c r="L1363" s="1">
        <f>IFERROR(I1363*E1363,0)</f>
        <v/>
      </c>
      <c r="M1363" s="1">
        <f>IFERROR(K1363*E1363,0)</f>
        <v/>
      </c>
    </row>
    <row r="1364">
      <c r="A1364" t="inlineStr">
        <is>
          <t>MT7102204</t>
        </is>
      </c>
      <c r="B1364" t="inlineStr">
        <is>
          <t>MAJAX-3 710 c/w 2,20KW 4P 380V</t>
        </is>
      </c>
      <c r="C1364" t="inlineStr">
        <is>
          <t>Air Speration</t>
        </is>
      </c>
      <c r="D1364" t="inlineStr">
        <is>
          <t>FM - DONKIN</t>
        </is>
      </c>
      <c r="E1364" s="1" t="n">
        <v>9384.52</v>
      </c>
      <c r="F1364" t="n">
        <v>2</v>
      </c>
      <c r="G1364" t="n">
        <v>0</v>
      </c>
      <c r="H1364" t="n">
        <v>4</v>
      </c>
      <c r="I1364" t="n">
        <v>0</v>
      </c>
      <c r="J1364" t="n">
        <v>0</v>
      </c>
      <c r="K1364">
        <f>IF(H1364-I1364-J1364&gt;0,H1364-I1364-J1364,0)</f>
        <v/>
      </c>
      <c r="L1364" s="1">
        <f>IFERROR(I1364*E1364,0)</f>
        <v/>
      </c>
      <c r="M1364" s="1">
        <f>IFERROR(K1364*E1364,0)</f>
        <v/>
      </c>
    </row>
    <row r="1365">
      <c r="A1365" t="inlineStr">
        <is>
          <t>MT7103004</t>
        </is>
      </c>
      <c r="B1365" t="inlineStr">
        <is>
          <t>MAJAX-3 710 c/w 3,00KW 4P 380V</t>
        </is>
      </c>
      <c r="C1365" t="inlineStr"/>
      <c r="D1365" t="inlineStr">
        <is>
          <t>FM - DONKIN</t>
        </is>
      </c>
      <c r="E1365" s="1" t="n">
        <v>0</v>
      </c>
      <c r="F1365" t="n">
        <v>1</v>
      </c>
      <c r="G1365" t="n">
        <v>0</v>
      </c>
      <c r="H1365" t="n">
        <v>2</v>
      </c>
      <c r="I1365" t="n">
        <v>0</v>
      </c>
      <c r="J1365" t="n">
        <v>0</v>
      </c>
      <c r="K1365">
        <f>IF(H1365-I1365-J1365&gt;0,H1365-I1365-J1365,0)</f>
        <v/>
      </c>
      <c r="L1365" s="1">
        <f>IFERROR(I1365*E1365,0)</f>
        <v/>
      </c>
      <c r="M1365" s="1">
        <f>IFERROR(K1365*E1365,0)</f>
        <v/>
      </c>
    </row>
    <row r="1366">
      <c r="A1366" t="inlineStr">
        <is>
          <t>MT7104004</t>
        </is>
      </c>
      <c r="B1366" t="inlineStr">
        <is>
          <t>MAJAX-3 710 c/w 4,00KW 4P 380V</t>
        </is>
      </c>
      <c r="C1366" t="inlineStr"/>
      <c r="D1366" t="inlineStr">
        <is>
          <t>FM - DONKIN</t>
        </is>
      </c>
      <c r="E1366" s="1" t="n">
        <v>0</v>
      </c>
      <c r="F1366" t="n">
        <v>1</v>
      </c>
      <c r="G1366" t="n">
        <v>0</v>
      </c>
      <c r="H1366" t="n">
        <v>5</v>
      </c>
      <c r="I1366" t="n">
        <v>0</v>
      </c>
      <c r="J1366" t="n">
        <v>0</v>
      </c>
      <c r="K1366">
        <f>IF(H1366-I1366-J1366&gt;0,H1366-I1366-J1366,0)</f>
        <v/>
      </c>
      <c r="L1366" s="1">
        <f>IFERROR(I1366*E1366,0)</f>
        <v/>
      </c>
      <c r="M1366" s="1">
        <f>IFERROR(K1366*E1366,0)</f>
        <v/>
      </c>
    </row>
    <row r="1367">
      <c r="A1367" t="inlineStr">
        <is>
          <t>MT7603004</t>
        </is>
      </c>
      <c r="B1367" t="inlineStr">
        <is>
          <t>Majax-2 760-32-E-8 c/w 3.0KW 4P 380V</t>
        </is>
      </c>
      <c r="C1367" t="inlineStr"/>
      <c r="D1367" t="inlineStr"/>
      <c r="E1367" s="1" t="n">
        <v>0</v>
      </c>
      <c r="F1367" t="n">
        <v>1</v>
      </c>
      <c r="G1367" t="n">
        <v>0</v>
      </c>
      <c r="H1367" t="n">
        <v>2</v>
      </c>
      <c r="I1367" t="n">
        <v>0</v>
      </c>
      <c r="J1367" t="n">
        <v>0</v>
      </c>
      <c r="K1367">
        <f>IF(H1367-I1367-J1367&gt;0,H1367-I1367-J1367,0)</f>
        <v/>
      </c>
      <c r="L1367" s="1">
        <f>IFERROR(I1367*E1367,0)</f>
        <v/>
      </c>
      <c r="M1367" s="1">
        <f>IFERROR(K1367*E1367,0)</f>
        <v/>
      </c>
    </row>
    <row r="1368">
      <c r="A1368" t="inlineStr">
        <is>
          <t>MT8000556</t>
        </is>
      </c>
      <c r="B1368" t="inlineStr">
        <is>
          <t>MAJAX-3 800 c/w 0,55KW 6P 380V</t>
        </is>
      </c>
      <c r="C1368" t="inlineStr"/>
      <c r="D1368" t="inlineStr">
        <is>
          <t>FM - DONKIN</t>
        </is>
      </c>
      <c r="E1368" s="1" t="n">
        <v>0</v>
      </c>
      <c r="F1368" t="n">
        <v>2</v>
      </c>
      <c r="G1368" t="n">
        <v>0</v>
      </c>
      <c r="H1368" t="n">
        <v>8</v>
      </c>
      <c r="I1368" t="n">
        <v>0</v>
      </c>
      <c r="J1368" t="n">
        <v>0</v>
      </c>
      <c r="K1368">
        <f>IF(H1368-I1368-J1368&gt;0,H1368-I1368-J1368,0)</f>
        <v/>
      </c>
      <c r="L1368" s="1">
        <f>IFERROR(I1368*E1368,0)</f>
        <v/>
      </c>
      <c r="M1368" s="1">
        <f>IFERROR(K1368*E1368,0)</f>
        <v/>
      </c>
    </row>
    <row r="1369">
      <c r="A1369" t="inlineStr">
        <is>
          <t>MT8001106</t>
        </is>
      </c>
      <c r="B1369" t="inlineStr">
        <is>
          <t>MAJAX-3 800 c/w 1,10KW 6P 380V</t>
        </is>
      </c>
      <c r="C1369" t="inlineStr"/>
      <c r="D1369" t="inlineStr">
        <is>
          <t>FM - DONKIN</t>
        </is>
      </c>
      <c r="E1369" s="1" t="n">
        <v>0</v>
      </c>
      <c r="F1369" t="n">
        <v>1</v>
      </c>
      <c r="G1369" t="n">
        <v>0</v>
      </c>
      <c r="H1369" t="n">
        <v>5</v>
      </c>
      <c r="I1369" t="n">
        <v>0</v>
      </c>
      <c r="J1369" t="n">
        <v>0</v>
      </c>
      <c r="K1369">
        <f>IF(H1369-I1369-J1369&gt;0,H1369-I1369-J1369,0)</f>
        <v/>
      </c>
      <c r="L1369" s="1">
        <f>IFERROR(I1369*E1369,0)</f>
        <v/>
      </c>
      <c r="M1369" s="1">
        <f>IFERROR(K1369*E1369,0)</f>
        <v/>
      </c>
    </row>
    <row r="1370">
      <c r="A1370" t="inlineStr">
        <is>
          <t>MT8002204</t>
        </is>
      </c>
      <c r="B1370" t="inlineStr">
        <is>
          <t>MAJAX-3 800 c/w 2,20KW 4P 380V</t>
        </is>
      </c>
      <c r="C1370" t="inlineStr">
        <is>
          <t>Centrifab (Pty) Ltd</t>
        </is>
      </c>
      <c r="D1370" t="inlineStr">
        <is>
          <t>FM - DONKIN</t>
        </is>
      </c>
      <c r="E1370" s="1" t="n">
        <v>7954.28</v>
      </c>
      <c r="F1370" t="n">
        <v>1</v>
      </c>
      <c r="G1370" t="n">
        <v>0</v>
      </c>
      <c r="H1370" t="n">
        <v>3</v>
      </c>
      <c r="I1370" t="n">
        <v>0</v>
      </c>
      <c r="J1370" t="n">
        <v>0</v>
      </c>
      <c r="K1370">
        <f>IF(H1370-I1370-J1370&gt;0,H1370-I1370-J1370,0)</f>
        <v/>
      </c>
      <c r="L1370" s="1">
        <f>IFERROR(I1370*E1370,0)</f>
        <v/>
      </c>
      <c r="M1370" s="1">
        <f>IFERROR(K1370*E1370,0)</f>
        <v/>
      </c>
    </row>
    <row r="1371">
      <c r="A1371" t="inlineStr">
        <is>
          <t>MT8003004</t>
        </is>
      </c>
      <c r="B1371" t="inlineStr">
        <is>
          <t>MAJAX-3 800 c/w 3,00KW 4P 380V</t>
        </is>
      </c>
      <c r="C1371" t="inlineStr">
        <is>
          <t>Centrifab (Pty) Ltd</t>
        </is>
      </c>
      <c r="D1371" t="inlineStr">
        <is>
          <t>FM - DONKIN</t>
        </is>
      </c>
      <c r="E1371" s="1" t="n">
        <v>8741.879999999999</v>
      </c>
      <c r="F1371" t="n">
        <v>1</v>
      </c>
      <c r="G1371" t="n">
        <v>0</v>
      </c>
      <c r="H1371" t="n">
        <v>4</v>
      </c>
      <c r="I1371" t="n">
        <v>0</v>
      </c>
      <c r="J1371" t="n">
        <v>0</v>
      </c>
      <c r="K1371">
        <f>IF(H1371-I1371-J1371&gt;0,H1371-I1371-J1371,0)</f>
        <v/>
      </c>
      <c r="L1371" s="1">
        <f>IFERROR(I1371*E1371,0)</f>
        <v/>
      </c>
      <c r="M1371" s="1">
        <f>IFERROR(K1371*E1371,0)</f>
        <v/>
      </c>
    </row>
    <row r="1372">
      <c r="A1372" t="inlineStr">
        <is>
          <t>MT8004004</t>
        </is>
      </c>
      <c r="B1372" t="inlineStr">
        <is>
          <t>MAJAX-3 800 c/w 4,00KW 4P 380V</t>
        </is>
      </c>
      <c r="C1372" t="inlineStr">
        <is>
          <t>Centrifab (Pty) Ltd</t>
        </is>
      </c>
      <c r="D1372" t="inlineStr">
        <is>
          <t>FM - DONKIN</t>
        </is>
      </c>
      <c r="E1372" s="1" t="n">
        <v>17409.6</v>
      </c>
      <c r="F1372" t="n">
        <v>2</v>
      </c>
      <c r="G1372" t="n">
        <v>0</v>
      </c>
      <c r="H1372" t="n">
        <v>4</v>
      </c>
      <c r="I1372" t="n">
        <v>0</v>
      </c>
      <c r="J1372" t="n">
        <v>0</v>
      </c>
      <c r="K1372">
        <f>IF(H1372-I1372-J1372&gt;0,H1372-I1372-J1372,0)</f>
        <v/>
      </c>
      <c r="L1372" s="1">
        <f>IFERROR(I1372*E1372,0)</f>
        <v/>
      </c>
      <c r="M1372" s="1">
        <f>IFERROR(K1372*E1372,0)</f>
        <v/>
      </c>
    </row>
    <row r="1373">
      <c r="A1373" t="inlineStr">
        <is>
          <t>MT8005504</t>
        </is>
      </c>
      <c r="B1373" t="inlineStr">
        <is>
          <t>MAJAX-3 800 c/w 5,50KW 4P 380V</t>
        </is>
      </c>
      <c r="C1373" t="inlineStr">
        <is>
          <t>Centrifab (Pty) Ltd</t>
        </is>
      </c>
      <c r="D1373" t="inlineStr">
        <is>
          <t>FM - DONKIN</t>
        </is>
      </c>
      <c r="E1373" s="1" t="n">
        <v>12400.02</v>
      </c>
      <c r="F1373" t="n">
        <v>1</v>
      </c>
      <c r="G1373" t="n">
        <v>0</v>
      </c>
      <c r="H1373" t="n">
        <v>3</v>
      </c>
      <c r="I1373" t="n">
        <v>0</v>
      </c>
      <c r="J1373" t="n">
        <v>0</v>
      </c>
      <c r="K1373">
        <f>IF(H1373-I1373-J1373&gt;0,H1373-I1373-J1373,0)</f>
        <v/>
      </c>
      <c r="L1373" s="1">
        <f>IFERROR(I1373*E1373,0)</f>
        <v/>
      </c>
      <c r="M1373" s="1">
        <f>IFERROR(K1373*E1373,0)</f>
        <v/>
      </c>
    </row>
    <row r="1374">
      <c r="A1374" t="inlineStr">
        <is>
          <t>MT8007504</t>
        </is>
      </c>
      <c r="B1374" t="inlineStr">
        <is>
          <t>MAJAX-3 800 c/w 7,50KW 4P 380V</t>
        </is>
      </c>
      <c r="C1374" t="inlineStr"/>
      <c r="D1374" t="inlineStr">
        <is>
          <t>FM - DONKIN</t>
        </is>
      </c>
      <c r="E1374" s="1" t="n">
        <v>0</v>
      </c>
      <c r="F1374" t="n">
        <v>1</v>
      </c>
      <c r="G1374" t="n">
        <v>0</v>
      </c>
      <c r="H1374" t="n">
        <v>2</v>
      </c>
      <c r="I1374" t="n">
        <v>0</v>
      </c>
      <c r="J1374" t="n">
        <v>0</v>
      </c>
      <c r="K1374">
        <f>IF(H1374-I1374-J1374&gt;0,H1374-I1374-J1374,0)</f>
        <v/>
      </c>
      <c r="L1374" s="1">
        <f>IFERROR(I1374*E1374,0)</f>
        <v/>
      </c>
      <c r="M1374" s="1">
        <f>IFERROR(K1374*E1374,0)</f>
        <v/>
      </c>
    </row>
    <row r="1375">
      <c r="A1375" t="inlineStr">
        <is>
          <t>MT9002204</t>
        </is>
      </c>
      <c r="B1375" t="inlineStr">
        <is>
          <t>MAJAX-3 900 c/w 2,20KW 4P 380V</t>
        </is>
      </c>
      <c r="C1375" t="inlineStr">
        <is>
          <t>Air Speration</t>
        </is>
      </c>
      <c r="D1375" t="inlineStr">
        <is>
          <t>FM - DONKIN</t>
        </is>
      </c>
      <c r="E1375" s="1" t="n">
        <v>9327.959999999999</v>
      </c>
      <c r="F1375" t="n">
        <v>1</v>
      </c>
      <c r="G1375" t="n">
        <v>0</v>
      </c>
      <c r="H1375" t="n">
        <v>2</v>
      </c>
      <c r="I1375" t="n">
        <v>0</v>
      </c>
      <c r="J1375" t="n">
        <v>0</v>
      </c>
      <c r="K1375">
        <f>IF(H1375-I1375-J1375&gt;0,H1375-I1375-J1375,0)</f>
        <v/>
      </c>
      <c r="L1375" s="1">
        <f>IFERROR(I1375*E1375,0)</f>
        <v/>
      </c>
      <c r="M1375" s="1">
        <f>IFERROR(K1375*E1375,0)</f>
        <v/>
      </c>
    </row>
    <row r="1376">
      <c r="A1376" t="inlineStr">
        <is>
          <t>MT9005504</t>
        </is>
      </c>
      <c r="B1376" t="inlineStr">
        <is>
          <t>MAJAX-3 900 c/w 5,50KW 4P 380V</t>
        </is>
      </c>
      <c r="C1376" t="inlineStr">
        <is>
          <t>Centrifab (Pty) Ltd</t>
        </is>
      </c>
      <c r="D1376" t="inlineStr">
        <is>
          <t>FM - DONKIN</t>
        </is>
      </c>
      <c r="E1376" s="1" t="n">
        <v>18403.56</v>
      </c>
      <c r="F1376" t="n">
        <v>1</v>
      </c>
      <c r="G1376" t="n">
        <v>0</v>
      </c>
      <c r="H1376" t="n">
        <v>3</v>
      </c>
      <c r="I1376" t="n">
        <v>0</v>
      </c>
      <c r="J1376" t="n">
        <v>0</v>
      </c>
      <c r="K1376">
        <f>IF(H1376-I1376-J1376&gt;0,H1376-I1376-J1376,0)</f>
        <v/>
      </c>
      <c r="L1376" s="1">
        <f>IFERROR(I1376*E1376,0)</f>
        <v/>
      </c>
      <c r="M1376" s="1">
        <f>IFERROR(K1376*E1376,0)</f>
        <v/>
      </c>
    </row>
    <row r="1377">
      <c r="A1377" t="inlineStr">
        <is>
          <t>MT9005506</t>
        </is>
      </c>
      <c r="B1377" t="inlineStr">
        <is>
          <t>MAJAX-3 900 c/w 5,50KW 6P 380V</t>
        </is>
      </c>
      <c r="C1377" t="inlineStr"/>
      <c r="D1377" t="inlineStr">
        <is>
          <t>FM - DONKIN</t>
        </is>
      </c>
      <c r="E1377" s="1" t="n">
        <v>0</v>
      </c>
      <c r="F1377" t="n">
        <v>1</v>
      </c>
      <c r="G1377" t="n">
        <v>0</v>
      </c>
      <c r="H1377" t="n">
        <v>2</v>
      </c>
      <c r="I1377" t="n">
        <v>0</v>
      </c>
      <c r="J1377" t="n">
        <v>0</v>
      </c>
      <c r="K1377">
        <f>IF(H1377-I1377-J1377&gt;0,H1377-I1377-J1377,0)</f>
        <v/>
      </c>
      <c r="L1377" s="1">
        <f>IFERROR(I1377*E1377,0)</f>
        <v/>
      </c>
      <c r="M1377" s="1">
        <f>IFERROR(K1377*E1377,0)</f>
        <v/>
      </c>
    </row>
    <row r="1378">
      <c r="A1378" t="inlineStr">
        <is>
          <t>Material</t>
        </is>
      </c>
      <c r="B1378" t="inlineStr">
        <is>
          <t>Material</t>
        </is>
      </c>
      <c r="C1378" t="inlineStr">
        <is>
          <t>Downside Projects</t>
        </is>
      </c>
      <c r="D1378" t="inlineStr">
        <is>
          <t>FM - ELECTRICAL WIRING</t>
        </is>
      </c>
      <c r="E1378" s="1" t="n">
        <v>5400</v>
      </c>
      <c r="F1378" t="n">
        <v>1</v>
      </c>
      <c r="G1378" t="n">
        <v>0</v>
      </c>
      <c r="H1378" t="n">
        <v>3</v>
      </c>
      <c r="I1378" t="n">
        <v>0</v>
      </c>
      <c r="J1378" t="n">
        <v>0</v>
      </c>
      <c r="K1378">
        <f>IF(H1378-I1378-J1378&gt;0,H1378-I1378-J1378,0)</f>
        <v/>
      </c>
      <c r="L1378" s="1">
        <f>IFERROR(I1378*E1378,0)</f>
        <v/>
      </c>
      <c r="M1378" s="1">
        <f>IFERROR(K1378*E1378,0)</f>
        <v/>
      </c>
    </row>
    <row r="1379">
      <c r="A1379" t="inlineStr">
        <is>
          <t>Mild Steel-200x200x1.6mm</t>
        </is>
      </c>
      <c r="B1379" t="inlineStr">
        <is>
          <t>Laser-Cut Mild Steel Plate 200x200x1.6mm</t>
        </is>
      </c>
      <c r="C1379" t="inlineStr">
        <is>
          <t>Mafilisti Trading and Projects (Pty) Ltd</t>
        </is>
      </c>
      <c r="D1379" t="inlineStr"/>
      <c r="E1379" s="1" t="n">
        <v>29.5</v>
      </c>
      <c r="F1379" t="n">
        <v>4</v>
      </c>
      <c r="G1379" t="n">
        <v>0</v>
      </c>
      <c r="H1379" t="n">
        <v>20</v>
      </c>
      <c r="I1379" t="n">
        <v>0</v>
      </c>
      <c r="J1379" t="n">
        <v>0</v>
      </c>
      <c r="K1379">
        <f>IF(H1379-I1379-J1379&gt;0,H1379-I1379-J1379,0)</f>
        <v/>
      </c>
      <c r="L1379" s="1">
        <f>IFERROR(I1379*E1379,0)</f>
        <v/>
      </c>
      <c r="M1379" s="1">
        <f>IFERROR(K1379*E1379,0)</f>
        <v/>
      </c>
    </row>
    <row r="1380">
      <c r="A1380" t="inlineStr">
        <is>
          <t>Mild Steel-310x310x1.6mm</t>
        </is>
      </c>
      <c r="B1380" t="inlineStr">
        <is>
          <t>Laser-Cut Mild Steel Plate 310x310x1.6mm</t>
        </is>
      </c>
      <c r="C1380" t="inlineStr">
        <is>
          <t>Mafilisti Trading and Projects (Pty) Ltd</t>
        </is>
      </c>
      <c r="D1380" t="inlineStr"/>
      <c r="E1380" s="1" t="n">
        <v>61.45</v>
      </c>
      <c r="F1380" t="n">
        <v>1</v>
      </c>
      <c r="G1380" t="n">
        <v>0</v>
      </c>
      <c r="H1380" t="n">
        <v>2</v>
      </c>
      <c r="I1380" t="n">
        <v>0</v>
      </c>
      <c r="J1380" t="n">
        <v>0</v>
      </c>
      <c r="K1380">
        <f>IF(H1380-I1380-J1380&gt;0,H1380-I1380-J1380,0)</f>
        <v/>
      </c>
      <c r="L1380" s="1">
        <f>IFERROR(I1380*E1380,0)</f>
        <v/>
      </c>
      <c r="M1380" s="1">
        <f>IFERROR(K1380*E1380,0)</f>
        <v/>
      </c>
    </row>
    <row r="1381">
      <c r="A1381" t="inlineStr">
        <is>
          <t>Mild Steel-620x620x1.6mm</t>
        </is>
      </c>
      <c r="B1381" t="inlineStr">
        <is>
          <t>Laser-Cut Mild Steel Plate 620x620x1.6mm</t>
        </is>
      </c>
      <c r="C1381" t="inlineStr">
        <is>
          <t>Mafilisti Trading and Projects (Pty) Ltd</t>
        </is>
      </c>
      <c r="D1381" t="inlineStr"/>
      <c r="E1381" s="1" t="n">
        <v>224</v>
      </c>
      <c r="F1381" t="n">
        <v>1</v>
      </c>
      <c r="G1381" t="n">
        <v>0</v>
      </c>
      <c r="H1381" t="n">
        <v>2</v>
      </c>
      <c r="I1381" t="n">
        <v>0</v>
      </c>
      <c r="J1381" t="n">
        <v>0</v>
      </c>
      <c r="K1381">
        <f>IF(H1381-I1381-J1381&gt;0,H1381-I1381-J1381,0)</f>
        <v/>
      </c>
      <c r="L1381" s="1">
        <f>IFERROR(I1381*E1381,0)</f>
        <v/>
      </c>
      <c r="M1381" s="1">
        <f>IFERROR(K1381*E1381,0)</f>
        <v/>
      </c>
    </row>
    <row r="1382">
      <c r="A1382" t="inlineStr">
        <is>
          <t>NAME PLATES</t>
        </is>
      </c>
      <c r="B1382" t="inlineStr">
        <is>
          <t>Name plates/ engraving plates</t>
        </is>
      </c>
      <c r="C1382" t="inlineStr">
        <is>
          <t>Cuspal Manufacturing &amp; Anodising CC</t>
        </is>
      </c>
      <c r="D1382" t="inlineStr"/>
      <c r="E1382" s="1" t="n">
        <v>31.55</v>
      </c>
      <c r="F1382" t="n">
        <v>23</v>
      </c>
      <c r="G1382" t="n">
        <v>0</v>
      </c>
      <c r="H1382" t="n">
        <v>114</v>
      </c>
      <c r="I1382" t="n">
        <v>0</v>
      </c>
      <c r="J1382" t="n">
        <v>0</v>
      </c>
      <c r="K1382">
        <f>IF(H1382-I1382-J1382&gt;0,H1382-I1382-J1382,0)</f>
        <v/>
      </c>
      <c r="L1382" s="1">
        <f>IFERROR(I1382*E1382,0)</f>
        <v/>
      </c>
      <c r="M1382" s="1">
        <f>IFERROR(K1382*E1382,0)</f>
        <v/>
      </c>
    </row>
    <row r="1383">
      <c r="A1383" t="inlineStr">
        <is>
          <t>NITRO PRO</t>
        </is>
      </c>
      <c r="B1383" t="inlineStr">
        <is>
          <t>includes PDF Editing (Windows, Mac, iOS), unlimited eSigning, and Customer Support.</t>
        </is>
      </c>
      <c r="C1383" t="inlineStr">
        <is>
          <t>Cleverbridge GmbH - NITRO</t>
        </is>
      </c>
      <c r="D1383" t="inlineStr"/>
      <c r="E1383" s="1" t="n">
        <v>3812.63</v>
      </c>
      <c r="F1383" t="n">
        <v>1</v>
      </c>
      <c r="G1383" t="n">
        <v>0</v>
      </c>
      <c r="H1383" t="n">
        <v>2</v>
      </c>
      <c r="I1383" t="n">
        <v>0</v>
      </c>
      <c r="J1383" t="n">
        <v>0</v>
      </c>
      <c r="K1383">
        <f>IF(H1383-I1383-J1383&gt;0,H1383-I1383-J1383,0)</f>
        <v/>
      </c>
      <c r="L1383" s="1">
        <f>IFERROR(I1383*E1383,0)</f>
        <v/>
      </c>
      <c r="M1383" s="1">
        <f>IFERROR(K1383*E1383,0)</f>
        <v/>
      </c>
    </row>
    <row r="1384">
      <c r="A1384" t="inlineStr">
        <is>
          <t>NONE</t>
        </is>
      </c>
      <c r="B1384" t="inlineStr">
        <is>
          <t>AIRMAX-2.850 WALL MOUNT</t>
        </is>
      </c>
      <c r="C1384" t="inlineStr"/>
      <c r="D1384" t="inlineStr">
        <is>
          <t>FM - DONKIN</t>
        </is>
      </c>
      <c r="E1384" s="1" t="n">
        <v>0</v>
      </c>
      <c r="F1384" t="n">
        <v>2</v>
      </c>
      <c r="G1384" t="n">
        <v>0</v>
      </c>
      <c r="H1384" t="n">
        <v>10</v>
      </c>
      <c r="I1384" t="n">
        <v>0</v>
      </c>
      <c r="J1384" t="n">
        <v>0</v>
      </c>
      <c r="K1384">
        <f>IF(H1384-I1384-J1384&gt;0,H1384-I1384-J1384,0)</f>
        <v/>
      </c>
      <c r="L1384" s="1">
        <f>IFERROR(I1384*E1384,0)</f>
        <v/>
      </c>
      <c r="M1384" s="1">
        <f>IFERROR(K1384*E1384,0)</f>
        <v/>
      </c>
    </row>
    <row r="1385">
      <c r="A1385" t="inlineStr">
        <is>
          <t>NRD</t>
        </is>
      </c>
      <c r="B1385" t="inlineStr">
        <is>
          <t>Non Return Discharge Dampers</t>
        </is>
      </c>
      <c r="C1385" t="inlineStr">
        <is>
          <t>Air Speration</t>
        </is>
      </c>
      <c r="D1385" t="inlineStr"/>
      <c r="E1385" s="1" t="n">
        <v>709.45</v>
      </c>
      <c r="F1385" t="n">
        <v>1</v>
      </c>
      <c r="G1385" t="n">
        <v>0</v>
      </c>
      <c r="H1385" t="n">
        <v>2</v>
      </c>
      <c r="I1385" t="n">
        <v>0</v>
      </c>
      <c r="J1385" t="n">
        <v>0</v>
      </c>
      <c r="K1385">
        <f>IF(H1385-I1385-J1385&gt;0,H1385-I1385-J1385,0)</f>
        <v/>
      </c>
      <c r="L1385" s="1">
        <f>IFERROR(I1385*E1385,0)</f>
        <v/>
      </c>
      <c r="M1385" s="1">
        <f>IFERROR(K1385*E1385,0)</f>
        <v/>
      </c>
    </row>
    <row r="1386">
      <c r="A1386" t="inlineStr">
        <is>
          <t>NS40/610/610/300</t>
        </is>
      </c>
      <c r="B1386" t="inlineStr">
        <is>
          <t>HEPA FILTER 4000M3/H</t>
        </is>
      </c>
      <c r="C1386" t="inlineStr">
        <is>
          <t>Filta Matix</t>
        </is>
      </c>
      <c r="D1386" t="inlineStr"/>
      <c r="E1386" s="1" t="n">
        <v>4928</v>
      </c>
      <c r="F1386" t="n">
        <v>2</v>
      </c>
      <c r="G1386" t="n">
        <v>0</v>
      </c>
      <c r="H1386" t="n">
        <v>12</v>
      </c>
      <c r="I1386" t="n">
        <v>0</v>
      </c>
      <c r="J1386" t="n">
        <v>0</v>
      </c>
      <c r="K1386">
        <f>IF(H1386-I1386-J1386&gt;0,H1386-I1386-J1386,0)</f>
        <v/>
      </c>
      <c r="L1386" s="1">
        <f>IFERROR(I1386*E1386,0)</f>
        <v/>
      </c>
      <c r="M1386" s="1">
        <f>IFERROR(K1386*E1386,0)</f>
        <v/>
      </c>
    </row>
    <row r="1387">
      <c r="A1387" t="inlineStr">
        <is>
          <t>Non-Taxable Extra's</t>
        </is>
      </c>
      <c r="B1387" t="inlineStr">
        <is>
          <t>Non-Taxable Extra's</t>
        </is>
      </c>
      <c r="C1387" t="inlineStr">
        <is>
          <t>Egoli Auto (Pty) Ltd t/a Mahindra JHB South</t>
        </is>
      </c>
      <c r="D1387" t="inlineStr">
        <is>
          <t>Accessories</t>
        </is>
      </c>
      <c r="E1387" s="1" t="n">
        <v>1950</v>
      </c>
      <c r="F1387" t="n">
        <v>1</v>
      </c>
      <c r="G1387" t="n">
        <v>0</v>
      </c>
      <c r="H1387" t="n">
        <v>5</v>
      </c>
      <c r="I1387" t="n">
        <v>0</v>
      </c>
      <c r="J1387" t="n">
        <v>0</v>
      </c>
      <c r="K1387">
        <f>IF(H1387-I1387-J1387&gt;0,H1387-I1387-J1387,0)</f>
        <v/>
      </c>
      <c r="L1387" s="1">
        <f>IFERROR(I1387*E1387,0)</f>
        <v/>
      </c>
      <c r="M1387" s="1">
        <f>IFERROR(K1387*E1387,0)</f>
        <v/>
      </c>
    </row>
    <row r="1388">
      <c r="A1388" t="inlineStr">
        <is>
          <t>OUTSTANDING BALANCE</t>
        </is>
      </c>
      <c r="B1388" t="inlineStr">
        <is>
          <t>Outstanding Balance for industrial Fans</t>
        </is>
      </c>
      <c r="C1388" t="inlineStr"/>
      <c r="D1388" t="inlineStr"/>
      <c r="E1388" s="1" t="n">
        <v>0</v>
      </c>
      <c r="F1388" t="n">
        <v>1</v>
      </c>
      <c r="G1388" t="n">
        <v>0</v>
      </c>
      <c r="H1388" t="n">
        <v>2</v>
      </c>
      <c r="I1388" t="n">
        <v>0</v>
      </c>
      <c r="J1388" t="n">
        <v>0</v>
      </c>
      <c r="K1388">
        <f>IF(H1388-I1388-J1388&gt;0,H1388-I1388-J1388,0)</f>
        <v/>
      </c>
      <c r="L1388" s="1">
        <f>IFERROR(I1388*E1388,0)</f>
        <v/>
      </c>
      <c r="M1388" s="1">
        <f>IFERROR(K1388*E1388,0)</f>
        <v/>
      </c>
    </row>
    <row r="1389">
      <c r="A1389" t="inlineStr">
        <is>
          <t>PAINT-WORKS</t>
        </is>
      </c>
      <c r="B1389" t="inlineStr">
        <is>
          <t>SPRAY PAINT INLET CONES</t>
        </is>
      </c>
      <c r="C1389" t="inlineStr"/>
      <c r="D1389" t="inlineStr">
        <is>
          <t>FM - PAINTING</t>
        </is>
      </c>
      <c r="E1389" s="1" t="n">
        <v>0</v>
      </c>
      <c r="F1389" t="n">
        <v>1</v>
      </c>
      <c r="G1389" t="n">
        <v>0</v>
      </c>
      <c r="H1389" t="n">
        <v>5</v>
      </c>
      <c r="I1389" t="n">
        <v>0</v>
      </c>
      <c r="J1389" t="n">
        <v>0</v>
      </c>
      <c r="K1389">
        <f>IF(H1389-I1389-J1389&gt;0,H1389-I1389-J1389,0)</f>
        <v/>
      </c>
      <c r="L1389" s="1">
        <f>IFERROR(I1389*E1389,0)</f>
        <v/>
      </c>
      <c r="M1389" s="1">
        <f>IFERROR(K1389*E1389,0)</f>
        <v/>
      </c>
    </row>
    <row r="1390">
      <c r="A1390" t="inlineStr">
        <is>
          <t>PD2</t>
        </is>
      </c>
      <c r="B1390" t="inlineStr">
        <is>
          <t>White</t>
        </is>
      </c>
      <c r="C1390" t="inlineStr">
        <is>
          <t>Seal 'N Devices (Pty) Ltd</t>
        </is>
      </c>
      <c r="D1390" t="inlineStr"/>
      <c r="E1390" s="1" t="n">
        <v>58.37</v>
      </c>
      <c r="F1390" t="n">
        <v>6</v>
      </c>
      <c r="G1390" t="n">
        <v>0</v>
      </c>
      <c r="H1390" t="n">
        <v>22</v>
      </c>
      <c r="I1390" t="n">
        <v>0</v>
      </c>
      <c r="J1390" t="n">
        <v>0</v>
      </c>
      <c r="K1390">
        <f>IF(H1390-I1390-J1390&gt;0,H1390-I1390-J1390,0)</f>
        <v/>
      </c>
      <c r="L1390" s="1">
        <f>IFERROR(I1390*E1390,0)</f>
        <v/>
      </c>
      <c r="M1390" s="1">
        <f>IFERROR(K1390*E1390,0)</f>
        <v/>
      </c>
    </row>
    <row r="1391">
      <c r="A1391" t="inlineStr">
        <is>
          <t>PHPM20B</t>
        </is>
      </c>
      <c r="B1391" t="inlineStr">
        <is>
          <t>M20 SCREW-IN BLANKING PLUGS (BLK)</t>
        </is>
      </c>
      <c r="C1391" t="inlineStr">
        <is>
          <t>ElectroMechanica (Pty) Ltd</t>
        </is>
      </c>
      <c r="D1391" t="inlineStr"/>
      <c r="E1391" s="1" t="n">
        <v>6.96</v>
      </c>
      <c r="F1391" t="n">
        <v>38</v>
      </c>
      <c r="G1391" t="n">
        <v>0</v>
      </c>
      <c r="H1391" t="n">
        <v>188</v>
      </c>
      <c r="I1391" t="n">
        <v>0</v>
      </c>
      <c r="J1391" t="n">
        <v>0</v>
      </c>
      <c r="K1391">
        <f>IF(H1391-I1391-J1391&gt;0,H1391-I1391-J1391,0)</f>
        <v/>
      </c>
      <c r="L1391" s="1">
        <f>IFERROR(I1391*E1391,0)</f>
        <v/>
      </c>
      <c r="M1391" s="1">
        <f>IFERROR(K1391*E1391,0)</f>
        <v/>
      </c>
    </row>
    <row r="1392">
      <c r="A1392" t="inlineStr">
        <is>
          <t>PINE</t>
        </is>
      </c>
      <c r="B1392" t="inlineStr">
        <is>
          <t>CRATING 25X114X1.8M</t>
        </is>
      </c>
      <c r="C1392" t="inlineStr">
        <is>
          <t>Foresta Timber &amp; Board (Pty) Ltd</t>
        </is>
      </c>
      <c r="D1392" t="inlineStr"/>
      <c r="E1392" s="1" t="n">
        <v>27.69</v>
      </c>
      <c r="F1392" t="n">
        <v>38</v>
      </c>
      <c r="G1392" t="n">
        <v>0</v>
      </c>
      <c r="H1392" t="n">
        <v>190</v>
      </c>
      <c r="I1392" t="n">
        <v>0</v>
      </c>
      <c r="J1392" t="n">
        <v>0</v>
      </c>
      <c r="K1392">
        <f>IF(H1392-I1392-J1392&gt;0,H1392-I1392-J1392,0)</f>
        <v/>
      </c>
      <c r="L1392" s="1">
        <f>IFERROR(I1392*E1392,0)</f>
        <v/>
      </c>
      <c r="M1392" s="1">
        <f>IFERROR(K1392*E1392,0)</f>
        <v/>
      </c>
    </row>
    <row r="1393">
      <c r="A1393" t="inlineStr">
        <is>
          <t>PMGB20-13.5</t>
        </is>
      </c>
      <c r="B1393" t="inlineStr">
        <is>
          <t>M20 NYLON COMPRESSION GLAND GREY</t>
        </is>
      </c>
      <c r="C1393" t="inlineStr">
        <is>
          <t>ElectroMechanica (Pty) Ltd</t>
        </is>
      </c>
      <c r="D1393" t="inlineStr"/>
      <c r="E1393" s="1" t="n">
        <v>5.22</v>
      </c>
      <c r="F1393" t="n">
        <v>400</v>
      </c>
      <c r="G1393" t="n">
        <v>0</v>
      </c>
      <c r="H1393" t="n">
        <v>2000</v>
      </c>
      <c r="I1393" t="n">
        <v>0</v>
      </c>
      <c r="J1393" t="n">
        <v>0</v>
      </c>
      <c r="K1393">
        <f>IF(H1393-I1393-J1393&gt;0,H1393-I1393-J1393,0)</f>
        <v/>
      </c>
      <c r="L1393" s="1">
        <f>IFERROR(I1393*E1393,0)</f>
        <v/>
      </c>
      <c r="M1393" s="1">
        <f>IFERROR(K1393*E1393,0)</f>
        <v/>
      </c>
    </row>
    <row r="1394">
      <c r="A1394" t="inlineStr">
        <is>
          <t>PMGB25-18</t>
        </is>
      </c>
      <c r="B1394" t="inlineStr">
        <is>
          <t>M25 NYLON COMPRESSION GLAND GREY</t>
        </is>
      </c>
      <c r="C1394" t="inlineStr">
        <is>
          <t>ElectroMechanica (Pty) Ltd</t>
        </is>
      </c>
      <c r="D1394" t="inlineStr"/>
      <c r="E1394" s="1" t="n">
        <v>7.11</v>
      </c>
      <c r="F1394" t="n">
        <v>200</v>
      </c>
      <c r="G1394" t="n">
        <v>0</v>
      </c>
      <c r="H1394" t="n">
        <v>1000</v>
      </c>
      <c r="I1394" t="n">
        <v>0</v>
      </c>
      <c r="J1394" t="n">
        <v>0</v>
      </c>
      <c r="K1394">
        <f>IF(H1394-I1394-J1394&gt;0,H1394-I1394-J1394,0)</f>
        <v/>
      </c>
      <c r="L1394" s="1">
        <f>IFERROR(I1394*E1394,0)</f>
        <v/>
      </c>
      <c r="M1394" s="1">
        <f>IFERROR(K1394*E1394,0)</f>
        <v/>
      </c>
    </row>
    <row r="1395">
      <c r="A1395" t="inlineStr">
        <is>
          <t>POZI SELF TAPPER</t>
        </is>
      </c>
      <c r="B1395" t="inlineStr">
        <is>
          <t>10 - No10 (4 .8mm)x19 PAN/HD POZI SELF TAPPER 10X19 7981</t>
        </is>
      </c>
      <c r="C1395" t="inlineStr">
        <is>
          <t>M&amp;D SPECIALISED FASTENERS (PTY) LTD</t>
        </is>
      </c>
      <c r="D1395" t="inlineStr"/>
      <c r="E1395" s="1" t="n">
        <v>0</v>
      </c>
      <c r="F1395" t="n">
        <v>89</v>
      </c>
      <c r="G1395" t="n">
        <v>0</v>
      </c>
      <c r="H1395" t="n">
        <v>446</v>
      </c>
      <c r="I1395" t="n">
        <v>0</v>
      </c>
      <c r="J1395" t="n">
        <v>0</v>
      </c>
      <c r="K1395">
        <f>IF(H1395-I1395-J1395&gt;0,H1395-I1395-J1395,0)</f>
        <v/>
      </c>
      <c r="L1395" s="1">
        <f>IFERROR(I1395*E1395,0)</f>
        <v/>
      </c>
      <c r="M1395" s="1">
        <f>IFERROR(K1395*E1395,0)</f>
        <v/>
      </c>
    </row>
    <row r="1396">
      <c r="A1396" t="inlineStr">
        <is>
          <t>PR3mm x 1300mm</t>
        </is>
      </c>
      <c r="B1396" t="inlineStr">
        <is>
          <t>New W11F 3mm x 1300mm Plate Roller</t>
        </is>
      </c>
      <c r="C1396" t="inlineStr">
        <is>
          <t>Mech Tech Precision (Pty) Ltd</t>
        </is>
      </c>
      <c r="D1396" t="inlineStr"/>
      <c r="E1396" s="1" t="n">
        <v>77000</v>
      </c>
      <c r="F1396" t="n">
        <v>1</v>
      </c>
      <c r="G1396" t="n">
        <v>0</v>
      </c>
      <c r="H1396" t="n">
        <v>3</v>
      </c>
      <c r="I1396" t="n">
        <v>0</v>
      </c>
      <c r="J1396" t="n">
        <v>0</v>
      </c>
      <c r="K1396">
        <f>IF(H1396-I1396-J1396&gt;0,H1396-I1396-J1396,0)</f>
        <v/>
      </c>
      <c r="L1396" s="1">
        <f>IFERROR(I1396*E1396,0)</f>
        <v/>
      </c>
      <c r="M1396" s="1">
        <f>IFERROR(K1396*E1396,0)</f>
        <v/>
      </c>
    </row>
    <row r="1397">
      <c r="A1397" t="inlineStr">
        <is>
          <t>PRA GLAND FLP Exde BRASS CPR N*1 M20</t>
        </is>
      </c>
      <c r="B1397" t="inlineStr">
        <is>
          <t>PRA GLAND FLP Exde BRASS CPR N*1 M20</t>
        </is>
      </c>
      <c r="C1397" t="inlineStr">
        <is>
          <t>Pratley (Pty) Ltd</t>
        </is>
      </c>
      <c r="D1397" t="inlineStr"/>
      <c r="E1397" s="1" t="n">
        <v>232.8</v>
      </c>
      <c r="F1397" t="n">
        <v>2</v>
      </c>
      <c r="G1397" t="n">
        <v>0</v>
      </c>
      <c r="H1397" t="n">
        <v>10</v>
      </c>
      <c r="I1397" t="n">
        <v>0</v>
      </c>
      <c r="J1397" t="n">
        <v>0</v>
      </c>
      <c r="K1397">
        <f>IF(H1397-I1397-J1397&gt;0,H1397-I1397-J1397,0)</f>
        <v/>
      </c>
      <c r="L1397" s="1">
        <f>IFERROR(I1397*E1397,0)</f>
        <v/>
      </c>
      <c r="M1397" s="1">
        <f>IFERROR(K1397*E1397,0)</f>
        <v/>
      </c>
    </row>
    <row r="1398">
      <c r="A1398" t="inlineStr">
        <is>
          <t>PRA LOCKNUT BRASS No 0 &amp; 1</t>
        </is>
      </c>
      <c r="B1398" t="inlineStr">
        <is>
          <t>M20 - PRA LOCKNUT BRASS No 0 &amp; 1 - M20</t>
        </is>
      </c>
      <c r="C1398" t="inlineStr">
        <is>
          <t>Pratley (Pty) Ltd</t>
        </is>
      </c>
      <c r="D1398" t="inlineStr"/>
      <c r="E1398" s="1" t="n">
        <v>0</v>
      </c>
      <c r="F1398" t="n">
        <v>1</v>
      </c>
      <c r="G1398" t="n">
        <v>0</v>
      </c>
      <c r="H1398" t="n">
        <v>5</v>
      </c>
      <c r="I1398" t="n">
        <v>0</v>
      </c>
      <c r="J1398" t="n">
        <v>0</v>
      </c>
      <c r="K1398">
        <f>IF(H1398-I1398-J1398&gt;0,H1398-I1398-J1398,0)</f>
        <v/>
      </c>
      <c r="L1398" s="1">
        <f>IFERROR(I1398*E1398,0)</f>
        <v/>
      </c>
      <c r="M1398" s="1">
        <f>IFERROR(K1398*E1398,0)</f>
        <v/>
      </c>
    </row>
    <row r="1399">
      <c r="A1399" t="inlineStr">
        <is>
          <t>PRA LOCKNUT BRASS No 2</t>
        </is>
      </c>
      <c r="B1399" t="inlineStr">
        <is>
          <t>M25 - PRA LOCKNUT BRASS No 2 - M25</t>
        </is>
      </c>
      <c r="C1399" t="inlineStr">
        <is>
          <t>Pratley (Pty) Ltd</t>
        </is>
      </c>
      <c r="D1399" t="inlineStr"/>
      <c r="E1399" s="1" t="n">
        <v>0</v>
      </c>
      <c r="F1399" t="n">
        <v>1</v>
      </c>
      <c r="G1399" t="n">
        <v>0</v>
      </c>
      <c r="H1399" t="n">
        <v>5</v>
      </c>
      <c r="I1399" t="n">
        <v>0</v>
      </c>
      <c r="J1399" t="n">
        <v>0</v>
      </c>
      <c r="K1399">
        <f>IF(H1399-I1399-J1399&gt;0,H1399-I1399-J1399,0)</f>
        <v/>
      </c>
      <c r="L1399" s="1">
        <f>IFERROR(I1399*E1399,0)</f>
        <v/>
      </c>
      <c r="M1399" s="1">
        <f>IFERROR(K1399*E1399,0)</f>
        <v/>
      </c>
    </row>
    <row r="1400">
      <c r="A1400" t="inlineStr">
        <is>
          <t>PRA REDUCER FLP Ex d/e 25M-20F</t>
        </is>
      </c>
      <c r="B1400" t="inlineStr">
        <is>
          <t>PRA REDUCER FLP Ex d/e 25M-20F</t>
        </is>
      </c>
      <c r="C1400" t="inlineStr">
        <is>
          <t>Pratley (Pty) Ltd</t>
        </is>
      </c>
      <c r="D1400" t="inlineStr"/>
      <c r="E1400" s="1" t="n">
        <v>81.48999999999999</v>
      </c>
      <c r="F1400" t="n">
        <v>1</v>
      </c>
      <c r="G1400" t="n">
        <v>0</v>
      </c>
      <c r="H1400" t="n">
        <v>5</v>
      </c>
      <c r="I1400" t="n">
        <v>0</v>
      </c>
      <c r="J1400" t="n">
        <v>0</v>
      </c>
      <c r="K1400">
        <f>IF(H1400-I1400-J1400&gt;0,H1400-I1400-J1400,0)</f>
        <v/>
      </c>
      <c r="L1400" s="1">
        <f>IFERROR(I1400*E1400,0)</f>
        <v/>
      </c>
      <c r="M1400" s="1">
        <f>IFERROR(K1400*E1400,0)</f>
        <v/>
      </c>
    </row>
    <row r="1401">
      <c r="A1401" t="inlineStr">
        <is>
          <t>PROGRAM</t>
        </is>
      </c>
      <c r="B1401" t="inlineStr">
        <is>
          <t>Customized Programming Service - Development of web Based Fan Selection Program</t>
        </is>
      </c>
      <c r="C1401" t="inlineStr">
        <is>
          <t>Holt Consulting Engineers</t>
        </is>
      </c>
      <c r="D1401" t="inlineStr"/>
      <c r="E1401" s="1" t="n">
        <v>0</v>
      </c>
      <c r="F1401" t="n">
        <v>1</v>
      </c>
      <c r="G1401" t="n">
        <v>0</v>
      </c>
      <c r="H1401" t="n">
        <v>2</v>
      </c>
      <c r="I1401" t="n">
        <v>0</v>
      </c>
      <c r="J1401" t="n">
        <v>0</v>
      </c>
      <c r="K1401">
        <f>IF(H1401-I1401-J1401&gt;0,H1401-I1401-J1401,0)</f>
        <v/>
      </c>
      <c r="L1401" s="1">
        <f>IFERROR(I1401*E1401,0)</f>
        <v/>
      </c>
      <c r="M1401" s="1">
        <f>IFERROR(K1401*E1401,0)</f>
        <v/>
      </c>
    </row>
    <row r="1402">
      <c r="A1402" t="inlineStr">
        <is>
          <t>PRPFAN822</t>
        </is>
      </c>
      <c r="B1402" t="inlineStr">
        <is>
          <t>FAC30/4 Propeller Fan</t>
        </is>
      </c>
      <c r="C1402" t="inlineStr">
        <is>
          <t>CFW Fans (Pty) Ltd</t>
        </is>
      </c>
      <c r="D1402" t="inlineStr"/>
      <c r="E1402" s="1" t="n">
        <v>1447.5</v>
      </c>
      <c r="F1402" t="n">
        <v>1</v>
      </c>
      <c r="G1402" t="n">
        <v>0</v>
      </c>
      <c r="H1402" t="n">
        <v>3</v>
      </c>
      <c r="I1402" t="n">
        <v>0</v>
      </c>
      <c r="J1402" t="n">
        <v>0</v>
      </c>
      <c r="K1402">
        <f>IF(H1402-I1402-J1402&gt;0,H1402-I1402-J1402,0)</f>
        <v/>
      </c>
      <c r="L1402" s="1">
        <f>IFERROR(I1402*E1402,0)</f>
        <v/>
      </c>
      <c r="M1402" s="1">
        <f>IFERROR(K1402*E1402,0)</f>
        <v/>
      </c>
    </row>
    <row r="1403">
      <c r="A1403" t="inlineStr">
        <is>
          <t>PVT/30</t>
        </is>
      </c>
      <c r="B1403" t="inlineStr">
        <is>
          <t>PVT/30 c/w 380W 2800RPM 220V</t>
        </is>
      </c>
      <c r="C1403" t="inlineStr">
        <is>
          <t>Luft Industries Natal (Pty) Ltd</t>
        </is>
      </c>
      <c r="D1403" t="inlineStr"/>
      <c r="E1403" s="1" t="n">
        <v>537.5</v>
      </c>
      <c r="F1403" t="n">
        <v>1</v>
      </c>
      <c r="G1403" t="n">
        <v>0</v>
      </c>
      <c r="H1403" t="n">
        <v>2</v>
      </c>
      <c r="I1403" t="n">
        <v>0</v>
      </c>
      <c r="J1403" t="n">
        <v>0</v>
      </c>
      <c r="K1403">
        <f>IF(H1403-I1403-J1403&gt;0,H1403-I1403-J1403,0)</f>
        <v/>
      </c>
      <c r="L1403" s="1">
        <f>IFERROR(I1403*E1403,0)</f>
        <v/>
      </c>
      <c r="M1403" s="1">
        <f>IFERROR(K1403*E1403,0)</f>
        <v/>
      </c>
    </row>
    <row r="1404">
      <c r="A1404" t="inlineStr">
        <is>
          <t>PVT/50</t>
        </is>
      </c>
      <c r="B1404" t="inlineStr">
        <is>
          <t>PVT /50 c/w 2.2KkW 2800RPM 220V</t>
        </is>
      </c>
      <c r="C1404" t="inlineStr">
        <is>
          <t>Bluetech Fans (Pty) Ltd</t>
        </is>
      </c>
      <c r="D1404" t="inlineStr"/>
      <c r="E1404" s="1" t="n">
        <v>2965.69</v>
      </c>
      <c r="F1404" t="n">
        <v>1</v>
      </c>
      <c r="G1404" t="n">
        <v>0</v>
      </c>
      <c r="H1404" t="n">
        <v>3</v>
      </c>
      <c r="I1404" t="n">
        <v>0</v>
      </c>
      <c r="J1404" t="n">
        <v>0</v>
      </c>
      <c r="K1404">
        <f>IF(H1404-I1404-J1404&gt;0,H1404-I1404-J1404,0)</f>
        <v/>
      </c>
      <c r="L1404" s="1">
        <f>IFERROR(I1404*E1404,0)</f>
        <v/>
      </c>
      <c r="M1404" s="1">
        <f>IFERROR(K1404*E1404,0)</f>
        <v/>
      </c>
    </row>
    <row r="1405">
      <c r="A1405" t="inlineStr">
        <is>
          <t>PWT PI150 0R7G3Z</t>
        </is>
      </c>
      <c r="B1405" t="inlineStr">
        <is>
          <t>PI150 VSD 0.75KW 380V IP20 BRK</t>
        </is>
      </c>
      <c r="C1405" t="inlineStr">
        <is>
          <t>Bearing Man Group</t>
        </is>
      </c>
      <c r="D1405" t="inlineStr"/>
      <c r="E1405" s="1" t="n">
        <v>3808.9</v>
      </c>
      <c r="F1405" t="n">
        <v>1</v>
      </c>
      <c r="G1405" t="n">
        <v>0</v>
      </c>
      <c r="H1405" t="n">
        <v>5</v>
      </c>
      <c r="I1405" t="n">
        <v>0</v>
      </c>
      <c r="J1405" t="n">
        <v>0</v>
      </c>
      <c r="K1405">
        <f>IF(H1405-I1405-J1405&gt;0,H1405-I1405-J1405,0)</f>
        <v/>
      </c>
      <c r="L1405" s="1">
        <f>IFERROR(I1405*E1405,0)</f>
        <v/>
      </c>
      <c r="M1405" s="1">
        <f>IFERROR(K1405*E1405,0)</f>
        <v/>
      </c>
    </row>
    <row r="1406">
      <c r="A1406" t="inlineStr">
        <is>
          <t>Partial Payment</t>
        </is>
      </c>
      <c r="B1406" t="inlineStr">
        <is>
          <t>Industrial fan - Partial Payment</t>
        </is>
      </c>
      <c r="C1406" t="inlineStr"/>
      <c r="D1406" t="inlineStr"/>
      <c r="E1406" s="1" t="n">
        <v>0</v>
      </c>
      <c r="F1406" t="n">
        <v>1</v>
      </c>
      <c r="G1406" t="n">
        <v>0</v>
      </c>
      <c r="H1406" t="n">
        <v>2</v>
      </c>
      <c r="I1406" t="n">
        <v>0</v>
      </c>
      <c r="J1406" t="n">
        <v>0</v>
      </c>
      <c r="K1406">
        <f>IF(H1406-I1406-J1406&gt;0,H1406-I1406-J1406,0)</f>
        <v/>
      </c>
      <c r="L1406" s="1">
        <f>IFERROR(I1406*E1406,0)</f>
        <v/>
      </c>
      <c r="M1406" s="1">
        <f>IFERROR(K1406*E1406,0)</f>
        <v/>
      </c>
    </row>
    <row r="1407">
      <c r="A1407" t="inlineStr">
        <is>
          <t>Pl Blades</t>
        </is>
      </c>
      <c r="B1407" t="inlineStr">
        <is>
          <t>Plastic Blades</t>
        </is>
      </c>
      <c r="C1407" t="inlineStr">
        <is>
          <t>CFW Fans (Pty) Ltd</t>
        </is>
      </c>
      <c r="D1407" t="inlineStr">
        <is>
          <t>FM - IMPELLER</t>
        </is>
      </c>
      <c r="E1407" s="1" t="n">
        <v>42</v>
      </c>
      <c r="F1407" t="n">
        <v>29</v>
      </c>
      <c r="G1407" t="n">
        <v>0</v>
      </c>
      <c r="H1407" t="n">
        <v>144</v>
      </c>
      <c r="I1407" t="n">
        <v>0</v>
      </c>
      <c r="J1407" t="n">
        <v>100</v>
      </c>
      <c r="K1407">
        <f>IF(H1407-I1407-J1407&gt;0,H1407-I1407-J1407,0)</f>
        <v/>
      </c>
      <c r="L1407" s="1">
        <f>IFERROR(I1407*E1407,0)</f>
        <v/>
      </c>
      <c r="M1407" s="1">
        <f>IFERROR(K1407*E1407,0)</f>
        <v/>
      </c>
    </row>
    <row r="1408">
      <c r="A1408" t="inlineStr">
        <is>
          <t>Pl Blanks</t>
        </is>
      </c>
      <c r="B1408" t="inlineStr">
        <is>
          <t>Plastic Blanks</t>
        </is>
      </c>
      <c r="C1408" t="inlineStr">
        <is>
          <t>CFW Fans (Pty) Ltd</t>
        </is>
      </c>
      <c r="D1408" t="inlineStr">
        <is>
          <t>FM - IMPELLER</t>
        </is>
      </c>
      <c r="E1408" s="1" t="n">
        <v>11</v>
      </c>
      <c r="F1408" t="n">
        <v>8</v>
      </c>
      <c r="G1408" t="n">
        <v>0</v>
      </c>
      <c r="H1408" t="n">
        <v>41</v>
      </c>
      <c r="I1408" t="n">
        <v>0</v>
      </c>
      <c r="J1408" t="n">
        <v>0</v>
      </c>
      <c r="K1408">
        <f>IF(H1408-I1408-J1408&gt;0,H1408-I1408-J1408,0)</f>
        <v/>
      </c>
      <c r="L1408" s="1">
        <f>IFERROR(I1408*E1408,0)</f>
        <v/>
      </c>
      <c r="M1408" s="1">
        <f>IFERROR(K1408*E1408,0)</f>
        <v/>
      </c>
    </row>
    <row r="1409">
      <c r="A1409" t="inlineStr">
        <is>
          <t>Plasma Cuts</t>
        </is>
      </c>
      <c r="B1409" t="inlineStr">
        <is>
          <t>Sheets cut(10), Plates cut(56) &amp; Ends Cut(60)</t>
        </is>
      </c>
      <c r="C1409" t="inlineStr">
        <is>
          <t>Intervent-Universal (Pty) Ltd</t>
        </is>
      </c>
      <c r="D1409" t="inlineStr"/>
      <c r="E1409" s="1" t="n">
        <v>5600</v>
      </c>
      <c r="F1409" t="n">
        <v>1</v>
      </c>
      <c r="G1409" t="n">
        <v>0</v>
      </c>
      <c r="H1409" t="n">
        <v>2</v>
      </c>
      <c r="I1409" t="n">
        <v>0</v>
      </c>
      <c r="J1409" t="n">
        <v>0</v>
      </c>
      <c r="K1409">
        <f>IF(H1409-I1409-J1409&gt;0,H1409-I1409-J1409,0)</f>
        <v/>
      </c>
      <c r="L1409" s="1">
        <f>IFERROR(I1409*E1409,0)</f>
        <v/>
      </c>
      <c r="M1409" s="1">
        <f>IFERROR(K1409*E1409,0)</f>
        <v/>
      </c>
    </row>
    <row r="1410">
      <c r="A1410" t="inlineStr">
        <is>
          <t>QCP-</t>
        </is>
      </c>
      <c r="B1410" t="inlineStr">
        <is>
          <t>Data Book</t>
        </is>
      </c>
      <c r="C1410" t="inlineStr"/>
      <c r="D1410" t="inlineStr"/>
      <c r="E1410" s="1" t="n">
        <v>0</v>
      </c>
      <c r="F1410" t="n">
        <v>1</v>
      </c>
      <c r="G1410" t="n">
        <v>0</v>
      </c>
      <c r="H1410" t="n">
        <v>2</v>
      </c>
      <c r="I1410" t="n">
        <v>0</v>
      </c>
      <c r="J1410" t="n">
        <v>0</v>
      </c>
      <c r="K1410">
        <f>IF(H1410-I1410-J1410&gt;0,H1410-I1410-J1410,0)</f>
        <v/>
      </c>
      <c r="L1410" s="1">
        <f>IFERROR(I1410*E1410,0)</f>
        <v/>
      </c>
      <c r="M1410" s="1">
        <f>IFERROR(K1410*E1410,0)</f>
        <v/>
      </c>
    </row>
    <row r="1411">
      <c r="A1411" t="inlineStr">
        <is>
          <t>QD GP 25LT</t>
        </is>
      </c>
      <c r="B1411" t="inlineStr">
        <is>
          <t>QD GREY PRIMER 25LT</t>
        </is>
      </c>
      <c r="C1411" t="inlineStr">
        <is>
          <t>MG AUTO PAINT (PTY) LTD</t>
        </is>
      </c>
      <c r="D1411" t="inlineStr">
        <is>
          <t>CONSUMABLES</t>
        </is>
      </c>
      <c r="E1411" s="1" t="n">
        <v>1173.91</v>
      </c>
      <c r="F1411" t="n">
        <v>1</v>
      </c>
      <c r="G1411" t="n">
        <v>0</v>
      </c>
      <c r="H1411" t="n">
        <v>2</v>
      </c>
      <c r="I1411" t="n">
        <v>0</v>
      </c>
      <c r="J1411" t="n">
        <v>0</v>
      </c>
      <c r="K1411">
        <f>IF(H1411-I1411-J1411&gt;0,H1411-I1411-J1411,0)</f>
        <v/>
      </c>
      <c r="L1411" s="1">
        <f>IFERROR(I1411*E1411,0)</f>
        <v/>
      </c>
      <c r="M1411" s="1">
        <f>IFERROR(K1411*E1411,0)</f>
        <v/>
      </c>
    </row>
    <row r="1412">
      <c r="A1412" t="inlineStr">
        <is>
          <t>QD GP 5LT</t>
        </is>
      </c>
      <c r="B1412" t="inlineStr">
        <is>
          <t>QD GREY PRIMER 5LT</t>
        </is>
      </c>
      <c r="C1412" t="inlineStr">
        <is>
          <t>MG AUTO PAINT (PTY) LTD</t>
        </is>
      </c>
      <c r="D1412" t="inlineStr"/>
      <c r="E1412" s="1" t="n">
        <v>243.48</v>
      </c>
      <c r="F1412" t="n">
        <v>1</v>
      </c>
      <c r="G1412" t="n">
        <v>0</v>
      </c>
      <c r="H1412" t="n">
        <v>2</v>
      </c>
      <c r="I1412" t="n">
        <v>0</v>
      </c>
      <c r="J1412" t="n">
        <v>0</v>
      </c>
      <c r="K1412">
        <f>IF(H1412-I1412-J1412&gt;0,H1412-I1412-J1412,0)</f>
        <v/>
      </c>
      <c r="L1412" s="1">
        <f>IFERROR(I1412*E1412,0)</f>
        <v/>
      </c>
      <c r="M1412" s="1">
        <f>IFERROR(K1412*E1412,0)</f>
        <v/>
      </c>
    </row>
    <row r="1413">
      <c r="A1413" t="inlineStr">
        <is>
          <t>QD MIX 25LT</t>
        </is>
      </c>
      <c r="B1413" t="inlineStr">
        <is>
          <t>QD MIX 25LT MINES GREY</t>
        </is>
      </c>
      <c r="C1413" t="inlineStr">
        <is>
          <t>MG AUTO PAINT (PTY) LTD</t>
        </is>
      </c>
      <c r="D1413" t="inlineStr">
        <is>
          <t>CONSUMABLES</t>
        </is>
      </c>
      <c r="E1413" s="1" t="n">
        <v>1691.3</v>
      </c>
      <c r="F1413" t="n">
        <v>1</v>
      </c>
      <c r="G1413" t="n">
        <v>0</v>
      </c>
      <c r="H1413" t="n">
        <v>2</v>
      </c>
      <c r="I1413" t="n">
        <v>0</v>
      </c>
      <c r="J1413" t="n">
        <v>0</v>
      </c>
      <c r="K1413">
        <f>IF(H1413-I1413-J1413&gt;0,H1413-I1413-J1413,0)</f>
        <v/>
      </c>
      <c r="L1413" s="1">
        <f>IFERROR(I1413*E1413,0)</f>
        <v/>
      </c>
      <c r="M1413" s="1">
        <f>IFERROR(K1413*E1413,0)</f>
        <v/>
      </c>
    </row>
    <row r="1414">
      <c r="A1414" t="inlineStr">
        <is>
          <t>RA</t>
        </is>
      </c>
      <c r="B1414" t="inlineStr">
        <is>
          <t>1500x600x850 long Rectangular Attenuator</t>
        </is>
      </c>
      <c r="C1414" t="inlineStr">
        <is>
          <t>Attenu-Tec</t>
        </is>
      </c>
      <c r="D1414" t="inlineStr"/>
      <c r="E1414" s="1" t="n">
        <v>7907</v>
      </c>
      <c r="F1414" t="n">
        <v>7</v>
      </c>
      <c r="G1414" t="n">
        <v>0</v>
      </c>
      <c r="H1414" t="n">
        <v>19</v>
      </c>
      <c r="I1414" t="n">
        <v>0</v>
      </c>
      <c r="J1414" t="n">
        <v>0</v>
      </c>
      <c r="K1414">
        <f>IF(H1414-I1414-J1414&gt;0,H1414-I1414-J1414,0)</f>
        <v/>
      </c>
      <c r="L1414" s="1">
        <f>IFERROR(I1414*E1414,0)</f>
        <v/>
      </c>
      <c r="M1414" s="1">
        <f>IFERROR(K1414*E1414,0)</f>
        <v/>
      </c>
    </row>
    <row r="1415">
      <c r="A1415" t="inlineStr">
        <is>
          <t>RAD100</t>
        </is>
      </c>
      <c r="B1415" t="inlineStr">
        <is>
          <t>RAD 100</t>
        </is>
      </c>
      <c r="C1415" t="inlineStr">
        <is>
          <t>Kayites</t>
        </is>
      </c>
      <c r="D1415" t="inlineStr">
        <is>
          <t>FM - KAYITES</t>
        </is>
      </c>
      <c r="E1415" s="1" t="n">
        <v>460.87</v>
      </c>
      <c r="F1415" t="n">
        <v>1</v>
      </c>
      <c r="G1415" t="n">
        <v>0</v>
      </c>
      <c r="H1415" t="n">
        <v>4</v>
      </c>
      <c r="I1415" t="n">
        <v>0</v>
      </c>
      <c r="J1415" t="n">
        <v>0</v>
      </c>
      <c r="K1415">
        <f>IF(H1415-I1415-J1415&gt;0,H1415-I1415-J1415,0)</f>
        <v/>
      </c>
      <c r="L1415" s="1">
        <f>IFERROR(I1415*E1415,0)</f>
        <v/>
      </c>
      <c r="M1415" s="1">
        <f>IFERROR(K1415*E1415,0)</f>
        <v/>
      </c>
    </row>
    <row r="1416">
      <c r="A1416" t="inlineStr">
        <is>
          <t>RAD125</t>
        </is>
      </c>
      <c r="B1416" t="inlineStr">
        <is>
          <t>RAD 125</t>
        </is>
      </c>
      <c r="C1416" t="inlineStr">
        <is>
          <t>Kayites</t>
        </is>
      </c>
      <c r="D1416" t="inlineStr">
        <is>
          <t>FM - KAYITES</t>
        </is>
      </c>
      <c r="E1416" s="1" t="n">
        <v>516.49</v>
      </c>
      <c r="F1416" t="n">
        <v>1</v>
      </c>
      <c r="G1416" t="n">
        <v>0</v>
      </c>
      <c r="H1416" t="n">
        <v>4</v>
      </c>
      <c r="I1416" t="n">
        <v>0</v>
      </c>
      <c r="J1416" t="n">
        <v>0</v>
      </c>
      <c r="K1416">
        <f>IF(H1416-I1416-J1416&gt;0,H1416-I1416-J1416,0)</f>
        <v/>
      </c>
      <c r="L1416" s="1">
        <f>IFERROR(I1416*E1416,0)</f>
        <v/>
      </c>
      <c r="M1416" s="1">
        <f>IFERROR(K1416*E1416,0)</f>
        <v/>
      </c>
    </row>
    <row r="1417">
      <c r="A1417" t="inlineStr">
        <is>
          <t>RAD150</t>
        </is>
      </c>
      <c r="B1417" t="inlineStr">
        <is>
          <t>RAD 150</t>
        </is>
      </c>
      <c r="C1417" t="inlineStr">
        <is>
          <t>Kayites</t>
        </is>
      </c>
      <c r="D1417" t="inlineStr">
        <is>
          <t>FM - KAYITES</t>
        </is>
      </c>
      <c r="E1417" s="1" t="n">
        <v>517.79</v>
      </c>
      <c r="F1417" t="n">
        <v>2</v>
      </c>
      <c r="G1417" t="n">
        <v>0</v>
      </c>
      <c r="H1417" t="n">
        <v>9</v>
      </c>
      <c r="I1417" t="n">
        <v>0</v>
      </c>
      <c r="J1417" t="n">
        <v>0</v>
      </c>
      <c r="K1417">
        <f>IF(H1417-I1417-J1417&gt;0,H1417-I1417-J1417,0)</f>
        <v/>
      </c>
      <c r="L1417" s="1">
        <f>IFERROR(I1417*E1417,0)</f>
        <v/>
      </c>
      <c r="M1417" s="1">
        <f>IFERROR(K1417*E1417,0)</f>
        <v/>
      </c>
    </row>
    <row r="1418">
      <c r="A1418" t="inlineStr">
        <is>
          <t>RAD200</t>
        </is>
      </c>
      <c r="B1418" t="inlineStr">
        <is>
          <t>RAD 200</t>
        </is>
      </c>
      <c r="C1418" t="inlineStr">
        <is>
          <t>Kayites</t>
        </is>
      </c>
      <c r="D1418" t="inlineStr">
        <is>
          <t>FM - KAYITES</t>
        </is>
      </c>
      <c r="E1418" s="1" t="n">
        <v>706.0700000000001</v>
      </c>
      <c r="F1418" t="n">
        <v>4</v>
      </c>
      <c r="G1418" t="n">
        <v>0</v>
      </c>
      <c r="H1418" t="n">
        <v>16</v>
      </c>
      <c r="I1418" t="n">
        <v>0</v>
      </c>
      <c r="J1418" t="n">
        <v>0</v>
      </c>
      <c r="K1418">
        <f>IF(H1418-I1418-J1418&gt;0,H1418-I1418-J1418,0)</f>
        <v/>
      </c>
      <c r="L1418" s="1">
        <f>IFERROR(I1418*E1418,0)</f>
        <v/>
      </c>
      <c r="M1418" s="1">
        <f>IFERROR(K1418*E1418,0)</f>
        <v/>
      </c>
    </row>
    <row r="1419">
      <c r="A1419" t="inlineStr">
        <is>
          <t>RAD250</t>
        </is>
      </c>
      <c r="B1419" t="inlineStr">
        <is>
          <t>RAD 250</t>
        </is>
      </c>
      <c r="C1419" t="inlineStr">
        <is>
          <t>Kayites</t>
        </is>
      </c>
      <c r="D1419" t="inlineStr">
        <is>
          <t>FM - KAYITES</t>
        </is>
      </c>
      <c r="E1419" s="1" t="n">
        <v>776.6799999999999</v>
      </c>
      <c r="F1419" t="n">
        <v>2</v>
      </c>
      <c r="G1419" t="n">
        <v>0</v>
      </c>
      <c r="H1419" t="n">
        <v>12</v>
      </c>
      <c r="I1419" t="n">
        <v>0</v>
      </c>
      <c r="J1419" t="n">
        <v>0</v>
      </c>
      <c r="K1419">
        <f>IF(H1419-I1419-J1419&gt;0,H1419-I1419-J1419,0)</f>
        <v/>
      </c>
      <c r="L1419" s="1">
        <f>IFERROR(I1419*E1419,0)</f>
        <v/>
      </c>
      <c r="M1419" s="1">
        <f>IFERROR(K1419*E1419,0)</f>
        <v/>
      </c>
    </row>
    <row r="1420">
      <c r="A1420" t="inlineStr">
        <is>
          <t>RAD315</t>
        </is>
      </c>
      <c r="B1420" t="inlineStr">
        <is>
          <t>RAD 315</t>
        </is>
      </c>
      <c r="C1420" t="inlineStr">
        <is>
          <t>Kayites</t>
        </is>
      </c>
      <c r="D1420" t="inlineStr">
        <is>
          <t>FM - KAYITES</t>
        </is>
      </c>
      <c r="E1420" s="1" t="n">
        <v>941.4299999999999</v>
      </c>
      <c r="F1420" t="n">
        <v>4</v>
      </c>
      <c r="G1420" t="n">
        <v>0</v>
      </c>
      <c r="H1420" t="n">
        <v>16</v>
      </c>
      <c r="I1420" t="n">
        <v>0</v>
      </c>
      <c r="J1420" t="n">
        <v>0</v>
      </c>
      <c r="K1420">
        <f>IF(H1420-I1420-J1420&gt;0,H1420-I1420-J1420,0)</f>
        <v/>
      </c>
      <c r="L1420" s="1">
        <f>IFERROR(I1420*E1420,0)</f>
        <v/>
      </c>
      <c r="M1420" s="1">
        <f>IFERROR(K1420*E1420,0)</f>
        <v/>
      </c>
    </row>
    <row r="1421">
      <c r="A1421" t="inlineStr">
        <is>
          <t>RAD355</t>
        </is>
      </c>
      <c r="B1421" t="inlineStr">
        <is>
          <t>RAD 355</t>
        </is>
      </c>
      <c r="C1421" t="inlineStr">
        <is>
          <t>Kayites</t>
        </is>
      </c>
      <c r="D1421" t="inlineStr">
        <is>
          <t>FM - KAYITES</t>
        </is>
      </c>
      <c r="E1421" s="1" t="n">
        <v>1684.24</v>
      </c>
      <c r="F1421" t="n">
        <v>2</v>
      </c>
      <c r="G1421" t="n">
        <v>0</v>
      </c>
      <c r="H1421" t="n">
        <v>7</v>
      </c>
      <c r="I1421" t="n">
        <v>0</v>
      </c>
      <c r="J1421" t="n">
        <v>0</v>
      </c>
      <c r="K1421">
        <f>IF(H1421-I1421-J1421&gt;0,H1421-I1421-J1421,0)</f>
        <v/>
      </c>
      <c r="L1421" s="1">
        <f>IFERROR(I1421*E1421,0)</f>
        <v/>
      </c>
      <c r="M1421" s="1">
        <f>IFERROR(K1421*E1421,0)</f>
        <v/>
      </c>
    </row>
    <row r="1422">
      <c r="A1422" t="inlineStr">
        <is>
          <t>REC10050</t>
        </is>
      </c>
      <c r="B1422" t="inlineStr">
        <is>
          <t>REC 100-50</t>
        </is>
      </c>
      <c r="C1422" t="inlineStr">
        <is>
          <t>Kayites</t>
        </is>
      </c>
      <c r="D1422" t="inlineStr">
        <is>
          <t>FM - KAYITES</t>
        </is>
      </c>
      <c r="E1422" s="1" t="n">
        <v>10123.17</v>
      </c>
      <c r="F1422" t="n">
        <v>1</v>
      </c>
      <c r="G1422" t="n">
        <v>0</v>
      </c>
      <c r="H1422" t="n">
        <v>3</v>
      </c>
      <c r="I1422" t="n">
        <v>0</v>
      </c>
      <c r="J1422" t="n">
        <v>0</v>
      </c>
      <c r="K1422">
        <f>IF(H1422-I1422-J1422&gt;0,H1422-I1422-J1422,0)</f>
        <v/>
      </c>
      <c r="L1422" s="1">
        <f>IFERROR(I1422*E1422,0)</f>
        <v/>
      </c>
      <c r="M1422" s="1">
        <f>IFERROR(K1422*E1422,0)</f>
        <v/>
      </c>
    </row>
    <row r="1423">
      <c r="A1423" t="inlineStr">
        <is>
          <t>REC5025</t>
        </is>
      </c>
      <c r="B1423" t="inlineStr">
        <is>
          <t>REC 50-25</t>
        </is>
      </c>
      <c r="C1423" t="inlineStr">
        <is>
          <t>Kayites</t>
        </is>
      </c>
      <c r="D1423" t="inlineStr">
        <is>
          <t>FM - KAYITES</t>
        </is>
      </c>
      <c r="E1423" s="1" t="n">
        <v>989.28</v>
      </c>
      <c r="F1423" t="n">
        <v>1</v>
      </c>
      <c r="G1423" t="n">
        <v>0</v>
      </c>
      <c r="H1423" t="n">
        <v>3</v>
      </c>
      <c r="I1423" t="n">
        <v>0</v>
      </c>
      <c r="J1423" t="n">
        <v>0</v>
      </c>
      <c r="K1423">
        <f>IF(H1423-I1423-J1423&gt;0,H1423-I1423-J1423,0)</f>
        <v/>
      </c>
      <c r="L1423" s="1">
        <f>IFERROR(I1423*E1423,0)</f>
        <v/>
      </c>
      <c r="M1423" s="1">
        <f>IFERROR(K1423*E1423,0)</f>
        <v/>
      </c>
    </row>
    <row r="1424">
      <c r="A1424" t="inlineStr">
        <is>
          <t>REC6035</t>
        </is>
      </c>
      <c r="B1424" t="inlineStr">
        <is>
          <t>REC 60-35</t>
        </is>
      </c>
      <c r="C1424" t="inlineStr">
        <is>
          <t>Kayites</t>
        </is>
      </c>
      <c r="D1424" t="inlineStr">
        <is>
          <t>FM - KAYITES</t>
        </is>
      </c>
      <c r="E1424" s="1" t="n">
        <v>3603.38</v>
      </c>
      <c r="F1424" t="n">
        <v>1</v>
      </c>
      <c r="G1424" t="n">
        <v>0</v>
      </c>
      <c r="H1424" t="n">
        <v>2</v>
      </c>
      <c r="I1424" t="n">
        <v>0</v>
      </c>
      <c r="J1424" t="n">
        <v>0</v>
      </c>
      <c r="K1424">
        <f>IF(H1424-I1424-J1424&gt;0,H1424-I1424-J1424,0)</f>
        <v/>
      </c>
      <c r="L1424" s="1">
        <f>IFERROR(I1424*E1424,0)</f>
        <v/>
      </c>
      <c r="M1424" s="1">
        <f>IFERROR(K1424*E1424,0)</f>
        <v/>
      </c>
    </row>
    <row r="1425">
      <c r="A1425" t="inlineStr">
        <is>
          <t>REC7040</t>
        </is>
      </c>
      <c r="B1425" t="inlineStr">
        <is>
          <t>REC 70-40</t>
        </is>
      </c>
      <c r="C1425" t="inlineStr">
        <is>
          <t>Kayites</t>
        </is>
      </c>
      <c r="D1425" t="inlineStr">
        <is>
          <t>FM - KAYITES</t>
        </is>
      </c>
      <c r="E1425" s="1" t="n">
        <v>4569.86</v>
      </c>
      <c r="F1425" t="n">
        <v>1</v>
      </c>
      <c r="G1425" t="n">
        <v>0</v>
      </c>
      <c r="H1425" t="n">
        <v>2</v>
      </c>
      <c r="I1425" t="n">
        <v>0</v>
      </c>
      <c r="J1425" t="n">
        <v>0</v>
      </c>
      <c r="K1425">
        <f>IF(H1425-I1425-J1425&gt;0,H1425-I1425-J1425,0)</f>
        <v/>
      </c>
      <c r="L1425" s="1">
        <f>IFERROR(I1425*E1425,0)</f>
        <v/>
      </c>
      <c r="M1425" s="1">
        <f>IFERROR(K1425*E1425,0)</f>
        <v/>
      </c>
    </row>
    <row r="1426">
      <c r="A1426" t="inlineStr">
        <is>
          <t>RECT ATT</t>
        </is>
      </c>
      <c r="B1426" t="inlineStr">
        <is>
          <t>1100 X 1100 and 1500mm Long</t>
        </is>
      </c>
      <c r="C1426" t="inlineStr">
        <is>
          <t>Attenu-Tec</t>
        </is>
      </c>
      <c r="D1426" t="inlineStr"/>
      <c r="E1426" s="1" t="n">
        <v>2985</v>
      </c>
      <c r="F1426" t="n">
        <v>9</v>
      </c>
      <c r="G1426" t="n">
        <v>0</v>
      </c>
      <c r="H1426" t="n">
        <v>45</v>
      </c>
      <c r="I1426" t="n">
        <v>0</v>
      </c>
      <c r="J1426" t="n">
        <v>0</v>
      </c>
      <c r="K1426">
        <f>IF(H1426-I1426-J1426&gt;0,H1426-I1426-J1426,0)</f>
        <v/>
      </c>
      <c r="L1426" s="1">
        <f>IFERROR(I1426*E1426,0)</f>
        <v/>
      </c>
      <c r="M1426" s="1">
        <f>IFERROR(K1426*E1426,0)</f>
        <v/>
      </c>
    </row>
    <row r="1427">
      <c r="A1427" t="inlineStr">
        <is>
          <t>REFURBISHING</t>
        </is>
      </c>
      <c r="B1427" t="inlineStr">
        <is>
          <t>FAN REFURBISHMENT</t>
        </is>
      </c>
      <c r="C1427" t="inlineStr"/>
      <c r="D1427" t="inlineStr"/>
      <c r="E1427" s="1" t="n">
        <v>0</v>
      </c>
      <c r="F1427" t="n">
        <v>1</v>
      </c>
      <c r="G1427" t="n">
        <v>0</v>
      </c>
      <c r="H1427" t="n">
        <v>2</v>
      </c>
      <c r="I1427" t="n">
        <v>0</v>
      </c>
      <c r="J1427" t="n">
        <v>0</v>
      </c>
      <c r="K1427">
        <f>IF(H1427-I1427-J1427&gt;0,H1427-I1427-J1427,0)</f>
        <v/>
      </c>
      <c r="L1427" s="1">
        <f>IFERROR(I1427*E1427,0)</f>
        <v/>
      </c>
      <c r="M1427" s="1">
        <f>IFERROR(K1427*E1427,0)</f>
        <v/>
      </c>
    </row>
    <row r="1428">
      <c r="A1428" t="inlineStr">
        <is>
          <t>RENTAL</t>
        </is>
      </c>
      <c r="B1428" t="inlineStr">
        <is>
          <t>RENTAL</t>
        </is>
      </c>
      <c r="C1428" t="inlineStr">
        <is>
          <t>Stand 231 Alrode South CC</t>
        </is>
      </c>
      <c r="D1428" t="inlineStr"/>
      <c r="E1428" s="1" t="n">
        <v>41745.45</v>
      </c>
      <c r="F1428" t="n">
        <v>1</v>
      </c>
      <c r="G1428" t="n">
        <v>0</v>
      </c>
      <c r="H1428" t="n">
        <v>2</v>
      </c>
      <c r="I1428" t="n">
        <v>0</v>
      </c>
      <c r="J1428" t="n">
        <v>0</v>
      </c>
      <c r="K1428">
        <f>IF(H1428-I1428-J1428&gt;0,H1428-I1428-J1428,0)</f>
        <v/>
      </c>
      <c r="L1428" s="1">
        <f>IFERROR(I1428*E1428,0)</f>
        <v/>
      </c>
      <c r="M1428" s="1">
        <f>IFERROR(K1428*E1428,0)</f>
        <v/>
      </c>
    </row>
    <row r="1429">
      <c r="A1429" t="inlineStr">
        <is>
          <t>REPAIR-BLADE</t>
        </is>
      </c>
      <c r="B1429" t="inlineStr">
        <is>
          <t>315 X 70 Wide Radical Bladed Fan - Existing Inlet ring removed - New one Manufactured &amp; re-assembled</t>
        </is>
      </c>
      <c r="C1429" t="inlineStr">
        <is>
          <t>Airtec Fans &amp; Engineering</t>
        </is>
      </c>
      <c r="D1429" t="inlineStr">
        <is>
          <t>CONSUMABLES</t>
        </is>
      </c>
      <c r="E1429" s="1" t="n">
        <v>1625</v>
      </c>
      <c r="F1429" t="n">
        <v>1</v>
      </c>
      <c r="G1429" t="n">
        <v>0</v>
      </c>
      <c r="H1429" t="n">
        <v>2</v>
      </c>
      <c r="I1429" t="n">
        <v>0</v>
      </c>
      <c r="J1429" t="n">
        <v>0</v>
      </c>
      <c r="K1429">
        <f>IF(H1429-I1429-J1429&gt;0,H1429-I1429-J1429,0)</f>
        <v/>
      </c>
      <c r="L1429" s="1">
        <f>IFERROR(I1429*E1429,0)</f>
        <v/>
      </c>
      <c r="M1429" s="1">
        <f>IFERROR(K1429*E1429,0)</f>
        <v/>
      </c>
    </row>
    <row r="1430">
      <c r="A1430" t="inlineStr">
        <is>
          <t>RIGM6</t>
        </is>
      </c>
      <c r="B1430" t="inlineStr">
        <is>
          <t>RIGID POC FILTERS 600X600X600 M6 6POC</t>
        </is>
      </c>
      <c r="C1430" t="inlineStr">
        <is>
          <t>Filtermac Design ( Pty) Ltd</t>
        </is>
      </c>
      <c r="D1430" t="inlineStr"/>
      <c r="E1430" s="1" t="n">
        <v>1050</v>
      </c>
      <c r="F1430" t="n">
        <v>13</v>
      </c>
      <c r="G1430" t="n">
        <v>0</v>
      </c>
      <c r="H1430" t="n">
        <v>45</v>
      </c>
      <c r="I1430" t="n">
        <v>0</v>
      </c>
      <c r="J1430" t="n">
        <v>0</v>
      </c>
      <c r="K1430">
        <f>IF(H1430-I1430-J1430&gt;0,H1430-I1430-J1430,0)</f>
        <v/>
      </c>
      <c r="L1430" s="1">
        <f>IFERROR(I1430*E1430,0)</f>
        <v/>
      </c>
      <c r="M1430" s="1">
        <f>IFERROR(K1430*E1430,0)</f>
        <v/>
      </c>
    </row>
    <row r="1431">
      <c r="A1431" t="inlineStr">
        <is>
          <t>RS1-400</t>
        </is>
      </c>
      <c r="B1431" t="inlineStr">
        <is>
          <t>Controller 1.8 amp ( Excl.J.Box)</t>
        </is>
      </c>
      <c r="C1431" t="inlineStr">
        <is>
          <t>Luft Industries Natal (Pty) Ltd</t>
        </is>
      </c>
      <c r="D1431" t="inlineStr"/>
      <c r="E1431" s="1" t="n">
        <v>0</v>
      </c>
      <c r="F1431" t="n">
        <v>4</v>
      </c>
      <c r="G1431" t="n">
        <v>0</v>
      </c>
      <c r="H1431" t="n">
        <v>22</v>
      </c>
      <c r="I1431" t="n">
        <v>0</v>
      </c>
      <c r="J1431" t="n">
        <v>0</v>
      </c>
      <c r="K1431">
        <f>IF(H1431-I1431-J1431&gt;0,H1431-I1431-J1431,0)</f>
        <v/>
      </c>
      <c r="L1431" s="1">
        <f>IFERROR(I1431*E1431,0)</f>
        <v/>
      </c>
      <c r="M1431" s="1">
        <f>IFERROR(K1431*E1431,0)</f>
        <v/>
      </c>
    </row>
    <row r="1432">
      <c r="A1432" t="inlineStr">
        <is>
          <t>RT1.25-4S</t>
        </is>
      </c>
      <c r="B1432" t="inlineStr">
        <is>
          <t>Red Ring Terminal 4mm Stud</t>
        </is>
      </c>
      <c r="C1432" t="inlineStr">
        <is>
          <t>Cabrical (Pty) Ltd</t>
        </is>
      </c>
      <c r="D1432" t="inlineStr"/>
      <c r="E1432" s="1" t="n">
        <v>0.63</v>
      </c>
      <c r="F1432" t="n">
        <v>200</v>
      </c>
      <c r="G1432" t="n">
        <v>0</v>
      </c>
      <c r="H1432" t="n">
        <v>1000</v>
      </c>
      <c r="I1432" t="n">
        <v>0</v>
      </c>
      <c r="J1432" t="n">
        <v>0</v>
      </c>
      <c r="K1432">
        <f>IF(H1432-I1432-J1432&gt;0,H1432-I1432-J1432,0)</f>
        <v/>
      </c>
      <c r="L1432" s="1">
        <f>IFERROR(I1432*E1432,0)</f>
        <v/>
      </c>
      <c r="M1432" s="1">
        <f>IFERROR(K1432*E1432,0)</f>
        <v/>
      </c>
    </row>
    <row r="1433">
      <c r="A1433" t="inlineStr">
        <is>
          <t>RT1.25-5S</t>
        </is>
      </c>
      <c r="B1433" t="inlineStr">
        <is>
          <t>Red Ring Terminal 5mm Stud</t>
        </is>
      </c>
      <c r="C1433" t="inlineStr">
        <is>
          <t>Cabrical (Pty) Ltd</t>
        </is>
      </c>
      <c r="D1433" t="inlineStr"/>
      <c r="E1433" s="1" t="n">
        <v>0.7</v>
      </c>
      <c r="F1433" t="n">
        <v>200</v>
      </c>
      <c r="G1433" t="n">
        <v>0</v>
      </c>
      <c r="H1433" t="n">
        <v>1000</v>
      </c>
      <c r="I1433" t="n">
        <v>0</v>
      </c>
      <c r="J1433" t="n">
        <v>0</v>
      </c>
      <c r="K1433">
        <f>IF(H1433-I1433-J1433&gt;0,H1433-I1433-J1433,0)</f>
        <v/>
      </c>
      <c r="L1433" s="1">
        <f>IFERROR(I1433*E1433,0)</f>
        <v/>
      </c>
      <c r="M1433" s="1">
        <f>IFERROR(K1433*E1433,0)</f>
        <v/>
      </c>
    </row>
    <row r="1434">
      <c r="A1434" t="inlineStr">
        <is>
          <t>RT1.25-6S</t>
        </is>
      </c>
      <c r="B1434" t="inlineStr">
        <is>
          <t>Red Ring Terminal 6mm Stud</t>
        </is>
      </c>
      <c r="C1434" t="inlineStr">
        <is>
          <t>Cabrical (Pty) Ltd</t>
        </is>
      </c>
      <c r="D1434" t="inlineStr"/>
      <c r="E1434" s="1" t="n">
        <v>0.91</v>
      </c>
      <c r="F1434" t="n">
        <v>200</v>
      </c>
      <c r="G1434" t="n">
        <v>0</v>
      </c>
      <c r="H1434" t="n">
        <v>1000</v>
      </c>
      <c r="I1434" t="n">
        <v>0</v>
      </c>
      <c r="J1434" t="n">
        <v>0</v>
      </c>
      <c r="K1434">
        <f>IF(H1434-I1434-J1434&gt;0,H1434-I1434-J1434,0)</f>
        <v/>
      </c>
      <c r="L1434" s="1">
        <f>IFERROR(I1434*E1434,0)</f>
        <v/>
      </c>
      <c r="M1434" s="1">
        <f>IFERROR(K1434*E1434,0)</f>
        <v/>
      </c>
    </row>
    <row r="1435">
      <c r="A1435" t="inlineStr">
        <is>
          <t>RTube-25x1.9-6M</t>
        </is>
      </c>
      <c r="B1435" t="inlineStr">
        <is>
          <t>Round Tube 25x1.9-6M</t>
        </is>
      </c>
      <c r="C1435" t="inlineStr">
        <is>
          <t>NJR STEEL - ALRODE (PTY) LTD</t>
        </is>
      </c>
      <c r="D1435" t="inlineStr"/>
      <c r="E1435" s="1" t="n">
        <v>99.25</v>
      </c>
      <c r="F1435" t="n">
        <v>1</v>
      </c>
      <c r="G1435" t="n">
        <v>0</v>
      </c>
      <c r="H1435" t="n">
        <v>2</v>
      </c>
      <c r="I1435" t="n">
        <v>0</v>
      </c>
      <c r="J1435" t="n">
        <v>0</v>
      </c>
      <c r="K1435">
        <f>IF(H1435-I1435-J1435&gt;0,H1435-I1435-J1435,0)</f>
        <v/>
      </c>
      <c r="L1435" s="1">
        <f>IFERROR(I1435*E1435,0)</f>
        <v/>
      </c>
      <c r="M1435" s="1">
        <f>IFERROR(K1435*E1435,0)</f>
        <v/>
      </c>
    </row>
    <row r="1436">
      <c r="A1436" t="inlineStr">
        <is>
          <t>RTube-32x1.9-6M</t>
        </is>
      </c>
      <c r="B1436" t="inlineStr">
        <is>
          <t>Round Tube 32x1.9-6M</t>
        </is>
      </c>
      <c r="C1436" t="inlineStr">
        <is>
          <t>NJR STEEL - ALRODE (PTY) LTD</t>
        </is>
      </c>
      <c r="D1436" t="inlineStr"/>
      <c r="E1436" s="1" t="n">
        <v>129.4</v>
      </c>
      <c r="F1436" t="n">
        <v>2</v>
      </c>
      <c r="G1436" t="n">
        <v>0</v>
      </c>
      <c r="H1436" t="n">
        <v>8</v>
      </c>
      <c r="I1436" t="n">
        <v>0</v>
      </c>
      <c r="J1436" t="n">
        <v>0</v>
      </c>
      <c r="K1436">
        <f>IF(H1436-I1436-J1436&gt;0,H1436-I1436-J1436,0)</f>
        <v/>
      </c>
      <c r="L1436" s="1">
        <f>IFERROR(I1436*E1436,0)</f>
        <v/>
      </c>
      <c r="M1436" s="1">
        <f>IFERROR(K1436*E1436,0)</f>
        <v/>
      </c>
    </row>
    <row r="1437">
      <c r="A1437" t="inlineStr">
        <is>
          <t>RTube-38x1.9-6M</t>
        </is>
      </c>
      <c r="B1437" t="inlineStr">
        <is>
          <t>Round Tube 38x1.9-6M</t>
        </is>
      </c>
      <c r="C1437" t="inlineStr">
        <is>
          <t>NJR STEEL - ALRODE (PTY) LTD</t>
        </is>
      </c>
      <c r="D1437" t="inlineStr"/>
      <c r="E1437" s="1" t="n">
        <v>151.63</v>
      </c>
      <c r="F1437" t="n">
        <v>1</v>
      </c>
      <c r="G1437" t="n">
        <v>0</v>
      </c>
      <c r="H1437" t="n">
        <v>2</v>
      </c>
      <c r="I1437" t="n">
        <v>0</v>
      </c>
      <c r="J1437" t="n">
        <v>0</v>
      </c>
      <c r="K1437">
        <f>IF(H1437-I1437-J1437&gt;0,H1437-I1437-J1437,0)</f>
        <v/>
      </c>
      <c r="L1437" s="1">
        <f>IFERROR(I1437*E1437,0)</f>
        <v/>
      </c>
      <c r="M1437" s="1">
        <f>IFERROR(K1437*E1437,0)</f>
        <v/>
      </c>
    </row>
    <row r="1438">
      <c r="A1438" t="inlineStr">
        <is>
          <t>RW0.14220</t>
        </is>
      </c>
      <c r="B1438" t="inlineStr">
        <is>
          <t>Rewind 0.1Kw 1430rpm 230V Motor Suitable for 60Hz Operation</t>
        </is>
      </c>
      <c r="C1438" t="inlineStr">
        <is>
          <t>Luck and King</t>
        </is>
      </c>
      <c r="D1438" t="inlineStr">
        <is>
          <t>FM - LUCK &amp; KING</t>
        </is>
      </c>
      <c r="E1438" s="1" t="n">
        <v>1930</v>
      </c>
      <c r="F1438" t="n">
        <v>1</v>
      </c>
      <c r="G1438" t="n">
        <v>0</v>
      </c>
      <c r="H1438" t="n">
        <v>2</v>
      </c>
      <c r="I1438" t="n">
        <v>0</v>
      </c>
      <c r="J1438" t="n">
        <v>0</v>
      </c>
      <c r="K1438">
        <f>IF(H1438-I1438-J1438&gt;0,H1438-I1438-J1438,0)</f>
        <v/>
      </c>
      <c r="L1438" s="1">
        <f>IFERROR(I1438*E1438,0)</f>
        <v/>
      </c>
      <c r="M1438" s="1">
        <f>IFERROR(K1438*E1438,0)</f>
        <v/>
      </c>
    </row>
    <row r="1439">
      <c r="A1439" t="inlineStr">
        <is>
          <t>RepairCMP</t>
        </is>
      </c>
      <c r="B1439" t="inlineStr">
        <is>
          <t>Repair teh casing by replacing the flange to be 3mm thick and re-paint entire casing</t>
        </is>
      </c>
      <c r="C1439" t="inlineStr">
        <is>
          <t>Mafilisti Trading and Projects (Pty) Ltd</t>
        </is>
      </c>
      <c r="D1439" t="inlineStr"/>
      <c r="E1439" s="1" t="n">
        <v>550</v>
      </c>
      <c r="F1439" t="n">
        <v>1</v>
      </c>
      <c r="G1439" t="n">
        <v>0</v>
      </c>
      <c r="H1439" t="n">
        <v>2</v>
      </c>
      <c r="I1439" t="n">
        <v>0</v>
      </c>
      <c r="J1439" t="n">
        <v>0</v>
      </c>
      <c r="K1439">
        <f>IF(H1439-I1439-J1439&gt;0,H1439-I1439-J1439,0)</f>
        <v/>
      </c>
      <c r="L1439" s="1">
        <f>IFERROR(I1439*E1439,0)</f>
        <v/>
      </c>
      <c r="M1439" s="1">
        <f>IFERROR(K1439*E1439,0)</f>
        <v/>
      </c>
    </row>
    <row r="1440">
      <c r="A1440" t="inlineStr">
        <is>
          <t>Rewind Motors</t>
        </is>
      </c>
      <c r="B1440" t="inlineStr">
        <is>
          <t>From 400V to 525V</t>
        </is>
      </c>
      <c r="C1440" t="inlineStr">
        <is>
          <t>Luck and King</t>
        </is>
      </c>
      <c r="D1440" t="inlineStr"/>
      <c r="E1440" s="1" t="n">
        <v>2431.5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  <c r="K1440">
        <f>IF(H1440-I1440-J1440&gt;0,H1440-I1440-J1440,0)</f>
        <v/>
      </c>
      <c r="L1440" s="1">
        <f>IFERROR(I1440*E1440,0)</f>
        <v/>
      </c>
      <c r="M1440" s="1">
        <f>IFERROR(K1440*E1440,0)</f>
        <v/>
      </c>
    </row>
    <row r="1441">
      <c r="A1441" t="inlineStr">
        <is>
          <t>Rewind To</t>
        </is>
      </c>
      <c r="B1441" t="inlineStr">
        <is>
          <t>525V</t>
        </is>
      </c>
      <c r="C1441" t="inlineStr">
        <is>
          <t>Luck and King</t>
        </is>
      </c>
      <c r="D1441" t="inlineStr"/>
      <c r="E1441" s="1" t="n">
        <v>2193</v>
      </c>
      <c r="F1441" t="n">
        <v>1</v>
      </c>
      <c r="G1441" t="n">
        <v>0</v>
      </c>
      <c r="H1441" t="n">
        <v>3</v>
      </c>
      <c r="I1441" t="n">
        <v>0</v>
      </c>
      <c r="J1441" t="n">
        <v>0</v>
      </c>
      <c r="K1441">
        <f>IF(H1441-I1441-J1441&gt;0,H1441-I1441-J1441,0)</f>
        <v/>
      </c>
      <c r="L1441" s="1">
        <f>IFERROR(I1441*E1441,0)</f>
        <v/>
      </c>
      <c r="M1441" s="1">
        <f>IFERROR(K1441*E1441,0)</f>
        <v/>
      </c>
    </row>
    <row r="1442">
      <c r="A1442" t="inlineStr">
        <is>
          <t>S-STARMIG-255</t>
        </is>
      </c>
      <c r="B1442" t="inlineStr">
        <is>
          <t>SMARTER STAR MIG 255 with Parker torch</t>
        </is>
      </c>
      <c r="C1442" t="inlineStr">
        <is>
          <t>INTROWELD CC</t>
        </is>
      </c>
      <c r="D1442" t="inlineStr"/>
      <c r="E1442" s="1" t="n">
        <v>15100</v>
      </c>
      <c r="F1442" t="n">
        <v>1</v>
      </c>
      <c r="G1442" t="n">
        <v>0</v>
      </c>
      <c r="H1442" t="n">
        <v>2</v>
      </c>
      <c r="I1442" t="n">
        <v>0</v>
      </c>
      <c r="J1442" t="n">
        <v>0</v>
      </c>
      <c r="K1442">
        <f>IF(H1442-I1442-J1442&gt;0,H1442-I1442-J1442,0)</f>
        <v/>
      </c>
      <c r="L1442" s="1">
        <f>IFERROR(I1442*E1442,0)</f>
        <v/>
      </c>
      <c r="M1442" s="1">
        <f>IFERROR(K1442*E1442,0)</f>
        <v/>
      </c>
    </row>
    <row r="1443">
      <c r="A1443" t="inlineStr">
        <is>
          <t>S/S</t>
        </is>
      </c>
      <c r="B1443" t="inlineStr">
        <is>
          <t>Pleated Panel Filter 595 x 595 x 48</t>
        </is>
      </c>
      <c r="C1443" t="inlineStr">
        <is>
          <t>Airventfil (Pty) Ltd</t>
        </is>
      </c>
      <c r="D1443" t="inlineStr"/>
      <c r="E1443" s="1" t="n">
        <v>202.45</v>
      </c>
      <c r="F1443" t="n">
        <v>6</v>
      </c>
      <c r="G1443" t="n">
        <v>0</v>
      </c>
      <c r="H1443" t="n">
        <v>30</v>
      </c>
      <c r="I1443" t="n">
        <v>0</v>
      </c>
      <c r="J1443" t="n">
        <v>0</v>
      </c>
      <c r="K1443">
        <f>IF(H1443-I1443-J1443&gt;0,H1443-I1443-J1443,0)</f>
        <v/>
      </c>
      <c r="L1443" s="1">
        <f>IFERROR(I1443*E1443,0)</f>
        <v/>
      </c>
      <c r="M1443" s="1">
        <f>IFERROR(K1443*E1443,0)</f>
        <v/>
      </c>
    </row>
    <row r="1444">
      <c r="A1444" t="inlineStr">
        <is>
          <t>S1</t>
        </is>
      </c>
      <c r="B1444" t="inlineStr">
        <is>
          <t>Silencers</t>
        </is>
      </c>
      <c r="C1444" t="inlineStr"/>
      <c r="D1444" t="inlineStr"/>
      <c r="E1444" s="1" t="n">
        <v>0</v>
      </c>
      <c r="F1444" t="n">
        <v>1</v>
      </c>
      <c r="G1444" t="n">
        <v>0</v>
      </c>
      <c r="H1444" t="n">
        <v>5</v>
      </c>
      <c r="I1444" t="n">
        <v>0</v>
      </c>
      <c r="J1444" t="n">
        <v>0</v>
      </c>
      <c r="K1444">
        <f>IF(H1444-I1444-J1444&gt;0,H1444-I1444-J1444,0)</f>
        <v/>
      </c>
      <c r="L1444" s="1">
        <f>IFERROR(I1444*E1444,0)</f>
        <v/>
      </c>
      <c r="M1444" s="1">
        <f>IFERROR(K1444*E1444,0)</f>
        <v/>
      </c>
    </row>
    <row r="1445">
      <c r="A1445" t="inlineStr">
        <is>
          <t>SAL500</t>
        </is>
      </c>
      <c r="B1445" t="inlineStr">
        <is>
          <t>SAL 500</t>
        </is>
      </c>
      <c r="C1445" t="inlineStr"/>
      <c r="D1445" t="inlineStr">
        <is>
          <t>FM - KAYITES</t>
        </is>
      </c>
      <c r="E1445" s="1" t="n">
        <v>0</v>
      </c>
      <c r="F1445" t="n">
        <v>1</v>
      </c>
      <c r="G1445" t="n">
        <v>0</v>
      </c>
      <c r="H1445" t="n">
        <v>2</v>
      </c>
      <c r="I1445" t="n">
        <v>0</v>
      </c>
      <c r="J1445" t="n">
        <v>0</v>
      </c>
      <c r="K1445">
        <f>IF(H1445-I1445-J1445&gt;0,H1445-I1445-J1445,0)</f>
        <v/>
      </c>
      <c r="L1445" s="1">
        <f>IFERROR(I1445*E1445,0)</f>
        <v/>
      </c>
      <c r="M1445" s="1">
        <f>IFERROR(K1445*E1445,0)</f>
        <v/>
      </c>
    </row>
    <row r="1446">
      <c r="A1446" t="inlineStr">
        <is>
          <t>SAV STICKERS</t>
        </is>
      </c>
      <c r="B1446" t="inlineStr">
        <is>
          <t>Solvent Printed SAV Stickers - Rounded Corners - (108mm x 88mm)</t>
        </is>
      </c>
      <c r="C1446" t="inlineStr">
        <is>
          <t>HC Soekoe CC</t>
        </is>
      </c>
      <c r="D1446" t="inlineStr"/>
      <c r="E1446" s="1" t="n">
        <v>1.69</v>
      </c>
      <c r="F1446" t="n">
        <v>38</v>
      </c>
      <c r="G1446" t="n">
        <v>0</v>
      </c>
      <c r="H1446" t="n">
        <v>188</v>
      </c>
      <c r="I1446" t="n">
        <v>0</v>
      </c>
      <c r="J1446" t="n">
        <v>0</v>
      </c>
      <c r="K1446">
        <f>IF(H1446-I1446-J1446&gt;0,H1446-I1446-J1446,0)</f>
        <v/>
      </c>
      <c r="L1446" s="1">
        <f>IFERROR(I1446*E1446,0)</f>
        <v/>
      </c>
      <c r="M1446" s="1">
        <f>IFERROR(K1446*E1446,0)</f>
        <v/>
      </c>
    </row>
    <row r="1447">
      <c r="A1447" t="inlineStr">
        <is>
          <t>SCBFLT1.25B</t>
        </is>
      </c>
      <c r="B1447" t="inlineStr">
        <is>
          <t>SCB Blower Simple Intake Filter - 1 1/4</t>
        </is>
      </c>
      <c r="C1447" t="inlineStr"/>
      <c r="D1447" t="inlineStr">
        <is>
          <t>FM - BLOWER</t>
        </is>
      </c>
      <c r="E1447" s="1" t="n">
        <v>0</v>
      </c>
      <c r="F1447" t="n">
        <v>1</v>
      </c>
      <c r="G1447" t="n">
        <v>0</v>
      </c>
      <c r="H1447" t="n">
        <v>2</v>
      </c>
      <c r="I1447" t="n">
        <v>0</v>
      </c>
      <c r="J1447" t="n">
        <v>0</v>
      </c>
      <c r="K1447">
        <f>IF(H1447-I1447-J1447&gt;0,H1447-I1447-J1447,0)</f>
        <v/>
      </c>
      <c r="L1447" s="1">
        <f>IFERROR(I1447*E1447,0)</f>
        <v/>
      </c>
      <c r="M1447" s="1">
        <f>IFERROR(K1447*E1447,0)</f>
        <v/>
      </c>
    </row>
    <row r="1448">
      <c r="A1448" t="inlineStr">
        <is>
          <t>SCOTCH BRI G</t>
        </is>
      </c>
      <c r="B1448" t="inlineStr">
        <is>
          <t>SCOTCH BRITE GREY BULLDOG</t>
        </is>
      </c>
      <c r="C1448" t="inlineStr">
        <is>
          <t>MG AUTO PAINT (PTY) LTD</t>
        </is>
      </c>
      <c r="D1448" t="inlineStr">
        <is>
          <t>CONSUMABLES</t>
        </is>
      </c>
      <c r="E1448" s="1" t="n">
        <v>26.09</v>
      </c>
      <c r="F1448" t="n">
        <v>5</v>
      </c>
      <c r="G1448" t="n">
        <v>0</v>
      </c>
      <c r="H1448" t="n">
        <v>25</v>
      </c>
      <c r="I1448" t="n">
        <v>0</v>
      </c>
      <c r="J1448" t="n">
        <v>0</v>
      </c>
      <c r="K1448">
        <f>IF(H1448-I1448-J1448&gt;0,H1448-I1448-J1448,0)</f>
        <v/>
      </c>
      <c r="L1448" s="1">
        <f>IFERROR(I1448*E1448,0)</f>
        <v/>
      </c>
      <c r="M1448" s="1">
        <f>IFERROR(K1448*E1448,0)</f>
        <v/>
      </c>
    </row>
    <row r="1449">
      <c r="A1449" t="inlineStr">
        <is>
          <t>SE07MS50+0005</t>
        </is>
      </c>
      <c r="B1449" t="inlineStr">
        <is>
          <t>SCL e07-MS MOR IE3 M.E. 4.0-4.8KW - 2 POLI 345-415/200-240V 50Hz - 380-480/220-280V 60Hz. IP55</t>
        </is>
      </c>
      <c r="C1449" t="inlineStr">
        <is>
          <t>Effepizeta</t>
        </is>
      </c>
      <c r="D1449" t="inlineStr"/>
      <c r="E1449" s="1" t="n">
        <v>22683.25</v>
      </c>
      <c r="F1449" t="n">
        <v>2</v>
      </c>
      <c r="G1449" t="n">
        <v>0</v>
      </c>
      <c r="H1449" t="n">
        <v>4</v>
      </c>
      <c r="I1449" t="n">
        <v>0</v>
      </c>
      <c r="J1449" t="n">
        <v>0</v>
      </c>
      <c r="K1449">
        <f>IF(H1449-I1449-J1449&gt;0,H1449-I1449-J1449,0)</f>
        <v/>
      </c>
      <c r="L1449" s="1">
        <f>IFERROR(I1449*E1449,0)</f>
        <v/>
      </c>
      <c r="M1449" s="1">
        <f>IFERROR(K1449*E1449,0)</f>
        <v/>
      </c>
    </row>
    <row r="1450">
      <c r="A1450" t="inlineStr">
        <is>
          <t>SE07MS50+0012</t>
        </is>
      </c>
      <c r="B1450" t="inlineStr">
        <is>
          <t>SCL e07-MS MOR IE3 M.E. 5.5 - 6.5 kW - 2 POLI -600-720/345-415V 50Hz - 660-830/380-480V 60Hz WR</t>
        </is>
      </c>
      <c r="C1450" t="inlineStr">
        <is>
          <t>Effepizeta</t>
        </is>
      </c>
      <c r="D1450" t="inlineStr"/>
      <c r="E1450" s="1" t="n">
        <v>25116.89</v>
      </c>
      <c r="F1450" t="n">
        <v>2</v>
      </c>
      <c r="G1450" t="n">
        <v>0</v>
      </c>
      <c r="H1450" t="n">
        <v>4</v>
      </c>
      <c r="I1450" t="n">
        <v>0</v>
      </c>
      <c r="J1450" t="n">
        <v>0</v>
      </c>
      <c r="K1450">
        <f>IF(H1450-I1450-J1450&gt;0,H1450-I1450-J1450,0)</f>
        <v/>
      </c>
      <c r="L1450" s="1">
        <f>IFERROR(I1450*E1450,0)</f>
        <v/>
      </c>
      <c r="M1450" s="1">
        <f>IFERROR(K1450*E1450,0)</f>
        <v/>
      </c>
    </row>
    <row r="1451">
      <c r="A1451" t="inlineStr">
        <is>
          <t>SE08MS50+0014</t>
        </is>
      </c>
      <c r="B1451" t="inlineStr">
        <is>
          <t>SCL e08-MS MOR - IE3 M.E 7.5KW - 9.0KW - 2 POLI</t>
        </is>
      </c>
      <c r="C1451" t="inlineStr">
        <is>
          <t>Effepizeta</t>
        </is>
      </c>
      <c r="D1451" t="inlineStr"/>
      <c r="E1451" s="1" t="n">
        <v>30493.09</v>
      </c>
      <c r="F1451" t="n">
        <v>4</v>
      </c>
      <c r="G1451" t="n">
        <v>0</v>
      </c>
      <c r="H1451" t="n">
        <v>8</v>
      </c>
      <c r="I1451" t="n">
        <v>0</v>
      </c>
      <c r="J1451" t="n">
        <v>0</v>
      </c>
      <c r="K1451">
        <f>IF(H1451-I1451-J1451&gt;0,H1451-I1451-J1451,0)</f>
        <v/>
      </c>
      <c r="L1451" s="1">
        <f>IFERROR(I1451*E1451,0)</f>
        <v/>
      </c>
      <c r="M1451" s="1">
        <f>IFERROR(K1451*E1451,0)</f>
        <v/>
      </c>
    </row>
    <row r="1452">
      <c r="A1452" t="inlineStr">
        <is>
          <t>SE08MS55</t>
        </is>
      </c>
      <c r="B1452" t="inlineStr">
        <is>
          <t>SCL e08-MS MOR IE3 - M.E. 5.5 kW- 525V -IE3 -IP55 NATURAL FINISH</t>
        </is>
      </c>
      <c r="C1452" t="inlineStr">
        <is>
          <t>Effepizeta</t>
        </is>
      </c>
      <c r="D1452" t="inlineStr"/>
      <c r="E1452" s="1" t="n">
        <v>34813.1</v>
      </c>
      <c r="F1452" t="n">
        <v>2</v>
      </c>
      <c r="G1452" t="n">
        <v>0</v>
      </c>
      <c r="H1452" t="n">
        <v>4</v>
      </c>
      <c r="I1452" t="n">
        <v>0</v>
      </c>
      <c r="J1452" t="n">
        <v>0</v>
      </c>
      <c r="K1452">
        <f>IF(H1452-I1452-J1452&gt;0,H1452-I1452-J1452,0)</f>
        <v/>
      </c>
      <c r="L1452" s="1">
        <f>IFERROR(I1452*E1452,0)</f>
        <v/>
      </c>
      <c r="M1452" s="1">
        <f>IFERROR(K1452*E1452,0)</f>
        <v/>
      </c>
    </row>
    <row r="1453">
      <c r="A1453" t="inlineStr">
        <is>
          <t>SE10MS50+0005</t>
        </is>
      </c>
      <c r="B1453" t="inlineStr">
        <is>
          <t>SCL e10-MS MOR IE3 M.E. 11 - 13 kW - 2 POLI - 380V - IP55 Natural Finish</t>
        </is>
      </c>
      <c r="C1453" t="inlineStr">
        <is>
          <t>Effepizeta</t>
        </is>
      </c>
      <c r="D1453" t="inlineStr"/>
      <c r="E1453" s="1" t="n">
        <v>45412</v>
      </c>
      <c r="F1453" t="n">
        <v>2</v>
      </c>
      <c r="G1453" t="n">
        <v>0</v>
      </c>
      <c r="H1453" t="n">
        <v>4</v>
      </c>
      <c r="I1453" t="n">
        <v>0</v>
      </c>
      <c r="J1453" t="n">
        <v>1</v>
      </c>
      <c r="K1453">
        <f>IF(H1453-I1453-J1453&gt;0,H1453-I1453-J1453,0)</f>
        <v/>
      </c>
      <c r="L1453" s="1">
        <f>IFERROR(I1453*E1453,0)</f>
        <v/>
      </c>
      <c r="M1453" s="1">
        <f>IFERROR(K1453*E1453,0)</f>
        <v/>
      </c>
    </row>
    <row r="1454">
      <c r="A1454" t="inlineStr">
        <is>
          <t>SE11MS00+0048</t>
        </is>
      </c>
      <c r="B1454" t="inlineStr">
        <is>
          <t>SCL e11-MS MOR IE2 M.E. 11 - 13 kW - 2 POLI - 300/525V 50HZ 360/630V 60HZ IE2 - CL. F TROP.</t>
        </is>
      </c>
      <c r="C1454" t="inlineStr">
        <is>
          <t>Effepizeta</t>
        </is>
      </c>
      <c r="D1454" t="inlineStr"/>
      <c r="E1454" s="1" t="n">
        <v>45524.96</v>
      </c>
      <c r="F1454" t="n">
        <v>2</v>
      </c>
      <c r="G1454" t="n">
        <v>0</v>
      </c>
      <c r="H1454" t="n">
        <v>4</v>
      </c>
      <c r="I1454" t="n">
        <v>0</v>
      </c>
      <c r="J1454" t="n">
        <v>3</v>
      </c>
      <c r="K1454">
        <f>IF(H1454-I1454-J1454&gt;0,H1454-I1454-J1454,0)</f>
        <v/>
      </c>
      <c r="L1454" s="1">
        <f>IFERROR(I1454*E1454,0)</f>
        <v/>
      </c>
      <c r="M1454" s="1">
        <f>IFERROR(K1454*E1454,0)</f>
        <v/>
      </c>
    </row>
    <row r="1455">
      <c r="A1455" t="inlineStr">
        <is>
          <t>SE11TS50+0002</t>
        </is>
      </c>
      <c r="B1455" t="inlineStr">
        <is>
          <t>SCL e11-TS MOR IER - M.E 22 - 25.5 kW - 2 POLI - IE3 CL. F TROP. PTO IP55 - NATURAL FINISH</t>
        </is>
      </c>
      <c r="C1455" t="inlineStr">
        <is>
          <t>Effepizeta</t>
        </is>
      </c>
      <c r="D1455" t="inlineStr"/>
      <c r="E1455" s="1" t="n">
        <v>88303.75999999999</v>
      </c>
      <c r="F1455" t="n">
        <v>2</v>
      </c>
      <c r="G1455" t="n">
        <v>0</v>
      </c>
      <c r="H1455" t="n">
        <v>4</v>
      </c>
      <c r="I1455" t="n">
        <v>0</v>
      </c>
      <c r="J1455" t="n">
        <v>0</v>
      </c>
      <c r="K1455">
        <f>IF(H1455-I1455-J1455&gt;0,H1455-I1455-J1455,0)</f>
        <v/>
      </c>
      <c r="L1455" s="1">
        <f>IFERROR(I1455*E1455,0)</f>
        <v/>
      </c>
      <c r="M1455" s="1">
        <f>IFERROR(K1455*E1455,0)</f>
        <v/>
      </c>
    </row>
    <row r="1456">
      <c r="A1456" t="inlineStr">
        <is>
          <t>SEF100</t>
        </is>
      </c>
      <c r="B1456" t="inlineStr">
        <is>
          <t>SEF 100</t>
        </is>
      </c>
      <c r="C1456" t="inlineStr">
        <is>
          <t>Kayites</t>
        </is>
      </c>
      <c r="D1456" t="inlineStr">
        <is>
          <t>FM - KAYITES</t>
        </is>
      </c>
      <c r="E1456" s="1" t="n">
        <v>143.08</v>
      </c>
      <c r="F1456" t="n">
        <v>1</v>
      </c>
      <c r="G1456" t="n">
        <v>0</v>
      </c>
      <c r="H1456" t="n">
        <v>2</v>
      </c>
      <c r="I1456" t="n">
        <v>0</v>
      </c>
      <c r="J1456" t="n">
        <v>0</v>
      </c>
      <c r="K1456">
        <f>IF(H1456-I1456-J1456&gt;0,H1456-I1456-J1456,0)</f>
        <v/>
      </c>
      <c r="L1456" s="1">
        <f>IFERROR(I1456*E1456,0)</f>
        <v/>
      </c>
      <c r="M1456" s="1">
        <f>IFERROR(K1456*E1456,0)</f>
        <v/>
      </c>
    </row>
    <row r="1457">
      <c r="A1457" t="inlineStr">
        <is>
          <t>SEF125</t>
        </is>
      </c>
      <c r="B1457" t="inlineStr">
        <is>
          <t>SEF125</t>
        </is>
      </c>
      <c r="C1457" t="inlineStr">
        <is>
          <t>Kayites</t>
        </is>
      </c>
      <c r="D1457" t="inlineStr">
        <is>
          <t>FM - KAYITES</t>
        </is>
      </c>
      <c r="E1457" s="1" t="n">
        <v>361.37</v>
      </c>
      <c r="F1457" t="n">
        <v>1</v>
      </c>
      <c r="G1457" t="n">
        <v>0</v>
      </c>
      <c r="H1457" t="n">
        <v>2</v>
      </c>
      <c r="I1457" t="n">
        <v>0</v>
      </c>
      <c r="J1457" t="n">
        <v>0</v>
      </c>
      <c r="K1457">
        <f>IF(H1457-I1457-J1457&gt;0,H1457-I1457-J1457,0)</f>
        <v/>
      </c>
      <c r="L1457" s="1">
        <f>IFERROR(I1457*E1457,0)</f>
        <v/>
      </c>
      <c r="M1457" s="1">
        <f>IFERROR(K1457*E1457,0)</f>
        <v/>
      </c>
    </row>
    <row r="1458">
      <c r="A1458" t="inlineStr">
        <is>
          <t>SFB04006006</t>
        </is>
      </c>
      <c r="B1458" t="inlineStr">
        <is>
          <t>Flat Bar CQ 40x6mm 6 Mtr</t>
        </is>
      </c>
      <c r="C1458" t="inlineStr">
        <is>
          <t>NJR STEEL - ALRODE (PTY) LTD</t>
        </is>
      </c>
      <c r="D1458" t="inlineStr"/>
      <c r="E1458" s="1" t="n">
        <v>175.34</v>
      </c>
      <c r="F1458" t="n">
        <v>2</v>
      </c>
      <c r="G1458" t="n">
        <v>0</v>
      </c>
      <c r="H1458" t="n">
        <v>8</v>
      </c>
      <c r="I1458" t="n">
        <v>0</v>
      </c>
      <c r="J1458" t="n">
        <v>0</v>
      </c>
      <c r="K1458">
        <f>IF(H1458-I1458-J1458&gt;0,H1458-I1458-J1458,0)</f>
        <v/>
      </c>
      <c r="L1458" s="1">
        <f>IFERROR(I1458*E1458,0)</f>
        <v/>
      </c>
      <c r="M1458" s="1">
        <f>IFERROR(K1458*E1458,0)</f>
        <v/>
      </c>
    </row>
    <row r="1459">
      <c r="A1459" t="inlineStr">
        <is>
          <t>SH01</t>
        </is>
      </c>
      <c r="B1459" t="inlineStr">
        <is>
          <t>HAND STRAPPING 12X 1500M - BLACK</t>
        </is>
      </c>
      <c r="C1459" t="inlineStr">
        <is>
          <t>Advantage Air Africa Pty Ltd</t>
        </is>
      </c>
      <c r="D1459" t="inlineStr">
        <is>
          <t>PACKAGING</t>
        </is>
      </c>
      <c r="E1459" s="1" t="n">
        <v>496.99</v>
      </c>
      <c r="F1459" t="n">
        <v>1</v>
      </c>
      <c r="G1459" t="n">
        <v>0</v>
      </c>
      <c r="H1459" t="n">
        <v>2</v>
      </c>
      <c r="I1459" t="n">
        <v>0</v>
      </c>
      <c r="J1459" t="n">
        <v>0</v>
      </c>
      <c r="K1459">
        <f>IF(H1459-I1459-J1459&gt;0,H1459-I1459-J1459,0)</f>
        <v/>
      </c>
      <c r="L1459" s="1">
        <f>IFERROR(I1459*E1459,0)</f>
        <v/>
      </c>
      <c r="M1459" s="1">
        <f>IFERROR(K1459*E1459,0)</f>
        <v/>
      </c>
    </row>
    <row r="1460">
      <c r="A1460" t="inlineStr">
        <is>
          <t>SHPBSW</t>
        </is>
      </c>
      <c r="B1460" t="inlineStr">
        <is>
          <t>BANDSAW WELD ONLY BIMETAL</t>
        </is>
      </c>
      <c r="C1460" t="inlineStr">
        <is>
          <t>SPARES 2000 CC t/a SHARP-RITE</t>
        </is>
      </c>
      <c r="D1460" t="inlineStr"/>
      <c r="E1460" s="1" t="n">
        <v>75</v>
      </c>
      <c r="F1460" t="n">
        <v>1</v>
      </c>
      <c r="G1460" t="n">
        <v>0</v>
      </c>
      <c r="H1460" t="n">
        <v>5</v>
      </c>
      <c r="I1460" t="n">
        <v>0</v>
      </c>
      <c r="J1460" t="n">
        <v>0</v>
      </c>
      <c r="K1460">
        <f>IF(H1460-I1460-J1460&gt;0,H1460-I1460-J1460,0)</f>
        <v/>
      </c>
      <c r="L1460" s="1">
        <f>IFERROR(I1460*E1460,0)</f>
        <v/>
      </c>
      <c r="M1460" s="1">
        <f>IFERROR(K1460*E1460,0)</f>
        <v/>
      </c>
    </row>
    <row r="1461">
      <c r="A1461" t="inlineStr">
        <is>
          <t>SHR03012252450</t>
        </is>
      </c>
      <c r="B1461" t="inlineStr">
        <is>
          <t>HR Sheet SAE1008 2450x1225x3</t>
        </is>
      </c>
      <c r="C1461" t="inlineStr">
        <is>
          <t>NJR STEEL - ALRODE (PTY) LTD</t>
        </is>
      </c>
      <c r="D1461" t="inlineStr"/>
      <c r="E1461" s="1" t="n">
        <v>1067.28</v>
      </c>
      <c r="F1461" t="n">
        <v>1</v>
      </c>
      <c r="G1461" t="n">
        <v>0</v>
      </c>
      <c r="H1461" t="n">
        <v>2</v>
      </c>
      <c r="I1461" t="n">
        <v>0</v>
      </c>
      <c r="J1461" t="n">
        <v>0</v>
      </c>
      <c r="K1461">
        <f>IF(H1461-I1461-J1461&gt;0,H1461-I1461-J1461,0)</f>
        <v/>
      </c>
      <c r="L1461" s="1">
        <f>IFERROR(I1461*E1461,0)</f>
        <v/>
      </c>
      <c r="M1461" s="1">
        <f>IFERROR(K1461*E1461,0)</f>
        <v/>
      </c>
    </row>
    <row r="1462">
      <c r="A1462" t="inlineStr">
        <is>
          <t>SITEW</t>
        </is>
      </c>
      <c r="B1462" t="inlineStr">
        <is>
          <t>Site Work - 8 hours</t>
        </is>
      </c>
      <c r="C1462" t="inlineStr"/>
      <c r="D1462" t="inlineStr"/>
      <c r="E1462" s="1" t="n">
        <v>0</v>
      </c>
      <c r="F1462" t="n">
        <v>4</v>
      </c>
      <c r="G1462" t="n">
        <v>0</v>
      </c>
      <c r="H1462" t="n">
        <v>20</v>
      </c>
      <c r="I1462" t="n">
        <v>0</v>
      </c>
      <c r="J1462" t="n">
        <v>0</v>
      </c>
      <c r="K1462">
        <f>IF(H1462-I1462-J1462&gt;0,H1462-I1462-J1462,0)</f>
        <v/>
      </c>
      <c r="L1462" s="1">
        <f>IFERROR(I1462*E1462,0)</f>
        <v/>
      </c>
      <c r="M1462" s="1">
        <f>IFERROR(K1462*E1462,0)</f>
        <v/>
      </c>
    </row>
    <row r="1463">
      <c r="A1463" t="inlineStr">
        <is>
          <t>SK03MS50+0121</t>
        </is>
      </c>
      <c r="B1463" t="inlineStr">
        <is>
          <t>SCL K03-MS MOR IE3 M.E. 0.55 - 0.65 kW 2 POLI345-415/200-240V 50Hz - 380-480/220-280V 60Hz WR</t>
        </is>
      </c>
      <c r="C1463" t="inlineStr">
        <is>
          <t>Effepizeta</t>
        </is>
      </c>
      <c r="D1463" t="inlineStr"/>
      <c r="E1463" s="1" t="n">
        <v>5675.27</v>
      </c>
      <c r="F1463" t="n">
        <v>1</v>
      </c>
      <c r="G1463" t="n">
        <v>0</v>
      </c>
      <c r="H1463" t="n">
        <v>5</v>
      </c>
      <c r="I1463" t="n">
        <v>0</v>
      </c>
      <c r="J1463" t="n">
        <v>0</v>
      </c>
      <c r="K1463">
        <f>IF(H1463-I1463-J1463&gt;0,H1463-I1463-J1463,0)</f>
        <v/>
      </c>
      <c r="L1463" s="1">
        <f>IFERROR(I1463*E1463,0)</f>
        <v/>
      </c>
      <c r="M1463" s="1">
        <f>IFERROR(K1463*E1463,0)</f>
        <v/>
      </c>
    </row>
    <row r="1464">
      <c r="A1464" t="inlineStr">
        <is>
          <t>SLA2025</t>
        </is>
      </c>
      <c r="B1464" t="inlineStr">
        <is>
          <t>Support SLA Mar</t>
        </is>
      </c>
      <c r="C1464" t="inlineStr">
        <is>
          <t>AXEGROUP</t>
        </is>
      </c>
      <c r="D1464" t="inlineStr"/>
      <c r="E1464" s="1" t="n">
        <v>4088.89</v>
      </c>
      <c r="F1464" t="n">
        <v>1</v>
      </c>
      <c r="G1464" t="n">
        <v>0</v>
      </c>
      <c r="H1464" t="n">
        <v>2</v>
      </c>
      <c r="I1464" t="n">
        <v>0</v>
      </c>
      <c r="J1464" t="n">
        <v>0</v>
      </c>
      <c r="K1464">
        <f>IF(H1464-I1464-J1464&gt;0,H1464-I1464-J1464,0)</f>
        <v/>
      </c>
      <c r="L1464" s="1">
        <f>IFERROR(I1464*E1464,0)</f>
        <v/>
      </c>
      <c r="M1464" s="1">
        <f>IFERROR(K1464*E1464,0)</f>
        <v/>
      </c>
    </row>
    <row r="1465">
      <c r="A1465" t="inlineStr">
        <is>
          <t>SMOKE EXTRACTION FS 160/180</t>
        </is>
      </c>
      <c r="B1465" t="inlineStr">
        <is>
          <t>TERMINAL BLOCK 300c</t>
        </is>
      </c>
      <c r="C1465" t="inlineStr">
        <is>
          <t>WEG South Africa</t>
        </is>
      </c>
      <c r="D1465" t="inlineStr"/>
      <c r="E1465" s="1" t="n">
        <v>672</v>
      </c>
      <c r="F1465" t="n">
        <v>1</v>
      </c>
      <c r="G1465" t="n">
        <v>0</v>
      </c>
      <c r="H1465" t="n">
        <v>2</v>
      </c>
      <c r="I1465" t="n">
        <v>0</v>
      </c>
      <c r="J1465" t="n">
        <v>0</v>
      </c>
      <c r="K1465">
        <f>IF(H1465-I1465-J1465&gt;0,H1465-I1465-J1465,0)</f>
        <v/>
      </c>
      <c r="L1465" s="1">
        <f>IFERROR(I1465*E1465,0)</f>
        <v/>
      </c>
      <c r="M1465" s="1">
        <f>IFERROR(K1465*E1465,0)</f>
        <v/>
      </c>
    </row>
    <row r="1466">
      <c r="A1466" t="inlineStr">
        <is>
          <t>SMR2005</t>
        </is>
      </c>
      <c r="B1466" t="inlineStr">
        <is>
          <t>Spring Mount 2 - 750 - White</t>
        </is>
      </c>
      <c r="C1466" t="inlineStr">
        <is>
          <t>Seal 'N Devices (Pty) Ltd</t>
        </is>
      </c>
      <c r="D1466" t="inlineStr"/>
      <c r="E1466" s="1" t="n">
        <v>302.33</v>
      </c>
      <c r="F1466" t="n">
        <v>2</v>
      </c>
      <c r="G1466" t="n">
        <v>0</v>
      </c>
      <c r="H1466" t="n">
        <v>10</v>
      </c>
      <c r="I1466" t="n">
        <v>0</v>
      </c>
      <c r="J1466" t="n">
        <v>0</v>
      </c>
      <c r="K1466">
        <f>IF(H1466-I1466-J1466&gt;0,H1466-I1466-J1466,0)</f>
        <v/>
      </c>
      <c r="L1466" s="1">
        <f>IFERROR(I1466*E1466,0)</f>
        <v/>
      </c>
      <c r="M1466" s="1">
        <f>IFERROR(K1466*E1466,0)</f>
        <v/>
      </c>
    </row>
    <row r="1467">
      <c r="A1467" t="inlineStr">
        <is>
          <t>SMRH1003</t>
        </is>
      </c>
      <c r="B1467" t="inlineStr">
        <is>
          <t>Spring Mount H 1-125Red</t>
        </is>
      </c>
      <c r="C1467" t="inlineStr">
        <is>
          <t>Seal 'N Devices (Pty) Ltd</t>
        </is>
      </c>
      <c r="D1467" t="inlineStr"/>
      <c r="E1467" s="1" t="n">
        <v>186.94</v>
      </c>
      <c r="F1467" t="n">
        <v>8</v>
      </c>
      <c r="G1467" t="n">
        <v>0</v>
      </c>
      <c r="H1467" t="n">
        <v>40</v>
      </c>
      <c r="I1467" t="n">
        <v>0</v>
      </c>
      <c r="J1467" t="n">
        <v>0</v>
      </c>
      <c r="K1467">
        <f>IF(H1467-I1467-J1467&gt;0,H1467-I1467-J1467,0)</f>
        <v/>
      </c>
      <c r="L1467" s="1">
        <f>IFERROR(I1467*E1467,0)</f>
        <v/>
      </c>
      <c r="M1467" s="1">
        <f>IFERROR(K1467*E1467,0)</f>
        <v/>
      </c>
    </row>
    <row r="1468">
      <c r="A1468" t="inlineStr">
        <is>
          <t>SMRH1004</t>
        </is>
      </c>
      <c r="B1468" t="inlineStr">
        <is>
          <t>Spring Mount H 1-200Black</t>
        </is>
      </c>
      <c r="C1468" t="inlineStr">
        <is>
          <t>Seal 'N Devices (Pty) Ltd</t>
        </is>
      </c>
      <c r="D1468" t="inlineStr"/>
      <c r="E1468" s="1" t="n">
        <v>209.64</v>
      </c>
      <c r="F1468" t="n">
        <v>18</v>
      </c>
      <c r="G1468" t="n">
        <v>0</v>
      </c>
      <c r="H1468" t="n">
        <v>90</v>
      </c>
      <c r="I1468" t="n">
        <v>0</v>
      </c>
      <c r="J1468" t="n">
        <v>0</v>
      </c>
      <c r="K1468">
        <f>IF(H1468-I1468-J1468&gt;0,H1468-I1468-J1468,0)</f>
        <v/>
      </c>
      <c r="L1468" s="1">
        <f>IFERROR(I1468*E1468,0)</f>
        <v/>
      </c>
      <c r="M1468" s="1">
        <f>IFERROR(K1468*E1468,0)</f>
        <v/>
      </c>
    </row>
    <row r="1469">
      <c r="A1469" t="inlineStr">
        <is>
          <t>SMRH1005</t>
        </is>
      </c>
      <c r="B1469" t="inlineStr">
        <is>
          <t>Spring Mount H 1-310Yellow</t>
        </is>
      </c>
      <c r="C1469" t="inlineStr">
        <is>
          <t>Seal 'N Devices (Pty) Ltd</t>
        </is>
      </c>
      <c r="D1469" t="inlineStr"/>
      <c r="E1469" s="1" t="n">
        <v>209.64</v>
      </c>
      <c r="F1469" t="n">
        <v>4</v>
      </c>
      <c r="G1469" t="n">
        <v>0</v>
      </c>
      <c r="H1469" t="n">
        <v>20</v>
      </c>
      <c r="I1469" t="n">
        <v>0</v>
      </c>
      <c r="J1469" t="n">
        <v>0</v>
      </c>
      <c r="K1469">
        <f>IF(H1469-I1469-J1469&gt;0,H1469-I1469-J1469,0)</f>
        <v/>
      </c>
      <c r="L1469" s="1">
        <f>IFERROR(I1469*E1469,0)</f>
        <v/>
      </c>
      <c r="M1469" s="1">
        <f>IFERROR(K1469*E1469,0)</f>
        <v/>
      </c>
    </row>
    <row r="1470">
      <c r="A1470" t="inlineStr">
        <is>
          <t>SMW23030</t>
        </is>
      </c>
      <c r="B1470" t="inlineStr">
        <is>
          <t>5.5KW 4P 380V IP55 300 C/2HR WEG SMOKEX PAD W22 MOTOR</t>
        </is>
      </c>
      <c r="C1470" t="inlineStr">
        <is>
          <t>WEG South Africa</t>
        </is>
      </c>
      <c r="D1470" t="inlineStr"/>
      <c r="E1470" s="1" t="n">
        <v>11569</v>
      </c>
      <c r="F1470" t="n">
        <v>5</v>
      </c>
      <c r="G1470" t="n">
        <v>0</v>
      </c>
      <c r="H1470" t="n">
        <v>11</v>
      </c>
      <c r="I1470" t="n">
        <v>0</v>
      </c>
      <c r="J1470" t="n">
        <v>0</v>
      </c>
      <c r="K1470">
        <f>IF(H1470-I1470-J1470&gt;0,H1470-I1470-J1470,0)</f>
        <v/>
      </c>
      <c r="L1470" s="1">
        <f>IFERROR(I1470*E1470,0)</f>
        <v/>
      </c>
      <c r="M1470" s="1">
        <f>IFERROR(K1470*E1470,0)</f>
        <v/>
      </c>
    </row>
    <row r="1471">
      <c r="A1471" t="inlineStr">
        <is>
          <t>SP</t>
        </is>
      </c>
      <c r="B1471" t="inlineStr">
        <is>
          <t>Spark Proofing - SP</t>
        </is>
      </c>
      <c r="C1471" t="inlineStr">
        <is>
          <t>Luck and King</t>
        </is>
      </c>
      <c r="D1471" t="inlineStr"/>
      <c r="E1471" s="1" t="n">
        <v>6116</v>
      </c>
      <c r="F1471" t="n">
        <v>1</v>
      </c>
      <c r="G1471" t="n">
        <v>0</v>
      </c>
      <c r="H1471" t="n">
        <v>3</v>
      </c>
      <c r="I1471" t="n">
        <v>0</v>
      </c>
      <c r="J1471" t="n">
        <v>0</v>
      </c>
      <c r="K1471">
        <f>IF(H1471-I1471-J1471&gt;0,H1471-I1471-J1471,0)</f>
        <v/>
      </c>
      <c r="L1471" s="1">
        <f>IFERROR(I1471*E1471,0)</f>
        <v/>
      </c>
      <c r="M1471" s="1">
        <f>IFERROR(K1471*E1471,0)</f>
        <v/>
      </c>
    </row>
    <row r="1472">
      <c r="A1472" t="inlineStr">
        <is>
          <t>SQ-TUBE32X32</t>
        </is>
      </c>
      <c r="B1472" t="inlineStr">
        <is>
          <t>SQ / TUBE 32X32X1.5 - 6M</t>
        </is>
      </c>
      <c r="C1472" t="inlineStr">
        <is>
          <t>NJR STEEL - ALRODE (PTY) LTD</t>
        </is>
      </c>
      <c r="D1472" t="inlineStr">
        <is>
          <t>FABRICATION</t>
        </is>
      </c>
      <c r="E1472" s="1" t="n">
        <v>133</v>
      </c>
      <c r="F1472" t="n">
        <v>5</v>
      </c>
      <c r="G1472" t="n">
        <v>0</v>
      </c>
      <c r="H1472" t="n">
        <v>25</v>
      </c>
      <c r="I1472" t="n">
        <v>0</v>
      </c>
      <c r="J1472" t="n">
        <v>0</v>
      </c>
      <c r="K1472">
        <f>IF(H1472-I1472-J1472&gt;0,H1472-I1472-J1472,0)</f>
        <v/>
      </c>
      <c r="L1472" s="1">
        <f>IFERROR(I1472*E1472,0)</f>
        <v/>
      </c>
      <c r="M1472" s="1">
        <f>IFERROR(K1472*E1472,0)</f>
        <v/>
      </c>
    </row>
    <row r="1473">
      <c r="A1473" t="inlineStr">
        <is>
          <t>SQL-GLF12.5-D</t>
        </is>
      </c>
      <c r="B1473" t="inlineStr">
        <is>
          <t>Galvanised Industrial Extractor Fan + Grill &amp; Louvers: 1380sq, 220V, 1.1kw, 440rpm, 44000m3/hr</t>
        </is>
      </c>
      <c r="C1473" t="inlineStr">
        <is>
          <t>AF Fans CC</t>
        </is>
      </c>
      <c r="D1473" t="inlineStr"/>
      <c r="E1473" s="1" t="n">
        <v>7173.6</v>
      </c>
      <c r="F1473" t="n">
        <v>1</v>
      </c>
      <c r="G1473" t="n">
        <v>0</v>
      </c>
      <c r="H1473" t="n">
        <v>3</v>
      </c>
      <c r="I1473" t="n">
        <v>0</v>
      </c>
      <c r="J1473" t="n">
        <v>0</v>
      </c>
      <c r="K1473">
        <f>IF(H1473-I1473-J1473&gt;0,H1473-I1473-J1473,0)</f>
        <v/>
      </c>
      <c r="L1473" s="1">
        <f>IFERROR(I1473*E1473,0)</f>
        <v/>
      </c>
      <c r="M1473" s="1">
        <f>IFERROR(K1473*E1473,0)</f>
        <v/>
      </c>
    </row>
    <row r="1474">
      <c r="A1474" t="inlineStr">
        <is>
          <t>SQL-GLF12.5-GR</t>
        </is>
      </c>
      <c r="B1474" t="inlineStr">
        <is>
          <t>GLF Grill: 1380sq.</t>
        </is>
      </c>
      <c r="C1474" t="inlineStr">
        <is>
          <t>AF Fans CC</t>
        </is>
      </c>
      <c r="D1474" t="inlineStr"/>
      <c r="E1474" s="1" t="n">
        <v>0</v>
      </c>
      <c r="F1474" t="n">
        <v>1</v>
      </c>
      <c r="G1474" t="n">
        <v>0</v>
      </c>
      <c r="H1474" t="n">
        <v>3</v>
      </c>
      <c r="I1474" t="n">
        <v>0</v>
      </c>
      <c r="J1474" t="n">
        <v>0</v>
      </c>
      <c r="K1474">
        <f>IF(H1474-I1474-J1474&gt;0,H1474-I1474-J1474,0)</f>
        <v/>
      </c>
      <c r="L1474" s="1">
        <f>IFERROR(I1474*E1474,0)</f>
        <v/>
      </c>
      <c r="M1474" s="1">
        <f>IFERROR(K1474*E1474,0)</f>
        <v/>
      </c>
    </row>
    <row r="1475">
      <c r="A1475" t="inlineStr">
        <is>
          <t>SQL-GLF9.5-D</t>
        </is>
      </c>
      <c r="B1475" t="inlineStr">
        <is>
          <t>GLF 9.5 c/w 0.75kW 220v</t>
        </is>
      </c>
      <c r="C1475" t="inlineStr">
        <is>
          <t>AF Fans CC</t>
        </is>
      </c>
      <c r="D1475" t="inlineStr"/>
      <c r="E1475" s="1" t="n">
        <v>5516</v>
      </c>
      <c r="F1475" t="n">
        <v>1</v>
      </c>
      <c r="G1475" t="n">
        <v>0</v>
      </c>
      <c r="H1475" t="n">
        <v>2</v>
      </c>
      <c r="I1475" t="n">
        <v>0</v>
      </c>
      <c r="J1475" t="n">
        <v>0</v>
      </c>
      <c r="K1475">
        <f>IF(H1475-I1475-J1475&gt;0,H1475-I1475-J1475,0)</f>
        <v/>
      </c>
      <c r="L1475" s="1">
        <f>IFERROR(I1475*E1475,0)</f>
        <v/>
      </c>
      <c r="M1475" s="1">
        <f>IFERROR(K1475*E1475,0)</f>
        <v/>
      </c>
    </row>
    <row r="1476">
      <c r="A1476" t="inlineStr">
        <is>
          <t>SQL-GR75F</t>
        </is>
      </c>
      <c r="B1476" t="inlineStr">
        <is>
          <t>GLF Fan Wheel - Fixed 70mm</t>
        </is>
      </c>
      <c r="C1476" t="inlineStr">
        <is>
          <t>AF Fans CC</t>
        </is>
      </c>
      <c r="D1476" t="inlineStr"/>
      <c r="E1476" s="1" t="n">
        <v>147</v>
      </c>
      <c r="F1476" t="n">
        <v>1</v>
      </c>
      <c r="G1476" t="n">
        <v>0</v>
      </c>
      <c r="H1476" t="n">
        <v>4</v>
      </c>
      <c r="I1476" t="n">
        <v>0</v>
      </c>
      <c r="J1476" t="n">
        <v>0</v>
      </c>
      <c r="K1476">
        <f>IF(H1476-I1476-J1476&gt;0,H1476-I1476-J1476,0)</f>
        <v/>
      </c>
      <c r="L1476" s="1">
        <f>IFERROR(I1476*E1476,0)</f>
        <v/>
      </c>
      <c r="M1476" s="1">
        <f>IFERROR(K1476*E1476,0)</f>
        <v/>
      </c>
    </row>
    <row r="1477">
      <c r="A1477" t="inlineStr">
        <is>
          <t>SQL-GR75PBR</t>
        </is>
      </c>
      <c r="B1477" t="inlineStr">
        <is>
          <t>GLF Fan Wheel - PBK 70mm</t>
        </is>
      </c>
      <c r="C1477" t="inlineStr">
        <is>
          <t>AF Fans CC</t>
        </is>
      </c>
      <c r="D1477" t="inlineStr"/>
      <c r="E1477" s="1" t="n">
        <v>157.5</v>
      </c>
      <c r="F1477" t="n">
        <v>1</v>
      </c>
      <c r="G1477" t="n">
        <v>0</v>
      </c>
      <c r="H1477" t="n">
        <v>4</v>
      </c>
      <c r="I1477" t="n">
        <v>0</v>
      </c>
      <c r="J1477" t="n">
        <v>0</v>
      </c>
      <c r="K1477">
        <f>IF(H1477-I1477-J1477&gt;0,H1477-I1477-J1477,0)</f>
        <v/>
      </c>
      <c r="L1477" s="1">
        <f>IFERROR(I1477*E1477,0)</f>
        <v/>
      </c>
      <c r="M1477" s="1">
        <f>IFERROR(K1477*E1477,0)</f>
        <v/>
      </c>
    </row>
    <row r="1478">
      <c r="A1478" t="inlineStr">
        <is>
          <t>SR30MD000069</t>
        </is>
      </c>
      <c r="B1478" t="inlineStr">
        <is>
          <t>SCL R30-MD MOR EU M.E 1.5KW 3Ph 380V</t>
        </is>
      </c>
      <c r="C1478" t="inlineStr">
        <is>
          <t>Effepizeta</t>
        </is>
      </c>
      <c r="D1478" t="inlineStr">
        <is>
          <t>FM - FPZ</t>
        </is>
      </c>
      <c r="E1478" s="1" t="n">
        <v>14161.01</v>
      </c>
      <c r="F1478" t="n">
        <v>3</v>
      </c>
      <c r="G1478" t="n">
        <v>0</v>
      </c>
      <c r="H1478" t="n">
        <v>7</v>
      </c>
      <c r="I1478" t="n">
        <v>0</v>
      </c>
      <c r="J1478" t="n">
        <v>0</v>
      </c>
      <c r="K1478">
        <f>IF(H1478-I1478-J1478&gt;0,H1478-I1478-J1478,0)</f>
        <v/>
      </c>
      <c r="L1478" s="1">
        <f>IFERROR(I1478*E1478,0)</f>
        <v/>
      </c>
      <c r="M1478" s="1">
        <f>IFERROR(K1478*E1478,0)</f>
        <v/>
      </c>
    </row>
    <row r="1479">
      <c r="A1479" t="inlineStr">
        <is>
          <t>SR40MD00 + 0006</t>
        </is>
      </c>
      <c r="B1479" t="inlineStr">
        <is>
          <t>SCL R40-MD MOR EU M.E 2.2kW - 2 POLI 230-50 V-HZ - MF - CL.F TROP. + PTO - IP55 - PAINTED</t>
        </is>
      </c>
      <c r="C1479" t="inlineStr">
        <is>
          <t>Effepizeta</t>
        </is>
      </c>
      <c r="D1479" t="inlineStr"/>
      <c r="E1479" s="1" t="n">
        <v>20582.19</v>
      </c>
      <c r="F1479" t="n">
        <v>2</v>
      </c>
      <c r="G1479" t="n">
        <v>0</v>
      </c>
      <c r="H1479" t="n">
        <v>4</v>
      </c>
      <c r="I1479" t="n">
        <v>0</v>
      </c>
      <c r="J1479" t="n">
        <v>0</v>
      </c>
      <c r="K1479">
        <f>IF(H1479-I1479-J1479&gt;0,H1479-I1479-J1479,0)</f>
        <v/>
      </c>
      <c r="L1479" s="1">
        <f>IFERROR(I1479*E1479,0)</f>
        <v/>
      </c>
      <c r="M1479" s="1">
        <f>IFERROR(K1479*E1479,0)</f>
        <v/>
      </c>
    </row>
    <row r="1480">
      <c r="A1480" t="inlineStr">
        <is>
          <t>SR40MD00+0006</t>
        </is>
      </c>
      <c r="B1480" t="inlineStr">
        <is>
          <t>SCL R40MD</t>
        </is>
      </c>
      <c r="C1480" t="inlineStr"/>
      <c r="D1480" t="inlineStr">
        <is>
          <t>FM - FPZ</t>
        </is>
      </c>
      <c r="E1480" s="1" t="n">
        <v>0</v>
      </c>
      <c r="F1480" t="n">
        <v>1</v>
      </c>
      <c r="G1480" t="n">
        <v>0</v>
      </c>
      <c r="H1480" t="n">
        <v>2</v>
      </c>
      <c r="I1480" t="n">
        <v>0</v>
      </c>
      <c r="J1480" t="n">
        <v>0</v>
      </c>
      <c r="K1480">
        <f>IF(H1480-I1480-J1480&gt;0,H1480-I1480-J1480,0)</f>
        <v/>
      </c>
      <c r="L1480" s="1">
        <f>IFERROR(I1480*E1480,0)</f>
        <v/>
      </c>
      <c r="M1480" s="1">
        <f>IFERROR(K1480*E1480,0)</f>
        <v/>
      </c>
    </row>
    <row r="1481">
      <c r="A1481" t="inlineStr">
        <is>
          <t>SSD</t>
        </is>
      </c>
      <c r="B1481" t="inlineStr">
        <is>
          <t>New Disk replacement SSD 512gb from invoice AXG0205</t>
        </is>
      </c>
      <c r="C1481" t="inlineStr">
        <is>
          <t>AXEGROUP</t>
        </is>
      </c>
      <c r="D1481" t="inlineStr"/>
      <c r="E1481" s="1" t="n">
        <v>850</v>
      </c>
      <c r="F1481" t="n">
        <v>1</v>
      </c>
      <c r="G1481" t="n">
        <v>0</v>
      </c>
      <c r="H1481" t="n">
        <v>2</v>
      </c>
      <c r="I1481" t="n">
        <v>0</v>
      </c>
      <c r="J1481" t="n">
        <v>0</v>
      </c>
      <c r="K1481">
        <f>IF(H1481-I1481-J1481&gt;0,H1481-I1481-J1481,0)</f>
        <v/>
      </c>
      <c r="L1481" s="1">
        <f>IFERROR(I1481*E1481,0)</f>
        <v/>
      </c>
      <c r="M1481" s="1">
        <f>IFERROR(K1481*E1481,0)</f>
        <v/>
      </c>
    </row>
    <row r="1482">
      <c r="A1482" t="inlineStr">
        <is>
          <t>ST0.14220</t>
        </is>
      </c>
      <c r="B1482" t="inlineStr">
        <is>
          <t>Satmos Treatment 0.1Kw 1430rpm 230V</t>
        </is>
      </c>
      <c r="C1482" t="inlineStr">
        <is>
          <t>Luck and King</t>
        </is>
      </c>
      <c r="D1482" t="inlineStr"/>
      <c r="E1482" s="1" t="n">
        <v>2100</v>
      </c>
      <c r="F1482" t="n">
        <v>1</v>
      </c>
      <c r="G1482" t="n">
        <v>0</v>
      </c>
      <c r="H1482" t="n">
        <v>2</v>
      </c>
      <c r="I1482" t="n">
        <v>0</v>
      </c>
      <c r="J1482" t="n">
        <v>0</v>
      </c>
      <c r="K1482">
        <f>IF(H1482-I1482-J1482&gt;0,H1482-I1482-J1482,0)</f>
        <v/>
      </c>
      <c r="L1482" s="1">
        <f>IFERROR(I1482*E1482,0)</f>
        <v/>
      </c>
      <c r="M1482" s="1">
        <f>IFERROR(K1482*E1482,0)</f>
        <v/>
      </c>
    </row>
    <row r="1483">
      <c r="A1483" t="inlineStr">
        <is>
          <t>ST0001</t>
        </is>
      </c>
      <c r="B1483" t="inlineStr">
        <is>
          <t>760diam/9bladed/28mmbore/30deg/Impeller/FB</t>
        </is>
      </c>
      <c r="C1483" t="inlineStr">
        <is>
          <t>Phoenix Fans &amp; Engineering</t>
        </is>
      </c>
      <c r="D1483" t="inlineStr"/>
      <c r="E1483" s="1" t="n">
        <v>511.44</v>
      </c>
      <c r="F1483" t="n">
        <v>1</v>
      </c>
      <c r="G1483" t="n">
        <v>0</v>
      </c>
      <c r="H1483" t="n">
        <v>4</v>
      </c>
      <c r="I1483" t="n">
        <v>0</v>
      </c>
      <c r="J1483" t="n">
        <v>0</v>
      </c>
      <c r="K1483">
        <f>IF(H1483-I1483-J1483&gt;0,H1483-I1483-J1483,0)</f>
        <v/>
      </c>
      <c r="L1483" s="1">
        <f>IFERROR(I1483*E1483,0)</f>
        <v/>
      </c>
      <c r="M1483" s="1">
        <f>IFERROR(K1483*E1483,0)</f>
        <v/>
      </c>
    </row>
    <row r="1484">
      <c r="A1484" t="inlineStr">
        <is>
          <t>STOCK GALVANIZING-12 JULY 2024</t>
        </is>
      </c>
      <c r="B1484" t="inlineStr">
        <is>
          <t>STOCK GALVANIZING-12 JULY 2024</t>
        </is>
      </c>
      <c r="C1484" t="inlineStr">
        <is>
          <t>GALVAGLOW (PTY) LTD</t>
        </is>
      </c>
      <c r="D1484" t="inlineStr"/>
      <c r="E1484" s="1" t="n">
        <v>13.8</v>
      </c>
      <c r="F1484" t="n">
        <v>99</v>
      </c>
      <c r="G1484" t="n">
        <v>0</v>
      </c>
      <c r="H1484" t="n">
        <v>495</v>
      </c>
      <c r="I1484" t="n">
        <v>0</v>
      </c>
      <c r="J1484" t="n">
        <v>0</v>
      </c>
      <c r="K1484">
        <f>IF(H1484-I1484-J1484&gt;0,H1484-I1484-J1484,0)</f>
        <v/>
      </c>
      <c r="L1484" s="1">
        <f>IFERROR(I1484*E1484,0)</f>
        <v/>
      </c>
      <c r="M1484" s="1">
        <f>IFERROR(K1484*E1484,0)</f>
        <v/>
      </c>
    </row>
    <row r="1485">
      <c r="A1485" t="inlineStr">
        <is>
          <t>STORAGE1000000</t>
        </is>
      </c>
      <c r="B1485" t="inlineStr">
        <is>
          <t>Rental Space to Store Goods</t>
        </is>
      </c>
      <c r="C1485" t="inlineStr">
        <is>
          <t>Plant Service &amp; Maintenance (PTY) Ltd</t>
        </is>
      </c>
      <c r="D1485" t="inlineStr"/>
      <c r="E1485" s="1" t="n">
        <v>2500</v>
      </c>
      <c r="F1485" t="n">
        <v>1</v>
      </c>
      <c r="G1485" t="n">
        <v>0</v>
      </c>
      <c r="H1485" t="n">
        <v>2</v>
      </c>
      <c r="I1485" t="n">
        <v>0</v>
      </c>
      <c r="J1485" t="n">
        <v>0</v>
      </c>
      <c r="K1485">
        <f>IF(H1485-I1485-J1485&gt;0,H1485-I1485-J1485,0)</f>
        <v/>
      </c>
      <c r="L1485" s="1">
        <f>IFERROR(I1485*E1485,0)</f>
        <v/>
      </c>
      <c r="M1485" s="1">
        <f>IFERROR(K1485*E1485,0)</f>
        <v/>
      </c>
    </row>
    <row r="1486">
      <c r="A1486" t="inlineStr">
        <is>
          <t>SWA02.5X4BKLH</t>
        </is>
      </c>
      <c r="B1486" t="inlineStr">
        <is>
          <t>STEEL WIRE ARMOURED 2.5MM X 4</t>
        </is>
      </c>
      <c r="C1486" t="inlineStr">
        <is>
          <t>Alvern Cables (Pty) Ltd</t>
        </is>
      </c>
      <c r="D1486" t="inlineStr"/>
      <c r="E1486" s="1" t="n">
        <v>43.33</v>
      </c>
      <c r="F1486" t="n">
        <v>6</v>
      </c>
      <c r="G1486" t="n">
        <v>0</v>
      </c>
      <c r="H1486" t="n">
        <v>30</v>
      </c>
      <c r="I1486" t="n">
        <v>0</v>
      </c>
      <c r="J1486" t="n">
        <v>0</v>
      </c>
      <c r="K1486">
        <f>IF(H1486-I1486-J1486&gt;0,H1486-I1486-J1486,0)</f>
        <v/>
      </c>
      <c r="L1486" s="1">
        <f>IFERROR(I1486*E1486,0)</f>
        <v/>
      </c>
      <c r="M1486" s="1">
        <f>IFERROR(K1486*E1486,0)</f>
        <v/>
      </c>
    </row>
    <row r="1487">
      <c r="A1487" t="inlineStr">
        <is>
          <t>Search Engine</t>
        </is>
      </c>
      <c r="B1487" t="inlineStr">
        <is>
          <t>Search Engine Optimisation - Pro Package</t>
        </is>
      </c>
      <c r="C1487" t="inlineStr">
        <is>
          <t>ONPOINT MEDIA SA</t>
        </is>
      </c>
      <c r="D1487" t="inlineStr"/>
      <c r="E1487" s="1" t="n">
        <v>8000</v>
      </c>
      <c r="F1487" t="n">
        <v>1</v>
      </c>
      <c r="G1487" t="n">
        <v>0</v>
      </c>
      <c r="H1487" t="n">
        <v>4</v>
      </c>
      <c r="I1487" t="n">
        <v>0</v>
      </c>
      <c r="J1487" t="n">
        <v>0</v>
      </c>
      <c r="K1487">
        <f>IF(H1487-I1487-J1487&gt;0,H1487-I1487-J1487,0)</f>
        <v/>
      </c>
      <c r="L1487" s="1">
        <f>IFERROR(I1487*E1487,0)</f>
        <v/>
      </c>
      <c r="M1487" s="1">
        <f>IFERROR(K1487*E1487,0)</f>
        <v/>
      </c>
    </row>
    <row r="1488">
      <c r="A1488" t="inlineStr">
        <is>
          <t>Service Provider</t>
        </is>
      </c>
      <c r="B1488" t="inlineStr">
        <is>
          <t>Service</t>
        </is>
      </c>
      <c r="C1488" t="inlineStr">
        <is>
          <t>Comtech Network Solutions</t>
        </is>
      </c>
      <c r="D1488" t="inlineStr"/>
      <c r="E1488" s="1" t="n">
        <v>0</v>
      </c>
      <c r="F1488" t="n">
        <v>1</v>
      </c>
      <c r="G1488" t="n">
        <v>0</v>
      </c>
      <c r="H1488" t="n">
        <v>2</v>
      </c>
      <c r="I1488" t="n">
        <v>0</v>
      </c>
      <c r="J1488" t="n">
        <v>0</v>
      </c>
      <c r="K1488">
        <f>IF(H1488-I1488-J1488&gt;0,H1488-I1488-J1488,0)</f>
        <v/>
      </c>
      <c r="L1488" s="1">
        <f>IFERROR(I1488*E1488,0)</f>
        <v/>
      </c>
      <c r="M1488" s="1">
        <f>IFERROR(K1488*E1488,0)</f>
        <v/>
      </c>
    </row>
    <row r="1489">
      <c r="A1489" t="inlineStr">
        <is>
          <t>Spare Motor</t>
        </is>
      </c>
      <c r="B1489" t="inlineStr">
        <is>
          <t>Tiracamino</t>
        </is>
      </c>
      <c r="C1489" t="inlineStr"/>
      <c r="D1489" t="inlineStr"/>
      <c r="E1489" s="1" t="n">
        <v>0</v>
      </c>
      <c r="F1489" t="n">
        <v>5</v>
      </c>
      <c r="G1489" t="n">
        <v>0</v>
      </c>
      <c r="H1489" t="n">
        <v>25</v>
      </c>
      <c r="I1489" t="n">
        <v>0</v>
      </c>
      <c r="J1489" t="n">
        <v>0</v>
      </c>
      <c r="K1489">
        <f>IF(H1489-I1489-J1489&gt;0,H1489-I1489-J1489,0)</f>
        <v/>
      </c>
      <c r="L1489" s="1">
        <f>IFERROR(I1489*E1489,0)</f>
        <v/>
      </c>
      <c r="M1489" s="1">
        <f>IFERROR(K1489*E1489,0)</f>
        <v/>
      </c>
    </row>
    <row r="1490">
      <c r="A1490" t="inlineStr">
        <is>
          <t>Stantionary</t>
        </is>
      </c>
      <c r="B1490" t="inlineStr">
        <is>
          <t>Stationary</t>
        </is>
      </c>
      <c r="C1490" t="inlineStr">
        <is>
          <t>Bond Stationers</t>
        </is>
      </c>
      <c r="D1490" t="inlineStr"/>
      <c r="E1490" s="1" t="n">
        <v>1176.43</v>
      </c>
      <c r="F1490" t="n">
        <v>1</v>
      </c>
      <c r="G1490" t="n">
        <v>0</v>
      </c>
      <c r="H1490" t="n">
        <v>2</v>
      </c>
      <c r="I1490" t="n">
        <v>0</v>
      </c>
      <c r="J1490" t="n">
        <v>0</v>
      </c>
      <c r="K1490">
        <f>IF(H1490-I1490-J1490&gt;0,H1490-I1490-J1490,0)</f>
        <v/>
      </c>
      <c r="L1490" s="1">
        <f>IFERROR(I1490*E1490,0)</f>
        <v/>
      </c>
      <c r="M1490" s="1">
        <f>IFERROR(K1490*E1490,0)</f>
        <v/>
      </c>
    </row>
    <row r="1491">
      <c r="A1491" t="inlineStr">
        <is>
          <t>TAB10130</t>
        </is>
      </c>
      <c r="B1491" t="inlineStr">
        <is>
          <t>1.1kw 6P 400V B30 90L IE1 MOTOR WEG W21 IP55 AL BOX</t>
        </is>
      </c>
      <c r="C1491" t="inlineStr">
        <is>
          <t>WEG South Africa</t>
        </is>
      </c>
      <c r="D1491" t="inlineStr"/>
      <c r="E1491" s="1" t="n">
        <v>2958.8</v>
      </c>
      <c r="F1491" t="n">
        <v>2</v>
      </c>
      <c r="G1491" t="n">
        <v>0</v>
      </c>
      <c r="H1491" t="n">
        <v>4</v>
      </c>
      <c r="I1491" t="n">
        <v>0</v>
      </c>
      <c r="J1491" t="n">
        <v>0</v>
      </c>
      <c r="K1491">
        <f>IF(H1491-I1491-J1491&gt;0,H1491-I1491-J1491,0)</f>
        <v/>
      </c>
      <c r="L1491" s="1">
        <f>IFERROR(I1491*E1491,0)</f>
        <v/>
      </c>
      <c r="M1491" s="1">
        <f>IFERROR(K1491*E1491,0)</f>
        <v/>
      </c>
    </row>
    <row r="1492">
      <c r="A1492" t="inlineStr">
        <is>
          <t>TAB15030-</t>
        </is>
      </c>
      <c r="B1492" t="inlineStr">
        <is>
          <t>2.2kW 2P 400V B30 90L IE1 MOTOR WEG W11 IP55 AL BOX</t>
        </is>
      </c>
      <c r="C1492" t="inlineStr">
        <is>
          <t>WEG South Africa</t>
        </is>
      </c>
      <c r="D1492" t="inlineStr"/>
      <c r="E1492" s="1" t="n">
        <v>2625</v>
      </c>
      <c r="F1492" t="n">
        <v>2</v>
      </c>
      <c r="G1492" t="n">
        <v>0</v>
      </c>
      <c r="H1492" t="n">
        <v>4</v>
      </c>
      <c r="I1492" t="n">
        <v>0</v>
      </c>
      <c r="J1492" t="n">
        <v>0</v>
      </c>
      <c r="K1492">
        <f>IF(H1492-I1492-J1492&gt;0,H1492-I1492-J1492,0)</f>
        <v/>
      </c>
      <c r="L1492" s="1">
        <f>IFERROR(I1492*E1492,0)</f>
        <v/>
      </c>
      <c r="M1492" s="1">
        <f>IFERROR(K1492*E1492,0)</f>
        <v/>
      </c>
    </row>
    <row r="1493">
      <c r="A1493" t="inlineStr">
        <is>
          <t>TAP08130</t>
        </is>
      </c>
      <c r="B1493" t="inlineStr">
        <is>
          <t>0.75kw 6P 400V B30 90S IE1 MOTOR WEG W21 IP55 AL LEAD</t>
        </is>
      </c>
      <c r="C1493" t="inlineStr">
        <is>
          <t>WEG South Africa</t>
        </is>
      </c>
      <c r="D1493" t="inlineStr"/>
      <c r="E1493" s="1" t="n">
        <v>2385.5</v>
      </c>
      <c r="F1493" t="n">
        <v>2</v>
      </c>
      <c r="G1493" t="n">
        <v>0</v>
      </c>
      <c r="H1493" t="n">
        <v>4</v>
      </c>
      <c r="I1493" t="n">
        <v>0</v>
      </c>
      <c r="J1493" t="n">
        <v>0</v>
      </c>
      <c r="K1493">
        <f>IF(H1493-I1493-J1493&gt;0,H1493-I1493-J1493,0)</f>
        <v/>
      </c>
      <c r="L1493" s="1">
        <f>IFERROR(I1493*E1493,0)</f>
        <v/>
      </c>
      <c r="M1493" s="1">
        <f>IFERROR(K1493*E1493,0)</f>
        <v/>
      </c>
    </row>
    <row r="1494">
      <c r="A1494" t="inlineStr">
        <is>
          <t>TB 315-560</t>
        </is>
      </c>
      <c r="B1494" t="inlineStr">
        <is>
          <t>Casing Terminal Box (315-560)</t>
        </is>
      </c>
      <c r="C1494" t="inlineStr">
        <is>
          <t>ULTIMATENG (PTY) LTD</t>
        </is>
      </c>
      <c r="D1494" t="inlineStr">
        <is>
          <t>FM - DONKIN</t>
        </is>
      </c>
      <c r="E1494" s="1" t="n">
        <v>0</v>
      </c>
      <c r="F1494" t="n">
        <v>19</v>
      </c>
      <c r="G1494" t="n">
        <v>0</v>
      </c>
      <c r="H1494" t="n">
        <v>95</v>
      </c>
      <c r="I1494" t="n">
        <v>0</v>
      </c>
      <c r="J1494" t="n">
        <v>0</v>
      </c>
      <c r="K1494">
        <f>IF(H1494-I1494-J1494&gt;0,H1494-I1494-J1494,0)</f>
        <v/>
      </c>
      <c r="L1494" s="1">
        <f>IFERROR(I1494*E1494,0)</f>
        <v/>
      </c>
      <c r="M1494" s="1">
        <f>IFERROR(K1494*E1494,0)</f>
        <v/>
      </c>
    </row>
    <row r="1495">
      <c r="A1495" t="inlineStr">
        <is>
          <t>TB 630-800</t>
        </is>
      </c>
      <c r="B1495" t="inlineStr">
        <is>
          <t>Casing Terminal Box (560-800)</t>
        </is>
      </c>
      <c r="C1495" t="inlineStr">
        <is>
          <t>ULTIMATENG (PTY) LTD</t>
        </is>
      </c>
      <c r="D1495" t="inlineStr">
        <is>
          <t>FM - DONKIN</t>
        </is>
      </c>
      <c r="E1495" s="1" t="n">
        <v>0</v>
      </c>
      <c r="F1495" t="n">
        <v>19</v>
      </c>
      <c r="G1495" t="n">
        <v>0</v>
      </c>
      <c r="H1495" t="n">
        <v>95</v>
      </c>
      <c r="I1495" t="n">
        <v>0</v>
      </c>
      <c r="J1495" t="n">
        <v>0</v>
      </c>
      <c r="K1495">
        <f>IF(H1495-I1495-J1495&gt;0,H1495-I1495-J1495,0)</f>
        <v/>
      </c>
      <c r="L1495" s="1">
        <f>IFERROR(I1495*E1495,0)</f>
        <v/>
      </c>
      <c r="M1495" s="1">
        <f>IFERROR(K1495*E1495,0)</f>
        <v/>
      </c>
    </row>
    <row r="1496">
      <c r="A1496" t="inlineStr">
        <is>
          <t>TC10.0X4BKHO7</t>
        </is>
      </c>
      <c r="B1496" t="inlineStr">
        <is>
          <t>Trailing Cable 10mm2 4 Core</t>
        </is>
      </c>
      <c r="C1496" t="inlineStr">
        <is>
          <t>Alvern Cables (Pty) Ltd</t>
        </is>
      </c>
      <c r="D1496" t="inlineStr"/>
      <c r="E1496" s="1" t="n">
        <v>138.58</v>
      </c>
      <c r="F1496" t="n">
        <v>17</v>
      </c>
      <c r="G1496" t="n">
        <v>0</v>
      </c>
      <c r="H1496" t="n">
        <v>85</v>
      </c>
      <c r="I1496" t="n">
        <v>0</v>
      </c>
      <c r="J1496" t="n">
        <v>0</v>
      </c>
      <c r="K1496">
        <f>IF(H1496-I1496-J1496&gt;0,H1496-I1496-J1496,0)</f>
        <v/>
      </c>
      <c r="L1496" s="1">
        <f>IFERROR(I1496*E1496,0)</f>
        <v/>
      </c>
      <c r="M1496" s="1">
        <f>IFERROR(K1496*E1496,0)</f>
        <v/>
      </c>
    </row>
    <row r="1497">
      <c r="A1497" t="inlineStr">
        <is>
          <t>TCOVER</t>
        </is>
      </c>
      <c r="B1497" t="inlineStr">
        <is>
          <t>ROPE TIE DOWN - TONNEAU COVER - MAHINDRA SINGLE CAB</t>
        </is>
      </c>
      <c r="C1497" t="inlineStr">
        <is>
          <t>TONNEAU COVER MASTERS</t>
        </is>
      </c>
      <c r="D1497" t="inlineStr">
        <is>
          <t>Car accessories</t>
        </is>
      </c>
      <c r="E1497" s="1" t="n">
        <v>1700</v>
      </c>
      <c r="F1497" t="n">
        <v>1</v>
      </c>
      <c r="G1497" t="n">
        <v>0</v>
      </c>
      <c r="H1497" t="n">
        <v>2</v>
      </c>
      <c r="I1497" t="n">
        <v>0</v>
      </c>
      <c r="J1497" t="n">
        <v>0</v>
      </c>
      <c r="K1497">
        <f>IF(H1497-I1497-J1497&gt;0,H1497-I1497-J1497,0)</f>
        <v/>
      </c>
      <c r="L1497" s="1">
        <f>IFERROR(I1497*E1497,0)</f>
        <v/>
      </c>
      <c r="M1497" s="1">
        <f>IFERROR(K1497*E1497,0)</f>
        <v/>
      </c>
    </row>
    <row r="1498">
      <c r="A1498" t="inlineStr">
        <is>
          <t>TEX1943033</t>
        </is>
      </c>
      <c r="B1498" t="inlineStr">
        <is>
          <t>3kW 4P 220/380-415V B3T 100L IE1 Motor WEG W21 IP55 FLP</t>
        </is>
      </c>
      <c r="C1498" t="inlineStr">
        <is>
          <t>WEG South Africa</t>
        </is>
      </c>
      <c r="D1498" t="inlineStr"/>
      <c r="E1498" s="1" t="n">
        <v>11305.25</v>
      </c>
      <c r="F1498" t="n">
        <v>1</v>
      </c>
      <c r="G1498" t="n">
        <v>0</v>
      </c>
      <c r="H1498" t="n">
        <v>2</v>
      </c>
      <c r="I1498" t="n">
        <v>0</v>
      </c>
      <c r="J1498" t="n">
        <v>0</v>
      </c>
      <c r="K1498">
        <f>IF(H1498-I1498-J1498&gt;0,H1498-I1498-J1498,0)</f>
        <v/>
      </c>
      <c r="L1498" s="1">
        <f>IFERROR(I1498*E1498,0)</f>
        <v/>
      </c>
      <c r="M1498" s="1">
        <f>IFERROR(K1498*E1498,0)</f>
        <v/>
      </c>
    </row>
    <row r="1499">
      <c r="A1499" t="inlineStr">
        <is>
          <t>TEX2313030</t>
        </is>
      </c>
      <c r="B1499" t="inlineStr">
        <is>
          <t>5.5kW 6P 380-415/660V B3 132M IE1 MOTOR WEG W21 IP55 FLP</t>
        </is>
      </c>
      <c r="C1499" t="inlineStr">
        <is>
          <t>Weg SA</t>
        </is>
      </c>
      <c r="D1499" t="inlineStr"/>
      <c r="E1499" s="1" t="n">
        <v>22037.4</v>
      </c>
      <c r="F1499" t="n">
        <v>1</v>
      </c>
      <c r="G1499" t="n">
        <v>0</v>
      </c>
      <c r="H1499" t="n">
        <v>2</v>
      </c>
      <c r="I1499" t="n">
        <v>0</v>
      </c>
      <c r="J1499" t="n">
        <v>0</v>
      </c>
      <c r="K1499">
        <f>IF(H1499-I1499-J1499&gt;0,H1499-I1499-J1499,0)</f>
        <v/>
      </c>
      <c r="L1499" s="1">
        <f>IFERROR(I1499*E1499,0)</f>
        <v/>
      </c>
      <c r="M1499" s="1">
        <f>IFERROR(K1499*E1499,0)</f>
        <v/>
      </c>
    </row>
    <row r="1500">
      <c r="A1500" t="inlineStr">
        <is>
          <t>TF5PUR/C</t>
        </is>
      </c>
      <c r="B1500" t="inlineStr">
        <is>
          <t>TF5PUR/C - Fixed Castor 125mm</t>
        </is>
      </c>
      <c r="C1500" t="inlineStr">
        <is>
          <t>Caslad Agencies CC</t>
        </is>
      </c>
      <c r="D1500" t="inlineStr">
        <is>
          <t>CONSUMABLES</t>
        </is>
      </c>
      <c r="E1500" s="1" t="n">
        <v>253</v>
      </c>
      <c r="F1500" t="n">
        <v>1</v>
      </c>
      <c r="G1500" t="n">
        <v>0</v>
      </c>
      <c r="H1500" t="n">
        <v>5</v>
      </c>
      <c r="I1500" t="n">
        <v>0</v>
      </c>
      <c r="J1500" t="n">
        <v>0</v>
      </c>
      <c r="K1500">
        <f>IF(H1500-I1500-J1500&gt;0,H1500-I1500-J1500,0)</f>
        <v/>
      </c>
      <c r="L1500" s="1">
        <f>IFERROR(I1500*E1500,0)</f>
        <v/>
      </c>
      <c r="M1500" s="1">
        <f>IFERROR(K1500*E1500,0)</f>
        <v/>
      </c>
    </row>
    <row r="1501">
      <c r="A1501" t="inlineStr">
        <is>
          <t>THINNERS</t>
        </is>
      </c>
      <c r="B1501" t="inlineStr">
        <is>
          <t>25L - Thinners 25L</t>
        </is>
      </c>
      <c r="C1501" t="inlineStr">
        <is>
          <t>EIS - (Engineering And Industrial Supplies)</t>
        </is>
      </c>
      <c r="D1501" t="inlineStr"/>
      <c r="E1501" s="1" t="n">
        <v>0</v>
      </c>
      <c r="F1501" t="n">
        <v>2</v>
      </c>
      <c r="G1501" t="n">
        <v>0</v>
      </c>
      <c r="H1501" t="n">
        <v>9</v>
      </c>
      <c r="I1501" t="n">
        <v>0</v>
      </c>
      <c r="J1501" t="n">
        <v>0</v>
      </c>
      <c r="K1501">
        <f>IF(H1501-I1501-J1501&gt;0,H1501-I1501-J1501,0)</f>
        <v/>
      </c>
      <c r="L1501" s="1">
        <f>IFERROR(I1501*E1501,0)</f>
        <v/>
      </c>
      <c r="M1501" s="1">
        <f>IFERROR(K1501*E1501,0)</f>
        <v/>
      </c>
    </row>
    <row r="1502">
      <c r="A1502" t="inlineStr">
        <is>
          <t>THREADED ROD 12X1 ZB</t>
        </is>
      </c>
      <c r="B1502" t="inlineStr">
        <is>
          <t>THREADED ROD 8.8 ZINC BLUE 12X1 975 8.8 ZB</t>
        </is>
      </c>
      <c r="C1502" t="inlineStr">
        <is>
          <t>M&amp;D SPECIALISED FASTENERS (PTY) LTD</t>
        </is>
      </c>
      <c r="D1502" t="inlineStr">
        <is>
          <t>FASTENERS</t>
        </is>
      </c>
      <c r="E1502" s="1" t="n">
        <v>42</v>
      </c>
      <c r="F1502" t="n">
        <v>3</v>
      </c>
      <c r="G1502" t="n">
        <v>0</v>
      </c>
      <c r="H1502" t="n">
        <v>7</v>
      </c>
      <c r="I1502" t="n">
        <v>0</v>
      </c>
      <c r="J1502" t="n">
        <v>0</v>
      </c>
      <c r="K1502">
        <f>IF(H1502-I1502-J1502&gt;0,H1502-I1502-J1502,0)</f>
        <v/>
      </c>
      <c r="L1502" s="1">
        <f>IFERROR(I1502*E1502,0)</f>
        <v/>
      </c>
      <c r="M1502" s="1">
        <f>IFERROR(K1502*E1502,0)</f>
        <v/>
      </c>
    </row>
    <row r="1503">
      <c r="A1503" t="inlineStr">
        <is>
          <t>THREADED ROD 16X1 8 .8 ZB</t>
        </is>
      </c>
      <c r="B1503" t="inlineStr">
        <is>
          <t>16X1 THREADED ROD 8 . 8 ZINC BLUE 16X1 975 8 .8 ZB</t>
        </is>
      </c>
      <c r="C1503" t="inlineStr">
        <is>
          <t>M&amp;D SPECIALISED FASTENERS (PTY) LTD</t>
        </is>
      </c>
      <c r="D1503" t="inlineStr">
        <is>
          <t>FASTENERS</t>
        </is>
      </c>
      <c r="E1503" s="1" t="n">
        <v>96</v>
      </c>
      <c r="F1503" t="n">
        <v>2</v>
      </c>
      <c r="G1503" t="n">
        <v>0</v>
      </c>
      <c r="H1503" t="n">
        <v>12</v>
      </c>
      <c r="I1503" t="n">
        <v>0</v>
      </c>
      <c r="J1503" t="n">
        <v>0</v>
      </c>
      <c r="K1503">
        <f>IF(H1503-I1503-J1503&gt;0,H1503-I1503-J1503,0)</f>
        <v/>
      </c>
      <c r="L1503" s="1">
        <f>IFERROR(I1503*E1503,0)</f>
        <v/>
      </c>
      <c r="M1503" s="1">
        <f>IFERROR(K1503*E1503,0)</f>
        <v/>
      </c>
    </row>
    <row r="1504">
      <c r="A1504" t="inlineStr">
        <is>
          <t>TRL</t>
        </is>
      </c>
      <c r="B1504" t="inlineStr">
        <is>
          <t>Traveling from Office to Airport</t>
        </is>
      </c>
      <c r="C1504" t="inlineStr"/>
      <c r="D1504" t="inlineStr"/>
      <c r="E1504" s="1" t="n">
        <v>0</v>
      </c>
      <c r="F1504" t="n">
        <v>38</v>
      </c>
      <c r="G1504" t="n">
        <v>0</v>
      </c>
      <c r="H1504" t="n">
        <v>190</v>
      </c>
      <c r="I1504" t="n">
        <v>0</v>
      </c>
      <c r="J1504" t="n">
        <v>0</v>
      </c>
      <c r="K1504">
        <f>IF(H1504-I1504-J1504&gt;0,H1504-I1504-J1504,0)</f>
        <v/>
      </c>
      <c r="L1504" s="1">
        <f>IFERROR(I1504*E1504,0)</f>
        <v/>
      </c>
      <c r="M1504" s="1">
        <f>IFERROR(K1504*E1504,0)</f>
        <v/>
      </c>
    </row>
    <row r="1505">
      <c r="A1505" t="inlineStr">
        <is>
          <t>TS5PUR/BK</t>
        </is>
      </c>
      <c r="B1505" t="inlineStr">
        <is>
          <t>TS5PUR/BK - 125mm Brake Castor</t>
        </is>
      </c>
      <c r="C1505" t="inlineStr">
        <is>
          <t>Caslad Agencies CC</t>
        </is>
      </c>
      <c r="D1505" t="inlineStr">
        <is>
          <t>CONSUMABLES</t>
        </is>
      </c>
      <c r="E1505" s="1" t="n">
        <v>350</v>
      </c>
      <c r="F1505" t="n">
        <v>1</v>
      </c>
      <c r="G1505" t="n">
        <v>0</v>
      </c>
      <c r="H1505" t="n">
        <v>5</v>
      </c>
      <c r="I1505" t="n">
        <v>0</v>
      </c>
      <c r="J1505" t="n">
        <v>0</v>
      </c>
      <c r="K1505">
        <f>IF(H1505-I1505-J1505&gt;0,H1505-I1505-J1505,0)</f>
        <v/>
      </c>
      <c r="L1505" s="1">
        <f>IFERROR(I1505*E1505,0)</f>
        <v/>
      </c>
      <c r="M1505" s="1">
        <f>IFERROR(K1505*E1505,0)</f>
        <v/>
      </c>
    </row>
    <row r="1506">
      <c r="A1506" t="inlineStr">
        <is>
          <t>TTS038030006</t>
        </is>
      </c>
      <c r="B1506" t="inlineStr">
        <is>
          <t>Sq / Tube 38X38X3.0-6M</t>
        </is>
      </c>
      <c r="C1506" t="inlineStr">
        <is>
          <t>NJR STEEL - ALRODE (PTY) LTD</t>
        </is>
      </c>
      <c r="D1506" t="inlineStr">
        <is>
          <t>FM - FABRICATION</t>
        </is>
      </c>
      <c r="E1506" s="1" t="n">
        <v>341.95</v>
      </c>
      <c r="F1506" t="n">
        <v>1</v>
      </c>
      <c r="G1506" t="n">
        <v>0</v>
      </c>
      <c r="H1506" t="n">
        <v>2</v>
      </c>
      <c r="I1506" t="n">
        <v>0</v>
      </c>
      <c r="J1506" t="n">
        <v>0</v>
      </c>
      <c r="K1506">
        <f>IF(H1506-I1506-J1506&gt;0,H1506-I1506-J1506,0)</f>
        <v/>
      </c>
      <c r="L1506" s="1">
        <f>IFERROR(I1506*E1506,0)</f>
        <v/>
      </c>
      <c r="M1506" s="1">
        <f>IFERROR(K1506*E1506,0)</f>
        <v/>
      </c>
    </row>
    <row r="1507">
      <c r="A1507" t="inlineStr">
        <is>
          <t>TTSILENTM100</t>
        </is>
      </c>
      <c r="B1507" t="inlineStr">
        <is>
          <t>TTSILENTM100</t>
        </is>
      </c>
      <c r="C1507" t="inlineStr"/>
      <c r="D1507" t="inlineStr">
        <is>
          <t>Vents</t>
        </is>
      </c>
      <c r="E1507" s="1" t="n">
        <v>1175.53</v>
      </c>
      <c r="F1507" t="n">
        <v>1</v>
      </c>
      <c r="G1507" t="n">
        <v>0</v>
      </c>
      <c r="H1507" t="n">
        <v>2</v>
      </c>
      <c r="I1507" t="n">
        <v>0</v>
      </c>
      <c r="J1507" t="n">
        <v>0</v>
      </c>
      <c r="K1507">
        <f>IF(H1507-I1507-J1507&gt;0,H1507-I1507-J1507,0)</f>
        <v/>
      </c>
      <c r="L1507" s="1">
        <f>IFERROR(I1507*E1507,0)</f>
        <v/>
      </c>
      <c r="M1507" s="1">
        <f>IFERROR(K1507*E1507,0)</f>
        <v/>
      </c>
    </row>
    <row r="1508">
      <c r="A1508" t="inlineStr">
        <is>
          <t>TTSILENTM125 Fan</t>
        </is>
      </c>
      <c r="B1508" t="inlineStr">
        <is>
          <t>TTSILENTM125</t>
        </is>
      </c>
      <c r="C1508" t="inlineStr"/>
      <c r="D1508" t="inlineStr"/>
      <c r="E1508" s="1" t="n">
        <v>0</v>
      </c>
      <c r="F1508" t="n">
        <v>65</v>
      </c>
      <c r="G1508" t="n">
        <v>0</v>
      </c>
      <c r="H1508" t="n">
        <v>325</v>
      </c>
      <c r="I1508" t="n">
        <v>0</v>
      </c>
      <c r="J1508" t="n">
        <v>0</v>
      </c>
      <c r="K1508">
        <f>IF(H1508-I1508-J1508&gt;0,H1508-I1508-J1508,0)</f>
        <v/>
      </c>
      <c r="L1508" s="1">
        <f>IFERROR(I1508*E1508,0)</f>
        <v/>
      </c>
      <c r="M1508" s="1">
        <f>IFERROR(K1508*E1508,0)</f>
        <v/>
      </c>
    </row>
    <row r="1509">
      <c r="A1509" t="inlineStr">
        <is>
          <t>TTSILENTM250</t>
        </is>
      </c>
      <c r="B1509" t="inlineStr">
        <is>
          <t>TTSILENTM250</t>
        </is>
      </c>
      <c r="C1509" t="inlineStr"/>
      <c r="D1509" t="inlineStr">
        <is>
          <t>Vents</t>
        </is>
      </c>
      <c r="E1509" s="1" t="n">
        <v>3172.84</v>
      </c>
      <c r="F1509" t="n">
        <v>2</v>
      </c>
      <c r="G1509" t="n">
        <v>0</v>
      </c>
      <c r="H1509" t="n">
        <v>8</v>
      </c>
      <c r="I1509" t="n">
        <v>0</v>
      </c>
      <c r="J1509" t="n">
        <v>0</v>
      </c>
      <c r="K1509">
        <f>IF(H1509-I1509-J1509&gt;0,H1509-I1509-J1509,0)</f>
        <v/>
      </c>
      <c r="L1509" s="1">
        <f>IFERROR(I1509*E1509,0)</f>
        <v/>
      </c>
      <c r="M1509" s="1">
        <f>IFERROR(K1509*E1509,0)</f>
        <v/>
      </c>
    </row>
    <row r="1510">
      <c r="A1510" t="inlineStr">
        <is>
          <t>Terminal-B56.36</t>
        </is>
      </c>
      <c r="B1510" t="inlineStr">
        <is>
          <t>Terminal Block 56.36 - 6TN 56.36 M5 Complete</t>
        </is>
      </c>
      <c r="C1510" t="inlineStr">
        <is>
          <t>Machine Electrical Components CC</t>
        </is>
      </c>
      <c r="D1510" t="inlineStr"/>
      <c r="E1510" s="1" t="n">
        <v>80.67</v>
      </c>
      <c r="F1510" t="n">
        <v>17</v>
      </c>
      <c r="G1510" t="n">
        <v>0</v>
      </c>
      <c r="H1510" t="n">
        <v>85</v>
      </c>
      <c r="I1510" t="n">
        <v>0</v>
      </c>
      <c r="J1510" t="n">
        <v>0</v>
      </c>
      <c r="K1510">
        <f>IF(H1510-I1510-J1510&gt;0,H1510-I1510-J1510,0)</f>
        <v/>
      </c>
      <c r="L1510" s="1">
        <f>IFERROR(I1510*E1510,0)</f>
        <v/>
      </c>
      <c r="M1510" s="1">
        <f>IFERROR(K1510*E1510,0)</f>
        <v/>
      </c>
    </row>
    <row r="1511">
      <c r="A1511" t="inlineStr">
        <is>
          <t>Terminal-B70.45</t>
        </is>
      </c>
      <c r="B1511" t="inlineStr">
        <is>
          <t>Terminal Blocks 70.45 - 6TN10, M6</t>
        </is>
      </c>
      <c r="C1511" t="inlineStr">
        <is>
          <t>Machine Electrical Components CC</t>
        </is>
      </c>
      <c r="D1511" t="inlineStr"/>
      <c r="E1511" s="1" t="n">
        <v>169.6</v>
      </c>
      <c r="F1511" t="n">
        <v>2</v>
      </c>
      <c r="G1511" t="n">
        <v>0</v>
      </c>
      <c r="H1511" t="n">
        <v>12</v>
      </c>
      <c r="I1511" t="n">
        <v>0</v>
      </c>
      <c r="J1511" t="n">
        <v>0</v>
      </c>
      <c r="K1511">
        <f>IF(H1511-I1511-J1511&gt;0,H1511-I1511-J1511,0)</f>
        <v/>
      </c>
      <c r="L1511" s="1">
        <f>IFERROR(I1511*E1511,0)</f>
        <v/>
      </c>
      <c r="M1511" s="1">
        <f>IFERROR(K1511*E1511,0)</f>
        <v/>
      </c>
    </row>
    <row r="1512">
      <c r="A1512" t="inlineStr">
        <is>
          <t>Toll</t>
        </is>
      </c>
      <c r="B1512" t="inlineStr">
        <is>
          <t>Toll</t>
        </is>
      </c>
      <c r="C1512" t="inlineStr">
        <is>
          <t>Lime Laser service</t>
        </is>
      </c>
      <c r="D1512" t="inlineStr">
        <is>
          <t>FM - MACHINERY</t>
        </is>
      </c>
      <c r="E1512" s="1" t="n">
        <v>100</v>
      </c>
      <c r="F1512" t="n">
        <v>1</v>
      </c>
      <c r="G1512" t="n">
        <v>0</v>
      </c>
      <c r="H1512" t="n">
        <v>2</v>
      </c>
      <c r="I1512" t="n">
        <v>0</v>
      </c>
      <c r="J1512" t="n">
        <v>0</v>
      </c>
      <c r="K1512">
        <f>IF(H1512-I1512-J1512&gt;0,H1512-I1512-J1512,0)</f>
        <v/>
      </c>
      <c r="L1512" s="1">
        <f>IFERROR(I1512*E1512,0)</f>
        <v/>
      </c>
      <c r="M1512" s="1">
        <f>IFERROR(K1512*E1512,0)</f>
        <v/>
      </c>
    </row>
    <row r="1513">
      <c r="A1513" t="inlineStr">
        <is>
          <t>Transport</t>
        </is>
      </c>
      <c r="B1513" t="inlineStr">
        <is>
          <t>Delivery</t>
        </is>
      </c>
      <c r="C1513" t="inlineStr">
        <is>
          <t>Air Speration</t>
        </is>
      </c>
      <c r="D1513" t="inlineStr"/>
      <c r="E1513" s="1" t="n">
        <v>250</v>
      </c>
      <c r="F1513" t="n">
        <v>1</v>
      </c>
      <c r="G1513" t="n">
        <v>0</v>
      </c>
      <c r="H1513" t="n">
        <v>3</v>
      </c>
      <c r="I1513" t="n">
        <v>0</v>
      </c>
      <c r="J1513" t="n">
        <v>0</v>
      </c>
      <c r="K1513">
        <f>IF(H1513-I1513-J1513&gt;0,H1513-I1513-J1513,0)</f>
        <v/>
      </c>
      <c r="L1513" s="1">
        <f>IFERROR(I1513*E1513,0)</f>
        <v/>
      </c>
      <c r="M1513" s="1">
        <f>IFERROR(K1513*E1513,0)</f>
        <v/>
      </c>
    </row>
    <row r="1514">
      <c r="A1514" t="inlineStr">
        <is>
          <t>Travel</t>
        </is>
      </c>
      <c r="B1514" t="inlineStr">
        <is>
          <t>Call Out</t>
        </is>
      </c>
      <c r="C1514" t="inlineStr">
        <is>
          <t>AXEGROUP</t>
        </is>
      </c>
      <c r="D1514" t="inlineStr"/>
      <c r="E1514" s="1" t="n">
        <v>550</v>
      </c>
      <c r="F1514" t="n">
        <v>1</v>
      </c>
      <c r="G1514" t="n">
        <v>0</v>
      </c>
      <c r="H1514" t="n">
        <v>2</v>
      </c>
      <c r="I1514" t="n">
        <v>0</v>
      </c>
      <c r="J1514" t="n">
        <v>0</v>
      </c>
      <c r="K1514">
        <f>IF(H1514-I1514-J1514&gt;0,H1514-I1514-J1514,0)</f>
        <v/>
      </c>
      <c r="L1514" s="1">
        <f>IFERROR(I1514*E1514,0)</f>
        <v/>
      </c>
      <c r="M1514" s="1">
        <f>IFERROR(K1514*E1514,0)</f>
        <v/>
      </c>
    </row>
    <row r="1515">
      <c r="A1515" t="inlineStr">
        <is>
          <t>UV 400 SCREEN</t>
        </is>
      </c>
      <c r="B1515" t="inlineStr">
        <is>
          <t>400 SCREENS</t>
        </is>
      </c>
      <c r="C1515" t="inlineStr"/>
      <c r="D1515" t="inlineStr"/>
      <c r="E1515" s="1" t="n">
        <v>0</v>
      </c>
      <c r="F1515" t="n">
        <v>1</v>
      </c>
      <c r="G1515" t="n">
        <v>0</v>
      </c>
      <c r="H1515" t="n">
        <v>2</v>
      </c>
      <c r="I1515" t="n">
        <v>0</v>
      </c>
      <c r="J1515" t="n">
        <v>0</v>
      </c>
      <c r="K1515">
        <f>IF(H1515-I1515-J1515&gt;0,H1515-I1515-J1515,0)</f>
        <v/>
      </c>
      <c r="L1515" s="1">
        <f>IFERROR(I1515*E1515,0)</f>
        <v/>
      </c>
      <c r="M1515" s="1">
        <f>IFERROR(K1515*E1515,0)</f>
        <v/>
      </c>
    </row>
    <row r="1516">
      <c r="A1516" t="inlineStr">
        <is>
          <t>UV 400-3-4</t>
        </is>
      </c>
      <c r="B1516" t="inlineStr">
        <is>
          <t>c/w 0.55 kW 4 Pole 380</t>
        </is>
      </c>
      <c r="C1516" t="inlineStr">
        <is>
          <t>Centrifab (Pty) Ltd</t>
        </is>
      </c>
      <c r="D1516" t="inlineStr"/>
      <c r="E1516" s="1" t="n">
        <v>10550</v>
      </c>
      <c r="F1516" t="n">
        <v>3</v>
      </c>
      <c r="G1516" t="n">
        <v>0</v>
      </c>
      <c r="H1516" t="n">
        <v>7</v>
      </c>
      <c r="I1516" t="n">
        <v>0</v>
      </c>
      <c r="J1516" t="n">
        <v>0</v>
      </c>
      <c r="K1516">
        <f>IF(H1516-I1516-J1516&gt;0,H1516-I1516-J1516,0)</f>
        <v/>
      </c>
      <c r="L1516" s="1">
        <f>IFERROR(I1516*E1516,0)</f>
        <v/>
      </c>
      <c r="M1516" s="1">
        <f>IFERROR(K1516*E1516,0)</f>
        <v/>
      </c>
    </row>
    <row r="1517">
      <c r="A1517" t="inlineStr">
        <is>
          <t>UV 400-3-6</t>
        </is>
      </c>
      <c r="B1517" t="inlineStr">
        <is>
          <t>c/w 0.55 kW 6 Pole 380</t>
        </is>
      </c>
      <c r="C1517" t="inlineStr">
        <is>
          <t>Centrifab (Pty) Ltd</t>
        </is>
      </c>
      <c r="D1517" t="inlineStr"/>
      <c r="E1517" s="1" t="n">
        <v>9892</v>
      </c>
      <c r="F1517" t="n">
        <v>1</v>
      </c>
      <c r="G1517" t="n">
        <v>0</v>
      </c>
      <c r="H1517" t="n">
        <v>3</v>
      </c>
      <c r="I1517" t="n">
        <v>0</v>
      </c>
      <c r="J1517" t="n">
        <v>1</v>
      </c>
      <c r="K1517">
        <f>IF(H1517-I1517-J1517&gt;0,H1517-I1517-J1517,0)</f>
        <v/>
      </c>
      <c r="L1517" s="1">
        <f>IFERROR(I1517*E1517,0)</f>
        <v/>
      </c>
      <c r="M1517" s="1">
        <f>IFERROR(K1517*E1517,0)</f>
        <v/>
      </c>
    </row>
    <row r="1518">
      <c r="A1518" t="inlineStr">
        <is>
          <t>UV 500</t>
        </is>
      </c>
      <c r="B1518" t="inlineStr">
        <is>
          <t>Dome Only</t>
        </is>
      </c>
      <c r="C1518" t="inlineStr">
        <is>
          <t>Centrifab (Pty) Ltd</t>
        </is>
      </c>
      <c r="D1518" t="inlineStr"/>
      <c r="E1518" s="1" t="n">
        <v>900</v>
      </c>
      <c r="F1518" t="n">
        <v>2</v>
      </c>
      <c r="G1518" t="n">
        <v>0</v>
      </c>
      <c r="H1518" t="n">
        <v>4</v>
      </c>
      <c r="I1518" t="n">
        <v>0</v>
      </c>
      <c r="J1518" t="n">
        <v>0</v>
      </c>
      <c r="K1518">
        <f>IF(H1518-I1518-J1518&gt;0,H1518-I1518-J1518,0)</f>
        <v/>
      </c>
      <c r="L1518" s="1">
        <f>IFERROR(I1518*E1518,0)</f>
        <v/>
      </c>
      <c r="M1518" s="1">
        <f>IFERROR(K1518*E1518,0)</f>
        <v/>
      </c>
    </row>
    <row r="1519">
      <c r="A1519" t="inlineStr">
        <is>
          <t>UV 630/3/6/W</t>
        </is>
      </c>
      <c r="B1519" t="inlineStr">
        <is>
          <t>c/w 1.5 kW 6 Pole 380 V Motor</t>
        </is>
      </c>
      <c r="C1519" t="inlineStr">
        <is>
          <t>Centrifab (Pty) Ltd</t>
        </is>
      </c>
      <c r="D1519" t="inlineStr"/>
      <c r="E1519" s="1" t="n">
        <v>10527.25</v>
      </c>
      <c r="F1519" t="n">
        <v>4</v>
      </c>
      <c r="G1519" t="n">
        <v>0</v>
      </c>
      <c r="H1519" t="n">
        <v>10</v>
      </c>
      <c r="I1519" t="n">
        <v>0</v>
      </c>
      <c r="J1519" t="n">
        <v>0</v>
      </c>
      <c r="K1519">
        <f>IF(H1519-I1519-J1519&gt;0,H1519-I1519-J1519,0)</f>
        <v/>
      </c>
      <c r="L1519" s="1">
        <f>IFERROR(I1519*E1519,0)</f>
        <v/>
      </c>
      <c r="M1519" s="1">
        <f>IFERROR(K1519*E1519,0)</f>
        <v/>
      </c>
    </row>
    <row r="1520">
      <c r="A1520" t="inlineStr">
        <is>
          <t>UV 710/3/6</t>
        </is>
      </c>
      <c r="B1520" t="inlineStr">
        <is>
          <t>UV710/3/6</t>
        </is>
      </c>
      <c r="C1520" t="inlineStr">
        <is>
          <t>Centrifab (Pty) Ltd</t>
        </is>
      </c>
      <c r="D1520" t="inlineStr">
        <is>
          <t>Roof Fans</t>
        </is>
      </c>
      <c r="E1520" s="1" t="n">
        <v>14073</v>
      </c>
      <c r="F1520" t="n">
        <v>1</v>
      </c>
      <c r="G1520" t="n">
        <v>0</v>
      </c>
      <c r="H1520" t="n">
        <v>3</v>
      </c>
      <c r="I1520" t="n">
        <v>0</v>
      </c>
      <c r="J1520" t="n">
        <v>0</v>
      </c>
      <c r="K1520">
        <f>IF(H1520-I1520-J1520&gt;0,H1520-I1520-J1520,0)</f>
        <v/>
      </c>
      <c r="L1520" s="1">
        <f>IFERROR(I1520*E1520,0)</f>
        <v/>
      </c>
      <c r="M1520" s="1">
        <f>IFERROR(K1520*E1520,0)</f>
        <v/>
      </c>
    </row>
    <row r="1521">
      <c r="A1521" t="inlineStr">
        <is>
          <t>VB10NX1320 F</t>
        </is>
      </c>
      <c r="B1521" t="inlineStr">
        <is>
          <t>Friction Belt wedge Envelope SPZ SE</t>
        </is>
      </c>
      <c r="C1521" t="inlineStr">
        <is>
          <t>Bearing Man Group</t>
        </is>
      </c>
      <c r="D1521" t="inlineStr"/>
      <c r="E1521" s="1" t="n">
        <v>52.19</v>
      </c>
      <c r="F1521" t="n">
        <v>2</v>
      </c>
      <c r="G1521" t="n">
        <v>0</v>
      </c>
      <c r="H1521" t="n">
        <v>10</v>
      </c>
      <c r="I1521" t="n">
        <v>0</v>
      </c>
      <c r="J1521" t="n">
        <v>0</v>
      </c>
      <c r="K1521">
        <f>IF(H1521-I1521-J1521&gt;0,H1521-I1521-J1521,0)</f>
        <v/>
      </c>
      <c r="L1521" s="1">
        <f>IFERROR(I1521*E1521,0)</f>
        <v/>
      </c>
      <c r="M1521" s="1">
        <f>IFERROR(K1521*E1521,0)</f>
        <v/>
      </c>
    </row>
    <row r="1522">
      <c r="A1522" t="inlineStr">
        <is>
          <t>VB13NX1340 F</t>
        </is>
      </c>
      <c r="B1522" t="inlineStr">
        <is>
          <t>VB13NX1340 FENNER</t>
        </is>
      </c>
      <c r="C1522" t="inlineStr">
        <is>
          <t>Bearing Man Group</t>
        </is>
      </c>
      <c r="D1522" t="inlineStr"/>
      <c r="E1522" s="1" t="n">
        <v>48.65</v>
      </c>
      <c r="F1522" t="n">
        <v>3</v>
      </c>
      <c r="G1522" t="n">
        <v>0</v>
      </c>
      <c r="H1522" t="n">
        <v>15</v>
      </c>
      <c r="I1522" t="n">
        <v>0</v>
      </c>
      <c r="J1522" t="n">
        <v>0</v>
      </c>
      <c r="K1522">
        <f>IF(H1522-I1522-J1522&gt;0,H1522-I1522-J1522,0)</f>
        <v/>
      </c>
      <c r="L1522" s="1">
        <f>IFERROR(I1522*E1522,0)</f>
        <v/>
      </c>
      <c r="M1522" s="1">
        <f>IFERROR(K1522*E1522,0)</f>
        <v/>
      </c>
    </row>
    <row r="1523">
      <c r="A1523" t="inlineStr">
        <is>
          <t>VB13NX1400 F</t>
        </is>
      </c>
      <c r="B1523" t="inlineStr">
        <is>
          <t>FRICTION BELT WEDGE ENVELOPE SPA SECTION 13 X 10 X 1400MM FENNER</t>
        </is>
      </c>
      <c r="C1523" t="inlineStr">
        <is>
          <t>Bearing Man Group</t>
        </is>
      </c>
      <c r="D1523" t="inlineStr"/>
      <c r="E1523" s="1" t="n">
        <v>55.88</v>
      </c>
      <c r="F1523" t="n">
        <v>2</v>
      </c>
      <c r="G1523" t="n">
        <v>0</v>
      </c>
      <c r="H1523" t="n">
        <v>8</v>
      </c>
      <c r="I1523" t="n">
        <v>0</v>
      </c>
      <c r="J1523" t="n">
        <v>0</v>
      </c>
      <c r="K1523">
        <f>IF(H1523-I1523-J1523&gt;0,H1523-I1523-J1523,0)</f>
        <v/>
      </c>
      <c r="L1523" s="1">
        <f>IFERROR(I1523*E1523,0)</f>
        <v/>
      </c>
      <c r="M1523" s="1">
        <f>IFERROR(K1523*E1523,0)</f>
        <v/>
      </c>
    </row>
    <row r="1524">
      <c r="A1524" t="inlineStr">
        <is>
          <t>VB13NX1600 F</t>
        </is>
      </c>
      <c r="B1524" t="inlineStr">
        <is>
          <t>FRICTION BELT WEDGE ENVELOPE SPA -SECTION 13 X 10 X 1600MM FENNER</t>
        </is>
      </c>
      <c r="C1524" t="inlineStr">
        <is>
          <t>Bearing Man Group</t>
        </is>
      </c>
      <c r="D1524" t="inlineStr"/>
      <c r="E1524" s="1" t="n">
        <v>58.79</v>
      </c>
      <c r="F1524" t="n">
        <v>28</v>
      </c>
      <c r="G1524" t="n">
        <v>0</v>
      </c>
      <c r="H1524" t="n">
        <v>58</v>
      </c>
      <c r="I1524" t="n">
        <v>0</v>
      </c>
      <c r="J1524" t="n">
        <v>0</v>
      </c>
      <c r="K1524">
        <f>IF(H1524-I1524-J1524&gt;0,H1524-I1524-J1524,0)</f>
        <v/>
      </c>
      <c r="L1524" s="1">
        <f>IFERROR(I1524*E1524,0)</f>
        <v/>
      </c>
      <c r="M1524" s="1">
        <f>IFERROR(K1524*E1524,0)</f>
        <v/>
      </c>
    </row>
    <row r="1525">
      <c r="A1525" t="inlineStr">
        <is>
          <t>VB13NX1682 F</t>
        </is>
      </c>
      <c r="B1525" t="inlineStr">
        <is>
          <t>FRICTION BELT WEDGE ENVELOPE SPA SECTION 13 X 10 X 1682MM FENNER</t>
        </is>
      </c>
      <c r="C1525" t="inlineStr">
        <is>
          <t>Bearing Man Group</t>
        </is>
      </c>
      <c r="D1525" t="inlineStr"/>
      <c r="E1525" s="1" t="n">
        <v>63.34</v>
      </c>
      <c r="F1525" t="n">
        <v>3</v>
      </c>
      <c r="G1525" t="n">
        <v>0</v>
      </c>
      <c r="H1525" t="n">
        <v>15</v>
      </c>
      <c r="I1525" t="n">
        <v>0</v>
      </c>
      <c r="J1525" t="n">
        <v>0</v>
      </c>
      <c r="K1525">
        <f>IF(H1525-I1525-J1525&gt;0,H1525-I1525-J1525,0)</f>
        <v/>
      </c>
      <c r="L1525" s="1">
        <f>IFERROR(I1525*E1525,0)</f>
        <v/>
      </c>
      <c r="M1525" s="1">
        <f>IFERROR(K1525*E1525,0)</f>
        <v/>
      </c>
    </row>
    <row r="1526">
      <c r="A1526" t="inlineStr">
        <is>
          <t>VB13NX1700 FF</t>
        </is>
      </c>
      <c r="B1526" t="inlineStr">
        <is>
          <t>FRICTION BELT WEDGE ENVELOPE SPA SE</t>
        </is>
      </c>
      <c r="C1526" t="inlineStr">
        <is>
          <t>Bearing Man Group</t>
        </is>
      </c>
      <c r="D1526" t="inlineStr"/>
      <c r="E1526" s="1" t="n">
        <v>73.27</v>
      </c>
      <c r="F1526" t="n">
        <v>2</v>
      </c>
      <c r="G1526" t="n">
        <v>0</v>
      </c>
      <c r="H1526" t="n">
        <v>8</v>
      </c>
      <c r="I1526" t="n">
        <v>0</v>
      </c>
      <c r="J1526" t="n">
        <v>0</v>
      </c>
      <c r="K1526">
        <f>IF(H1526-I1526-J1526&gt;0,H1526-I1526-J1526,0)</f>
        <v/>
      </c>
      <c r="L1526" s="1">
        <f>IFERROR(I1526*E1526,0)</f>
        <v/>
      </c>
      <c r="M1526" s="1">
        <f>IFERROR(K1526*E1526,0)</f>
        <v/>
      </c>
    </row>
    <row r="1527">
      <c r="A1527" t="inlineStr">
        <is>
          <t>VB13NX1800 F</t>
        </is>
      </c>
      <c r="B1527" t="inlineStr">
        <is>
          <t>FRICTION BELT WEDGE ENVELOPE SPA SECTION 13 X 10 X 1800MM FENNER</t>
        </is>
      </c>
      <c r="C1527" t="inlineStr">
        <is>
          <t>Bearing Man Group</t>
        </is>
      </c>
      <c r="D1527" t="inlineStr"/>
      <c r="E1527" s="1" t="n">
        <v>65.98</v>
      </c>
      <c r="F1527" t="n">
        <v>2</v>
      </c>
      <c r="G1527" t="n">
        <v>0</v>
      </c>
      <c r="H1527" t="n">
        <v>8</v>
      </c>
      <c r="I1527" t="n">
        <v>0</v>
      </c>
      <c r="J1527" t="n">
        <v>0</v>
      </c>
      <c r="K1527">
        <f>IF(H1527-I1527-J1527&gt;0,H1527-I1527-J1527,0)</f>
        <v/>
      </c>
      <c r="L1527" s="1">
        <f>IFERROR(I1527*E1527,0)</f>
        <v/>
      </c>
      <c r="M1527" s="1">
        <f>IFERROR(K1527*E1527,0)</f>
        <v/>
      </c>
    </row>
    <row r="1528">
      <c r="A1528" t="inlineStr">
        <is>
          <t>VB13NX1900 F</t>
        </is>
      </c>
      <c r="B1528" t="inlineStr">
        <is>
          <t>FRICTION BELT WEDGE ENVELOPE SPA SECTION 13 X 10 X 1900MM FENNER</t>
        </is>
      </c>
      <c r="C1528" t="inlineStr">
        <is>
          <t>Bearing Man Group</t>
        </is>
      </c>
      <c r="D1528" t="inlineStr"/>
      <c r="E1528" s="1" t="n">
        <v>69.58</v>
      </c>
      <c r="F1528" t="n">
        <v>1</v>
      </c>
      <c r="G1528" t="n">
        <v>0</v>
      </c>
      <c r="H1528" t="n">
        <v>5</v>
      </c>
      <c r="I1528" t="n">
        <v>0</v>
      </c>
      <c r="J1528" t="n">
        <v>0</v>
      </c>
      <c r="K1528">
        <f>IF(H1528-I1528-J1528&gt;0,H1528-I1528-J1528,0)</f>
        <v/>
      </c>
      <c r="L1528" s="1">
        <f>IFERROR(I1528*E1528,0)</f>
        <v/>
      </c>
      <c r="M1528" s="1">
        <f>IFERROR(K1528*E1528,0)</f>
        <v/>
      </c>
    </row>
    <row r="1529">
      <c r="A1529" t="inlineStr">
        <is>
          <t>VCN100</t>
        </is>
      </c>
      <c r="B1529" t="inlineStr">
        <is>
          <t>VCN100 - External Exhaust Fan - 100mm?</t>
        </is>
      </c>
      <c r="C1529" t="inlineStr"/>
      <c r="D1529" t="inlineStr">
        <is>
          <t>Vents</t>
        </is>
      </c>
      <c r="E1529" s="1" t="n">
        <v>990.91</v>
      </c>
      <c r="F1529" t="n">
        <v>1</v>
      </c>
      <c r="G1529" t="n">
        <v>0</v>
      </c>
      <c r="H1529" t="n">
        <v>2</v>
      </c>
      <c r="I1529" t="n">
        <v>0</v>
      </c>
      <c r="J1529" t="n">
        <v>0</v>
      </c>
      <c r="K1529">
        <f>IF(H1529-I1529-J1529&gt;0,H1529-I1529-J1529,0)</f>
        <v/>
      </c>
      <c r="L1529" s="1">
        <f>IFERROR(I1529*E1529,0)</f>
        <v/>
      </c>
      <c r="M1529" s="1">
        <f>IFERROR(K1529*E1529,0)</f>
        <v/>
      </c>
    </row>
    <row r="1530">
      <c r="A1530" t="inlineStr">
        <is>
          <t>VCN150</t>
        </is>
      </c>
      <c r="B1530" t="inlineStr">
        <is>
          <t>VCN150 - External Exhaust Fan - 150mm?</t>
        </is>
      </c>
      <c r="C1530" t="inlineStr"/>
      <c r="D1530" t="inlineStr">
        <is>
          <t>Vents</t>
        </is>
      </c>
      <c r="E1530" s="1" t="n">
        <v>1188.07</v>
      </c>
      <c r="F1530" t="n">
        <v>1</v>
      </c>
      <c r="G1530" t="n">
        <v>0</v>
      </c>
      <c r="H1530" t="n">
        <v>2</v>
      </c>
      <c r="I1530" t="n">
        <v>0</v>
      </c>
      <c r="J1530" t="n">
        <v>0</v>
      </c>
      <c r="K1530">
        <f>IF(H1530-I1530-J1530&gt;0,H1530-I1530-J1530,0)</f>
        <v/>
      </c>
      <c r="L1530" s="1">
        <f>IFERROR(I1530*E1530,0)</f>
        <v/>
      </c>
      <c r="M1530" s="1">
        <f>IFERROR(K1530*E1530,0)</f>
        <v/>
      </c>
    </row>
    <row r="1531">
      <c r="A1531" t="inlineStr">
        <is>
          <t>VLA3 &amp; RV3</t>
        </is>
      </c>
      <c r="B1531" t="inlineStr">
        <is>
          <t>VLA3 or RV3 - 1'</t>
        </is>
      </c>
      <c r="C1531" t="inlineStr"/>
      <c r="D1531" t="inlineStr">
        <is>
          <t>FM - FPZ</t>
        </is>
      </c>
      <c r="E1531" s="1" t="n">
        <v>0</v>
      </c>
      <c r="F1531" t="n">
        <v>1</v>
      </c>
      <c r="G1531" t="n">
        <v>0</v>
      </c>
      <c r="H1531" t="n">
        <v>2</v>
      </c>
      <c r="I1531" t="n">
        <v>0</v>
      </c>
      <c r="J1531" t="n">
        <v>0</v>
      </c>
      <c r="K1531">
        <f>IF(H1531-I1531-J1531&gt;0,H1531-I1531-J1531,0)</f>
        <v/>
      </c>
      <c r="L1531" s="1">
        <f>IFERROR(I1531*E1531,0)</f>
        <v/>
      </c>
      <c r="M1531" s="1">
        <f>IFERROR(K1531*E1531,0)</f>
        <v/>
      </c>
    </row>
    <row r="1532">
      <c r="A1532" t="inlineStr">
        <is>
          <t>VOC</t>
        </is>
      </c>
      <c r="B1532" t="inlineStr">
        <is>
          <t>Creation, Conformity Review, Inspection &amp; Issuance</t>
        </is>
      </c>
      <c r="C1532" t="inlineStr">
        <is>
          <t>Bureau Veritas Testing Inspection SA Pty</t>
        </is>
      </c>
      <c r="D1532" t="inlineStr"/>
      <c r="E1532" s="1" t="n">
        <v>8161.02</v>
      </c>
      <c r="F1532" t="n">
        <v>1</v>
      </c>
      <c r="G1532" t="n">
        <v>0</v>
      </c>
      <c r="H1532" t="n">
        <v>5</v>
      </c>
      <c r="I1532" t="n">
        <v>0</v>
      </c>
      <c r="J1532" t="n">
        <v>0</v>
      </c>
      <c r="K1532">
        <f>IF(H1532-I1532-J1532&gt;0,H1532-I1532-J1532,0)</f>
        <v/>
      </c>
      <c r="L1532" s="1">
        <f>IFERROR(I1532*E1532,0)</f>
        <v/>
      </c>
      <c r="M1532" s="1">
        <f>IFERROR(K1532*E1532,0)</f>
        <v/>
      </c>
    </row>
    <row r="1533">
      <c r="A1533" t="inlineStr">
        <is>
          <t>VP 15</t>
        </is>
      </c>
      <c r="B1533" t="inlineStr">
        <is>
          <t>VP 150K</t>
        </is>
      </c>
      <c r="C1533" t="inlineStr"/>
      <c r="D1533" t="inlineStr"/>
      <c r="E1533" s="1" t="n">
        <v>0</v>
      </c>
      <c r="F1533" t="n">
        <v>1</v>
      </c>
      <c r="G1533" t="n">
        <v>0</v>
      </c>
      <c r="H1533" t="n">
        <v>5</v>
      </c>
      <c r="I1533" t="n">
        <v>0</v>
      </c>
      <c r="J1533" t="n">
        <v>0</v>
      </c>
      <c r="K1533">
        <f>IF(H1533-I1533-J1533&gt;0,H1533-I1533-J1533,0)</f>
        <v/>
      </c>
      <c r="L1533" s="1">
        <f>IFERROR(I1533*E1533,0)</f>
        <v/>
      </c>
      <c r="M1533" s="1">
        <f>IFERROR(K1533*E1533,0)</f>
        <v/>
      </c>
    </row>
    <row r="1534">
      <c r="A1534" t="inlineStr">
        <is>
          <t>VRL6</t>
        </is>
      </c>
      <c r="B1534" t="inlineStr">
        <is>
          <t>VRL6 - 2'</t>
        </is>
      </c>
      <c r="C1534" t="inlineStr"/>
      <c r="D1534" t="inlineStr">
        <is>
          <t>FM - FPZ</t>
        </is>
      </c>
      <c r="E1534" s="1" t="n">
        <v>0</v>
      </c>
      <c r="F1534" t="n">
        <v>1</v>
      </c>
      <c r="G1534" t="n">
        <v>0</v>
      </c>
      <c r="H1534" t="n">
        <v>2</v>
      </c>
      <c r="I1534" t="n">
        <v>0</v>
      </c>
      <c r="J1534" t="n">
        <v>0</v>
      </c>
      <c r="K1534">
        <f>IF(H1534-I1534-J1534&gt;0,H1534-I1534-J1534,0)</f>
        <v/>
      </c>
      <c r="L1534" s="1">
        <f>IFERROR(I1534*E1534,0)</f>
        <v/>
      </c>
      <c r="M1534" s="1">
        <f>IFERROR(K1534*E1534,0)</f>
        <v/>
      </c>
    </row>
    <row r="1535">
      <c r="A1535" t="inlineStr">
        <is>
          <t>VRL8</t>
        </is>
      </c>
      <c r="B1535" t="inlineStr">
        <is>
          <t>VRL8 - 3'</t>
        </is>
      </c>
      <c r="C1535" t="inlineStr">
        <is>
          <t>Effepizeta</t>
        </is>
      </c>
      <c r="D1535" t="inlineStr">
        <is>
          <t>FM - FPZ</t>
        </is>
      </c>
      <c r="E1535" s="1" t="n">
        <v>0</v>
      </c>
      <c r="F1535" t="n">
        <v>1</v>
      </c>
      <c r="G1535" t="n">
        <v>0</v>
      </c>
      <c r="H1535" t="n">
        <v>3</v>
      </c>
      <c r="I1535" t="n">
        <v>0</v>
      </c>
      <c r="J1535" t="n">
        <v>0</v>
      </c>
      <c r="K1535">
        <f>IF(H1535-I1535-J1535&gt;0,H1535-I1535-J1535,0)</f>
        <v/>
      </c>
      <c r="L1535" s="1">
        <f>IFERROR(I1535*E1535,0)</f>
        <v/>
      </c>
      <c r="M1535" s="1">
        <f>IFERROR(K1535*E1535,0)</f>
        <v/>
      </c>
    </row>
    <row r="1536">
      <c r="A1536" t="inlineStr">
        <is>
          <t>VRL9</t>
        </is>
      </c>
      <c r="B1536" t="inlineStr">
        <is>
          <t>VRL9 - 4'</t>
        </is>
      </c>
      <c r="C1536" t="inlineStr">
        <is>
          <t>Effepizeta</t>
        </is>
      </c>
      <c r="D1536" t="inlineStr">
        <is>
          <t>FM - FPZ</t>
        </is>
      </c>
      <c r="E1536" s="1" t="n">
        <v>0</v>
      </c>
      <c r="F1536" t="n">
        <v>1</v>
      </c>
      <c r="G1536" t="n">
        <v>0</v>
      </c>
      <c r="H1536" t="n">
        <v>3</v>
      </c>
      <c r="I1536" t="n">
        <v>0</v>
      </c>
      <c r="J1536" t="n">
        <v>0</v>
      </c>
      <c r="K1536">
        <f>IF(H1536-I1536-J1536&gt;0,H1536-I1536-J1536,0)</f>
        <v/>
      </c>
      <c r="L1536" s="1">
        <f>IFERROR(I1536*E1536,0)</f>
        <v/>
      </c>
      <c r="M1536" s="1">
        <f>IFERROR(K1536*E1536,0)</f>
        <v/>
      </c>
    </row>
    <row r="1537">
      <c r="A1537" t="inlineStr">
        <is>
          <t>VSD</t>
        </is>
      </c>
      <c r="B1537" t="inlineStr">
        <is>
          <t>- 37 kW 380V variable speed drive</t>
        </is>
      </c>
      <c r="C1537" t="inlineStr"/>
      <c r="D1537" t="inlineStr"/>
      <c r="E1537" s="1" t="n">
        <v>0</v>
      </c>
      <c r="F1537" t="n">
        <v>1</v>
      </c>
      <c r="G1537" t="n">
        <v>0</v>
      </c>
      <c r="H1537" t="n">
        <v>2</v>
      </c>
      <c r="I1537" t="n">
        <v>0</v>
      </c>
      <c r="J1537" t="n">
        <v>0</v>
      </c>
      <c r="K1537">
        <f>IF(H1537-I1537-J1537&gt;0,H1537-I1537-J1537,0)</f>
        <v/>
      </c>
      <c r="L1537" s="1">
        <f>IFERROR(I1537*E1537,0)</f>
        <v/>
      </c>
      <c r="M1537" s="1">
        <f>IFERROR(K1537*E1537,0)</f>
        <v/>
      </c>
    </row>
    <row r="1538">
      <c r="A1538" t="inlineStr">
        <is>
          <t>W1G250</t>
        </is>
      </c>
      <c r="B1538" t="inlineStr">
        <is>
          <t>HH67 - 52 - 48 V (36-57V-) DC. 105 W 2750 min 1</t>
        </is>
      </c>
      <c r="C1538" t="inlineStr">
        <is>
          <t>Ebmpapst</t>
        </is>
      </c>
      <c r="D1538" t="inlineStr"/>
      <c r="E1538" s="1" t="n">
        <v>0</v>
      </c>
      <c r="F1538" t="n">
        <v>2</v>
      </c>
      <c r="G1538" t="n">
        <v>0</v>
      </c>
      <c r="H1538" t="n">
        <v>10</v>
      </c>
      <c r="I1538" t="n">
        <v>0</v>
      </c>
      <c r="J1538" t="n">
        <v>0</v>
      </c>
      <c r="K1538">
        <f>IF(H1538-I1538-J1538&gt;0,H1538-I1538-J1538,0)</f>
        <v/>
      </c>
      <c r="L1538" s="1">
        <f>IFERROR(I1538*E1538,0)</f>
        <v/>
      </c>
      <c r="M1538" s="1">
        <f>IFERROR(K1538*E1538,0)</f>
        <v/>
      </c>
    </row>
    <row r="1539">
      <c r="A1539" t="inlineStr">
        <is>
          <t>WAMCENTRIF</t>
        </is>
      </c>
      <c r="B1539" t="inlineStr">
        <is>
          <t>WAM Centrif c/w 1.5HP Nema Motor</t>
        </is>
      </c>
      <c r="C1539" t="inlineStr"/>
      <c r="D1539" t="inlineStr"/>
      <c r="E1539" s="1" t="n">
        <v>0</v>
      </c>
      <c r="F1539" t="n">
        <v>2</v>
      </c>
      <c r="G1539" t="n">
        <v>0</v>
      </c>
      <c r="H1539" t="n">
        <v>8</v>
      </c>
      <c r="I1539" t="n">
        <v>0</v>
      </c>
      <c r="J1539" t="n">
        <v>0</v>
      </c>
      <c r="K1539">
        <f>IF(H1539-I1539-J1539&gt;0,H1539-I1539-J1539,0)</f>
        <v/>
      </c>
      <c r="L1539" s="1">
        <f>IFERROR(I1539*E1539,0)</f>
        <v/>
      </c>
      <c r="M1539" s="1">
        <f>IFERROR(K1539*E1539,0)</f>
        <v/>
      </c>
    </row>
    <row r="1540">
      <c r="A1540" t="inlineStr">
        <is>
          <t>WAREHOUSE-FAN1</t>
        </is>
      </c>
      <c r="B1540" t="inlineStr">
        <is>
          <t>HTMH-71-4T-4 IE3 380V 60Hz IE3 - Roof Top Exhaust Fan</t>
        </is>
      </c>
      <c r="C1540" t="inlineStr"/>
      <c r="D1540" t="inlineStr"/>
      <c r="E1540" s="1" t="n">
        <v>0</v>
      </c>
      <c r="F1540" t="n">
        <v>10</v>
      </c>
      <c r="G1540" t="n">
        <v>0</v>
      </c>
      <c r="H1540" t="n">
        <v>50</v>
      </c>
      <c r="I1540" t="n">
        <v>0</v>
      </c>
      <c r="J1540" t="n">
        <v>0</v>
      </c>
      <c r="K1540">
        <f>IF(H1540-I1540-J1540&gt;0,H1540-I1540-J1540,0)</f>
        <v/>
      </c>
      <c r="L1540" s="1">
        <f>IFERROR(I1540*E1540,0)</f>
        <v/>
      </c>
      <c r="M1540" s="1">
        <f>IFERROR(K1540*E1540,0)</f>
        <v/>
      </c>
    </row>
    <row r="1541">
      <c r="A1541" t="inlineStr">
        <is>
          <t>WD002</t>
        </is>
      </c>
      <c r="B1541" t="inlineStr">
        <is>
          <t>FMD 600 x 600 x 50 W/D</t>
        </is>
      </c>
      <c r="C1541" t="inlineStr">
        <is>
          <t>Filtermac Design ( Pty) Ltd</t>
        </is>
      </c>
      <c r="D1541" t="inlineStr"/>
      <c r="E1541" s="1" t="n">
        <v>169</v>
      </c>
      <c r="F1541" t="n">
        <v>13</v>
      </c>
      <c r="G1541" t="n">
        <v>0</v>
      </c>
      <c r="H1541" t="n">
        <v>45</v>
      </c>
      <c r="I1541" t="n">
        <v>0</v>
      </c>
      <c r="J1541" t="n">
        <v>0</v>
      </c>
      <c r="K1541">
        <f>IF(H1541-I1541-J1541&gt;0,H1541-I1541-J1541,0)</f>
        <v/>
      </c>
      <c r="L1541" s="1">
        <f>IFERROR(I1541*E1541,0)</f>
        <v/>
      </c>
      <c r="M1541" s="1">
        <f>IFERROR(K1541*E1541,0)</f>
        <v/>
      </c>
    </row>
    <row r="1542">
      <c r="A1542" t="inlineStr">
        <is>
          <t>WGP3603033</t>
        </is>
      </c>
      <c r="B1542" t="inlineStr">
        <is>
          <t>22kW 4P 380-400-415/660-690//460V B3T 180L IE1</t>
        </is>
      </c>
      <c r="C1542" t="inlineStr">
        <is>
          <t>WEG South Africa</t>
        </is>
      </c>
      <c r="D1542" t="inlineStr"/>
      <c r="E1542" s="1" t="n">
        <v>15923.7</v>
      </c>
      <c r="F1542" t="n">
        <v>3</v>
      </c>
      <c r="G1542" t="n">
        <v>0</v>
      </c>
      <c r="H1542" t="n">
        <v>7</v>
      </c>
      <c r="I1542" t="n">
        <v>0</v>
      </c>
      <c r="J1542" t="n">
        <v>0</v>
      </c>
      <c r="K1542">
        <f>IF(H1542-I1542-J1542&gt;0,H1542-I1542-J1542,0)</f>
        <v/>
      </c>
      <c r="L1542" s="1">
        <f>IFERROR(I1542*E1542,0)</f>
        <v/>
      </c>
      <c r="M1542" s="1">
        <f>IFERROR(K1542*E1542,0)</f>
        <v/>
      </c>
    </row>
    <row r="1543">
      <c r="A1543" t="inlineStr">
        <is>
          <t>WIRING</t>
        </is>
      </c>
      <c r="B1543" t="inlineStr">
        <is>
          <t>Wiring of welding plug and installation of welding plug x2</t>
        </is>
      </c>
      <c r="C1543" t="inlineStr">
        <is>
          <t>Downside Projects</t>
        </is>
      </c>
      <c r="D1543" t="inlineStr">
        <is>
          <t>FM - ELECTRICAL WIRING</t>
        </is>
      </c>
      <c r="E1543" s="1" t="n">
        <v>2750</v>
      </c>
      <c r="F1543" t="n">
        <v>1</v>
      </c>
      <c r="G1543" t="n">
        <v>0</v>
      </c>
      <c r="H1543" t="n">
        <v>5</v>
      </c>
      <c r="I1543" t="n">
        <v>0</v>
      </c>
      <c r="J1543" t="n">
        <v>0</v>
      </c>
      <c r="K1543">
        <f>IF(H1543-I1543-J1543&gt;0,H1543-I1543-J1543,0)</f>
        <v/>
      </c>
      <c r="L1543" s="1">
        <f>IFERROR(I1543*E1543,0)</f>
        <v/>
      </c>
      <c r="M1543" s="1">
        <f>IFERROR(K1543*E1543,0)</f>
        <v/>
      </c>
    </row>
    <row r="1544">
      <c r="A1544" t="inlineStr">
        <is>
          <t>WL 400</t>
        </is>
      </c>
      <c r="B1544" t="inlineStr">
        <is>
          <t>Wall Mount</t>
        </is>
      </c>
      <c r="C1544" t="inlineStr"/>
      <c r="D1544" t="inlineStr"/>
      <c r="E1544" s="1" t="n">
        <v>0</v>
      </c>
      <c r="F1544" t="n">
        <v>1</v>
      </c>
      <c r="G1544" t="n">
        <v>0</v>
      </c>
      <c r="H1544" t="n">
        <v>5</v>
      </c>
      <c r="I1544" t="n">
        <v>0</v>
      </c>
      <c r="J1544" t="n">
        <v>0</v>
      </c>
      <c r="K1544">
        <f>IF(H1544-I1544-J1544&gt;0,H1544-I1544-J1544,0)</f>
        <v/>
      </c>
      <c r="L1544" s="1">
        <f>IFERROR(I1544*E1544,0)</f>
        <v/>
      </c>
      <c r="M1544" s="1">
        <f>IFERROR(K1544*E1544,0)</f>
        <v/>
      </c>
    </row>
    <row r="1545">
      <c r="A1545" t="inlineStr">
        <is>
          <t>WL2525</t>
        </is>
      </c>
      <c r="B1545" t="inlineStr">
        <is>
          <t>WEATHER LOUVRE 250*250 NS NA</t>
        </is>
      </c>
      <c r="C1545" t="inlineStr">
        <is>
          <t>Advantage Air Africa Pty Ltd</t>
        </is>
      </c>
      <c r="D1545" t="inlineStr"/>
      <c r="E1545" s="1" t="n">
        <v>430.34</v>
      </c>
      <c r="F1545" t="n">
        <v>14</v>
      </c>
      <c r="G1545" t="n">
        <v>0</v>
      </c>
      <c r="H1545" t="n">
        <v>32</v>
      </c>
      <c r="I1545" t="n">
        <v>0</v>
      </c>
      <c r="J1545" t="n">
        <v>0</v>
      </c>
      <c r="K1545">
        <f>IF(H1545-I1545-J1545&gt;0,H1545-I1545-J1545,0)</f>
        <v/>
      </c>
      <c r="L1545" s="1">
        <f>IFERROR(I1545*E1545,0)</f>
        <v/>
      </c>
      <c r="M1545" s="1">
        <f>IFERROR(K1545*E1545,0)</f>
        <v/>
      </c>
    </row>
    <row r="1546">
      <c r="A1546" t="inlineStr">
        <is>
          <t>WL6060</t>
        </is>
      </c>
      <c r="B1546" t="inlineStr">
        <is>
          <t>WEATHER LOUVRE 600*600 NS NA</t>
        </is>
      </c>
      <c r="C1546" t="inlineStr">
        <is>
          <t>Advantage Air Africa Pty Ltd</t>
        </is>
      </c>
      <c r="D1546" t="inlineStr"/>
      <c r="E1546" s="1" t="n">
        <v>1115.22</v>
      </c>
      <c r="F1546" t="n">
        <v>11</v>
      </c>
      <c r="G1546" t="n">
        <v>0</v>
      </c>
      <c r="H1546" t="n">
        <v>23</v>
      </c>
      <c r="I1546" t="n">
        <v>0</v>
      </c>
      <c r="J1546" t="n">
        <v>0</v>
      </c>
      <c r="K1546">
        <f>IF(H1546-I1546-J1546&gt;0,H1546-I1546-J1546,0)</f>
        <v/>
      </c>
      <c r="L1546" s="1">
        <f>IFERROR(I1546*E1546,0)</f>
        <v/>
      </c>
      <c r="M1546" s="1">
        <f>IFERROR(K1546*E1546,0)</f>
        <v/>
      </c>
    </row>
    <row r="1547">
      <c r="A1547" t="inlineStr">
        <is>
          <t>WP P800</t>
        </is>
      </c>
      <c r="B1547" t="inlineStr">
        <is>
          <t>WATERPAPER P800</t>
        </is>
      </c>
      <c r="C1547" t="inlineStr">
        <is>
          <t>MG AUTO PAINT (PTY) LTD</t>
        </is>
      </c>
      <c r="D1547" t="inlineStr"/>
      <c r="E1547" s="1" t="n">
        <v>5.22</v>
      </c>
      <c r="F1547" t="n">
        <v>2</v>
      </c>
      <c r="G1547" t="n">
        <v>0</v>
      </c>
      <c r="H1547" t="n">
        <v>10</v>
      </c>
      <c r="I1547" t="n">
        <v>0</v>
      </c>
      <c r="J1547" t="n">
        <v>0</v>
      </c>
      <c r="K1547">
        <f>IF(H1547-I1547-J1547&gt;0,H1547-I1547-J1547,0)</f>
        <v/>
      </c>
      <c r="L1547" s="1">
        <f>IFERROR(I1547*E1547,0)</f>
        <v/>
      </c>
      <c r="M1547" s="1">
        <f>IFERROR(K1547*E1547,0)</f>
        <v/>
      </c>
    </row>
    <row r="1548">
      <c r="A1548" t="inlineStr">
        <is>
          <t>WPF50/600/600/50</t>
        </is>
      </c>
      <c r="B1548" t="inlineStr">
        <is>
          <t>Filter</t>
        </is>
      </c>
      <c r="C1548" t="inlineStr">
        <is>
          <t>Filta Matix</t>
        </is>
      </c>
      <c r="D1548" t="inlineStr"/>
      <c r="E1548" s="1" t="n">
        <v>175.85</v>
      </c>
      <c r="F1548" t="n">
        <v>34</v>
      </c>
      <c r="G1548" t="n">
        <v>0</v>
      </c>
      <c r="H1548" t="n">
        <v>109</v>
      </c>
      <c r="I1548" t="n">
        <v>0</v>
      </c>
      <c r="J1548" t="n">
        <v>0</v>
      </c>
      <c r="K1548">
        <f>IF(H1548-I1548-J1548&gt;0,H1548-I1548-J1548,0)</f>
        <v/>
      </c>
      <c r="L1548" s="1">
        <f>IFERROR(I1548*E1548,0)</f>
        <v/>
      </c>
      <c r="M1548" s="1">
        <f>IFERROR(K1548*E1548,0)</f>
        <v/>
      </c>
    </row>
    <row r="1549">
      <c r="A1549" t="inlineStr">
        <is>
          <t>WPF50/600/600/50.</t>
        </is>
      </c>
      <c r="B1549" t="inlineStr">
        <is>
          <t>WPF50/600/600/50</t>
        </is>
      </c>
      <c r="C1549" t="inlineStr">
        <is>
          <t>Filta Matix</t>
        </is>
      </c>
      <c r="D1549" t="inlineStr"/>
      <c r="E1549" s="1" t="n">
        <v>175.85</v>
      </c>
      <c r="F1549" t="n">
        <v>2</v>
      </c>
      <c r="G1549" t="n">
        <v>0</v>
      </c>
      <c r="H1549" t="n">
        <v>12</v>
      </c>
      <c r="I1549" t="n">
        <v>0</v>
      </c>
      <c r="J1549" t="n">
        <v>0</v>
      </c>
      <c r="K1549">
        <f>IF(H1549-I1549-J1549&gt;0,H1549-I1549-J1549,0)</f>
        <v/>
      </c>
      <c r="L1549" s="1">
        <f>IFERROR(I1549*E1549,0)</f>
        <v/>
      </c>
      <c r="M1549" s="1">
        <f>IFERROR(K1549*E1549,0)</f>
        <v/>
      </c>
    </row>
    <row r="1550">
      <c r="A1550" t="inlineStr">
        <is>
          <t>WS</t>
        </is>
      </c>
      <c r="B1550" t="inlineStr">
        <is>
          <t>Wall sleeve, plate and flashing</t>
        </is>
      </c>
      <c r="C1550" t="inlineStr">
        <is>
          <t>Intervent-Universal (Pty) Ltd</t>
        </is>
      </c>
      <c r="D1550" t="inlineStr"/>
      <c r="E1550" s="1" t="n">
        <v>701.67</v>
      </c>
      <c r="F1550" t="n">
        <v>3</v>
      </c>
      <c r="G1550" t="n">
        <v>0</v>
      </c>
      <c r="H1550" t="n">
        <v>9</v>
      </c>
      <c r="I1550" t="n">
        <v>0</v>
      </c>
      <c r="J1550" t="n">
        <v>0</v>
      </c>
      <c r="K1550">
        <f>IF(H1550-I1550-J1550&gt;0,H1550-I1550-J1550,0)</f>
        <v/>
      </c>
      <c r="L1550" s="1">
        <f>IFERROR(I1550*E1550,0)</f>
        <v/>
      </c>
      <c r="M1550" s="1">
        <f>IFERROR(K1550*E1550,0)</f>
        <v/>
      </c>
    </row>
    <row r="1551">
      <c r="A1551" t="inlineStr">
        <is>
          <t>WSAWBS014</t>
        </is>
      </c>
      <c r="B1551" t="inlineStr">
        <is>
          <t>[D]HBS350N[1] 14inch WOODWORKING</t>
        </is>
      </c>
      <c r="C1551" t="inlineStr">
        <is>
          <t>Adendorff Machinery Mart</t>
        </is>
      </c>
      <c r="D1551" t="inlineStr"/>
      <c r="E1551" s="1" t="n">
        <v>11638.05</v>
      </c>
      <c r="F1551" t="n">
        <v>1</v>
      </c>
      <c r="G1551" t="n">
        <v>0</v>
      </c>
      <c r="H1551" t="n">
        <v>3</v>
      </c>
      <c r="I1551" t="n">
        <v>0</v>
      </c>
      <c r="J1551" t="n">
        <v>0</v>
      </c>
      <c r="K1551">
        <f>IF(H1551-I1551-J1551&gt;0,H1551-I1551-J1551,0)</f>
        <v/>
      </c>
      <c r="L1551" s="1">
        <f>IFERROR(I1551*E1551,0)</f>
        <v/>
      </c>
      <c r="M1551" s="1">
        <f>IFERROR(K1551*E1551,0)</f>
        <v/>
      </c>
    </row>
    <row r="1552">
      <c r="A1552" t="inlineStr">
        <is>
          <t>Wooden crate charges</t>
        </is>
      </c>
      <c r="B1552" t="inlineStr">
        <is>
          <t>Wooden crate charges</t>
        </is>
      </c>
      <c r="C1552" t="inlineStr">
        <is>
          <t>Regal Beloit Italy S.p.A - Nicotra .</t>
        </is>
      </c>
      <c r="D1552" t="inlineStr"/>
      <c r="E1552" s="1" t="n">
        <v>1085.46</v>
      </c>
      <c r="F1552" t="n">
        <v>1</v>
      </c>
      <c r="G1552" t="n">
        <v>0</v>
      </c>
      <c r="H1552" t="n">
        <v>3</v>
      </c>
      <c r="I1552" t="n">
        <v>0</v>
      </c>
      <c r="J1552" t="n">
        <v>0</v>
      </c>
      <c r="K1552">
        <f>IF(H1552-I1552-J1552&gt;0,H1552-I1552-J1552,0)</f>
        <v/>
      </c>
      <c r="L1552" s="1">
        <f>IFERROR(I1552*E1552,0)</f>
        <v/>
      </c>
      <c r="M1552" s="1">
        <f>IFERROR(K1552*E1552,0)</f>
        <v/>
      </c>
    </row>
    <row r="1553">
      <c r="A1553" t="inlineStr">
        <is>
          <t>Z4540002</t>
        </is>
      </c>
      <c r="B1553" t="inlineStr">
        <is>
          <t>Commission for HFEAVAO.AFM.000298-AECI CHEMICALS</t>
        </is>
      </c>
      <c r="C1553" t="inlineStr"/>
      <c r="D1553" t="inlineStr"/>
      <c r="E1553" s="1" t="n">
        <v>0</v>
      </c>
      <c r="F1553" t="n">
        <v>1</v>
      </c>
      <c r="G1553" t="n">
        <v>0</v>
      </c>
      <c r="H1553" t="n">
        <v>2</v>
      </c>
      <c r="I1553" t="n">
        <v>0</v>
      </c>
      <c r="J1553" t="n">
        <v>0</v>
      </c>
      <c r="K1553">
        <f>IF(H1553-I1553-J1553&gt;0,H1553-I1553-J1553,0)</f>
        <v/>
      </c>
      <c r="L1553" s="1">
        <f>IFERROR(I1553*E1553,0)</f>
        <v/>
      </c>
      <c r="M1553" s="1">
        <f>IFERROR(K1553*E1553,0)</f>
        <v/>
      </c>
    </row>
    <row r="1554">
      <c r="A1554" t="inlineStr">
        <is>
          <t>ZZZ-SP 2200</t>
        </is>
      </c>
      <c r="B1554" t="inlineStr">
        <is>
          <t>0.37KW 4P 400 V B3 - IE2-OH71 M ORANGE1</t>
        </is>
      </c>
      <c r="C1554" t="inlineStr">
        <is>
          <t>Kurt Maier Motor-Press (South africa) (Pty) Ltd t/a EMAC</t>
        </is>
      </c>
      <c r="D1554" t="inlineStr"/>
      <c r="E1554" s="1" t="n">
        <v>7180</v>
      </c>
      <c r="F1554" t="n">
        <v>1</v>
      </c>
      <c r="G1554" t="n">
        <v>0</v>
      </c>
      <c r="H1554" t="n">
        <v>2</v>
      </c>
      <c r="I1554" t="n">
        <v>0</v>
      </c>
      <c r="J1554" t="n">
        <v>0</v>
      </c>
      <c r="K1554">
        <f>IF(H1554-I1554-J1554&gt;0,H1554-I1554-J1554,0)</f>
        <v/>
      </c>
      <c r="L1554" s="1">
        <f>IFERROR(I1554*E1554,0)</f>
        <v/>
      </c>
      <c r="M1554" s="1">
        <f>IFERROR(K1554*E1554,0)</f>
        <v/>
      </c>
    </row>
    <row r="1555">
      <c r="A1555" t="inlineStr">
        <is>
          <t>TOTAL STOCK</t>
        </is>
      </c>
    </row>
  </sheetData>
  <printOptions horizontalCentered="1"/>
  <pageMargins left="1" right="1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2026-04-15T11:04:47Z</dcterms:created>
  <dcterms:modified xsi:type="dcterms:W3CDTF">2026-04-15T11:04:48Z</dcterms:modified>
</cp:coreProperties>
</file>