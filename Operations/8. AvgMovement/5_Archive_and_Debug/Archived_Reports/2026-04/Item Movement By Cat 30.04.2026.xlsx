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2. AvgMovement/3_Live_Reports/"/>
    </mc:Choice>
  </mc:AlternateContent>
  <xr:revisionPtr revIDLastSave="14" documentId="11_CAB7BEE6D68A774255A267FBD67A41BEDE2E7E63" xr6:coauthVersionLast="47" xr6:coauthVersionMax="47" xr10:uidLastSave="{73F56861-0E31-459B-824F-280A67524C4F}"/>
  <bookViews>
    <workbookView xWindow="-108" yWindow="-108" windowWidth="23256" windowHeight="12456" firstSheet="38" activeTab="44" xr2:uid="{00000000-000D-0000-FFFF-FFFF00000000}"/>
  </bookViews>
  <sheets>
    <sheet name="Category Summary" sheetId="1" r:id="rId1"/>
    <sheet name="Accessories" sheetId="2" r:id="rId2"/>
    <sheet name="BENDINGCUTTING" sheetId="3" r:id="rId3"/>
    <sheet name="CFLANGE" sheetId="4" r:id="rId4"/>
    <sheet name="CASING" sheetId="5" r:id="rId5"/>
    <sheet name="CONSUMABLES" sheetId="6" r:id="rId6"/>
    <sheet name="CRATING" sheetId="7" r:id="rId7"/>
    <sheet name="Car accessories" sheetId="8" r:id="rId8"/>
    <sheet name="DUCT" sheetId="9" r:id="rId9"/>
    <sheet name="FABRICATION" sheetId="10" r:id="rId10"/>
    <sheet name="FASTENERS" sheetId="11" r:id="rId11"/>
    <sheet name="FM - BLOWER" sheetId="12" r:id="rId12"/>
    <sheet name="FM - CFLANGE" sheetId="13" r:id="rId13"/>
    <sheet name="FM - CASING" sheetId="14" r:id="rId14"/>
    <sheet name="FM - CFW FANS" sheetId="15" r:id="rId15"/>
    <sheet name="FM - DONKIN" sheetId="16" r:id="rId16"/>
    <sheet name="FM - ELECTRICAL WIRING" sheetId="17" r:id="rId17"/>
    <sheet name="FM - FABRICATION" sheetId="18" r:id="rId18"/>
    <sheet name="FM - FAN BLADE MODELLING" sheetId="19" r:id="rId19"/>
    <sheet name="FM - FPZ" sheetId="20" r:id="rId20"/>
    <sheet name="FM - FUMAX" sheetId="21" r:id="rId21"/>
    <sheet name="FM - IMPELLER" sheetId="22" r:id="rId22"/>
    <sheet name="FM - KAYITES" sheetId="23" r:id="rId23"/>
    <sheet name="FM - LUCK &amp; KING" sheetId="24" r:id="rId24"/>
    <sheet name="FM - MFEET" sheetId="25" r:id="rId25"/>
    <sheet name="FM - MACHINERY" sheetId="26" r:id="rId26"/>
    <sheet name="FM - MOTOR" sheetId="27" r:id="rId27"/>
    <sheet name="FM - NICOTRA" sheetId="28" r:id="rId28"/>
    <sheet name="FM - OSTBERG" sheetId="29" r:id="rId29"/>
    <sheet name="FM - PAINTING" sheetId="30" r:id="rId30"/>
    <sheet name="FM - SODECA" sheetId="31" r:id="rId31"/>
    <sheet name="FM - UNIFORM" sheetId="32" r:id="rId32"/>
    <sheet name="FM - VORTICE" sheetId="33" r:id="rId33"/>
    <sheet name="FREIGHT" sheetId="34" r:id="rId34"/>
    <sheet name="Fan" sheetId="35" r:id="rId35"/>
    <sheet name="IMPELLER" sheetId="36" r:id="rId36"/>
    <sheet name="MFEET" sheetId="37" r:id="rId37"/>
    <sheet name="MOTOR FLANGE" sheetId="38" r:id="rId38"/>
    <sheet name="MOTORS" sheetId="39" r:id="rId39"/>
    <sheet name="Nicotra" sheetId="40" r:id="rId40"/>
    <sheet name="PACKAGING" sheetId="41" r:id="rId41"/>
    <sheet name="PLATE" sheetId="42" r:id="rId42"/>
    <sheet name="Roof Fans" sheetId="43" r:id="rId43"/>
    <sheet name="Stub Shaft" sheetId="44" r:id="rId44"/>
    <sheet name="Uncategorized" sheetId="45" r:id="rId45"/>
    <sheet name="VSD" sheetId="46" r:id="rId46"/>
    <sheet name="Vents" sheetId="47" r:id="rId47"/>
  </sheets>
  <definedNames>
    <definedName name="_xlnm.Print_Titles" localSheetId="1">Accessories!$1:$1</definedName>
    <definedName name="_xlnm.Print_Titles" localSheetId="2">BENDINGCUTTING!$1:$1</definedName>
    <definedName name="_xlnm.Print_Titles" localSheetId="7">'Car accessories'!$1:$1</definedName>
    <definedName name="_xlnm.Print_Titles" localSheetId="4">CASING!$1:$1</definedName>
    <definedName name="_xlnm.Print_Titles" localSheetId="3">CFLANGE!$1:$1</definedName>
    <definedName name="_xlnm.Print_Titles" localSheetId="5">CONSUMABLES!$1:$1</definedName>
    <definedName name="_xlnm.Print_Titles" localSheetId="6">CRATING!$1:$1</definedName>
    <definedName name="_xlnm.Print_Titles" localSheetId="8">DUCT!$1:$1</definedName>
    <definedName name="_xlnm.Print_Titles" localSheetId="9">FABRICATION!$1:$1</definedName>
    <definedName name="_xlnm.Print_Titles" localSheetId="34">Fan!$1:$1</definedName>
    <definedName name="_xlnm.Print_Titles" localSheetId="10">FASTENERS!$1:$1</definedName>
    <definedName name="_xlnm.Print_Titles" localSheetId="11">'FM - BLOWER'!$1:$1</definedName>
    <definedName name="_xlnm.Print_Titles" localSheetId="13">'FM - CASING'!$1:$1</definedName>
    <definedName name="_xlnm.Print_Titles" localSheetId="12">'FM - CFLANGE'!$1:$1</definedName>
    <definedName name="_xlnm.Print_Titles" localSheetId="14">'FM - CFW FANS'!$1:$1</definedName>
    <definedName name="_xlnm.Print_Titles" localSheetId="15">'FM - DONKIN'!$1:$1</definedName>
    <definedName name="_xlnm.Print_Titles" localSheetId="16">'FM - ELECTRICAL WIRING'!$1:$1</definedName>
    <definedName name="_xlnm.Print_Titles" localSheetId="17">'FM - FABRICATION'!$1:$1</definedName>
    <definedName name="_xlnm.Print_Titles" localSheetId="18">'FM - FAN BLADE MODELLING'!$1:$1</definedName>
    <definedName name="_xlnm.Print_Titles" localSheetId="19">'FM - FPZ'!$1:$1</definedName>
    <definedName name="_xlnm.Print_Titles" localSheetId="20">'FM - FUMAX'!$1:$1</definedName>
    <definedName name="_xlnm.Print_Titles" localSheetId="21">'FM - IMPELLER'!$1:$1</definedName>
    <definedName name="_xlnm.Print_Titles" localSheetId="22">'FM - KAYITES'!$1:$1</definedName>
    <definedName name="_xlnm.Print_Titles" localSheetId="23">'FM - LUCK &amp; KING'!$1:$1</definedName>
    <definedName name="_xlnm.Print_Titles" localSheetId="25">'FM - MACHINERY'!$1:$1</definedName>
    <definedName name="_xlnm.Print_Titles" localSheetId="24">'FM - MFEET'!$1:$1</definedName>
    <definedName name="_xlnm.Print_Titles" localSheetId="26">'FM - MOTOR'!$1:$1</definedName>
    <definedName name="_xlnm.Print_Titles" localSheetId="27">'FM - NICOTRA'!$1:$1</definedName>
    <definedName name="_xlnm.Print_Titles" localSheetId="28">'FM - OSTBERG'!$1:$1</definedName>
    <definedName name="_xlnm.Print_Titles" localSheetId="29">'FM - PAINTING'!$1:$1</definedName>
    <definedName name="_xlnm.Print_Titles" localSheetId="30">'FM - SODECA'!$1:$1</definedName>
    <definedName name="_xlnm.Print_Titles" localSheetId="31">'FM - UNIFORM'!$1:$1</definedName>
    <definedName name="_xlnm.Print_Titles" localSheetId="32">'FM - VORTICE'!$1:$1</definedName>
    <definedName name="_xlnm.Print_Titles" localSheetId="33">FREIGHT!$1:$1</definedName>
    <definedName name="_xlnm.Print_Titles" localSheetId="35">IMPELLER!$1:$1</definedName>
    <definedName name="_xlnm.Print_Titles" localSheetId="36">MFEET!$1:$1</definedName>
    <definedName name="_xlnm.Print_Titles" localSheetId="37">'MOTOR FLANGE'!$1:$1</definedName>
    <definedName name="_xlnm.Print_Titles" localSheetId="38">MOTORS!$1:$1</definedName>
    <definedName name="_xlnm.Print_Titles" localSheetId="39">Nicotra!$1:$1</definedName>
    <definedName name="_xlnm.Print_Titles" localSheetId="40">PACKAGING!$1:$1</definedName>
    <definedName name="_xlnm.Print_Titles" localSheetId="41">PLATE!$1:$1</definedName>
    <definedName name="_xlnm.Print_Titles" localSheetId="42">'Roof Fans'!$1:$1</definedName>
    <definedName name="_xlnm.Print_Titles" localSheetId="43">'Stub Shaft'!$1:$1</definedName>
    <definedName name="_xlnm.Print_Titles" localSheetId="44">Uncategorized!$1:$1</definedName>
    <definedName name="_xlnm.Print_Titles" localSheetId="46">Vents!$1:$1</definedName>
    <definedName name="_xlnm.Print_Titles" localSheetId="45">VSD!$1:$1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47" l="1"/>
  <c r="R8" i="47" s="1"/>
  <c r="P8" i="47"/>
  <c r="L8" i="47"/>
  <c r="Q7" i="47"/>
  <c r="R7" i="47" s="1"/>
  <c r="P7" i="47"/>
  <c r="L7" i="47"/>
  <c r="Q6" i="47"/>
  <c r="R6" i="47" s="1"/>
  <c r="P6" i="47"/>
  <c r="L6" i="47"/>
  <c r="Q5" i="47"/>
  <c r="R5" i="47" s="1"/>
  <c r="P5" i="47"/>
  <c r="L5" i="47"/>
  <c r="Q4" i="47"/>
  <c r="R4" i="47" s="1"/>
  <c r="P4" i="47"/>
  <c r="L4" i="47"/>
  <c r="R3" i="47"/>
  <c r="Q3" i="47"/>
  <c r="P3" i="47"/>
  <c r="L3" i="47"/>
  <c r="Q2" i="47"/>
  <c r="R2" i="47" s="1"/>
  <c r="P2" i="47"/>
  <c r="L2" i="47"/>
  <c r="Q14" i="46"/>
  <c r="R14" i="46" s="1"/>
  <c r="P14" i="46"/>
  <c r="L14" i="46"/>
  <c r="Q13" i="46"/>
  <c r="R13" i="46" s="1"/>
  <c r="P13" i="46"/>
  <c r="L13" i="46"/>
  <c r="Q12" i="46"/>
  <c r="R12" i="46" s="1"/>
  <c r="P12" i="46"/>
  <c r="L12" i="46"/>
  <c r="Q11" i="46"/>
  <c r="R11" i="46" s="1"/>
  <c r="P11" i="46"/>
  <c r="L11" i="46"/>
  <c r="Q10" i="46"/>
  <c r="R10" i="46" s="1"/>
  <c r="P10" i="46"/>
  <c r="L10" i="46"/>
  <c r="Q9" i="46"/>
  <c r="R9" i="46" s="1"/>
  <c r="P9" i="46"/>
  <c r="L9" i="46"/>
  <c r="R8" i="46"/>
  <c r="Q8" i="46"/>
  <c r="P8" i="46"/>
  <c r="L8" i="46"/>
  <c r="Q7" i="46"/>
  <c r="R7" i="46" s="1"/>
  <c r="P7" i="46"/>
  <c r="L7" i="46"/>
  <c r="Q6" i="46"/>
  <c r="R6" i="46" s="1"/>
  <c r="P6" i="46"/>
  <c r="L6" i="46"/>
  <c r="Q5" i="46"/>
  <c r="R5" i="46" s="1"/>
  <c r="P5" i="46"/>
  <c r="L5" i="46"/>
  <c r="Q4" i="46"/>
  <c r="R4" i="46" s="1"/>
  <c r="P4" i="46"/>
  <c r="L4" i="46"/>
  <c r="Q3" i="46"/>
  <c r="R3" i="46" s="1"/>
  <c r="P3" i="46"/>
  <c r="L3" i="46"/>
  <c r="Q2" i="46"/>
  <c r="R2" i="46" s="1"/>
  <c r="P2" i="46"/>
  <c r="L2" i="46"/>
  <c r="Q1205" i="45"/>
  <c r="R1205" i="45" s="1"/>
  <c r="P1205" i="45"/>
  <c r="L1205" i="45"/>
  <c r="Q1204" i="45"/>
  <c r="R1204" i="45" s="1"/>
  <c r="P1204" i="45"/>
  <c r="L1204" i="45"/>
  <c r="Q1203" i="45"/>
  <c r="R1203" i="45" s="1"/>
  <c r="P1203" i="45"/>
  <c r="L1203" i="45"/>
  <c r="Q1202" i="45"/>
  <c r="R1202" i="45" s="1"/>
  <c r="P1202" i="45"/>
  <c r="L1202" i="45"/>
  <c r="Q1201" i="45"/>
  <c r="R1201" i="45" s="1"/>
  <c r="P1201" i="45"/>
  <c r="L1201" i="45"/>
  <c r="Q1200" i="45"/>
  <c r="R1200" i="45" s="1"/>
  <c r="P1200" i="45"/>
  <c r="L1200" i="45"/>
  <c r="Q1199" i="45"/>
  <c r="R1199" i="45" s="1"/>
  <c r="P1199" i="45"/>
  <c r="L1199" i="45"/>
  <c r="Q1198" i="45"/>
  <c r="R1198" i="45" s="1"/>
  <c r="P1198" i="45"/>
  <c r="L1198" i="45"/>
  <c r="Q1197" i="45"/>
  <c r="R1197" i="45" s="1"/>
  <c r="P1197" i="45"/>
  <c r="L1197" i="45"/>
  <c r="Q1196" i="45"/>
  <c r="R1196" i="45" s="1"/>
  <c r="P1196" i="45"/>
  <c r="L1196" i="45"/>
  <c r="Q1195" i="45"/>
  <c r="R1195" i="45" s="1"/>
  <c r="P1195" i="45"/>
  <c r="L1195" i="45"/>
  <c r="Q1194" i="45"/>
  <c r="R1194" i="45" s="1"/>
  <c r="P1194" i="45"/>
  <c r="L1194" i="45"/>
  <c r="Q1193" i="45"/>
  <c r="R1193" i="45" s="1"/>
  <c r="P1193" i="45"/>
  <c r="L1193" i="45"/>
  <c r="Q1192" i="45"/>
  <c r="R1192" i="45" s="1"/>
  <c r="P1192" i="45"/>
  <c r="L1192" i="45"/>
  <c r="Q1191" i="45"/>
  <c r="R1191" i="45" s="1"/>
  <c r="P1191" i="45"/>
  <c r="L1191" i="45"/>
  <c r="Q1190" i="45"/>
  <c r="R1190" i="45" s="1"/>
  <c r="P1190" i="45"/>
  <c r="L1190" i="45"/>
  <c r="Q1189" i="45"/>
  <c r="R1189" i="45" s="1"/>
  <c r="P1189" i="45"/>
  <c r="L1189" i="45"/>
  <c r="Q1188" i="45"/>
  <c r="R1188" i="45" s="1"/>
  <c r="P1188" i="45"/>
  <c r="L1188" i="45"/>
  <c r="Q1187" i="45"/>
  <c r="R1187" i="45" s="1"/>
  <c r="P1187" i="45"/>
  <c r="L1187" i="45"/>
  <c r="Q1186" i="45"/>
  <c r="R1186" i="45" s="1"/>
  <c r="P1186" i="45"/>
  <c r="L1186" i="45"/>
  <c r="Q1185" i="45"/>
  <c r="R1185" i="45" s="1"/>
  <c r="P1185" i="45"/>
  <c r="L1185" i="45"/>
  <c r="Q1184" i="45"/>
  <c r="R1184" i="45" s="1"/>
  <c r="P1184" i="45"/>
  <c r="L1184" i="45"/>
  <c r="Q1183" i="45"/>
  <c r="R1183" i="45" s="1"/>
  <c r="P1183" i="45"/>
  <c r="L1183" i="45"/>
  <c r="Q1182" i="45"/>
  <c r="R1182" i="45" s="1"/>
  <c r="P1182" i="45"/>
  <c r="L1182" i="45"/>
  <c r="Q1181" i="45"/>
  <c r="R1181" i="45" s="1"/>
  <c r="P1181" i="45"/>
  <c r="L1181" i="45"/>
  <c r="Q1180" i="45"/>
  <c r="R1180" i="45" s="1"/>
  <c r="P1180" i="45"/>
  <c r="L1180" i="45"/>
  <c r="Q1179" i="45"/>
  <c r="R1179" i="45" s="1"/>
  <c r="P1179" i="45"/>
  <c r="L1179" i="45"/>
  <c r="Q1178" i="45"/>
  <c r="R1178" i="45" s="1"/>
  <c r="P1178" i="45"/>
  <c r="L1178" i="45"/>
  <c r="Q1177" i="45"/>
  <c r="R1177" i="45" s="1"/>
  <c r="P1177" i="45"/>
  <c r="L1177" i="45"/>
  <c r="Q1176" i="45"/>
  <c r="R1176" i="45" s="1"/>
  <c r="P1176" i="45"/>
  <c r="L1176" i="45"/>
  <c r="Q1175" i="45"/>
  <c r="R1175" i="45" s="1"/>
  <c r="P1175" i="45"/>
  <c r="L1175" i="45"/>
  <c r="Q1174" i="45"/>
  <c r="R1174" i="45" s="1"/>
  <c r="P1174" i="45"/>
  <c r="L1174" i="45"/>
  <c r="Q1173" i="45"/>
  <c r="R1173" i="45" s="1"/>
  <c r="P1173" i="45"/>
  <c r="L1173" i="45"/>
  <c r="Q1172" i="45"/>
  <c r="R1172" i="45" s="1"/>
  <c r="P1172" i="45"/>
  <c r="L1172" i="45"/>
  <c r="Q1171" i="45"/>
  <c r="R1171" i="45" s="1"/>
  <c r="P1171" i="45"/>
  <c r="L1171" i="45"/>
  <c r="Q1170" i="45"/>
  <c r="R1170" i="45" s="1"/>
  <c r="P1170" i="45"/>
  <c r="L1170" i="45"/>
  <c r="Q1169" i="45"/>
  <c r="R1169" i="45" s="1"/>
  <c r="P1169" i="45"/>
  <c r="L1169" i="45"/>
  <c r="Q1168" i="45"/>
  <c r="R1168" i="45" s="1"/>
  <c r="P1168" i="45"/>
  <c r="L1168" i="45"/>
  <c r="Q1167" i="45"/>
  <c r="R1167" i="45" s="1"/>
  <c r="P1167" i="45"/>
  <c r="L1167" i="45"/>
  <c r="Q1166" i="45"/>
  <c r="R1166" i="45" s="1"/>
  <c r="P1166" i="45"/>
  <c r="L1166" i="45"/>
  <c r="Q1165" i="45"/>
  <c r="R1165" i="45" s="1"/>
  <c r="P1165" i="45"/>
  <c r="L1165" i="45"/>
  <c r="Q1164" i="45"/>
  <c r="R1164" i="45" s="1"/>
  <c r="P1164" i="45"/>
  <c r="L1164" i="45"/>
  <c r="Q1163" i="45"/>
  <c r="R1163" i="45" s="1"/>
  <c r="P1163" i="45"/>
  <c r="L1163" i="45"/>
  <c r="Q1162" i="45"/>
  <c r="R1162" i="45" s="1"/>
  <c r="P1162" i="45"/>
  <c r="L1162" i="45"/>
  <c r="Q1161" i="45"/>
  <c r="R1161" i="45" s="1"/>
  <c r="P1161" i="45"/>
  <c r="L1161" i="45"/>
  <c r="Q1160" i="45"/>
  <c r="R1160" i="45" s="1"/>
  <c r="P1160" i="45"/>
  <c r="L1160" i="45"/>
  <c r="Q1159" i="45"/>
  <c r="R1159" i="45" s="1"/>
  <c r="P1159" i="45"/>
  <c r="L1159" i="45"/>
  <c r="Q1158" i="45"/>
  <c r="R1158" i="45" s="1"/>
  <c r="P1158" i="45"/>
  <c r="L1158" i="45"/>
  <c r="Q1157" i="45"/>
  <c r="R1157" i="45" s="1"/>
  <c r="P1157" i="45"/>
  <c r="L1157" i="45"/>
  <c r="Q1156" i="45"/>
  <c r="R1156" i="45" s="1"/>
  <c r="P1156" i="45"/>
  <c r="L1156" i="45"/>
  <c r="Q1155" i="45"/>
  <c r="R1155" i="45" s="1"/>
  <c r="P1155" i="45"/>
  <c r="L1155" i="45"/>
  <c r="Q1154" i="45"/>
  <c r="R1154" i="45" s="1"/>
  <c r="P1154" i="45"/>
  <c r="L1154" i="45"/>
  <c r="Q1153" i="45"/>
  <c r="R1153" i="45" s="1"/>
  <c r="P1153" i="45"/>
  <c r="L1153" i="45"/>
  <c r="Q1152" i="45"/>
  <c r="R1152" i="45" s="1"/>
  <c r="P1152" i="45"/>
  <c r="L1152" i="45"/>
  <c r="Q1151" i="45"/>
  <c r="R1151" i="45" s="1"/>
  <c r="P1151" i="45"/>
  <c r="L1151" i="45"/>
  <c r="Q1150" i="45"/>
  <c r="R1150" i="45" s="1"/>
  <c r="P1150" i="45"/>
  <c r="L1150" i="45"/>
  <c r="Q1149" i="45"/>
  <c r="R1149" i="45" s="1"/>
  <c r="P1149" i="45"/>
  <c r="L1149" i="45"/>
  <c r="Q1148" i="45"/>
  <c r="R1148" i="45" s="1"/>
  <c r="P1148" i="45"/>
  <c r="L1148" i="45"/>
  <c r="Q1147" i="45"/>
  <c r="R1147" i="45" s="1"/>
  <c r="P1147" i="45"/>
  <c r="L1147" i="45"/>
  <c r="Q1146" i="45"/>
  <c r="R1146" i="45" s="1"/>
  <c r="P1146" i="45"/>
  <c r="L1146" i="45"/>
  <c r="Q1145" i="45"/>
  <c r="R1145" i="45" s="1"/>
  <c r="P1145" i="45"/>
  <c r="L1145" i="45"/>
  <c r="Q1144" i="45"/>
  <c r="R1144" i="45" s="1"/>
  <c r="P1144" i="45"/>
  <c r="L1144" i="45"/>
  <c r="Q1143" i="45"/>
  <c r="R1143" i="45" s="1"/>
  <c r="P1143" i="45"/>
  <c r="L1143" i="45"/>
  <c r="Q1142" i="45"/>
  <c r="R1142" i="45" s="1"/>
  <c r="P1142" i="45"/>
  <c r="L1142" i="45"/>
  <c r="Q1141" i="45"/>
  <c r="R1141" i="45" s="1"/>
  <c r="P1141" i="45"/>
  <c r="L1141" i="45"/>
  <c r="Q1140" i="45"/>
  <c r="R1140" i="45" s="1"/>
  <c r="P1140" i="45"/>
  <c r="L1140" i="45"/>
  <c r="Q1139" i="45"/>
  <c r="R1139" i="45" s="1"/>
  <c r="P1139" i="45"/>
  <c r="L1139" i="45"/>
  <c r="Q1138" i="45"/>
  <c r="R1138" i="45" s="1"/>
  <c r="P1138" i="45"/>
  <c r="L1138" i="45"/>
  <c r="Q1137" i="45"/>
  <c r="R1137" i="45" s="1"/>
  <c r="P1137" i="45"/>
  <c r="L1137" i="45"/>
  <c r="Q1136" i="45"/>
  <c r="R1136" i="45" s="1"/>
  <c r="P1136" i="45"/>
  <c r="L1136" i="45"/>
  <c r="Q1135" i="45"/>
  <c r="R1135" i="45" s="1"/>
  <c r="P1135" i="45"/>
  <c r="L1135" i="45"/>
  <c r="Q1134" i="45"/>
  <c r="R1134" i="45" s="1"/>
  <c r="P1134" i="45"/>
  <c r="L1134" i="45"/>
  <c r="Q1133" i="45"/>
  <c r="R1133" i="45" s="1"/>
  <c r="P1133" i="45"/>
  <c r="L1133" i="45"/>
  <c r="Q1132" i="45"/>
  <c r="R1132" i="45" s="1"/>
  <c r="P1132" i="45"/>
  <c r="L1132" i="45"/>
  <c r="Q1131" i="45"/>
  <c r="R1131" i="45" s="1"/>
  <c r="P1131" i="45"/>
  <c r="L1131" i="45"/>
  <c r="Q1130" i="45"/>
  <c r="R1130" i="45" s="1"/>
  <c r="P1130" i="45"/>
  <c r="L1130" i="45"/>
  <c r="Q1129" i="45"/>
  <c r="R1129" i="45" s="1"/>
  <c r="P1129" i="45"/>
  <c r="L1129" i="45"/>
  <c r="Q1128" i="45"/>
  <c r="R1128" i="45" s="1"/>
  <c r="P1128" i="45"/>
  <c r="L1128" i="45"/>
  <c r="Q1127" i="45"/>
  <c r="R1127" i="45" s="1"/>
  <c r="P1127" i="45"/>
  <c r="L1127" i="45"/>
  <c r="Q1126" i="45"/>
  <c r="R1126" i="45" s="1"/>
  <c r="P1126" i="45"/>
  <c r="L1126" i="45"/>
  <c r="Q1125" i="45"/>
  <c r="R1125" i="45" s="1"/>
  <c r="P1125" i="45"/>
  <c r="L1125" i="45"/>
  <c r="Q1124" i="45"/>
  <c r="R1124" i="45" s="1"/>
  <c r="P1124" i="45"/>
  <c r="L1124" i="45"/>
  <c r="Q1123" i="45"/>
  <c r="R1123" i="45" s="1"/>
  <c r="P1123" i="45"/>
  <c r="L1123" i="45"/>
  <c r="Q1122" i="45"/>
  <c r="R1122" i="45" s="1"/>
  <c r="P1122" i="45"/>
  <c r="L1122" i="45"/>
  <c r="Q1121" i="45"/>
  <c r="R1121" i="45" s="1"/>
  <c r="P1121" i="45"/>
  <c r="L1121" i="45"/>
  <c r="Q1120" i="45"/>
  <c r="R1120" i="45" s="1"/>
  <c r="P1120" i="45"/>
  <c r="L1120" i="45"/>
  <c r="Q1119" i="45"/>
  <c r="R1119" i="45" s="1"/>
  <c r="P1119" i="45"/>
  <c r="L1119" i="45"/>
  <c r="Q1118" i="45"/>
  <c r="R1118" i="45" s="1"/>
  <c r="P1118" i="45"/>
  <c r="L1118" i="45"/>
  <c r="Q1117" i="45"/>
  <c r="R1117" i="45" s="1"/>
  <c r="P1117" i="45"/>
  <c r="L1117" i="45"/>
  <c r="Q1116" i="45"/>
  <c r="R1116" i="45" s="1"/>
  <c r="P1116" i="45"/>
  <c r="L1116" i="45"/>
  <c r="Q1115" i="45"/>
  <c r="R1115" i="45" s="1"/>
  <c r="P1115" i="45"/>
  <c r="L1115" i="45"/>
  <c r="Q1114" i="45"/>
  <c r="R1114" i="45" s="1"/>
  <c r="P1114" i="45"/>
  <c r="L1114" i="45"/>
  <c r="Q1113" i="45"/>
  <c r="R1113" i="45" s="1"/>
  <c r="P1113" i="45"/>
  <c r="L1113" i="45"/>
  <c r="Q1112" i="45"/>
  <c r="R1112" i="45" s="1"/>
  <c r="P1112" i="45"/>
  <c r="L1112" i="45"/>
  <c r="Q1111" i="45"/>
  <c r="R1111" i="45" s="1"/>
  <c r="P1111" i="45"/>
  <c r="L1111" i="45"/>
  <c r="Q1110" i="45"/>
  <c r="R1110" i="45" s="1"/>
  <c r="P1110" i="45"/>
  <c r="L1110" i="45"/>
  <c r="Q1109" i="45"/>
  <c r="R1109" i="45" s="1"/>
  <c r="P1109" i="45"/>
  <c r="L1109" i="45"/>
  <c r="Q1108" i="45"/>
  <c r="R1108" i="45" s="1"/>
  <c r="P1108" i="45"/>
  <c r="L1108" i="45"/>
  <c r="Q1107" i="45"/>
  <c r="R1107" i="45" s="1"/>
  <c r="P1107" i="45"/>
  <c r="L1107" i="45"/>
  <c r="Q1106" i="45"/>
  <c r="R1106" i="45" s="1"/>
  <c r="P1106" i="45"/>
  <c r="L1106" i="45"/>
  <c r="Q1105" i="45"/>
  <c r="R1105" i="45" s="1"/>
  <c r="P1105" i="45"/>
  <c r="L1105" i="45"/>
  <c r="Q1104" i="45"/>
  <c r="R1104" i="45" s="1"/>
  <c r="P1104" i="45"/>
  <c r="L1104" i="45"/>
  <c r="Q1103" i="45"/>
  <c r="R1103" i="45" s="1"/>
  <c r="P1103" i="45"/>
  <c r="L1103" i="45"/>
  <c r="Q1102" i="45"/>
  <c r="R1102" i="45" s="1"/>
  <c r="P1102" i="45"/>
  <c r="L1102" i="45"/>
  <c r="Q1101" i="45"/>
  <c r="R1101" i="45" s="1"/>
  <c r="P1101" i="45"/>
  <c r="L1101" i="45"/>
  <c r="Q1100" i="45"/>
  <c r="R1100" i="45" s="1"/>
  <c r="P1100" i="45"/>
  <c r="L1100" i="45"/>
  <c r="Q1099" i="45"/>
  <c r="R1099" i="45" s="1"/>
  <c r="P1099" i="45"/>
  <c r="L1099" i="45"/>
  <c r="Q1098" i="45"/>
  <c r="R1098" i="45" s="1"/>
  <c r="P1098" i="45"/>
  <c r="L1098" i="45"/>
  <c r="Q1097" i="45"/>
  <c r="R1097" i="45" s="1"/>
  <c r="P1097" i="45"/>
  <c r="L1097" i="45"/>
  <c r="Q1096" i="45"/>
  <c r="R1096" i="45" s="1"/>
  <c r="P1096" i="45"/>
  <c r="L1096" i="45"/>
  <c r="Q1095" i="45"/>
  <c r="R1095" i="45" s="1"/>
  <c r="P1095" i="45"/>
  <c r="L1095" i="45"/>
  <c r="Q1094" i="45"/>
  <c r="R1094" i="45" s="1"/>
  <c r="P1094" i="45"/>
  <c r="L1094" i="45"/>
  <c r="Q1093" i="45"/>
  <c r="R1093" i="45" s="1"/>
  <c r="P1093" i="45"/>
  <c r="L1093" i="45"/>
  <c r="Q1092" i="45"/>
  <c r="R1092" i="45" s="1"/>
  <c r="P1092" i="45"/>
  <c r="L1092" i="45"/>
  <c r="Q1091" i="45"/>
  <c r="R1091" i="45" s="1"/>
  <c r="P1091" i="45"/>
  <c r="L1091" i="45"/>
  <c r="Q1090" i="45"/>
  <c r="R1090" i="45" s="1"/>
  <c r="P1090" i="45"/>
  <c r="L1090" i="45"/>
  <c r="Q1089" i="45"/>
  <c r="R1089" i="45" s="1"/>
  <c r="P1089" i="45"/>
  <c r="L1089" i="45"/>
  <c r="Q1088" i="45"/>
  <c r="R1088" i="45" s="1"/>
  <c r="P1088" i="45"/>
  <c r="L1088" i="45"/>
  <c r="Q1087" i="45"/>
  <c r="R1087" i="45" s="1"/>
  <c r="P1087" i="45"/>
  <c r="L1087" i="45"/>
  <c r="Q1086" i="45"/>
  <c r="R1086" i="45" s="1"/>
  <c r="P1086" i="45"/>
  <c r="L1086" i="45"/>
  <c r="Q1085" i="45"/>
  <c r="R1085" i="45" s="1"/>
  <c r="P1085" i="45"/>
  <c r="L1085" i="45"/>
  <c r="Q1084" i="45"/>
  <c r="R1084" i="45" s="1"/>
  <c r="P1084" i="45"/>
  <c r="L1084" i="45"/>
  <c r="Q1083" i="45"/>
  <c r="R1083" i="45" s="1"/>
  <c r="P1083" i="45"/>
  <c r="L1083" i="45"/>
  <c r="Q1082" i="45"/>
  <c r="R1082" i="45" s="1"/>
  <c r="P1082" i="45"/>
  <c r="L1082" i="45"/>
  <c r="Q1081" i="45"/>
  <c r="R1081" i="45" s="1"/>
  <c r="P1081" i="45"/>
  <c r="L1081" i="45"/>
  <c r="Q1080" i="45"/>
  <c r="R1080" i="45" s="1"/>
  <c r="P1080" i="45"/>
  <c r="L1080" i="45"/>
  <c r="Q1079" i="45"/>
  <c r="R1079" i="45" s="1"/>
  <c r="P1079" i="45"/>
  <c r="L1079" i="45"/>
  <c r="Q1078" i="45"/>
  <c r="R1078" i="45" s="1"/>
  <c r="P1078" i="45"/>
  <c r="L1078" i="45"/>
  <c r="Q1077" i="45"/>
  <c r="R1077" i="45" s="1"/>
  <c r="P1077" i="45"/>
  <c r="L1077" i="45"/>
  <c r="Q1076" i="45"/>
  <c r="R1076" i="45" s="1"/>
  <c r="P1076" i="45"/>
  <c r="L1076" i="45"/>
  <c r="Q1075" i="45"/>
  <c r="R1075" i="45" s="1"/>
  <c r="P1075" i="45"/>
  <c r="L1075" i="45"/>
  <c r="Q1074" i="45"/>
  <c r="R1074" i="45" s="1"/>
  <c r="P1074" i="45"/>
  <c r="L1074" i="45"/>
  <c r="Q1073" i="45"/>
  <c r="R1073" i="45" s="1"/>
  <c r="P1073" i="45"/>
  <c r="L1073" i="45"/>
  <c r="Q1072" i="45"/>
  <c r="R1072" i="45" s="1"/>
  <c r="P1072" i="45"/>
  <c r="L1072" i="45"/>
  <c r="Q1071" i="45"/>
  <c r="R1071" i="45" s="1"/>
  <c r="P1071" i="45"/>
  <c r="L1071" i="45"/>
  <c r="Q1070" i="45"/>
  <c r="R1070" i="45" s="1"/>
  <c r="P1070" i="45"/>
  <c r="L1070" i="45"/>
  <c r="Q1069" i="45"/>
  <c r="R1069" i="45" s="1"/>
  <c r="P1069" i="45"/>
  <c r="L1069" i="45"/>
  <c r="Q1068" i="45"/>
  <c r="R1068" i="45" s="1"/>
  <c r="P1068" i="45"/>
  <c r="L1068" i="45"/>
  <c r="Q1067" i="45"/>
  <c r="R1067" i="45" s="1"/>
  <c r="P1067" i="45"/>
  <c r="L1067" i="45"/>
  <c r="Q1066" i="45"/>
  <c r="R1066" i="45" s="1"/>
  <c r="P1066" i="45"/>
  <c r="L1066" i="45"/>
  <c r="Q1065" i="45"/>
  <c r="R1065" i="45" s="1"/>
  <c r="P1065" i="45"/>
  <c r="L1065" i="45"/>
  <c r="Q1064" i="45"/>
  <c r="R1064" i="45" s="1"/>
  <c r="P1064" i="45"/>
  <c r="L1064" i="45"/>
  <c r="Q1063" i="45"/>
  <c r="R1063" i="45" s="1"/>
  <c r="P1063" i="45"/>
  <c r="L1063" i="45"/>
  <c r="Q1062" i="45"/>
  <c r="R1062" i="45" s="1"/>
  <c r="P1062" i="45"/>
  <c r="L1062" i="45"/>
  <c r="Q1061" i="45"/>
  <c r="R1061" i="45" s="1"/>
  <c r="P1061" i="45"/>
  <c r="L1061" i="45"/>
  <c r="Q1060" i="45"/>
  <c r="R1060" i="45" s="1"/>
  <c r="P1060" i="45"/>
  <c r="L1060" i="45"/>
  <c r="Q1059" i="45"/>
  <c r="R1059" i="45" s="1"/>
  <c r="P1059" i="45"/>
  <c r="L1059" i="45"/>
  <c r="Q1058" i="45"/>
  <c r="R1058" i="45" s="1"/>
  <c r="P1058" i="45"/>
  <c r="L1058" i="45"/>
  <c r="Q1057" i="45"/>
  <c r="R1057" i="45" s="1"/>
  <c r="P1057" i="45"/>
  <c r="L1057" i="45"/>
  <c r="Q1056" i="45"/>
  <c r="R1056" i="45" s="1"/>
  <c r="P1056" i="45"/>
  <c r="L1056" i="45"/>
  <c r="Q1055" i="45"/>
  <c r="R1055" i="45" s="1"/>
  <c r="P1055" i="45"/>
  <c r="L1055" i="45"/>
  <c r="Q1054" i="45"/>
  <c r="R1054" i="45" s="1"/>
  <c r="P1054" i="45"/>
  <c r="L1054" i="45"/>
  <c r="Q1053" i="45"/>
  <c r="R1053" i="45" s="1"/>
  <c r="P1053" i="45"/>
  <c r="L1053" i="45"/>
  <c r="Q1052" i="45"/>
  <c r="R1052" i="45" s="1"/>
  <c r="P1052" i="45"/>
  <c r="L1052" i="45"/>
  <c r="Q1051" i="45"/>
  <c r="R1051" i="45" s="1"/>
  <c r="P1051" i="45"/>
  <c r="L1051" i="45"/>
  <c r="Q1050" i="45"/>
  <c r="R1050" i="45" s="1"/>
  <c r="P1050" i="45"/>
  <c r="L1050" i="45"/>
  <c r="Q1049" i="45"/>
  <c r="R1049" i="45" s="1"/>
  <c r="P1049" i="45"/>
  <c r="L1049" i="45"/>
  <c r="Q1048" i="45"/>
  <c r="R1048" i="45" s="1"/>
  <c r="P1048" i="45"/>
  <c r="L1048" i="45"/>
  <c r="Q1047" i="45"/>
  <c r="R1047" i="45" s="1"/>
  <c r="P1047" i="45"/>
  <c r="L1047" i="45"/>
  <c r="Q1046" i="45"/>
  <c r="R1046" i="45" s="1"/>
  <c r="P1046" i="45"/>
  <c r="L1046" i="45"/>
  <c r="Q1045" i="45"/>
  <c r="R1045" i="45" s="1"/>
  <c r="P1045" i="45"/>
  <c r="L1045" i="45"/>
  <c r="Q1044" i="45"/>
  <c r="R1044" i="45" s="1"/>
  <c r="P1044" i="45"/>
  <c r="L1044" i="45"/>
  <c r="Q1043" i="45"/>
  <c r="R1043" i="45" s="1"/>
  <c r="P1043" i="45"/>
  <c r="L1043" i="45"/>
  <c r="Q1042" i="45"/>
  <c r="R1042" i="45" s="1"/>
  <c r="P1042" i="45"/>
  <c r="L1042" i="45"/>
  <c r="Q1041" i="45"/>
  <c r="R1041" i="45" s="1"/>
  <c r="P1041" i="45"/>
  <c r="L1041" i="45"/>
  <c r="Q1040" i="45"/>
  <c r="R1040" i="45" s="1"/>
  <c r="P1040" i="45"/>
  <c r="L1040" i="45"/>
  <c r="Q1039" i="45"/>
  <c r="R1039" i="45" s="1"/>
  <c r="P1039" i="45"/>
  <c r="L1039" i="45"/>
  <c r="Q1038" i="45"/>
  <c r="R1038" i="45" s="1"/>
  <c r="P1038" i="45"/>
  <c r="L1038" i="45"/>
  <c r="Q1037" i="45"/>
  <c r="R1037" i="45" s="1"/>
  <c r="P1037" i="45"/>
  <c r="L1037" i="45"/>
  <c r="Q1036" i="45"/>
  <c r="R1036" i="45" s="1"/>
  <c r="P1036" i="45"/>
  <c r="L1036" i="45"/>
  <c r="Q1035" i="45"/>
  <c r="R1035" i="45" s="1"/>
  <c r="P1035" i="45"/>
  <c r="L1035" i="45"/>
  <c r="Q1034" i="45"/>
  <c r="R1034" i="45" s="1"/>
  <c r="P1034" i="45"/>
  <c r="L1034" i="45"/>
  <c r="Q1033" i="45"/>
  <c r="R1033" i="45" s="1"/>
  <c r="P1033" i="45"/>
  <c r="L1033" i="45"/>
  <c r="Q1032" i="45"/>
  <c r="R1032" i="45" s="1"/>
  <c r="P1032" i="45"/>
  <c r="L1032" i="45"/>
  <c r="Q1031" i="45"/>
  <c r="R1031" i="45" s="1"/>
  <c r="P1031" i="45"/>
  <c r="L1031" i="45"/>
  <c r="Q1030" i="45"/>
  <c r="R1030" i="45" s="1"/>
  <c r="P1030" i="45"/>
  <c r="L1030" i="45"/>
  <c r="Q1029" i="45"/>
  <c r="R1029" i="45" s="1"/>
  <c r="P1029" i="45"/>
  <c r="L1029" i="45"/>
  <c r="Q1028" i="45"/>
  <c r="R1028" i="45" s="1"/>
  <c r="P1028" i="45"/>
  <c r="L1028" i="45"/>
  <c r="Q1027" i="45"/>
  <c r="R1027" i="45" s="1"/>
  <c r="P1027" i="45"/>
  <c r="L1027" i="45"/>
  <c r="Q1026" i="45"/>
  <c r="R1026" i="45" s="1"/>
  <c r="P1026" i="45"/>
  <c r="L1026" i="45"/>
  <c r="Q1025" i="45"/>
  <c r="R1025" i="45" s="1"/>
  <c r="P1025" i="45"/>
  <c r="L1025" i="45"/>
  <c r="Q1024" i="45"/>
  <c r="R1024" i="45" s="1"/>
  <c r="P1024" i="45"/>
  <c r="L1024" i="45"/>
  <c r="Q1023" i="45"/>
  <c r="R1023" i="45" s="1"/>
  <c r="P1023" i="45"/>
  <c r="L1023" i="45"/>
  <c r="Q1022" i="45"/>
  <c r="R1022" i="45" s="1"/>
  <c r="P1022" i="45"/>
  <c r="L1022" i="45"/>
  <c r="Q1021" i="45"/>
  <c r="R1021" i="45" s="1"/>
  <c r="P1021" i="45"/>
  <c r="L1021" i="45"/>
  <c r="Q1020" i="45"/>
  <c r="R1020" i="45" s="1"/>
  <c r="P1020" i="45"/>
  <c r="L1020" i="45"/>
  <c r="Q1019" i="45"/>
  <c r="R1019" i="45" s="1"/>
  <c r="P1019" i="45"/>
  <c r="L1019" i="45"/>
  <c r="Q1018" i="45"/>
  <c r="R1018" i="45" s="1"/>
  <c r="P1018" i="45"/>
  <c r="L1018" i="45"/>
  <c r="Q1017" i="45"/>
  <c r="R1017" i="45" s="1"/>
  <c r="P1017" i="45"/>
  <c r="L1017" i="45"/>
  <c r="Q1016" i="45"/>
  <c r="R1016" i="45" s="1"/>
  <c r="P1016" i="45"/>
  <c r="L1016" i="45"/>
  <c r="Q1015" i="45"/>
  <c r="R1015" i="45" s="1"/>
  <c r="P1015" i="45"/>
  <c r="L1015" i="45"/>
  <c r="Q1014" i="45"/>
  <c r="R1014" i="45" s="1"/>
  <c r="P1014" i="45"/>
  <c r="L1014" i="45"/>
  <c r="Q1013" i="45"/>
  <c r="R1013" i="45" s="1"/>
  <c r="P1013" i="45"/>
  <c r="L1013" i="45"/>
  <c r="Q1012" i="45"/>
  <c r="R1012" i="45" s="1"/>
  <c r="P1012" i="45"/>
  <c r="L1012" i="45"/>
  <c r="Q1011" i="45"/>
  <c r="R1011" i="45" s="1"/>
  <c r="P1011" i="45"/>
  <c r="L1011" i="45"/>
  <c r="Q1010" i="45"/>
  <c r="R1010" i="45" s="1"/>
  <c r="P1010" i="45"/>
  <c r="L1010" i="45"/>
  <c r="Q1009" i="45"/>
  <c r="R1009" i="45" s="1"/>
  <c r="P1009" i="45"/>
  <c r="L1009" i="45"/>
  <c r="Q1008" i="45"/>
  <c r="R1008" i="45" s="1"/>
  <c r="P1008" i="45"/>
  <c r="L1008" i="45"/>
  <c r="Q1007" i="45"/>
  <c r="R1007" i="45" s="1"/>
  <c r="P1007" i="45"/>
  <c r="L1007" i="45"/>
  <c r="Q1006" i="45"/>
  <c r="R1006" i="45" s="1"/>
  <c r="P1006" i="45"/>
  <c r="L1006" i="45"/>
  <c r="Q1005" i="45"/>
  <c r="R1005" i="45" s="1"/>
  <c r="P1005" i="45"/>
  <c r="L1005" i="45"/>
  <c r="Q1004" i="45"/>
  <c r="R1004" i="45" s="1"/>
  <c r="P1004" i="45"/>
  <c r="L1004" i="45"/>
  <c r="Q1003" i="45"/>
  <c r="R1003" i="45" s="1"/>
  <c r="P1003" i="45"/>
  <c r="L1003" i="45"/>
  <c r="Q1002" i="45"/>
  <c r="R1002" i="45" s="1"/>
  <c r="P1002" i="45"/>
  <c r="L1002" i="45"/>
  <c r="Q1001" i="45"/>
  <c r="R1001" i="45" s="1"/>
  <c r="P1001" i="45"/>
  <c r="L1001" i="45"/>
  <c r="Q1000" i="45"/>
  <c r="R1000" i="45" s="1"/>
  <c r="P1000" i="45"/>
  <c r="L1000" i="45"/>
  <c r="Q999" i="45"/>
  <c r="R999" i="45" s="1"/>
  <c r="P999" i="45"/>
  <c r="L999" i="45"/>
  <c r="Q998" i="45"/>
  <c r="R998" i="45" s="1"/>
  <c r="P998" i="45"/>
  <c r="L998" i="45"/>
  <c r="Q997" i="45"/>
  <c r="R997" i="45" s="1"/>
  <c r="P997" i="45"/>
  <c r="L997" i="45"/>
  <c r="Q996" i="45"/>
  <c r="R996" i="45" s="1"/>
  <c r="P996" i="45"/>
  <c r="L996" i="45"/>
  <c r="Q995" i="45"/>
  <c r="R995" i="45" s="1"/>
  <c r="P995" i="45"/>
  <c r="L995" i="45"/>
  <c r="Q994" i="45"/>
  <c r="R994" i="45" s="1"/>
  <c r="P994" i="45"/>
  <c r="L994" i="45"/>
  <c r="Q993" i="45"/>
  <c r="R993" i="45" s="1"/>
  <c r="P993" i="45"/>
  <c r="L993" i="45"/>
  <c r="Q992" i="45"/>
  <c r="R992" i="45" s="1"/>
  <c r="P992" i="45"/>
  <c r="L992" i="45"/>
  <c r="Q991" i="45"/>
  <c r="R991" i="45" s="1"/>
  <c r="P991" i="45"/>
  <c r="L991" i="45"/>
  <c r="Q990" i="45"/>
  <c r="R990" i="45" s="1"/>
  <c r="P990" i="45"/>
  <c r="L990" i="45"/>
  <c r="Q989" i="45"/>
  <c r="R989" i="45" s="1"/>
  <c r="P989" i="45"/>
  <c r="L989" i="45"/>
  <c r="Q988" i="45"/>
  <c r="R988" i="45" s="1"/>
  <c r="P988" i="45"/>
  <c r="L988" i="45"/>
  <c r="Q987" i="45"/>
  <c r="R987" i="45" s="1"/>
  <c r="P987" i="45"/>
  <c r="L987" i="45"/>
  <c r="Q986" i="45"/>
  <c r="R986" i="45" s="1"/>
  <c r="P986" i="45"/>
  <c r="L986" i="45"/>
  <c r="Q985" i="45"/>
  <c r="R985" i="45" s="1"/>
  <c r="P985" i="45"/>
  <c r="L985" i="45"/>
  <c r="Q984" i="45"/>
  <c r="R984" i="45" s="1"/>
  <c r="P984" i="45"/>
  <c r="L984" i="45"/>
  <c r="Q983" i="45"/>
  <c r="R983" i="45" s="1"/>
  <c r="P983" i="45"/>
  <c r="L983" i="45"/>
  <c r="Q982" i="45"/>
  <c r="R982" i="45" s="1"/>
  <c r="P982" i="45"/>
  <c r="L982" i="45"/>
  <c r="Q981" i="45"/>
  <c r="R981" i="45" s="1"/>
  <c r="P981" i="45"/>
  <c r="L981" i="45"/>
  <c r="Q980" i="45"/>
  <c r="R980" i="45" s="1"/>
  <c r="P980" i="45"/>
  <c r="L980" i="45"/>
  <c r="Q979" i="45"/>
  <c r="R979" i="45" s="1"/>
  <c r="P979" i="45"/>
  <c r="L979" i="45"/>
  <c r="Q978" i="45"/>
  <c r="R978" i="45" s="1"/>
  <c r="P978" i="45"/>
  <c r="L978" i="45"/>
  <c r="Q977" i="45"/>
  <c r="R977" i="45" s="1"/>
  <c r="P977" i="45"/>
  <c r="L977" i="45"/>
  <c r="Q976" i="45"/>
  <c r="R976" i="45" s="1"/>
  <c r="P976" i="45"/>
  <c r="L976" i="45"/>
  <c r="Q975" i="45"/>
  <c r="R975" i="45" s="1"/>
  <c r="P975" i="45"/>
  <c r="L975" i="45"/>
  <c r="Q974" i="45"/>
  <c r="R974" i="45" s="1"/>
  <c r="P974" i="45"/>
  <c r="L974" i="45"/>
  <c r="Q973" i="45"/>
  <c r="R973" i="45" s="1"/>
  <c r="P973" i="45"/>
  <c r="L973" i="45"/>
  <c r="Q972" i="45"/>
  <c r="R972" i="45" s="1"/>
  <c r="P972" i="45"/>
  <c r="L972" i="45"/>
  <c r="Q971" i="45"/>
  <c r="R971" i="45" s="1"/>
  <c r="P971" i="45"/>
  <c r="L971" i="45"/>
  <c r="Q970" i="45"/>
  <c r="R970" i="45" s="1"/>
  <c r="P970" i="45"/>
  <c r="L970" i="45"/>
  <c r="Q969" i="45"/>
  <c r="R969" i="45" s="1"/>
  <c r="P969" i="45"/>
  <c r="L969" i="45"/>
  <c r="Q968" i="45"/>
  <c r="R968" i="45" s="1"/>
  <c r="P968" i="45"/>
  <c r="L968" i="45"/>
  <c r="Q967" i="45"/>
  <c r="R967" i="45" s="1"/>
  <c r="P967" i="45"/>
  <c r="L967" i="45"/>
  <c r="Q966" i="45"/>
  <c r="R966" i="45" s="1"/>
  <c r="P966" i="45"/>
  <c r="L966" i="45"/>
  <c r="Q965" i="45"/>
  <c r="R965" i="45" s="1"/>
  <c r="P965" i="45"/>
  <c r="L965" i="45"/>
  <c r="Q964" i="45"/>
  <c r="R964" i="45" s="1"/>
  <c r="P964" i="45"/>
  <c r="L964" i="45"/>
  <c r="Q963" i="45"/>
  <c r="R963" i="45" s="1"/>
  <c r="P963" i="45"/>
  <c r="L963" i="45"/>
  <c r="Q962" i="45"/>
  <c r="R962" i="45" s="1"/>
  <c r="P962" i="45"/>
  <c r="L962" i="45"/>
  <c r="Q961" i="45"/>
  <c r="R961" i="45" s="1"/>
  <c r="P961" i="45"/>
  <c r="L961" i="45"/>
  <c r="Q960" i="45"/>
  <c r="R960" i="45" s="1"/>
  <c r="P960" i="45"/>
  <c r="L960" i="45"/>
  <c r="Q959" i="45"/>
  <c r="R959" i="45" s="1"/>
  <c r="P959" i="45"/>
  <c r="L959" i="45"/>
  <c r="Q958" i="45"/>
  <c r="R958" i="45" s="1"/>
  <c r="P958" i="45"/>
  <c r="L958" i="45"/>
  <c r="Q957" i="45"/>
  <c r="R957" i="45" s="1"/>
  <c r="P957" i="45"/>
  <c r="L957" i="45"/>
  <c r="Q956" i="45"/>
  <c r="R956" i="45" s="1"/>
  <c r="P956" i="45"/>
  <c r="L956" i="45"/>
  <c r="Q955" i="45"/>
  <c r="R955" i="45" s="1"/>
  <c r="P955" i="45"/>
  <c r="L955" i="45"/>
  <c r="Q954" i="45"/>
  <c r="R954" i="45" s="1"/>
  <c r="P954" i="45"/>
  <c r="L954" i="45"/>
  <c r="Q953" i="45"/>
  <c r="R953" i="45" s="1"/>
  <c r="P953" i="45"/>
  <c r="L953" i="45"/>
  <c r="Q952" i="45"/>
  <c r="R952" i="45" s="1"/>
  <c r="P952" i="45"/>
  <c r="L952" i="45"/>
  <c r="Q951" i="45"/>
  <c r="R951" i="45" s="1"/>
  <c r="P951" i="45"/>
  <c r="L951" i="45"/>
  <c r="Q950" i="45"/>
  <c r="R950" i="45" s="1"/>
  <c r="P950" i="45"/>
  <c r="L950" i="45"/>
  <c r="Q949" i="45"/>
  <c r="R949" i="45" s="1"/>
  <c r="P949" i="45"/>
  <c r="L949" i="45"/>
  <c r="Q948" i="45"/>
  <c r="R948" i="45" s="1"/>
  <c r="P948" i="45"/>
  <c r="L948" i="45"/>
  <c r="Q947" i="45"/>
  <c r="R947" i="45" s="1"/>
  <c r="P947" i="45"/>
  <c r="L947" i="45"/>
  <c r="Q946" i="45"/>
  <c r="R946" i="45" s="1"/>
  <c r="P946" i="45"/>
  <c r="L946" i="45"/>
  <c r="Q945" i="45"/>
  <c r="R945" i="45" s="1"/>
  <c r="P945" i="45"/>
  <c r="L945" i="45"/>
  <c r="Q944" i="45"/>
  <c r="R944" i="45" s="1"/>
  <c r="P944" i="45"/>
  <c r="L944" i="45"/>
  <c r="Q943" i="45"/>
  <c r="R943" i="45" s="1"/>
  <c r="P943" i="45"/>
  <c r="L943" i="45"/>
  <c r="Q942" i="45"/>
  <c r="R942" i="45" s="1"/>
  <c r="P942" i="45"/>
  <c r="L942" i="45"/>
  <c r="Q941" i="45"/>
  <c r="R941" i="45" s="1"/>
  <c r="P941" i="45"/>
  <c r="L941" i="45"/>
  <c r="Q940" i="45"/>
  <c r="R940" i="45" s="1"/>
  <c r="P940" i="45"/>
  <c r="L940" i="45"/>
  <c r="Q939" i="45"/>
  <c r="R939" i="45" s="1"/>
  <c r="P939" i="45"/>
  <c r="L939" i="45"/>
  <c r="Q938" i="45"/>
  <c r="R938" i="45" s="1"/>
  <c r="P938" i="45"/>
  <c r="L938" i="45"/>
  <c r="Q937" i="45"/>
  <c r="R937" i="45" s="1"/>
  <c r="P937" i="45"/>
  <c r="L937" i="45"/>
  <c r="Q936" i="45"/>
  <c r="R936" i="45" s="1"/>
  <c r="P936" i="45"/>
  <c r="L936" i="45"/>
  <c r="Q935" i="45"/>
  <c r="R935" i="45" s="1"/>
  <c r="P935" i="45"/>
  <c r="L935" i="45"/>
  <c r="Q934" i="45"/>
  <c r="R934" i="45" s="1"/>
  <c r="P934" i="45"/>
  <c r="L934" i="45"/>
  <c r="Q933" i="45"/>
  <c r="R933" i="45" s="1"/>
  <c r="P933" i="45"/>
  <c r="L933" i="45"/>
  <c r="Q932" i="45"/>
  <c r="R932" i="45" s="1"/>
  <c r="P932" i="45"/>
  <c r="L932" i="45"/>
  <c r="Q931" i="45"/>
  <c r="R931" i="45" s="1"/>
  <c r="P931" i="45"/>
  <c r="L931" i="45"/>
  <c r="Q930" i="45"/>
  <c r="R930" i="45" s="1"/>
  <c r="P930" i="45"/>
  <c r="L930" i="45"/>
  <c r="Q929" i="45"/>
  <c r="R929" i="45" s="1"/>
  <c r="P929" i="45"/>
  <c r="L929" i="45"/>
  <c r="Q928" i="45"/>
  <c r="R928" i="45" s="1"/>
  <c r="P928" i="45"/>
  <c r="L928" i="45"/>
  <c r="Q927" i="45"/>
  <c r="R927" i="45" s="1"/>
  <c r="P927" i="45"/>
  <c r="L927" i="45"/>
  <c r="Q926" i="45"/>
  <c r="R926" i="45" s="1"/>
  <c r="P926" i="45"/>
  <c r="L926" i="45"/>
  <c r="Q925" i="45"/>
  <c r="R925" i="45" s="1"/>
  <c r="P925" i="45"/>
  <c r="L925" i="45"/>
  <c r="Q924" i="45"/>
  <c r="R924" i="45" s="1"/>
  <c r="P924" i="45"/>
  <c r="L924" i="45"/>
  <c r="Q923" i="45"/>
  <c r="R923" i="45" s="1"/>
  <c r="P923" i="45"/>
  <c r="L923" i="45"/>
  <c r="Q922" i="45"/>
  <c r="R922" i="45" s="1"/>
  <c r="P922" i="45"/>
  <c r="L922" i="45"/>
  <c r="Q921" i="45"/>
  <c r="R921" i="45" s="1"/>
  <c r="P921" i="45"/>
  <c r="L921" i="45"/>
  <c r="Q920" i="45"/>
  <c r="R920" i="45" s="1"/>
  <c r="P920" i="45"/>
  <c r="L920" i="45"/>
  <c r="Q919" i="45"/>
  <c r="R919" i="45" s="1"/>
  <c r="P919" i="45"/>
  <c r="L919" i="45"/>
  <c r="Q918" i="45"/>
  <c r="R918" i="45" s="1"/>
  <c r="P918" i="45"/>
  <c r="L918" i="45"/>
  <c r="Q917" i="45"/>
  <c r="R917" i="45" s="1"/>
  <c r="P917" i="45"/>
  <c r="L917" i="45"/>
  <c r="Q916" i="45"/>
  <c r="R916" i="45" s="1"/>
  <c r="P916" i="45"/>
  <c r="L916" i="45"/>
  <c r="Q915" i="45"/>
  <c r="R915" i="45" s="1"/>
  <c r="P915" i="45"/>
  <c r="L915" i="45"/>
  <c r="Q914" i="45"/>
  <c r="R914" i="45" s="1"/>
  <c r="P914" i="45"/>
  <c r="L914" i="45"/>
  <c r="Q913" i="45"/>
  <c r="R913" i="45" s="1"/>
  <c r="P913" i="45"/>
  <c r="L913" i="45"/>
  <c r="Q912" i="45"/>
  <c r="R912" i="45" s="1"/>
  <c r="P912" i="45"/>
  <c r="L912" i="45"/>
  <c r="Q911" i="45"/>
  <c r="R911" i="45" s="1"/>
  <c r="P911" i="45"/>
  <c r="L911" i="45"/>
  <c r="Q910" i="45"/>
  <c r="R910" i="45" s="1"/>
  <c r="P910" i="45"/>
  <c r="L910" i="45"/>
  <c r="Q909" i="45"/>
  <c r="R909" i="45" s="1"/>
  <c r="P909" i="45"/>
  <c r="L909" i="45"/>
  <c r="Q908" i="45"/>
  <c r="R908" i="45" s="1"/>
  <c r="P908" i="45"/>
  <c r="L908" i="45"/>
  <c r="Q907" i="45"/>
  <c r="R907" i="45" s="1"/>
  <c r="P907" i="45"/>
  <c r="L907" i="45"/>
  <c r="Q906" i="45"/>
  <c r="R906" i="45" s="1"/>
  <c r="P906" i="45"/>
  <c r="L906" i="45"/>
  <c r="Q905" i="45"/>
  <c r="R905" i="45" s="1"/>
  <c r="P905" i="45"/>
  <c r="L905" i="45"/>
  <c r="Q904" i="45"/>
  <c r="R904" i="45" s="1"/>
  <c r="P904" i="45"/>
  <c r="L904" i="45"/>
  <c r="Q903" i="45"/>
  <c r="R903" i="45" s="1"/>
  <c r="P903" i="45"/>
  <c r="L903" i="45"/>
  <c r="Q902" i="45"/>
  <c r="R902" i="45" s="1"/>
  <c r="P902" i="45"/>
  <c r="L902" i="45"/>
  <c r="Q901" i="45"/>
  <c r="R901" i="45" s="1"/>
  <c r="P901" i="45"/>
  <c r="L901" i="45"/>
  <c r="Q900" i="45"/>
  <c r="R900" i="45" s="1"/>
  <c r="P900" i="45"/>
  <c r="L900" i="45"/>
  <c r="Q899" i="45"/>
  <c r="R899" i="45" s="1"/>
  <c r="P899" i="45"/>
  <c r="L899" i="45"/>
  <c r="Q898" i="45"/>
  <c r="R898" i="45" s="1"/>
  <c r="P898" i="45"/>
  <c r="L898" i="45"/>
  <c r="Q897" i="45"/>
  <c r="R897" i="45" s="1"/>
  <c r="P897" i="45"/>
  <c r="L897" i="45"/>
  <c r="Q896" i="45"/>
  <c r="R896" i="45" s="1"/>
  <c r="P896" i="45"/>
  <c r="L896" i="45"/>
  <c r="Q895" i="45"/>
  <c r="R895" i="45" s="1"/>
  <c r="P895" i="45"/>
  <c r="L895" i="45"/>
  <c r="Q894" i="45"/>
  <c r="R894" i="45" s="1"/>
  <c r="P894" i="45"/>
  <c r="L894" i="45"/>
  <c r="Q893" i="45"/>
  <c r="R893" i="45" s="1"/>
  <c r="P893" i="45"/>
  <c r="L893" i="45"/>
  <c r="Q892" i="45"/>
  <c r="R892" i="45" s="1"/>
  <c r="P892" i="45"/>
  <c r="L892" i="45"/>
  <c r="Q891" i="45"/>
  <c r="R891" i="45" s="1"/>
  <c r="P891" i="45"/>
  <c r="L891" i="45"/>
  <c r="Q890" i="45"/>
  <c r="R890" i="45" s="1"/>
  <c r="P890" i="45"/>
  <c r="L890" i="45"/>
  <c r="Q889" i="45"/>
  <c r="R889" i="45" s="1"/>
  <c r="P889" i="45"/>
  <c r="L889" i="45"/>
  <c r="Q888" i="45"/>
  <c r="R888" i="45" s="1"/>
  <c r="P888" i="45"/>
  <c r="L888" i="45"/>
  <c r="Q887" i="45"/>
  <c r="R887" i="45" s="1"/>
  <c r="P887" i="45"/>
  <c r="L887" i="45"/>
  <c r="Q886" i="45"/>
  <c r="R886" i="45" s="1"/>
  <c r="P886" i="45"/>
  <c r="L886" i="45"/>
  <c r="Q885" i="45"/>
  <c r="R885" i="45" s="1"/>
  <c r="P885" i="45"/>
  <c r="L885" i="45"/>
  <c r="Q884" i="45"/>
  <c r="R884" i="45" s="1"/>
  <c r="P884" i="45"/>
  <c r="L884" i="45"/>
  <c r="Q883" i="45"/>
  <c r="R883" i="45" s="1"/>
  <c r="P883" i="45"/>
  <c r="L883" i="45"/>
  <c r="Q882" i="45"/>
  <c r="R882" i="45" s="1"/>
  <c r="P882" i="45"/>
  <c r="L882" i="45"/>
  <c r="Q881" i="45"/>
  <c r="R881" i="45" s="1"/>
  <c r="P881" i="45"/>
  <c r="L881" i="45"/>
  <c r="Q880" i="45"/>
  <c r="R880" i="45" s="1"/>
  <c r="P880" i="45"/>
  <c r="L880" i="45"/>
  <c r="Q879" i="45"/>
  <c r="R879" i="45" s="1"/>
  <c r="P879" i="45"/>
  <c r="L879" i="45"/>
  <c r="Q878" i="45"/>
  <c r="R878" i="45" s="1"/>
  <c r="P878" i="45"/>
  <c r="L878" i="45"/>
  <c r="Q877" i="45"/>
  <c r="R877" i="45" s="1"/>
  <c r="P877" i="45"/>
  <c r="L877" i="45"/>
  <c r="Q876" i="45"/>
  <c r="R876" i="45" s="1"/>
  <c r="P876" i="45"/>
  <c r="L876" i="45"/>
  <c r="Q875" i="45"/>
  <c r="R875" i="45" s="1"/>
  <c r="P875" i="45"/>
  <c r="L875" i="45"/>
  <c r="Q874" i="45"/>
  <c r="R874" i="45" s="1"/>
  <c r="P874" i="45"/>
  <c r="L874" i="45"/>
  <c r="Q873" i="45"/>
  <c r="R873" i="45" s="1"/>
  <c r="P873" i="45"/>
  <c r="L873" i="45"/>
  <c r="Q872" i="45"/>
  <c r="R872" i="45" s="1"/>
  <c r="P872" i="45"/>
  <c r="L872" i="45"/>
  <c r="Q871" i="45"/>
  <c r="R871" i="45" s="1"/>
  <c r="P871" i="45"/>
  <c r="L871" i="45"/>
  <c r="Q870" i="45"/>
  <c r="R870" i="45" s="1"/>
  <c r="P870" i="45"/>
  <c r="L870" i="45"/>
  <c r="R869" i="45"/>
  <c r="Q869" i="45"/>
  <c r="P869" i="45"/>
  <c r="L869" i="45"/>
  <c r="Q868" i="45"/>
  <c r="R868" i="45" s="1"/>
  <c r="P868" i="45"/>
  <c r="L868" i="45"/>
  <c r="Q867" i="45"/>
  <c r="R867" i="45" s="1"/>
  <c r="P867" i="45"/>
  <c r="L867" i="45"/>
  <c r="Q866" i="45"/>
  <c r="R866" i="45" s="1"/>
  <c r="P866" i="45"/>
  <c r="L866" i="45"/>
  <c r="Q865" i="45"/>
  <c r="R865" i="45" s="1"/>
  <c r="P865" i="45"/>
  <c r="L865" i="45"/>
  <c r="Q864" i="45"/>
  <c r="R864" i="45" s="1"/>
  <c r="P864" i="45"/>
  <c r="L864" i="45"/>
  <c r="Q863" i="45"/>
  <c r="R863" i="45" s="1"/>
  <c r="P863" i="45"/>
  <c r="L863" i="45"/>
  <c r="Q862" i="45"/>
  <c r="R862" i="45" s="1"/>
  <c r="P862" i="45"/>
  <c r="L862" i="45"/>
  <c r="Q861" i="45"/>
  <c r="R861" i="45" s="1"/>
  <c r="P861" i="45"/>
  <c r="L861" i="45"/>
  <c r="Q860" i="45"/>
  <c r="R860" i="45" s="1"/>
  <c r="P860" i="45"/>
  <c r="L860" i="45"/>
  <c r="Q859" i="45"/>
  <c r="R859" i="45" s="1"/>
  <c r="P859" i="45"/>
  <c r="L859" i="45"/>
  <c r="Q858" i="45"/>
  <c r="R858" i="45" s="1"/>
  <c r="P858" i="45"/>
  <c r="L858" i="45"/>
  <c r="Q857" i="45"/>
  <c r="R857" i="45" s="1"/>
  <c r="P857" i="45"/>
  <c r="L857" i="45"/>
  <c r="Q856" i="45"/>
  <c r="R856" i="45" s="1"/>
  <c r="P856" i="45"/>
  <c r="L856" i="45"/>
  <c r="Q855" i="45"/>
  <c r="R855" i="45" s="1"/>
  <c r="P855" i="45"/>
  <c r="L855" i="45"/>
  <c r="Q854" i="45"/>
  <c r="R854" i="45" s="1"/>
  <c r="P854" i="45"/>
  <c r="L854" i="45"/>
  <c r="Q853" i="45"/>
  <c r="R853" i="45" s="1"/>
  <c r="P853" i="45"/>
  <c r="L853" i="45"/>
  <c r="Q852" i="45"/>
  <c r="R852" i="45" s="1"/>
  <c r="P852" i="45"/>
  <c r="L852" i="45"/>
  <c r="Q851" i="45"/>
  <c r="R851" i="45" s="1"/>
  <c r="P851" i="45"/>
  <c r="L851" i="45"/>
  <c r="Q850" i="45"/>
  <c r="R850" i="45" s="1"/>
  <c r="P850" i="45"/>
  <c r="L850" i="45"/>
  <c r="Q849" i="45"/>
  <c r="R849" i="45" s="1"/>
  <c r="P849" i="45"/>
  <c r="L849" i="45"/>
  <c r="Q848" i="45"/>
  <c r="R848" i="45" s="1"/>
  <c r="P848" i="45"/>
  <c r="L848" i="45"/>
  <c r="Q847" i="45"/>
  <c r="R847" i="45" s="1"/>
  <c r="P847" i="45"/>
  <c r="L847" i="45"/>
  <c r="Q846" i="45"/>
  <c r="R846" i="45" s="1"/>
  <c r="P846" i="45"/>
  <c r="L846" i="45"/>
  <c r="Q845" i="45"/>
  <c r="R845" i="45" s="1"/>
  <c r="P845" i="45"/>
  <c r="L845" i="45"/>
  <c r="Q844" i="45"/>
  <c r="R844" i="45" s="1"/>
  <c r="P844" i="45"/>
  <c r="L844" i="45"/>
  <c r="Q843" i="45"/>
  <c r="R843" i="45" s="1"/>
  <c r="P843" i="45"/>
  <c r="L843" i="45"/>
  <c r="Q842" i="45"/>
  <c r="R842" i="45" s="1"/>
  <c r="P842" i="45"/>
  <c r="L842" i="45"/>
  <c r="Q841" i="45"/>
  <c r="R841" i="45" s="1"/>
  <c r="P841" i="45"/>
  <c r="L841" i="45"/>
  <c r="Q840" i="45"/>
  <c r="R840" i="45" s="1"/>
  <c r="P840" i="45"/>
  <c r="L840" i="45"/>
  <c r="Q839" i="45"/>
  <c r="R839" i="45" s="1"/>
  <c r="P839" i="45"/>
  <c r="L839" i="45"/>
  <c r="Q838" i="45"/>
  <c r="R838" i="45" s="1"/>
  <c r="P838" i="45"/>
  <c r="L838" i="45"/>
  <c r="Q837" i="45"/>
  <c r="R837" i="45" s="1"/>
  <c r="P837" i="45"/>
  <c r="L837" i="45"/>
  <c r="Q836" i="45"/>
  <c r="R836" i="45" s="1"/>
  <c r="P836" i="45"/>
  <c r="L836" i="45"/>
  <c r="Q835" i="45"/>
  <c r="R835" i="45" s="1"/>
  <c r="P835" i="45"/>
  <c r="L835" i="45"/>
  <c r="Q834" i="45"/>
  <c r="R834" i="45" s="1"/>
  <c r="P834" i="45"/>
  <c r="L834" i="45"/>
  <c r="Q833" i="45"/>
  <c r="R833" i="45" s="1"/>
  <c r="P833" i="45"/>
  <c r="L833" i="45"/>
  <c r="Q832" i="45"/>
  <c r="R832" i="45" s="1"/>
  <c r="P832" i="45"/>
  <c r="L832" i="45"/>
  <c r="Q831" i="45"/>
  <c r="R831" i="45" s="1"/>
  <c r="P831" i="45"/>
  <c r="L831" i="45"/>
  <c r="Q830" i="45"/>
  <c r="R830" i="45" s="1"/>
  <c r="P830" i="45"/>
  <c r="L830" i="45"/>
  <c r="Q829" i="45"/>
  <c r="R829" i="45" s="1"/>
  <c r="P829" i="45"/>
  <c r="L829" i="45"/>
  <c r="Q828" i="45"/>
  <c r="R828" i="45" s="1"/>
  <c r="P828" i="45"/>
  <c r="L828" i="45"/>
  <c r="Q827" i="45"/>
  <c r="R827" i="45" s="1"/>
  <c r="P827" i="45"/>
  <c r="L827" i="45"/>
  <c r="Q826" i="45"/>
  <c r="R826" i="45" s="1"/>
  <c r="P826" i="45"/>
  <c r="L826" i="45"/>
  <c r="Q825" i="45"/>
  <c r="R825" i="45" s="1"/>
  <c r="P825" i="45"/>
  <c r="L825" i="45"/>
  <c r="Q824" i="45"/>
  <c r="R824" i="45" s="1"/>
  <c r="P824" i="45"/>
  <c r="L824" i="45"/>
  <c r="Q823" i="45"/>
  <c r="R823" i="45" s="1"/>
  <c r="P823" i="45"/>
  <c r="L823" i="45"/>
  <c r="Q822" i="45"/>
  <c r="R822" i="45" s="1"/>
  <c r="P822" i="45"/>
  <c r="L822" i="45"/>
  <c r="Q821" i="45"/>
  <c r="R821" i="45" s="1"/>
  <c r="P821" i="45"/>
  <c r="L821" i="45"/>
  <c r="Q820" i="45"/>
  <c r="R820" i="45" s="1"/>
  <c r="P820" i="45"/>
  <c r="L820" i="45"/>
  <c r="Q819" i="45"/>
  <c r="R819" i="45" s="1"/>
  <c r="P819" i="45"/>
  <c r="L819" i="45"/>
  <c r="Q818" i="45"/>
  <c r="R818" i="45" s="1"/>
  <c r="P818" i="45"/>
  <c r="L818" i="45"/>
  <c r="Q817" i="45"/>
  <c r="R817" i="45" s="1"/>
  <c r="P817" i="45"/>
  <c r="L817" i="45"/>
  <c r="Q816" i="45"/>
  <c r="R816" i="45" s="1"/>
  <c r="P816" i="45"/>
  <c r="L816" i="45"/>
  <c r="Q815" i="45"/>
  <c r="R815" i="45" s="1"/>
  <c r="P815" i="45"/>
  <c r="L815" i="45"/>
  <c r="Q814" i="45"/>
  <c r="R814" i="45" s="1"/>
  <c r="P814" i="45"/>
  <c r="L814" i="45"/>
  <c r="Q813" i="45"/>
  <c r="R813" i="45" s="1"/>
  <c r="P813" i="45"/>
  <c r="L813" i="45"/>
  <c r="Q812" i="45"/>
  <c r="R812" i="45" s="1"/>
  <c r="P812" i="45"/>
  <c r="L812" i="45"/>
  <c r="Q811" i="45"/>
  <c r="R811" i="45" s="1"/>
  <c r="P811" i="45"/>
  <c r="L811" i="45"/>
  <c r="Q810" i="45"/>
  <c r="R810" i="45" s="1"/>
  <c r="P810" i="45"/>
  <c r="L810" i="45"/>
  <c r="Q809" i="45"/>
  <c r="R809" i="45" s="1"/>
  <c r="P809" i="45"/>
  <c r="L809" i="45"/>
  <c r="Q808" i="45"/>
  <c r="R808" i="45" s="1"/>
  <c r="P808" i="45"/>
  <c r="L808" i="45"/>
  <c r="Q807" i="45"/>
  <c r="R807" i="45" s="1"/>
  <c r="P807" i="45"/>
  <c r="L807" i="45"/>
  <c r="Q806" i="45"/>
  <c r="R806" i="45" s="1"/>
  <c r="P806" i="45"/>
  <c r="L806" i="45"/>
  <c r="Q805" i="45"/>
  <c r="R805" i="45" s="1"/>
  <c r="P805" i="45"/>
  <c r="L805" i="45"/>
  <c r="Q804" i="45"/>
  <c r="R804" i="45" s="1"/>
  <c r="P804" i="45"/>
  <c r="L804" i="45"/>
  <c r="Q803" i="45"/>
  <c r="R803" i="45" s="1"/>
  <c r="P803" i="45"/>
  <c r="L803" i="45"/>
  <c r="Q802" i="45"/>
  <c r="R802" i="45" s="1"/>
  <c r="P802" i="45"/>
  <c r="L802" i="45"/>
  <c r="Q801" i="45"/>
  <c r="R801" i="45" s="1"/>
  <c r="P801" i="45"/>
  <c r="L801" i="45"/>
  <c r="Q800" i="45"/>
  <c r="R800" i="45" s="1"/>
  <c r="P800" i="45"/>
  <c r="L800" i="45"/>
  <c r="Q799" i="45"/>
  <c r="R799" i="45" s="1"/>
  <c r="P799" i="45"/>
  <c r="L799" i="45"/>
  <c r="Q798" i="45"/>
  <c r="R798" i="45" s="1"/>
  <c r="P798" i="45"/>
  <c r="L798" i="45"/>
  <c r="Q797" i="45"/>
  <c r="R797" i="45" s="1"/>
  <c r="P797" i="45"/>
  <c r="L797" i="45"/>
  <c r="Q796" i="45"/>
  <c r="R796" i="45" s="1"/>
  <c r="P796" i="45"/>
  <c r="L796" i="45"/>
  <c r="Q795" i="45"/>
  <c r="R795" i="45" s="1"/>
  <c r="P795" i="45"/>
  <c r="L795" i="45"/>
  <c r="Q794" i="45"/>
  <c r="R794" i="45" s="1"/>
  <c r="P794" i="45"/>
  <c r="L794" i="45"/>
  <c r="Q793" i="45"/>
  <c r="R793" i="45" s="1"/>
  <c r="P793" i="45"/>
  <c r="L793" i="45"/>
  <c r="Q792" i="45"/>
  <c r="R792" i="45" s="1"/>
  <c r="P792" i="45"/>
  <c r="L792" i="45"/>
  <c r="Q791" i="45"/>
  <c r="R791" i="45" s="1"/>
  <c r="P791" i="45"/>
  <c r="L791" i="45"/>
  <c r="Q790" i="45"/>
  <c r="R790" i="45" s="1"/>
  <c r="P790" i="45"/>
  <c r="L790" i="45"/>
  <c r="Q789" i="45"/>
  <c r="R789" i="45" s="1"/>
  <c r="P789" i="45"/>
  <c r="L789" i="45"/>
  <c r="Q788" i="45"/>
  <c r="R788" i="45" s="1"/>
  <c r="P788" i="45"/>
  <c r="L788" i="45"/>
  <c r="Q787" i="45"/>
  <c r="R787" i="45" s="1"/>
  <c r="P787" i="45"/>
  <c r="L787" i="45"/>
  <c r="Q786" i="45"/>
  <c r="R786" i="45" s="1"/>
  <c r="P786" i="45"/>
  <c r="L786" i="45"/>
  <c r="Q785" i="45"/>
  <c r="R785" i="45" s="1"/>
  <c r="P785" i="45"/>
  <c r="L785" i="45"/>
  <c r="Q784" i="45"/>
  <c r="R784" i="45" s="1"/>
  <c r="P784" i="45"/>
  <c r="L784" i="45"/>
  <c r="Q783" i="45"/>
  <c r="R783" i="45" s="1"/>
  <c r="P783" i="45"/>
  <c r="L783" i="45"/>
  <c r="Q782" i="45"/>
  <c r="R782" i="45" s="1"/>
  <c r="P782" i="45"/>
  <c r="L782" i="45"/>
  <c r="Q781" i="45"/>
  <c r="R781" i="45" s="1"/>
  <c r="P781" i="45"/>
  <c r="L781" i="45"/>
  <c r="Q780" i="45"/>
  <c r="R780" i="45" s="1"/>
  <c r="P780" i="45"/>
  <c r="L780" i="45"/>
  <c r="Q779" i="45"/>
  <c r="R779" i="45" s="1"/>
  <c r="P779" i="45"/>
  <c r="L779" i="45"/>
  <c r="Q778" i="45"/>
  <c r="R778" i="45" s="1"/>
  <c r="P778" i="45"/>
  <c r="L778" i="45"/>
  <c r="Q777" i="45"/>
  <c r="R777" i="45" s="1"/>
  <c r="P777" i="45"/>
  <c r="L777" i="45"/>
  <c r="Q776" i="45"/>
  <c r="R776" i="45" s="1"/>
  <c r="P776" i="45"/>
  <c r="L776" i="45"/>
  <c r="Q775" i="45"/>
  <c r="R775" i="45" s="1"/>
  <c r="P775" i="45"/>
  <c r="L775" i="45"/>
  <c r="Q774" i="45"/>
  <c r="R774" i="45" s="1"/>
  <c r="P774" i="45"/>
  <c r="L774" i="45"/>
  <c r="Q773" i="45"/>
  <c r="R773" i="45" s="1"/>
  <c r="P773" i="45"/>
  <c r="L773" i="45"/>
  <c r="Q772" i="45"/>
  <c r="R772" i="45" s="1"/>
  <c r="P772" i="45"/>
  <c r="L772" i="45"/>
  <c r="Q771" i="45"/>
  <c r="R771" i="45" s="1"/>
  <c r="P771" i="45"/>
  <c r="L771" i="45"/>
  <c r="Q770" i="45"/>
  <c r="R770" i="45" s="1"/>
  <c r="P770" i="45"/>
  <c r="L770" i="45"/>
  <c r="Q769" i="45"/>
  <c r="R769" i="45" s="1"/>
  <c r="P769" i="45"/>
  <c r="L769" i="45"/>
  <c r="Q768" i="45"/>
  <c r="R768" i="45" s="1"/>
  <c r="P768" i="45"/>
  <c r="L768" i="45"/>
  <c r="Q767" i="45"/>
  <c r="R767" i="45" s="1"/>
  <c r="P767" i="45"/>
  <c r="L767" i="45"/>
  <c r="Q766" i="45"/>
  <c r="R766" i="45" s="1"/>
  <c r="P766" i="45"/>
  <c r="L766" i="45"/>
  <c r="Q765" i="45"/>
  <c r="R765" i="45" s="1"/>
  <c r="P765" i="45"/>
  <c r="L765" i="45"/>
  <c r="Q764" i="45"/>
  <c r="R764" i="45" s="1"/>
  <c r="P764" i="45"/>
  <c r="L764" i="45"/>
  <c r="Q763" i="45"/>
  <c r="R763" i="45" s="1"/>
  <c r="P763" i="45"/>
  <c r="L763" i="45"/>
  <c r="Q762" i="45"/>
  <c r="R762" i="45" s="1"/>
  <c r="P762" i="45"/>
  <c r="L762" i="45"/>
  <c r="Q761" i="45"/>
  <c r="R761" i="45" s="1"/>
  <c r="P761" i="45"/>
  <c r="L761" i="45"/>
  <c r="Q760" i="45"/>
  <c r="R760" i="45" s="1"/>
  <c r="P760" i="45"/>
  <c r="L760" i="45"/>
  <c r="Q759" i="45"/>
  <c r="R759" i="45" s="1"/>
  <c r="P759" i="45"/>
  <c r="L759" i="45"/>
  <c r="Q758" i="45"/>
  <c r="R758" i="45" s="1"/>
  <c r="P758" i="45"/>
  <c r="L758" i="45"/>
  <c r="Q757" i="45"/>
  <c r="R757" i="45" s="1"/>
  <c r="P757" i="45"/>
  <c r="L757" i="45"/>
  <c r="Q756" i="45"/>
  <c r="R756" i="45" s="1"/>
  <c r="P756" i="45"/>
  <c r="L756" i="45"/>
  <c r="Q755" i="45"/>
  <c r="R755" i="45" s="1"/>
  <c r="P755" i="45"/>
  <c r="L755" i="45"/>
  <c r="Q754" i="45"/>
  <c r="R754" i="45" s="1"/>
  <c r="P754" i="45"/>
  <c r="L754" i="45"/>
  <c r="Q753" i="45"/>
  <c r="R753" i="45" s="1"/>
  <c r="P753" i="45"/>
  <c r="L753" i="45"/>
  <c r="Q752" i="45"/>
  <c r="R752" i="45" s="1"/>
  <c r="P752" i="45"/>
  <c r="L752" i="45"/>
  <c r="Q751" i="45"/>
  <c r="R751" i="45" s="1"/>
  <c r="P751" i="45"/>
  <c r="L751" i="45"/>
  <c r="Q750" i="45"/>
  <c r="R750" i="45" s="1"/>
  <c r="P750" i="45"/>
  <c r="L750" i="45"/>
  <c r="Q749" i="45"/>
  <c r="R749" i="45" s="1"/>
  <c r="P749" i="45"/>
  <c r="L749" i="45"/>
  <c r="Q748" i="45"/>
  <c r="R748" i="45" s="1"/>
  <c r="P748" i="45"/>
  <c r="L748" i="45"/>
  <c r="Q747" i="45"/>
  <c r="R747" i="45" s="1"/>
  <c r="P747" i="45"/>
  <c r="L747" i="45"/>
  <c r="Q746" i="45"/>
  <c r="R746" i="45" s="1"/>
  <c r="P746" i="45"/>
  <c r="L746" i="45"/>
  <c r="Q745" i="45"/>
  <c r="R745" i="45" s="1"/>
  <c r="P745" i="45"/>
  <c r="L745" i="45"/>
  <c r="Q744" i="45"/>
  <c r="R744" i="45" s="1"/>
  <c r="P744" i="45"/>
  <c r="L744" i="45"/>
  <c r="Q743" i="45"/>
  <c r="R743" i="45" s="1"/>
  <c r="P743" i="45"/>
  <c r="L743" i="45"/>
  <c r="Q742" i="45"/>
  <c r="R742" i="45" s="1"/>
  <c r="P742" i="45"/>
  <c r="L742" i="45"/>
  <c r="Q741" i="45"/>
  <c r="R741" i="45" s="1"/>
  <c r="P741" i="45"/>
  <c r="L741" i="45"/>
  <c r="Q740" i="45"/>
  <c r="R740" i="45" s="1"/>
  <c r="P740" i="45"/>
  <c r="L740" i="45"/>
  <c r="Q739" i="45"/>
  <c r="R739" i="45" s="1"/>
  <c r="P739" i="45"/>
  <c r="L739" i="45"/>
  <c r="Q738" i="45"/>
  <c r="R738" i="45" s="1"/>
  <c r="P738" i="45"/>
  <c r="L738" i="45"/>
  <c r="Q737" i="45"/>
  <c r="R737" i="45" s="1"/>
  <c r="P737" i="45"/>
  <c r="L737" i="45"/>
  <c r="Q736" i="45"/>
  <c r="R736" i="45" s="1"/>
  <c r="P736" i="45"/>
  <c r="L736" i="45"/>
  <c r="Q735" i="45"/>
  <c r="R735" i="45" s="1"/>
  <c r="P735" i="45"/>
  <c r="L735" i="45"/>
  <c r="Q734" i="45"/>
  <c r="R734" i="45" s="1"/>
  <c r="P734" i="45"/>
  <c r="L734" i="45"/>
  <c r="Q733" i="45"/>
  <c r="R733" i="45" s="1"/>
  <c r="P733" i="45"/>
  <c r="L733" i="45"/>
  <c r="Q732" i="45"/>
  <c r="R732" i="45" s="1"/>
  <c r="P732" i="45"/>
  <c r="L732" i="45"/>
  <c r="Q731" i="45"/>
  <c r="R731" i="45" s="1"/>
  <c r="P731" i="45"/>
  <c r="L731" i="45"/>
  <c r="Q730" i="45"/>
  <c r="R730" i="45" s="1"/>
  <c r="P730" i="45"/>
  <c r="L730" i="45"/>
  <c r="Q729" i="45"/>
  <c r="R729" i="45" s="1"/>
  <c r="P729" i="45"/>
  <c r="L729" i="45"/>
  <c r="Q728" i="45"/>
  <c r="R728" i="45" s="1"/>
  <c r="P728" i="45"/>
  <c r="L728" i="45"/>
  <c r="Q727" i="45"/>
  <c r="R727" i="45" s="1"/>
  <c r="P727" i="45"/>
  <c r="L727" i="45"/>
  <c r="Q726" i="45"/>
  <c r="R726" i="45" s="1"/>
  <c r="P726" i="45"/>
  <c r="L726" i="45"/>
  <c r="Q725" i="45"/>
  <c r="R725" i="45" s="1"/>
  <c r="P725" i="45"/>
  <c r="L725" i="45"/>
  <c r="Q724" i="45"/>
  <c r="R724" i="45" s="1"/>
  <c r="P724" i="45"/>
  <c r="L724" i="45"/>
  <c r="Q723" i="45"/>
  <c r="R723" i="45" s="1"/>
  <c r="P723" i="45"/>
  <c r="L723" i="45"/>
  <c r="Q722" i="45"/>
  <c r="R722" i="45" s="1"/>
  <c r="P722" i="45"/>
  <c r="L722" i="45"/>
  <c r="Q721" i="45"/>
  <c r="R721" i="45" s="1"/>
  <c r="P721" i="45"/>
  <c r="L721" i="45"/>
  <c r="Q720" i="45"/>
  <c r="R720" i="45" s="1"/>
  <c r="P720" i="45"/>
  <c r="L720" i="45"/>
  <c r="Q719" i="45"/>
  <c r="R719" i="45" s="1"/>
  <c r="P719" i="45"/>
  <c r="L719" i="45"/>
  <c r="Q718" i="45"/>
  <c r="R718" i="45" s="1"/>
  <c r="P718" i="45"/>
  <c r="L718" i="45"/>
  <c r="Q717" i="45"/>
  <c r="R717" i="45" s="1"/>
  <c r="P717" i="45"/>
  <c r="L717" i="45"/>
  <c r="Q716" i="45"/>
  <c r="R716" i="45" s="1"/>
  <c r="P716" i="45"/>
  <c r="L716" i="45"/>
  <c r="Q715" i="45"/>
  <c r="R715" i="45" s="1"/>
  <c r="P715" i="45"/>
  <c r="L715" i="45"/>
  <c r="Q714" i="45"/>
  <c r="R714" i="45" s="1"/>
  <c r="P714" i="45"/>
  <c r="L714" i="45"/>
  <c r="Q713" i="45"/>
  <c r="R713" i="45" s="1"/>
  <c r="P713" i="45"/>
  <c r="L713" i="45"/>
  <c r="Q712" i="45"/>
  <c r="R712" i="45" s="1"/>
  <c r="P712" i="45"/>
  <c r="L712" i="45"/>
  <c r="Q711" i="45"/>
  <c r="R711" i="45" s="1"/>
  <c r="P711" i="45"/>
  <c r="L711" i="45"/>
  <c r="Q710" i="45"/>
  <c r="R710" i="45" s="1"/>
  <c r="P710" i="45"/>
  <c r="L710" i="45"/>
  <c r="Q709" i="45"/>
  <c r="R709" i="45" s="1"/>
  <c r="P709" i="45"/>
  <c r="L709" i="45"/>
  <c r="Q708" i="45"/>
  <c r="R708" i="45" s="1"/>
  <c r="P708" i="45"/>
  <c r="L708" i="45"/>
  <c r="Q707" i="45"/>
  <c r="R707" i="45" s="1"/>
  <c r="P707" i="45"/>
  <c r="L707" i="45"/>
  <c r="Q706" i="45"/>
  <c r="R706" i="45" s="1"/>
  <c r="P706" i="45"/>
  <c r="L706" i="45"/>
  <c r="Q705" i="45"/>
  <c r="R705" i="45" s="1"/>
  <c r="P705" i="45"/>
  <c r="L705" i="45"/>
  <c r="Q704" i="45"/>
  <c r="R704" i="45" s="1"/>
  <c r="P704" i="45"/>
  <c r="L704" i="45"/>
  <c r="Q703" i="45"/>
  <c r="R703" i="45" s="1"/>
  <c r="P703" i="45"/>
  <c r="L703" i="45"/>
  <c r="Q702" i="45"/>
  <c r="R702" i="45" s="1"/>
  <c r="P702" i="45"/>
  <c r="L702" i="45"/>
  <c r="Q701" i="45"/>
  <c r="R701" i="45" s="1"/>
  <c r="P701" i="45"/>
  <c r="L701" i="45"/>
  <c r="Q700" i="45"/>
  <c r="R700" i="45" s="1"/>
  <c r="P700" i="45"/>
  <c r="L700" i="45"/>
  <c r="Q699" i="45"/>
  <c r="R699" i="45" s="1"/>
  <c r="P699" i="45"/>
  <c r="L699" i="45"/>
  <c r="Q698" i="45"/>
  <c r="R698" i="45" s="1"/>
  <c r="P698" i="45"/>
  <c r="L698" i="45"/>
  <c r="Q697" i="45"/>
  <c r="R697" i="45" s="1"/>
  <c r="P697" i="45"/>
  <c r="L697" i="45"/>
  <c r="Q696" i="45"/>
  <c r="R696" i="45" s="1"/>
  <c r="P696" i="45"/>
  <c r="L696" i="45"/>
  <c r="Q695" i="45"/>
  <c r="R695" i="45" s="1"/>
  <c r="P695" i="45"/>
  <c r="L695" i="45"/>
  <c r="Q694" i="45"/>
  <c r="R694" i="45" s="1"/>
  <c r="P694" i="45"/>
  <c r="L694" i="45"/>
  <c r="Q693" i="45"/>
  <c r="R693" i="45" s="1"/>
  <c r="P693" i="45"/>
  <c r="L693" i="45"/>
  <c r="Q692" i="45"/>
  <c r="R692" i="45" s="1"/>
  <c r="P692" i="45"/>
  <c r="L692" i="45"/>
  <c r="Q691" i="45"/>
  <c r="R691" i="45" s="1"/>
  <c r="P691" i="45"/>
  <c r="L691" i="45"/>
  <c r="Q690" i="45"/>
  <c r="R690" i="45" s="1"/>
  <c r="P690" i="45"/>
  <c r="L690" i="45"/>
  <c r="Q689" i="45"/>
  <c r="R689" i="45" s="1"/>
  <c r="P689" i="45"/>
  <c r="L689" i="45"/>
  <c r="Q688" i="45"/>
  <c r="R688" i="45" s="1"/>
  <c r="P688" i="45"/>
  <c r="L688" i="45"/>
  <c r="Q687" i="45"/>
  <c r="R687" i="45" s="1"/>
  <c r="P687" i="45"/>
  <c r="L687" i="45"/>
  <c r="Q686" i="45"/>
  <c r="R686" i="45" s="1"/>
  <c r="P686" i="45"/>
  <c r="L686" i="45"/>
  <c r="Q685" i="45"/>
  <c r="R685" i="45" s="1"/>
  <c r="P685" i="45"/>
  <c r="L685" i="45"/>
  <c r="Q684" i="45"/>
  <c r="R684" i="45" s="1"/>
  <c r="P684" i="45"/>
  <c r="L684" i="45"/>
  <c r="Q683" i="45"/>
  <c r="R683" i="45" s="1"/>
  <c r="P683" i="45"/>
  <c r="L683" i="45"/>
  <c r="Q682" i="45"/>
  <c r="R682" i="45" s="1"/>
  <c r="P682" i="45"/>
  <c r="L682" i="45"/>
  <c r="Q681" i="45"/>
  <c r="R681" i="45" s="1"/>
  <c r="P681" i="45"/>
  <c r="L681" i="45"/>
  <c r="Q680" i="45"/>
  <c r="R680" i="45" s="1"/>
  <c r="P680" i="45"/>
  <c r="L680" i="45"/>
  <c r="Q679" i="45"/>
  <c r="R679" i="45" s="1"/>
  <c r="P679" i="45"/>
  <c r="L679" i="45"/>
  <c r="Q678" i="45"/>
  <c r="R678" i="45" s="1"/>
  <c r="P678" i="45"/>
  <c r="L678" i="45"/>
  <c r="Q677" i="45"/>
  <c r="R677" i="45" s="1"/>
  <c r="P677" i="45"/>
  <c r="L677" i="45"/>
  <c r="Q676" i="45"/>
  <c r="R676" i="45" s="1"/>
  <c r="P676" i="45"/>
  <c r="L676" i="45"/>
  <c r="Q675" i="45"/>
  <c r="R675" i="45" s="1"/>
  <c r="P675" i="45"/>
  <c r="L675" i="45"/>
  <c r="Q674" i="45"/>
  <c r="R674" i="45" s="1"/>
  <c r="P674" i="45"/>
  <c r="L674" i="45"/>
  <c r="Q673" i="45"/>
  <c r="R673" i="45" s="1"/>
  <c r="P673" i="45"/>
  <c r="L673" i="45"/>
  <c r="Q672" i="45"/>
  <c r="R672" i="45" s="1"/>
  <c r="P672" i="45"/>
  <c r="L672" i="45"/>
  <c r="Q671" i="45"/>
  <c r="R671" i="45" s="1"/>
  <c r="P671" i="45"/>
  <c r="L671" i="45"/>
  <c r="Q670" i="45"/>
  <c r="R670" i="45" s="1"/>
  <c r="P670" i="45"/>
  <c r="L670" i="45"/>
  <c r="Q669" i="45"/>
  <c r="R669" i="45" s="1"/>
  <c r="P669" i="45"/>
  <c r="L669" i="45"/>
  <c r="Q668" i="45"/>
  <c r="R668" i="45" s="1"/>
  <c r="P668" i="45"/>
  <c r="L668" i="45"/>
  <c r="Q667" i="45"/>
  <c r="R667" i="45" s="1"/>
  <c r="P667" i="45"/>
  <c r="L667" i="45"/>
  <c r="Q666" i="45"/>
  <c r="R666" i="45" s="1"/>
  <c r="P666" i="45"/>
  <c r="L666" i="45"/>
  <c r="Q665" i="45"/>
  <c r="R665" i="45" s="1"/>
  <c r="P665" i="45"/>
  <c r="L665" i="45"/>
  <c r="Q664" i="45"/>
  <c r="R664" i="45" s="1"/>
  <c r="P664" i="45"/>
  <c r="L664" i="45"/>
  <c r="Q663" i="45"/>
  <c r="R663" i="45" s="1"/>
  <c r="P663" i="45"/>
  <c r="L663" i="45"/>
  <c r="Q662" i="45"/>
  <c r="R662" i="45" s="1"/>
  <c r="P662" i="45"/>
  <c r="L662" i="45"/>
  <c r="Q661" i="45"/>
  <c r="R661" i="45" s="1"/>
  <c r="P661" i="45"/>
  <c r="L661" i="45"/>
  <c r="Q660" i="45"/>
  <c r="R660" i="45" s="1"/>
  <c r="P660" i="45"/>
  <c r="L660" i="45"/>
  <c r="Q659" i="45"/>
  <c r="R659" i="45" s="1"/>
  <c r="P659" i="45"/>
  <c r="L659" i="45"/>
  <c r="Q658" i="45"/>
  <c r="R658" i="45" s="1"/>
  <c r="P658" i="45"/>
  <c r="L658" i="45"/>
  <c r="Q657" i="45"/>
  <c r="R657" i="45" s="1"/>
  <c r="P657" i="45"/>
  <c r="L657" i="45"/>
  <c r="Q656" i="45"/>
  <c r="R656" i="45" s="1"/>
  <c r="P656" i="45"/>
  <c r="L656" i="45"/>
  <c r="Q655" i="45"/>
  <c r="R655" i="45" s="1"/>
  <c r="P655" i="45"/>
  <c r="L655" i="45"/>
  <c r="Q654" i="45"/>
  <c r="R654" i="45" s="1"/>
  <c r="P654" i="45"/>
  <c r="L654" i="45"/>
  <c r="Q653" i="45"/>
  <c r="R653" i="45" s="1"/>
  <c r="P653" i="45"/>
  <c r="L653" i="45"/>
  <c r="Q652" i="45"/>
  <c r="R652" i="45" s="1"/>
  <c r="P652" i="45"/>
  <c r="L652" i="45"/>
  <c r="Q651" i="45"/>
  <c r="R651" i="45" s="1"/>
  <c r="P651" i="45"/>
  <c r="L651" i="45"/>
  <c r="Q650" i="45"/>
  <c r="R650" i="45" s="1"/>
  <c r="P650" i="45"/>
  <c r="L650" i="45"/>
  <c r="Q649" i="45"/>
  <c r="R649" i="45" s="1"/>
  <c r="P649" i="45"/>
  <c r="L649" i="45"/>
  <c r="Q648" i="45"/>
  <c r="R648" i="45" s="1"/>
  <c r="P648" i="45"/>
  <c r="L648" i="45"/>
  <c r="Q647" i="45"/>
  <c r="R647" i="45" s="1"/>
  <c r="P647" i="45"/>
  <c r="L647" i="45"/>
  <c r="Q646" i="45"/>
  <c r="R646" i="45" s="1"/>
  <c r="P646" i="45"/>
  <c r="L646" i="45"/>
  <c r="Q645" i="45"/>
  <c r="R645" i="45" s="1"/>
  <c r="P645" i="45"/>
  <c r="L645" i="45"/>
  <c r="Q644" i="45"/>
  <c r="R644" i="45" s="1"/>
  <c r="P644" i="45"/>
  <c r="L644" i="45"/>
  <c r="Q643" i="45"/>
  <c r="R643" i="45" s="1"/>
  <c r="P643" i="45"/>
  <c r="L643" i="45"/>
  <c r="Q642" i="45"/>
  <c r="R642" i="45" s="1"/>
  <c r="P642" i="45"/>
  <c r="L642" i="45"/>
  <c r="Q641" i="45"/>
  <c r="R641" i="45" s="1"/>
  <c r="P641" i="45"/>
  <c r="L641" i="45"/>
  <c r="Q640" i="45"/>
  <c r="R640" i="45" s="1"/>
  <c r="P640" i="45"/>
  <c r="L640" i="45"/>
  <c r="Q639" i="45"/>
  <c r="R639" i="45" s="1"/>
  <c r="P639" i="45"/>
  <c r="L639" i="45"/>
  <c r="Q638" i="45"/>
  <c r="R638" i="45" s="1"/>
  <c r="P638" i="45"/>
  <c r="L638" i="45"/>
  <c r="Q637" i="45"/>
  <c r="R637" i="45" s="1"/>
  <c r="P637" i="45"/>
  <c r="L637" i="45"/>
  <c r="Q636" i="45"/>
  <c r="R636" i="45" s="1"/>
  <c r="P636" i="45"/>
  <c r="L636" i="45"/>
  <c r="Q635" i="45"/>
  <c r="R635" i="45" s="1"/>
  <c r="P635" i="45"/>
  <c r="L635" i="45"/>
  <c r="Q634" i="45"/>
  <c r="R634" i="45" s="1"/>
  <c r="P634" i="45"/>
  <c r="L634" i="45"/>
  <c r="Q633" i="45"/>
  <c r="R633" i="45" s="1"/>
  <c r="P633" i="45"/>
  <c r="L633" i="45"/>
  <c r="Q632" i="45"/>
  <c r="R632" i="45" s="1"/>
  <c r="P632" i="45"/>
  <c r="L632" i="45"/>
  <c r="Q631" i="45"/>
  <c r="R631" i="45" s="1"/>
  <c r="P631" i="45"/>
  <c r="L631" i="45"/>
  <c r="Q630" i="45"/>
  <c r="R630" i="45" s="1"/>
  <c r="P630" i="45"/>
  <c r="L630" i="45"/>
  <c r="Q629" i="45"/>
  <c r="R629" i="45" s="1"/>
  <c r="P629" i="45"/>
  <c r="L629" i="45"/>
  <c r="Q628" i="45"/>
  <c r="R628" i="45" s="1"/>
  <c r="P628" i="45"/>
  <c r="L628" i="45"/>
  <c r="Q627" i="45"/>
  <c r="R627" i="45" s="1"/>
  <c r="P627" i="45"/>
  <c r="L627" i="45"/>
  <c r="Q626" i="45"/>
  <c r="R626" i="45" s="1"/>
  <c r="P626" i="45"/>
  <c r="L626" i="45"/>
  <c r="Q625" i="45"/>
  <c r="R625" i="45" s="1"/>
  <c r="P625" i="45"/>
  <c r="L625" i="45"/>
  <c r="Q624" i="45"/>
  <c r="R624" i="45" s="1"/>
  <c r="P624" i="45"/>
  <c r="L624" i="45"/>
  <c r="Q623" i="45"/>
  <c r="R623" i="45" s="1"/>
  <c r="P623" i="45"/>
  <c r="L623" i="45"/>
  <c r="Q622" i="45"/>
  <c r="R622" i="45" s="1"/>
  <c r="P622" i="45"/>
  <c r="L622" i="45"/>
  <c r="Q621" i="45"/>
  <c r="R621" i="45" s="1"/>
  <c r="P621" i="45"/>
  <c r="L621" i="45"/>
  <c r="Q620" i="45"/>
  <c r="R620" i="45" s="1"/>
  <c r="P620" i="45"/>
  <c r="L620" i="45"/>
  <c r="Q619" i="45"/>
  <c r="R619" i="45" s="1"/>
  <c r="P619" i="45"/>
  <c r="L619" i="45"/>
  <c r="Q618" i="45"/>
  <c r="R618" i="45" s="1"/>
  <c r="P618" i="45"/>
  <c r="L618" i="45"/>
  <c r="Q617" i="45"/>
  <c r="R617" i="45" s="1"/>
  <c r="P617" i="45"/>
  <c r="L617" i="45"/>
  <c r="Q616" i="45"/>
  <c r="R616" i="45" s="1"/>
  <c r="P616" i="45"/>
  <c r="L616" i="45"/>
  <c r="Q615" i="45"/>
  <c r="R615" i="45" s="1"/>
  <c r="P615" i="45"/>
  <c r="L615" i="45"/>
  <c r="Q614" i="45"/>
  <c r="R614" i="45" s="1"/>
  <c r="P614" i="45"/>
  <c r="L614" i="45"/>
  <c r="Q613" i="45"/>
  <c r="R613" i="45" s="1"/>
  <c r="P613" i="45"/>
  <c r="L613" i="45"/>
  <c r="Q612" i="45"/>
  <c r="R612" i="45" s="1"/>
  <c r="P612" i="45"/>
  <c r="L612" i="45"/>
  <c r="Q611" i="45"/>
  <c r="R611" i="45" s="1"/>
  <c r="P611" i="45"/>
  <c r="L611" i="45"/>
  <c r="Q610" i="45"/>
  <c r="R610" i="45" s="1"/>
  <c r="P610" i="45"/>
  <c r="L610" i="45"/>
  <c r="Q609" i="45"/>
  <c r="R609" i="45" s="1"/>
  <c r="P609" i="45"/>
  <c r="L609" i="45"/>
  <c r="Q608" i="45"/>
  <c r="R608" i="45" s="1"/>
  <c r="P608" i="45"/>
  <c r="L608" i="45"/>
  <c r="Q607" i="45"/>
  <c r="R607" i="45" s="1"/>
  <c r="P607" i="45"/>
  <c r="L607" i="45"/>
  <c r="Q606" i="45"/>
  <c r="R606" i="45" s="1"/>
  <c r="P606" i="45"/>
  <c r="L606" i="45"/>
  <c r="Q605" i="45"/>
  <c r="R605" i="45" s="1"/>
  <c r="P605" i="45"/>
  <c r="L605" i="45"/>
  <c r="Q604" i="45"/>
  <c r="R604" i="45" s="1"/>
  <c r="P604" i="45"/>
  <c r="L604" i="45"/>
  <c r="Q603" i="45"/>
  <c r="R603" i="45" s="1"/>
  <c r="P603" i="45"/>
  <c r="L603" i="45"/>
  <c r="Q602" i="45"/>
  <c r="R602" i="45" s="1"/>
  <c r="P602" i="45"/>
  <c r="L602" i="45"/>
  <c r="Q601" i="45"/>
  <c r="R601" i="45" s="1"/>
  <c r="P601" i="45"/>
  <c r="L601" i="45"/>
  <c r="Q600" i="45"/>
  <c r="R600" i="45" s="1"/>
  <c r="P600" i="45"/>
  <c r="L600" i="45"/>
  <c r="Q599" i="45"/>
  <c r="R599" i="45" s="1"/>
  <c r="P599" i="45"/>
  <c r="L599" i="45"/>
  <c r="Q598" i="45"/>
  <c r="R598" i="45" s="1"/>
  <c r="P598" i="45"/>
  <c r="L598" i="45"/>
  <c r="Q597" i="45"/>
  <c r="R597" i="45" s="1"/>
  <c r="P597" i="45"/>
  <c r="L597" i="45"/>
  <c r="Q596" i="45"/>
  <c r="R596" i="45" s="1"/>
  <c r="P596" i="45"/>
  <c r="L596" i="45"/>
  <c r="Q595" i="45"/>
  <c r="R595" i="45" s="1"/>
  <c r="P595" i="45"/>
  <c r="L595" i="45"/>
  <c r="Q594" i="45"/>
  <c r="R594" i="45" s="1"/>
  <c r="P594" i="45"/>
  <c r="L594" i="45"/>
  <c r="Q593" i="45"/>
  <c r="R593" i="45" s="1"/>
  <c r="P593" i="45"/>
  <c r="L593" i="45"/>
  <c r="Q592" i="45"/>
  <c r="R592" i="45" s="1"/>
  <c r="P592" i="45"/>
  <c r="L592" i="45"/>
  <c r="Q591" i="45"/>
  <c r="R591" i="45" s="1"/>
  <c r="P591" i="45"/>
  <c r="L591" i="45"/>
  <c r="Q590" i="45"/>
  <c r="R590" i="45" s="1"/>
  <c r="P590" i="45"/>
  <c r="L590" i="45"/>
  <c r="Q589" i="45"/>
  <c r="R589" i="45" s="1"/>
  <c r="P589" i="45"/>
  <c r="L589" i="45"/>
  <c r="Q588" i="45"/>
  <c r="R588" i="45" s="1"/>
  <c r="P588" i="45"/>
  <c r="L588" i="45"/>
  <c r="Q587" i="45"/>
  <c r="R587" i="45" s="1"/>
  <c r="P587" i="45"/>
  <c r="L587" i="45"/>
  <c r="Q586" i="45"/>
  <c r="R586" i="45" s="1"/>
  <c r="P586" i="45"/>
  <c r="L586" i="45"/>
  <c r="Q585" i="45"/>
  <c r="R585" i="45" s="1"/>
  <c r="P585" i="45"/>
  <c r="L585" i="45"/>
  <c r="Q584" i="45"/>
  <c r="R584" i="45" s="1"/>
  <c r="P584" i="45"/>
  <c r="L584" i="45"/>
  <c r="Q583" i="45"/>
  <c r="R583" i="45" s="1"/>
  <c r="P583" i="45"/>
  <c r="L583" i="45"/>
  <c r="Q582" i="45"/>
  <c r="R582" i="45" s="1"/>
  <c r="P582" i="45"/>
  <c r="L582" i="45"/>
  <c r="Q581" i="45"/>
  <c r="R581" i="45" s="1"/>
  <c r="P581" i="45"/>
  <c r="L581" i="45"/>
  <c r="Q580" i="45"/>
  <c r="R580" i="45" s="1"/>
  <c r="P580" i="45"/>
  <c r="L580" i="45"/>
  <c r="Q579" i="45"/>
  <c r="R579" i="45" s="1"/>
  <c r="P579" i="45"/>
  <c r="L579" i="45"/>
  <c r="Q578" i="45"/>
  <c r="R578" i="45" s="1"/>
  <c r="P578" i="45"/>
  <c r="L578" i="45"/>
  <c r="Q577" i="45"/>
  <c r="R577" i="45" s="1"/>
  <c r="P577" i="45"/>
  <c r="L577" i="45"/>
  <c r="Q576" i="45"/>
  <c r="R576" i="45" s="1"/>
  <c r="P576" i="45"/>
  <c r="L576" i="45"/>
  <c r="Q575" i="45"/>
  <c r="R575" i="45" s="1"/>
  <c r="P575" i="45"/>
  <c r="L575" i="45"/>
  <c r="Q574" i="45"/>
  <c r="R574" i="45" s="1"/>
  <c r="P574" i="45"/>
  <c r="L574" i="45"/>
  <c r="Q573" i="45"/>
  <c r="R573" i="45" s="1"/>
  <c r="P573" i="45"/>
  <c r="L573" i="45"/>
  <c r="Q572" i="45"/>
  <c r="R572" i="45" s="1"/>
  <c r="P572" i="45"/>
  <c r="L572" i="45"/>
  <c r="Q571" i="45"/>
  <c r="R571" i="45" s="1"/>
  <c r="P571" i="45"/>
  <c r="L571" i="45"/>
  <c r="Q570" i="45"/>
  <c r="R570" i="45" s="1"/>
  <c r="P570" i="45"/>
  <c r="L570" i="45"/>
  <c r="Q569" i="45"/>
  <c r="R569" i="45" s="1"/>
  <c r="P569" i="45"/>
  <c r="L569" i="45"/>
  <c r="Q568" i="45"/>
  <c r="R568" i="45" s="1"/>
  <c r="P568" i="45"/>
  <c r="L568" i="45"/>
  <c r="Q567" i="45"/>
  <c r="R567" i="45" s="1"/>
  <c r="P567" i="45"/>
  <c r="L567" i="45"/>
  <c r="Q566" i="45"/>
  <c r="R566" i="45" s="1"/>
  <c r="P566" i="45"/>
  <c r="L566" i="45"/>
  <c r="Q565" i="45"/>
  <c r="R565" i="45" s="1"/>
  <c r="P565" i="45"/>
  <c r="L565" i="45"/>
  <c r="Q564" i="45"/>
  <c r="R564" i="45" s="1"/>
  <c r="P564" i="45"/>
  <c r="L564" i="45"/>
  <c r="Q563" i="45"/>
  <c r="R563" i="45" s="1"/>
  <c r="P563" i="45"/>
  <c r="L563" i="45"/>
  <c r="Q562" i="45"/>
  <c r="R562" i="45" s="1"/>
  <c r="P562" i="45"/>
  <c r="L562" i="45"/>
  <c r="Q561" i="45"/>
  <c r="R561" i="45" s="1"/>
  <c r="P561" i="45"/>
  <c r="L561" i="45"/>
  <c r="Q560" i="45"/>
  <c r="R560" i="45" s="1"/>
  <c r="P560" i="45"/>
  <c r="L560" i="45"/>
  <c r="Q559" i="45"/>
  <c r="R559" i="45" s="1"/>
  <c r="P559" i="45"/>
  <c r="L559" i="45"/>
  <c r="Q558" i="45"/>
  <c r="R558" i="45" s="1"/>
  <c r="P558" i="45"/>
  <c r="L558" i="45"/>
  <c r="Q557" i="45"/>
  <c r="R557" i="45" s="1"/>
  <c r="P557" i="45"/>
  <c r="L557" i="45"/>
  <c r="Q556" i="45"/>
  <c r="R556" i="45" s="1"/>
  <c r="P556" i="45"/>
  <c r="L556" i="45"/>
  <c r="Q555" i="45"/>
  <c r="R555" i="45" s="1"/>
  <c r="P555" i="45"/>
  <c r="L555" i="45"/>
  <c r="Q554" i="45"/>
  <c r="R554" i="45" s="1"/>
  <c r="P554" i="45"/>
  <c r="L554" i="45"/>
  <c r="Q553" i="45"/>
  <c r="R553" i="45" s="1"/>
  <c r="P553" i="45"/>
  <c r="L553" i="45"/>
  <c r="Q552" i="45"/>
  <c r="R552" i="45" s="1"/>
  <c r="P552" i="45"/>
  <c r="L552" i="45"/>
  <c r="Q551" i="45"/>
  <c r="R551" i="45" s="1"/>
  <c r="P551" i="45"/>
  <c r="L551" i="45"/>
  <c r="Q550" i="45"/>
  <c r="R550" i="45" s="1"/>
  <c r="P550" i="45"/>
  <c r="L550" i="45"/>
  <c r="Q549" i="45"/>
  <c r="R549" i="45" s="1"/>
  <c r="P549" i="45"/>
  <c r="L549" i="45"/>
  <c r="Q548" i="45"/>
  <c r="R548" i="45" s="1"/>
  <c r="P548" i="45"/>
  <c r="L548" i="45"/>
  <c r="Q547" i="45"/>
  <c r="R547" i="45" s="1"/>
  <c r="P547" i="45"/>
  <c r="L547" i="45"/>
  <c r="Q546" i="45"/>
  <c r="R546" i="45" s="1"/>
  <c r="P546" i="45"/>
  <c r="L546" i="45"/>
  <c r="Q545" i="45"/>
  <c r="R545" i="45" s="1"/>
  <c r="P545" i="45"/>
  <c r="L545" i="45"/>
  <c r="Q544" i="45"/>
  <c r="R544" i="45" s="1"/>
  <c r="P544" i="45"/>
  <c r="L544" i="45"/>
  <c r="Q543" i="45"/>
  <c r="R543" i="45" s="1"/>
  <c r="P543" i="45"/>
  <c r="L543" i="45"/>
  <c r="Q542" i="45"/>
  <c r="R542" i="45" s="1"/>
  <c r="P542" i="45"/>
  <c r="L542" i="45"/>
  <c r="Q541" i="45"/>
  <c r="R541" i="45" s="1"/>
  <c r="P541" i="45"/>
  <c r="L541" i="45"/>
  <c r="Q540" i="45"/>
  <c r="R540" i="45" s="1"/>
  <c r="P540" i="45"/>
  <c r="L540" i="45"/>
  <c r="Q539" i="45"/>
  <c r="R539" i="45" s="1"/>
  <c r="P539" i="45"/>
  <c r="L539" i="45"/>
  <c r="Q538" i="45"/>
  <c r="R538" i="45" s="1"/>
  <c r="P538" i="45"/>
  <c r="L538" i="45"/>
  <c r="Q537" i="45"/>
  <c r="R537" i="45" s="1"/>
  <c r="P537" i="45"/>
  <c r="L537" i="45"/>
  <c r="Q536" i="45"/>
  <c r="R536" i="45" s="1"/>
  <c r="P536" i="45"/>
  <c r="L536" i="45"/>
  <c r="Q535" i="45"/>
  <c r="R535" i="45" s="1"/>
  <c r="P535" i="45"/>
  <c r="L535" i="45"/>
  <c r="Q534" i="45"/>
  <c r="R534" i="45" s="1"/>
  <c r="P534" i="45"/>
  <c r="L534" i="45"/>
  <c r="Q533" i="45"/>
  <c r="R533" i="45" s="1"/>
  <c r="P533" i="45"/>
  <c r="L533" i="45"/>
  <c r="Q532" i="45"/>
  <c r="R532" i="45" s="1"/>
  <c r="P532" i="45"/>
  <c r="L532" i="45"/>
  <c r="Q531" i="45"/>
  <c r="R531" i="45" s="1"/>
  <c r="P531" i="45"/>
  <c r="L531" i="45"/>
  <c r="Q530" i="45"/>
  <c r="R530" i="45" s="1"/>
  <c r="P530" i="45"/>
  <c r="L530" i="45"/>
  <c r="Q529" i="45"/>
  <c r="R529" i="45" s="1"/>
  <c r="P529" i="45"/>
  <c r="L529" i="45"/>
  <c r="Q528" i="45"/>
  <c r="R528" i="45" s="1"/>
  <c r="P528" i="45"/>
  <c r="L528" i="45"/>
  <c r="Q527" i="45"/>
  <c r="R527" i="45" s="1"/>
  <c r="P527" i="45"/>
  <c r="L527" i="45"/>
  <c r="Q526" i="45"/>
  <c r="R526" i="45" s="1"/>
  <c r="P526" i="45"/>
  <c r="L526" i="45"/>
  <c r="Q525" i="45"/>
  <c r="R525" i="45" s="1"/>
  <c r="P525" i="45"/>
  <c r="L525" i="45"/>
  <c r="Q524" i="45"/>
  <c r="R524" i="45" s="1"/>
  <c r="P524" i="45"/>
  <c r="L524" i="45"/>
  <c r="Q523" i="45"/>
  <c r="R523" i="45" s="1"/>
  <c r="P523" i="45"/>
  <c r="L523" i="45"/>
  <c r="Q522" i="45"/>
  <c r="R522" i="45" s="1"/>
  <c r="P522" i="45"/>
  <c r="L522" i="45"/>
  <c r="Q521" i="45"/>
  <c r="R521" i="45" s="1"/>
  <c r="P521" i="45"/>
  <c r="L521" i="45"/>
  <c r="Q520" i="45"/>
  <c r="R520" i="45" s="1"/>
  <c r="P520" i="45"/>
  <c r="L520" i="45"/>
  <c r="Q519" i="45"/>
  <c r="R519" i="45" s="1"/>
  <c r="P519" i="45"/>
  <c r="L519" i="45"/>
  <c r="Q518" i="45"/>
  <c r="R518" i="45" s="1"/>
  <c r="P518" i="45"/>
  <c r="L518" i="45"/>
  <c r="Q517" i="45"/>
  <c r="R517" i="45" s="1"/>
  <c r="P517" i="45"/>
  <c r="L517" i="45"/>
  <c r="Q516" i="45"/>
  <c r="R516" i="45" s="1"/>
  <c r="P516" i="45"/>
  <c r="L516" i="45"/>
  <c r="Q515" i="45"/>
  <c r="R515" i="45" s="1"/>
  <c r="P515" i="45"/>
  <c r="L515" i="45"/>
  <c r="Q514" i="45"/>
  <c r="R514" i="45" s="1"/>
  <c r="P514" i="45"/>
  <c r="L514" i="45"/>
  <c r="Q513" i="45"/>
  <c r="R513" i="45" s="1"/>
  <c r="P513" i="45"/>
  <c r="L513" i="45"/>
  <c r="Q512" i="45"/>
  <c r="R512" i="45" s="1"/>
  <c r="P512" i="45"/>
  <c r="L512" i="45"/>
  <c r="Q511" i="45"/>
  <c r="R511" i="45" s="1"/>
  <c r="P511" i="45"/>
  <c r="L511" i="45"/>
  <c r="Q510" i="45"/>
  <c r="R510" i="45" s="1"/>
  <c r="P510" i="45"/>
  <c r="L510" i="45"/>
  <c r="Q509" i="45"/>
  <c r="R509" i="45" s="1"/>
  <c r="P509" i="45"/>
  <c r="L509" i="45"/>
  <c r="Q508" i="45"/>
  <c r="R508" i="45" s="1"/>
  <c r="P508" i="45"/>
  <c r="L508" i="45"/>
  <c r="Q507" i="45"/>
  <c r="R507" i="45" s="1"/>
  <c r="P507" i="45"/>
  <c r="L507" i="45"/>
  <c r="Q506" i="45"/>
  <c r="R506" i="45" s="1"/>
  <c r="P506" i="45"/>
  <c r="L506" i="45"/>
  <c r="Q505" i="45"/>
  <c r="R505" i="45" s="1"/>
  <c r="P505" i="45"/>
  <c r="L505" i="45"/>
  <c r="Q504" i="45"/>
  <c r="R504" i="45" s="1"/>
  <c r="P504" i="45"/>
  <c r="L504" i="45"/>
  <c r="Q503" i="45"/>
  <c r="R503" i="45" s="1"/>
  <c r="P503" i="45"/>
  <c r="L503" i="45"/>
  <c r="R502" i="45"/>
  <c r="Q502" i="45"/>
  <c r="P502" i="45"/>
  <c r="L502" i="45"/>
  <c r="Q501" i="45"/>
  <c r="R501" i="45" s="1"/>
  <c r="P501" i="45"/>
  <c r="L501" i="45"/>
  <c r="Q500" i="45"/>
  <c r="R500" i="45" s="1"/>
  <c r="P500" i="45"/>
  <c r="L500" i="45"/>
  <c r="Q499" i="45"/>
  <c r="R499" i="45" s="1"/>
  <c r="P499" i="45"/>
  <c r="L499" i="45"/>
  <c r="Q498" i="45"/>
  <c r="R498" i="45" s="1"/>
  <c r="P498" i="45"/>
  <c r="L498" i="45"/>
  <c r="Q497" i="45"/>
  <c r="R497" i="45" s="1"/>
  <c r="P497" i="45"/>
  <c r="L497" i="45"/>
  <c r="Q496" i="45"/>
  <c r="R496" i="45" s="1"/>
  <c r="P496" i="45"/>
  <c r="L496" i="45"/>
  <c r="Q495" i="45"/>
  <c r="R495" i="45" s="1"/>
  <c r="P495" i="45"/>
  <c r="L495" i="45"/>
  <c r="Q494" i="45"/>
  <c r="R494" i="45" s="1"/>
  <c r="P494" i="45"/>
  <c r="L494" i="45"/>
  <c r="Q493" i="45"/>
  <c r="R493" i="45" s="1"/>
  <c r="P493" i="45"/>
  <c r="L493" i="45"/>
  <c r="Q492" i="45"/>
  <c r="R492" i="45" s="1"/>
  <c r="P492" i="45"/>
  <c r="L492" i="45"/>
  <c r="Q491" i="45"/>
  <c r="R491" i="45" s="1"/>
  <c r="P491" i="45"/>
  <c r="L491" i="45"/>
  <c r="Q490" i="45"/>
  <c r="R490" i="45" s="1"/>
  <c r="P490" i="45"/>
  <c r="L490" i="45"/>
  <c r="Q489" i="45"/>
  <c r="R489" i="45" s="1"/>
  <c r="P489" i="45"/>
  <c r="L489" i="45"/>
  <c r="Q488" i="45"/>
  <c r="R488" i="45" s="1"/>
  <c r="P488" i="45"/>
  <c r="L488" i="45"/>
  <c r="Q487" i="45"/>
  <c r="R487" i="45" s="1"/>
  <c r="P487" i="45"/>
  <c r="L487" i="45"/>
  <c r="Q486" i="45"/>
  <c r="R486" i="45" s="1"/>
  <c r="P486" i="45"/>
  <c r="L486" i="45"/>
  <c r="Q485" i="45"/>
  <c r="R485" i="45" s="1"/>
  <c r="P485" i="45"/>
  <c r="L485" i="45"/>
  <c r="Q484" i="45"/>
  <c r="R484" i="45" s="1"/>
  <c r="P484" i="45"/>
  <c r="L484" i="45"/>
  <c r="Q483" i="45"/>
  <c r="R483" i="45" s="1"/>
  <c r="P483" i="45"/>
  <c r="L483" i="45"/>
  <c r="Q482" i="45"/>
  <c r="R482" i="45" s="1"/>
  <c r="P482" i="45"/>
  <c r="L482" i="45"/>
  <c r="Q481" i="45"/>
  <c r="R481" i="45" s="1"/>
  <c r="P481" i="45"/>
  <c r="L481" i="45"/>
  <c r="Q480" i="45"/>
  <c r="R480" i="45" s="1"/>
  <c r="P480" i="45"/>
  <c r="L480" i="45"/>
  <c r="Q479" i="45"/>
  <c r="R479" i="45" s="1"/>
  <c r="P479" i="45"/>
  <c r="L479" i="45"/>
  <c r="Q478" i="45"/>
  <c r="R478" i="45" s="1"/>
  <c r="P478" i="45"/>
  <c r="L478" i="45"/>
  <c r="Q477" i="45"/>
  <c r="R477" i="45" s="1"/>
  <c r="P477" i="45"/>
  <c r="L477" i="45"/>
  <c r="Q476" i="45"/>
  <c r="R476" i="45" s="1"/>
  <c r="P476" i="45"/>
  <c r="L476" i="45"/>
  <c r="Q475" i="45"/>
  <c r="R475" i="45" s="1"/>
  <c r="P475" i="45"/>
  <c r="L475" i="45"/>
  <c r="Q474" i="45"/>
  <c r="R474" i="45" s="1"/>
  <c r="P474" i="45"/>
  <c r="L474" i="45"/>
  <c r="Q473" i="45"/>
  <c r="R473" i="45" s="1"/>
  <c r="P473" i="45"/>
  <c r="L473" i="45"/>
  <c r="Q472" i="45"/>
  <c r="R472" i="45" s="1"/>
  <c r="P472" i="45"/>
  <c r="L472" i="45"/>
  <c r="Q471" i="45"/>
  <c r="R471" i="45" s="1"/>
  <c r="P471" i="45"/>
  <c r="L471" i="45"/>
  <c r="Q470" i="45"/>
  <c r="R470" i="45" s="1"/>
  <c r="P470" i="45"/>
  <c r="L470" i="45"/>
  <c r="Q469" i="45"/>
  <c r="R469" i="45" s="1"/>
  <c r="P469" i="45"/>
  <c r="L469" i="45"/>
  <c r="Q468" i="45"/>
  <c r="R468" i="45" s="1"/>
  <c r="P468" i="45"/>
  <c r="L468" i="45"/>
  <c r="Q467" i="45"/>
  <c r="R467" i="45" s="1"/>
  <c r="P467" i="45"/>
  <c r="L467" i="45"/>
  <c r="Q466" i="45"/>
  <c r="R466" i="45" s="1"/>
  <c r="P466" i="45"/>
  <c r="L466" i="45"/>
  <c r="Q465" i="45"/>
  <c r="R465" i="45" s="1"/>
  <c r="P465" i="45"/>
  <c r="L465" i="45"/>
  <c r="Q464" i="45"/>
  <c r="R464" i="45" s="1"/>
  <c r="P464" i="45"/>
  <c r="L464" i="45"/>
  <c r="Q463" i="45"/>
  <c r="R463" i="45" s="1"/>
  <c r="P463" i="45"/>
  <c r="L463" i="45"/>
  <c r="Q462" i="45"/>
  <c r="R462" i="45" s="1"/>
  <c r="P462" i="45"/>
  <c r="L462" i="45"/>
  <c r="Q461" i="45"/>
  <c r="R461" i="45" s="1"/>
  <c r="P461" i="45"/>
  <c r="L461" i="45"/>
  <c r="Q460" i="45"/>
  <c r="R460" i="45" s="1"/>
  <c r="P460" i="45"/>
  <c r="L460" i="45"/>
  <c r="Q459" i="45"/>
  <c r="R459" i="45" s="1"/>
  <c r="P459" i="45"/>
  <c r="L459" i="45"/>
  <c r="Q458" i="45"/>
  <c r="R458" i="45" s="1"/>
  <c r="P458" i="45"/>
  <c r="L458" i="45"/>
  <c r="Q457" i="45"/>
  <c r="R457" i="45" s="1"/>
  <c r="P457" i="45"/>
  <c r="L457" i="45"/>
  <c r="Q456" i="45"/>
  <c r="R456" i="45" s="1"/>
  <c r="P456" i="45"/>
  <c r="L456" i="45"/>
  <c r="Q455" i="45"/>
  <c r="R455" i="45" s="1"/>
  <c r="P455" i="45"/>
  <c r="L455" i="45"/>
  <c r="Q454" i="45"/>
  <c r="R454" i="45" s="1"/>
  <c r="P454" i="45"/>
  <c r="L454" i="45"/>
  <c r="Q453" i="45"/>
  <c r="R453" i="45" s="1"/>
  <c r="P453" i="45"/>
  <c r="L453" i="45"/>
  <c r="Q452" i="45"/>
  <c r="R452" i="45" s="1"/>
  <c r="P452" i="45"/>
  <c r="L452" i="45"/>
  <c r="Q451" i="45"/>
  <c r="R451" i="45" s="1"/>
  <c r="P451" i="45"/>
  <c r="L451" i="45"/>
  <c r="Q450" i="45"/>
  <c r="R450" i="45" s="1"/>
  <c r="P450" i="45"/>
  <c r="L450" i="45"/>
  <c r="Q449" i="45"/>
  <c r="R449" i="45" s="1"/>
  <c r="P449" i="45"/>
  <c r="L449" i="45"/>
  <c r="Q448" i="45"/>
  <c r="R448" i="45" s="1"/>
  <c r="P448" i="45"/>
  <c r="L448" i="45"/>
  <c r="Q447" i="45"/>
  <c r="R447" i="45" s="1"/>
  <c r="P447" i="45"/>
  <c r="L447" i="45"/>
  <c r="Q446" i="45"/>
  <c r="R446" i="45" s="1"/>
  <c r="P446" i="45"/>
  <c r="L446" i="45"/>
  <c r="Q445" i="45"/>
  <c r="R445" i="45" s="1"/>
  <c r="P445" i="45"/>
  <c r="L445" i="45"/>
  <c r="Q444" i="45"/>
  <c r="R444" i="45" s="1"/>
  <c r="P444" i="45"/>
  <c r="L444" i="45"/>
  <c r="Q443" i="45"/>
  <c r="R443" i="45" s="1"/>
  <c r="P443" i="45"/>
  <c r="L443" i="45"/>
  <c r="Q442" i="45"/>
  <c r="R442" i="45" s="1"/>
  <c r="P442" i="45"/>
  <c r="L442" i="45"/>
  <c r="Q441" i="45"/>
  <c r="R441" i="45" s="1"/>
  <c r="P441" i="45"/>
  <c r="L441" i="45"/>
  <c r="Q440" i="45"/>
  <c r="R440" i="45" s="1"/>
  <c r="P440" i="45"/>
  <c r="L440" i="45"/>
  <c r="Q439" i="45"/>
  <c r="R439" i="45" s="1"/>
  <c r="P439" i="45"/>
  <c r="L439" i="45"/>
  <c r="Q438" i="45"/>
  <c r="R438" i="45" s="1"/>
  <c r="P438" i="45"/>
  <c r="L438" i="45"/>
  <c r="Q437" i="45"/>
  <c r="R437" i="45" s="1"/>
  <c r="P437" i="45"/>
  <c r="L437" i="45"/>
  <c r="Q436" i="45"/>
  <c r="R436" i="45" s="1"/>
  <c r="P436" i="45"/>
  <c r="L436" i="45"/>
  <c r="Q435" i="45"/>
  <c r="R435" i="45" s="1"/>
  <c r="P435" i="45"/>
  <c r="L435" i="45"/>
  <c r="Q434" i="45"/>
  <c r="R434" i="45" s="1"/>
  <c r="P434" i="45"/>
  <c r="L434" i="45"/>
  <c r="Q433" i="45"/>
  <c r="R433" i="45" s="1"/>
  <c r="P433" i="45"/>
  <c r="L433" i="45"/>
  <c r="Q432" i="45"/>
  <c r="R432" i="45" s="1"/>
  <c r="P432" i="45"/>
  <c r="L432" i="45"/>
  <c r="Q431" i="45"/>
  <c r="R431" i="45" s="1"/>
  <c r="P431" i="45"/>
  <c r="L431" i="45"/>
  <c r="Q430" i="45"/>
  <c r="R430" i="45" s="1"/>
  <c r="P430" i="45"/>
  <c r="L430" i="45"/>
  <c r="Q429" i="45"/>
  <c r="R429" i="45" s="1"/>
  <c r="P429" i="45"/>
  <c r="L429" i="45"/>
  <c r="Q428" i="45"/>
  <c r="R428" i="45" s="1"/>
  <c r="P428" i="45"/>
  <c r="L428" i="45"/>
  <c r="Q427" i="45"/>
  <c r="R427" i="45" s="1"/>
  <c r="P427" i="45"/>
  <c r="L427" i="45"/>
  <c r="Q426" i="45"/>
  <c r="R426" i="45" s="1"/>
  <c r="P426" i="45"/>
  <c r="L426" i="45"/>
  <c r="Q425" i="45"/>
  <c r="R425" i="45" s="1"/>
  <c r="P425" i="45"/>
  <c r="L425" i="45"/>
  <c r="Q424" i="45"/>
  <c r="R424" i="45" s="1"/>
  <c r="P424" i="45"/>
  <c r="L424" i="45"/>
  <c r="Q423" i="45"/>
  <c r="R423" i="45" s="1"/>
  <c r="P423" i="45"/>
  <c r="L423" i="45"/>
  <c r="Q422" i="45"/>
  <c r="R422" i="45" s="1"/>
  <c r="P422" i="45"/>
  <c r="L422" i="45"/>
  <c r="Q421" i="45"/>
  <c r="R421" i="45" s="1"/>
  <c r="P421" i="45"/>
  <c r="L421" i="45"/>
  <c r="Q420" i="45"/>
  <c r="R420" i="45" s="1"/>
  <c r="P420" i="45"/>
  <c r="L420" i="45"/>
  <c r="Q419" i="45"/>
  <c r="R419" i="45" s="1"/>
  <c r="P419" i="45"/>
  <c r="L419" i="45"/>
  <c r="Q418" i="45"/>
  <c r="R418" i="45" s="1"/>
  <c r="P418" i="45"/>
  <c r="L418" i="45"/>
  <c r="Q417" i="45"/>
  <c r="R417" i="45" s="1"/>
  <c r="P417" i="45"/>
  <c r="L417" i="45"/>
  <c r="Q416" i="45"/>
  <c r="R416" i="45" s="1"/>
  <c r="P416" i="45"/>
  <c r="L416" i="45"/>
  <c r="Q415" i="45"/>
  <c r="R415" i="45" s="1"/>
  <c r="P415" i="45"/>
  <c r="L415" i="45"/>
  <c r="Q414" i="45"/>
  <c r="R414" i="45" s="1"/>
  <c r="P414" i="45"/>
  <c r="L414" i="45"/>
  <c r="Q413" i="45"/>
  <c r="R413" i="45" s="1"/>
  <c r="P413" i="45"/>
  <c r="L413" i="45"/>
  <c r="Q412" i="45"/>
  <c r="R412" i="45" s="1"/>
  <c r="P412" i="45"/>
  <c r="L412" i="45"/>
  <c r="Q411" i="45"/>
  <c r="R411" i="45" s="1"/>
  <c r="P411" i="45"/>
  <c r="L411" i="45"/>
  <c r="Q410" i="45"/>
  <c r="R410" i="45" s="1"/>
  <c r="P410" i="45"/>
  <c r="L410" i="45"/>
  <c r="Q409" i="45"/>
  <c r="R409" i="45" s="1"/>
  <c r="P409" i="45"/>
  <c r="L409" i="45"/>
  <c r="Q408" i="45"/>
  <c r="R408" i="45" s="1"/>
  <c r="P408" i="45"/>
  <c r="L408" i="45"/>
  <c r="Q407" i="45"/>
  <c r="R407" i="45" s="1"/>
  <c r="P407" i="45"/>
  <c r="L407" i="45"/>
  <c r="Q406" i="45"/>
  <c r="R406" i="45" s="1"/>
  <c r="P406" i="45"/>
  <c r="L406" i="45"/>
  <c r="Q405" i="45"/>
  <c r="R405" i="45" s="1"/>
  <c r="P405" i="45"/>
  <c r="L405" i="45"/>
  <c r="Q404" i="45"/>
  <c r="R404" i="45" s="1"/>
  <c r="P404" i="45"/>
  <c r="L404" i="45"/>
  <c r="Q403" i="45"/>
  <c r="R403" i="45" s="1"/>
  <c r="P403" i="45"/>
  <c r="L403" i="45"/>
  <c r="Q402" i="45"/>
  <c r="R402" i="45" s="1"/>
  <c r="P402" i="45"/>
  <c r="L402" i="45"/>
  <c r="Q401" i="45"/>
  <c r="R401" i="45" s="1"/>
  <c r="P401" i="45"/>
  <c r="L401" i="45"/>
  <c r="Q400" i="45"/>
  <c r="R400" i="45" s="1"/>
  <c r="P400" i="45"/>
  <c r="L400" i="45"/>
  <c r="Q399" i="45"/>
  <c r="R399" i="45" s="1"/>
  <c r="P399" i="45"/>
  <c r="L399" i="45"/>
  <c r="Q398" i="45"/>
  <c r="R398" i="45" s="1"/>
  <c r="P398" i="45"/>
  <c r="L398" i="45"/>
  <c r="Q397" i="45"/>
  <c r="R397" i="45" s="1"/>
  <c r="P397" i="45"/>
  <c r="L397" i="45"/>
  <c r="Q396" i="45"/>
  <c r="R396" i="45" s="1"/>
  <c r="P396" i="45"/>
  <c r="L396" i="45"/>
  <c r="Q395" i="45"/>
  <c r="R395" i="45" s="1"/>
  <c r="P395" i="45"/>
  <c r="L395" i="45"/>
  <c r="Q394" i="45"/>
  <c r="R394" i="45" s="1"/>
  <c r="P394" i="45"/>
  <c r="L394" i="45"/>
  <c r="Q393" i="45"/>
  <c r="R393" i="45" s="1"/>
  <c r="P393" i="45"/>
  <c r="L393" i="45"/>
  <c r="Q392" i="45"/>
  <c r="R392" i="45" s="1"/>
  <c r="P392" i="45"/>
  <c r="L392" i="45"/>
  <c r="Q391" i="45"/>
  <c r="R391" i="45" s="1"/>
  <c r="P391" i="45"/>
  <c r="L391" i="45"/>
  <c r="Q390" i="45"/>
  <c r="R390" i="45" s="1"/>
  <c r="P390" i="45"/>
  <c r="L390" i="45"/>
  <c r="Q389" i="45"/>
  <c r="R389" i="45" s="1"/>
  <c r="P389" i="45"/>
  <c r="L389" i="45"/>
  <c r="Q388" i="45"/>
  <c r="R388" i="45" s="1"/>
  <c r="P388" i="45"/>
  <c r="L388" i="45"/>
  <c r="Q387" i="45"/>
  <c r="R387" i="45" s="1"/>
  <c r="P387" i="45"/>
  <c r="L387" i="45"/>
  <c r="Q386" i="45"/>
  <c r="R386" i="45" s="1"/>
  <c r="P386" i="45"/>
  <c r="L386" i="45"/>
  <c r="Q385" i="45"/>
  <c r="R385" i="45" s="1"/>
  <c r="P385" i="45"/>
  <c r="L385" i="45"/>
  <c r="Q384" i="45"/>
  <c r="R384" i="45" s="1"/>
  <c r="P384" i="45"/>
  <c r="L384" i="45"/>
  <c r="Q383" i="45"/>
  <c r="R383" i="45" s="1"/>
  <c r="P383" i="45"/>
  <c r="L383" i="45"/>
  <c r="Q382" i="45"/>
  <c r="R382" i="45" s="1"/>
  <c r="P382" i="45"/>
  <c r="L382" i="45"/>
  <c r="Q381" i="45"/>
  <c r="R381" i="45" s="1"/>
  <c r="P381" i="45"/>
  <c r="L381" i="45"/>
  <c r="Q380" i="45"/>
  <c r="R380" i="45" s="1"/>
  <c r="P380" i="45"/>
  <c r="L380" i="45"/>
  <c r="Q379" i="45"/>
  <c r="R379" i="45" s="1"/>
  <c r="P379" i="45"/>
  <c r="L379" i="45"/>
  <c r="Q378" i="45"/>
  <c r="R378" i="45" s="1"/>
  <c r="P378" i="45"/>
  <c r="L378" i="45"/>
  <c r="Q377" i="45"/>
  <c r="R377" i="45" s="1"/>
  <c r="P377" i="45"/>
  <c r="L377" i="45"/>
  <c r="Q376" i="45"/>
  <c r="R376" i="45" s="1"/>
  <c r="P376" i="45"/>
  <c r="L376" i="45"/>
  <c r="Q375" i="45"/>
  <c r="R375" i="45" s="1"/>
  <c r="P375" i="45"/>
  <c r="L375" i="45"/>
  <c r="Q374" i="45"/>
  <c r="R374" i="45" s="1"/>
  <c r="P374" i="45"/>
  <c r="L374" i="45"/>
  <c r="Q373" i="45"/>
  <c r="R373" i="45" s="1"/>
  <c r="P373" i="45"/>
  <c r="L373" i="45"/>
  <c r="Q372" i="45"/>
  <c r="R372" i="45" s="1"/>
  <c r="P372" i="45"/>
  <c r="L372" i="45"/>
  <c r="Q371" i="45"/>
  <c r="R371" i="45" s="1"/>
  <c r="P371" i="45"/>
  <c r="L371" i="45"/>
  <c r="Q370" i="45"/>
  <c r="R370" i="45" s="1"/>
  <c r="P370" i="45"/>
  <c r="L370" i="45"/>
  <c r="Q369" i="45"/>
  <c r="R369" i="45" s="1"/>
  <c r="P369" i="45"/>
  <c r="L369" i="45"/>
  <c r="Q368" i="45"/>
  <c r="R368" i="45" s="1"/>
  <c r="P368" i="45"/>
  <c r="L368" i="45"/>
  <c r="Q367" i="45"/>
  <c r="R367" i="45" s="1"/>
  <c r="P367" i="45"/>
  <c r="L367" i="45"/>
  <c r="Q366" i="45"/>
  <c r="R366" i="45" s="1"/>
  <c r="P366" i="45"/>
  <c r="L366" i="45"/>
  <c r="Q365" i="45"/>
  <c r="R365" i="45" s="1"/>
  <c r="P365" i="45"/>
  <c r="L365" i="45"/>
  <c r="Q364" i="45"/>
  <c r="R364" i="45" s="1"/>
  <c r="P364" i="45"/>
  <c r="L364" i="45"/>
  <c r="Q363" i="45"/>
  <c r="R363" i="45" s="1"/>
  <c r="P363" i="45"/>
  <c r="L363" i="45"/>
  <c r="Q362" i="45"/>
  <c r="R362" i="45" s="1"/>
  <c r="P362" i="45"/>
  <c r="L362" i="45"/>
  <c r="Q361" i="45"/>
  <c r="R361" i="45" s="1"/>
  <c r="P361" i="45"/>
  <c r="L361" i="45"/>
  <c r="Q360" i="45"/>
  <c r="R360" i="45" s="1"/>
  <c r="P360" i="45"/>
  <c r="L360" i="45"/>
  <c r="Q359" i="45"/>
  <c r="R359" i="45" s="1"/>
  <c r="P359" i="45"/>
  <c r="L359" i="45"/>
  <c r="Q358" i="45"/>
  <c r="R358" i="45" s="1"/>
  <c r="P358" i="45"/>
  <c r="L358" i="45"/>
  <c r="Q357" i="45"/>
  <c r="R357" i="45" s="1"/>
  <c r="P357" i="45"/>
  <c r="L357" i="45"/>
  <c r="Q356" i="45"/>
  <c r="R356" i="45" s="1"/>
  <c r="P356" i="45"/>
  <c r="L356" i="45"/>
  <c r="Q355" i="45"/>
  <c r="R355" i="45" s="1"/>
  <c r="P355" i="45"/>
  <c r="L355" i="45"/>
  <c r="Q354" i="45"/>
  <c r="R354" i="45" s="1"/>
  <c r="P354" i="45"/>
  <c r="L354" i="45"/>
  <c r="Q353" i="45"/>
  <c r="R353" i="45" s="1"/>
  <c r="P353" i="45"/>
  <c r="L353" i="45"/>
  <c r="Q352" i="45"/>
  <c r="R352" i="45" s="1"/>
  <c r="P352" i="45"/>
  <c r="L352" i="45"/>
  <c r="Q351" i="45"/>
  <c r="R351" i="45" s="1"/>
  <c r="P351" i="45"/>
  <c r="L351" i="45"/>
  <c r="Q350" i="45"/>
  <c r="R350" i="45" s="1"/>
  <c r="P350" i="45"/>
  <c r="L350" i="45"/>
  <c r="Q349" i="45"/>
  <c r="R349" i="45" s="1"/>
  <c r="P349" i="45"/>
  <c r="L349" i="45"/>
  <c r="Q348" i="45"/>
  <c r="R348" i="45" s="1"/>
  <c r="P348" i="45"/>
  <c r="L348" i="45"/>
  <c r="Q347" i="45"/>
  <c r="R347" i="45" s="1"/>
  <c r="P347" i="45"/>
  <c r="L347" i="45"/>
  <c r="Q346" i="45"/>
  <c r="R346" i="45" s="1"/>
  <c r="P346" i="45"/>
  <c r="L346" i="45"/>
  <c r="Q345" i="45"/>
  <c r="R345" i="45" s="1"/>
  <c r="P345" i="45"/>
  <c r="L345" i="45"/>
  <c r="Q344" i="45"/>
  <c r="R344" i="45" s="1"/>
  <c r="P344" i="45"/>
  <c r="L344" i="45"/>
  <c r="Q343" i="45"/>
  <c r="R343" i="45" s="1"/>
  <c r="P343" i="45"/>
  <c r="L343" i="45"/>
  <c r="Q342" i="45"/>
  <c r="R342" i="45" s="1"/>
  <c r="P342" i="45"/>
  <c r="L342" i="45"/>
  <c r="Q341" i="45"/>
  <c r="R341" i="45" s="1"/>
  <c r="P341" i="45"/>
  <c r="L341" i="45"/>
  <c r="Q340" i="45"/>
  <c r="R340" i="45" s="1"/>
  <c r="P340" i="45"/>
  <c r="L340" i="45"/>
  <c r="Q339" i="45"/>
  <c r="R339" i="45" s="1"/>
  <c r="P339" i="45"/>
  <c r="L339" i="45"/>
  <c r="Q338" i="45"/>
  <c r="R338" i="45" s="1"/>
  <c r="P338" i="45"/>
  <c r="L338" i="45"/>
  <c r="Q337" i="45"/>
  <c r="R337" i="45" s="1"/>
  <c r="P337" i="45"/>
  <c r="L337" i="45"/>
  <c r="Q336" i="45"/>
  <c r="R336" i="45" s="1"/>
  <c r="P336" i="45"/>
  <c r="L336" i="45"/>
  <c r="Q335" i="45"/>
  <c r="R335" i="45" s="1"/>
  <c r="P335" i="45"/>
  <c r="L335" i="45"/>
  <c r="Q334" i="45"/>
  <c r="R334" i="45" s="1"/>
  <c r="P334" i="45"/>
  <c r="L334" i="45"/>
  <c r="Q333" i="45"/>
  <c r="R333" i="45" s="1"/>
  <c r="P333" i="45"/>
  <c r="L333" i="45"/>
  <c r="Q332" i="45"/>
  <c r="R332" i="45" s="1"/>
  <c r="P332" i="45"/>
  <c r="L332" i="45"/>
  <c r="Q331" i="45"/>
  <c r="R331" i="45" s="1"/>
  <c r="P331" i="45"/>
  <c r="L331" i="45"/>
  <c r="Q330" i="45"/>
  <c r="R330" i="45" s="1"/>
  <c r="P330" i="45"/>
  <c r="L330" i="45"/>
  <c r="Q329" i="45"/>
  <c r="R329" i="45" s="1"/>
  <c r="P329" i="45"/>
  <c r="L329" i="45"/>
  <c r="Q328" i="45"/>
  <c r="R328" i="45" s="1"/>
  <c r="P328" i="45"/>
  <c r="L328" i="45"/>
  <c r="Q327" i="45"/>
  <c r="R327" i="45" s="1"/>
  <c r="P327" i="45"/>
  <c r="L327" i="45"/>
  <c r="Q326" i="45"/>
  <c r="R326" i="45" s="1"/>
  <c r="P326" i="45"/>
  <c r="L326" i="45"/>
  <c r="Q325" i="45"/>
  <c r="R325" i="45" s="1"/>
  <c r="P325" i="45"/>
  <c r="L325" i="45"/>
  <c r="Q324" i="45"/>
  <c r="R324" i="45" s="1"/>
  <c r="P324" i="45"/>
  <c r="L324" i="45"/>
  <c r="Q323" i="45"/>
  <c r="R323" i="45" s="1"/>
  <c r="P323" i="45"/>
  <c r="L323" i="45"/>
  <c r="Q322" i="45"/>
  <c r="R322" i="45" s="1"/>
  <c r="P322" i="45"/>
  <c r="L322" i="45"/>
  <c r="Q321" i="45"/>
  <c r="R321" i="45" s="1"/>
  <c r="P321" i="45"/>
  <c r="L321" i="45"/>
  <c r="Q320" i="45"/>
  <c r="R320" i="45" s="1"/>
  <c r="P320" i="45"/>
  <c r="L320" i="45"/>
  <c r="Q319" i="45"/>
  <c r="R319" i="45" s="1"/>
  <c r="P319" i="45"/>
  <c r="L319" i="45"/>
  <c r="Q318" i="45"/>
  <c r="R318" i="45" s="1"/>
  <c r="P318" i="45"/>
  <c r="L318" i="45"/>
  <c r="Q317" i="45"/>
  <c r="R317" i="45" s="1"/>
  <c r="P317" i="45"/>
  <c r="L317" i="45"/>
  <c r="Q316" i="45"/>
  <c r="R316" i="45" s="1"/>
  <c r="P316" i="45"/>
  <c r="L316" i="45"/>
  <c r="Q315" i="45"/>
  <c r="R315" i="45" s="1"/>
  <c r="P315" i="45"/>
  <c r="L315" i="45"/>
  <c r="Q314" i="45"/>
  <c r="R314" i="45" s="1"/>
  <c r="P314" i="45"/>
  <c r="L314" i="45"/>
  <c r="Q313" i="45"/>
  <c r="R313" i="45" s="1"/>
  <c r="P313" i="45"/>
  <c r="L313" i="45"/>
  <c r="Q312" i="45"/>
  <c r="R312" i="45" s="1"/>
  <c r="P312" i="45"/>
  <c r="L312" i="45"/>
  <c r="Q311" i="45"/>
  <c r="R311" i="45" s="1"/>
  <c r="P311" i="45"/>
  <c r="L311" i="45"/>
  <c r="Q310" i="45"/>
  <c r="R310" i="45" s="1"/>
  <c r="P310" i="45"/>
  <c r="L310" i="45"/>
  <c r="Q309" i="45"/>
  <c r="R309" i="45" s="1"/>
  <c r="P309" i="45"/>
  <c r="L309" i="45"/>
  <c r="Q308" i="45"/>
  <c r="R308" i="45" s="1"/>
  <c r="P308" i="45"/>
  <c r="L308" i="45"/>
  <c r="Q307" i="45"/>
  <c r="R307" i="45" s="1"/>
  <c r="P307" i="45"/>
  <c r="L307" i="45"/>
  <c r="Q306" i="45"/>
  <c r="R306" i="45" s="1"/>
  <c r="P306" i="45"/>
  <c r="L306" i="45"/>
  <c r="Q305" i="45"/>
  <c r="R305" i="45" s="1"/>
  <c r="P305" i="45"/>
  <c r="L305" i="45"/>
  <c r="Q304" i="45"/>
  <c r="R304" i="45" s="1"/>
  <c r="P304" i="45"/>
  <c r="L304" i="45"/>
  <c r="Q303" i="45"/>
  <c r="R303" i="45" s="1"/>
  <c r="P303" i="45"/>
  <c r="L303" i="45"/>
  <c r="Q302" i="45"/>
  <c r="R302" i="45" s="1"/>
  <c r="P302" i="45"/>
  <c r="L302" i="45"/>
  <c r="Q301" i="45"/>
  <c r="R301" i="45" s="1"/>
  <c r="P301" i="45"/>
  <c r="L301" i="45"/>
  <c r="Q300" i="45"/>
  <c r="R300" i="45" s="1"/>
  <c r="P300" i="45"/>
  <c r="L300" i="45"/>
  <c r="Q299" i="45"/>
  <c r="R299" i="45" s="1"/>
  <c r="P299" i="45"/>
  <c r="L299" i="45"/>
  <c r="Q298" i="45"/>
  <c r="R298" i="45" s="1"/>
  <c r="P298" i="45"/>
  <c r="L298" i="45"/>
  <c r="Q297" i="45"/>
  <c r="R297" i="45" s="1"/>
  <c r="P297" i="45"/>
  <c r="L297" i="45"/>
  <c r="Q296" i="45"/>
  <c r="R296" i="45" s="1"/>
  <c r="P296" i="45"/>
  <c r="L296" i="45"/>
  <c r="Q295" i="45"/>
  <c r="R295" i="45" s="1"/>
  <c r="P295" i="45"/>
  <c r="L295" i="45"/>
  <c r="Q294" i="45"/>
  <c r="R294" i="45" s="1"/>
  <c r="P294" i="45"/>
  <c r="L294" i="45"/>
  <c r="Q293" i="45"/>
  <c r="R293" i="45" s="1"/>
  <c r="P293" i="45"/>
  <c r="L293" i="45"/>
  <c r="Q292" i="45"/>
  <c r="R292" i="45" s="1"/>
  <c r="P292" i="45"/>
  <c r="L292" i="45"/>
  <c r="Q291" i="45"/>
  <c r="R291" i="45" s="1"/>
  <c r="P291" i="45"/>
  <c r="L291" i="45"/>
  <c r="Q290" i="45"/>
  <c r="R290" i="45" s="1"/>
  <c r="P290" i="45"/>
  <c r="L290" i="45"/>
  <c r="Q289" i="45"/>
  <c r="R289" i="45" s="1"/>
  <c r="P289" i="45"/>
  <c r="L289" i="45"/>
  <c r="Q288" i="45"/>
  <c r="R288" i="45" s="1"/>
  <c r="P288" i="45"/>
  <c r="L288" i="45"/>
  <c r="Q287" i="45"/>
  <c r="R287" i="45" s="1"/>
  <c r="P287" i="45"/>
  <c r="L287" i="45"/>
  <c r="Q286" i="45"/>
  <c r="R286" i="45" s="1"/>
  <c r="P286" i="45"/>
  <c r="L286" i="45"/>
  <c r="Q285" i="45"/>
  <c r="R285" i="45" s="1"/>
  <c r="P285" i="45"/>
  <c r="L285" i="45"/>
  <c r="Q284" i="45"/>
  <c r="R284" i="45" s="1"/>
  <c r="P284" i="45"/>
  <c r="L284" i="45"/>
  <c r="Q283" i="45"/>
  <c r="R283" i="45" s="1"/>
  <c r="P283" i="45"/>
  <c r="L283" i="45"/>
  <c r="Q282" i="45"/>
  <c r="R282" i="45" s="1"/>
  <c r="P282" i="45"/>
  <c r="L282" i="45"/>
  <c r="Q281" i="45"/>
  <c r="R281" i="45" s="1"/>
  <c r="P281" i="45"/>
  <c r="L281" i="45"/>
  <c r="Q280" i="45"/>
  <c r="R280" i="45" s="1"/>
  <c r="P280" i="45"/>
  <c r="L280" i="45"/>
  <c r="Q279" i="45"/>
  <c r="R279" i="45" s="1"/>
  <c r="P279" i="45"/>
  <c r="L279" i="45"/>
  <c r="Q278" i="45"/>
  <c r="R278" i="45" s="1"/>
  <c r="P278" i="45"/>
  <c r="L278" i="45"/>
  <c r="Q277" i="45"/>
  <c r="R277" i="45" s="1"/>
  <c r="P277" i="45"/>
  <c r="L277" i="45"/>
  <c r="Q276" i="45"/>
  <c r="R276" i="45" s="1"/>
  <c r="P276" i="45"/>
  <c r="L276" i="45"/>
  <c r="Q275" i="45"/>
  <c r="R275" i="45" s="1"/>
  <c r="P275" i="45"/>
  <c r="L275" i="45"/>
  <c r="Q274" i="45"/>
  <c r="R274" i="45" s="1"/>
  <c r="P274" i="45"/>
  <c r="L274" i="45"/>
  <c r="Q273" i="45"/>
  <c r="R273" i="45" s="1"/>
  <c r="P273" i="45"/>
  <c r="L273" i="45"/>
  <c r="Q272" i="45"/>
  <c r="R272" i="45" s="1"/>
  <c r="P272" i="45"/>
  <c r="L272" i="45"/>
  <c r="Q271" i="45"/>
  <c r="R271" i="45" s="1"/>
  <c r="P271" i="45"/>
  <c r="L271" i="45"/>
  <c r="Q270" i="45"/>
  <c r="R270" i="45" s="1"/>
  <c r="P270" i="45"/>
  <c r="L270" i="45"/>
  <c r="Q269" i="45"/>
  <c r="R269" i="45" s="1"/>
  <c r="P269" i="45"/>
  <c r="L269" i="45"/>
  <c r="Q268" i="45"/>
  <c r="R268" i="45" s="1"/>
  <c r="P268" i="45"/>
  <c r="L268" i="45"/>
  <c r="Q267" i="45"/>
  <c r="R267" i="45" s="1"/>
  <c r="P267" i="45"/>
  <c r="L267" i="45"/>
  <c r="Q266" i="45"/>
  <c r="R266" i="45" s="1"/>
  <c r="P266" i="45"/>
  <c r="L266" i="45"/>
  <c r="Q265" i="45"/>
  <c r="R265" i="45" s="1"/>
  <c r="P265" i="45"/>
  <c r="L265" i="45"/>
  <c r="Q264" i="45"/>
  <c r="R264" i="45" s="1"/>
  <c r="P264" i="45"/>
  <c r="L264" i="45"/>
  <c r="Q263" i="45"/>
  <c r="R263" i="45" s="1"/>
  <c r="P263" i="45"/>
  <c r="L263" i="45"/>
  <c r="Q262" i="45"/>
  <c r="R262" i="45" s="1"/>
  <c r="P262" i="45"/>
  <c r="L262" i="45"/>
  <c r="Q261" i="45"/>
  <c r="R261" i="45" s="1"/>
  <c r="P261" i="45"/>
  <c r="L261" i="45"/>
  <c r="Q260" i="45"/>
  <c r="R260" i="45" s="1"/>
  <c r="P260" i="45"/>
  <c r="L260" i="45"/>
  <c r="Q259" i="45"/>
  <c r="R259" i="45" s="1"/>
  <c r="P259" i="45"/>
  <c r="L259" i="45"/>
  <c r="Q258" i="45"/>
  <c r="R258" i="45" s="1"/>
  <c r="P258" i="45"/>
  <c r="L258" i="45"/>
  <c r="Q257" i="45"/>
  <c r="R257" i="45" s="1"/>
  <c r="P257" i="45"/>
  <c r="L257" i="45"/>
  <c r="Q256" i="45"/>
  <c r="R256" i="45" s="1"/>
  <c r="P256" i="45"/>
  <c r="L256" i="45"/>
  <c r="Q255" i="45"/>
  <c r="R255" i="45" s="1"/>
  <c r="P255" i="45"/>
  <c r="L255" i="45"/>
  <c r="Q254" i="45"/>
  <c r="R254" i="45" s="1"/>
  <c r="P254" i="45"/>
  <c r="L254" i="45"/>
  <c r="Q253" i="45"/>
  <c r="R253" i="45" s="1"/>
  <c r="P253" i="45"/>
  <c r="L253" i="45"/>
  <c r="Q252" i="45"/>
  <c r="R252" i="45" s="1"/>
  <c r="P252" i="45"/>
  <c r="L252" i="45"/>
  <c r="Q251" i="45"/>
  <c r="R251" i="45" s="1"/>
  <c r="P251" i="45"/>
  <c r="L251" i="45"/>
  <c r="Q250" i="45"/>
  <c r="R250" i="45" s="1"/>
  <c r="P250" i="45"/>
  <c r="L250" i="45"/>
  <c r="Q249" i="45"/>
  <c r="R249" i="45" s="1"/>
  <c r="P249" i="45"/>
  <c r="L249" i="45"/>
  <c r="Q248" i="45"/>
  <c r="R248" i="45" s="1"/>
  <c r="P248" i="45"/>
  <c r="L248" i="45"/>
  <c r="Q247" i="45"/>
  <c r="R247" i="45" s="1"/>
  <c r="P247" i="45"/>
  <c r="L247" i="45"/>
  <c r="Q246" i="45"/>
  <c r="R246" i="45" s="1"/>
  <c r="P246" i="45"/>
  <c r="L246" i="45"/>
  <c r="R245" i="45"/>
  <c r="Q245" i="45"/>
  <c r="P245" i="45"/>
  <c r="L245" i="45"/>
  <c r="Q244" i="45"/>
  <c r="R244" i="45" s="1"/>
  <c r="P244" i="45"/>
  <c r="L244" i="45"/>
  <c r="Q243" i="45"/>
  <c r="R243" i="45" s="1"/>
  <c r="P243" i="45"/>
  <c r="L243" i="45"/>
  <c r="Q242" i="45"/>
  <c r="R242" i="45" s="1"/>
  <c r="P242" i="45"/>
  <c r="L242" i="45"/>
  <c r="Q241" i="45"/>
  <c r="R241" i="45" s="1"/>
  <c r="P241" i="45"/>
  <c r="L241" i="45"/>
  <c r="Q240" i="45"/>
  <c r="R240" i="45" s="1"/>
  <c r="P240" i="45"/>
  <c r="L240" i="45"/>
  <c r="Q239" i="45"/>
  <c r="R239" i="45" s="1"/>
  <c r="P239" i="45"/>
  <c r="L239" i="45"/>
  <c r="Q238" i="45"/>
  <c r="R238" i="45" s="1"/>
  <c r="P238" i="45"/>
  <c r="L238" i="45"/>
  <c r="Q237" i="45"/>
  <c r="R237" i="45" s="1"/>
  <c r="P237" i="45"/>
  <c r="L237" i="45"/>
  <c r="Q236" i="45"/>
  <c r="R236" i="45" s="1"/>
  <c r="P236" i="45"/>
  <c r="L236" i="45"/>
  <c r="Q235" i="45"/>
  <c r="R235" i="45" s="1"/>
  <c r="P235" i="45"/>
  <c r="L235" i="45"/>
  <c r="Q234" i="45"/>
  <c r="R234" i="45" s="1"/>
  <c r="P234" i="45"/>
  <c r="L234" i="45"/>
  <c r="Q233" i="45"/>
  <c r="R233" i="45" s="1"/>
  <c r="P233" i="45"/>
  <c r="L233" i="45"/>
  <c r="Q232" i="45"/>
  <c r="R232" i="45" s="1"/>
  <c r="P232" i="45"/>
  <c r="L232" i="45"/>
  <c r="Q231" i="45"/>
  <c r="R231" i="45" s="1"/>
  <c r="P231" i="45"/>
  <c r="L231" i="45"/>
  <c r="Q230" i="45"/>
  <c r="R230" i="45" s="1"/>
  <c r="P230" i="45"/>
  <c r="L230" i="45"/>
  <c r="Q229" i="45"/>
  <c r="R229" i="45" s="1"/>
  <c r="P229" i="45"/>
  <c r="L229" i="45"/>
  <c r="Q228" i="45"/>
  <c r="R228" i="45" s="1"/>
  <c r="P228" i="45"/>
  <c r="L228" i="45"/>
  <c r="Q227" i="45"/>
  <c r="R227" i="45" s="1"/>
  <c r="P227" i="45"/>
  <c r="L227" i="45"/>
  <c r="Q226" i="45"/>
  <c r="R226" i="45" s="1"/>
  <c r="P226" i="45"/>
  <c r="L226" i="45"/>
  <c r="Q225" i="45"/>
  <c r="R225" i="45" s="1"/>
  <c r="P225" i="45"/>
  <c r="L225" i="45"/>
  <c r="Q224" i="45"/>
  <c r="R224" i="45" s="1"/>
  <c r="P224" i="45"/>
  <c r="L224" i="45"/>
  <c r="Q223" i="45"/>
  <c r="R223" i="45" s="1"/>
  <c r="P223" i="45"/>
  <c r="L223" i="45"/>
  <c r="Q222" i="45"/>
  <c r="R222" i="45" s="1"/>
  <c r="P222" i="45"/>
  <c r="L222" i="45"/>
  <c r="Q221" i="45"/>
  <c r="R221" i="45" s="1"/>
  <c r="P221" i="45"/>
  <c r="L221" i="45"/>
  <c r="Q220" i="45"/>
  <c r="R220" i="45" s="1"/>
  <c r="P220" i="45"/>
  <c r="L220" i="45"/>
  <c r="Q219" i="45"/>
  <c r="R219" i="45" s="1"/>
  <c r="P219" i="45"/>
  <c r="L219" i="45"/>
  <c r="Q218" i="45"/>
  <c r="R218" i="45" s="1"/>
  <c r="P218" i="45"/>
  <c r="L218" i="45"/>
  <c r="Q217" i="45"/>
  <c r="R217" i="45" s="1"/>
  <c r="P217" i="45"/>
  <c r="L217" i="45"/>
  <c r="Q216" i="45"/>
  <c r="R216" i="45" s="1"/>
  <c r="P216" i="45"/>
  <c r="L216" i="45"/>
  <c r="Q215" i="45"/>
  <c r="R215" i="45" s="1"/>
  <c r="P215" i="45"/>
  <c r="L215" i="45"/>
  <c r="Q214" i="45"/>
  <c r="R214" i="45" s="1"/>
  <c r="P214" i="45"/>
  <c r="L214" i="45"/>
  <c r="Q213" i="45"/>
  <c r="R213" i="45" s="1"/>
  <c r="P213" i="45"/>
  <c r="L213" i="45"/>
  <c r="Q212" i="45"/>
  <c r="R212" i="45" s="1"/>
  <c r="P212" i="45"/>
  <c r="L212" i="45"/>
  <c r="Q211" i="45"/>
  <c r="R211" i="45" s="1"/>
  <c r="P211" i="45"/>
  <c r="L211" i="45"/>
  <c r="Q210" i="45"/>
  <c r="R210" i="45" s="1"/>
  <c r="P210" i="45"/>
  <c r="L210" i="45"/>
  <c r="Q209" i="45"/>
  <c r="R209" i="45" s="1"/>
  <c r="P209" i="45"/>
  <c r="L209" i="45"/>
  <c r="Q208" i="45"/>
  <c r="R208" i="45" s="1"/>
  <c r="P208" i="45"/>
  <c r="L208" i="45"/>
  <c r="Q207" i="45"/>
  <c r="R207" i="45" s="1"/>
  <c r="P207" i="45"/>
  <c r="L207" i="45"/>
  <c r="Q206" i="45"/>
  <c r="R206" i="45" s="1"/>
  <c r="P206" i="45"/>
  <c r="L206" i="45"/>
  <c r="Q205" i="45"/>
  <c r="R205" i="45" s="1"/>
  <c r="P205" i="45"/>
  <c r="L205" i="45"/>
  <c r="Q204" i="45"/>
  <c r="R204" i="45" s="1"/>
  <c r="P204" i="45"/>
  <c r="L204" i="45"/>
  <c r="Q203" i="45"/>
  <c r="R203" i="45" s="1"/>
  <c r="P203" i="45"/>
  <c r="L203" i="45"/>
  <c r="Q202" i="45"/>
  <c r="R202" i="45" s="1"/>
  <c r="P202" i="45"/>
  <c r="L202" i="45"/>
  <c r="Q201" i="45"/>
  <c r="R201" i="45" s="1"/>
  <c r="P201" i="45"/>
  <c r="L201" i="45"/>
  <c r="Q200" i="45"/>
  <c r="R200" i="45" s="1"/>
  <c r="P200" i="45"/>
  <c r="L200" i="45"/>
  <c r="Q199" i="45"/>
  <c r="R199" i="45" s="1"/>
  <c r="P199" i="45"/>
  <c r="L199" i="45"/>
  <c r="Q198" i="45"/>
  <c r="R198" i="45" s="1"/>
  <c r="P198" i="45"/>
  <c r="L198" i="45"/>
  <c r="Q197" i="45"/>
  <c r="R197" i="45" s="1"/>
  <c r="P197" i="45"/>
  <c r="L197" i="45"/>
  <c r="Q196" i="45"/>
  <c r="R196" i="45" s="1"/>
  <c r="P196" i="45"/>
  <c r="L196" i="45"/>
  <c r="Q195" i="45"/>
  <c r="R195" i="45" s="1"/>
  <c r="P195" i="45"/>
  <c r="L195" i="45"/>
  <c r="Q194" i="45"/>
  <c r="R194" i="45" s="1"/>
  <c r="P194" i="45"/>
  <c r="L194" i="45"/>
  <c r="Q193" i="45"/>
  <c r="R193" i="45" s="1"/>
  <c r="P193" i="45"/>
  <c r="L193" i="45"/>
  <c r="Q192" i="45"/>
  <c r="R192" i="45" s="1"/>
  <c r="P192" i="45"/>
  <c r="L192" i="45"/>
  <c r="Q191" i="45"/>
  <c r="R191" i="45" s="1"/>
  <c r="P191" i="45"/>
  <c r="L191" i="45"/>
  <c r="Q190" i="45"/>
  <c r="R190" i="45" s="1"/>
  <c r="P190" i="45"/>
  <c r="L190" i="45"/>
  <c r="Q189" i="45"/>
  <c r="R189" i="45" s="1"/>
  <c r="P189" i="45"/>
  <c r="L189" i="45"/>
  <c r="R188" i="45"/>
  <c r="Q188" i="45"/>
  <c r="P188" i="45"/>
  <c r="L188" i="45"/>
  <c r="Q187" i="45"/>
  <c r="R187" i="45" s="1"/>
  <c r="P187" i="45"/>
  <c r="L187" i="45"/>
  <c r="Q186" i="45"/>
  <c r="R186" i="45" s="1"/>
  <c r="P186" i="45"/>
  <c r="L186" i="45"/>
  <c r="Q185" i="45"/>
  <c r="R185" i="45" s="1"/>
  <c r="P185" i="45"/>
  <c r="L185" i="45"/>
  <c r="Q184" i="45"/>
  <c r="R184" i="45" s="1"/>
  <c r="P184" i="45"/>
  <c r="L184" i="45"/>
  <c r="Q183" i="45"/>
  <c r="R183" i="45" s="1"/>
  <c r="P183" i="45"/>
  <c r="L183" i="45"/>
  <c r="Q182" i="45"/>
  <c r="R182" i="45" s="1"/>
  <c r="P182" i="45"/>
  <c r="L182" i="45"/>
  <c r="Q181" i="45"/>
  <c r="R181" i="45" s="1"/>
  <c r="P181" i="45"/>
  <c r="L181" i="45"/>
  <c r="Q180" i="45"/>
  <c r="R180" i="45" s="1"/>
  <c r="P180" i="45"/>
  <c r="L180" i="45"/>
  <c r="Q179" i="45"/>
  <c r="R179" i="45" s="1"/>
  <c r="P179" i="45"/>
  <c r="L179" i="45"/>
  <c r="Q178" i="45"/>
  <c r="R178" i="45" s="1"/>
  <c r="P178" i="45"/>
  <c r="L178" i="45"/>
  <c r="Q177" i="45"/>
  <c r="R177" i="45" s="1"/>
  <c r="P177" i="45"/>
  <c r="L177" i="45"/>
  <c r="Q176" i="45"/>
  <c r="R176" i="45" s="1"/>
  <c r="P176" i="45"/>
  <c r="L176" i="45"/>
  <c r="Q175" i="45"/>
  <c r="R175" i="45" s="1"/>
  <c r="P175" i="45"/>
  <c r="L175" i="45"/>
  <c r="Q174" i="45"/>
  <c r="R174" i="45" s="1"/>
  <c r="P174" i="45"/>
  <c r="L174" i="45"/>
  <c r="Q173" i="45"/>
  <c r="R173" i="45" s="1"/>
  <c r="P173" i="45"/>
  <c r="L173" i="45"/>
  <c r="Q172" i="45"/>
  <c r="R172" i="45" s="1"/>
  <c r="P172" i="45"/>
  <c r="L172" i="45"/>
  <c r="Q171" i="45"/>
  <c r="R171" i="45" s="1"/>
  <c r="P171" i="45"/>
  <c r="L171" i="45"/>
  <c r="Q170" i="45"/>
  <c r="R170" i="45" s="1"/>
  <c r="P170" i="45"/>
  <c r="L170" i="45"/>
  <c r="Q169" i="45"/>
  <c r="R169" i="45" s="1"/>
  <c r="P169" i="45"/>
  <c r="L169" i="45"/>
  <c r="Q168" i="45"/>
  <c r="R168" i="45" s="1"/>
  <c r="P168" i="45"/>
  <c r="L168" i="45"/>
  <c r="Q167" i="45"/>
  <c r="R167" i="45" s="1"/>
  <c r="P167" i="45"/>
  <c r="L167" i="45"/>
  <c r="Q166" i="45"/>
  <c r="R166" i="45" s="1"/>
  <c r="P166" i="45"/>
  <c r="L166" i="45"/>
  <c r="Q165" i="45"/>
  <c r="R165" i="45" s="1"/>
  <c r="P165" i="45"/>
  <c r="L165" i="45"/>
  <c r="Q164" i="45"/>
  <c r="R164" i="45" s="1"/>
  <c r="P164" i="45"/>
  <c r="L164" i="45"/>
  <c r="Q163" i="45"/>
  <c r="R163" i="45" s="1"/>
  <c r="P163" i="45"/>
  <c r="L163" i="45"/>
  <c r="Q162" i="45"/>
  <c r="R162" i="45" s="1"/>
  <c r="P162" i="45"/>
  <c r="L162" i="45"/>
  <c r="Q161" i="45"/>
  <c r="R161" i="45" s="1"/>
  <c r="P161" i="45"/>
  <c r="L161" i="45"/>
  <c r="Q160" i="45"/>
  <c r="R160" i="45" s="1"/>
  <c r="P160" i="45"/>
  <c r="L160" i="45"/>
  <c r="Q159" i="45"/>
  <c r="R159" i="45" s="1"/>
  <c r="P159" i="45"/>
  <c r="L159" i="45"/>
  <c r="Q158" i="45"/>
  <c r="R158" i="45" s="1"/>
  <c r="P158" i="45"/>
  <c r="L158" i="45"/>
  <c r="Q157" i="45"/>
  <c r="R157" i="45" s="1"/>
  <c r="P157" i="45"/>
  <c r="L157" i="45"/>
  <c r="Q156" i="45"/>
  <c r="R156" i="45" s="1"/>
  <c r="P156" i="45"/>
  <c r="L156" i="45"/>
  <c r="Q155" i="45"/>
  <c r="R155" i="45" s="1"/>
  <c r="P155" i="45"/>
  <c r="L155" i="45"/>
  <c r="Q154" i="45"/>
  <c r="R154" i="45" s="1"/>
  <c r="P154" i="45"/>
  <c r="L154" i="45"/>
  <c r="Q153" i="45"/>
  <c r="R153" i="45" s="1"/>
  <c r="P153" i="45"/>
  <c r="L153" i="45"/>
  <c r="Q152" i="45"/>
  <c r="R152" i="45" s="1"/>
  <c r="P152" i="45"/>
  <c r="L152" i="45"/>
  <c r="Q151" i="45"/>
  <c r="R151" i="45" s="1"/>
  <c r="P151" i="45"/>
  <c r="L151" i="45"/>
  <c r="Q150" i="45"/>
  <c r="R150" i="45" s="1"/>
  <c r="P150" i="45"/>
  <c r="L150" i="45"/>
  <c r="Q149" i="45"/>
  <c r="R149" i="45" s="1"/>
  <c r="P149" i="45"/>
  <c r="L149" i="45"/>
  <c r="Q148" i="45"/>
  <c r="R148" i="45" s="1"/>
  <c r="P148" i="45"/>
  <c r="L148" i="45"/>
  <c r="Q147" i="45"/>
  <c r="R147" i="45" s="1"/>
  <c r="P147" i="45"/>
  <c r="L147" i="45"/>
  <c r="Q146" i="45"/>
  <c r="R146" i="45" s="1"/>
  <c r="P146" i="45"/>
  <c r="L146" i="45"/>
  <c r="Q145" i="45"/>
  <c r="R145" i="45" s="1"/>
  <c r="P145" i="45"/>
  <c r="L145" i="45"/>
  <c r="Q144" i="45"/>
  <c r="R144" i="45" s="1"/>
  <c r="P144" i="45"/>
  <c r="L144" i="45"/>
  <c r="Q143" i="45"/>
  <c r="R143" i="45" s="1"/>
  <c r="P143" i="45"/>
  <c r="L143" i="45"/>
  <c r="Q142" i="45"/>
  <c r="R142" i="45" s="1"/>
  <c r="P142" i="45"/>
  <c r="L142" i="45"/>
  <c r="Q141" i="45"/>
  <c r="R141" i="45" s="1"/>
  <c r="P141" i="45"/>
  <c r="L141" i="45"/>
  <c r="Q140" i="45"/>
  <c r="R140" i="45" s="1"/>
  <c r="P140" i="45"/>
  <c r="L140" i="45"/>
  <c r="Q139" i="45"/>
  <c r="R139" i="45" s="1"/>
  <c r="P139" i="45"/>
  <c r="L139" i="45"/>
  <c r="Q138" i="45"/>
  <c r="R138" i="45" s="1"/>
  <c r="P138" i="45"/>
  <c r="L138" i="45"/>
  <c r="Q137" i="45"/>
  <c r="R137" i="45" s="1"/>
  <c r="P137" i="45"/>
  <c r="L137" i="45"/>
  <c r="Q136" i="45"/>
  <c r="R136" i="45" s="1"/>
  <c r="P136" i="45"/>
  <c r="L136" i="45"/>
  <c r="Q135" i="45"/>
  <c r="R135" i="45" s="1"/>
  <c r="P135" i="45"/>
  <c r="L135" i="45"/>
  <c r="Q134" i="45"/>
  <c r="R134" i="45" s="1"/>
  <c r="P134" i="45"/>
  <c r="L134" i="45"/>
  <c r="Q133" i="45"/>
  <c r="R133" i="45" s="1"/>
  <c r="P133" i="45"/>
  <c r="L133" i="45"/>
  <c r="Q132" i="45"/>
  <c r="R132" i="45" s="1"/>
  <c r="P132" i="45"/>
  <c r="L132" i="45"/>
  <c r="Q131" i="45"/>
  <c r="R131" i="45" s="1"/>
  <c r="P131" i="45"/>
  <c r="L131" i="45"/>
  <c r="Q130" i="45"/>
  <c r="R130" i="45" s="1"/>
  <c r="P130" i="45"/>
  <c r="L130" i="45"/>
  <c r="Q129" i="45"/>
  <c r="R129" i="45" s="1"/>
  <c r="P129" i="45"/>
  <c r="L129" i="45"/>
  <c r="Q128" i="45"/>
  <c r="R128" i="45" s="1"/>
  <c r="P128" i="45"/>
  <c r="L128" i="45"/>
  <c r="Q127" i="45"/>
  <c r="R127" i="45" s="1"/>
  <c r="P127" i="45"/>
  <c r="L127" i="45"/>
  <c r="Q126" i="45"/>
  <c r="R126" i="45" s="1"/>
  <c r="P126" i="45"/>
  <c r="L126" i="45"/>
  <c r="Q125" i="45"/>
  <c r="R125" i="45" s="1"/>
  <c r="P125" i="45"/>
  <c r="L125" i="45"/>
  <c r="Q124" i="45"/>
  <c r="R124" i="45" s="1"/>
  <c r="P124" i="45"/>
  <c r="L124" i="45"/>
  <c r="Q123" i="45"/>
  <c r="R123" i="45" s="1"/>
  <c r="P123" i="45"/>
  <c r="L123" i="45"/>
  <c r="Q122" i="45"/>
  <c r="R122" i="45" s="1"/>
  <c r="P122" i="45"/>
  <c r="L122" i="45"/>
  <c r="Q121" i="45"/>
  <c r="R121" i="45" s="1"/>
  <c r="P121" i="45"/>
  <c r="L121" i="45"/>
  <c r="Q120" i="45"/>
  <c r="R120" i="45" s="1"/>
  <c r="P120" i="45"/>
  <c r="L120" i="45"/>
  <c r="Q119" i="45"/>
  <c r="R119" i="45" s="1"/>
  <c r="P119" i="45"/>
  <c r="L119" i="45"/>
  <c r="Q118" i="45"/>
  <c r="R118" i="45" s="1"/>
  <c r="P118" i="45"/>
  <c r="L118" i="45"/>
  <c r="Q117" i="45"/>
  <c r="R117" i="45" s="1"/>
  <c r="P117" i="45"/>
  <c r="L117" i="45"/>
  <c r="Q116" i="45"/>
  <c r="R116" i="45" s="1"/>
  <c r="P116" i="45"/>
  <c r="L116" i="45"/>
  <c r="Q115" i="45"/>
  <c r="R115" i="45" s="1"/>
  <c r="P115" i="45"/>
  <c r="L115" i="45"/>
  <c r="Q114" i="45"/>
  <c r="R114" i="45" s="1"/>
  <c r="P114" i="45"/>
  <c r="L114" i="45"/>
  <c r="Q113" i="45"/>
  <c r="R113" i="45" s="1"/>
  <c r="P113" i="45"/>
  <c r="L113" i="45"/>
  <c r="Q112" i="45"/>
  <c r="R112" i="45" s="1"/>
  <c r="P112" i="45"/>
  <c r="L112" i="45"/>
  <c r="Q111" i="45"/>
  <c r="R111" i="45" s="1"/>
  <c r="P111" i="45"/>
  <c r="L111" i="45"/>
  <c r="Q110" i="45"/>
  <c r="R110" i="45" s="1"/>
  <c r="P110" i="45"/>
  <c r="L110" i="45"/>
  <c r="Q109" i="45"/>
  <c r="R109" i="45" s="1"/>
  <c r="P109" i="45"/>
  <c r="L109" i="45"/>
  <c r="Q108" i="45"/>
  <c r="R108" i="45" s="1"/>
  <c r="P108" i="45"/>
  <c r="L108" i="45"/>
  <c r="Q107" i="45"/>
  <c r="R107" i="45" s="1"/>
  <c r="P107" i="45"/>
  <c r="L107" i="45"/>
  <c r="Q106" i="45"/>
  <c r="R106" i="45" s="1"/>
  <c r="P106" i="45"/>
  <c r="L106" i="45"/>
  <c r="Q105" i="45"/>
  <c r="R105" i="45" s="1"/>
  <c r="P105" i="45"/>
  <c r="L105" i="45"/>
  <c r="Q104" i="45"/>
  <c r="R104" i="45" s="1"/>
  <c r="P104" i="45"/>
  <c r="L104" i="45"/>
  <c r="Q103" i="45"/>
  <c r="R103" i="45" s="1"/>
  <c r="P103" i="45"/>
  <c r="L103" i="45"/>
  <c r="Q102" i="45"/>
  <c r="R102" i="45" s="1"/>
  <c r="P102" i="45"/>
  <c r="L102" i="45"/>
  <c r="Q101" i="45"/>
  <c r="R101" i="45" s="1"/>
  <c r="P101" i="45"/>
  <c r="L101" i="45"/>
  <c r="Q100" i="45"/>
  <c r="R100" i="45" s="1"/>
  <c r="P100" i="45"/>
  <c r="L100" i="45"/>
  <c r="Q99" i="45"/>
  <c r="R99" i="45" s="1"/>
  <c r="P99" i="45"/>
  <c r="L99" i="45"/>
  <c r="Q98" i="45"/>
  <c r="R98" i="45" s="1"/>
  <c r="P98" i="45"/>
  <c r="L98" i="45"/>
  <c r="Q97" i="45"/>
  <c r="R97" i="45" s="1"/>
  <c r="P97" i="45"/>
  <c r="L97" i="45"/>
  <c r="Q96" i="45"/>
  <c r="R96" i="45" s="1"/>
  <c r="P96" i="45"/>
  <c r="L96" i="45"/>
  <c r="Q95" i="45"/>
  <c r="R95" i="45" s="1"/>
  <c r="P95" i="45"/>
  <c r="L95" i="45"/>
  <c r="Q94" i="45"/>
  <c r="R94" i="45" s="1"/>
  <c r="P94" i="45"/>
  <c r="L94" i="45"/>
  <c r="Q93" i="45"/>
  <c r="R93" i="45" s="1"/>
  <c r="P93" i="45"/>
  <c r="L93" i="45"/>
  <c r="Q92" i="45"/>
  <c r="R92" i="45" s="1"/>
  <c r="P92" i="45"/>
  <c r="L92" i="45"/>
  <c r="Q91" i="45"/>
  <c r="R91" i="45" s="1"/>
  <c r="P91" i="45"/>
  <c r="L91" i="45"/>
  <c r="Q90" i="45"/>
  <c r="R90" i="45" s="1"/>
  <c r="P90" i="45"/>
  <c r="L90" i="45"/>
  <c r="Q89" i="45"/>
  <c r="R89" i="45" s="1"/>
  <c r="P89" i="45"/>
  <c r="L89" i="45"/>
  <c r="Q88" i="45"/>
  <c r="R88" i="45" s="1"/>
  <c r="P88" i="45"/>
  <c r="L88" i="45"/>
  <c r="Q87" i="45"/>
  <c r="R87" i="45" s="1"/>
  <c r="P87" i="45"/>
  <c r="L87" i="45"/>
  <c r="Q86" i="45"/>
  <c r="R86" i="45" s="1"/>
  <c r="P86" i="45"/>
  <c r="L86" i="45"/>
  <c r="Q85" i="45"/>
  <c r="R85" i="45" s="1"/>
  <c r="P85" i="45"/>
  <c r="L85" i="45"/>
  <c r="Q84" i="45"/>
  <c r="R84" i="45" s="1"/>
  <c r="P84" i="45"/>
  <c r="L84" i="45"/>
  <c r="Q83" i="45"/>
  <c r="R83" i="45" s="1"/>
  <c r="P83" i="45"/>
  <c r="L83" i="45"/>
  <c r="Q82" i="45"/>
  <c r="R82" i="45" s="1"/>
  <c r="P82" i="45"/>
  <c r="L82" i="45"/>
  <c r="Q81" i="45"/>
  <c r="R81" i="45" s="1"/>
  <c r="P81" i="45"/>
  <c r="L81" i="45"/>
  <c r="Q80" i="45"/>
  <c r="R80" i="45" s="1"/>
  <c r="P80" i="45"/>
  <c r="L80" i="45"/>
  <c r="Q79" i="45"/>
  <c r="R79" i="45" s="1"/>
  <c r="P79" i="45"/>
  <c r="L79" i="45"/>
  <c r="Q78" i="45"/>
  <c r="R78" i="45" s="1"/>
  <c r="P78" i="45"/>
  <c r="L78" i="45"/>
  <c r="Q77" i="45"/>
  <c r="R77" i="45" s="1"/>
  <c r="P77" i="45"/>
  <c r="L77" i="45"/>
  <c r="Q76" i="45"/>
  <c r="R76" i="45" s="1"/>
  <c r="P76" i="45"/>
  <c r="L76" i="45"/>
  <c r="Q75" i="45"/>
  <c r="R75" i="45" s="1"/>
  <c r="P75" i="45"/>
  <c r="L75" i="45"/>
  <c r="Q74" i="45"/>
  <c r="R74" i="45" s="1"/>
  <c r="P74" i="45"/>
  <c r="L74" i="45"/>
  <c r="Q73" i="45"/>
  <c r="R73" i="45" s="1"/>
  <c r="P73" i="45"/>
  <c r="L73" i="45"/>
  <c r="Q72" i="45"/>
  <c r="R72" i="45" s="1"/>
  <c r="P72" i="45"/>
  <c r="L72" i="45"/>
  <c r="Q71" i="45"/>
  <c r="R71" i="45" s="1"/>
  <c r="P71" i="45"/>
  <c r="L71" i="45"/>
  <c r="Q70" i="45"/>
  <c r="R70" i="45" s="1"/>
  <c r="P70" i="45"/>
  <c r="L70" i="45"/>
  <c r="Q69" i="45"/>
  <c r="R69" i="45" s="1"/>
  <c r="P69" i="45"/>
  <c r="L69" i="45"/>
  <c r="Q68" i="45"/>
  <c r="R68" i="45" s="1"/>
  <c r="P68" i="45"/>
  <c r="L68" i="45"/>
  <c r="Q67" i="45"/>
  <c r="R67" i="45" s="1"/>
  <c r="P67" i="45"/>
  <c r="L67" i="45"/>
  <c r="Q66" i="45"/>
  <c r="R66" i="45" s="1"/>
  <c r="P66" i="45"/>
  <c r="L66" i="45"/>
  <c r="Q65" i="45"/>
  <c r="R65" i="45" s="1"/>
  <c r="P65" i="45"/>
  <c r="L65" i="45"/>
  <c r="Q64" i="45"/>
  <c r="R64" i="45" s="1"/>
  <c r="P64" i="45"/>
  <c r="L64" i="45"/>
  <c r="Q63" i="45"/>
  <c r="R63" i="45" s="1"/>
  <c r="P63" i="45"/>
  <c r="L63" i="45"/>
  <c r="Q62" i="45"/>
  <c r="R62" i="45" s="1"/>
  <c r="P62" i="45"/>
  <c r="L62" i="45"/>
  <c r="Q61" i="45"/>
  <c r="R61" i="45" s="1"/>
  <c r="P61" i="45"/>
  <c r="L61" i="45"/>
  <c r="Q60" i="45"/>
  <c r="R60" i="45" s="1"/>
  <c r="P60" i="45"/>
  <c r="L60" i="45"/>
  <c r="Q59" i="45"/>
  <c r="R59" i="45" s="1"/>
  <c r="P59" i="45"/>
  <c r="L59" i="45"/>
  <c r="Q58" i="45"/>
  <c r="R58" i="45" s="1"/>
  <c r="P58" i="45"/>
  <c r="L58" i="45"/>
  <c r="Q57" i="45"/>
  <c r="R57" i="45" s="1"/>
  <c r="P57" i="45"/>
  <c r="L57" i="45"/>
  <c r="Q56" i="45"/>
  <c r="R56" i="45" s="1"/>
  <c r="P56" i="45"/>
  <c r="L56" i="45"/>
  <c r="Q55" i="45"/>
  <c r="R55" i="45" s="1"/>
  <c r="P55" i="45"/>
  <c r="L55" i="45"/>
  <c r="Q54" i="45"/>
  <c r="R54" i="45" s="1"/>
  <c r="P54" i="45"/>
  <c r="L54" i="45"/>
  <c r="Q53" i="45"/>
  <c r="R53" i="45" s="1"/>
  <c r="P53" i="45"/>
  <c r="L53" i="45"/>
  <c r="Q52" i="45"/>
  <c r="R52" i="45" s="1"/>
  <c r="P52" i="45"/>
  <c r="L52" i="45"/>
  <c r="Q51" i="45"/>
  <c r="R51" i="45" s="1"/>
  <c r="P51" i="45"/>
  <c r="L51" i="45"/>
  <c r="Q50" i="45"/>
  <c r="R50" i="45" s="1"/>
  <c r="P50" i="45"/>
  <c r="L50" i="45"/>
  <c r="Q49" i="45"/>
  <c r="R49" i="45" s="1"/>
  <c r="P49" i="45"/>
  <c r="L49" i="45"/>
  <c r="Q48" i="45"/>
  <c r="R48" i="45" s="1"/>
  <c r="P48" i="45"/>
  <c r="L48" i="45"/>
  <c r="Q47" i="45"/>
  <c r="R47" i="45" s="1"/>
  <c r="P47" i="45"/>
  <c r="L47" i="45"/>
  <c r="Q46" i="45"/>
  <c r="R46" i="45" s="1"/>
  <c r="P46" i="45"/>
  <c r="L46" i="45"/>
  <c r="Q45" i="45"/>
  <c r="R45" i="45" s="1"/>
  <c r="P45" i="45"/>
  <c r="L45" i="45"/>
  <c r="Q44" i="45"/>
  <c r="R44" i="45" s="1"/>
  <c r="P44" i="45"/>
  <c r="L44" i="45"/>
  <c r="Q43" i="45"/>
  <c r="R43" i="45" s="1"/>
  <c r="P43" i="45"/>
  <c r="L43" i="45"/>
  <c r="Q42" i="45"/>
  <c r="R42" i="45" s="1"/>
  <c r="P42" i="45"/>
  <c r="L42" i="45"/>
  <c r="Q41" i="45"/>
  <c r="R41" i="45" s="1"/>
  <c r="P41" i="45"/>
  <c r="L41" i="45"/>
  <c r="Q40" i="45"/>
  <c r="R40" i="45" s="1"/>
  <c r="P40" i="45"/>
  <c r="L40" i="45"/>
  <c r="Q39" i="45"/>
  <c r="R39" i="45" s="1"/>
  <c r="P39" i="45"/>
  <c r="L39" i="45"/>
  <c r="Q38" i="45"/>
  <c r="R38" i="45" s="1"/>
  <c r="P38" i="45"/>
  <c r="L38" i="45"/>
  <c r="Q37" i="45"/>
  <c r="R37" i="45" s="1"/>
  <c r="P37" i="45"/>
  <c r="L37" i="45"/>
  <c r="Q36" i="45"/>
  <c r="R36" i="45" s="1"/>
  <c r="P36" i="45"/>
  <c r="L36" i="45"/>
  <c r="Q35" i="45"/>
  <c r="R35" i="45" s="1"/>
  <c r="P35" i="45"/>
  <c r="L35" i="45"/>
  <c r="Q34" i="45"/>
  <c r="R34" i="45" s="1"/>
  <c r="P34" i="45"/>
  <c r="L34" i="45"/>
  <c r="Q33" i="45"/>
  <c r="R33" i="45" s="1"/>
  <c r="P33" i="45"/>
  <c r="L33" i="45"/>
  <c r="Q32" i="45"/>
  <c r="R32" i="45" s="1"/>
  <c r="P32" i="45"/>
  <c r="L32" i="45"/>
  <c r="Q31" i="45"/>
  <c r="R31" i="45" s="1"/>
  <c r="P31" i="45"/>
  <c r="L31" i="45"/>
  <c r="Q30" i="45"/>
  <c r="R30" i="45" s="1"/>
  <c r="P30" i="45"/>
  <c r="L30" i="45"/>
  <c r="Q29" i="45"/>
  <c r="R29" i="45" s="1"/>
  <c r="P29" i="45"/>
  <c r="L29" i="45"/>
  <c r="Q28" i="45"/>
  <c r="R28" i="45" s="1"/>
  <c r="P28" i="45"/>
  <c r="L28" i="45"/>
  <c r="Q27" i="45"/>
  <c r="R27" i="45" s="1"/>
  <c r="P27" i="45"/>
  <c r="L27" i="45"/>
  <c r="Q26" i="45"/>
  <c r="R26" i="45" s="1"/>
  <c r="P26" i="45"/>
  <c r="L26" i="45"/>
  <c r="Q25" i="45"/>
  <c r="R25" i="45" s="1"/>
  <c r="P25" i="45"/>
  <c r="L25" i="45"/>
  <c r="Q24" i="45"/>
  <c r="R24" i="45" s="1"/>
  <c r="P24" i="45"/>
  <c r="L24" i="45"/>
  <c r="Q23" i="45"/>
  <c r="R23" i="45" s="1"/>
  <c r="P23" i="45"/>
  <c r="L23" i="45"/>
  <c r="Q22" i="45"/>
  <c r="R22" i="45" s="1"/>
  <c r="P22" i="45"/>
  <c r="L22" i="45"/>
  <c r="Q21" i="45"/>
  <c r="R21" i="45" s="1"/>
  <c r="P21" i="45"/>
  <c r="L21" i="45"/>
  <c r="Q20" i="45"/>
  <c r="R20" i="45" s="1"/>
  <c r="P20" i="45"/>
  <c r="L20" i="45"/>
  <c r="Q19" i="45"/>
  <c r="R19" i="45" s="1"/>
  <c r="P19" i="45"/>
  <c r="L19" i="45"/>
  <c r="Q18" i="45"/>
  <c r="R18" i="45" s="1"/>
  <c r="P18" i="45"/>
  <c r="L18" i="45"/>
  <c r="Q17" i="45"/>
  <c r="R17" i="45" s="1"/>
  <c r="P17" i="45"/>
  <c r="L17" i="45"/>
  <c r="Q16" i="45"/>
  <c r="R16" i="45" s="1"/>
  <c r="P16" i="45"/>
  <c r="L16" i="45"/>
  <c r="Q15" i="45"/>
  <c r="R15" i="45" s="1"/>
  <c r="P15" i="45"/>
  <c r="L15" i="45"/>
  <c r="Q14" i="45"/>
  <c r="R14" i="45" s="1"/>
  <c r="P14" i="45"/>
  <c r="L14" i="45"/>
  <c r="Q13" i="45"/>
  <c r="R13" i="45" s="1"/>
  <c r="P13" i="45"/>
  <c r="L13" i="45"/>
  <c r="Q12" i="45"/>
  <c r="R12" i="45" s="1"/>
  <c r="P12" i="45"/>
  <c r="L12" i="45"/>
  <c r="Q11" i="45"/>
  <c r="R11" i="45" s="1"/>
  <c r="P11" i="45"/>
  <c r="L11" i="45"/>
  <c r="Q10" i="45"/>
  <c r="R10" i="45" s="1"/>
  <c r="P10" i="45"/>
  <c r="L10" i="45"/>
  <c r="Q9" i="45"/>
  <c r="R9" i="45" s="1"/>
  <c r="P9" i="45"/>
  <c r="L9" i="45"/>
  <c r="Q8" i="45"/>
  <c r="R8" i="45" s="1"/>
  <c r="P8" i="45"/>
  <c r="L8" i="45"/>
  <c r="Q7" i="45"/>
  <c r="R7" i="45" s="1"/>
  <c r="P7" i="45"/>
  <c r="L7" i="45"/>
  <c r="Q6" i="45"/>
  <c r="R6" i="45" s="1"/>
  <c r="P6" i="45"/>
  <c r="L6" i="45"/>
  <c r="Q5" i="45"/>
  <c r="R5" i="45" s="1"/>
  <c r="P5" i="45"/>
  <c r="L5" i="45"/>
  <c r="Q4" i="45"/>
  <c r="R4" i="45" s="1"/>
  <c r="P4" i="45"/>
  <c r="L4" i="45"/>
  <c r="Q3" i="45"/>
  <c r="R3" i="45" s="1"/>
  <c r="P3" i="45"/>
  <c r="L3" i="45"/>
  <c r="Q2" i="45"/>
  <c r="R2" i="45" s="1"/>
  <c r="P2" i="45"/>
  <c r="L2" i="45"/>
  <c r="Q2" i="44"/>
  <c r="R2" i="44" s="1"/>
  <c r="P2" i="44"/>
  <c r="L2" i="44"/>
  <c r="R2" i="43"/>
  <c r="Q2" i="43"/>
  <c r="P2" i="43"/>
  <c r="L2" i="43"/>
  <c r="Q4" i="42"/>
  <c r="R4" i="42" s="1"/>
  <c r="P4" i="42"/>
  <c r="L4" i="42"/>
  <c r="R3" i="42"/>
  <c r="Q3" i="42"/>
  <c r="P3" i="42"/>
  <c r="L3" i="42"/>
  <c r="Q2" i="42"/>
  <c r="R2" i="42" s="1"/>
  <c r="P2" i="42"/>
  <c r="L2" i="42"/>
  <c r="Q2" i="41"/>
  <c r="R2" i="41" s="1"/>
  <c r="P2" i="41"/>
  <c r="L2" i="41"/>
  <c r="R2" i="40"/>
  <c r="Q2" i="40"/>
  <c r="P2" i="40"/>
  <c r="L2" i="40"/>
  <c r="Q6" i="39"/>
  <c r="R6" i="39" s="1"/>
  <c r="P6" i="39"/>
  <c r="L6" i="39"/>
  <c r="Q5" i="39"/>
  <c r="R5" i="39" s="1"/>
  <c r="P5" i="39"/>
  <c r="L5" i="39"/>
  <c r="R4" i="39"/>
  <c r="Q4" i="39"/>
  <c r="P4" i="39"/>
  <c r="L4" i="39"/>
  <c r="Q3" i="39"/>
  <c r="R3" i="39" s="1"/>
  <c r="P3" i="39"/>
  <c r="L3" i="39"/>
  <c r="Q2" i="39"/>
  <c r="R2" i="39" s="1"/>
  <c r="P2" i="39"/>
  <c r="L2" i="39"/>
  <c r="Q2" i="38"/>
  <c r="R2" i="38" s="1"/>
  <c r="P2" i="38"/>
  <c r="L2" i="38"/>
  <c r="Q6" i="37"/>
  <c r="R6" i="37" s="1"/>
  <c r="P6" i="37"/>
  <c r="L6" i="37"/>
  <c r="R5" i="37"/>
  <c r="Q5" i="37"/>
  <c r="P5" i="37"/>
  <c r="L5" i="37"/>
  <c r="Q4" i="37"/>
  <c r="R4" i="37" s="1"/>
  <c r="P4" i="37"/>
  <c r="L4" i="37"/>
  <c r="Q3" i="37"/>
  <c r="R3" i="37" s="1"/>
  <c r="P3" i="37"/>
  <c r="L3" i="37"/>
  <c r="Q2" i="37"/>
  <c r="R2" i="37" s="1"/>
  <c r="P2" i="37"/>
  <c r="L2" i="37"/>
  <c r="R7" i="36"/>
  <c r="Q7" i="36"/>
  <c r="P7" i="36"/>
  <c r="L7" i="36"/>
  <c r="R6" i="36"/>
  <c r="Q6" i="36"/>
  <c r="P6" i="36"/>
  <c r="L6" i="36"/>
  <c r="Q5" i="36"/>
  <c r="R5" i="36" s="1"/>
  <c r="P5" i="36"/>
  <c r="L5" i="36"/>
  <c r="Q4" i="36"/>
  <c r="R4" i="36" s="1"/>
  <c r="P4" i="36"/>
  <c r="L4" i="36"/>
  <c r="Q3" i="36"/>
  <c r="R3" i="36" s="1"/>
  <c r="P3" i="36"/>
  <c r="L3" i="36"/>
  <c r="R2" i="36"/>
  <c r="Q2" i="36"/>
  <c r="P2" i="36"/>
  <c r="L2" i="36"/>
  <c r="Q3" i="35"/>
  <c r="R3" i="35" s="1"/>
  <c r="P3" i="35"/>
  <c r="L3" i="35"/>
  <c r="R2" i="35"/>
  <c r="Q2" i="35"/>
  <c r="P2" i="35"/>
  <c r="L2" i="35"/>
  <c r="R2" i="34"/>
  <c r="Q2" i="34"/>
  <c r="P2" i="34"/>
  <c r="L2" i="34"/>
  <c r="Q192" i="33"/>
  <c r="R192" i="33" s="1"/>
  <c r="P192" i="33"/>
  <c r="L192" i="33"/>
  <c r="Q191" i="33"/>
  <c r="R191" i="33" s="1"/>
  <c r="P191" i="33"/>
  <c r="L191" i="33"/>
  <c r="Q190" i="33"/>
  <c r="R190" i="33" s="1"/>
  <c r="P190" i="33"/>
  <c r="L190" i="33"/>
  <c r="Q189" i="33"/>
  <c r="R189" i="33" s="1"/>
  <c r="P189" i="33"/>
  <c r="L189" i="33"/>
  <c r="R188" i="33"/>
  <c r="Q188" i="33"/>
  <c r="P188" i="33"/>
  <c r="L188" i="33"/>
  <c r="Q187" i="33"/>
  <c r="R187" i="33" s="1"/>
  <c r="P187" i="33"/>
  <c r="L187" i="33"/>
  <c r="R186" i="33"/>
  <c r="Q186" i="33"/>
  <c r="P186" i="33"/>
  <c r="L186" i="33"/>
  <c r="Q185" i="33"/>
  <c r="R185" i="33" s="1"/>
  <c r="P185" i="33"/>
  <c r="L185" i="33"/>
  <c r="R184" i="33"/>
  <c r="Q184" i="33"/>
  <c r="P184" i="33"/>
  <c r="L184" i="33"/>
  <c r="Q183" i="33"/>
  <c r="R183" i="33" s="1"/>
  <c r="P183" i="33"/>
  <c r="L183" i="33"/>
  <c r="Q182" i="33"/>
  <c r="R182" i="33" s="1"/>
  <c r="P182" i="33"/>
  <c r="L182" i="33"/>
  <c r="Q181" i="33"/>
  <c r="R181" i="33" s="1"/>
  <c r="P181" i="33"/>
  <c r="L181" i="33"/>
  <c r="Q180" i="33"/>
  <c r="R180" i="33" s="1"/>
  <c r="P180" i="33"/>
  <c r="L180" i="33"/>
  <c r="Q179" i="33"/>
  <c r="R179" i="33" s="1"/>
  <c r="P179" i="33"/>
  <c r="L179" i="33"/>
  <c r="Q178" i="33"/>
  <c r="R178" i="33" s="1"/>
  <c r="P178" i="33"/>
  <c r="L178" i="33"/>
  <c r="R177" i="33"/>
  <c r="Q177" i="33"/>
  <c r="P177" i="33"/>
  <c r="L177" i="33"/>
  <c r="R176" i="33"/>
  <c r="Q176" i="33"/>
  <c r="P176" i="33"/>
  <c r="L176" i="33"/>
  <c r="Q175" i="33"/>
  <c r="R175" i="33" s="1"/>
  <c r="P175" i="33"/>
  <c r="L175" i="33"/>
  <c r="Q174" i="33"/>
  <c r="R174" i="33" s="1"/>
  <c r="P174" i="33"/>
  <c r="L174" i="33"/>
  <c r="Q173" i="33"/>
  <c r="R173" i="33" s="1"/>
  <c r="P173" i="33"/>
  <c r="L173" i="33"/>
  <c r="Q172" i="33"/>
  <c r="R172" i="33" s="1"/>
  <c r="P172" i="33"/>
  <c r="L172" i="33"/>
  <c r="Q171" i="33"/>
  <c r="R171" i="33" s="1"/>
  <c r="P171" i="33"/>
  <c r="L171" i="33"/>
  <c r="R170" i="33"/>
  <c r="Q170" i="33"/>
  <c r="P170" i="33"/>
  <c r="L170" i="33"/>
  <c r="R169" i="33"/>
  <c r="Q169" i="33"/>
  <c r="P169" i="33"/>
  <c r="L169" i="33"/>
  <c r="Q168" i="33"/>
  <c r="R168" i="33" s="1"/>
  <c r="P168" i="33"/>
  <c r="L168" i="33"/>
  <c r="Q167" i="33"/>
  <c r="R167" i="33" s="1"/>
  <c r="P167" i="33"/>
  <c r="L167" i="33"/>
  <c r="R166" i="33"/>
  <c r="Q166" i="33"/>
  <c r="P166" i="33"/>
  <c r="L166" i="33"/>
  <c r="Q165" i="33"/>
  <c r="R165" i="33" s="1"/>
  <c r="P165" i="33"/>
  <c r="L165" i="33"/>
  <c r="Q164" i="33"/>
  <c r="R164" i="33" s="1"/>
  <c r="P164" i="33"/>
  <c r="L164" i="33"/>
  <c r="Q163" i="33"/>
  <c r="R163" i="33" s="1"/>
  <c r="P163" i="33"/>
  <c r="L163" i="33"/>
  <c r="Q162" i="33"/>
  <c r="R162" i="33" s="1"/>
  <c r="P162" i="33"/>
  <c r="L162" i="33"/>
  <c r="Q161" i="33"/>
  <c r="R161" i="33" s="1"/>
  <c r="P161" i="33"/>
  <c r="L161" i="33"/>
  <c r="R160" i="33"/>
  <c r="Q160" i="33"/>
  <c r="P160" i="33"/>
  <c r="L160" i="33"/>
  <c r="Q159" i="33"/>
  <c r="R159" i="33" s="1"/>
  <c r="P159" i="33"/>
  <c r="L159" i="33"/>
  <c r="R158" i="33"/>
  <c r="Q158" i="33"/>
  <c r="P158" i="33"/>
  <c r="L158" i="33"/>
  <c r="Q157" i="33"/>
  <c r="R157" i="33" s="1"/>
  <c r="P157" i="33"/>
  <c r="L157" i="33"/>
  <c r="Q156" i="33"/>
  <c r="R156" i="33" s="1"/>
  <c r="P156" i="33"/>
  <c r="L156" i="33"/>
  <c r="Q155" i="33"/>
  <c r="R155" i="33" s="1"/>
  <c r="P155" i="33"/>
  <c r="L155" i="33"/>
  <c r="R154" i="33"/>
  <c r="Q154" i="33"/>
  <c r="P154" i="33"/>
  <c r="L154" i="33"/>
  <c r="R153" i="33"/>
  <c r="Q153" i="33"/>
  <c r="P153" i="33"/>
  <c r="L153" i="33"/>
  <c r="R152" i="33"/>
  <c r="Q152" i="33"/>
  <c r="P152" i="33"/>
  <c r="L152" i="33"/>
  <c r="Q151" i="33"/>
  <c r="R151" i="33" s="1"/>
  <c r="P151" i="33"/>
  <c r="L151" i="33"/>
  <c r="Q150" i="33"/>
  <c r="R150" i="33" s="1"/>
  <c r="P150" i="33"/>
  <c r="L150" i="33"/>
  <c r="R149" i="33"/>
  <c r="Q149" i="33"/>
  <c r="P149" i="33"/>
  <c r="L149" i="33"/>
  <c r="Q148" i="33"/>
  <c r="R148" i="33" s="1"/>
  <c r="P148" i="33"/>
  <c r="L148" i="33"/>
  <c r="Q147" i="33"/>
  <c r="R147" i="33" s="1"/>
  <c r="P147" i="33"/>
  <c r="L147" i="33"/>
  <c r="R146" i="33"/>
  <c r="Q146" i="33"/>
  <c r="P146" i="33"/>
  <c r="L146" i="33"/>
  <c r="Q145" i="33"/>
  <c r="R145" i="33" s="1"/>
  <c r="P145" i="33"/>
  <c r="L145" i="33"/>
  <c r="Q144" i="33"/>
  <c r="R144" i="33" s="1"/>
  <c r="P144" i="33"/>
  <c r="L144" i="33"/>
  <c r="Q143" i="33"/>
  <c r="R143" i="33" s="1"/>
  <c r="P143" i="33"/>
  <c r="L143" i="33"/>
  <c r="Q142" i="33"/>
  <c r="R142" i="33" s="1"/>
  <c r="P142" i="33"/>
  <c r="L142" i="33"/>
  <c r="R141" i="33"/>
  <c r="Q141" i="33"/>
  <c r="P141" i="33"/>
  <c r="L141" i="33"/>
  <c r="Q140" i="33"/>
  <c r="R140" i="33" s="1"/>
  <c r="P140" i="33"/>
  <c r="L140" i="33"/>
  <c r="Q139" i="33"/>
  <c r="R139" i="33" s="1"/>
  <c r="P139" i="33"/>
  <c r="L139" i="33"/>
  <c r="Q138" i="33"/>
  <c r="R138" i="33" s="1"/>
  <c r="P138" i="33"/>
  <c r="L138" i="33"/>
  <c r="R137" i="33"/>
  <c r="Q137" i="33"/>
  <c r="P137" i="33"/>
  <c r="L137" i="33"/>
  <c r="Q136" i="33"/>
  <c r="R136" i="33" s="1"/>
  <c r="P136" i="33"/>
  <c r="L136" i="33"/>
  <c r="Q135" i="33"/>
  <c r="R135" i="33" s="1"/>
  <c r="P135" i="33"/>
  <c r="L135" i="33"/>
  <c r="Q134" i="33"/>
  <c r="R134" i="33" s="1"/>
  <c r="P134" i="33"/>
  <c r="L134" i="33"/>
  <c r="R133" i="33"/>
  <c r="Q133" i="33"/>
  <c r="P133" i="33"/>
  <c r="L133" i="33"/>
  <c r="Q132" i="33"/>
  <c r="R132" i="33" s="1"/>
  <c r="P132" i="33"/>
  <c r="L132" i="33"/>
  <c r="Q131" i="33"/>
  <c r="R131" i="33" s="1"/>
  <c r="P131" i="33"/>
  <c r="L131" i="33"/>
  <c r="Q130" i="33"/>
  <c r="R130" i="33" s="1"/>
  <c r="P130" i="33"/>
  <c r="L130" i="33"/>
  <c r="R129" i="33"/>
  <c r="Q129" i="33"/>
  <c r="P129" i="33"/>
  <c r="L129" i="33"/>
  <c r="Q128" i="33"/>
  <c r="R128" i="33" s="1"/>
  <c r="P128" i="33"/>
  <c r="L128" i="33"/>
  <c r="Q127" i="33"/>
  <c r="R127" i="33" s="1"/>
  <c r="P127" i="33"/>
  <c r="L127" i="33"/>
  <c r="Q126" i="33"/>
  <c r="R126" i="33" s="1"/>
  <c r="P126" i="33"/>
  <c r="L126" i="33"/>
  <c r="R125" i="33"/>
  <c r="Q125" i="33"/>
  <c r="P125" i="33"/>
  <c r="L125" i="33"/>
  <c r="Q124" i="33"/>
  <c r="R124" i="33" s="1"/>
  <c r="P124" i="33"/>
  <c r="L124" i="33"/>
  <c r="Q123" i="33"/>
  <c r="R123" i="33" s="1"/>
  <c r="P123" i="33"/>
  <c r="L123" i="33"/>
  <c r="Q122" i="33"/>
  <c r="R122" i="33" s="1"/>
  <c r="P122" i="33"/>
  <c r="L122" i="33"/>
  <c r="R121" i="33"/>
  <c r="Q121" i="33"/>
  <c r="P121" i="33"/>
  <c r="L121" i="33"/>
  <c r="Q120" i="33"/>
  <c r="R120" i="33" s="1"/>
  <c r="P120" i="33"/>
  <c r="L120" i="33"/>
  <c r="Q119" i="33"/>
  <c r="R119" i="33" s="1"/>
  <c r="P119" i="33"/>
  <c r="L119" i="33"/>
  <c r="Q118" i="33"/>
  <c r="R118" i="33" s="1"/>
  <c r="P118" i="33"/>
  <c r="L118" i="33"/>
  <c r="R117" i="33"/>
  <c r="Q117" i="33"/>
  <c r="P117" i="33"/>
  <c r="L117" i="33"/>
  <c r="Q116" i="33"/>
  <c r="R116" i="33" s="1"/>
  <c r="P116" i="33"/>
  <c r="L116" i="33"/>
  <c r="Q115" i="33"/>
  <c r="R115" i="33" s="1"/>
  <c r="P115" i="33"/>
  <c r="L115" i="33"/>
  <c r="Q114" i="33"/>
  <c r="R114" i="33" s="1"/>
  <c r="P114" i="33"/>
  <c r="L114" i="33"/>
  <c r="R113" i="33"/>
  <c r="Q113" i="33"/>
  <c r="P113" i="33"/>
  <c r="L113" i="33"/>
  <c r="Q112" i="33"/>
  <c r="R112" i="33" s="1"/>
  <c r="P112" i="33"/>
  <c r="L112" i="33"/>
  <c r="Q111" i="33"/>
  <c r="R111" i="33" s="1"/>
  <c r="P111" i="33"/>
  <c r="L111" i="33"/>
  <c r="Q110" i="33"/>
  <c r="R110" i="33" s="1"/>
  <c r="P110" i="33"/>
  <c r="L110" i="33"/>
  <c r="R109" i="33"/>
  <c r="Q109" i="33"/>
  <c r="P109" i="33"/>
  <c r="L109" i="33"/>
  <c r="Q108" i="33"/>
  <c r="R108" i="33" s="1"/>
  <c r="P108" i="33"/>
  <c r="L108" i="33"/>
  <c r="Q107" i="33"/>
  <c r="R107" i="33" s="1"/>
  <c r="P107" i="33"/>
  <c r="L107" i="33"/>
  <c r="Q106" i="33"/>
  <c r="R106" i="33" s="1"/>
  <c r="P106" i="33"/>
  <c r="L106" i="33"/>
  <c r="R105" i="33"/>
  <c r="Q105" i="33"/>
  <c r="P105" i="33"/>
  <c r="L105" i="33"/>
  <c r="Q104" i="33"/>
  <c r="R104" i="33" s="1"/>
  <c r="P104" i="33"/>
  <c r="L104" i="33"/>
  <c r="Q103" i="33"/>
  <c r="R103" i="33" s="1"/>
  <c r="P103" i="33"/>
  <c r="L103" i="33"/>
  <c r="Q102" i="33"/>
  <c r="R102" i="33" s="1"/>
  <c r="P102" i="33"/>
  <c r="L102" i="33"/>
  <c r="R101" i="33"/>
  <c r="Q101" i="33"/>
  <c r="P101" i="33"/>
  <c r="L101" i="33"/>
  <c r="Q100" i="33"/>
  <c r="R100" i="33" s="1"/>
  <c r="P100" i="33"/>
  <c r="L100" i="33"/>
  <c r="Q99" i="33"/>
  <c r="R99" i="33" s="1"/>
  <c r="P99" i="33"/>
  <c r="L99" i="33"/>
  <c r="Q98" i="33"/>
  <c r="R98" i="33" s="1"/>
  <c r="P98" i="33"/>
  <c r="L98" i="33"/>
  <c r="R97" i="33"/>
  <c r="Q97" i="33"/>
  <c r="P97" i="33"/>
  <c r="L97" i="33"/>
  <c r="Q96" i="33"/>
  <c r="R96" i="33" s="1"/>
  <c r="P96" i="33"/>
  <c r="L96" i="33"/>
  <c r="Q95" i="33"/>
  <c r="R95" i="33" s="1"/>
  <c r="P95" i="33"/>
  <c r="L95" i="33"/>
  <c r="Q94" i="33"/>
  <c r="R94" i="33" s="1"/>
  <c r="P94" i="33"/>
  <c r="L94" i="33"/>
  <c r="R93" i="33"/>
  <c r="Q93" i="33"/>
  <c r="P93" i="33"/>
  <c r="L93" i="33"/>
  <c r="Q92" i="33"/>
  <c r="R92" i="33" s="1"/>
  <c r="P92" i="33"/>
  <c r="L92" i="33"/>
  <c r="Q91" i="33"/>
  <c r="R91" i="33" s="1"/>
  <c r="P91" i="33"/>
  <c r="L91" i="33"/>
  <c r="Q90" i="33"/>
  <c r="R90" i="33" s="1"/>
  <c r="P90" i="33"/>
  <c r="L90" i="33"/>
  <c r="R89" i="33"/>
  <c r="Q89" i="33"/>
  <c r="P89" i="33"/>
  <c r="L89" i="33"/>
  <c r="Q88" i="33"/>
  <c r="R88" i="33" s="1"/>
  <c r="P88" i="33"/>
  <c r="L88" i="33"/>
  <c r="Q87" i="33"/>
  <c r="R87" i="33" s="1"/>
  <c r="P87" i="33"/>
  <c r="L87" i="33"/>
  <c r="Q86" i="33"/>
  <c r="R86" i="33" s="1"/>
  <c r="P86" i="33"/>
  <c r="L86" i="33"/>
  <c r="R85" i="33"/>
  <c r="Q85" i="33"/>
  <c r="P85" i="33"/>
  <c r="L85" i="33"/>
  <c r="Q84" i="33"/>
  <c r="R84" i="33" s="1"/>
  <c r="P84" i="33"/>
  <c r="L84" i="33"/>
  <c r="Q83" i="33"/>
  <c r="R83" i="33" s="1"/>
  <c r="P83" i="33"/>
  <c r="L83" i="33"/>
  <c r="Q82" i="33"/>
  <c r="R82" i="33" s="1"/>
  <c r="P82" i="33"/>
  <c r="L82" i="33"/>
  <c r="R81" i="33"/>
  <c r="Q81" i="33"/>
  <c r="P81" i="33"/>
  <c r="L81" i="33"/>
  <c r="Q80" i="33"/>
  <c r="R80" i="33" s="1"/>
  <c r="P80" i="33"/>
  <c r="L80" i="33"/>
  <c r="Q79" i="33"/>
  <c r="R79" i="33" s="1"/>
  <c r="P79" i="33"/>
  <c r="L79" i="33"/>
  <c r="Q78" i="33"/>
  <c r="R78" i="33" s="1"/>
  <c r="P78" i="33"/>
  <c r="L78" i="33"/>
  <c r="R77" i="33"/>
  <c r="Q77" i="33"/>
  <c r="P77" i="33"/>
  <c r="L77" i="33"/>
  <c r="Q76" i="33"/>
  <c r="R76" i="33" s="1"/>
  <c r="P76" i="33"/>
  <c r="L76" i="33"/>
  <c r="Q75" i="33"/>
  <c r="R75" i="33" s="1"/>
  <c r="P75" i="33"/>
  <c r="L75" i="33"/>
  <c r="Q74" i="33"/>
  <c r="R74" i="33" s="1"/>
  <c r="P74" i="33"/>
  <c r="L74" i="33"/>
  <c r="R73" i="33"/>
  <c r="Q73" i="33"/>
  <c r="P73" i="33"/>
  <c r="L73" i="33"/>
  <c r="Q72" i="33"/>
  <c r="R72" i="33" s="1"/>
  <c r="P72" i="33"/>
  <c r="L72" i="33"/>
  <c r="Q71" i="33"/>
  <c r="R71" i="33" s="1"/>
  <c r="P71" i="33"/>
  <c r="L71" i="33"/>
  <c r="Q70" i="33"/>
  <c r="R70" i="33" s="1"/>
  <c r="P70" i="33"/>
  <c r="L70" i="33"/>
  <c r="R69" i="33"/>
  <c r="Q69" i="33"/>
  <c r="P69" i="33"/>
  <c r="L69" i="33"/>
  <c r="Q68" i="33"/>
  <c r="R68" i="33" s="1"/>
  <c r="P68" i="33"/>
  <c r="L68" i="33"/>
  <c r="Q67" i="33"/>
  <c r="R67" i="33" s="1"/>
  <c r="P67" i="33"/>
  <c r="L67" i="33"/>
  <c r="Q66" i="33"/>
  <c r="R66" i="33" s="1"/>
  <c r="P66" i="33"/>
  <c r="L66" i="33"/>
  <c r="R65" i="33"/>
  <c r="Q65" i="33"/>
  <c r="P65" i="33"/>
  <c r="L65" i="33"/>
  <c r="Q64" i="33"/>
  <c r="R64" i="33" s="1"/>
  <c r="P64" i="33"/>
  <c r="L64" i="33"/>
  <c r="Q63" i="33"/>
  <c r="R63" i="33" s="1"/>
  <c r="P63" i="33"/>
  <c r="L63" i="33"/>
  <c r="Q62" i="33"/>
  <c r="R62" i="33" s="1"/>
  <c r="P62" i="33"/>
  <c r="L62" i="33"/>
  <c r="R61" i="33"/>
  <c r="Q61" i="33"/>
  <c r="P61" i="33"/>
  <c r="L61" i="33"/>
  <c r="Q60" i="33"/>
  <c r="R60" i="33" s="1"/>
  <c r="P60" i="33"/>
  <c r="L60" i="33"/>
  <c r="Q59" i="33"/>
  <c r="R59" i="33" s="1"/>
  <c r="P59" i="33"/>
  <c r="L59" i="33"/>
  <c r="Q58" i="33"/>
  <c r="R58" i="33" s="1"/>
  <c r="P58" i="33"/>
  <c r="L58" i="33"/>
  <c r="R57" i="33"/>
  <c r="Q57" i="33"/>
  <c r="P57" i="33"/>
  <c r="L57" i="33"/>
  <c r="Q56" i="33"/>
  <c r="R56" i="33" s="1"/>
  <c r="P56" i="33"/>
  <c r="L56" i="33"/>
  <c r="Q55" i="33"/>
  <c r="R55" i="33" s="1"/>
  <c r="P55" i="33"/>
  <c r="L55" i="33"/>
  <c r="Q54" i="33"/>
  <c r="R54" i="33" s="1"/>
  <c r="P54" i="33"/>
  <c r="L54" i="33"/>
  <c r="R53" i="33"/>
  <c r="Q53" i="33"/>
  <c r="P53" i="33"/>
  <c r="L53" i="33"/>
  <c r="Q52" i="33"/>
  <c r="R52" i="33" s="1"/>
  <c r="P52" i="33"/>
  <c r="L52" i="33"/>
  <c r="Q51" i="33"/>
  <c r="R51" i="33" s="1"/>
  <c r="P51" i="33"/>
  <c r="L51" i="33"/>
  <c r="Q50" i="33"/>
  <c r="R50" i="33" s="1"/>
  <c r="P50" i="33"/>
  <c r="L50" i="33"/>
  <c r="R49" i="33"/>
  <c r="Q49" i="33"/>
  <c r="P49" i="33"/>
  <c r="L49" i="33"/>
  <c r="Q48" i="33"/>
  <c r="R48" i="33" s="1"/>
  <c r="P48" i="33"/>
  <c r="L48" i="33"/>
  <c r="Q47" i="33"/>
  <c r="R47" i="33" s="1"/>
  <c r="P47" i="33"/>
  <c r="L47" i="33"/>
  <c r="Q46" i="33"/>
  <c r="R46" i="33" s="1"/>
  <c r="P46" i="33"/>
  <c r="L46" i="33"/>
  <c r="R45" i="33"/>
  <c r="Q45" i="33"/>
  <c r="P45" i="33"/>
  <c r="L45" i="33"/>
  <c r="Q44" i="33"/>
  <c r="R44" i="33" s="1"/>
  <c r="P44" i="33"/>
  <c r="L44" i="33"/>
  <c r="Q43" i="33"/>
  <c r="R43" i="33" s="1"/>
  <c r="P43" i="33"/>
  <c r="L43" i="33"/>
  <c r="Q42" i="33"/>
  <c r="R42" i="33" s="1"/>
  <c r="P42" i="33"/>
  <c r="L42" i="33"/>
  <c r="R41" i="33"/>
  <c r="Q41" i="33"/>
  <c r="P41" i="33"/>
  <c r="L41" i="33"/>
  <c r="Q40" i="33"/>
  <c r="R40" i="33" s="1"/>
  <c r="P40" i="33"/>
  <c r="L40" i="33"/>
  <c r="Q39" i="33"/>
  <c r="R39" i="33" s="1"/>
  <c r="P39" i="33"/>
  <c r="L39" i="33"/>
  <c r="Q38" i="33"/>
  <c r="R38" i="33" s="1"/>
  <c r="P38" i="33"/>
  <c r="L38" i="33"/>
  <c r="R37" i="33"/>
  <c r="Q37" i="33"/>
  <c r="P37" i="33"/>
  <c r="L37" i="33"/>
  <c r="Q36" i="33"/>
  <c r="R36" i="33" s="1"/>
  <c r="P36" i="33"/>
  <c r="L36" i="33"/>
  <c r="Q35" i="33"/>
  <c r="R35" i="33" s="1"/>
  <c r="P35" i="33"/>
  <c r="L35" i="33"/>
  <c r="Q34" i="33"/>
  <c r="R34" i="33" s="1"/>
  <c r="P34" i="33"/>
  <c r="L34" i="33"/>
  <c r="R33" i="33"/>
  <c r="Q33" i="33"/>
  <c r="P33" i="33"/>
  <c r="L33" i="33"/>
  <c r="Q32" i="33"/>
  <c r="R32" i="33" s="1"/>
  <c r="P32" i="33"/>
  <c r="L32" i="33"/>
  <c r="Q31" i="33"/>
  <c r="R31" i="33" s="1"/>
  <c r="P31" i="33"/>
  <c r="L31" i="33"/>
  <c r="Q30" i="33"/>
  <c r="R30" i="33" s="1"/>
  <c r="P30" i="33"/>
  <c r="L30" i="33"/>
  <c r="R29" i="33"/>
  <c r="Q29" i="33"/>
  <c r="P29" i="33"/>
  <c r="L29" i="33"/>
  <c r="Q28" i="33"/>
  <c r="R28" i="33" s="1"/>
  <c r="P28" i="33"/>
  <c r="L28" i="33"/>
  <c r="Q27" i="33"/>
  <c r="R27" i="33" s="1"/>
  <c r="P27" i="33"/>
  <c r="L27" i="33"/>
  <c r="Q26" i="33"/>
  <c r="R26" i="33" s="1"/>
  <c r="P26" i="33"/>
  <c r="L26" i="33"/>
  <c r="R25" i="33"/>
  <c r="Q25" i="33"/>
  <c r="P25" i="33"/>
  <c r="L25" i="33"/>
  <c r="Q24" i="33"/>
  <c r="R24" i="33" s="1"/>
  <c r="P24" i="33"/>
  <c r="L24" i="33"/>
  <c r="Q23" i="33"/>
  <c r="R23" i="33" s="1"/>
  <c r="P23" i="33"/>
  <c r="L23" i="33"/>
  <c r="Q22" i="33"/>
  <c r="R22" i="33" s="1"/>
  <c r="P22" i="33"/>
  <c r="L22" i="33"/>
  <c r="R21" i="33"/>
  <c r="Q21" i="33"/>
  <c r="P21" i="33"/>
  <c r="L21" i="33"/>
  <c r="Q20" i="33"/>
  <c r="R20" i="33" s="1"/>
  <c r="P20" i="33"/>
  <c r="L20" i="33"/>
  <c r="Q19" i="33"/>
  <c r="R19" i="33" s="1"/>
  <c r="P19" i="33"/>
  <c r="L19" i="33"/>
  <c r="Q18" i="33"/>
  <c r="R18" i="33" s="1"/>
  <c r="P18" i="33"/>
  <c r="L18" i="33"/>
  <c r="R17" i="33"/>
  <c r="Q17" i="33"/>
  <c r="P17" i="33"/>
  <c r="L17" i="33"/>
  <c r="Q16" i="33"/>
  <c r="R16" i="33" s="1"/>
  <c r="P16" i="33"/>
  <c r="L16" i="33"/>
  <c r="Q15" i="33"/>
  <c r="R15" i="33" s="1"/>
  <c r="P15" i="33"/>
  <c r="L15" i="33"/>
  <c r="Q14" i="33"/>
  <c r="R14" i="33" s="1"/>
  <c r="P14" i="33"/>
  <c r="L14" i="33"/>
  <c r="R13" i="33"/>
  <c r="Q13" i="33"/>
  <c r="P13" i="33"/>
  <c r="L13" i="33"/>
  <c r="Q12" i="33"/>
  <c r="R12" i="33" s="1"/>
  <c r="P12" i="33"/>
  <c r="L12" i="33"/>
  <c r="Q11" i="33"/>
  <c r="R11" i="33" s="1"/>
  <c r="P11" i="33"/>
  <c r="L11" i="33"/>
  <c r="Q10" i="33"/>
  <c r="R10" i="33" s="1"/>
  <c r="P10" i="33"/>
  <c r="L10" i="33"/>
  <c r="R9" i="33"/>
  <c r="Q9" i="33"/>
  <c r="P9" i="33"/>
  <c r="L9" i="33"/>
  <c r="Q8" i="33"/>
  <c r="R8" i="33" s="1"/>
  <c r="P8" i="33"/>
  <c r="L8" i="33"/>
  <c r="Q7" i="33"/>
  <c r="R7" i="33" s="1"/>
  <c r="P7" i="33"/>
  <c r="L7" i="33"/>
  <c r="Q6" i="33"/>
  <c r="R6" i="33" s="1"/>
  <c r="P6" i="33"/>
  <c r="L6" i="33"/>
  <c r="R5" i="33"/>
  <c r="Q5" i="33"/>
  <c r="P5" i="33"/>
  <c r="L5" i="33"/>
  <c r="Q4" i="33"/>
  <c r="R4" i="33" s="1"/>
  <c r="P4" i="33"/>
  <c r="L4" i="33"/>
  <c r="Q3" i="33"/>
  <c r="R3" i="33" s="1"/>
  <c r="P3" i="33"/>
  <c r="L3" i="33"/>
  <c r="Q2" i="33"/>
  <c r="R2" i="33" s="1"/>
  <c r="P2" i="33"/>
  <c r="L2" i="33"/>
  <c r="R7" i="32"/>
  <c r="Q7" i="32"/>
  <c r="P7" i="32"/>
  <c r="L7" i="32"/>
  <c r="Q6" i="32"/>
  <c r="R6" i="32" s="1"/>
  <c r="P6" i="32"/>
  <c r="L6" i="32"/>
  <c r="Q5" i="32"/>
  <c r="R5" i="32" s="1"/>
  <c r="P5" i="32"/>
  <c r="L5" i="32"/>
  <c r="Q4" i="32"/>
  <c r="R4" i="32" s="1"/>
  <c r="P4" i="32"/>
  <c r="L4" i="32"/>
  <c r="R3" i="32"/>
  <c r="Q3" i="32"/>
  <c r="P3" i="32"/>
  <c r="L3" i="32"/>
  <c r="Q2" i="32"/>
  <c r="R2" i="32" s="1"/>
  <c r="P2" i="32"/>
  <c r="L2" i="32"/>
  <c r="Q145" i="31"/>
  <c r="R145" i="31" s="1"/>
  <c r="P145" i="31"/>
  <c r="L145" i="31"/>
  <c r="Q144" i="31"/>
  <c r="R144" i="31" s="1"/>
  <c r="P144" i="31"/>
  <c r="L144" i="31"/>
  <c r="R143" i="31"/>
  <c r="Q143" i="31"/>
  <c r="P143" i="31"/>
  <c r="L143" i="31"/>
  <c r="Q142" i="31"/>
  <c r="R142" i="31" s="1"/>
  <c r="P142" i="31"/>
  <c r="L142" i="31"/>
  <c r="Q141" i="31"/>
  <c r="R141" i="31" s="1"/>
  <c r="P141" i="31"/>
  <c r="L141" i="31"/>
  <c r="Q140" i="31"/>
  <c r="R140" i="31" s="1"/>
  <c r="P140" i="31"/>
  <c r="L140" i="31"/>
  <c r="R139" i="31"/>
  <c r="Q139" i="31"/>
  <c r="P139" i="31"/>
  <c r="L139" i="31"/>
  <c r="Q138" i="31"/>
  <c r="R138" i="31" s="1"/>
  <c r="P138" i="31"/>
  <c r="L138" i="31"/>
  <c r="Q137" i="31"/>
  <c r="R137" i="31" s="1"/>
  <c r="P137" i="31"/>
  <c r="L137" i="31"/>
  <c r="Q136" i="31"/>
  <c r="R136" i="31" s="1"/>
  <c r="P136" i="31"/>
  <c r="L136" i="31"/>
  <c r="R135" i="31"/>
  <c r="Q135" i="31"/>
  <c r="P135" i="31"/>
  <c r="L135" i="31"/>
  <c r="Q134" i="31"/>
  <c r="R134" i="31" s="1"/>
  <c r="P134" i="31"/>
  <c r="L134" i="31"/>
  <c r="Q133" i="31"/>
  <c r="R133" i="31" s="1"/>
  <c r="P133" i="31"/>
  <c r="L133" i="31"/>
  <c r="Q132" i="31"/>
  <c r="R132" i="31" s="1"/>
  <c r="P132" i="31"/>
  <c r="L132" i="31"/>
  <c r="R131" i="31"/>
  <c r="Q131" i="31"/>
  <c r="P131" i="31"/>
  <c r="L131" i="31"/>
  <c r="Q130" i="31"/>
  <c r="R130" i="31" s="1"/>
  <c r="P130" i="31"/>
  <c r="L130" i="31"/>
  <c r="Q129" i="31"/>
  <c r="R129" i="31" s="1"/>
  <c r="P129" i="31"/>
  <c r="L129" i="31"/>
  <c r="Q128" i="31"/>
  <c r="R128" i="31" s="1"/>
  <c r="P128" i="31"/>
  <c r="L128" i="31"/>
  <c r="R127" i="31"/>
  <c r="Q127" i="31"/>
  <c r="P127" i="31"/>
  <c r="L127" i="31"/>
  <c r="Q126" i="31"/>
  <c r="R126" i="31" s="1"/>
  <c r="P126" i="31"/>
  <c r="L126" i="31"/>
  <c r="Q125" i="31"/>
  <c r="R125" i="31" s="1"/>
  <c r="P125" i="31"/>
  <c r="L125" i="31"/>
  <c r="Q124" i="31"/>
  <c r="R124" i="31" s="1"/>
  <c r="P124" i="31"/>
  <c r="L124" i="31"/>
  <c r="R123" i="31"/>
  <c r="Q123" i="31"/>
  <c r="P123" i="31"/>
  <c r="L123" i="31"/>
  <c r="Q122" i="31"/>
  <c r="R122" i="31" s="1"/>
  <c r="P122" i="31"/>
  <c r="L122" i="31"/>
  <c r="Q121" i="31"/>
  <c r="R121" i="31" s="1"/>
  <c r="P121" i="31"/>
  <c r="L121" i="31"/>
  <c r="Q120" i="31"/>
  <c r="R120" i="31" s="1"/>
  <c r="P120" i="31"/>
  <c r="L120" i="31"/>
  <c r="R119" i="31"/>
  <c r="Q119" i="31"/>
  <c r="P119" i="31"/>
  <c r="L119" i="31"/>
  <c r="Q118" i="31"/>
  <c r="R118" i="31" s="1"/>
  <c r="P118" i="31"/>
  <c r="L118" i="31"/>
  <c r="Q117" i="31"/>
  <c r="R117" i="31" s="1"/>
  <c r="P117" i="31"/>
  <c r="L117" i="31"/>
  <c r="Q116" i="31"/>
  <c r="R116" i="31" s="1"/>
  <c r="P116" i="31"/>
  <c r="L116" i="31"/>
  <c r="Q115" i="31"/>
  <c r="R115" i="31" s="1"/>
  <c r="P115" i="31"/>
  <c r="L115" i="31"/>
  <c r="Q114" i="31"/>
  <c r="R114" i="31" s="1"/>
  <c r="P114" i="31"/>
  <c r="L114" i="31"/>
  <c r="Q113" i="31"/>
  <c r="R113" i="31" s="1"/>
  <c r="P113" i="31"/>
  <c r="L113" i="31"/>
  <c r="Q112" i="31"/>
  <c r="R112" i="31" s="1"/>
  <c r="P112" i="31"/>
  <c r="L112" i="31"/>
  <c r="R111" i="31"/>
  <c r="Q111" i="31"/>
  <c r="P111" i="31"/>
  <c r="L111" i="31"/>
  <c r="Q110" i="31"/>
  <c r="R110" i="31" s="1"/>
  <c r="P110" i="31"/>
  <c r="L110" i="31"/>
  <c r="Q109" i="31"/>
  <c r="R109" i="31" s="1"/>
  <c r="P109" i="31"/>
  <c r="L109" i="31"/>
  <c r="Q108" i="31"/>
  <c r="R108" i="31" s="1"/>
  <c r="P108" i="31"/>
  <c r="L108" i="31"/>
  <c r="Q107" i="31"/>
  <c r="R107" i="31" s="1"/>
  <c r="P107" i="31"/>
  <c r="L107" i="31"/>
  <c r="Q106" i="31"/>
  <c r="R106" i="31" s="1"/>
  <c r="P106" i="31"/>
  <c r="L106" i="31"/>
  <c r="Q105" i="31"/>
  <c r="R105" i="31" s="1"/>
  <c r="P105" i="31"/>
  <c r="L105" i="31"/>
  <c r="Q104" i="31"/>
  <c r="R104" i="31" s="1"/>
  <c r="P104" i="31"/>
  <c r="L104" i="31"/>
  <c r="Q103" i="31"/>
  <c r="R103" i="31" s="1"/>
  <c r="P103" i="31"/>
  <c r="L103" i="31"/>
  <c r="Q102" i="31"/>
  <c r="R102" i="31" s="1"/>
  <c r="P102" i="31"/>
  <c r="L102" i="31"/>
  <c r="Q101" i="31"/>
  <c r="R101" i="31" s="1"/>
  <c r="P101" i="31"/>
  <c r="L101" i="31"/>
  <c r="Q100" i="31"/>
  <c r="R100" i="31" s="1"/>
  <c r="P100" i="31"/>
  <c r="L100" i="31"/>
  <c r="Q99" i="31"/>
  <c r="R99" i="31" s="1"/>
  <c r="P99" i="31"/>
  <c r="L99" i="31"/>
  <c r="Q98" i="31"/>
  <c r="R98" i="31" s="1"/>
  <c r="P98" i="31"/>
  <c r="L98" i="31"/>
  <c r="Q97" i="31"/>
  <c r="R97" i="31" s="1"/>
  <c r="P97" i="31"/>
  <c r="L97" i="31"/>
  <c r="Q96" i="31"/>
  <c r="R96" i="31" s="1"/>
  <c r="P96" i="31"/>
  <c r="L96" i="31"/>
  <c r="Q95" i="31"/>
  <c r="R95" i="31" s="1"/>
  <c r="P95" i="31"/>
  <c r="L95" i="31"/>
  <c r="Q94" i="31"/>
  <c r="R94" i="31" s="1"/>
  <c r="P94" i="31"/>
  <c r="L94" i="31"/>
  <c r="Q93" i="31"/>
  <c r="R93" i="31" s="1"/>
  <c r="P93" i="31"/>
  <c r="L93" i="31"/>
  <c r="Q92" i="31"/>
  <c r="R92" i="31" s="1"/>
  <c r="P92" i="31"/>
  <c r="L92" i="31"/>
  <c r="R91" i="31"/>
  <c r="Q91" i="31"/>
  <c r="P91" i="31"/>
  <c r="L91" i="31"/>
  <c r="Q90" i="31"/>
  <c r="R90" i="31" s="1"/>
  <c r="P90" i="31"/>
  <c r="L90" i="31"/>
  <c r="Q89" i="31"/>
  <c r="R89" i="31" s="1"/>
  <c r="P89" i="31"/>
  <c r="L89" i="31"/>
  <c r="Q88" i="31"/>
  <c r="R88" i="31" s="1"/>
  <c r="P88" i="31"/>
  <c r="L88" i="31"/>
  <c r="Q87" i="31"/>
  <c r="R87" i="31" s="1"/>
  <c r="P87" i="31"/>
  <c r="L87" i="31"/>
  <c r="Q86" i="31"/>
  <c r="R86" i="31" s="1"/>
  <c r="P86" i="31"/>
  <c r="L86" i="31"/>
  <c r="Q85" i="31"/>
  <c r="R85" i="31" s="1"/>
  <c r="P85" i="31"/>
  <c r="L85" i="31"/>
  <c r="Q84" i="31"/>
  <c r="R84" i="31" s="1"/>
  <c r="P84" i="31"/>
  <c r="L84" i="31"/>
  <c r="Q83" i="31"/>
  <c r="R83" i="31" s="1"/>
  <c r="P83" i="31"/>
  <c r="L83" i="31"/>
  <c r="Q82" i="31"/>
  <c r="R82" i="31" s="1"/>
  <c r="P82" i="31"/>
  <c r="L82" i="31"/>
  <c r="Q81" i="31"/>
  <c r="R81" i="31" s="1"/>
  <c r="P81" i="31"/>
  <c r="L81" i="31"/>
  <c r="Q80" i="31"/>
  <c r="R80" i="31" s="1"/>
  <c r="P80" i="31"/>
  <c r="L80" i="31"/>
  <c r="R79" i="31"/>
  <c r="Q79" i="31"/>
  <c r="P79" i="31"/>
  <c r="L79" i="31"/>
  <c r="Q78" i="31"/>
  <c r="R78" i="31" s="1"/>
  <c r="P78" i="31"/>
  <c r="L78" i="31"/>
  <c r="Q77" i="31"/>
  <c r="R77" i="31" s="1"/>
  <c r="P77" i="31"/>
  <c r="L77" i="31"/>
  <c r="Q76" i="31"/>
  <c r="R76" i="31" s="1"/>
  <c r="P76" i="31"/>
  <c r="L76" i="31"/>
  <c r="Q75" i="31"/>
  <c r="R75" i="31" s="1"/>
  <c r="P75" i="31"/>
  <c r="L75" i="31"/>
  <c r="Q74" i="31"/>
  <c r="R74" i="31" s="1"/>
  <c r="P74" i="31"/>
  <c r="L74" i="31"/>
  <c r="Q73" i="31"/>
  <c r="R73" i="31" s="1"/>
  <c r="P73" i="31"/>
  <c r="L73" i="31"/>
  <c r="Q72" i="31"/>
  <c r="R72" i="31" s="1"/>
  <c r="P72" i="31"/>
  <c r="L72" i="31"/>
  <c r="R71" i="31"/>
  <c r="Q71" i="31"/>
  <c r="P71" i="31"/>
  <c r="L71" i="31"/>
  <c r="Q70" i="31"/>
  <c r="R70" i="31" s="1"/>
  <c r="P70" i="31"/>
  <c r="L70" i="31"/>
  <c r="Q69" i="31"/>
  <c r="R69" i="31" s="1"/>
  <c r="P69" i="31"/>
  <c r="L69" i="31"/>
  <c r="Q68" i="31"/>
  <c r="R68" i="31" s="1"/>
  <c r="P68" i="31"/>
  <c r="L68" i="31"/>
  <c r="Q67" i="31"/>
  <c r="R67" i="31" s="1"/>
  <c r="P67" i="31"/>
  <c r="L67" i="31"/>
  <c r="Q66" i="31"/>
  <c r="R66" i="31" s="1"/>
  <c r="P66" i="31"/>
  <c r="L66" i="31"/>
  <c r="Q65" i="31"/>
  <c r="R65" i="31" s="1"/>
  <c r="P65" i="31"/>
  <c r="L65" i="31"/>
  <c r="Q64" i="31"/>
  <c r="R64" i="31" s="1"/>
  <c r="P64" i="31"/>
  <c r="L64" i="31"/>
  <c r="R63" i="31"/>
  <c r="Q63" i="31"/>
  <c r="P63" i="31"/>
  <c r="L63" i="31"/>
  <c r="Q62" i="31"/>
  <c r="R62" i="31" s="1"/>
  <c r="P62" i="31"/>
  <c r="L62" i="31"/>
  <c r="Q61" i="31"/>
  <c r="R61" i="31" s="1"/>
  <c r="P61" i="31"/>
  <c r="L61" i="31"/>
  <c r="Q60" i="31"/>
  <c r="R60" i="31" s="1"/>
  <c r="P60" i="31"/>
  <c r="L60" i="31"/>
  <c r="R59" i="31"/>
  <c r="Q59" i="31"/>
  <c r="P59" i="31"/>
  <c r="L59" i="31"/>
  <c r="Q58" i="31"/>
  <c r="R58" i="31" s="1"/>
  <c r="P58" i="31"/>
  <c r="L58" i="31"/>
  <c r="Q57" i="31"/>
  <c r="R57" i="31" s="1"/>
  <c r="P57" i="31"/>
  <c r="L57" i="31"/>
  <c r="Q56" i="31"/>
  <c r="R56" i="31" s="1"/>
  <c r="P56" i="31"/>
  <c r="L56" i="31"/>
  <c r="R55" i="31"/>
  <c r="Q55" i="31"/>
  <c r="P55" i="31"/>
  <c r="L55" i="31"/>
  <c r="Q54" i="31"/>
  <c r="R54" i="31" s="1"/>
  <c r="P54" i="31"/>
  <c r="L54" i="31"/>
  <c r="Q53" i="31"/>
  <c r="R53" i="31" s="1"/>
  <c r="P53" i="31"/>
  <c r="L53" i="31"/>
  <c r="Q52" i="31"/>
  <c r="R52" i="31" s="1"/>
  <c r="P52" i="31"/>
  <c r="L52" i="31"/>
  <c r="Q51" i="31"/>
  <c r="R51" i="31" s="1"/>
  <c r="P51" i="31"/>
  <c r="L51" i="31"/>
  <c r="Q50" i="31"/>
  <c r="R50" i="31" s="1"/>
  <c r="P50" i="31"/>
  <c r="L50" i="31"/>
  <c r="Q49" i="31"/>
  <c r="R49" i="31" s="1"/>
  <c r="P49" i="31"/>
  <c r="L49" i="31"/>
  <c r="Q48" i="31"/>
  <c r="R48" i="31" s="1"/>
  <c r="P48" i="31"/>
  <c r="L48" i="31"/>
  <c r="R47" i="31"/>
  <c r="Q47" i="31"/>
  <c r="P47" i="31"/>
  <c r="L47" i="31"/>
  <c r="Q46" i="31"/>
  <c r="R46" i="31" s="1"/>
  <c r="P46" i="31"/>
  <c r="L46" i="31"/>
  <c r="Q45" i="31"/>
  <c r="R45" i="31" s="1"/>
  <c r="P45" i="31"/>
  <c r="L45" i="31"/>
  <c r="Q44" i="31"/>
  <c r="R44" i="31" s="1"/>
  <c r="P44" i="31"/>
  <c r="L44" i="31"/>
  <c r="Q43" i="31"/>
  <c r="R43" i="31" s="1"/>
  <c r="P43" i="31"/>
  <c r="L43" i="31"/>
  <c r="Q42" i="31"/>
  <c r="R42" i="31" s="1"/>
  <c r="P42" i="31"/>
  <c r="L42" i="31"/>
  <c r="Q41" i="31"/>
  <c r="R41" i="31" s="1"/>
  <c r="P41" i="31"/>
  <c r="L41" i="31"/>
  <c r="Q40" i="31"/>
  <c r="R40" i="31" s="1"/>
  <c r="P40" i="31"/>
  <c r="L40" i="31"/>
  <c r="Q39" i="31"/>
  <c r="R39" i="31" s="1"/>
  <c r="P39" i="31"/>
  <c r="L39" i="31"/>
  <c r="Q38" i="31"/>
  <c r="R38" i="31" s="1"/>
  <c r="P38" i="31"/>
  <c r="L38" i="31"/>
  <c r="Q37" i="31"/>
  <c r="R37" i="31" s="1"/>
  <c r="P37" i="31"/>
  <c r="L37" i="31"/>
  <c r="Q36" i="31"/>
  <c r="R36" i="31" s="1"/>
  <c r="P36" i="31"/>
  <c r="L36" i="31"/>
  <c r="R35" i="31"/>
  <c r="Q35" i="31"/>
  <c r="P35" i="31"/>
  <c r="L35" i="31"/>
  <c r="Q34" i="31"/>
  <c r="R34" i="31" s="1"/>
  <c r="P34" i="31"/>
  <c r="L34" i="31"/>
  <c r="Q33" i="31"/>
  <c r="R33" i="31" s="1"/>
  <c r="P33" i="31"/>
  <c r="L33" i="31"/>
  <c r="Q32" i="31"/>
  <c r="R32" i="31" s="1"/>
  <c r="P32" i="31"/>
  <c r="L32" i="31"/>
  <c r="Q31" i="31"/>
  <c r="R31" i="31" s="1"/>
  <c r="P31" i="31"/>
  <c r="L31" i="31"/>
  <c r="Q30" i="31"/>
  <c r="R30" i="31" s="1"/>
  <c r="P30" i="31"/>
  <c r="L30" i="31"/>
  <c r="Q29" i="31"/>
  <c r="R29" i="31" s="1"/>
  <c r="P29" i="31"/>
  <c r="L29" i="31"/>
  <c r="Q28" i="31"/>
  <c r="R28" i="31" s="1"/>
  <c r="P28" i="31"/>
  <c r="L28" i="31"/>
  <c r="R27" i="31"/>
  <c r="Q27" i="31"/>
  <c r="P27" i="31"/>
  <c r="L27" i="31"/>
  <c r="Q26" i="31"/>
  <c r="R26" i="31" s="1"/>
  <c r="P26" i="31"/>
  <c r="L26" i="31"/>
  <c r="Q25" i="31"/>
  <c r="R25" i="31" s="1"/>
  <c r="P25" i="31"/>
  <c r="L25" i="31"/>
  <c r="Q24" i="31"/>
  <c r="R24" i="31" s="1"/>
  <c r="P24" i="31"/>
  <c r="L24" i="31"/>
  <c r="Q23" i="31"/>
  <c r="R23" i="31" s="1"/>
  <c r="P23" i="31"/>
  <c r="L23" i="31"/>
  <c r="Q22" i="31"/>
  <c r="R22" i="31" s="1"/>
  <c r="P22" i="31"/>
  <c r="L22" i="31"/>
  <c r="Q21" i="31"/>
  <c r="R21" i="31" s="1"/>
  <c r="P21" i="31"/>
  <c r="L21" i="31"/>
  <c r="R20" i="31"/>
  <c r="Q20" i="31"/>
  <c r="P20" i="31"/>
  <c r="L20" i="31"/>
  <c r="R19" i="31"/>
  <c r="Q19" i="31"/>
  <c r="P19" i="31"/>
  <c r="L19" i="31"/>
  <c r="Q18" i="31"/>
  <c r="R18" i="31" s="1"/>
  <c r="P18" i="31"/>
  <c r="L18" i="31"/>
  <c r="Q17" i="31"/>
  <c r="R17" i="31" s="1"/>
  <c r="P17" i="31"/>
  <c r="L17" i="31"/>
  <c r="Q16" i="31"/>
  <c r="R16" i="31" s="1"/>
  <c r="P16" i="31"/>
  <c r="L16" i="31"/>
  <c r="Q15" i="31"/>
  <c r="R15" i="31" s="1"/>
  <c r="P15" i="31"/>
  <c r="L15" i="31"/>
  <c r="Q14" i="31"/>
  <c r="R14" i="31" s="1"/>
  <c r="P14" i="31"/>
  <c r="L14" i="31"/>
  <c r="Q13" i="31"/>
  <c r="R13" i="31" s="1"/>
  <c r="P13" i="31"/>
  <c r="L13" i="31"/>
  <c r="Q12" i="31"/>
  <c r="R12" i="31" s="1"/>
  <c r="P12" i="31"/>
  <c r="L12" i="31"/>
  <c r="R11" i="31"/>
  <c r="Q11" i="31"/>
  <c r="P11" i="31"/>
  <c r="L11" i="31"/>
  <c r="Q10" i="31"/>
  <c r="R10" i="31" s="1"/>
  <c r="P10" i="31"/>
  <c r="L10" i="31"/>
  <c r="Q9" i="31"/>
  <c r="R9" i="31" s="1"/>
  <c r="P9" i="31"/>
  <c r="L9" i="31"/>
  <c r="Q8" i="31"/>
  <c r="R8" i="31" s="1"/>
  <c r="P8" i="31"/>
  <c r="L8" i="31"/>
  <c r="Q7" i="31"/>
  <c r="R7" i="31" s="1"/>
  <c r="P7" i="31"/>
  <c r="L7" i="31"/>
  <c r="Q6" i="31"/>
  <c r="R6" i="31" s="1"/>
  <c r="P6" i="31"/>
  <c r="L6" i="31"/>
  <c r="Q5" i="31"/>
  <c r="R5" i="31" s="1"/>
  <c r="P5" i="31"/>
  <c r="L5" i="31"/>
  <c r="R4" i="31"/>
  <c r="Q4" i="31"/>
  <c r="P4" i="31"/>
  <c r="L4" i="31"/>
  <c r="Q3" i="31"/>
  <c r="R3" i="31" s="1"/>
  <c r="P3" i="31"/>
  <c r="L3" i="31"/>
  <c r="Q2" i="31"/>
  <c r="R2" i="31" s="1"/>
  <c r="P2" i="31"/>
  <c r="L2" i="31"/>
  <c r="Q2" i="30"/>
  <c r="R2" i="30" s="1"/>
  <c r="P2" i="30"/>
  <c r="L2" i="30"/>
  <c r="Q14" i="29"/>
  <c r="R14" i="29" s="1"/>
  <c r="P14" i="29"/>
  <c r="L14" i="29"/>
  <c r="Q13" i="29"/>
  <c r="R13" i="29" s="1"/>
  <c r="P13" i="29"/>
  <c r="L13" i="29"/>
  <c r="Q12" i="29"/>
  <c r="R12" i="29" s="1"/>
  <c r="P12" i="29"/>
  <c r="L12" i="29"/>
  <c r="Q11" i="29"/>
  <c r="R11" i="29" s="1"/>
  <c r="P11" i="29"/>
  <c r="L11" i="29"/>
  <c r="R10" i="29"/>
  <c r="Q10" i="29"/>
  <c r="P10" i="29"/>
  <c r="L10" i="29"/>
  <c r="R9" i="29"/>
  <c r="Q9" i="29"/>
  <c r="P9" i="29"/>
  <c r="L9" i="29"/>
  <c r="Q8" i="29"/>
  <c r="R8" i="29" s="1"/>
  <c r="P8" i="29"/>
  <c r="L8" i="29"/>
  <c r="R7" i="29"/>
  <c r="Q7" i="29"/>
  <c r="P7" i="29"/>
  <c r="L7" i="29"/>
  <c r="Q6" i="29"/>
  <c r="R6" i="29" s="1"/>
  <c r="P6" i="29"/>
  <c r="L6" i="29"/>
  <c r="R5" i="29"/>
  <c r="Q5" i="29"/>
  <c r="P5" i="29"/>
  <c r="L5" i="29"/>
  <c r="Q4" i="29"/>
  <c r="R4" i="29" s="1"/>
  <c r="P4" i="29"/>
  <c r="L4" i="29"/>
  <c r="Q3" i="29"/>
  <c r="R3" i="29" s="1"/>
  <c r="P3" i="29"/>
  <c r="L3" i="29"/>
  <c r="Q2" i="29"/>
  <c r="R2" i="29" s="1"/>
  <c r="P2" i="29"/>
  <c r="L2" i="29"/>
  <c r="Q54" i="28"/>
  <c r="R54" i="28" s="1"/>
  <c r="P54" i="28"/>
  <c r="L54" i="28"/>
  <c r="Q53" i="28"/>
  <c r="R53" i="28" s="1"/>
  <c r="P53" i="28"/>
  <c r="L53" i="28"/>
  <c r="Q52" i="28"/>
  <c r="R52" i="28" s="1"/>
  <c r="P52" i="28"/>
  <c r="L52" i="28"/>
  <c r="R51" i="28"/>
  <c r="Q51" i="28"/>
  <c r="P51" i="28"/>
  <c r="L51" i="28"/>
  <c r="Q50" i="28"/>
  <c r="R50" i="28" s="1"/>
  <c r="P50" i="28"/>
  <c r="L50" i="28"/>
  <c r="Q49" i="28"/>
  <c r="R49" i="28" s="1"/>
  <c r="P49" i="28"/>
  <c r="L49" i="28"/>
  <c r="Q48" i="28"/>
  <c r="R48" i="28" s="1"/>
  <c r="P48" i="28"/>
  <c r="L48" i="28"/>
  <c r="R47" i="28"/>
  <c r="Q47" i="28"/>
  <c r="P47" i="28"/>
  <c r="L47" i="28"/>
  <c r="R46" i="28"/>
  <c r="Q46" i="28"/>
  <c r="P46" i="28"/>
  <c r="L46" i="28"/>
  <c r="Q45" i="28"/>
  <c r="R45" i="28" s="1"/>
  <c r="P45" i="28"/>
  <c r="L45" i="28"/>
  <c r="R44" i="28"/>
  <c r="Q44" i="28"/>
  <c r="P44" i="28"/>
  <c r="L44" i="28"/>
  <c r="R43" i="28"/>
  <c r="Q43" i="28"/>
  <c r="P43" i="28"/>
  <c r="L43" i="28"/>
  <c r="Q42" i="28"/>
  <c r="R42" i="28" s="1"/>
  <c r="P42" i="28"/>
  <c r="L42" i="28"/>
  <c r="Q41" i="28"/>
  <c r="R41" i="28" s="1"/>
  <c r="P41" i="28"/>
  <c r="L41" i="28"/>
  <c r="Q40" i="28"/>
  <c r="R40" i="28" s="1"/>
  <c r="P40" i="28"/>
  <c r="L40" i="28"/>
  <c r="Q39" i="28"/>
  <c r="R39" i="28" s="1"/>
  <c r="P39" i="28"/>
  <c r="L39" i="28"/>
  <c r="Q38" i="28"/>
  <c r="R38" i="28" s="1"/>
  <c r="P38" i="28"/>
  <c r="L38" i="28"/>
  <c r="Q37" i="28"/>
  <c r="R37" i="28" s="1"/>
  <c r="P37" i="28"/>
  <c r="L37" i="28"/>
  <c r="R36" i="28"/>
  <c r="Q36" i="28"/>
  <c r="P36" i="28"/>
  <c r="L36" i="28"/>
  <c r="Q35" i="28"/>
  <c r="R35" i="28" s="1"/>
  <c r="P35" i="28"/>
  <c r="L35" i="28"/>
  <c r="R34" i="28"/>
  <c r="Q34" i="28"/>
  <c r="P34" i="28"/>
  <c r="L34" i="28"/>
  <c r="Q33" i="28"/>
  <c r="R33" i="28" s="1"/>
  <c r="P33" i="28"/>
  <c r="L33" i="28"/>
  <c r="R32" i="28"/>
  <c r="Q32" i="28"/>
  <c r="P32" i="28"/>
  <c r="L32" i="28"/>
  <c r="Q31" i="28"/>
  <c r="R31" i="28" s="1"/>
  <c r="P31" i="28"/>
  <c r="L31" i="28"/>
  <c r="R30" i="28"/>
  <c r="Q30" i="28"/>
  <c r="P30" i="28"/>
  <c r="L30" i="28"/>
  <c r="Q29" i="28"/>
  <c r="R29" i="28" s="1"/>
  <c r="P29" i="28"/>
  <c r="L29" i="28"/>
  <c r="Q28" i="28"/>
  <c r="R28" i="28" s="1"/>
  <c r="P28" i="28"/>
  <c r="L28" i="28"/>
  <c r="R27" i="28"/>
  <c r="Q27" i="28"/>
  <c r="P27" i="28"/>
  <c r="L27" i="28"/>
  <c r="R26" i="28"/>
  <c r="Q26" i="28"/>
  <c r="P26" i="28"/>
  <c r="L26" i="28"/>
  <c r="Q25" i="28"/>
  <c r="R25" i="28" s="1"/>
  <c r="P25" i="28"/>
  <c r="L25" i="28"/>
  <c r="Q24" i="28"/>
  <c r="R24" i="28" s="1"/>
  <c r="P24" i="28"/>
  <c r="L24" i="28"/>
  <c r="Q23" i="28"/>
  <c r="R23" i="28" s="1"/>
  <c r="P23" i="28"/>
  <c r="L23" i="28"/>
  <c r="Q22" i="28"/>
  <c r="R22" i="28" s="1"/>
  <c r="P22" i="28"/>
  <c r="L22" i="28"/>
  <c r="Q21" i="28"/>
  <c r="R21" i="28" s="1"/>
  <c r="P21" i="28"/>
  <c r="L21" i="28"/>
  <c r="Q20" i="28"/>
  <c r="R20" i="28" s="1"/>
  <c r="P20" i="28"/>
  <c r="L20" i="28"/>
  <c r="R19" i="28"/>
  <c r="Q19" i="28"/>
  <c r="P19" i="28"/>
  <c r="L19" i="28"/>
  <c r="Q18" i="28"/>
  <c r="R18" i="28" s="1"/>
  <c r="P18" i="28"/>
  <c r="L18" i="28"/>
  <c r="Q17" i="28"/>
  <c r="R17" i="28" s="1"/>
  <c r="P17" i="28"/>
  <c r="L17" i="28"/>
  <c r="R16" i="28"/>
  <c r="Q16" i="28"/>
  <c r="P16" i="28"/>
  <c r="L16" i="28"/>
  <c r="R15" i="28"/>
  <c r="Q15" i="28"/>
  <c r="P15" i="28"/>
  <c r="L15" i="28"/>
  <c r="Q14" i="28"/>
  <c r="R14" i="28" s="1"/>
  <c r="P14" i="28"/>
  <c r="L14" i="28"/>
  <c r="Q13" i="28"/>
  <c r="R13" i="28" s="1"/>
  <c r="P13" i="28"/>
  <c r="L13" i="28"/>
  <c r="Q12" i="28"/>
  <c r="R12" i="28" s="1"/>
  <c r="P12" i="28"/>
  <c r="L12" i="28"/>
  <c r="Q11" i="28"/>
  <c r="R11" i="28" s="1"/>
  <c r="P11" i="28"/>
  <c r="L11" i="28"/>
  <c r="R10" i="28"/>
  <c r="Q10" i="28"/>
  <c r="P10" i="28"/>
  <c r="L10" i="28"/>
  <c r="Q9" i="28"/>
  <c r="R9" i="28" s="1"/>
  <c r="P9" i="28"/>
  <c r="L9" i="28"/>
  <c r="Q8" i="28"/>
  <c r="R8" i="28" s="1"/>
  <c r="P8" i="28"/>
  <c r="L8" i="28"/>
  <c r="Q7" i="28"/>
  <c r="R7" i="28" s="1"/>
  <c r="P7" i="28"/>
  <c r="L7" i="28"/>
  <c r="Q6" i="28"/>
  <c r="R6" i="28" s="1"/>
  <c r="P6" i="28"/>
  <c r="L6" i="28"/>
  <c r="Q5" i="28"/>
  <c r="R5" i="28" s="1"/>
  <c r="P5" i="28"/>
  <c r="L5" i="28"/>
  <c r="R4" i="28"/>
  <c r="Q4" i="28"/>
  <c r="P4" i="28"/>
  <c r="L4" i="28"/>
  <c r="Q3" i="28"/>
  <c r="R3" i="28" s="1"/>
  <c r="P3" i="28"/>
  <c r="L3" i="28"/>
  <c r="R2" i="28"/>
  <c r="Q2" i="28"/>
  <c r="P2" i="28"/>
  <c r="L2" i="28"/>
  <c r="Q22" i="27"/>
  <c r="R22" i="27" s="1"/>
  <c r="P22" i="27"/>
  <c r="L22" i="27"/>
  <c r="R21" i="27"/>
  <c r="Q21" i="27"/>
  <c r="P21" i="27"/>
  <c r="L21" i="27"/>
  <c r="R20" i="27"/>
  <c r="Q20" i="27"/>
  <c r="P20" i="27"/>
  <c r="L20" i="27"/>
  <c r="R19" i="27"/>
  <c r="Q19" i="27"/>
  <c r="P19" i="27"/>
  <c r="L19" i="27"/>
  <c r="Q18" i="27"/>
  <c r="R18" i="27" s="1"/>
  <c r="P18" i="27"/>
  <c r="L18" i="27"/>
  <c r="R17" i="27"/>
  <c r="Q17" i="27"/>
  <c r="P17" i="27"/>
  <c r="L17" i="27"/>
  <c r="Q16" i="27"/>
  <c r="R16" i="27" s="1"/>
  <c r="P16" i="27"/>
  <c r="L16" i="27"/>
  <c r="R15" i="27"/>
  <c r="Q15" i="27"/>
  <c r="P15" i="27"/>
  <c r="L15" i="27"/>
  <c r="Q14" i="27"/>
  <c r="R14" i="27" s="1"/>
  <c r="P14" i="27"/>
  <c r="L14" i="27"/>
  <c r="Q13" i="27"/>
  <c r="R13" i="27" s="1"/>
  <c r="P13" i="27"/>
  <c r="L13" i="27"/>
  <c r="Q12" i="27"/>
  <c r="R12" i="27" s="1"/>
  <c r="P12" i="27"/>
  <c r="L12" i="27"/>
  <c r="R11" i="27"/>
  <c r="Q11" i="27"/>
  <c r="P11" i="27"/>
  <c r="L11" i="27"/>
  <c r="Q10" i="27"/>
  <c r="R10" i="27" s="1"/>
  <c r="P10" i="27"/>
  <c r="L10" i="27"/>
  <c r="Q9" i="27"/>
  <c r="R9" i="27" s="1"/>
  <c r="P9" i="27"/>
  <c r="L9" i="27"/>
  <c r="R8" i="27"/>
  <c r="Q8" i="27"/>
  <c r="P8" i="27"/>
  <c r="L8" i="27"/>
  <c r="Q7" i="27"/>
  <c r="R7" i="27" s="1"/>
  <c r="P7" i="27"/>
  <c r="L7" i="27"/>
  <c r="Q6" i="27"/>
  <c r="R6" i="27" s="1"/>
  <c r="P6" i="27"/>
  <c r="L6" i="27"/>
  <c r="Q5" i="27"/>
  <c r="R5" i="27" s="1"/>
  <c r="P5" i="27"/>
  <c r="L5" i="27"/>
  <c r="R4" i="27"/>
  <c r="Q4" i="27"/>
  <c r="P4" i="27"/>
  <c r="L4" i="27"/>
  <c r="R3" i="27"/>
  <c r="Q3" i="27"/>
  <c r="P3" i="27"/>
  <c r="L3" i="27"/>
  <c r="Q2" i="27"/>
  <c r="R2" i="27" s="1"/>
  <c r="P2" i="27"/>
  <c r="L2" i="27"/>
  <c r="R4" i="26"/>
  <c r="Q4" i="26"/>
  <c r="P4" i="26"/>
  <c r="L4" i="26"/>
  <c r="R3" i="26"/>
  <c r="Q3" i="26"/>
  <c r="P3" i="26"/>
  <c r="L3" i="26"/>
  <c r="Q2" i="26"/>
  <c r="R2" i="26" s="1"/>
  <c r="P2" i="26"/>
  <c r="L2" i="26"/>
  <c r="Q17" i="25"/>
  <c r="R17" i="25" s="1"/>
  <c r="P17" i="25"/>
  <c r="L17" i="25"/>
  <c r="Q16" i="25"/>
  <c r="R16" i="25" s="1"/>
  <c r="P16" i="25"/>
  <c r="L16" i="25"/>
  <c r="Q15" i="25"/>
  <c r="R15" i="25" s="1"/>
  <c r="P15" i="25"/>
  <c r="L15" i="25"/>
  <c r="Q14" i="25"/>
  <c r="R14" i="25" s="1"/>
  <c r="P14" i="25"/>
  <c r="L14" i="25"/>
  <c r="Q13" i="25"/>
  <c r="R13" i="25" s="1"/>
  <c r="P13" i="25"/>
  <c r="L13" i="25"/>
  <c r="R12" i="25"/>
  <c r="Q12" i="25"/>
  <c r="P12" i="25"/>
  <c r="L12" i="25"/>
  <c r="Q11" i="25"/>
  <c r="R11" i="25" s="1"/>
  <c r="P11" i="25"/>
  <c r="L11" i="25"/>
  <c r="R10" i="25"/>
  <c r="Q10" i="25"/>
  <c r="P10" i="25"/>
  <c r="L10" i="25"/>
  <c r="Q9" i="25"/>
  <c r="R9" i="25" s="1"/>
  <c r="P9" i="25"/>
  <c r="L9" i="25"/>
  <c r="R8" i="25"/>
  <c r="Q8" i="25"/>
  <c r="P8" i="25"/>
  <c r="L8" i="25"/>
  <c r="Q7" i="25"/>
  <c r="R7" i="25" s="1"/>
  <c r="P7" i="25"/>
  <c r="L7" i="25"/>
  <c r="R6" i="25"/>
  <c r="Q6" i="25"/>
  <c r="P6" i="25"/>
  <c r="L6" i="25"/>
  <c r="Q5" i="25"/>
  <c r="R5" i="25" s="1"/>
  <c r="P5" i="25"/>
  <c r="L5" i="25"/>
  <c r="Q4" i="25"/>
  <c r="R4" i="25" s="1"/>
  <c r="P4" i="25"/>
  <c r="L4" i="25"/>
  <c r="R3" i="25"/>
  <c r="Q3" i="25"/>
  <c r="P3" i="25"/>
  <c r="L3" i="25"/>
  <c r="R2" i="25"/>
  <c r="Q2" i="25"/>
  <c r="P2" i="25"/>
  <c r="L2" i="25"/>
  <c r="Q3" i="24"/>
  <c r="R3" i="24" s="1"/>
  <c r="P3" i="24"/>
  <c r="L3" i="24"/>
  <c r="Q2" i="24"/>
  <c r="R2" i="24" s="1"/>
  <c r="P2" i="24"/>
  <c r="L2" i="24"/>
  <c r="Q120" i="23"/>
  <c r="R120" i="23" s="1"/>
  <c r="P120" i="23"/>
  <c r="L120" i="23"/>
  <c r="Q119" i="23"/>
  <c r="R119" i="23" s="1"/>
  <c r="P119" i="23"/>
  <c r="L119" i="23"/>
  <c r="Q118" i="23"/>
  <c r="R118" i="23" s="1"/>
  <c r="P118" i="23"/>
  <c r="L118" i="23"/>
  <c r="Q117" i="23"/>
  <c r="R117" i="23" s="1"/>
  <c r="P117" i="23"/>
  <c r="L117" i="23"/>
  <c r="R116" i="23"/>
  <c r="Q116" i="23"/>
  <c r="P116" i="23"/>
  <c r="L116" i="23"/>
  <c r="Q115" i="23"/>
  <c r="R115" i="23" s="1"/>
  <c r="P115" i="23"/>
  <c r="L115" i="23"/>
  <c r="Q114" i="23"/>
  <c r="R114" i="23" s="1"/>
  <c r="P114" i="23"/>
  <c r="L114" i="23"/>
  <c r="R113" i="23"/>
  <c r="Q113" i="23"/>
  <c r="P113" i="23"/>
  <c r="L113" i="23"/>
  <c r="R112" i="23"/>
  <c r="Q112" i="23"/>
  <c r="P112" i="23"/>
  <c r="L112" i="23"/>
  <c r="Q111" i="23"/>
  <c r="R111" i="23" s="1"/>
  <c r="P111" i="23"/>
  <c r="L111" i="23"/>
  <c r="Q110" i="23"/>
  <c r="R110" i="23" s="1"/>
  <c r="P110" i="23"/>
  <c r="L110" i="23"/>
  <c r="Q109" i="23"/>
  <c r="R109" i="23" s="1"/>
  <c r="P109" i="23"/>
  <c r="L109" i="23"/>
  <c r="R108" i="23"/>
  <c r="Q108" i="23"/>
  <c r="P108" i="23"/>
  <c r="L108" i="23"/>
  <c r="R107" i="23"/>
  <c r="Q107" i="23"/>
  <c r="P107" i="23"/>
  <c r="L107" i="23"/>
  <c r="Q106" i="23"/>
  <c r="R106" i="23" s="1"/>
  <c r="P106" i="23"/>
  <c r="L106" i="23"/>
  <c r="Q105" i="23"/>
  <c r="R105" i="23" s="1"/>
  <c r="P105" i="23"/>
  <c r="L105" i="23"/>
  <c r="R104" i="23"/>
  <c r="Q104" i="23"/>
  <c r="P104" i="23"/>
  <c r="L104" i="23"/>
  <c r="Q103" i="23"/>
  <c r="R103" i="23" s="1"/>
  <c r="P103" i="23"/>
  <c r="L103" i="23"/>
  <c r="Q102" i="23"/>
  <c r="R102" i="23" s="1"/>
  <c r="P102" i="23"/>
  <c r="L102" i="23"/>
  <c r="R101" i="23"/>
  <c r="Q101" i="23"/>
  <c r="P101" i="23"/>
  <c r="L101" i="23"/>
  <c r="Q100" i="23"/>
  <c r="R100" i="23" s="1"/>
  <c r="P100" i="23"/>
  <c r="L100" i="23"/>
  <c r="R99" i="23"/>
  <c r="Q99" i="23"/>
  <c r="P99" i="23"/>
  <c r="L99" i="23"/>
  <c r="Q98" i="23"/>
  <c r="R98" i="23" s="1"/>
  <c r="P98" i="23"/>
  <c r="L98" i="23"/>
  <c r="R97" i="23"/>
  <c r="Q97" i="23"/>
  <c r="P97" i="23"/>
  <c r="L97" i="23"/>
  <c r="R96" i="23"/>
  <c r="Q96" i="23"/>
  <c r="P96" i="23"/>
  <c r="L96" i="23"/>
  <c r="R95" i="23"/>
  <c r="Q95" i="23"/>
  <c r="P95" i="23"/>
  <c r="L95" i="23"/>
  <c r="Q94" i="23"/>
  <c r="R94" i="23" s="1"/>
  <c r="P94" i="23"/>
  <c r="L94" i="23"/>
  <c r="R93" i="23"/>
  <c r="Q93" i="23"/>
  <c r="P93" i="23"/>
  <c r="L93" i="23"/>
  <c r="Q92" i="23"/>
  <c r="R92" i="23" s="1"/>
  <c r="P92" i="23"/>
  <c r="L92" i="23"/>
  <c r="R91" i="23"/>
  <c r="Q91" i="23"/>
  <c r="P91" i="23"/>
  <c r="L91" i="23"/>
  <c r="Q90" i="23"/>
  <c r="R90" i="23" s="1"/>
  <c r="P90" i="23"/>
  <c r="L90" i="23"/>
  <c r="Q89" i="23"/>
  <c r="R89" i="23" s="1"/>
  <c r="P89" i="23"/>
  <c r="L89" i="23"/>
  <c r="Q88" i="23"/>
  <c r="R88" i="23" s="1"/>
  <c r="P88" i="23"/>
  <c r="L88" i="23"/>
  <c r="R87" i="23"/>
  <c r="Q87" i="23"/>
  <c r="P87" i="23"/>
  <c r="L87" i="23"/>
  <c r="Q86" i="23"/>
  <c r="R86" i="23" s="1"/>
  <c r="P86" i="23"/>
  <c r="L86" i="23"/>
  <c r="Q85" i="23"/>
  <c r="R85" i="23" s="1"/>
  <c r="P85" i="23"/>
  <c r="L85" i="23"/>
  <c r="R84" i="23"/>
  <c r="Q84" i="23"/>
  <c r="P84" i="23"/>
  <c r="L84" i="23"/>
  <c r="Q83" i="23"/>
  <c r="R83" i="23" s="1"/>
  <c r="P83" i="23"/>
  <c r="L83" i="23"/>
  <c r="Q82" i="23"/>
  <c r="R82" i="23" s="1"/>
  <c r="P82" i="23"/>
  <c r="L82" i="23"/>
  <c r="Q81" i="23"/>
  <c r="R81" i="23" s="1"/>
  <c r="P81" i="23"/>
  <c r="L81" i="23"/>
  <c r="R80" i="23"/>
  <c r="Q80" i="23"/>
  <c r="P80" i="23"/>
  <c r="L80" i="23"/>
  <c r="R79" i="23"/>
  <c r="Q79" i="23"/>
  <c r="P79" i="23"/>
  <c r="L79" i="23"/>
  <c r="Q78" i="23"/>
  <c r="R78" i="23" s="1"/>
  <c r="P78" i="23"/>
  <c r="L78" i="23"/>
  <c r="R77" i="23"/>
  <c r="Q77" i="23"/>
  <c r="P77" i="23"/>
  <c r="L77" i="23"/>
  <c r="R76" i="23"/>
  <c r="Q76" i="23"/>
  <c r="P76" i="23"/>
  <c r="L76" i="23"/>
  <c r="Q75" i="23"/>
  <c r="R75" i="23" s="1"/>
  <c r="P75" i="23"/>
  <c r="L75" i="23"/>
  <c r="Q74" i="23"/>
  <c r="R74" i="23" s="1"/>
  <c r="P74" i="23"/>
  <c r="L74" i="23"/>
  <c r="Q73" i="23"/>
  <c r="R73" i="23" s="1"/>
  <c r="P73" i="23"/>
  <c r="L73" i="23"/>
  <c r="R72" i="23"/>
  <c r="Q72" i="23"/>
  <c r="P72" i="23"/>
  <c r="L72" i="23"/>
  <c r="Q71" i="23"/>
  <c r="R71" i="23" s="1"/>
  <c r="P71" i="23"/>
  <c r="L71" i="23"/>
  <c r="Q70" i="23"/>
  <c r="R70" i="23" s="1"/>
  <c r="P70" i="23"/>
  <c r="L70" i="23"/>
  <c r="R69" i="23"/>
  <c r="Q69" i="23"/>
  <c r="P69" i="23"/>
  <c r="L69" i="23"/>
  <c r="Q68" i="23"/>
  <c r="R68" i="23" s="1"/>
  <c r="P68" i="23"/>
  <c r="L68" i="23"/>
  <c r="R67" i="23"/>
  <c r="Q67" i="23"/>
  <c r="P67" i="23"/>
  <c r="L67" i="23"/>
  <c r="Q66" i="23"/>
  <c r="R66" i="23" s="1"/>
  <c r="P66" i="23"/>
  <c r="L66" i="23"/>
  <c r="Q65" i="23"/>
  <c r="R65" i="23" s="1"/>
  <c r="P65" i="23"/>
  <c r="L65" i="23"/>
  <c r="Q64" i="23"/>
  <c r="R64" i="23" s="1"/>
  <c r="P64" i="23"/>
  <c r="L64" i="23"/>
  <c r="R63" i="23"/>
  <c r="Q63" i="23"/>
  <c r="P63" i="23"/>
  <c r="L63" i="23"/>
  <c r="Q62" i="23"/>
  <c r="R62" i="23" s="1"/>
  <c r="P62" i="23"/>
  <c r="L62" i="23"/>
  <c r="Q61" i="23"/>
  <c r="R61" i="23" s="1"/>
  <c r="P61" i="23"/>
  <c r="L61" i="23"/>
  <c r="R60" i="23"/>
  <c r="Q60" i="23"/>
  <c r="P60" i="23"/>
  <c r="L60" i="23"/>
  <c r="Q59" i="23"/>
  <c r="R59" i="23" s="1"/>
  <c r="P59" i="23"/>
  <c r="L59" i="23"/>
  <c r="Q58" i="23"/>
  <c r="R58" i="23" s="1"/>
  <c r="P58" i="23"/>
  <c r="L58" i="23"/>
  <c r="R57" i="23"/>
  <c r="Q57" i="23"/>
  <c r="P57" i="23"/>
  <c r="L57" i="23"/>
  <c r="R56" i="23"/>
  <c r="Q56" i="23"/>
  <c r="P56" i="23"/>
  <c r="L56" i="23"/>
  <c r="R55" i="23"/>
  <c r="Q55" i="23"/>
  <c r="P55" i="23"/>
  <c r="L55" i="23"/>
  <c r="Q54" i="23"/>
  <c r="R54" i="23" s="1"/>
  <c r="P54" i="23"/>
  <c r="L54" i="23"/>
  <c r="R53" i="23"/>
  <c r="Q53" i="23"/>
  <c r="P53" i="23"/>
  <c r="L53" i="23"/>
  <c r="R52" i="23"/>
  <c r="Q52" i="23"/>
  <c r="P52" i="23"/>
  <c r="L52" i="23"/>
  <c r="Q51" i="23"/>
  <c r="R51" i="23" s="1"/>
  <c r="P51" i="23"/>
  <c r="L51" i="23"/>
  <c r="Q50" i="23"/>
  <c r="R50" i="23" s="1"/>
  <c r="P50" i="23"/>
  <c r="L50" i="23"/>
  <c r="R49" i="23"/>
  <c r="Q49" i="23"/>
  <c r="P49" i="23"/>
  <c r="L49" i="23"/>
  <c r="Q48" i="23"/>
  <c r="R48" i="23" s="1"/>
  <c r="P48" i="23"/>
  <c r="L48" i="23"/>
  <c r="Q47" i="23"/>
  <c r="R47" i="23" s="1"/>
  <c r="P47" i="23"/>
  <c r="L47" i="23"/>
  <c r="Q46" i="23"/>
  <c r="R46" i="23" s="1"/>
  <c r="P46" i="23"/>
  <c r="L46" i="23"/>
  <c r="R45" i="23"/>
  <c r="Q45" i="23"/>
  <c r="P45" i="23"/>
  <c r="L45" i="23"/>
  <c r="R44" i="23"/>
  <c r="Q44" i="23"/>
  <c r="P44" i="23"/>
  <c r="L44" i="23"/>
  <c r="R43" i="23"/>
  <c r="Q43" i="23"/>
  <c r="P43" i="23"/>
  <c r="L43" i="23"/>
  <c r="Q42" i="23"/>
  <c r="R42" i="23" s="1"/>
  <c r="P42" i="23"/>
  <c r="L42" i="23"/>
  <c r="Q41" i="23"/>
  <c r="R41" i="23" s="1"/>
  <c r="P41" i="23"/>
  <c r="L41" i="23"/>
  <c r="R40" i="23"/>
  <c r="Q40" i="23"/>
  <c r="P40" i="23"/>
  <c r="L40" i="23"/>
  <c r="Q39" i="23"/>
  <c r="R39" i="23" s="1"/>
  <c r="P39" i="23"/>
  <c r="L39" i="23"/>
  <c r="Q38" i="23"/>
  <c r="R38" i="23" s="1"/>
  <c r="P38" i="23"/>
  <c r="L38" i="23"/>
  <c r="R37" i="23"/>
  <c r="Q37" i="23"/>
  <c r="P37" i="23"/>
  <c r="L37" i="23"/>
  <c r="R36" i="23"/>
  <c r="Q36" i="23"/>
  <c r="P36" i="23"/>
  <c r="L36" i="23"/>
  <c r="R35" i="23"/>
  <c r="Q35" i="23"/>
  <c r="P35" i="23"/>
  <c r="L35" i="23"/>
  <c r="Q34" i="23"/>
  <c r="R34" i="23" s="1"/>
  <c r="P34" i="23"/>
  <c r="L34" i="23"/>
  <c r="Q33" i="23"/>
  <c r="R33" i="23" s="1"/>
  <c r="P33" i="23"/>
  <c r="L33" i="23"/>
  <c r="Q32" i="23"/>
  <c r="R32" i="23" s="1"/>
  <c r="P32" i="23"/>
  <c r="L32" i="23"/>
  <c r="Q31" i="23"/>
  <c r="R31" i="23" s="1"/>
  <c r="P31" i="23"/>
  <c r="L31" i="23"/>
  <c r="Q30" i="23"/>
  <c r="R30" i="23" s="1"/>
  <c r="P30" i="23"/>
  <c r="L30" i="23"/>
  <c r="Q29" i="23"/>
  <c r="R29" i="23" s="1"/>
  <c r="P29" i="23"/>
  <c r="L29" i="23"/>
  <c r="Q28" i="23"/>
  <c r="R28" i="23" s="1"/>
  <c r="P28" i="23"/>
  <c r="L28" i="23"/>
  <c r="R27" i="23"/>
  <c r="Q27" i="23"/>
  <c r="P27" i="23"/>
  <c r="L27" i="23"/>
  <c r="Q26" i="23"/>
  <c r="R26" i="23" s="1"/>
  <c r="P26" i="23"/>
  <c r="L26" i="23"/>
  <c r="Q25" i="23"/>
  <c r="R25" i="23" s="1"/>
  <c r="P25" i="23"/>
  <c r="L25" i="23"/>
  <c r="Q24" i="23"/>
  <c r="R24" i="23" s="1"/>
  <c r="P24" i="23"/>
  <c r="L24" i="23"/>
  <c r="R23" i="23"/>
  <c r="Q23" i="23"/>
  <c r="P23" i="23"/>
  <c r="L23" i="23"/>
  <c r="Q22" i="23"/>
  <c r="R22" i="23" s="1"/>
  <c r="P22" i="23"/>
  <c r="L22" i="23"/>
  <c r="Q21" i="23"/>
  <c r="R21" i="23" s="1"/>
  <c r="P21" i="23"/>
  <c r="L21" i="23"/>
  <c r="R20" i="23"/>
  <c r="Q20" i="23"/>
  <c r="P20" i="23"/>
  <c r="L20" i="23"/>
  <c r="Q19" i="23"/>
  <c r="R19" i="23" s="1"/>
  <c r="P19" i="23"/>
  <c r="L19" i="23"/>
  <c r="Q18" i="23"/>
  <c r="R18" i="23" s="1"/>
  <c r="P18" i="23"/>
  <c r="L18" i="23"/>
  <c r="Q17" i="23"/>
  <c r="R17" i="23" s="1"/>
  <c r="P17" i="23"/>
  <c r="L17" i="23"/>
  <c r="Q16" i="23"/>
  <c r="R16" i="23" s="1"/>
  <c r="P16" i="23"/>
  <c r="L16" i="23"/>
  <c r="Q15" i="23"/>
  <c r="R15" i="23" s="1"/>
  <c r="P15" i="23"/>
  <c r="L15" i="23"/>
  <c r="Q14" i="23"/>
  <c r="R14" i="23" s="1"/>
  <c r="P14" i="23"/>
  <c r="L14" i="23"/>
  <c r="R13" i="23"/>
  <c r="Q13" i="23"/>
  <c r="P13" i="23"/>
  <c r="L13" i="23"/>
  <c r="R12" i="23"/>
  <c r="Q12" i="23"/>
  <c r="P12" i="23"/>
  <c r="L12" i="23"/>
  <c r="Q11" i="23"/>
  <c r="R11" i="23" s="1"/>
  <c r="P11" i="23"/>
  <c r="L11" i="23"/>
  <c r="Q10" i="23"/>
  <c r="R10" i="23" s="1"/>
  <c r="P10" i="23"/>
  <c r="L10" i="23"/>
  <c r="Q9" i="23"/>
  <c r="R9" i="23" s="1"/>
  <c r="P9" i="23"/>
  <c r="L9" i="23"/>
  <c r="R8" i="23"/>
  <c r="Q8" i="23"/>
  <c r="P8" i="23"/>
  <c r="L8" i="23"/>
  <c r="Q7" i="23"/>
  <c r="R7" i="23" s="1"/>
  <c r="P7" i="23"/>
  <c r="L7" i="23"/>
  <c r="Q6" i="23"/>
  <c r="R6" i="23" s="1"/>
  <c r="P6" i="23"/>
  <c r="L6" i="23"/>
  <c r="R5" i="23"/>
  <c r="Q5" i="23"/>
  <c r="P5" i="23"/>
  <c r="L5" i="23"/>
  <c r="Q4" i="23"/>
  <c r="R4" i="23" s="1"/>
  <c r="P4" i="23"/>
  <c r="L4" i="23"/>
  <c r="R3" i="23"/>
  <c r="Q3" i="23"/>
  <c r="P3" i="23"/>
  <c r="L3" i="23"/>
  <c r="Q2" i="23"/>
  <c r="R2" i="23" s="1"/>
  <c r="P2" i="23"/>
  <c r="L2" i="23"/>
  <c r="R16" i="22"/>
  <c r="Q16" i="22"/>
  <c r="P16" i="22"/>
  <c r="L16" i="22"/>
  <c r="Q15" i="22"/>
  <c r="R15" i="22" s="1"/>
  <c r="P15" i="22"/>
  <c r="L15" i="22"/>
  <c r="R14" i="22"/>
  <c r="Q14" i="22"/>
  <c r="P14" i="22"/>
  <c r="L14" i="22"/>
  <c r="Q13" i="22"/>
  <c r="R13" i="22" s="1"/>
  <c r="P13" i="22"/>
  <c r="L13" i="22"/>
  <c r="Q12" i="22"/>
  <c r="R12" i="22" s="1"/>
  <c r="P12" i="22"/>
  <c r="L12" i="22"/>
  <c r="R11" i="22"/>
  <c r="Q11" i="22"/>
  <c r="P11" i="22"/>
  <c r="L11" i="22"/>
  <c r="Q10" i="22"/>
  <c r="R10" i="22" s="1"/>
  <c r="P10" i="22"/>
  <c r="L10" i="22"/>
  <c r="Q9" i="22"/>
  <c r="R9" i="22" s="1"/>
  <c r="P9" i="22"/>
  <c r="L9" i="22"/>
  <c r="Q8" i="22"/>
  <c r="R8" i="22" s="1"/>
  <c r="P8" i="22"/>
  <c r="L8" i="22"/>
  <c r="Q7" i="22"/>
  <c r="R7" i="22" s="1"/>
  <c r="P7" i="22"/>
  <c r="L7" i="22"/>
  <c r="Q6" i="22"/>
  <c r="R6" i="22" s="1"/>
  <c r="P6" i="22"/>
  <c r="L6" i="22"/>
  <c r="Q5" i="22"/>
  <c r="R5" i="22" s="1"/>
  <c r="P5" i="22"/>
  <c r="L5" i="22"/>
  <c r="Q4" i="22"/>
  <c r="R4" i="22" s="1"/>
  <c r="P4" i="22"/>
  <c r="L4" i="22"/>
  <c r="R3" i="22"/>
  <c r="Q3" i="22"/>
  <c r="P3" i="22"/>
  <c r="L3" i="22"/>
  <c r="Q2" i="22"/>
  <c r="R2" i="22" s="1"/>
  <c r="P2" i="22"/>
  <c r="L2" i="22"/>
  <c r="Q2" i="21"/>
  <c r="R2" i="21" s="1"/>
  <c r="P2" i="21"/>
  <c r="L2" i="21"/>
  <c r="Q130" i="20"/>
  <c r="R130" i="20" s="1"/>
  <c r="P130" i="20"/>
  <c r="L130" i="20"/>
  <c r="Q129" i="20"/>
  <c r="R129" i="20" s="1"/>
  <c r="P129" i="20"/>
  <c r="L129" i="20"/>
  <c r="Q128" i="20"/>
  <c r="R128" i="20" s="1"/>
  <c r="P128" i="20"/>
  <c r="L128" i="20"/>
  <c r="Q127" i="20"/>
  <c r="R127" i="20" s="1"/>
  <c r="P127" i="20"/>
  <c r="L127" i="20"/>
  <c r="R126" i="20"/>
  <c r="Q126" i="20"/>
  <c r="P126" i="20"/>
  <c r="L126" i="20"/>
  <c r="Q125" i="20"/>
  <c r="R125" i="20" s="1"/>
  <c r="P125" i="20"/>
  <c r="L125" i="20"/>
  <c r="R124" i="20"/>
  <c r="Q124" i="20"/>
  <c r="P124" i="20"/>
  <c r="L124" i="20"/>
  <c r="Q123" i="20"/>
  <c r="R123" i="20" s="1"/>
  <c r="P123" i="20"/>
  <c r="L123" i="20"/>
  <c r="Q122" i="20"/>
  <c r="R122" i="20" s="1"/>
  <c r="P122" i="20"/>
  <c r="L122" i="20"/>
  <c r="R121" i="20"/>
  <c r="Q121" i="20"/>
  <c r="P121" i="20"/>
  <c r="L121" i="20"/>
  <c r="Q120" i="20"/>
  <c r="R120" i="20" s="1"/>
  <c r="P120" i="20"/>
  <c r="L120" i="20"/>
  <c r="Q119" i="20"/>
  <c r="R119" i="20" s="1"/>
  <c r="P119" i="20"/>
  <c r="L119" i="20"/>
  <c r="Q118" i="20"/>
  <c r="R118" i="20" s="1"/>
  <c r="P118" i="20"/>
  <c r="L118" i="20"/>
  <c r="R117" i="20"/>
  <c r="Q117" i="20"/>
  <c r="P117" i="20"/>
  <c r="L117" i="20"/>
  <c r="R116" i="20"/>
  <c r="Q116" i="20"/>
  <c r="P116" i="20"/>
  <c r="L116" i="20"/>
  <c r="Q115" i="20"/>
  <c r="R115" i="20" s="1"/>
  <c r="P115" i="20"/>
  <c r="L115" i="20"/>
  <c r="R114" i="20"/>
  <c r="Q114" i="20"/>
  <c r="P114" i="20"/>
  <c r="L114" i="20"/>
  <c r="R113" i="20"/>
  <c r="Q113" i="20"/>
  <c r="P113" i="20"/>
  <c r="L113" i="20"/>
  <c r="Q112" i="20"/>
  <c r="R112" i="20" s="1"/>
  <c r="P112" i="20"/>
  <c r="L112" i="20"/>
  <c r="Q111" i="20"/>
  <c r="R111" i="20" s="1"/>
  <c r="P111" i="20"/>
  <c r="L111" i="20"/>
  <c r="Q110" i="20"/>
  <c r="R110" i="20" s="1"/>
  <c r="P110" i="20"/>
  <c r="L110" i="20"/>
  <c r="Q109" i="20"/>
  <c r="R109" i="20" s="1"/>
  <c r="P109" i="20"/>
  <c r="L109" i="20"/>
  <c r="R108" i="20"/>
  <c r="Q108" i="20"/>
  <c r="P108" i="20"/>
  <c r="L108" i="20"/>
  <c r="R107" i="20"/>
  <c r="Q107" i="20"/>
  <c r="P107" i="20"/>
  <c r="L107" i="20"/>
  <c r="Q106" i="20"/>
  <c r="R106" i="20" s="1"/>
  <c r="P106" i="20"/>
  <c r="L106" i="20"/>
  <c r="Q105" i="20"/>
  <c r="R105" i="20" s="1"/>
  <c r="P105" i="20"/>
  <c r="L105" i="20"/>
  <c r="R104" i="20"/>
  <c r="Q104" i="20"/>
  <c r="P104" i="20"/>
  <c r="L104" i="20"/>
  <c r="R103" i="20"/>
  <c r="Q103" i="20"/>
  <c r="P103" i="20"/>
  <c r="L103" i="20"/>
  <c r="Q102" i="20"/>
  <c r="R102" i="20" s="1"/>
  <c r="P102" i="20"/>
  <c r="L102" i="20"/>
  <c r="Q101" i="20"/>
  <c r="R101" i="20" s="1"/>
  <c r="P101" i="20"/>
  <c r="L101" i="20"/>
  <c r="R100" i="20"/>
  <c r="Q100" i="20"/>
  <c r="P100" i="20"/>
  <c r="L100" i="20"/>
  <c r="R99" i="20"/>
  <c r="Q99" i="20"/>
  <c r="P99" i="20"/>
  <c r="L99" i="20"/>
  <c r="Q98" i="20"/>
  <c r="R98" i="20" s="1"/>
  <c r="P98" i="20"/>
  <c r="L98" i="20"/>
  <c r="Q97" i="20"/>
  <c r="R97" i="20" s="1"/>
  <c r="P97" i="20"/>
  <c r="L97" i="20"/>
  <c r="R96" i="20"/>
  <c r="Q96" i="20"/>
  <c r="P96" i="20"/>
  <c r="L96" i="20"/>
  <c r="Q95" i="20"/>
  <c r="R95" i="20" s="1"/>
  <c r="P95" i="20"/>
  <c r="L95" i="20"/>
  <c r="Q94" i="20"/>
  <c r="R94" i="20" s="1"/>
  <c r="P94" i="20"/>
  <c r="L94" i="20"/>
  <c r="R93" i="20"/>
  <c r="Q93" i="20"/>
  <c r="P93" i="20"/>
  <c r="L93" i="20"/>
  <c r="Q92" i="20"/>
  <c r="R92" i="20" s="1"/>
  <c r="P92" i="20"/>
  <c r="L92" i="20"/>
  <c r="Q91" i="20"/>
  <c r="R91" i="20" s="1"/>
  <c r="P91" i="20"/>
  <c r="L91" i="20"/>
  <c r="R90" i="20"/>
  <c r="Q90" i="20"/>
  <c r="P90" i="20"/>
  <c r="L90" i="20"/>
  <c r="Q89" i="20"/>
  <c r="R89" i="20" s="1"/>
  <c r="P89" i="20"/>
  <c r="L89" i="20"/>
  <c r="R88" i="20"/>
  <c r="Q88" i="20"/>
  <c r="P88" i="20"/>
  <c r="L88" i="20"/>
  <c r="Q87" i="20"/>
  <c r="R87" i="20" s="1"/>
  <c r="P87" i="20"/>
  <c r="L87" i="20"/>
  <c r="R86" i="20"/>
  <c r="Q86" i="20"/>
  <c r="P86" i="20"/>
  <c r="L86" i="20"/>
  <c r="R85" i="20"/>
  <c r="Q85" i="20"/>
  <c r="P85" i="20"/>
  <c r="L85" i="20"/>
  <c r="R84" i="20"/>
  <c r="Q84" i="20"/>
  <c r="P84" i="20"/>
  <c r="L84" i="20"/>
  <c r="Q83" i="20"/>
  <c r="R83" i="20" s="1"/>
  <c r="P83" i="20"/>
  <c r="L83" i="20"/>
  <c r="Q82" i="20"/>
  <c r="R82" i="20" s="1"/>
  <c r="P82" i="20"/>
  <c r="L82" i="20"/>
  <c r="Q81" i="20"/>
  <c r="R81" i="20" s="1"/>
  <c r="P81" i="20"/>
  <c r="L81" i="20"/>
  <c r="Q80" i="20"/>
  <c r="R80" i="20" s="1"/>
  <c r="P80" i="20"/>
  <c r="L80" i="20"/>
  <c r="Q79" i="20"/>
  <c r="R79" i="20" s="1"/>
  <c r="P79" i="20"/>
  <c r="L79" i="20"/>
  <c r="Q78" i="20"/>
  <c r="R78" i="20" s="1"/>
  <c r="P78" i="20"/>
  <c r="L78" i="20"/>
  <c r="Q77" i="20"/>
  <c r="R77" i="20" s="1"/>
  <c r="P77" i="20"/>
  <c r="L77" i="20"/>
  <c r="R76" i="20"/>
  <c r="Q76" i="20"/>
  <c r="P76" i="20"/>
  <c r="L76" i="20"/>
  <c r="Q75" i="20"/>
  <c r="R75" i="20" s="1"/>
  <c r="P75" i="20"/>
  <c r="L75" i="20"/>
  <c r="R74" i="20"/>
  <c r="Q74" i="20"/>
  <c r="P74" i="20"/>
  <c r="L74" i="20"/>
  <c r="R73" i="20"/>
  <c r="Q73" i="20"/>
  <c r="P73" i="20"/>
  <c r="L73" i="20"/>
  <c r="Q72" i="20"/>
  <c r="R72" i="20" s="1"/>
  <c r="P72" i="20"/>
  <c r="L72" i="20"/>
  <c r="Q71" i="20"/>
  <c r="R71" i="20" s="1"/>
  <c r="P71" i="20"/>
  <c r="L71" i="20"/>
  <c r="Q70" i="20"/>
  <c r="R70" i="20" s="1"/>
  <c r="P70" i="20"/>
  <c r="L70" i="20"/>
  <c r="R69" i="20"/>
  <c r="Q69" i="20"/>
  <c r="P69" i="20"/>
  <c r="L69" i="20"/>
  <c r="R68" i="20"/>
  <c r="Q68" i="20"/>
  <c r="P68" i="20"/>
  <c r="L68" i="20"/>
  <c r="Q67" i="20"/>
  <c r="R67" i="20" s="1"/>
  <c r="P67" i="20"/>
  <c r="L67" i="20"/>
  <c r="R66" i="20"/>
  <c r="Q66" i="20"/>
  <c r="P66" i="20"/>
  <c r="L66" i="20"/>
  <c r="Q65" i="20"/>
  <c r="R65" i="20" s="1"/>
  <c r="P65" i="20"/>
  <c r="L65" i="20"/>
  <c r="Q64" i="20"/>
  <c r="R64" i="20" s="1"/>
  <c r="P64" i="20"/>
  <c r="L64" i="20"/>
  <c r="Q63" i="20"/>
  <c r="R63" i="20" s="1"/>
  <c r="P63" i="20"/>
  <c r="L63" i="20"/>
  <c r="Q62" i="20"/>
  <c r="R62" i="20" s="1"/>
  <c r="P62" i="20"/>
  <c r="L62" i="20"/>
  <c r="Q61" i="20"/>
  <c r="R61" i="20" s="1"/>
  <c r="P61" i="20"/>
  <c r="L61" i="20"/>
  <c r="Q60" i="20"/>
  <c r="R60" i="20" s="1"/>
  <c r="P60" i="20"/>
  <c r="L60" i="20"/>
  <c r="Q59" i="20"/>
  <c r="R59" i="20" s="1"/>
  <c r="P59" i="20"/>
  <c r="L59" i="20"/>
  <c r="R58" i="20"/>
  <c r="Q58" i="20"/>
  <c r="P58" i="20"/>
  <c r="L58" i="20"/>
  <c r="R57" i="20"/>
  <c r="Q57" i="20"/>
  <c r="P57" i="20"/>
  <c r="L57" i="20"/>
  <c r="R56" i="20"/>
  <c r="Q56" i="20"/>
  <c r="P56" i="20"/>
  <c r="L56" i="20"/>
  <c r="Q55" i="20"/>
  <c r="R55" i="20" s="1"/>
  <c r="P55" i="20"/>
  <c r="L55" i="20"/>
  <c r="R54" i="20"/>
  <c r="Q54" i="20"/>
  <c r="P54" i="20"/>
  <c r="L54" i="20"/>
  <c r="Q53" i="20"/>
  <c r="R53" i="20" s="1"/>
  <c r="P53" i="20"/>
  <c r="L53" i="20"/>
  <c r="R52" i="20"/>
  <c r="Q52" i="20"/>
  <c r="P52" i="20"/>
  <c r="L52" i="20"/>
  <c r="Q51" i="20"/>
  <c r="R51" i="20" s="1"/>
  <c r="P51" i="20"/>
  <c r="L51" i="20"/>
  <c r="Q50" i="20"/>
  <c r="R50" i="20" s="1"/>
  <c r="P50" i="20"/>
  <c r="L50" i="20"/>
  <c r="R49" i="20"/>
  <c r="Q49" i="20"/>
  <c r="P49" i="20"/>
  <c r="L49" i="20"/>
  <c r="Q48" i="20"/>
  <c r="R48" i="20" s="1"/>
  <c r="P48" i="20"/>
  <c r="L48" i="20"/>
  <c r="Q47" i="20"/>
  <c r="R47" i="20" s="1"/>
  <c r="P47" i="20"/>
  <c r="L47" i="20"/>
  <c r="R46" i="20"/>
  <c r="Q46" i="20"/>
  <c r="P46" i="20"/>
  <c r="L46" i="20"/>
  <c r="Q45" i="20"/>
  <c r="R45" i="20" s="1"/>
  <c r="P45" i="20"/>
  <c r="L45" i="20"/>
  <c r="Q44" i="20"/>
  <c r="R44" i="20" s="1"/>
  <c r="P44" i="20"/>
  <c r="L44" i="20"/>
  <c r="Q43" i="20"/>
  <c r="R43" i="20" s="1"/>
  <c r="P43" i="20"/>
  <c r="L43" i="20"/>
  <c r="Q42" i="20"/>
  <c r="R42" i="20" s="1"/>
  <c r="P42" i="20"/>
  <c r="L42" i="20"/>
  <c r="R41" i="20"/>
  <c r="Q41" i="20"/>
  <c r="P41" i="20"/>
  <c r="L41" i="20"/>
  <c r="R40" i="20"/>
  <c r="Q40" i="20"/>
  <c r="P40" i="20"/>
  <c r="L40" i="20"/>
  <c r="Q39" i="20"/>
  <c r="R39" i="20" s="1"/>
  <c r="P39" i="20"/>
  <c r="L39" i="20"/>
  <c r="R38" i="20"/>
  <c r="Q38" i="20"/>
  <c r="P38" i="20"/>
  <c r="L38" i="20"/>
  <c r="R37" i="20"/>
  <c r="Q37" i="20"/>
  <c r="P37" i="20"/>
  <c r="L37" i="20"/>
  <c r="Q36" i="20"/>
  <c r="R36" i="20" s="1"/>
  <c r="P36" i="20"/>
  <c r="L36" i="20"/>
  <c r="Q35" i="20"/>
  <c r="R35" i="20" s="1"/>
  <c r="P35" i="20"/>
  <c r="L35" i="20"/>
  <c r="Q34" i="20"/>
  <c r="R34" i="20" s="1"/>
  <c r="P34" i="20"/>
  <c r="L34" i="20"/>
  <c r="Q33" i="20"/>
  <c r="R33" i="20" s="1"/>
  <c r="P33" i="20"/>
  <c r="L33" i="20"/>
  <c r="R32" i="20"/>
  <c r="Q32" i="20"/>
  <c r="P32" i="20"/>
  <c r="L32" i="20"/>
  <c r="Q31" i="20"/>
  <c r="R31" i="20" s="1"/>
  <c r="P31" i="20"/>
  <c r="L31" i="20"/>
  <c r="Q30" i="20"/>
  <c r="R30" i="20" s="1"/>
  <c r="P30" i="20"/>
  <c r="L30" i="20"/>
  <c r="R29" i="20"/>
  <c r="Q29" i="20"/>
  <c r="P29" i="20"/>
  <c r="L29" i="20"/>
  <c r="Q28" i="20"/>
  <c r="R28" i="20" s="1"/>
  <c r="P28" i="20"/>
  <c r="L28" i="20"/>
  <c r="Q27" i="20"/>
  <c r="R27" i="20" s="1"/>
  <c r="P27" i="20"/>
  <c r="L27" i="20"/>
  <c r="R26" i="20"/>
  <c r="Q26" i="20"/>
  <c r="P26" i="20"/>
  <c r="L26" i="20"/>
  <c r="Q25" i="20"/>
  <c r="R25" i="20" s="1"/>
  <c r="P25" i="20"/>
  <c r="L25" i="20"/>
  <c r="R24" i="20"/>
  <c r="Q24" i="20"/>
  <c r="P24" i="20"/>
  <c r="L24" i="20"/>
  <c r="Q23" i="20"/>
  <c r="R23" i="20" s="1"/>
  <c r="P23" i="20"/>
  <c r="L23" i="20"/>
  <c r="R22" i="20"/>
  <c r="Q22" i="20"/>
  <c r="P22" i="20"/>
  <c r="L22" i="20"/>
  <c r="R21" i="20"/>
  <c r="Q21" i="20"/>
  <c r="P21" i="20"/>
  <c r="L21" i="20"/>
  <c r="R20" i="20"/>
  <c r="Q20" i="20"/>
  <c r="P20" i="20"/>
  <c r="L20" i="20"/>
  <c r="Q19" i="20"/>
  <c r="R19" i="20" s="1"/>
  <c r="P19" i="20"/>
  <c r="L19" i="20"/>
  <c r="Q18" i="20"/>
  <c r="R18" i="20" s="1"/>
  <c r="P18" i="20"/>
  <c r="L18" i="20"/>
  <c r="Q17" i="20"/>
  <c r="R17" i="20" s="1"/>
  <c r="P17" i="20"/>
  <c r="L17" i="20"/>
  <c r="Q16" i="20"/>
  <c r="R16" i="20" s="1"/>
  <c r="P16" i="20"/>
  <c r="L16" i="20"/>
  <c r="Q15" i="20"/>
  <c r="R15" i="20" s="1"/>
  <c r="P15" i="20"/>
  <c r="L15" i="20"/>
  <c r="Q14" i="20"/>
  <c r="R14" i="20" s="1"/>
  <c r="P14" i="20"/>
  <c r="L14" i="20"/>
  <c r="Q13" i="20"/>
  <c r="R13" i="20" s="1"/>
  <c r="P13" i="20"/>
  <c r="L13" i="20"/>
  <c r="R12" i="20"/>
  <c r="Q12" i="20"/>
  <c r="P12" i="20"/>
  <c r="L12" i="20"/>
  <c r="Q11" i="20"/>
  <c r="R11" i="20" s="1"/>
  <c r="P11" i="20"/>
  <c r="L11" i="20"/>
  <c r="R10" i="20"/>
  <c r="Q10" i="20"/>
  <c r="P10" i="20"/>
  <c r="L10" i="20"/>
  <c r="R9" i="20"/>
  <c r="Q9" i="20"/>
  <c r="P9" i="20"/>
  <c r="L9" i="20"/>
  <c r="Q8" i="20"/>
  <c r="R8" i="20" s="1"/>
  <c r="P8" i="20"/>
  <c r="L8" i="20"/>
  <c r="Q7" i="20"/>
  <c r="R7" i="20" s="1"/>
  <c r="P7" i="20"/>
  <c r="L7" i="20"/>
  <c r="Q6" i="20"/>
  <c r="R6" i="20" s="1"/>
  <c r="P6" i="20"/>
  <c r="L6" i="20"/>
  <c r="R5" i="20"/>
  <c r="Q5" i="20"/>
  <c r="P5" i="20"/>
  <c r="L5" i="20"/>
  <c r="R4" i="20"/>
  <c r="Q4" i="20"/>
  <c r="P4" i="20"/>
  <c r="L4" i="20"/>
  <c r="Q3" i="20"/>
  <c r="R3" i="20" s="1"/>
  <c r="P3" i="20"/>
  <c r="L3" i="20"/>
  <c r="R2" i="20"/>
  <c r="Q2" i="20"/>
  <c r="P2" i="20"/>
  <c r="L2" i="20"/>
  <c r="Q2" i="19"/>
  <c r="R2" i="19" s="1"/>
  <c r="P2" i="19"/>
  <c r="L2" i="19"/>
  <c r="Q7" i="18"/>
  <c r="R7" i="18" s="1"/>
  <c r="P7" i="18"/>
  <c r="L7" i="18"/>
  <c r="Q6" i="18"/>
  <c r="R6" i="18" s="1"/>
  <c r="P6" i="18"/>
  <c r="L6" i="18"/>
  <c r="Q5" i="18"/>
  <c r="R5" i="18" s="1"/>
  <c r="P5" i="18"/>
  <c r="L5" i="18"/>
  <c r="Q4" i="18"/>
  <c r="R4" i="18" s="1"/>
  <c r="P4" i="18"/>
  <c r="L4" i="18"/>
  <c r="Q3" i="18"/>
  <c r="R3" i="18" s="1"/>
  <c r="P3" i="18"/>
  <c r="L3" i="18"/>
  <c r="Q2" i="18"/>
  <c r="R2" i="18" s="1"/>
  <c r="P2" i="18"/>
  <c r="L2" i="18"/>
  <c r="R3" i="17"/>
  <c r="Q3" i="17"/>
  <c r="P3" i="17"/>
  <c r="L3" i="17"/>
  <c r="R2" i="17"/>
  <c r="Q2" i="17"/>
  <c r="P2" i="17"/>
  <c r="L2" i="17"/>
  <c r="R729" i="16"/>
  <c r="Q729" i="16"/>
  <c r="P729" i="16"/>
  <c r="L729" i="16"/>
  <c r="Q728" i="16"/>
  <c r="R728" i="16" s="1"/>
  <c r="P728" i="16"/>
  <c r="L728" i="16"/>
  <c r="R727" i="16"/>
  <c r="Q727" i="16"/>
  <c r="P727" i="16"/>
  <c r="L727" i="16"/>
  <c r="Q726" i="16"/>
  <c r="R726" i="16" s="1"/>
  <c r="P726" i="16"/>
  <c r="L726" i="16"/>
  <c r="R725" i="16"/>
  <c r="Q725" i="16"/>
  <c r="P725" i="16"/>
  <c r="L725" i="16"/>
  <c r="Q724" i="16"/>
  <c r="R724" i="16" s="1"/>
  <c r="P724" i="16"/>
  <c r="L724" i="16"/>
  <c r="Q723" i="16"/>
  <c r="R723" i="16" s="1"/>
  <c r="P723" i="16"/>
  <c r="L723" i="16"/>
  <c r="R722" i="16"/>
  <c r="Q722" i="16"/>
  <c r="P722" i="16"/>
  <c r="L722" i="16"/>
  <c r="Q721" i="16"/>
  <c r="R721" i="16" s="1"/>
  <c r="P721" i="16"/>
  <c r="L721" i="16"/>
  <c r="Q720" i="16"/>
  <c r="R720" i="16" s="1"/>
  <c r="P720" i="16"/>
  <c r="L720" i="16"/>
  <c r="R719" i="16"/>
  <c r="Q719" i="16"/>
  <c r="P719" i="16"/>
  <c r="L719" i="16"/>
  <c r="Q718" i="16"/>
  <c r="R718" i="16" s="1"/>
  <c r="P718" i="16"/>
  <c r="L718" i="16"/>
  <c r="Q717" i="16"/>
  <c r="R717" i="16" s="1"/>
  <c r="P717" i="16"/>
  <c r="L717" i="16"/>
  <c r="Q716" i="16"/>
  <c r="R716" i="16" s="1"/>
  <c r="P716" i="16"/>
  <c r="L716" i="16"/>
  <c r="Q715" i="16"/>
  <c r="R715" i="16" s="1"/>
  <c r="P715" i="16"/>
  <c r="L715" i="16"/>
  <c r="R714" i="16"/>
  <c r="Q714" i="16"/>
  <c r="P714" i="16"/>
  <c r="L714" i="16"/>
  <c r="R713" i="16"/>
  <c r="Q713" i="16"/>
  <c r="P713" i="16"/>
  <c r="L713" i="16"/>
  <c r="Q712" i="16"/>
  <c r="R712" i="16" s="1"/>
  <c r="P712" i="16"/>
  <c r="L712" i="16"/>
  <c r="R711" i="16"/>
  <c r="Q711" i="16"/>
  <c r="P711" i="16"/>
  <c r="L711" i="16"/>
  <c r="R710" i="16"/>
  <c r="Q710" i="16"/>
  <c r="P710" i="16"/>
  <c r="L710" i="16"/>
  <c r="Q709" i="16"/>
  <c r="R709" i="16" s="1"/>
  <c r="P709" i="16"/>
  <c r="L709" i="16"/>
  <c r="Q708" i="16"/>
  <c r="R708" i="16" s="1"/>
  <c r="P708" i="16"/>
  <c r="L708" i="16"/>
  <c r="Q707" i="16"/>
  <c r="R707" i="16" s="1"/>
  <c r="P707" i="16"/>
  <c r="L707" i="16"/>
  <c r="Q706" i="16"/>
  <c r="R706" i="16" s="1"/>
  <c r="P706" i="16"/>
  <c r="L706" i="16"/>
  <c r="R705" i="16"/>
  <c r="Q705" i="16"/>
  <c r="P705" i="16"/>
  <c r="L705" i="16"/>
  <c r="Q704" i="16"/>
  <c r="R704" i="16" s="1"/>
  <c r="P704" i="16"/>
  <c r="L704" i="16"/>
  <c r="Q703" i="16"/>
  <c r="R703" i="16" s="1"/>
  <c r="P703" i="16"/>
  <c r="L703" i="16"/>
  <c r="R702" i="16"/>
  <c r="Q702" i="16"/>
  <c r="P702" i="16"/>
  <c r="L702" i="16"/>
  <c r="Q701" i="16"/>
  <c r="R701" i="16" s="1"/>
  <c r="P701" i="16"/>
  <c r="L701" i="16"/>
  <c r="Q700" i="16"/>
  <c r="R700" i="16" s="1"/>
  <c r="P700" i="16"/>
  <c r="L700" i="16"/>
  <c r="R699" i="16"/>
  <c r="Q699" i="16"/>
  <c r="P699" i="16"/>
  <c r="L699" i="16"/>
  <c r="Q698" i="16"/>
  <c r="R698" i="16" s="1"/>
  <c r="P698" i="16"/>
  <c r="L698" i="16"/>
  <c r="R697" i="16"/>
  <c r="Q697" i="16"/>
  <c r="P697" i="16"/>
  <c r="L697" i="16"/>
  <c r="Q696" i="16"/>
  <c r="R696" i="16" s="1"/>
  <c r="P696" i="16"/>
  <c r="L696" i="16"/>
  <c r="R695" i="16"/>
  <c r="Q695" i="16"/>
  <c r="P695" i="16"/>
  <c r="L695" i="16"/>
  <c r="R694" i="16"/>
  <c r="Q694" i="16"/>
  <c r="P694" i="16"/>
  <c r="L694" i="16"/>
  <c r="R693" i="16"/>
  <c r="Q693" i="16"/>
  <c r="P693" i="16"/>
  <c r="L693" i="16"/>
  <c r="Q692" i="16"/>
  <c r="R692" i="16" s="1"/>
  <c r="P692" i="16"/>
  <c r="L692" i="16"/>
  <c r="Q691" i="16"/>
  <c r="R691" i="16" s="1"/>
  <c r="P691" i="16"/>
  <c r="L691" i="16"/>
  <c r="Q690" i="16"/>
  <c r="R690" i="16" s="1"/>
  <c r="P690" i="16"/>
  <c r="L690" i="16"/>
  <c r="Q689" i="16"/>
  <c r="R689" i="16" s="1"/>
  <c r="P689" i="16"/>
  <c r="L689" i="16"/>
  <c r="Q688" i="16"/>
  <c r="R688" i="16" s="1"/>
  <c r="P688" i="16"/>
  <c r="L688" i="16"/>
  <c r="Q687" i="16"/>
  <c r="R687" i="16" s="1"/>
  <c r="P687" i="16"/>
  <c r="L687" i="16"/>
  <c r="Q686" i="16"/>
  <c r="R686" i="16" s="1"/>
  <c r="P686" i="16"/>
  <c r="L686" i="16"/>
  <c r="R685" i="16"/>
  <c r="Q685" i="16"/>
  <c r="P685" i="16"/>
  <c r="L685" i="16"/>
  <c r="Q684" i="16"/>
  <c r="R684" i="16" s="1"/>
  <c r="P684" i="16"/>
  <c r="L684" i="16"/>
  <c r="R683" i="16"/>
  <c r="Q683" i="16"/>
  <c r="P683" i="16"/>
  <c r="L683" i="16"/>
  <c r="R682" i="16"/>
  <c r="Q682" i="16"/>
  <c r="P682" i="16"/>
  <c r="L682" i="16"/>
  <c r="Q681" i="16"/>
  <c r="R681" i="16" s="1"/>
  <c r="P681" i="16"/>
  <c r="L681" i="16"/>
  <c r="Q680" i="16"/>
  <c r="R680" i="16" s="1"/>
  <c r="P680" i="16"/>
  <c r="L680" i="16"/>
  <c r="Q679" i="16"/>
  <c r="R679" i="16" s="1"/>
  <c r="P679" i="16"/>
  <c r="L679" i="16"/>
  <c r="R678" i="16"/>
  <c r="Q678" i="16"/>
  <c r="P678" i="16"/>
  <c r="L678" i="16"/>
  <c r="R677" i="16"/>
  <c r="Q677" i="16"/>
  <c r="P677" i="16"/>
  <c r="L677" i="16"/>
  <c r="Q676" i="16"/>
  <c r="R676" i="16" s="1"/>
  <c r="P676" i="16"/>
  <c r="L676" i="16"/>
  <c r="R675" i="16"/>
  <c r="Q675" i="16"/>
  <c r="P675" i="16"/>
  <c r="L675" i="16"/>
  <c r="Q674" i="16"/>
  <c r="R674" i="16" s="1"/>
  <c r="P674" i="16"/>
  <c r="L674" i="16"/>
  <c r="Q673" i="16"/>
  <c r="R673" i="16" s="1"/>
  <c r="P673" i="16"/>
  <c r="L673" i="16"/>
  <c r="Q672" i="16"/>
  <c r="R672" i="16" s="1"/>
  <c r="P672" i="16"/>
  <c r="L672" i="16"/>
  <c r="Q671" i="16"/>
  <c r="R671" i="16" s="1"/>
  <c r="P671" i="16"/>
  <c r="L671" i="16"/>
  <c r="Q670" i="16"/>
  <c r="R670" i="16" s="1"/>
  <c r="P670" i="16"/>
  <c r="L670" i="16"/>
  <c r="Q669" i="16"/>
  <c r="R669" i="16" s="1"/>
  <c r="P669" i="16"/>
  <c r="L669" i="16"/>
  <c r="Q668" i="16"/>
  <c r="R668" i="16" s="1"/>
  <c r="P668" i="16"/>
  <c r="L668" i="16"/>
  <c r="R667" i="16"/>
  <c r="Q667" i="16"/>
  <c r="P667" i="16"/>
  <c r="L667" i="16"/>
  <c r="R666" i="16"/>
  <c r="Q666" i="16"/>
  <c r="P666" i="16"/>
  <c r="L666" i="16"/>
  <c r="R665" i="16"/>
  <c r="Q665" i="16"/>
  <c r="P665" i="16"/>
  <c r="L665" i="16"/>
  <c r="Q664" i="16"/>
  <c r="R664" i="16" s="1"/>
  <c r="P664" i="16"/>
  <c r="L664" i="16"/>
  <c r="R663" i="16"/>
  <c r="Q663" i="16"/>
  <c r="P663" i="16"/>
  <c r="L663" i="16"/>
  <c r="Q662" i="16"/>
  <c r="R662" i="16" s="1"/>
  <c r="P662" i="16"/>
  <c r="L662" i="16"/>
  <c r="R661" i="16"/>
  <c r="Q661" i="16"/>
  <c r="P661" i="16"/>
  <c r="L661" i="16"/>
  <c r="Q660" i="16"/>
  <c r="R660" i="16" s="1"/>
  <c r="P660" i="16"/>
  <c r="L660" i="16"/>
  <c r="Q659" i="16"/>
  <c r="R659" i="16" s="1"/>
  <c r="P659" i="16"/>
  <c r="L659" i="16"/>
  <c r="R658" i="16"/>
  <c r="Q658" i="16"/>
  <c r="P658" i="16"/>
  <c r="L658" i="16"/>
  <c r="Q657" i="16"/>
  <c r="R657" i="16" s="1"/>
  <c r="P657" i="16"/>
  <c r="L657" i="16"/>
  <c r="Q656" i="16"/>
  <c r="R656" i="16" s="1"/>
  <c r="P656" i="16"/>
  <c r="L656" i="16"/>
  <c r="R655" i="16"/>
  <c r="Q655" i="16"/>
  <c r="P655" i="16"/>
  <c r="L655" i="16"/>
  <c r="Q654" i="16"/>
  <c r="R654" i="16" s="1"/>
  <c r="P654" i="16"/>
  <c r="L654" i="16"/>
  <c r="Q653" i="16"/>
  <c r="R653" i="16" s="1"/>
  <c r="P653" i="16"/>
  <c r="L653" i="16"/>
  <c r="Q652" i="16"/>
  <c r="R652" i="16" s="1"/>
  <c r="P652" i="16"/>
  <c r="L652" i="16"/>
  <c r="Q651" i="16"/>
  <c r="R651" i="16" s="1"/>
  <c r="P651" i="16"/>
  <c r="L651" i="16"/>
  <c r="R650" i="16"/>
  <c r="Q650" i="16"/>
  <c r="P650" i="16"/>
  <c r="L650" i="16"/>
  <c r="R649" i="16"/>
  <c r="Q649" i="16"/>
  <c r="P649" i="16"/>
  <c r="L649" i="16"/>
  <c r="Q648" i="16"/>
  <c r="R648" i="16" s="1"/>
  <c r="P648" i="16"/>
  <c r="L648" i="16"/>
  <c r="R647" i="16"/>
  <c r="Q647" i="16"/>
  <c r="P647" i="16"/>
  <c r="L647" i="16"/>
  <c r="R646" i="16"/>
  <c r="Q646" i="16"/>
  <c r="P646" i="16"/>
  <c r="L646" i="16"/>
  <c r="Q645" i="16"/>
  <c r="R645" i="16" s="1"/>
  <c r="P645" i="16"/>
  <c r="L645" i="16"/>
  <c r="Q644" i="16"/>
  <c r="R644" i="16" s="1"/>
  <c r="P644" i="16"/>
  <c r="L644" i="16"/>
  <c r="Q643" i="16"/>
  <c r="R643" i="16" s="1"/>
  <c r="P643" i="16"/>
  <c r="L643" i="16"/>
  <c r="Q642" i="16"/>
  <c r="R642" i="16" s="1"/>
  <c r="P642" i="16"/>
  <c r="L642" i="16"/>
  <c r="R641" i="16"/>
  <c r="Q641" i="16"/>
  <c r="P641" i="16"/>
  <c r="L641" i="16"/>
  <c r="Q640" i="16"/>
  <c r="R640" i="16" s="1"/>
  <c r="P640" i="16"/>
  <c r="L640" i="16"/>
  <c r="Q639" i="16"/>
  <c r="R639" i="16" s="1"/>
  <c r="P639" i="16"/>
  <c r="L639" i="16"/>
  <c r="R638" i="16"/>
  <c r="Q638" i="16"/>
  <c r="P638" i="16"/>
  <c r="L638" i="16"/>
  <c r="Q637" i="16"/>
  <c r="R637" i="16" s="1"/>
  <c r="P637" i="16"/>
  <c r="L637" i="16"/>
  <c r="Q636" i="16"/>
  <c r="R636" i="16" s="1"/>
  <c r="P636" i="16"/>
  <c r="L636" i="16"/>
  <c r="R635" i="16"/>
  <c r="Q635" i="16"/>
  <c r="P635" i="16"/>
  <c r="L635" i="16"/>
  <c r="Q634" i="16"/>
  <c r="R634" i="16" s="1"/>
  <c r="P634" i="16"/>
  <c r="L634" i="16"/>
  <c r="R633" i="16"/>
  <c r="Q633" i="16"/>
  <c r="P633" i="16"/>
  <c r="L633" i="16"/>
  <c r="Q632" i="16"/>
  <c r="R632" i="16" s="1"/>
  <c r="P632" i="16"/>
  <c r="L632" i="16"/>
  <c r="R631" i="16"/>
  <c r="Q631" i="16"/>
  <c r="P631" i="16"/>
  <c r="L631" i="16"/>
  <c r="R630" i="16"/>
  <c r="Q630" i="16"/>
  <c r="P630" i="16"/>
  <c r="L630" i="16"/>
  <c r="R629" i="16"/>
  <c r="Q629" i="16"/>
  <c r="P629" i="16"/>
  <c r="L629" i="16"/>
  <c r="Q628" i="16"/>
  <c r="R628" i="16" s="1"/>
  <c r="P628" i="16"/>
  <c r="L628" i="16"/>
  <c r="Q627" i="16"/>
  <c r="R627" i="16" s="1"/>
  <c r="P627" i="16"/>
  <c r="L627" i="16"/>
  <c r="Q626" i="16"/>
  <c r="R626" i="16" s="1"/>
  <c r="P626" i="16"/>
  <c r="L626" i="16"/>
  <c r="Q625" i="16"/>
  <c r="R625" i="16" s="1"/>
  <c r="P625" i="16"/>
  <c r="L625" i="16"/>
  <c r="Q624" i="16"/>
  <c r="R624" i="16" s="1"/>
  <c r="P624" i="16"/>
  <c r="L624" i="16"/>
  <c r="Q623" i="16"/>
  <c r="R623" i="16" s="1"/>
  <c r="P623" i="16"/>
  <c r="L623" i="16"/>
  <c r="Q622" i="16"/>
  <c r="R622" i="16" s="1"/>
  <c r="P622" i="16"/>
  <c r="L622" i="16"/>
  <c r="R621" i="16"/>
  <c r="Q621" i="16"/>
  <c r="P621" i="16"/>
  <c r="L621" i="16"/>
  <c r="Q620" i="16"/>
  <c r="R620" i="16" s="1"/>
  <c r="P620" i="16"/>
  <c r="L620" i="16"/>
  <c r="R619" i="16"/>
  <c r="Q619" i="16"/>
  <c r="P619" i="16"/>
  <c r="L619" i="16"/>
  <c r="R618" i="16"/>
  <c r="Q618" i="16"/>
  <c r="P618" i="16"/>
  <c r="L618" i="16"/>
  <c r="Q617" i="16"/>
  <c r="R617" i="16" s="1"/>
  <c r="P617" i="16"/>
  <c r="L617" i="16"/>
  <c r="Q616" i="16"/>
  <c r="R616" i="16" s="1"/>
  <c r="P616" i="16"/>
  <c r="L616" i="16"/>
  <c r="Q615" i="16"/>
  <c r="R615" i="16" s="1"/>
  <c r="P615" i="16"/>
  <c r="L615" i="16"/>
  <c r="R614" i="16"/>
  <c r="Q614" i="16"/>
  <c r="P614" i="16"/>
  <c r="L614" i="16"/>
  <c r="R613" i="16"/>
  <c r="Q613" i="16"/>
  <c r="P613" i="16"/>
  <c r="L613" i="16"/>
  <c r="Q612" i="16"/>
  <c r="R612" i="16" s="1"/>
  <c r="P612" i="16"/>
  <c r="L612" i="16"/>
  <c r="R611" i="16"/>
  <c r="Q611" i="16"/>
  <c r="P611" i="16"/>
  <c r="L611" i="16"/>
  <c r="Q610" i="16"/>
  <c r="R610" i="16" s="1"/>
  <c r="P610" i="16"/>
  <c r="L610" i="16"/>
  <c r="Q609" i="16"/>
  <c r="R609" i="16" s="1"/>
  <c r="P609" i="16"/>
  <c r="L609" i="16"/>
  <c r="Q608" i="16"/>
  <c r="R608" i="16" s="1"/>
  <c r="P608" i="16"/>
  <c r="L608" i="16"/>
  <c r="Q607" i="16"/>
  <c r="R607" i="16" s="1"/>
  <c r="P607" i="16"/>
  <c r="L607" i="16"/>
  <c r="Q606" i="16"/>
  <c r="R606" i="16" s="1"/>
  <c r="P606" i="16"/>
  <c r="L606" i="16"/>
  <c r="Q605" i="16"/>
  <c r="R605" i="16" s="1"/>
  <c r="P605" i="16"/>
  <c r="L605" i="16"/>
  <c r="Q604" i="16"/>
  <c r="R604" i="16" s="1"/>
  <c r="P604" i="16"/>
  <c r="L604" i="16"/>
  <c r="R603" i="16"/>
  <c r="Q603" i="16"/>
  <c r="P603" i="16"/>
  <c r="L603" i="16"/>
  <c r="R602" i="16"/>
  <c r="Q602" i="16"/>
  <c r="P602" i="16"/>
  <c r="L602" i="16"/>
  <c r="R601" i="16"/>
  <c r="Q601" i="16"/>
  <c r="P601" i="16"/>
  <c r="L601" i="16"/>
  <c r="Q600" i="16"/>
  <c r="R600" i="16" s="1"/>
  <c r="P600" i="16"/>
  <c r="L600" i="16"/>
  <c r="R599" i="16"/>
  <c r="Q599" i="16"/>
  <c r="P599" i="16"/>
  <c r="L599" i="16"/>
  <c r="Q598" i="16"/>
  <c r="R598" i="16" s="1"/>
  <c r="P598" i="16"/>
  <c r="L598" i="16"/>
  <c r="R597" i="16"/>
  <c r="Q597" i="16"/>
  <c r="P597" i="16"/>
  <c r="L597" i="16"/>
  <c r="Q596" i="16"/>
  <c r="R596" i="16" s="1"/>
  <c r="P596" i="16"/>
  <c r="L596" i="16"/>
  <c r="Q595" i="16"/>
  <c r="R595" i="16" s="1"/>
  <c r="P595" i="16"/>
  <c r="L595" i="16"/>
  <c r="R594" i="16"/>
  <c r="Q594" i="16"/>
  <c r="P594" i="16"/>
  <c r="L594" i="16"/>
  <c r="Q593" i="16"/>
  <c r="R593" i="16" s="1"/>
  <c r="P593" i="16"/>
  <c r="L593" i="16"/>
  <c r="Q592" i="16"/>
  <c r="R592" i="16" s="1"/>
  <c r="P592" i="16"/>
  <c r="L592" i="16"/>
  <c r="R591" i="16"/>
  <c r="Q591" i="16"/>
  <c r="P591" i="16"/>
  <c r="L591" i="16"/>
  <c r="Q590" i="16"/>
  <c r="R590" i="16" s="1"/>
  <c r="P590" i="16"/>
  <c r="L590" i="16"/>
  <c r="Q589" i="16"/>
  <c r="R589" i="16" s="1"/>
  <c r="P589" i="16"/>
  <c r="L589" i="16"/>
  <c r="Q588" i="16"/>
  <c r="R588" i="16" s="1"/>
  <c r="P588" i="16"/>
  <c r="L588" i="16"/>
  <c r="Q587" i="16"/>
  <c r="R587" i="16" s="1"/>
  <c r="P587" i="16"/>
  <c r="L587" i="16"/>
  <c r="R586" i="16"/>
  <c r="Q586" i="16"/>
  <c r="P586" i="16"/>
  <c r="L586" i="16"/>
  <c r="R585" i="16"/>
  <c r="Q585" i="16"/>
  <c r="P585" i="16"/>
  <c r="L585" i="16"/>
  <c r="Q584" i="16"/>
  <c r="R584" i="16" s="1"/>
  <c r="P584" i="16"/>
  <c r="L584" i="16"/>
  <c r="R583" i="16"/>
  <c r="Q583" i="16"/>
  <c r="P583" i="16"/>
  <c r="L583" i="16"/>
  <c r="R582" i="16"/>
  <c r="Q582" i="16"/>
  <c r="P582" i="16"/>
  <c r="L582" i="16"/>
  <c r="Q581" i="16"/>
  <c r="R581" i="16" s="1"/>
  <c r="P581" i="16"/>
  <c r="L581" i="16"/>
  <c r="Q580" i="16"/>
  <c r="R580" i="16" s="1"/>
  <c r="P580" i="16"/>
  <c r="L580" i="16"/>
  <c r="Q579" i="16"/>
  <c r="R579" i="16" s="1"/>
  <c r="P579" i="16"/>
  <c r="L579" i="16"/>
  <c r="Q578" i="16"/>
  <c r="R578" i="16" s="1"/>
  <c r="P578" i="16"/>
  <c r="L578" i="16"/>
  <c r="R577" i="16"/>
  <c r="Q577" i="16"/>
  <c r="P577" i="16"/>
  <c r="L577" i="16"/>
  <c r="Q576" i="16"/>
  <c r="R576" i="16" s="1"/>
  <c r="P576" i="16"/>
  <c r="L576" i="16"/>
  <c r="R575" i="16"/>
  <c r="Q575" i="16"/>
  <c r="P575" i="16"/>
  <c r="L575" i="16"/>
  <c r="R574" i="16"/>
  <c r="Q574" i="16"/>
  <c r="P574" i="16"/>
  <c r="L574" i="16"/>
  <c r="Q573" i="16"/>
  <c r="R573" i="16" s="1"/>
  <c r="P573" i="16"/>
  <c r="L573" i="16"/>
  <c r="Q572" i="16"/>
  <c r="R572" i="16" s="1"/>
  <c r="P572" i="16"/>
  <c r="L572" i="16"/>
  <c r="R571" i="16"/>
  <c r="Q571" i="16"/>
  <c r="P571" i="16"/>
  <c r="L571" i="16"/>
  <c r="Q570" i="16"/>
  <c r="R570" i="16" s="1"/>
  <c r="P570" i="16"/>
  <c r="L570" i="16"/>
  <c r="R569" i="16"/>
  <c r="Q569" i="16"/>
  <c r="P569" i="16"/>
  <c r="L569" i="16"/>
  <c r="Q568" i="16"/>
  <c r="R568" i="16" s="1"/>
  <c r="P568" i="16"/>
  <c r="L568" i="16"/>
  <c r="R567" i="16"/>
  <c r="Q567" i="16"/>
  <c r="P567" i="16"/>
  <c r="L567" i="16"/>
  <c r="R566" i="16"/>
  <c r="Q566" i="16"/>
  <c r="P566" i="16"/>
  <c r="L566" i="16"/>
  <c r="R565" i="16"/>
  <c r="Q565" i="16"/>
  <c r="P565" i="16"/>
  <c r="L565" i="16"/>
  <c r="Q564" i="16"/>
  <c r="R564" i="16" s="1"/>
  <c r="P564" i="16"/>
  <c r="L564" i="16"/>
  <c r="Q563" i="16"/>
  <c r="R563" i="16" s="1"/>
  <c r="P563" i="16"/>
  <c r="L563" i="16"/>
  <c r="Q562" i="16"/>
  <c r="R562" i="16" s="1"/>
  <c r="P562" i="16"/>
  <c r="L562" i="16"/>
  <c r="Q561" i="16"/>
  <c r="R561" i="16" s="1"/>
  <c r="P561" i="16"/>
  <c r="L561" i="16"/>
  <c r="Q560" i="16"/>
  <c r="R560" i="16" s="1"/>
  <c r="P560" i="16"/>
  <c r="L560" i="16"/>
  <c r="Q559" i="16"/>
  <c r="R559" i="16" s="1"/>
  <c r="P559" i="16"/>
  <c r="L559" i="16"/>
  <c r="R558" i="16"/>
  <c r="Q558" i="16"/>
  <c r="P558" i="16"/>
  <c r="L558" i="16"/>
  <c r="R557" i="16"/>
  <c r="Q557" i="16"/>
  <c r="P557" i="16"/>
  <c r="L557" i="16"/>
  <c r="Q556" i="16"/>
  <c r="R556" i="16" s="1"/>
  <c r="P556" i="16"/>
  <c r="L556" i="16"/>
  <c r="R555" i="16"/>
  <c r="Q555" i="16"/>
  <c r="P555" i="16"/>
  <c r="L555" i="16"/>
  <c r="R554" i="16"/>
  <c r="Q554" i="16"/>
  <c r="P554" i="16"/>
  <c r="L554" i="16"/>
  <c r="Q553" i="16"/>
  <c r="R553" i="16" s="1"/>
  <c r="P553" i="16"/>
  <c r="L553" i="16"/>
  <c r="Q552" i="16"/>
  <c r="R552" i="16" s="1"/>
  <c r="P552" i="16"/>
  <c r="L552" i="16"/>
  <c r="Q551" i="16"/>
  <c r="R551" i="16" s="1"/>
  <c r="P551" i="16"/>
  <c r="L551" i="16"/>
  <c r="R550" i="16"/>
  <c r="Q550" i="16"/>
  <c r="P550" i="16"/>
  <c r="L550" i="16"/>
  <c r="R549" i="16"/>
  <c r="Q549" i="16"/>
  <c r="P549" i="16"/>
  <c r="L549" i="16"/>
  <c r="Q548" i="16"/>
  <c r="R548" i="16" s="1"/>
  <c r="P548" i="16"/>
  <c r="L548" i="16"/>
  <c r="R547" i="16"/>
  <c r="Q547" i="16"/>
  <c r="P547" i="16"/>
  <c r="L547" i="16"/>
  <c r="Q546" i="16"/>
  <c r="R546" i="16" s="1"/>
  <c r="P546" i="16"/>
  <c r="L546" i="16"/>
  <c r="Q545" i="16"/>
  <c r="R545" i="16" s="1"/>
  <c r="P545" i="16"/>
  <c r="L545" i="16"/>
  <c r="Q544" i="16"/>
  <c r="R544" i="16" s="1"/>
  <c r="P544" i="16"/>
  <c r="L544" i="16"/>
  <c r="Q543" i="16"/>
  <c r="R543" i="16" s="1"/>
  <c r="P543" i="16"/>
  <c r="L543" i="16"/>
  <c r="Q542" i="16"/>
  <c r="R542" i="16" s="1"/>
  <c r="P542" i="16"/>
  <c r="L542" i="16"/>
  <c r="R541" i="16"/>
  <c r="Q541" i="16"/>
  <c r="P541" i="16"/>
  <c r="L541" i="16"/>
  <c r="Q540" i="16"/>
  <c r="R540" i="16" s="1"/>
  <c r="P540" i="16"/>
  <c r="L540" i="16"/>
  <c r="R539" i="16"/>
  <c r="Q539" i="16"/>
  <c r="P539" i="16"/>
  <c r="L539" i="16"/>
  <c r="R538" i="16"/>
  <c r="Q538" i="16"/>
  <c r="P538" i="16"/>
  <c r="L538" i="16"/>
  <c r="R537" i="16"/>
  <c r="Q537" i="16"/>
  <c r="P537" i="16"/>
  <c r="L537" i="16"/>
  <c r="Q536" i="16"/>
  <c r="R536" i="16" s="1"/>
  <c r="P536" i="16"/>
  <c r="L536" i="16"/>
  <c r="R535" i="16"/>
  <c r="Q535" i="16"/>
  <c r="P535" i="16"/>
  <c r="L535" i="16"/>
  <c r="Q534" i="16"/>
  <c r="R534" i="16" s="1"/>
  <c r="P534" i="16"/>
  <c r="L534" i="16"/>
  <c r="Q533" i="16"/>
  <c r="R533" i="16" s="1"/>
  <c r="P533" i="16"/>
  <c r="L533" i="16"/>
  <c r="Q532" i="16"/>
  <c r="R532" i="16" s="1"/>
  <c r="P532" i="16"/>
  <c r="L532" i="16"/>
  <c r="Q531" i="16"/>
  <c r="R531" i="16" s="1"/>
  <c r="P531" i="16"/>
  <c r="L531" i="16"/>
  <c r="R530" i="16"/>
  <c r="Q530" i="16"/>
  <c r="P530" i="16"/>
  <c r="L530" i="16"/>
  <c r="Q529" i="16"/>
  <c r="R529" i="16" s="1"/>
  <c r="P529" i="16"/>
  <c r="L529" i="16"/>
  <c r="Q528" i="16"/>
  <c r="R528" i="16" s="1"/>
  <c r="P528" i="16"/>
  <c r="L528" i="16"/>
  <c r="R527" i="16"/>
  <c r="Q527" i="16"/>
  <c r="P527" i="16"/>
  <c r="L527" i="16"/>
  <c r="Q526" i="16"/>
  <c r="R526" i="16" s="1"/>
  <c r="P526" i="16"/>
  <c r="L526" i="16"/>
  <c r="Q525" i="16"/>
  <c r="R525" i="16" s="1"/>
  <c r="P525" i="16"/>
  <c r="L525" i="16"/>
  <c r="Q524" i="16"/>
  <c r="R524" i="16" s="1"/>
  <c r="P524" i="16"/>
  <c r="L524" i="16"/>
  <c r="Q523" i="16"/>
  <c r="R523" i="16" s="1"/>
  <c r="P523" i="16"/>
  <c r="L523" i="16"/>
  <c r="R522" i="16"/>
  <c r="Q522" i="16"/>
  <c r="P522" i="16"/>
  <c r="L522" i="16"/>
  <c r="R521" i="16"/>
  <c r="Q521" i="16"/>
  <c r="P521" i="16"/>
  <c r="L521" i="16"/>
  <c r="Q520" i="16"/>
  <c r="R520" i="16" s="1"/>
  <c r="P520" i="16"/>
  <c r="L520" i="16"/>
  <c r="R519" i="16"/>
  <c r="Q519" i="16"/>
  <c r="P519" i="16"/>
  <c r="L519" i="16"/>
  <c r="R518" i="16"/>
  <c r="Q518" i="16"/>
  <c r="P518" i="16"/>
  <c r="L518" i="16"/>
  <c r="Q517" i="16"/>
  <c r="R517" i="16" s="1"/>
  <c r="P517" i="16"/>
  <c r="L517" i="16"/>
  <c r="Q516" i="16"/>
  <c r="R516" i="16" s="1"/>
  <c r="P516" i="16"/>
  <c r="L516" i="16"/>
  <c r="Q515" i="16"/>
  <c r="R515" i="16" s="1"/>
  <c r="P515" i="16"/>
  <c r="L515" i="16"/>
  <c r="Q514" i="16"/>
  <c r="R514" i="16" s="1"/>
  <c r="P514" i="16"/>
  <c r="L514" i="16"/>
  <c r="R513" i="16"/>
  <c r="Q513" i="16"/>
  <c r="P513" i="16"/>
  <c r="L513" i="16"/>
  <c r="Q512" i="16"/>
  <c r="R512" i="16" s="1"/>
  <c r="P512" i="16"/>
  <c r="L512" i="16"/>
  <c r="R511" i="16"/>
  <c r="Q511" i="16"/>
  <c r="P511" i="16"/>
  <c r="L511" i="16"/>
  <c r="R510" i="16"/>
  <c r="Q510" i="16"/>
  <c r="P510" i="16"/>
  <c r="L510" i="16"/>
  <c r="Q509" i="16"/>
  <c r="R509" i="16" s="1"/>
  <c r="P509" i="16"/>
  <c r="L509" i="16"/>
  <c r="Q508" i="16"/>
  <c r="R508" i="16" s="1"/>
  <c r="P508" i="16"/>
  <c r="L508" i="16"/>
  <c r="R507" i="16"/>
  <c r="Q507" i="16"/>
  <c r="P507" i="16"/>
  <c r="L507" i="16"/>
  <c r="Q506" i="16"/>
  <c r="R506" i="16" s="1"/>
  <c r="P506" i="16"/>
  <c r="L506" i="16"/>
  <c r="R505" i="16"/>
  <c r="Q505" i="16"/>
  <c r="P505" i="16"/>
  <c r="L505" i="16"/>
  <c r="Q504" i="16"/>
  <c r="R504" i="16" s="1"/>
  <c r="P504" i="16"/>
  <c r="L504" i="16"/>
  <c r="Q503" i="16"/>
  <c r="R503" i="16" s="1"/>
  <c r="P503" i="16"/>
  <c r="L503" i="16"/>
  <c r="R502" i="16"/>
  <c r="Q502" i="16"/>
  <c r="P502" i="16"/>
  <c r="L502" i="16"/>
  <c r="R501" i="16"/>
  <c r="Q501" i="16"/>
  <c r="P501" i="16"/>
  <c r="L501" i="16"/>
  <c r="Q500" i="16"/>
  <c r="R500" i="16" s="1"/>
  <c r="P500" i="16"/>
  <c r="L500" i="16"/>
  <c r="R499" i="16"/>
  <c r="Q499" i="16"/>
  <c r="P499" i="16"/>
  <c r="L499" i="16"/>
  <c r="R498" i="16"/>
  <c r="Q498" i="16"/>
  <c r="P498" i="16"/>
  <c r="L498" i="16"/>
  <c r="R497" i="16"/>
  <c r="Q497" i="16"/>
  <c r="P497" i="16"/>
  <c r="L497" i="16"/>
  <c r="Q496" i="16"/>
  <c r="R496" i="16" s="1"/>
  <c r="P496" i="16"/>
  <c r="L496" i="16"/>
  <c r="Q495" i="16"/>
  <c r="R495" i="16" s="1"/>
  <c r="P495" i="16"/>
  <c r="L495" i="16"/>
  <c r="R494" i="16"/>
  <c r="Q494" i="16"/>
  <c r="P494" i="16"/>
  <c r="L494" i="16"/>
  <c r="R493" i="16"/>
  <c r="Q493" i="16"/>
  <c r="P493" i="16"/>
  <c r="L493" i="16"/>
  <c r="Q492" i="16"/>
  <c r="R492" i="16" s="1"/>
  <c r="P492" i="16"/>
  <c r="L492" i="16"/>
  <c r="Q491" i="16"/>
  <c r="R491" i="16" s="1"/>
  <c r="P491" i="16"/>
  <c r="L491" i="16"/>
  <c r="R490" i="16"/>
  <c r="Q490" i="16"/>
  <c r="P490" i="16"/>
  <c r="L490" i="16"/>
  <c r="R489" i="16"/>
  <c r="Q489" i="16"/>
  <c r="P489" i="16"/>
  <c r="L489" i="16"/>
  <c r="Q488" i="16"/>
  <c r="R488" i="16" s="1"/>
  <c r="P488" i="16"/>
  <c r="L488" i="16"/>
  <c r="Q487" i="16"/>
  <c r="R487" i="16" s="1"/>
  <c r="P487" i="16"/>
  <c r="L487" i="16"/>
  <c r="R486" i="16"/>
  <c r="Q486" i="16"/>
  <c r="P486" i="16"/>
  <c r="L486" i="16"/>
  <c r="R485" i="16"/>
  <c r="Q485" i="16"/>
  <c r="P485" i="16"/>
  <c r="L485" i="16"/>
  <c r="Q484" i="16"/>
  <c r="R484" i="16" s="1"/>
  <c r="P484" i="16"/>
  <c r="L484" i="16"/>
  <c r="R483" i="16"/>
  <c r="Q483" i="16"/>
  <c r="P483" i="16"/>
  <c r="L483" i="16"/>
  <c r="R482" i="16"/>
  <c r="Q482" i="16"/>
  <c r="P482" i="16"/>
  <c r="L482" i="16"/>
  <c r="R481" i="16"/>
  <c r="Q481" i="16"/>
  <c r="P481" i="16"/>
  <c r="L481" i="16"/>
  <c r="Q480" i="16"/>
  <c r="R480" i="16" s="1"/>
  <c r="P480" i="16"/>
  <c r="L480" i="16"/>
  <c r="Q479" i="16"/>
  <c r="R479" i="16" s="1"/>
  <c r="P479" i="16"/>
  <c r="L479" i="16"/>
  <c r="R478" i="16"/>
  <c r="Q478" i="16"/>
  <c r="P478" i="16"/>
  <c r="L478" i="16"/>
  <c r="Q477" i="16"/>
  <c r="R477" i="16" s="1"/>
  <c r="P477" i="16"/>
  <c r="L477" i="16"/>
  <c r="Q476" i="16"/>
  <c r="R476" i="16" s="1"/>
  <c r="P476" i="16"/>
  <c r="L476" i="16"/>
  <c r="Q475" i="16"/>
  <c r="R475" i="16" s="1"/>
  <c r="P475" i="16"/>
  <c r="L475" i="16"/>
  <c r="R474" i="16"/>
  <c r="Q474" i="16"/>
  <c r="P474" i="16"/>
  <c r="L474" i="16"/>
  <c r="R473" i="16"/>
  <c r="Q473" i="16"/>
  <c r="P473" i="16"/>
  <c r="L473" i="16"/>
  <c r="Q472" i="16"/>
  <c r="R472" i="16" s="1"/>
  <c r="P472" i="16"/>
  <c r="L472" i="16"/>
  <c r="Q471" i="16"/>
  <c r="R471" i="16" s="1"/>
  <c r="P471" i="16"/>
  <c r="L471" i="16"/>
  <c r="Q470" i="16"/>
  <c r="R470" i="16" s="1"/>
  <c r="P470" i="16"/>
  <c r="L470" i="16"/>
  <c r="Q469" i="16"/>
  <c r="R469" i="16" s="1"/>
  <c r="P469" i="16"/>
  <c r="L469" i="16"/>
  <c r="Q468" i="16"/>
  <c r="R468" i="16" s="1"/>
  <c r="P468" i="16"/>
  <c r="L468" i="16"/>
  <c r="R467" i="16"/>
  <c r="Q467" i="16"/>
  <c r="P467" i="16"/>
  <c r="L467" i="16"/>
  <c r="R466" i="16"/>
  <c r="Q466" i="16"/>
  <c r="P466" i="16"/>
  <c r="L466" i="16"/>
  <c r="R465" i="16"/>
  <c r="Q465" i="16"/>
  <c r="P465" i="16"/>
  <c r="L465" i="16"/>
  <c r="Q464" i="16"/>
  <c r="R464" i="16" s="1"/>
  <c r="P464" i="16"/>
  <c r="L464" i="16"/>
  <c r="R463" i="16"/>
  <c r="Q463" i="16"/>
  <c r="P463" i="16"/>
  <c r="L463" i="16"/>
  <c r="Q462" i="16"/>
  <c r="R462" i="16" s="1"/>
  <c r="P462" i="16"/>
  <c r="L462" i="16"/>
  <c r="Q461" i="16"/>
  <c r="R461" i="16" s="1"/>
  <c r="P461" i="16"/>
  <c r="L461" i="16"/>
  <c r="Q460" i="16"/>
  <c r="R460" i="16" s="1"/>
  <c r="P460" i="16"/>
  <c r="L460" i="16"/>
  <c r="Q459" i="16"/>
  <c r="R459" i="16" s="1"/>
  <c r="P459" i="16"/>
  <c r="L459" i="16"/>
  <c r="Q458" i="16"/>
  <c r="R458" i="16" s="1"/>
  <c r="P458" i="16"/>
  <c r="L458" i="16"/>
  <c r="Q457" i="16"/>
  <c r="R457" i="16" s="1"/>
  <c r="P457" i="16"/>
  <c r="L457" i="16"/>
  <c r="Q456" i="16"/>
  <c r="R456" i="16" s="1"/>
  <c r="P456" i="16"/>
  <c r="L456" i="16"/>
  <c r="R455" i="16"/>
  <c r="Q455" i="16"/>
  <c r="P455" i="16"/>
  <c r="L455" i="16"/>
  <c r="Q454" i="16"/>
  <c r="R454" i="16" s="1"/>
  <c r="P454" i="16"/>
  <c r="L454" i="16"/>
  <c r="Q453" i="16"/>
  <c r="R453" i="16" s="1"/>
  <c r="P453" i="16"/>
  <c r="L453" i="16"/>
  <c r="Q452" i="16"/>
  <c r="R452" i="16" s="1"/>
  <c r="P452" i="16"/>
  <c r="L452" i="16"/>
  <c r="Q451" i="16"/>
  <c r="R451" i="16" s="1"/>
  <c r="P451" i="16"/>
  <c r="L451" i="16"/>
  <c r="R450" i="16"/>
  <c r="Q450" i="16"/>
  <c r="P450" i="16"/>
  <c r="L450" i="16"/>
  <c r="R449" i="16"/>
  <c r="Q449" i="16"/>
  <c r="P449" i="16"/>
  <c r="L449" i="16"/>
  <c r="Q448" i="16"/>
  <c r="R448" i="16" s="1"/>
  <c r="P448" i="16"/>
  <c r="L448" i="16"/>
  <c r="Q447" i="16"/>
  <c r="R447" i="16" s="1"/>
  <c r="P447" i="16"/>
  <c r="L447" i="16"/>
  <c r="R446" i="16"/>
  <c r="Q446" i="16"/>
  <c r="P446" i="16"/>
  <c r="L446" i="16"/>
  <c r="Q445" i="16"/>
  <c r="R445" i="16" s="1"/>
  <c r="P445" i="16"/>
  <c r="L445" i="16"/>
  <c r="Q444" i="16"/>
  <c r="R444" i="16" s="1"/>
  <c r="P444" i="16"/>
  <c r="L444" i="16"/>
  <c r="R443" i="16"/>
  <c r="Q443" i="16"/>
  <c r="P443" i="16"/>
  <c r="L443" i="16"/>
  <c r="Q442" i="16"/>
  <c r="R442" i="16" s="1"/>
  <c r="P442" i="16"/>
  <c r="L442" i="16"/>
  <c r="Q441" i="16"/>
  <c r="R441" i="16" s="1"/>
  <c r="P441" i="16"/>
  <c r="L441" i="16"/>
  <c r="Q440" i="16"/>
  <c r="R440" i="16" s="1"/>
  <c r="P440" i="16"/>
  <c r="L440" i="16"/>
  <c r="Q439" i="16"/>
  <c r="R439" i="16" s="1"/>
  <c r="P439" i="16"/>
  <c r="L439" i="16"/>
  <c r="R438" i="16"/>
  <c r="Q438" i="16"/>
  <c r="P438" i="16"/>
  <c r="L438" i="16"/>
  <c r="Q437" i="16"/>
  <c r="R437" i="16" s="1"/>
  <c r="P437" i="16"/>
  <c r="L437" i="16"/>
  <c r="Q436" i="16"/>
  <c r="R436" i="16" s="1"/>
  <c r="P436" i="16"/>
  <c r="L436" i="16"/>
  <c r="R435" i="16"/>
  <c r="Q435" i="16"/>
  <c r="P435" i="16"/>
  <c r="L435" i="16"/>
  <c r="Q434" i="16"/>
  <c r="R434" i="16" s="1"/>
  <c r="P434" i="16"/>
  <c r="L434" i="16"/>
  <c r="R433" i="16"/>
  <c r="Q433" i="16"/>
  <c r="P433" i="16"/>
  <c r="L433" i="16"/>
  <c r="Q432" i="16"/>
  <c r="R432" i="16" s="1"/>
  <c r="P432" i="16"/>
  <c r="L432" i="16"/>
  <c r="Q431" i="16"/>
  <c r="R431" i="16" s="1"/>
  <c r="P431" i="16"/>
  <c r="L431" i="16"/>
  <c r="Q430" i="16"/>
  <c r="R430" i="16" s="1"/>
  <c r="P430" i="16"/>
  <c r="L430" i="16"/>
  <c r="R429" i="16"/>
  <c r="Q429" i="16"/>
  <c r="P429" i="16"/>
  <c r="L429" i="16"/>
  <c r="Q428" i="16"/>
  <c r="R428" i="16" s="1"/>
  <c r="P428" i="16"/>
  <c r="L428" i="16"/>
  <c r="Q427" i="16"/>
  <c r="R427" i="16" s="1"/>
  <c r="P427" i="16"/>
  <c r="L427" i="16"/>
  <c r="R426" i="16"/>
  <c r="Q426" i="16"/>
  <c r="P426" i="16"/>
  <c r="L426" i="16"/>
  <c r="Q425" i="16"/>
  <c r="R425" i="16" s="1"/>
  <c r="P425" i="16"/>
  <c r="L425" i="16"/>
  <c r="Q424" i="16"/>
  <c r="R424" i="16" s="1"/>
  <c r="P424" i="16"/>
  <c r="L424" i="16"/>
  <c r="Q423" i="16"/>
  <c r="R423" i="16" s="1"/>
  <c r="P423" i="16"/>
  <c r="L423" i="16"/>
  <c r="Q422" i="16"/>
  <c r="R422" i="16" s="1"/>
  <c r="P422" i="16"/>
  <c r="L422" i="16"/>
  <c r="R421" i="16"/>
  <c r="Q421" i="16"/>
  <c r="P421" i="16"/>
  <c r="L421" i="16"/>
  <c r="Q420" i="16"/>
  <c r="R420" i="16" s="1"/>
  <c r="P420" i="16"/>
  <c r="L420" i="16"/>
  <c r="Q419" i="16"/>
  <c r="R419" i="16" s="1"/>
  <c r="P419" i="16"/>
  <c r="L419" i="16"/>
  <c r="R418" i="16"/>
  <c r="Q418" i="16"/>
  <c r="P418" i="16"/>
  <c r="L418" i="16"/>
  <c r="Q417" i="16"/>
  <c r="R417" i="16" s="1"/>
  <c r="P417" i="16"/>
  <c r="L417" i="16"/>
  <c r="Q416" i="16"/>
  <c r="R416" i="16" s="1"/>
  <c r="P416" i="16"/>
  <c r="L416" i="16"/>
  <c r="Q415" i="16"/>
  <c r="R415" i="16" s="1"/>
  <c r="P415" i="16"/>
  <c r="L415" i="16"/>
  <c r="Q414" i="16"/>
  <c r="R414" i="16" s="1"/>
  <c r="P414" i="16"/>
  <c r="L414" i="16"/>
  <c r="Q413" i="16"/>
  <c r="R413" i="16" s="1"/>
  <c r="P413" i="16"/>
  <c r="L413" i="16"/>
  <c r="Q412" i="16"/>
  <c r="R412" i="16" s="1"/>
  <c r="P412" i="16"/>
  <c r="L412" i="16"/>
  <c r="Q411" i="16"/>
  <c r="R411" i="16" s="1"/>
  <c r="P411" i="16"/>
  <c r="L411" i="16"/>
  <c r="Q410" i="16"/>
  <c r="R410" i="16" s="1"/>
  <c r="P410" i="16"/>
  <c r="L410" i="16"/>
  <c r="R409" i="16"/>
  <c r="Q409" i="16"/>
  <c r="P409" i="16"/>
  <c r="L409" i="16"/>
  <c r="Q408" i="16"/>
  <c r="R408" i="16" s="1"/>
  <c r="P408" i="16"/>
  <c r="L408" i="16"/>
  <c r="Q407" i="16"/>
  <c r="R407" i="16" s="1"/>
  <c r="P407" i="16"/>
  <c r="L407" i="16"/>
  <c r="Q406" i="16"/>
  <c r="R406" i="16" s="1"/>
  <c r="P406" i="16"/>
  <c r="L406" i="16"/>
  <c r="Q405" i="16"/>
  <c r="R405" i="16" s="1"/>
  <c r="P405" i="16"/>
  <c r="L405" i="16"/>
  <c r="Q404" i="16"/>
  <c r="R404" i="16" s="1"/>
  <c r="P404" i="16"/>
  <c r="L404" i="16"/>
  <c r="R403" i="16"/>
  <c r="Q403" i="16"/>
  <c r="P403" i="16"/>
  <c r="L403" i="16"/>
  <c r="Q402" i="16"/>
  <c r="R402" i="16" s="1"/>
  <c r="P402" i="16"/>
  <c r="L402" i="16"/>
  <c r="R401" i="16"/>
  <c r="Q401" i="16"/>
  <c r="P401" i="16"/>
  <c r="L401" i="16"/>
  <c r="Q400" i="16"/>
  <c r="R400" i="16" s="1"/>
  <c r="P400" i="16"/>
  <c r="L400" i="16"/>
  <c r="R399" i="16"/>
  <c r="Q399" i="16"/>
  <c r="P399" i="16"/>
  <c r="L399" i="16"/>
  <c r="Q398" i="16"/>
  <c r="R398" i="16" s="1"/>
  <c r="P398" i="16"/>
  <c r="L398" i="16"/>
  <c r="Q397" i="16"/>
  <c r="R397" i="16" s="1"/>
  <c r="P397" i="16"/>
  <c r="L397" i="16"/>
  <c r="Q396" i="16"/>
  <c r="R396" i="16" s="1"/>
  <c r="P396" i="16"/>
  <c r="L396" i="16"/>
  <c r="Q395" i="16"/>
  <c r="R395" i="16" s="1"/>
  <c r="P395" i="16"/>
  <c r="L395" i="16"/>
  <c r="Q394" i="16"/>
  <c r="R394" i="16" s="1"/>
  <c r="P394" i="16"/>
  <c r="L394" i="16"/>
  <c r="Q393" i="16"/>
  <c r="R393" i="16" s="1"/>
  <c r="P393" i="16"/>
  <c r="L393" i="16"/>
  <c r="Q392" i="16"/>
  <c r="R392" i="16" s="1"/>
  <c r="P392" i="16"/>
  <c r="L392" i="16"/>
  <c r="R391" i="16"/>
  <c r="Q391" i="16"/>
  <c r="P391" i="16"/>
  <c r="L391" i="16"/>
  <c r="Q390" i="16"/>
  <c r="R390" i="16" s="1"/>
  <c r="P390" i="16"/>
  <c r="L390" i="16"/>
  <c r="Q389" i="16"/>
  <c r="R389" i="16" s="1"/>
  <c r="P389" i="16"/>
  <c r="L389" i="16"/>
  <c r="Q388" i="16"/>
  <c r="R388" i="16" s="1"/>
  <c r="P388" i="16"/>
  <c r="L388" i="16"/>
  <c r="Q387" i="16"/>
  <c r="R387" i="16" s="1"/>
  <c r="P387" i="16"/>
  <c r="L387" i="16"/>
  <c r="R386" i="16"/>
  <c r="Q386" i="16"/>
  <c r="P386" i="16"/>
  <c r="L386" i="16"/>
  <c r="Q385" i="16"/>
  <c r="R385" i="16" s="1"/>
  <c r="P385" i="16"/>
  <c r="L385" i="16"/>
  <c r="Q384" i="16"/>
  <c r="R384" i="16" s="1"/>
  <c r="P384" i="16"/>
  <c r="L384" i="16"/>
  <c r="Q383" i="16"/>
  <c r="R383" i="16" s="1"/>
  <c r="P383" i="16"/>
  <c r="L383" i="16"/>
  <c r="R382" i="16"/>
  <c r="Q382" i="16"/>
  <c r="P382" i="16"/>
  <c r="L382" i="16"/>
  <c r="Q381" i="16"/>
  <c r="R381" i="16" s="1"/>
  <c r="P381" i="16"/>
  <c r="L381" i="16"/>
  <c r="Q380" i="16"/>
  <c r="R380" i="16" s="1"/>
  <c r="P380" i="16"/>
  <c r="L380" i="16"/>
  <c r="R379" i="16"/>
  <c r="Q379" i="16"/>
  <c r="P379" i="16"/>
  <c r="L379" i="16"/>
  <c r="Q378" i="16"/>
  <c r="R378" i="16" s="1"/>
  <c r="P378" i="16"/>
  <c r="L378" i="16"/>
  <c r="Q377" i="16"/>
  <c r="R377" i="16" s="1"/>
  <c r="P377" i="16"/>
  <c r="L377" i="16"/>
  <c r="Q376" i="16"/>
  <c r="R376" i="16" s="1"/>
  <c r="P376" i="16"/>
  <c r="L376" i="16"/>
  <c r="Q375" i="16"/>
  <c r="R375" i="16" s="1"/>
  <c r="P375" i="16"/>
  <c r="L375" i="16"/>
  <c r="R374" i="16"/>
  <c r="Q374" i="16"/>
  <c r="P374" i="16"/>
  <c r="L374" i="16"/>
  <c r="Q373" i="16"/>
  <c r="R373" i="16" s="1"/>
  <c r="P373" i="16"/>
  <c r="L373" i="16"/>
  <c r="Q372" i="16"/>
  <c r="R372" i="16" s="1"/>
  <c r="P372" i="16"/>
  <c r="L372" i="16"/>
  <c r="R371" i="16"/>
  <c r="Q371" i="16"/>
  <c r="P371" i="16"/>
  <c r="L371" i="16"/>
  <c r="Q370" i="16"/>
  <c r="R370" i="16" s="1"/>
  <c r="P370" i="16"/>
  <c r="L370" i="16"/>
  <c r="R369" i="16"/>
  <c r="Q369" i="16"/>
  <c r="P369" i="16"/>
  <c r="L369" i="16"/>
  <c r="Q368" i="16"/>
  <c r="R368" i="16" s="1"/>
  <c r="P368" i="16"/>
  <c r="L368" i="16"/>
  <c r="Q367" i="16"/>
  <c r="R367" i="16" s="1"/>
  <c r="P367" i="16"/>
  <c r="L367" i="16"/>
  <c r="Q366" i="16"/>
  <c r="R366" i="16" s="1"/>
  <c r="P366" i="16"/>
  <c r="L366" i="16"/>
  <c r="R365" i="16"/>
  <c r="Q365" i="16"/>
  <c r="P365" i="16"/>
  <c r="L365" i="16"/>
  <c r="Q364" i="16"/>
  <c r="R364" i="16" s="1"/>
  <c r="P364" i="16"/>
  <c r="L364" i="16"/>
  <c r="Q363" i="16"/>
  <c r="R363" i="16" s="1"/>
  <c r="P363" i="16"/>
  <c r="L363" i="16"/>
  <c r="R362" i="16"/>
  <c r="Q362" i="16"/>
  <c r="P362" i="16"/>
  <c r="L362" i="16"/>
  <c r="Q361" i="16"/>
  <c r="R361" i="16" s="1"/>
  <c r="P361" i="16"/>
  <c r="L361" i="16"/>
  <c r="Q360" i="16"/>
  <c r="R360" i="16" s="1"/>
  <c r="P360" i="16"/>
  <c r="L360" i="16"/>
  <c r="Q359" i="16"/>
  <c r="R359" i="16" s="1"/>
  <c r="P359" i="16"/>
  <c r="L359" i="16"/>
  <c r="Q358" i="16"/>
  <c r="R358" i="16" s="1"/>
  <c r="P358" i="16"/>
  <c r="L358" i="16"/>
  <c r="R357" i="16"/>
  <c r="Q357" i="16"/>
  <c r="P357" i="16"/>
  <c r="L357" i="16"/>
  <c r="Q356" i="16"/>
  <c r="R356" i="16" s="1"/>
  <c r="P356" i="16"/>
  <c r="L356" i="16"/>
  <c r="Q355" i="16"/>
  <c r="R355" i="16" s="1"/>
  <c r="P355" i="16"/>
  <c r="L355" i="16"/>
  <c r="R354" i="16"/>
  <c r="Q354" i="16"/>
  <c r="P354" i="16"/>
  <c r="L354" i="16"/>
  <c r="Q353" i="16"/>
  <c r="R353" i="16" s="1"/>
  <c r="P353" i="16"/>
  <c r="L353" i="16"/>
  <c r="Q352" i="16"/>
  <c r="R352" i="16" s="1"/>
  <c r="P352" i="16"/>
  <c r="L352" i="16"/>
  <c r="Q351" i="16"/>
  <c r="R351" i="16" s="1"/>
  <c r="P351" i="16"/>
  <c r="L351" i="16"/>
  <c r="Q350" i="16"/>
  <c r="R350" i="16" s="1"/>
  <c r="P350" i="16"/>
  <c r="L350" i="16"/>
  <c r="Q349" i="16"/>
  <c r="R349" i="16" s="1"/>
  <c r="P349" i="16"/>
  <c r="L349" i="16"/>
  <c r="Q348" i="16"/>
  <c r="R348" i="16" s="1"/>
  <c r="P348" i="16"/>
  <c r="L348" i="16"/>
  <c r="Q347" i="16"/>
  <c r="R347" i="16" s="1"/>
  <c r="P347" i="16"/>
  <c r="L347" i="16"/>
  <c r="Q346" i="16"/>
  <c r="R346" i="16" s="1"/>
  <c r="P346" i="16"/>
  <c r="L346" i="16"/>
  <c r="R345" i="16"/>
  <c r="Q345" i="16"/>
  <c r="P345" i="16"/>
  <c r="L345" i="16"/>
  <c r="Q344" i="16"/>
  <c r="R344" i="16" s="1"/>
  <c r="P344" i="16"/>
  <c r="L344" i="16"/>
  <c r="Q343" i="16"/>
  <c r="R343" i="16" s="1"/>
  <c r="P343" i="16"/>
  <c r="L343" i="16"/>
  <c r="Q342" i="16"/>
  <c r="R342" i="16" s="1"/>
  <c r="P342" i="16"/>
  <c r="L342" i="16"/>
  <c r="Q341" i="16"/>
  <c r="R341" i="16" s="1"/>
  <c r="P341" i="16"/>
  <c r="L341" i="16"/>
  <c r="Q340" i="16"/>
  <c r="R340" i="16" s="1"/>
  <c r="P340" i="16"/>
  <c r="L340" i="16"/>
  <c r="R339" i="16"/>
  <c r="Q339" i="16"/>
  <c r="P339" i="16"/>
  <c r="L339" i="16"/>
  <c r="Q338" i="16"/>
  <c r="R338" i="16" s="1"/>
  <c r="P338" i="16"/>
  <c r="L338" i="16"/>
  <c r="R337" i="16"/>
  <c r="Q337" i="16"/>
  <c r="P337" i="16"/>
  <c r="L337" i="16"/>
  <c r="Q336" i="16"/>
  <c r="R336" i="16" s="1"/>
  <c r="P336" i="16"/>
  <c r="L336" i="16"/>
  <c r="R335" i="16"/>
  <c r="Q335" i="16"/>
  <c r="P335" i="16"/>
  <c r="L335" i="16"/>
  <c r="Q334" i="16"/>
  <c r="R334" i="16" s="1"/>
  <c r="P334" i="16"/>
  <c r="L334" i="16"/>
  <c r="Q333" i="16"/>
  <c r="R333" i="16" s="1"/>
  <c r="P333" i="16"/>
  <c r="L333" i="16"/>
  <c r="Q332" i="16"/>
  <c r="R332" i="16" s="1"/>
  <c r="P332" i="16"/>
  <c r="L332" i="16"/>
  <c r="Q331" i="16"/>
  <c r="R331" i="16" s="1"/>
  <c r="P331" i="16"/>
  <c r="L331" i="16"/>
  <c r="Q330" i="16"/>
  <c r="R330" i="16" s="1"/>
  <c r="P330" i="16"/>
  <c r="L330" i="16"/>
  <c r="Q329" i="16"/>
  <c r="R329" i="16" s="1"/>
  <c r="P329" i="16"/>
  <c r="L329" i="16"/>
  <c r="Q328" i="16"/>
  <c r="R328" i="16" s="1"/>
  <c r="P328" i="16"/>
  <c r="L328" i="16"/>
  <c r="R327" i="16"/>
  <c r="Q327" i="16"/>
  <c r="P327" i="16"/>
  <c r="L327" i="16"/>
  <c r="Q326" i="16"/>
  <c r="R326" i="16" s="1"/>
  <c r="P326" i="16"/>
  <c r="L326" i="16"/>
  <c r="Q325" i="16"/>
  <c r="R325" i="16" s="1"/>
  <c r="P325" i="16"/>
  <c r="L325" i="16"/>
  <c r="Q324" i="16"/>
  <c r="R324" i="16" s="1"/>
  <c r="P324" i="16"/>
  <c r="L324" i="16"/>
  <c r="Q323" i="16"/>
  <c r="R323" i="16" s="1"/>
  <c r="P323" i="16"/>
  <c r="L323" i="16"/>
  <c r="R322" i="16"/>
  <c r="Q322" i="16"/>
  <c r="P322" i="16"/>
  <c r="L322" i="16"/>
  <c r="Q321" i="16"/>
  <c r="R321" i="16" s="1"/>
  <c r="P321" i="16"/>
  <c r="L321" i="16"/>
  <c r="Q320" i="16"/>
  <c r="R320" i="16" s="1"/>
  <c r="P320" i="16"/>
  <c r="L320" i="16"/>
  <c r="Q319" i="16"/>
  <c r="R319" i="16" s="1"/>
  <c r="P319" i="16"/>
  <c r="L319" i="16"/>
  <c r="R318" i="16"/>
  <c r="Q318" i="16"/>
  <c r="P318" i="16"/>
  <c r="L318" i="16"/>
  <c r="Q317" i="16"/>
  <c r="R317" i="16" s="1"/>
  <c r="P317" i="16"/>
  <c r="L317" i="16"/>
  <c r="Q316" i="16"/>
  <c r="R316" i="16" s="1"/>
  <c r="P316" i="16"/>
  <c r="L316" i="16"/>
  <c r="R315" i="16"/>
  <c r="Q315" i="16"/>
  <c r="P315" i="16"/>
  <c r="L315" i="16"/>
  <c r="Q314" i="16"/>
  <c r="R314" i="16" s="1"/>
  <c r="P314" i="16"/>
  <c r="L314" i="16"/>
  <c r="Q313" i="16"/>
  <c r="R313" i="16" s="1"/>
  <c r="P313" i="16"/>
  <c r="L313" i="16"/>
  <c r="Q312" i="16"/>
  <c r="R312" i="16" s="1"/>
  <c r="P312" i="16"/>
  <c r="L312" i="16"/>
  <c r="Q311" i="16"/>
  <c r="R311" i="16" s="1"/>
  <c r="P311" i="16"/>
  <c r="L311" i="16"/>
  <c r="R310" i="16"/>
  <c r="Q310" i="16"/>
  <c r="P310" i="16"/>
  <c r="L310" i="16"/>
  <c r="Q309" i="16"/>
  <c r="R309" i="16" s="1"/>
  <c r="P309" i="16"/>
  <c r="L309" i="16"/>
  <c r="Q308" i="16"/>
  <c r="R308" i="16" s="1"/>
  <c r="P308" i="16"/>
  <c r="L308" i="16"/>
  <c r="R307" i="16"/>
  <c r="Q307" i="16"/>
  <c r="P307" i="16"/>
  <c r="L307" i="16"/>
  <c r="Q306" i="16"/>
  <c r="R306" i="16" s="1"/>
  <c r="P306" i="16"/>
  <c r="L306" i="16"/>
  <c r="R305" i="16"/>
  <c r="Q305" i="16"/>
  <c r="P305" i="16"/>
  <c r="L305" i="16"/>
  <c r="Q304" i="16"/>
  <c r="R304" i="16" s="1"/>
  <c r="P304" i="16"/>
  <c r="L304" i="16"/>
  <c r="Q303" i="16"/>
  <c r="R303" i="16" s="1"/>
  <c r="P303" i="16"/>
  <c r="L303" i="16"/>
  <c r="Q302" i="16"/>
  <c r="R302" i="16" s="1"/>
  <c r="P302" i="16"/>
  <c r="L302" i="16"/>
  <c r="R301" i="16"/>
  <c r="Q301" i="16"/>
  <c r="P301" i="16"/>
  <c r="L301" i="16"/>
  <c r="Q300" i="16"/>
  <c r="R300" i="16" s="1"/>
  <c r="P300" i="16"/>
  <c r="L300" i="16"/>
  <c r="Q299" i="16"/>
  <c r="R299" i="16" s="1"/>
  <c r="P299" i="16"/>
  <c r="L299" i="16"/>
  <c r="R298" i="16"/>
  <c r="Q298" i="16"/>
  <c r="P298" i="16"/>
  <c r="L298" i="16"/>
  <c r="Q297" i="16"/>
  <c r="R297" i="16" s="1"/>
  <c r="P297" i="16"/>
  <c r="L297" i="16"/>
  <c r="Q296" i="16"/>
  <c r="R296" i="16" s="1"/>
  <c r="P296" i="16"/>
  <c r="L296" i="16"/>
  <c r="Q295" i="16"/>
  <c r="R295" i="16" s="1"/>
  <c r="P295" i="16"/>
  <c r="L295" i="16"/>
  <c r="Q294" i="16"/>
  <c r="R294" i="16" s="1"/>
  <c r="P294" i="16"/>
  <c r="L294" i="16"/>
  <c r="R293" i="16"/>
  <c r="Q293" i="16"/>
  <c r="P293" i="16"/>
  <c r="L293" i="16"/>
  <c r="Q292" i="16"/>
  <c r="R292" i="16" s="1"/>
  <c r="P292" i="16"/>
  <c r="L292" i="16"/>
  <c r="Q291" i="16"/>
  <c r="R291" i="16" s="1"/>
  <c r="P291" i="16"/>
  <c r="L291" i="16"/>
  <c r="R290" i="16"/>
  <c r="Q290" i="16"/>
  <c r="P290" i="16"/>
  <c r="L290" i="16"/>
  <c r="Q289" i="16"/>
  <c r="R289" i="16" s="1"/>
  <c r="P289" i="16"/>
  <c r="L289" i="16"/>
  <c r="Q288" i="16"/>
  <c r="R288" i="16" s="1"/>
  <c r="P288" i="16"/>
  <c r="L288" i="16"/>
  <c r="Q287" i="16"/>
  <c r="R287" i="16" s="1"/>
  <c r="P287" i="16"/>
  <c r="L287" i="16"/>
  <c r="Q286" i="16"/>
  <c r="R286" i="16" s="1"/>
  <c r="P286" i="16"/>
  <c r="L286" i="16"/>
  <c r="Q285" i="16"/>
  <c r="R285" i="16" s="1"/>
  <c r="P285" i="16"/>
  <c r="L285" i="16"/>
  <c r="Q284" i="16"/>
  <c r="R284" i="16" s="1"/>
  <c r="P284" i="16"/>
  <c r="L284" i="16"/>
  <c r="R283" i="16"/>
  <c r="Q283" i="16"/>
  <c r="P283" i="16"/>
  <c r="L283" i="16"/>
  <c r="Q282" i="16"/>
  <c r="R282" i="16" s="1"/>
  <c r="P282" i="16"/>
  <c r="L282" i="16"/>
  <c r="R281" i="16"/>
  <c r="Q281" i="16"/>
  <c r="P281" i="16"/>
  <c r="L281" i="16"/>
  <c r="Q280" i="16"/>
  <c r="R280" i="16" s="1"/>
  <c r="P280" i="16"/>
  <c r="L280" i="16"/>
  <c r="Q279" i="16"/>
  <c r="R279" i="16" s="1"/>
  <c r="P279" i="16"/>
  <c r="L279" i="16"/>
  <c r="Q278" i="16"/>
  <c r="R278" i="16" s="1"/>
  <c r="P278" i="16"/>
  <c r="L278" i="16"/>
  <c r="Q277" i="16"/>
  <c r="R277" i="16" s="1"/>
  <c r="P277" i="16"/>
  <c r="L277" i="16"/>
  <c r="Q276" i="16"/>
  <c r="R276" i="16" s="1"/>
  <c r="P276" i="16"/>
  <c r="L276" i="16"/>
  <c r="R275" i="16"/>
  <c r="Q275" i="16"/>
  <c r="P275" i="16"/>
  <c r="L275" i="16"/>
  <c r="Q274" i="16"/>
  <c r="R274" i="16" s="1"/>
  <c r="P274" i="16"/>
  <c r="L274" i="16"/>
  <c r="R273" i="16"/>
  <c r="Q273" i="16"/>
  <c r="P273" i="16"/>
  <c r="L273" i="16"/>
  <c r="Q272" i="16"/>
  <c r="R272" i="16" s="1"/>
  <c r="P272" i="16"/>
  <c r="L272" i="16"/>
  <c r="R271" i="16"/>
  <c r="Q271" i="16"/>
  <c r="P271" i="16"/>
  <c r="L271" i="16"/>
  <c r="Q270" i="16"/>
  <c r="R270" i="16" s="1"/>
  <c r="P270" i="16"/>
  <c r="L270" i="16"/>
  <c r="Q269" i="16"/>
  <c r="R269" i="16" s="1"/>
  <c r="P269" i="16"/>
  <c r="L269" i="16"/>
  <c r="Q268" i="16"/>
  <c r="R268" i="16" s="1"/>
  <c r="P268" i="16"/>
  <c r="L268" i="16"/>
  <c r="Q267" i="16"/>
  <c r="R267" i="16" s="1"/>
  <c r="P267" i="16"/>
  <c r="L267" i="16"/>
  <c r="R266" i="16"/>
  <c r="Q266" i="16"/>
  <c r="P266" i="16"/>
  <c r="L266" i="16"/>
  <c r="Q265" i="16"/>
  <c r="R265" i="16" s="1"/>
  <c r="P265" i="16"/>
  <c r="L265" i="16"/>
  <c r="Q264" i="16"/>
  <c r="R264" i="16" s="1"/>
  <c r="P264" i="16"/>
  <c r="L264" i="16"/>
  <c r="R263" i="16"/>
  <c r="Q263" i="16"/>
  <c r="P263" i="16"/>
  <c r="L263" i="16"/>
  <c r="Q262" i="16"/>
  <c r="R262" i="16" s="1"/>
  <c r="P262" i="16"/>
  <c r="L262" i="16"/>
  <c r="Q261" i="16"/>
  <c r="R261" i="16" s="1"/>
  <c r="P261" i="16"/>
  <c r="L261" i="16"/>
  <c r="Q260" i="16"/>
  <c r="R260" i="16" s="1"/>
  <c r="P260" i="16"/>
  <c r="L260" i="16"/>
  <c r="Q259" i="16"/>
  <c r="R259" i="16" s="1"/>
  <c r="P259" i="16"/>
  <c r="L259" i="16"/>
  <c r="R258" i="16"/>
  <c r="Q258" i="16"/>
  <c r="P258" i="16"/>
  <c r="L258" i="16"/>
  <c r="Q257" i="16"/>
  <c r="R257" i="16" s="1"/>
  <c r="P257" i="16"/>
  <c r="L257" i="16"/>
  <c r="Q256" i="16"/>
  <c r="R256" i="16" s="1"/>
  <c r="P256" i="16"/>
  <c r="L256" i="16"/>
  <c r="Q255" i="16"/>
  <c r="R255" i="16" s="1"/>
  <c r="P255" i="16"/>
  <c r="L255" i="16"/>
  <c r="R254" i="16"/>
  <c r="Q254" i="16"/>
  <c r="P254" i="16"/>
  <c r="L254" i="16"/>
  <c r="Q253" i="16"/>
  <c r="R253" i="16" s="1"/>
  <c r="P253" i="16"/>
  <c r="L253" i="16"/>
  <c r="Q252" i="16"/>
  <c r="R252" i="16" s="1"/>
  <c r="P252" i="16"/>
  <c r="L252" i="16"/>
  <c r="R251" i="16"/>
  <c r="Q251" i="16"/>
  <c r="P251" i="16"/>
  <c r="L251" i="16"/>
  <c r="Q250" i="16"/>
  <c r="R250" i="16" s="1"/>
  <c r="P250" i="16"/>
  <c r="L250" i="16"/>
  <c r="R249" i="16"/>
  <c r="Q249" i="16"/>
  <c r="P249" i="16"/>
  <c r="L249" i="16"/>
  <c r="Q248" i="16"/>
  <c r="R248" i="16" s="1"/>
  <c r="P248" i="16"/>
  <c r="L248" i="16"/>
  <c r="Q247" i="16"/>
  <c r="R247" i="16" s="1"/>
  <c r="P247" i="16"/>
  <c r="L247" i="16"/>
  <c r="R246" i="16"/>
  <c r="Q246" i="16"/>
  <c r="P246" i="16"/>
  <c r="L246" i="16"/>
  <c r="Q245" i="16"/>
  <c r="R245" i="16" s="1"/>
  <c r="P245" i="16"/>
  <c r="L245" i="16"/>
  <c r="Q244" i="16"/>
  <c r="R244" i="16" s="1"/>
  <c r="P244" i="16"/>
  <c r="L244" i="16"/>
  <c r="R243" i="16"/>
  <c r="Q243" i="16"/>
  <c r="P243" i="16"/>
  <c r="L243" i="16"/>
  <c r="Q242" i="16"/>
  <c r="R242" i="16" s="1"/>
  <c r="P242" i="16"/>
  <c r="L242" i="16"/>
  <c r="R241" i="16"/>
  <c r="Q241" i="16"/>
  <c r="P241" i="16"/>
  <c r="L241" i="16"/>
  <c r="Q240" i="16"/>
  <c r="R240" i="16" s="1"/>
  <c r="P240" i="16"/>
  <c r="L240" i="16"/>
  <c r="Q239" i="16"/>
  <c r="R239" i="16" s="1"/>
  <c r="P239" i="16"/>
  <c r="L239" i="16"/>
  <c r="Q238" i="16"/>
  <c r="R238" i="16" s="1"/>
  <c r="P238" i="16"/>
  <c r="L238" i="16"/>
  <c r="R237" i="16"/>
  <c r="Q237" i="16"/>
  <c r="P237" i="16"/>
  <c r="L237" i="16"/>
  <c r="Q236" i="16"/>
  <c r="R236" i="16" s="1"/>
  <c r="P236" i="16"/>
  <c r="L236" i="16"/>
  <c r="Q235" i="16"/>
  <c r="R235" i="16" s="1"/>
  <c r="P235" i="16"/>
  <c r="L235" i="16"/>
  <c r="R234" i="16"/>
  <c r="Q234" i="16"/>
  <c r="P234" i="16"/>
  <c r="L234" i="16"/>
  <c r="Q233" i="16"/>
  <c r="R233" i="16" s="1"/>
  <c r="P233" i="16"/>
  <c r="L233" i="16"/>
  <c r="Q232" i="16"/>
  <c r="R232" i="16" s="1"/>
  <c r="P232" i="16"/>
  <c r="L232" i="16"/>
  <c r="Q231" i="16"/>
  <c r="R231" i="16" s="1"/>
  <c r="P231" i="16"/>
  <c r="L231" i="16"/>
  <c r="Q230" i="16"/>
  <c r="R230" i="16" s="1"/>
  <c r="P230" i="16"/>
  <c r="L230" i="16"/>
  <c r="R229" i="16"/>
  <c r="Q229" i="16"/>
  <c r="P229" i="16"/>
  <c r="L229" i="16"/>
  <c r="Q228" i="16"/>
  <c r="R228" i="16" s="1"/>
  <c r="P228" i="16"/>
  <c r="L228" i="16"/>
  <c r="Q227" i="16"/>
  <c r="R227" i="16" s="1"/>
  <c r="P227" i="16"/>
  <c r="L227" i="16"/>
  <c r="R226" i="16"/>
  <c r="Q226" i="16"/>
  <c r="P226" i="16"/>
  <c r="L226" i="16"/>
  <c r="Q225" i="16"/>
  <c r="R225" i="16" s="1"/>
  <c r="P225" i="16"/>
  <c r="L225" i="16"/>
  <c r="Q224" i="16"/>
  <c r="R224" i="16" s="1"/>
  <c r="P224" i="16"/>
  <c r="L224" i="16"/>
  <c r="Q223" i="16"/>
  <c r="R223" i="16" s="1"/>
  <c r="P223" i="16"/>
  <c r="L223" i="16"/>
  <c r="Q222" i="16"/>
  <c r="R222" i="16" s="1"/>
  <c r="P222" i="16"/>
  <c r="L222" i="16"/>
  <c r="Q221" i="16"/>
  <c r="R221" i="16" s="1"/>
  <c r="P221" i="16"/>
  <c r="L221" i="16"/>
  <c r="Q220" i="16"/>
  <c r="R220" i="16" s="1"/>
  <c r="P220" i="16"/>
  <c r="L220" i="16"/>
  <c r="R219" i="16"/>
  <c r="Q219" i="16"/>
  <c r="P219" i="16"/>
  <c r="L219" i="16"/>
  <c r="Q218" i="16"/>
  <c r="R218" i="16" s="1"/>
  <c r="P218" i="16"/>
  <c r="L218" i="16"/>
  <c r="R217" i="16"/>
  <c r="Q217" i="16"/>
  <c r="P217" i="16"/>
  <c r="L217" i="16"/>
  <c r="Q216" i="16"/>
  <c r="R216" i="16" s="1"/>
  <c r="P216" i="16"/>
  <c r="L216" i="16"/>
  <c r="Q215" i="16"/>
  <c r="R215" i="16" s="1"/>
  <c r="P215" i="16"/>
  <c r="L215" i="16"/>
  <c r="Q214" i="16"/>
  <c r="R214" i="16" s="1"/>
  <c r="P214" i="16"/>
  <c r="L214" i="16"/>
  <c r="Q213" i="16"/>
  <c r="R213" i="16" s="1"/>
  <c r="P213" i="16"/>
  <c r="L213" i="16"/>
  <c r="Q212" i="16"/>
  <c r="R212" i="16" s="1"/>
  <c r="P212" i="16"/>
  <c r="L212" i="16"/>
  <c r="R211" i="16"/>
  <c r="Q211" i="16"/>
  <c r="P211" i="16"/>
  <c r="L211" i="16"/>
  <c r="Q210" i="16"/>
  <c r="R210" i="16" s="1"/>
  <c r="P210" i="16"/>
  <c r="L210" i="16"/>
  <c r="R209" i="16"/>
  <c r="Q209" i="16"/>
  <c r="P209" i="16"/>
  <c r="L209" i="16"/>
  <c r="Q208" i="16"/>
  <c r="R208" i="16" s="1"/>
  <c r="P208" i="16"/>
  <c r="L208" i="16"/>
  <c r="R207" i="16"/>
  <c r="Q207" i="16"/>
  <c r="P207" i="16"/>
  <c r="L207" i="16"/>
  <c r="Q206" i="16"/>
  <c r="R206" i="16" s="1"/>
  <c r="P206" i="16"/>
  <c r="L206" i="16"/>
  <c r="Q205" i="16"/>
  <c r="R205" i="16" s="1"/>
  <c r="P205" i="16"/>
  <c r="L205" i="16"/>
  <c r="Q204" i="16"/>
  <c r="R204" i="16" s="1"/>
  <c r="P204" i="16"/>
  <c r="L204" i="16"/>
  <c r="Q203" i="16"/>
  <c r="R203" i="16" s="1"/>
  <c r="P203" i="16"/>
  <c r="L203" i="16"/>
  <c r="R202" i="16"/>
  <c r="Q202" i="16"/>
  <c r="P202" i="16"/>
  <c r="L202" i="16"/>
  <c r="Q201" i="16"/>
  <c r="R201" i="16" s="1"/>
  <c r="P201" i="16"/>
  <c r="L201" i="16"/>
  <c r="Q200" i="16"/>
  <c r="R200" i="16" s="1"/>
  <c r="P200" i="16"/>
  <c r="L200" i="16"/>
  <c r="R199" i="16"/>
  <c r="Q199" i="16"/>
  <c r="P199" i="16"/>
  <c r="L199" i="16"/>
  <c r="R198" i="16"/>
  <c r="Q198" i="16"/>
  <c r="P198" i="16"/>
  <c r="L198" i="16"/>
  <c r="Q197" i="16"/>
  <c r="R197" i="16" s="1"/>
  <c r="P197" i="16"/>
  <c r="L197" i="16"/>
  <c r="Q196" i="16"/>
  <c r="R196" i="16" s="1"/>
  <c r="P196" i="16"/>
  <c r="L196" i="16"/>
  <c r="Q195" i="16"/>
  <c r="R195" i="16" s="1"/>
  <c r="P195" i="16"/>
  <c r="L195" i="16"/>
  <c r="R194" i="16"/>
  <c r="Q194" i="16"/>
  <c r="P194" i="16"/>
  <c r="L194" i="16"/>
  <c r="Q193" i="16"/>
  <c r="R193" i="16" s="1"/>
  <c r="P193" i="16"/>
  <c r="L193" i="16"/>
  <c r="Q192" i="16"/>
  <c r="R192" i="16" s="1"/>
  <c r="P192" i="16"/>
  <c r="L192" i="16"/>
  <c r="Q191" i="16"/>
  <c r="R191" i="16" s="1"/>
  <c r="P191" i="16"/>
  <c r="L191" i="16"/>
  <c r="R190" i="16"/>
  <c r="Q190" i="16"/>
  <c r="P190" i="16"/>
  <c r="L190" i="16"/>
  <c r="Q189" i="16"/>
  <c r="R189" i="16" s="1"/>
  <c r="P189" i="16"/>
  <c r="L189" i="16"/>
  <c r="Q188" i="16"/>
  <c r="R188" i="16" s="1"/>
  <c r="P188" i="16"/>
  <c r="L188" i="16"/>
  <c r="R187" i="16"/>
  <c r="Q187" i="16"/>
  <c r="P187" i="16"/>
  <c r="L187" i="16"/>
  <c r="Q186" i="16"/>
  <c r="R186" i="16" s="1"/>
  <c r="P186" i="16"/>
  <c r="L186" i="16"/>
  <c r="R185" i="16"/>
  <c r="Q185" i="16"/>
  <c r="P185" i="16"/>
  <c r="L185" i="16"/>
  <c r="Q184" i="16"/>
  <c r="R184" i="16" s="1"/>
  <c r="P184" i="16"/>
  <c r="L184" i="16"/>
  <c r="Q183" i="16"/>
  <c r="R183" i="16" s="1"/>
  <c r="P183" i="16"/>
  <c r="L183" i="16"/>
  <c r="R182" i="16"/>
  <c r="Q182" i="16"/>
  <c r="P182" i="16"/>
  <c r="L182" i="16"/>
  <c r="R181" i="16"/>
  <c r="Q181" i="16"/>
  <c r="P181" i="16"/>
  <c r="L181" i="16"/>
  <c r="Q180" i="16"/>
  <c r="R180" i="16" s="1"/>
  <c r="P180" i="16"/>
  <c r="L180" i="16"/>
  <c r="R179" i="16"/>
  <c r="Q179" i="16"/>
  <c r="P179" i="16"/>
  <c r="L179" i="16"/>
  <c r="Q178" i="16"/>
  <c r="R178" i="16" s="1"/>
  <c r="P178" i="16"/>
  <c r="L178" i="16"/>
  <c r="R177" i="16"/>
  <c r="Q177" i="16"/>
  <c r="P177" i="16"/>
  <c r="L177" i="16"/>
  <c r="Q176" i="16"/>
  <c r="R176" i="16" s="1"/>
  <c r="P176" i="16"/>
  <c r="L176" i="16"/>
  <c r="Q175" i="16"/>
  <c r="R175" i="16" s="1"/>
  <c r="P175" i="16"/>
  <c r="L175" i="16"/>
  <c r="Q174" i="16"/>
  <c r="R174" i="16" s="1"/>
  <c r="P174" i="16"/>
  <c r="L174" i="16"/>
  <c r="R173" i="16"/>
  <c r="Q173" i="16"/>
  <c r="P173" i="16"/>
  <c r="L173" i="16"/>
  <c r="Q172" i="16"/>
  <c r="R172" i="16" s="1"/>
  <c r="P172" i="16"/>
  <c r="L172" i="16"/>
  <c r="Q171" i="16"/>
  <c r="R171" i="16" s="1"/>
  <c r="P171" i="16"/>
  <c r="L171" i="16"/>
  <c r="R170" i="16"/>
  <c r="Q170" i="16"/>
  <c r="P170" i="16"/>
  <c r="L170" i="16"/>
  <c r="Q169" i="16"/>
  <c r="R169" i="16" s="1"/>
  <c r="P169" i="16"/>
  <c r="L169" i="16"/>
  <c r="Q168" i="16"/>
  <c r="R168" i="16" s="1"/>
  <c r="P168" i="16"/>
  <c r="L168" i="16"/>
  <c r="Q167" i="16"/>
  <c r="R167" i="16" s="1"/>
  <c r="P167" i="16"/>
  <c r="L167" i="16"/>
  <c r="Q166" i="16"/>
  <c r="R166" i="16" s="1"/>
  <c r="P166" i="16"/>
  <c r="L166" i="16"/>
  <c r="R165" i="16"/>
  <c r="Q165" i="16"/>
  <c r="P165" i="16"/>
  <c r="L165" i="16"/>
  <c r="Q164" i="16"/>
  <c r="R164" i="16" s="1"/>
  <c r="P164" i="16"/>
  <c r="L164" i="16"/>
  <c r="Q163" i="16"/>
  <c r="R163" i="16" s="1"/>
  <c r="P163" i="16"/>
  <c r="L163" i="16"/>
  <c r="R162" i="16"/>
  <c r="Q162" i="16"/>
  <c r="P162" i="16"/>
  <c r="L162" i="16"/>
  <c r="Q161" i="16"/>
  <c r="R161" i="16" s="1"/>
  <c r="P161" i="16"/>
  <c r="L161" i="16"/>
  <c r="Q160" i="16"/>
  <c r="R160" i="16" s="1"/>
  <c r="P160" i="16"/>
  <c r="L160" i="16"/>
  <c r="Q159" i="16"/>
  <c r="R159" i="16" s="1"/>
  <c r="P159" i="16"/>
  <c r="L159" i="16"/>
  <c r="Q158" i="16"/>
  <c r="R158" i="16" s="1"/>
  <c r="P158" i="16"/>
  <c r="L158" i="16"/>
  <c r="Q157" i="16"/>
  <c r="R157" i="16" s="1"/>
  <c r="P157" i="16"/>
  <c r="L157" i="16"/>
  <c r="Q156" i="16"/>
  <c r="R156" i="16" s="1"/>
  <c r="P156" i="16"/>
  <c r="L156" i="16"/>
  <c r="R155" i="16"/>
  <c r="Q155" i="16"/>
  <c r="P155" i="16"/>
  <c r="L155" i="16"/>
  <c r="Q154" i="16"/>
  <c r="R154" i="16" s="1"/>
  <c r="P154" i="16"/>
  <c r="L154" i="16"/>
  <c r="R153" i="16"/>
  <c r="Q153" i="16"/>
  <c r="P153" i="16"/>
  <c r="L153" i="16"/>
  <c r="Q152" i="16"/>
  <c r="R152" i="16" s="1"/>
  <c r="P152" i="16"/>
  <c r="L152" i="16"/>
  <c r="R151" i="16"/>
  <c r="Q151" i="16"/>
  <c r="P151" i="16"/>
  <c r="L151" i="16"/>
  <c r="Q150" i="16"/>
  <c r="R150" i="16" s="1"/>
  <c r="P150" i="16"/>
  <c r="L150" i="16"/>
  <c r="Q149" i="16"/>
  <c r="R149" i="16" s="1"/>
  <c r="P149" i="16"/>
  <c r="L149" i="16"/>
  <c r="Q148" i="16"/>
  <c r="R148" i="16" s="1"/>
  <c r="P148" i="16"/>
  <c r="L148" i="16"/>
  <c r="R147" i="16"/>
  <c r="Q147" i="16"/>
  <c r="P147" i="16"/>
  <c r="L147" i="16"/>
  <c r="Q146" i="16"/>
  <c r="R146" i="16" s="1"/>
  <c r="P146" i="16"/>
  <c r="L146" i="16"/>
  <c r="R145" i="16"/>
  <c r="Q145" i="16"/>
  <c r="P145" i="16"/>
  <c r="L145" i="16"/>
  <c r="Q144" i="16"/>
  <c r="R144" i="16" s="1"/>
  <c r="P144" i="16"/>
  <c r="L144" i="16"/>
  <c r="R143" i="16"/>
  <c r="Q143" i="16"/>
  <c r="P143" i="16"/>
  <c r="L143" i="16"/>
  <c r="Q142" i="16"/>
  <c r="R142" i="16" s="1"/>
  <c r="P142" i="16"/>
  <c r="L142" i="16"/>
  <c r="Q141" i="16"/>
  <c r="R141" i="16" s="1"/>
  <c r="P141" i="16"/>
  <c r="L141" i="16"/>
  <c r="Q140" i="16"/>
  <c r="R140" i="16" s="1"/>
  <c r="P140" i="16"/>
  <c r="L140" i="16"/>
  <c r="Q139" i="16"/>
  <c r="R139" i="16" s="1"/>
  <c r="P139" i="16"/>
  <c r="L139" i="16"/>
  <c r="R138" i="16"/>
  <c r="Q138" i="16"/>
  <c r="P138" i="16"/>
  <c r="L138" i="16"/>
  <c r="Q137" i="16"/>
  <c r="R137" i="16" s="1"/>
  <c r="P137" i="16"/>
  <c r="L137" i="16"/>
  <c r="Q136" i="16"/>
  <c r="R136" i="16" s="1"/>
  <c r="P136" i="16"/>
  <c r="L136" i="16"/>
  <c r="R135" i="16"/>
  <c r="Q135" i="16"/>
  <c r="P135" i="16"/>
  <c r="L135" i="16"/>
  <c r="R134" i="16"/>
  <c r="Q134" i="16"/>
  <c r="P134" i="16"/>
  <c r="L134" i="16"/>
  <c r="Q133" i="16"/>
  <c r="R133" i="16" s="1"/>
  <c r="P133" i="16"/>
  <c r="L133" i="16"/>
  <c r="Q132" i="16"/>
  <c r="R132" i="16" s="1"/>
  <c r="P132" i="16"/>
  <c r="L132" i="16"/>
  <c r="Q131" i="16"/>
  <c r="R131" i="16" s="1"/>
  <c r="P131" i="16"/>
  <c r="L131" i="16"/>
  <c r="R130" i="16"/>
  <c r="Q130" i="16"/>
  <c r="P130" i="16"/>
  <c r="L130" i="16"/>
  <c r="Q129" i="16"/>
  <c r="R129" i="16" s="1"/>
  <c r="P129" i="16"/>
  <c r="L129" i="16"/>
  <c r="Q128" i="16"/>
  <c r="R128" i="16" s="1"/>
  <c r="P128" i="16"/>
  <c r="L128" i="16"/>
  <c r="Q127" i="16"/>
  <c r="R127" i="16" s="1"/>
  <c r="P127" i="16"/>
  <c r="L127" i="16"/>
  <c r="R126" i="16"/>
  <c r="Q126" i="16"/>
  <c r="P126" i="16"/>
  <c r="L126" i="16"/>
  <c r="Q125" i="16"/>
  <c r="R125" i="16" s="1"/>
  <c r="P125" i="16"/>
  <c r="L125" i="16"/>
  <c r="Q124" i="16"/>
  <c r="R124" i="16" s="1"/>
  <c r="P124" i="16"/>
  <c r="L124" i="16"/>
  <c r="R123" i="16"/>
  <c r="Q123" i="16"/>
  <c r="P123" i="16"/>
  <c r="L123" i="16"/>
  <c r="Q122" i="16"/>
  <c r="R122" i="16" s="1"/>
  <c r="P122" i="16"/>
  <c r="L122" i="16"/>
  <c r="R121" i="16"/>
  <c r="Q121" i="16"/>
  <c r="P121" i="16"/>
  <c r="L121" i="16"/>
  <c r="Q120" i="16"/>
  <c r="R120" i="16" s="1"/>
  <c r="P120" i="16"/>
  <c r="L120" i="16"/>
  <c r="Q119" i="16"/>
  <c r="R119" i="16" s="1"/>
  <c r="P119" i="16"/>
  <c r="L119" i="16"/>
  <c r="R118" i="16"/>
  <c r="Q118" i="16"/>
  <c r="P118" i="16"/>
  <c r="L118" i="16"/>
  <c r="R117" i="16"/>
  <c r="Q117" i="16"/>
  <c r="P117" i="16"/>
  <c r="L117" i="16"/>
  <c r="Q116" i="16"/>
  <c r="R116" i="16" s="1"/>
  <c r="P116" i="16"/>
  <c r="L116" i="16"/>
  <c r="R115" i="16"/>
  <c r="Q115" i="16"/>
  <c r="P115" i="16"/>
  <c r="L115" i="16"/>
  <c r="Q114" i="16"/>
  <c r="R114" i="16" s="1"/>
  <c r="P114" i="16"/>
  <c r="L114" i="16"/>
  <c r="R113" i="16"/>
  <c r="Q113" i="16"/>
  <c r="P113" i="16"/>
  <c r="L113" i="16"/>
  <c r="Q112" i="16"/>
  <c r="R112" i="16" s="1"/>
  <c r="P112" i="16"/>
  <c r="L112" i="16"/>
  <c r="Q111" i="16"/>
  <c r="R111" i="16" s="1"/>
  <c r="P111" i="16"/>
  <c r="L111" i="16"/>
  <c r="Q110" i="16"/>
  <c r="R110" i="16" s="1"/>
  <c r="P110" i="16"/>
  <c r="L110" i="16"/>
  <c r="R109" i="16"/>
  <c r="Q109" i="16"/>
  <c r="P109" i="16"/>
  <c r="L109" i="16"/>
  <c r="Q108" i="16"/>
  <c r="R108" i="16" s="1"/>
  <c r="P108" i="16"/>
  <c r="L108" i="16"/>
  <c r="Q107" i="16"/>
  <c r="R107" i="16" s="1"/>
  <c r="P107" i="16"/>
  <c r="L107" i="16"/>
  <c r="R106" i="16"/>
  <c r="Q106" i="16"/>
  <c r="P106" i="16"/>
  <c r="L106" i="16"/>
  <c r="Q105" i="16"/>
  <c r="R105" i="16" s="1"/>
  <c r="P105" i="16"/>
  <c r="L105" i="16"/>
  <c r="Q104" i="16"/>
  <c r="R104" i="16" s="1"/>
  <c r="P104" i="16"/>
  <c r="L104" i="16"/>
  <c r="Q103" i="16"/>
  <c r="R103" i="16" s="1"/>
  <c r="P103" i="16"/>
  <c r="L103" i="16"/>
  <c r="Q102" i="16"/>
  <c r="R102" i="16" s="1"/>
  <c r="P102" i="16"/>
  <c r="L102" i="16"/>
  <c r="R101" i="16"/>
  <c r="Q101" i="16"/>
  <c r="P101" i="16"/>
  <c r="L101" i="16"/>
  <c r="Q100" i="16"/>
  <c r="R100" i="16" s="1"/>
  <c r="P100" i="16"/>
  <c r="L100" i="16"/>
  <c r="Q99" i="16"/>
  <c r="R99" i="16" s="1"/>
  <c r="P99" i="16"/>
  <c r="L99" i="16"/>
  <c r="R98" i="16"/>
  <c r="Q98" i="16"/>
  <c r="P98" i="16"/>
  <c r="L98" i="16"/>
  <c r="Q97" i="16"/>
  <c r="R97" i="16" s="1"/>
  <c r="P97" i="16"/>
  <c r="L97" i="16"/>
  <c r="Q96" i="16"/>
  <c r="R96" i="16" s="1"/>
  <c r="P96" i="16"/>
  <c r="L96" i="16"/>
  <c r="Q95" i="16"/>
  <c r="R95" i="16" s="1"/>
  <c r="P95" i="16"/>
  <c r="L95" i="16"/>
  <c r="Q94" i="16"/>
  <c r="R94" i="16" s="1"/>
  <c r="P94" i="16"/>
  <c r="L94" i="16"/>
  <c r="Q93" i="16"/>
  <c r="R93" i="16" s="1"/>
  <c r="P93" i="16"/>
  <c r="L93" i="16"/>
  <c r="Q92" i="16"/>
  <c r="R92" i="16" s="1"/>
  <c r="P92" i="16"/>
  <c r="L92" i="16"/>
  <c r="R91" i="16"/>
  <c r="Q91" i="16"/>
  <c r="P91" i="16"/>
  <c r="L91" i="16"/>
  <c r="Q90" i="16"/>
  <c r="R90" i="16" s="1"/>
  <c r="P90" i="16"/>
  <c r="L90" i="16"/>
  <c r="R89" i="16"/>
  <c r="Q89" i="16"/>
  <c r="P89" i="16"/>
  <c r="L89" i="16"/>
  <c r="Q88" i="16"/>
  <c r="R88" i="16" s="1"/>
  <c r="P88" i="16"/>
  <c r="L88" i="16"/>
  <c r="R87" i="16"/>
  <c r="Q87" i="16"/>
  <c r="P87" i="16"/>
  <c r="L87" i="16"/>
  <c r="Q86" i="16"/>
  <c r="R86" i="16" s="1"/>
  <c r="P86" i="16"/>
  <c r="L86" i="16"/>
  <c r="Q85" i="16"/>
  <c r="R85" i="16" s="1"/>
  <c r="P85" i="16"/>
  <c r="L85" i="16"/>
  <c r="Q84" i="16"/>
  <c r="R84" i="16" s="1"/>
  <c r="P84" i="16"/>
  <c r="L84" i="16"/>
  <c r="R83" i="16"/>
  <c r="Q83" i="16"/>
  <c r="P83" i="16"/>
  <c r="L83" i="16"/>
  <c r="Q82" i="16"/>
  <c r="R82" i="16" s="1"/>
  <c r="P82" i="16"/>
  <c r="L82" i="16"/>
  <c r="R81" i="16"/>
  <c r="Q81" i="16"/>
  <c r="P81" i="16"/>
  <c r="L81" i="16"/>
  <c r="Q80" i="16"/>
  <c r="R80" i="16" s="1"/>
  <c r="P80" i="16"/>
  <c r="L80" i="16"/>
  <c r="R79" i="16"/>
  <c r="Q79" i="16"/>
  <c r="P79" i="16"/>
  <c r="L79" i="16"/>
  <c r="Q78" i="16"/>
  <c r="R78" i="16" s="1"/>
  <c r="P78" i="16"/>
  <c r="L78" i="16"/>
  <c r="Q77" i="16"/>
  <c r="R77" i="16" s="1"/>
  <c r="P77" i="16"/>
  <c r="L77" i="16"/>
  <c r="Q76" i="16"/>
  <c r="R76" i="16" s="1"/>
  <c r="P76" i="16"/>
  <c r="L76" i="16"/>
  <c r="Q75" i="16"/>
  <c r="R75" i="16" s="1"/>
  <c r="P75" i="16"/>
  <c r="L75" i="16"/>
  <c r="R74" i="16"/>
  <c r="Q74" i="16"/>
  <c r="P74" i="16"/>
  <c r="L74" i="16"/>
  <c r="Q73" i="16"/>
  <c r="R73" i="16" s="1"/>
  <c r="P73" i="16"/>
  <c r="L73" i="16"/>
  <c r="Q72" i="16"/>
  <c r="R72" i="16" s="1"/>
  <c r="P72" i="16"/>
  <c r="L72" i="16"/>
  <c r="R71" i="16"/>
  <c r="Q71" i="16"/>
  <c r="P71" i="16"/>
  <c r="L71" i="16"/>
  <c r="R70" i="16"/>
  <c r="Q70" i="16"/>
  <c r="P70" i="16"/>
  <c r="L70" i="16"/>
  <c r="Q69" i="16"/>
  <c r="R69" i="16" s="1"/>
  <c r="P69" i="16"/>
  <c r="L69" i="16"/>
  <c r="Q68" i="16"/>
  <c r="R68" i="16" s="1"/>
  <c r="P68" i="16"/>
  <c r="L68" i="16"/>
  <c r="Q67" i="16"/>
  <c r="R67" i="16" s="1"/>
  <c r="P67" i="16"/>
  <c r="L67" i="16"/>
  <c r="R66" i="16"/>
  <c r="Q66" i="16"/>
  <c r="P66" i="16"/>
  <c r="L66" i="16"/>
  <c r="Q65" i="16"/>
  <c r="R65" i="16" s="1"/>
  <c r="P65" i="16"/>
  <c r="L65" i="16"/>
  <c r="Q64" i="16"/>
  <c r="R64" i="16" s="1"/>
  <c r="P64" i="16"/>
  <c r="L64" i="16"/>
  <c r="Q63" i="16"/>
  <c r="R63" i="16" s="1"/>
  <c r="P63" i="16"/>
  <c r="L63" i="16"/>
  <c r="R62" i="16"/>
  <c r="Q62" i="16"/>
  <c r="P62" i="16"/>
  <c r="L62" i="16"/>
  <c r="Q61" i="16"/>
  <c r="R61" i="16" s="1"/>
  <c r="P61" i="16"/>
  <c r="L61" i="16"/>
  <c r="Q60" i="16"/>
  <c r="R60" i="16" s="1"/>
  <c r="P60" i="16"/>
  <c r="L60" i="16"/>
  <c r="R59" i="16"/>
  <c r="Q59" i="16"/>
  <c r="P59" i="16"/>
  <c r="L59" i="16"/>
  <c r="Q58" i="16"/>
  <c r="R58" i="16" s="1"/>
  <c r="P58" i="16"/>
  <c r="L58" i="16"/>
  <c r="R57" i="16"/>
  <c r="Q57" i="16"/>
  <c r="P57" i="16"/>
  <c r="L57" i="16"/>
  <c r="Q56" i="16"/>
  <c r="R56" i="16" s="1"/>
  <c r="P56" i="16"/>
  <c r="L56" i="16"/>
  <c r="Q55" i="16"/>
  <c r="R55" i="16" s="1"/>
  <c r="P55" i="16"/>
  <c r="L55" i="16"/>
  <c r="R54" i="16"/>
  <c r="Q54" i="16"/>
  <c r="P54" i="16"/>
  <c r="L54" i="16"/>
  <c r="R53" i="16"/>
  <c r="Q53" i="16"/>
  <c r="P53" i="16"/>
  <c r="L53" i="16"/>
  <c r="Q52" i="16"/>
  <c r="R52" i="16" s="1"/>
  <c r="P52" i="16"/>
  <c r="L52" i="16"/>
  <c r="R51" i="16"/>
  <c r="Q51" i="16"/>
  <c r="P51" i="16"/>
  <c r="L51" i="16"/>
  <c r="Q50" i="16"/>
  <c r="R50" i="16" s="1"/>
  <c r="P50" i="16"/>
  <c r="L50" i="16"/>
  <c r="R49" i="16"/>
  <c r="Q49" i="16"/>
  <c r="P49" i="16"/>
  <c r="L49" i="16"/>
  <c r="Q48" i="16"/>
  <c r="R48" i="16" s="1"/>
  <c r="P48" i="16"/>
  <c r="L48" i="16"/>
  <c r="Q47" i="16"/>
  <c r="R47" i="16" s="1"/>
  <c r="P47" i="16"/>
  <c r="L47" i="16"/>
  <c r="Q46" i="16"/>
  <c r="R46" i="16" s="1"/>
  <c r="P46" i="16"/>
  <c r="L46" i="16"/>
  <c r="R45" i="16"/>
  <c r="Q45" i="16"/>
  <c r="P45" i="16"/>
  <c r="L45" i="16"/>
  <c r="Q44" i="16"/>
  <c r="R44" i="16" s="1"/>
  <c r="P44" i="16"/>
  <c r="L44" i="16"/>
  <c r="Q43" i="16"/>
  <c r="R43" i="16" s="1"/>
  <c r="P43" i="16"/>
  <c r="L43" i="16"/>
  <c r="R42" i="16"/>
  <c r="Q42" i="16"/>
  <c r="P42" i="16"/>
  <c r="L42" i="16"/>
  <c r="Q41" i="16"/>
  <c r="R41" i="16" s="1"/>
  <c r="P41" i="16"/>
  <c r="L41" i="16"/>
  <c r="Q40" i="16"/>
  <c r="R40" i="16" s="1"/>
  <c r="P40" i="16"/>
  <c r="L40" i="16"/>
  <c r="Q39" i="16"/>
  <c r="R39" i="16" s="1"/>
  <c r="P39" i="16"/>
  <c r="L39" i="16"/>
  <c r="Q38" i="16"/>
  <c r="R38" i="16" s="1"/>
  <c r="P38" i="16"/>
  <c r="L38" i="16"/>
  <c r="R37" i="16"/>
  <c r="Q37" i="16"/>
  <c r="P37" i="16"/>
  <c r="L37" i="16"/>
  <c r="Q36" i="16"/>
  <c r="R36" i="16" s="1"/>
  <c r="P36" i="16"/>
  <c r="L36" i="16"/>
  <c r="Q35" i="16"/>
  <c r="R35" i="16" s="1"/>
  <c r="P35" i="16"/>
  <c r="L35" i="16"/>
  <c r="R34" i="16"/>
  <c r="Q34" i="16"/>
  <c r="P34" i="16"/>
  <c r="L34" i="16"/>
  <c r="Q33" i="16"/>
  <c r="R33" i="16" s="1"/>
  <c r="P33" i="16"/>
  <c r="L33" i="16"/>
  <c r="Q32" i="16"/>
  <c r="R32" i="16" s="1"/>
  <c r="P32" i="16"/>
  <c r="L32" i="16"/>
  <c r="Q31" i="16"/>
  <c r="R31" i="16" s="1"/>
  <c r="P31" i="16"/>
  <c r="L31" i="16"/>
  <c r="Q30" i="16"/>
  <c r="R30" i="16" s="1"/>
  <c r="P30" i="16"/>
  <c r="L30" i="16"/>
  <c r="Q29" i="16"/>
  <c r="R29" i="16" s="1"/>
  <c r="P29" i="16"/>
  <c r="L29" i="16"/>
  <c r="Q28" i="16"/>
  <c r="R28" i="16" s="1"/>
  <c r="P28" i="16"/>
  <c r="L28" i="16"/>
  <c r="R27" i="16"/>
  <c r="Q27" i="16"/>
  <c r="P27" i="16"/>
  <c r="L27" i="16"/>
  <c r="Q26" i="16"/>
  <c r="R26" i="16" s="1"/>
  <c r="P26" i="16"/>
  <c r="L26" i="16"/>
  <c r="R25" i="16"/>
  <c r="Q25" i="16"/>
  <c r="P25" i="16"/>
  <c r="L25" i="16"/>
  <c r="Q24" i="16"/>
  <c r="R24" i="16" s="1"/>
  <c r="P24" i="16"/>
  <c r="L24" i="16"/>
  <c r="R23" i="16"/>
  <c r="Q23" i="16"/>
  <c r="P23" i="16"/>
  <c r="L23" i="16"/>
  <c r="Q22" i="16"/>
  <c r="R22" i="16" s="1"/>
  <c r="P22" i="16"/>
  <c r="L22" i="16"/>
  <c r="Q21" i="16"/>
  <c r="R21" i="16" s="1"/>
  <c r="P21" i="16"/>
  <c r="L21" i="16"/>
  <c r="Q20" i="16"/>
  <c r="R20" i="16" s="1"/>
  <c r="P20" i="16"/>
  <c r="L20" i="16"/>
  <c r="R19" i="16"/>
  <c r="Q19" i="16"/>
  <c r="P19" i="16"/>
  <c r="L19" i="16"/>
  <c r="Q18" i="16"/>
  <c r="R18" i="16" s="1"/>
  <c r="P18" i="16"/>
  <c r="L18" i="16"/>
  <c r="R17" i="16"/>
  <c r="Q17" i="16"/>
  <c r="P17" i="16"/>
  <c r="L17" i="16"/>
  <c r="Q16" i="16"/>
  <c r="R16" i="16" s="1"/>
  <c r="P16" i="16"/>
  <c r="L16" i="16"/>
  <c r="R15" i="16"/>
  <c r="Q15" i="16"/>
  <c r="P15" i="16"/>
  <c r="L15" i="16"/>
  <c r="Q14" i="16"/>
  <c r="R14" i="16" s="1"/>
  <c r="P14" i="16"/>
  <c r="L14" i="16"/>
  <c r="Q13" i="16"/>
  <c r="R13" i="16" s="1"/>
  <c r="P13" i="16"/>
  <c r="L13" i="16"/>
  <c r="Q12" i="16"/>
  <c r="R12" i="16" s="1"/>
  <c r="P12" i="16"/>
  <c r="L12" i="16"/>
  <c r="Q11" i="16"/>
  <c r="R11" i="16" s="1"/>
  <c r="P11" i="16"/>
  <c r="L11" i="16"/>
  <c r="R10" i="16"/>
  <c r="Q10" i="16"/>
  <c r="P10" i="16"/>
  <c r="L10" i="16"/>
  <c r="Q9" i="16"/>
  <c r="R9" i="16" s="1"/>
  <c r="P9" i="16"/>
  <c r="L9" i="16"/>
  <c r="Q8" i="16"/>
  <c r="R8" i="16" s="1"/>
  <c r="P8" i="16"/>
  <c r="L8" i="16"/>
  <c r="R7" i="16"/>
  <c r="Q7" i="16"/>
  <c r="P7" i="16"/>
  <c r="L7" i="16"/>
  <c r="Q6" i="16"/>
  <c r="R6" i="16" s="1"/>
  <c r="P6" i="16"/>
  <c r="L6" i="16"/>
  <c r="Q5" i="16"/>
  <c r="R5" i="16" s="1"/>
  <c r="P5" i="16"/>
  <c r="L5" i="16"/>
  <c r="Q4" i="16"/>
  <c r="R4" i="16" s="1"/>
  <c r="P4" i="16"/>
  <c r="L4" i="16"/>
  <c r="Q3" i="16"/>
  <c r="R3" i="16" s="1"/>
  <c r="P3" i="16"/>
  <c r="L3" i="16"/>
  <c r="R2" i="16"/>
  <c r="Q2" i="16"/>
  <c r="P2" i="16"/>
  <c r="L2" i="16"/>
  <c r="Q3" i="15"/>
  <c r="R3" i="15" s="1"/>
  <c r="P3" i="15"/>
  <c r="L3" i="15"/>
  <c r="Q2" i="15"/>
  <c r="R2" i="15" s="1"/>
  <c r="P2" i="15"/>
  <c r="L2" i="15"/>
  <c r="Q11" i="14"/>
  <c r="R11" i="14" s="1"/>
  <c r="P11" i="14"/>
  <c r="L11" i="14"/>
  <c r="R10" i="14"/>
  <c r="Q10" i="14"/>
  <c r="P10" i="14"/>
  <c r="L10" i="14"/>
  <c r="Q9" i="14"/>
  <c r="R9" i="14" s="1"/>
  <c r="P9" i="14"/>
  <c r="L9" i="14"/>
  <c r="Q8" i="14"/>
  <c r="R8" i="14" s="1"/>
  <c r="P8" i="14"/>
  <c r="L8" i="14"/>
  <c r="R7" i="14"/>
  <c r="Q7" i="14"/>
  <c r="P7" i="14"/>
  <c r="L7" i="14"/>
  <c r="Q6" i="14"/>
  <c r="R6" i="14" s="1"/>
  <c r="P6" i="14"/>
  <c r="L6" i="14"/>
  <c r="R5" i="14"/>
  <c r="Q5" i="14"/>
  <c r="P5" i="14"/>
  <c r="L5" i="14"/>
  <c r="Q4" i="14"/>
  <c r="R4" i="14" s="1"/>
  <c r="P4" i="14"/>
  <c r="L4" i="14"/>
  <c r="Q3" i="14"/>
  <c r="R3" i="14" s="1"/>
  <c r="P3" i="14"/>
  <c r="L3" i="14"/>
  <c r="R2" i="14"/>
  <c r="Q2" i="14"/>
  <c r="P2" i="14"/>
  <c r="L2" i="14"/>
  <c r="Q17" i="13"/>
  <c r="R17" i="13" s="1"/>
  <c r="P17" i="13"/>
  <c r="L17" i="13"/>
  <c r="Q16" i="13"/>
  <c r="R16" i="13" s="1"/>
  <c r="P16" i="13"/>
  <c r="L16" i="13"/>
  <c r="R15" i="13"/>
  <c r="Q15" i="13"/>
  <c r="P15" i="13"/>
  <c r="L15" i="13"/>
  <c r="Q14" i="13"/>
  <c r="R14" i="13" s="1"/>
  <c r="P14" i="13"/>
  <c r="L14" i="13"/>
  <c r="R13" i="13"/>
  <c r="Q13" i="13"/>
  <c r="P13" i="13"/>
  <c r="L13" i="13"/>
  <c r="Q12" i="13"/>
  <c r="R12" i="13" s="1"/>
  <c r="P12" i="13"/>
  <c r="L12" i="13"/>
  <c r="Q11" i="13"/>
  <c r="R11" i="13" s="1"/>
  <c r="P11" i="13"/>
  <c r="L11" i="13"/>
  <c r="Q10" i="13"/>
  <c r="R10" i="13" s="1"/>
  <c r="P10" i="13"/>
  <c r="L10" i="13"/>
  <c r="R9" i="13"/>
  <c r="Q9" i="13"/>
  <c r="P9" i="13"/>
  <c r="L9" i="13"/>
  <c r="Q8" i="13"/>
  <c r="R8" i="13" s="1"/>
  <c r="P8" i="13"/>
  <c r="L8" i="13"/>
  <c r="Q7" i="13"/>
  <c r="R7" i="13" s="1"/>
  <c r="P7" i="13"/>
  <c r="L7" i="13"/>
  <c r="R6" i="13"/>
  <c r="Q6" i="13"/>
  <c r="P6" i="13"/>
  <c r="L6" i="13"/>
  <c r="Q5" i="13"/>
  <c r="R5" i="13" s="1"/>
  <c r="P5" i="13"/>
  <c r="L5" i="13"/>
  <c r="Q4" i="13"/>
  <c r="R4" i="13" s="1"/>
  <c r="P4" i="13"/>
  <c r="L4" i="13"/>
  <c r="Q3" i="13"/>
  <c r="R3" i="13" s="1"/>
  <c r="P3" i="13"/>
  <c r="L3" i="13"/>
  <c r="Q2" i="13"/>
  <c r="R2" i="13" s="1"/>
  <c r="P2" i="13"/>
  <c r="L2" i="13"/>
  <c r="R55" i="12"/>
  <c r="Q55" i="12"/>
  <c r="P55" i="12"/>
  <c r="L55" i="12"/>
  <c r="Q54" i="12"/>
  <c r="R54" i="12" s="1"/>
  <c r="P54" i="12"/>
  <c r="L54" i="12"/>
  <c r="Q53" i="12"/>
  <c r="R53" i="12" s="1"/>
  <c r="P53" i="12"/>
  <c r="L53" i="12"/>
  <c r="R52" i="12"/>
  <c r="Q52" i="12"/>
  <c r="P52" i="12"/>
  <c r="L52" i="12"/>
  <c r="Q51" i="12"/>
  <c r="R51" i="12" s="1"/>
  <c r="P51" i="12"/>
  <c r="L51" i="12"/>
  <c r="Q50" i="12"/>
  <c r="R50" i="12" s="1"/>
  <c r="P50" i="12"/>
  <c r="L50" i="12"/>
  <c r="Q49" i="12"/>
  <c r="R49" i="12" s="1"/>
  <c r="P49" i="12"/>
  <c r="L49" i="12"/>
  <c r="Q48" i="12"/>
  <c r="R48" i="12" s="1"/>
  <c r="P48" i="12"/>
  <c r="L48" i="12"/>
  <c r="Q47" i="12"/>
  <c r="R47" i="12" s="1"/>
  <c r="P47" i="12"/>
  <c r="L47" i="12"/>
  <c r="Q46" i="12"/>
  <c r="R46" i="12" s="1"/>
  <c r="P46" i="12"/>
  <c r="L46" i="12"/>
  <c r="R45" i="12"/>
  <c r="Q45" i="12"/>
  <c r="P45" i="12"/>
  <c r="L45" i="12"/>
  <c r="Q44" i="12"/>
  <c r="R44" i="12" s="1"/>
  <c r="P44" i="12"/>
  <c r="L44" i="12"/>
  <c r="R43" i="12"/>
  <c r="Q43" i="12"/>
  <c r="P43" i="12"/>
  <c r="L43" i="12"/>
  <c r="Q42" i="12"/>
  <c r="R42" i="12" s="1"/>
  <c r="P42" i="12"/>
  <c r="L42" i="12"/>
  <c r="Q41" i="12"/>
  <c r="R41" i="12" s="1"/>
  <c r="P41" i="12"/>
  <c r="L41" i="12"/>
  <c r="Q40" i="12"/>
  <c r="R40" i="12" s="1"/>
  <c r="P40" i="12"/>
  <c r="L40" i="12"/>
  <c r="Q39" i="12"/>
  <c r="R39" i="12" s="1"/>
  <c r="P39" i="12"/>
  <c r="L39" i="12"/>
  <c r="Q38" i="12"/>
  <c r="R38" i="12" s="1"/>
  <c r="P38" i="12"/>
  <c r="L38" i="12"/>
  <c r="R37" i="12"/>
  <c r="Q37" i="12"/>
  <c r="P37" i="12"/>
  <c r="L37" i="12"/>
  <c r="Q36" i="12"/>
  <c r="R36" i="12" s="1"/>
  <c r="P36" i="12"/>
  <c r="L36" i="12"/>
  <c r="R35" i="12"/>
  <c r="Q35" i="12"/>
  <c r="P35" i="12"/>
  <c r="L35" i="12"/>
  <c r="Q34" i="12"/>
  <c r="R34" i="12" s="1"/>
  <c r="P34" i="12"/>
  <c r="L34" i="12"/>
  <c r="R33" i="12"/>
  <c r="Q33" i="12"/>
  <c r="P33" i="12"/>
  <c r="L33" i="12"/>
  <c r="Q32" i="12"/>
  <c r="R32" i="12" s="1"/>
  <c r="P32" i="12"/>
  <c r="L32" i="12"/>
  <c r="Q31" i="12"/>
  <c r="R31" i="12" s="1"/>
  <c r="P31" i="12"/>
  <c r="L31" i="12"/>
  <c r="Q30" i="12"/>
  <c r="R30" i="12" s="1"/>
  <c r="P30" i="12"/>
  <c r="L30" i="12"/>
  <c r="Q29" i="12"/>
  <c r="R29" i="12" s="1"/>
  <c r="P29" i="12"/>
  <c r="L29" i="12"/>
  <c r="R28" i="12"/>
  <c r="Q28" i="12"/>
  <c r="P28" i="12"/>
  <c r="L28" i="12"/>
  <c r="Q27" i="12"/>
  <c r="R27" i="12" s="1"/>
  <c r="P27" i="12"/>
  <c r="L27" i="12"/>
  <c r="Q26" i="12"/>
  <c r="R26" i="12" s="1"/>
  <c r="P26" i="12"/>
  <c r="L26" i="12"/>
  <c r="R25" i="12"/>
  <c r="Q25" i="12"/>
  <c r="P25" i="12"/>
  <c r="L25" i="12"/>
  <c r="Q24" i="12"/>
  <c r="R24" i="12" s="1"/>
  <c r="P24" i="12"/>
  <c r="L24" i="12"/>
  <c r="Q23" i="12"/>
  <c r="R23" i="12" s="1"/>
  <c r="P23" i="12"/>
  <c r="L23" i="12"/>
  <c r="Q22" i="12"/>
  <c r="R22" i="12" s="1"/>
  <c r="P22" i="12"/>
  <c r="L22" i="12"/>
  <c r="Q21" i="12"/>
  <c r="R21" i="12" s="1"/>
  <c r="P21" i="12"/>
  <c r="L21" i="12"/>
  <c r="R20" i="12"/>
  <c r="Q20" i="12"/>
  <c r="P20" i="12"/>
  <c r="L20" i="12"/>
  <c r="Q19" i="12"/>
  <c r="R19" i="12" s="1"/>
  <c r="P19" i="12"/>
  <c r="L19" i="12"/>
  <c r="Q18" i="12"/>
  <c r="R18" i="12" s="1"/>
  <c r="P18" i="12"/>
  <c r="L18" i="12"/>
  <c r="Q17" i="12"/>
  <c r="R17" i="12" s="1"/>
  <c r="P17" i="12"/>
  <c r="L17" i="12"/>
  <c r="R16" i="12"/>
  <c r="Q16" i="12"/>
  <c r="P16" i="12"/>
  <c r="L16" i="12"/>
  <c r="Q15" i="12"/>
  <c r="R15" i="12" s="1"/>
  <c r="P15" i="12"/>
  <c r="L15" i="12"/>
  <c r="Q14" i="12"/>
  <c r="R14" i="12" s="1"/>
  <c r="P14" i="12"/>
  <c r="L14" i="12"/>
  <c r="R13" i="12"/>
  <c r="Q13" i="12"/>
  <c r="P13" i="12"/>
  <c r="L13" i="12"/>
  <c r="Q12" i="12"/>
  <c r="R12" i="12" s="1"/>
  <c r="P12" i="12"/>
  <c r="L12" i="12"/>
  <c r="R11" i="12"/>
  <c r="Q11" i="12"/>
  <c r="P11" i="12"/>
  <c r="L11" i="12"/>
  <c r="Q10" i="12"/>
  <c r="R10" i="12" s="1"/>
  <c r="P10" i="12"/>
  <c r="L10" i="12"/>
  <c r="Q9" i="12"/>
  <c r="R9" i="12" s="1"/>
  <c r="P9" i="12"/>
  <c r="L9" i="12"/>
  <c r="R8" i="12"/>
  <c r="Q8" i="12"/>
  <c r="P8" i="12"/>
  <c r="L8" i="12"/>
  <c r="Q7" i="12"/>
  <c r="R7" i="12" s="1"/>
  <c r="P7" i="12"/>
  <c r="L7" i="12"/>
  <c r="Q6" i="12"/>
  <c r="R6" i="12" s="1"/>
  <c r="P6" i="12"/>
  <c r="L6" i="12"/>
  <c r="R5" i="12"/>
  <c r="Q5" i="12"/>
  <c r="P5" i="12"/>
  <c r="L5" i="12"/>
  <c r="Q4" i="12"/>
  <c r="R4" i="12" s="1"/>
  <c r="P4" i="12"/>
  <c r="L4" i="12"/>
  <c r="R3" i="12"/>
  <c r="Q3" i="12"/>
  <c r="P3" i="12"/>
  <c r="L3" i="12"/>
  <c r="Q2" i="12"/>
  <c r="R2" i="12" s="1"/>
  <c r="P2" i="12"/>
  <c r="L2" i="12"/>
  <c r="Q49" i="11"/>
  <c r="R49" i="11" s="1"/>
  <c r="P49" i="11"/>
  <c r="L49" i="11"/>
  <c r="Q48" i="11"/>
  <c r="R48" i="11" s="1"/>
  <c r="P48" i="11"/>
  <c r="L48" i="11"/>
  <c r="R47" i="11"/>
  <c r="Q47" i="11"/>
  <c r="P47" i="11"/>
  <c r="L47" i="11"/>
  <c r="Q46" i="11"/>
  <c r="R46" i="11" s="1"/>
  <c r="P46" i="11"/>
  <c r="L46" i="11"/>
  <c r="Q45" i="11"/>
  <c r="R45" i="11" s="1"/>
  <c r="P45" i="11"/>
  <c r="L45" i="11"/>
  <c r="R44" i="11"/>
  <c r="Q44" i="11"/>
  <c r="P44" i="11"/>
  <c r="L44" i="11"/>
  <c r="Q43" i="11"/>
  <c r="R43" i="11" s="1"/>
  <c r="P43" i="11"/>
  <c r="L43" i="11"/>
  <c r="Q42" i="11"/>
  <c r="R42" i="11" s="1"/>
  <c r="P42" i="11"/>
  <c r="L42" i="11"/>
  <c r="Q41" i="11"/>
  <c r="R41" i="11" s="1"/>
  <c r="P41" i="11"/>
  <c r="L41" i="11"/>
  <c r="Q40" i="11"/>
  <c r="R40" i="11" s="1"/>
  <c r="P40" i="11"/>
  <c r="L40" i="11"/>
  <c r="R39" i="11"/>
  <c r="Q39" i="11"/>
  <c r="P39" i="11"/>
  <c r="L39" i="11"/>
  <c r="Q38" i="11"/>
  <c r="R38" i="11" s="1"/>
  <c r="P38" i="11"/>
  <c r="L38" i="11"/>
  <c r="Q37" i="11"/>
  <c r="R37" i="11" s="1"/>
  <c r="P37" i="11"/>
  <c r="L37" i="11"/>
  <c r="R36" i="11"/>
  <c r="Q36" i="11"/>
  <c r="P36" i="11"/>
  <c r="L36" i="11"/>
  <c r="Q35" i="11"/>
  <c r="R35" i="11" s="1"/>
  <c r="P35" i="11"/>
  <c r="L35" i="11"/>
  <c r="Q34" i="11"/>
  <c r="R34" i="11" s="1"/>
  <c r="P34" i="11"/>
  <c r="L34" i="11"/>
  <c r="Q33" i="11"/>
  <c r="R33" i="11" s="1"/>
  <c r="P33" i="11"/>
  <c r="L33" i="11"/>
  <c r="Q32" i="11"/>
  <c r="R32" i="11" s="1"/>
  <c r="P32" i="11"/>
  <c r="L32" i="11"/>
  <c r="Q31" i="11"/>
  <c r="R31" i="11" s="1"/>
  <c r="P31" i="11"/>
  <c r="L31" i="11"/>
  <c r="R30" i="11"/>
  <c r="Q30" i="11"/>
  <c r="P30" i="11"/>
  <c r="L30" i="11"/>
  <c r="Q29" i="11"/>
  <c r="R29" i="11" s="1"/>
  <c r="P29" i="11"/>
  <c r="L29" i="11"/>
  <c r="Q28" i="11"/>
  <c r="R28" i="11" s="1"/>
  <c r="P28" i="11"/>
  <c r="L28" i="11"/>
  <c r="Q27" i="11"/>
  <c r="R27" i="11" s="1"/>
  <c r="P27" i="11"/>
  <c r="L27" i="11"/>
  <c r="R26" i="11"/>
  <c r="Q26" i="11"/>
  <c r="P26" i="11"/>
  <c r="L26" i="11"/>
  <c r="Q25" i="11"/>
  <c r="R25" i="11" s="1"/>
  <c r="P25" i="11"/>
  <c r="L25" i="11"/>
  <c r="Q24" i="11"/>
  <c r="R24" i="11" s="1"/>
  <c r="P24" i="11"/>
  <c r="L24" i="11"/>
  <c r="Q23" i="11"/>
  <c r="R23" i="11" s="1"/>
  <c r="P23" i="11"/>
  <c r="L23" i="11"/>
  <c r="R22" i="11"/>
  <c r="Q22" i="11"/>
  <c r="P22" i="11"/>
  <c r="L22" i="11"/>
  <c r="Q21" i="11"/>
  <c r="R21" i="11" s="1"/>
  <c r="P21" i="11"/>
  <c r="L21" i="11"/>
  <c r="Q20" i="11"/>
  <c r="R20" i="11" s="1"/>
  <c r="P20" i="11"/>
  <c r="L20" i="11"/>
  <c r="Q19" i="11"/>
  <c r="R19" i="11" s="1"/>
  <c r="P19" i="11"/>
  <c r="L19" i="11"/>
  <c r="R18" i="11"/>
  <c r="Q18" i="11"/>
  <c r="P18" i="11"/>
  <c r="L18" i="11"/>
  <c r="Q17" i="11"/>
  <c r="R17" i="11" s="1"/>
  <c r="P17" i="11"/>
  <c r="L17" i="11"/>
  <c r="Q16" i="11"/>
  <c r="R16" i="11" s="1"/>
  <c r="P16" i="11"/>
  <c r="L16" i="11"/>
  <c r="Q15" i="11"/>
  <c r="R15" i="11" s="1"/>
  <c r="P15" i="11"/>
  <c r="L15" i="11"/>
  <c r="R14" i="11"/>
  <c r="Q14" i="11"/>
  <c r="P14" i="11"/>
  <c r="L14" i="11"/>
  <c r="Q13" i="11"/>
  <c r="R13" i="11" s="1"/>
  <c r="P13" i="11"/>
  <c r="L13" i="11"/>
  <c r="Q12" i="11"/>
  <c r="R12" i="11" s="1"/>
  <c r="P12" i="11"/>
  <c r="L12" i="11"/>
  <c r="Q11" i="11"/>
  <c r="R11" i="11" s="1"/>
  <c r="P11" i="11"/>
  <c r="L11" i="11"/>
  <c r="R10" i="11"/>
  <c r="Q10" i="11"/>
  <c r="P10" i="11"/>
  <c r="L10" i="11"/>
  <c r="Q9" i="11"/>
  <c r="R9" i="11" s="1"/>
  <c r="P9" i="11"/>
  <c r="L9" i="11"/>
  <c r="Q8" i="11"/>
  <c r="R8" i="11" s="1"/>
  <c r="P8" i="11"/>
  <c r="L8" i="11"/>
  <c r="Q7" i="11"/>
  <c r="R7" i="11" s="1"/>
  <c r="P7" i="11"/>
  <c r="L7" i="11"/>
  <c r="R6" i="11"/>
  <c r="Q6" i="11"/>
  <c r="P6" i="11"/>
  <c r="L6" i="11"/>
  <c r="Q5" i="11"/>
  <c r="R5" i="11" s="1"/>
  <c r="P5" i="11"/>
  <c r="L5" i="11"/>
  <c r="Q4" i="11"/>
  <c r="R4" i="11" s="1"/>
  <c r="P4" i="11"/>
  <c r="L4" i="11"/>
  <c r="Q3" i="11"/>
  <c r="R3" i="11" s="1"/>
  <c r="P3" i="11"/>
  <c r="L3" i="11"/>
  <c r="R2" i="11"/>
  <c r="Q2" i="11"/>
  <c r="P2" i="11"/>
  <c r="L2" i="11"/>
  <c r="Q9" i="10"/>
  <c r="R9" i="10" s="1"/>
  <c r="P9" i="10"/>
  <c r="L9" i="10"/>
  <c r="Q8" i="10"/>
  <c r="R8" i="10" s="1"/>
  <c r="P8" i="10"/>
  <c r="L8" i="10"/>
  <c r="Q7" i="10"/>
  <c r="R7" i="10" s="1"/>
  <c r="P7" i="10"/>
  <c r="L7" i="10"/>
  <c r="R6" i="10"/>
  <c r="Q6" i="10"/>
  <c r="P6" i="10"/>
  <c r="L6" i="10"/>
  <c r="Q5" i="10"/>
  <c r="R5" i="10" s="1"/>
  <c r="P5" i="10"/>
  <c r="L5" i="10"/>
  <c r="Q4" i="10"/>
  <c r="R4" i="10" s="1"/>
  <c r="P4" i="10"/>
  <c r="L4" i="10"/>
  <c r="Q3" i="10"/>
  <c r="R3" i="10" s="1"/>
  <c r="P3" i="10"/>
  <c r="L3" i="10"/>
  <c r="R2" i="10"/>
  <c r="Q2" i="10"/>
  <c r="P2" i="10"/>
  <c r="L2" i="10"/>
  <c r="Q2" i="9"/>
  <c r="R2" i="9" s="1"/>
  <c r="P2" i="9"/>
  <c r="L2" i="9"/>
  <c r="Q2" i="8"/>
  <c r="R2" i="8" s="1"/>
  <c r="P2" i="8"/>
  <c r="L2" i="8"/>
  <c r="Q2" i="7"/>
  <c r="R2" i="7" s="1"/>
  <c r="P2" i="7"/>
  <c r="L2" i="7"/>
  <c r="R24" i="6"/>
  <c r="Q24" i="6"/>
  <c r="P24" i="6"/>
  <c r="L24" i="6"/>
  <c r="Q23" i="6"/>
  <c r="R23" i="6" s="1"/>
  <c r="P23" i="6"/>
  <c r="L23" i="6"/>
  <c r="Q22" i="6"/>
  <c r="R22" i="6" s="1"/>
  <c r="P22" i="6"/>
  <c r="L22" i="6"/>
  <c r="Q21" i="6"/>
  <c r="R21" i="6" s="1"/>
  <c r="P21" i="6"/>
  <c r="L21" i="6"/>
  <c r="R20" i="6"/>
  <c r="Q20" i="6"/>
  <c r="P20" i="6"/>
  <c r="L20" i="6"/>
  <c r="Q19" i="6"/>
  <c r="R19" i="6" s="1"/>
  <c r="P19" i="6"/>
  <c r="L19" i="6"/>
  <c r="Q18" i="6"/>
  <c r="R18" i="6" s="1"/>
  <c r="P18" i="6"/>
  <c r="L18" i="6"/>
  <c r="Q17" i="6"/>
  <c r="R17" i="6" s="1"/>
  <c r="P17" i="6"/>
  <c r="L17" i="6"/>
  <c r="R16" i="6"/>
  <c r="Q16" i="6"/>
  <c r="P16" i="6"/>
  <c r="L16" i="6"/>
  <c r="Q15" i="6"/>
  <c r="R15" i="6" s="1"/>
  <c r="P15" i="6"/>
  <c r="L15" i="6"/>
  <c r="Q14" i="6"/>
  <c r="R14" i="6" s="1"/>
  <c r="P14" i="6"/>
  <c r="L14" i="6"/>
  <c r="Q13" i="6"/>
  <c r="R13" i="6" s="1"/>
  <c r="P13" i="6"/>
  <c r="L13" i="6"/>
  <c r="R12" i="6"/>
  <c r="Q12" i="6"/>
  <c r="P12" i="6"/>
  <c r="L12" i="6"/>
  <c r="Q11" i="6"/>
  <c r="R11" i="6" s="1"/>
  <c r="P11" i="6"/>
  <c r="L11" i="6"/>
  <c r="Q10" i="6"/>
  <c r="R10" i="6" s="1"/>
  <c r="P10" i="6"/>
  <c r="L10" i="6"/>
  <c r="Q9" i="6"/>
  <c r="R9" i="6" s="1"/>
  <c r="P9" i="6"/>
  <c r="L9" i="6"/>
  <c r="R8" i="6"/>
  <c r="Q8" i="6"/>
  <c r="P8" i="6"/>
  <c r="L8" i="6"/>
  <c r="Q7" i="6"/>
  <c r="R7" i="6" s="1"/>
  <c r="P7" i="6"/>
  <c r="L7" i="6"/>
  <c r="Q6" i="6"/>
  <c r="R6" i="6" s="1"/>
  <c r="P6" i="6"/>
  <c r="L6" i="6"/>
  <c r="Q5" i="6"/>
  <c r="R5" i="6" s="1"/>
  <c r="P5" i="6"/>
  <c r="L5" i="6"/>
  <c r="R4" i="6"/>
  <c r="Q4" i="6"/>
  <c r="P4" i="6"/>
  <c r="L4" i="6"/>
  <c r="Q3" i="6"/>
  <c r="R3" i="6" s="1"/>
  <c r="P3" i="6"/>
  <c r="L3" i="6"/>
  <c r="Q2" i="6"/>
  <c r="R2" i="6" s="1"/>
  <c r="P2" i="6"/>
  <c r="L2" i="6"/>
  <c r="Q35" i="5"/>
  <c r="R35" i="5" s="1"/>
  <c r="P35" i="5"/>
  <c r="L35" i="5"/>
  <c r="R34" i="5"/>
  <c r="Q34" i="5"/>
  <c r="P34" i="5"/>
  <c r="L34" i="5"/>
  <c r="Q33" i="5"/>
  <c r="R33" i="5" s="1"/>
  <c r="P33" i="5"/>
  <c r="L33" i="5"/>
  <c r="Q32" i="5"/>
  <c r="R32" i="5" s="1"/>
  <c r="P32" i="5"/>
  <c r="L32" i="5"/>
  <c r="Q31" i="5"/>
  <c r="R31" i="5" s="1"/>
  <c r="P31" i="5"/>
  <c r="L31" i="5"/>
  <c r="R30" i="5"/>
  <c r="Q30" i="5"/>
  <c r="P30" i="5"/>
  <c r="L30" i="5"/>
  <c r="Q29" i="5"/>
  <c r="R29" i="5" s="1"/>
  <c r="P29" i="5"/>
  <c r="L29" i="5"/>
  <c r="Q28" i="5"/>
  <c r="R28" i="5" s="1"/>
  <c r="P28" i="5"/>
  <c r="L28" i="5"/>
  <c r="Q27" i="5"/>
  <c r="R27" i="5" s="1"/>
  <c r="P27" i="5"/>
  <c r="L27" i="5"/>
  <c r="R26" i="5"/>
  <c r="Q26" i="5"/>
  <c r="P26" i="5"/>
  <c r="L26" i="5"/>
  <c r="Q25" i="5"/>
  <c r="R25" i="5" s="1"/>
  <c r="P25" i="5"/>
  <c r="L25" i="5"/>
  <c r="Q24" i="5"/>
  <c r="R24" i="5" s="1"/>
  <c r="P24" i="5"/>
  <c r="L24" i="5"/>
  <c r="Q23" i="5"/>
  <c r="R23" i="5" s="1"/>
  <c r="P23" i="5"/>
  <c r="L23" i="5"/>
  <c r="R22" i="5"/>
  <c r="Q22" i="5"/>
  <c r="P22" i="5"/>
  <c r="L22" i="5"/>
  <c r="Q21" i="5"/>
  <c r="R21" i="5" s="1"/>
  <c r="P21" i="5"/>
  <c r="L21" i="5"/>
  <c r="Q20" i="5"/>
  <c r="R20" i="5" s="1"/>
  <c r="P20" i="5"/>
  <c r="L20" i="5"/>
  <c r="Q19" i="5"/>
  <c r="R19" i="5" s="1"/>
  <c r="P19" i="5"/>
  <c r="L19" i="5"/>
  <c r="R18" i="5"/>
  <c r="Q18" i="5"/>
  <c r="P18" i="5"/>
  <c r="L18" i="5"/>
  <c r="Q17" i="5"/>
  <c r="R17" i="5" s="1"/>
  <c r="P17" i="5"/>
  <c r="L17" i="5"/>
  <c r="Q16" i="5"/>
  <c r="R16" i="5" s="1"/>
  <c r="P16" i="5"/>
  <c r="L16" i="5"/>
  <c r="Q15" i="5"/>
  <c r="R15" i="5" s="1"/>
  <c r="P15" i="5"/>
  <c r="L15" i="5"/>
  <c r="R14" i="5"/>
  <c r="Q14" i="5"/>
  <c r="P14" i="5"/>
  <c r="L14" i="5"/>
  <c r="Q13" i="5"/>
  <c r="R13" i="5" s="1"/>
  <c r="P13" i="5"/>
  <c r="L13" i="5"/>
  <c r="Q12" i="5"/>
  <c r="R12" i="5" s="1"/>
  <c r="P12" i="5"/>
  <c r="L12" i="5"/>
  <c r="Q11" i="5"/>
  <c r="R11" i="5" s="1"/>
  <c r="P11" i="5"/>
  <c r="L11" i="5"/>
  <c r="R10" i="5"/>
  <c r="Q10" i="5"/>
  <c r="P10" i="5"/>
  <c r="L10" i="5"/>
  <c r="Q9" i="5"/>
  <c r="R9" i="5" s="1"/>
  <c r="P9" i="5"/>
  <c r="L9" i="5"/>
  <c r="Q8" i="5"/>
  <c r="R8" i="5" s="1"/>
  <c r="P8" i="5"/>
  <c r="L8" i="5"/>
  <c r="Q7" i="5"/>
  <c r="R7" i="5" s="1"/>
  <c r="P7" i="5"/>
  <c r="L7" i="5"/>
  <c r="R6" i="5"/>
  <c r="Q6" i="5"/>
  <c r="P6" i="5"/>
  <c r="L6" i="5"/>
  <c r="Q5" i="5"/>
  <c r="R5" i="5" s="1"/>
  <c r="P5" i="5"/>
  <c r="L5" i="5"/>
  <c r="Q4" i="5"/>
  <c r="R4" i="5" s="1"/>
  <c r="P4" i="5"/>
  <c r="L4" i="5"/>
  <c r="Q3" i="5"/>
  <c r="R3" i="5" s="1"/>
  <c r="P3" i="5"/>
  <c r="L3" i="5"/>
  <c r="R2" i="5"/>
  <c r="Q2" i="5"/>
  <c r="P2" i="5"/>
  <c r="L2" i="5"/>
  <c r="Q6" i="4"/>
  <c r="R6" i="4" s="1"/>
  <c r="P6" i="4"/>
  <c r="L6" i="4"/>
  <c r="Q5" i="4"/>
  <c r="R5" i="4" s="1"/>
  <c r="P5" i="4"/>
  <c r="L5" i="4"/>
  <c r="Q4" i="4"/>
  <c r="R4" i="4" s="1"/>
  <c r="P4" i="4"/>
  <c r="L4" i="4"/>
  <c r="R3" i="4"/>
  <c r="Q3" i="4"/>
  <c r="P3" i="4"/>
  <c r="L3" i="4"/>
  <c r="Q2" i="4"/>
  <c r="R2" i="4" s="1"/>
  <c r="P2" i="4"/>
  <c r="L2" i="4"/>
  <c r="Q21" i="3"/>
  <c r="R21" i="3" s="1"/>
  <c r="P21" i="3"/>
  <c r="L21" i="3"/>
  <c r="Q20" i="3"/>
  <c r="R20" i="3" s="1"/>
  <c r="P20" i="3"/>
  <c r="L20" i="3"/>
  <c r="R19" i="3"/>
  <c r="Q19" i="3"/>
  <c r="P19" i="3"/>
  <c r="L19" i="3"/>
  <c r="Q18" i="3"/>
  <c r="R18" i="3" s="1"/>
  <c r="P18" i="3"/>
  <c r="L18" i="3"/>
  <c r="Q17" i="3"/>
  <c r="R17" i="3" s="1"/>
  <c r="P17" i="3"/>
  <c r="L17" i="3"/>
  <c r="Q16" i="3"/>
  <c r="R16" i="3" s="1"/>
  <c r="P16" i="3"/>
  <c r="L16" i="3"/>
  <c r="R15" i="3"/>
  <c r="Q15" i="3"/>
  <c r="P15" i="3"/>
  <c r="L15" i="3"/>
  <c r="Q14" i="3"/>
  <c r="R14" i="3" s="1"/>
  <c r="P14" i="3"/>
  <c r="L14" i="3"/>
  <c r="Q13" i="3"/>
  <c r="R13" i="3" s="1"/>
  <c r="P13" i="3"/>
  <c r="L13" i="3"/>
  <c r="Q12" i="3"/>
  <c r="R12" i="3" s="1"/>
  <c r="P12" i="3"/>
  <c r="L12" i="3"/>
  <c r="R11" i="3"/>
  <c r="Q11" i="3"/>
  <c r="P11" i="3"/>
  <c r="L11" i="3"/>
  <c r="Q10" i="3"/>
  <c r="R10" i="3" s="1"/>
  <c r="P10" i="3"/>
  <c r="L10" i="3"/>
  <c r="Q9" i="3"/>
  <c r="R9" i="3" s="1"/>
  <c r="P9" i="3"/>
  <c r="L9" i="3"/>
  <c r="Q8" i="3"/>
  <c r="R8" i="3" s="1"/>
  <c r="P8" i="3"/>
  <c r="L8" i="3"/>
  <c r="R7" i="3"/>
  <c r="Q7" i="3"/>
  <c r="P7" i="3"/>
  <c r="L7" i="3"/>
  <c r="Q6" i="3"/>
  <c r="R6" i="3" s="1"/>
  <c r="P6" i="3"/>
  <c r="L6" i="3"/>
  <c r="Q5" i="3"/>
  <c r="R5" i="3" s="1"/>
  <c r="P5" i="3"/>
  <c r="L5" i="3"/>
  <c r="Q4" i="3"/>
  <c r="R4" i="3" s="1"/>
  <c r="P4" i="3"/>
  <c r="L4" i="3"/>
  <c r="R3" i="3"/>
  <c r="Q3" i="3"/>
  <c r="P3" i="3"/>
  <c r="L3" i="3"/>
  <c r="Q2" i="3"/>
  <c r="R2" i="3" s="1"/>
  <c r="P2" i="3"/>
  <c r="L2" i="3"/>
  <c r="Q7" i="2"/>
  <c r="R7" i="2" s="1"/>
  <c r="P7" i="2"/>
  <c r="L7" i="2"/>
  <c r="Q6" i="2"/>
  <c r="R6" i="2" s="1"/>
  <c r="P6" i="2"/>
  <c r="L6" i="2"/>
  <c r="R5" i="2"/>
  <c r="Q5" i="2"/>
  <c r="P5" i="2"/>
  <c r="L5" i="2"/>
  <c r="Q4" i="2"/>
  <c r="R4" i="2" s="1"/>
  <c r="P4" i="2"/>
  <c r="L4" i="2"/>
  <c r="Q3" i="2"/>
  <c r="R3" i="2" s="1"/>
  <c r="P3" i="2"/>
  <c r="L3" i="2"/>
  <c r="Q2" i="2"/>
  <c r="R2" i="2" s="1"/>
  <c r="P2" i="2"/>
  <c r="L2" i="2"/>
</calcChain>
</file>

<file path=xl/sharedStrings.xml><?xml version="1.0" encoding="utf-8"?>
<sst xmlns="http://schemas.openxmlformats.org/spreadsheetml/2006/main" count="10953" uniqueCount="5866">
  <si>
    <t>Category</t>
  </si>
  <si>
    <t>Total Items</t>
  </si>
  <si>
    <t>Total QTY Purchased</t>
  </si>
  <si>
    <t>Total QTY Sold</t>
  </si>
  <si>
    <t>Accessories</t>
  </si>
  <si>
    <t>BENDING/CUTTING</t>
  </si>
  <si>
    <t>C/FLANGE</t>
  </si>
  <si>
    <t>CASING</t>
  </si>
  <si>
    <t>CONSUMABLES</t>
  </si>
  <si>
    <t>CRATING</t>
  </si>
  <si>
    <t>Car accessories</t>
  </si>
  <si>
    <t>DUCT</t>
  </si>
  <si>
    <t>FABRICATION</t>
  </si>
  <si>
    <t>FASTENERS</t>
  </si>
  <si>
    <t>FM - BLOWER</t>
  </si>
  <si>
    <t>FM - C/FLANGE</t>
  </si>
  <si>
    <t>FM - CASING</t>
  </si>
  <si>
    <t>FM - CFW FANS</t>
  </si>
  <si>
    <t>FM - DONKIN</t>
  </si>
  <si>
    <t>FM - ELECTRICAL WIRING</t>
  </si>
  <si>
    <t>FM - FABRICATION</t>
  </si>
  <si>
    <t>FM - FAN BLADE MODELLING</t>
  </si>
  <si>
    <t>FM - FPZ</t>
  </si>
  <si>
    <t>FM - FUMAX</t>
  </si>
  <si>
    <t>FM - IMPELLER</t>
  </si>
  <si>
    <t>FM - KAYITES</t>
  </si>
  <si>
    <t>FM - LUCK &amp; KING</t>
  </si>
  <si>
    <t>FM - M/FEET</t>
  </si>
  <si>
    <t>FM - MACHINERY</t>
  </si>
  <si>
    <t>FM - MOTOR</t>
  </si>
  <si>
    <t>FM - NICOTRA</t>
  </si>
  <si>
    <t>FM - OSTBERG</t>
  </si>
  <si>
    <t>FM - PAINTING</t>
  </si>
  <si>
    <t>FM - SODECA</t>
  </si>
  <si>
    <t>FM - UNIFORM</t>
  </si>
  <si>
    <t>FM - VORTICE</t>
  </si>
  <si>
    <t>FREIGHT</t>
  </si>
  <si>
    <t>Fan</t>
  </si>
  <si>
    <t>IMPELLER</t>
  </si>
  <si>
    <t>M/FEET</t>
  </si>
  <si>
    <t>MOTOR FLANGE</t>
  </si>
  <si>
    <t>MOTORS</t>
  </si>
  <si>
    <t>Nicotra</t>
  </si>
  <si>
    <t>PACKAGING</t>
  </si>
  <si>
    <t>PLATE</t>
  </si>
  <si>
    <t>Roof Fans</t>
  </si>
  <si>
    <t>Stub Shaft</t>
  </si>
  <si>
    <t>Uncategorized</t>
  </si>
  <si>
    <t>VSD</t>
  </si>
  <si>
    <t>Vents</t>
  </si>
  <si>
    <t>TOTAL STOCK</t>
  </si>
  <si>
    <t>Item Code</t>
  </si>
  <si>
    <t>Description</t>
  </si>
  <si>
    <t>Period (month(s))</t>
  </si>
  <si>
    <t>Supplier</t>
  </si>
  <si>
    <t>Cost</t>
  </si>
  <si>
    <t>Lead Time (months)</t>
  </si>
  <si>
    <t>AMU</t>
  </si>
  <si>
    <t>Min</t>
  </si>
  <si>
    <t>Re-Order Point (ROP)</t>
  </si>
  <si>
    <t>Current Stock</t>
  </si>
  <si>
    <t>On Order</t>
  </si>
  <si>
    <t>Max</t>
  </si>
  <si>
    <t>Stock Value</t>
  </si>
  <si>
    <t>Re-Order Qty</t>
  </si>
  <si>
    <t>Re-Order Value</t>
  </si>
  <si>
    <t>1600IC</t>
  </si>
  <si>
    <t>1600 Dia Inlet Cone</t>
  </si>
  <si>
    <t>160W, 230V, 4500m3/hr, 40lt</t>
  </si>
  <si>
    <t>Evaporative Air Cooler</t>
  </si>
  <si>
    <t>AWSL/1/1000X500/OP/0/P1/</t>
  </si>
  <si>
    <t>1000 X 500</t>
  </si>
  <si>
    <t>TROX South Africa (Pty) Ltd</t>
  </si>
  <si>
    <t>Disc Valve</t>
  </si>
  <si>
    <t>100 Diam</t>
  </si>
  <si>
    <t>GRM350</t>
  </si>
  <si>
    <t>Shutter PVC Gravity for 250mmFan S/Frame</t>
  </si>
  <si>
    <t>Luft Industries Natal (Pty) Ltd</t>
  </si>
  <si>
    <t>Non-Taxable Extra's</t>
  </si>
  <si>
    <t>Egoli Auto (Pty) Ltd t/a Mahindra JHB South</t>
  </si>
  <si>
    <t>Additional Costs</t>
  </si>
  <si>
    <t>Material Cutting Cost</t>
  </si>
  <si>
    <t>Copper Cut</t>
  </si>
  <si>
    <t>Cut Sheet (2mx1mx1.5mm) to strips of 120mm on 2m lth</t>
  </si>
  <si>
    <t>Airtec Fans &amp; Engineering</t>
  </si>
  <si>
    <t>LASER CUTTING-255</t>
  </si>
  <si>
    <t>255 x 298 x 5mm</t>
  </si>
  <si>
    <t>ULTIMATENG (PTY) LTD</t>
  </si>
  <si>
    <t>LASER CUTTING-775</t>
  </si>
  <si>
    <t>775 x 225 x 5mm</t>
  </si>
  <si>
    <t>Laser Cutting</t>
  </si>
  <si>
    <t>Fans Casing</t>
  </si>
  <si>
    <t>Laser Cutting -</t>
  </si>
  <si>
    <t>Program 1 Cutting &amp; Bending</t>
  </si>
  <si>
    <t>Laser Cutting - S</t>
  </si>
  <si>
    <t>Special cut flanges</t>
  </si>
  <si>
    <t>Laser Cutting - TB 315-560</t>
  </si>
  <si>
    <t>Program TB 325-560</t>
  </si>
  <si>
    <t>Laser Cutting - TB 630-800</t>
  </si>
  <si>
    <t>Program TB 630-800</t>
  </si>
  <si>
    <t>Laser Cutting-Axial P1</t>
  </si>
  <si>
    <t>Axial Program 1 Cover</t>
  </si>
  <si>
    <t>Laser Cutting-Axial P3</t>
  </si>
  <si>
    <t>Axial Program 3 Covers</t>
  </si>
  <si>
    <t>Laser Cutting-B</t>
  </si>
  <si>
    <t>Program Buffalo</t>
  </si>
  <si>
    <t>Laser Cutting-Bends</t>
  </si>
  <si>
    <t>Laser Cutting Bends</t>
  </si>
  <si>
    <t>Laser Cutting-P1000</t>
  </si>
  <si>
    <t>Program 1000 - 4mm</t>
  </si>
  <si>
    <t>Laser Cutting-P3</t>
  </si>
  <si>
    <t>Program 3</t>
  </si>
  <si>
    <t>Laser Cutting-P4</t>
  </si>
  <si>
    <t>Program 4</t>
  </si>
  <si>
    <t>Laser Cutting-P5</t>
  </si>
  <si>
    <t>Program 5</t>
  </si>
  <si>
    <t>Laser Cutting-P6</t>
  </si>
  <si>
    <t>Program 6</t>
  </si>
  <si>
    <t>Laser Cutting-P900</t>
  </si>
  <si>
    <t>Program 900 - 4mm</t>
  </si>
  <si>
    <t>Laser Cutting-S</t>
  </si>
  <si>
    <t>Strips</t>
  </si>
  <si>
    <t>1250CF</t>
  </si>
  <si>
    <t>1250 Diam Counter Flange</t>
  </si>
  <si>
    <t>Air Speration</t>
  </si>
  <si>
    <t>1600CF</t>
  </si>
  <si>
    <t>1600 Diam Counter Flange</t>
  </si>
  <si>
    <t>450CF</t>
  </si>
  <si>
    <t>450 Diam Counter Flange</t>
  </si>
  <si>
    <t>460CF</t>
  </si>
  <si>
    <t>460 Diam Counter Flanges</t>
  </si>
  <si>
    <t>GALVAGLOW (PTY) LTD</t>
  </si>
  <si>
    <t>549CFUG - B</t>
  </si>
  <si>
    <t>549 Diam Counter Flange Ungalvanised - Buffalo</t>
  </si>
  <si>
    <t>1000PLT400-3MM</t>
  </si>
  <si>
    <t>1000 Casing Sheet - 3153 x 400 - 3mm</t>
  </si>
  <si>
    <t>1000PLT500-3MM</t>
  </si>
  <si>
    <t>1000 Casing Sheet - 3153 x 500 - 3mm</t>
  </si>
  <si>
    <t>315PLT315-2MM</t>
  </si>
  <si>
    <t>315 Casing Sheet - 995 x 315 - 2mm</t>
  </si>
  <si>
    <t>NJR STEEL - ALRODE (PTY) LTD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</si>
  <si>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</si>
  <si>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</si>
  <si>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</si>
  <si>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</si>
  <si>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</si>
  <si>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</si>
  <si>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</si>
  <si>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</si>
  <si>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</si>
  <si>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</si>
  <si>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</si>
  <si>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</si>
  <si>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</si>
  <si>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</si>
  <si>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630PLT400-2MM</t>
  </si>
  <si>
    <t>630 Casing Sheet - 1987 x 400 - 2mm</t>
  </si>
  <si>
    <t>630PLT400-3MM</t>
  </si>
  <si>
    <t>630 Casing Sheet - 1987 x 400 - 3mm</t>
  </si>
  <si>
    <t>630PLT500-3MM</t>
  </si>
  <si>
    <t>630 Casing Sheet - 1987 x 500 - 3mm</t>
  </si>
  <si>
    <t>710PLT400-3MM</t>
  </si>
  <si>
    <t>710 Casing Sheet - 2238 x 400 - 3mm</t>
  </si>
  <si>
    <t>710PLT500-3MM</t>
  </si>
  <si>
    <t>710 Casing Sheet - 2238 x 500 - 3mm</t>
  </si>
  <si>
    <t>800PLT400-2MM</t>
  </si>
  <si>
    <t>800 Casing Sheet - 2528 x 400 - 2mm</t>
  </si>
  <si>
    <t>800PLT400-3MM</t>
  </si>
  <si>
    <t>800 Casing Sheet - 2528 x 400 - 3mm</t>
  </si>
  <si>
    <t>800PLT400-3MM.</t>
  </si>
  <si>
    <t>800PLT500-3MM</t>
  </si>
  <si>
    <t>800 Casing Sheet - 2528 x 500 - 3mm</t>
  </si>
  <si>
    <t>900PLT500-3MM</t>
  </si>
  <si>
    <t>900 Casing Sheet - 2839 x 500 - 3mm</t>
  </si>
  <si>
    <t>C1000X500FM</t>
  </si>
  <si>
    <t>Casing Size 1000diam x 500Long</t>
  </si>
  <si>
    <t>C315x315UG</t>
  </si>
  <si>
    <t>Casing size 315diamx315-Ungalvanised</t>
  </si>
  <si>
    <t>TS TELEKI T/A VENT SYSTEM AND PROJECTS</t>
  </si>
  <si>
    <t>C400x400NH</t>
  </si>
  <si>
    <t>Casing Size 400diamx400-NO HOLES</t>
  </si>
  <si>
    <t>CFW Fans (Pty) Ltd</t>
  </si>
  <si>
    <t>C400x400UG</t>
  </si>
  <si>
    <t>Casing Size 400diamx400-Ungalvanised</t>
  </si>
  <si>
    <t>C500x400NH</t>
  </si>
  <si>
    <t>Casing Size 500diamx400-NO HOLES</t>
  </si>
  <si>
    <t>C500x400UG</t>
  </si>
  <si>
    <t>Casing Size 500diamx400-Ungalvanised</t>
  </si>
  <si>
    <t>C560x400UG</t>
  </si>
  <si>
    <t>Casing size 560diamx400-Ungalvanised</t>
  </si>
  <si>
    <t>C560x500UG</t>
  </si>
  <si>
    <t>Casing size 560diamx500-Ungalvanised</t>
  </si>
  <si>
    <t>C630x400UG</t>
  </si>
  <si>
    <t>Casing Size 630diamx400-Ungalvanised</t>
  </si>
  <si>
    <t>C710x400UG</t>
  </si>
  <si>
    <t>Casing Size 710diamx400-Ungalvanised</t>
  </si>
  <si>
    <t>C800x400UG</t>
  </si>
  <si>
    <t>Casing Size 800diamx400-Ungalvanised</t>
  </si>
  <si>
    <t>C800x500FM</t>
  </si>
  <si>
    <t>Casing Size 800diamx500 Foot Mount</t>
  </si>
  <si>
    <t>C965x740</t>
  </si>
  <si>
    <t>Casing Size 965diam x 740Long</t>
  </si>
  <si>
    <t>TERMINAL CAP</t>
  </si>
  <si>
    <t>TERMINAL CAP GALV</t>
  </si>
  <si>
    <t>02883</t>
  </si>
  <si>
    <t>PRA LOCKNUT BRASS No 3 - M32</t>
  </si>
  <si>
    <t>Pratley (Pty) Ltd</t>
  </si>
  <si>
    <t>101430</t>
  </si>
  <si>
    <t>SOAP STONE (1 Box = 144 or ea)</t>
  </si>
  <si>
    <t>INTROWELD CC</t>
  </si>
  <si>
    <t>46031</t>
  </si>
  <si>
    <t>PRA GLAND FLP Exde Brass CPR N'3L M32</t>
  </si>
  <si>
    <t>AIR HOSE 1M</t>
  </si>
  <si>
    <t>AIR HOSE 8MM</t>
  </si>
  <si>
    <t>MG AUTO PAINT (PTY) LTD</t>
  </si>
  <si>
    <t>CLAMP</t>
  </si>
  <si>
    <t>COUP SET</t>
  </si>
  <si>
    <t>COUPLER SET CARLA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</si>
  <si>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</si>
  <si>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</si>
  <si>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</si>
  <si>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</si>
  <si>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</si>
  <si>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</si>
  <si>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</si>
  <si>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</si>
  <si>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DRILL BIT - SET (5pc)</t>
  </si>
  <si>
    <t>DRILL SET HSS (2.3.4.5.6) 5PC</t>
  </si>
  <si>
    <t>G028</t>
  </si>
  <si>
    <t>8 RED HEAT RESISTANT GLOVES</t>
  </si>
  <si>
    <t>GUN H827P</t>
  </si>
  <si>
    <t>SPRAY GUN H827P BULLDOG</t>
  </si>
  <si>
    <t>QD GP 25LT</t>
  </si>
  <si>
    <t>QD GREY PRIMER 25LT</t>
  </si>
  <si>
    <t>QD MIX 25LT</t>
  </si>
  <si>
    <t>QD MIX 25LT MINES GREY</t>
  </si>
  <si>
    <t>REPAIR-BLADE</t>
  </si>
  <si>
    <t>315 X 70 Wide Radical Bladed Fan - Existing Inlet ring removed - New one Manufactured &amp; re-assembled</t>
  </si>
  <si>
    <t>SCOTCH BRI G</t>
  </si>
  <si>
    <t>SCOTCH BRITE GREY BULLDOG</t>
  </si>
  <si>
    <t>STEPDRILL11</t>
  </si>
  <si>
    <t>STEP DRILL 4-22 X2MM T/CRAFT</t>
  </si>
  <si>
    <t>EIS - (Engineering And Industrial Supplies)</t>
  </si>
  <si>
    <t>STEPDRILL32</t>
  </si>
  <si>
    <t>STEP DRILL 4-32 X 2MM</t>
  </si>
  <si>
    <t>TF5PUR/C</t>
  </si>
  <si>
    <t>TF5PUR/C - Fixed Castor 125mm</t>
  </si>
  <si>
    <t>Caslad Agencies CC</t>
  </si>
  <si>
    <t>THINNERS - 25L</t>
  </si>
  <si>
    <t>Thinners 25L</t>
  </si>
  <si>
    <t>THINNERS - 5L</t>
  </si>
  <si>
    <t>Thinners 5l</t>
  </si>
  <si>
    <t>TS5PUR/BK</t>
  </si>
  <si>
    <t>TS5PUR/BK - 125mm Brake Castor</t>
  </si>
  <si>
    <t>PINE-S5</t>
  </si>
  <si>
    <t>PINE - S5 38X114X6.0M</t>
  </si>
  <si>
    <t>Foresta Timber &amp; Board (Pty) Ltd</t>
  </si>
  <si>
    <t>TCOVER</t>
  </si>
  <si>
    <t>ROPE TIE DOWN - TONNEAU COVER - MAHINDRA SINGLE CAB</t>
  </si>
  <si>
    <t>TONNEAU COVER MASTERS</t>
  </si>
  <si>
    <t>.30 Duct</t>
  </si>
  <si>
    <t>300mm Diameter-10 meter Long</t>
  </si>
  <si>
    <t>1501</t>
  </si>
  <si>
    <t>ARCAL SPEED 50L CYLINDER 17.5KG</t>
  </si>
  <si>
    <t>2450x1225x2mm</t>
  </si>
  <si>
    <t>HR Sheet CQ 2450x1225x2mm</t>
  </si>
  <si>
    <t>2450x1225x3mm</t>
  </si>
  <si>
    <t>HR Sheet SAE1008 2450x1225x3</t>
  </si>
  <si>
    <t>3000x1500x1.9mm</t>
  </si>
  <si>
    <t>HR Sheet CQ 3000x1500x1.9mm</t>
  </si>
  <si>
    <t>Angle S355JR-50x50x5mm</t>
  </si>
  <si>
    <t>Angle S355JR 50x50x5mm 6Mtr</t>
  </si>
  <si>
    <t>SQ-TUBE32X32</t>
  </si>
  <si>
    <t>SQ / TUBE 32X32X1.5 - 6M</t>
  </si>
  <si>
    <t>TTR07603820006</t>
  </si>
  <si>
    <t>Rec Tube 76x38x1.9-6M</t>
  </si>
  <si>
    <t>TTS038020006</t>
  </si>
  <si>
    <t>Sq / Tube 38X38X1.9-6M</t>
  </si>
  <si>
    <t>194843</t>
  </si>
  <si>
    <t>M12 FLAT WASHER DIN 125A ZINC BLUE (13i/d x 24o/d x 2 .5 thk)</t>
  </si>
  <si>
    <t>M&amp;D SPECIALISED FASTENERS (PTY) LTD</t>
  </si>
  <si>
    <t>194856</t>
  </si>
  <si>
    <t>M16 FLAT WASHER DIN 125A ZINC BLUE (17i/d x 30o/d X 3thk)</t>
  </si>
  <si>
    <t>194916</t>
  </si>
  <si>
    <t>M6 (6.4 X12X1.6) FLAT WASHER DIN 125A ZINC BLUE</t>
  </si>
  <si>
    <t>227205</t>
  </si>
  <si>
    <t>CSK ALLEN CAP SCREW MECH</t>
  </si>
  <si>
    <t>239158</t>
  </si>
  <si>
    <t>M6*25 HT HEX SET SCREW Z/BLUE</t>
  </si>
  <si>
    <t>241420</t>
  </si>
  <si>
    <t>M12 FLAT WASHER DIN 125A - (13i/dX24o/dX2.5thk) S/S 304 - A2</t>
  </si>
  <si>
    <t>245199</t>
  </si>
  <si>
    <t>M5*16 HEX SET SCREW S/S 304 - A2</t>
  </si>
  <si>
    <t>245232</t>
  </si>
  <si>
    <t>M6*16 A2 HEX SET SCREW</t>
  </si>
  <si>
    <t>245381</t>
  </si>
  <si>
    <t>M5 HEX NUTS S/S 304 - A2</t>
  </si>
  <si>
    <t>FLAT WASHER - M6 ZB</t>
  </si>
  <si>
    <t>Flat Washer M6x20x2</t>
  </si>
  <si>
    <t>M6x20x2 - Flat Washer Zinc Blue</t>
  </si>
  <si>
    <t>Grub Screw - 4mm</t>
  </si>
  <si>
    <t>4mm Grub Screw</t>
  </si>
  <si>
    <t>M10 FLAT WASHER (S/S)</t>
  </si>
  <si>
    <t>M10x20x3 FLAT WASHER STAINLESS STEEL A2</t>
  </si>
  <si>
    <t>M10 FLAT WASHER ZB</t>
  </si>
  <si>
    <t>M10 FLAT WASHER DIN 125A ZINC BLUE (10 .5i/dx20o/dxthk) 10 125A ZB</t>
  </si>
  <si>
    <t>M10 HEX NUT (S/S)</t>
  </si>
  <si>
    <t>M10 HEX NUT STAINLESS STEEL A2</t>
  </si>
  <si>
    <t>M10*16 (S/S)</t>
  </si>
  <si>
    <t>M10*16 HT HEX SET SCREW (S/S) A2</t>
  </si>
  <si>
    <t>M10X40</t>
  </si>
  <si>
    <t>M10X40 HT HEX SET SCREWS</t>
  </si>
  <si>
    <t>M12 FLAT WASHER (S/S)</t>
  </si>
  <si>
    <t>M12x30x3 FLAT WASHER STAINLESS STEEL A2</t>
  </si>
  <si>
    <t>M12 FLAT WASHER S/S</t>
  </si>
  <si>
    <t>M12 FLAT WASHER - S/S A2 - 304</t>
  </si>
  <si>
    <t>M12 HEX NUT (S/S)</t>
  </si>
  <si>
    <t>M12 HEX NUT STAINLESS STEEL A2</t>
  </si>
  <si>
    <t>M12*16 (S/S)</t>
  </si>
  <si>
    <t>M12*16 HT HEX SET SCREW (S/S) A2</t>
  </si>
  <si>
    <t>M12*20(S/S)</t>
  </si>
  <si>
    <t>M12*20 HEX SET SCREWS S/S 304 A2</t>
  </si>
  <si>
    <t>M12*40*3 Flat Washer ZB</t>
  </si>
  <si>
    <t>M13X40X3</t>
  </si>
  <si>
    <t>M14 FLAT WASHER ZB</t>
  </si>
  <si>
    <t>M14x30x3 FLAT WASHER Z/BLUE</t>
  </si>
  <si>
    <t>M14X65 Hex Set Screw</t>
  </si>
  <si>
    <t>M14*65 HT HEX SET SCREW Z/BLUE</t>
  </si>
  <si>
    <t>M16 FLAT WASHER (17i/d X 30o/d 3thk) ZB</t>
  </si>
  <si>
    <t>M16 FLAT WASHER DIN 125A ZINC BLUE (17i/d X 30o/d 3thk) 16 125A ZB</t>
  </si>
  <si>
    <t>M16 FLAT WASHER (S/S)</t>
  </si>
  <si>
    <t>M16 FLAT WASHER STAINLESS STEEL A2</t>
  </si>
  <si>
    <t>M16 HEX NUT (S/S)</t>
  </si>
  <si>
    <t>M16 HEX NUT STAINLESS STEEL A2</t>
  </si>
  <si>
    <t>M16*120 (S/S)</t>
  </si>
  <si>
    <t>M16*120 HT HEX SET SCREW (S/S) A2</t>
  </si>
  <si>
    <t>M16*16 (S/S)</t>
  </si>
  <si>
    <t>M16*16 HT HEX SET SCREW (S/S) A2</t>
  </si>
  <si>
    <t>M16*20(S/S)</t>
  </si>
  <si>
    <t>M16*20 Hex Set Screws A2</t>
  </si>
  <si>
    <t>M16*25(S/S)</t>
  </si>
  <si>
    <t>M16*25 A2 HEX SET SCREW 933 A2</t>
  </si>
  <si>
    <t>M20 GALV EYE BOLT</t>
  </si>
  <si>
    <t>M20 DIN 580 TESTED EYE BOLT GALV M20EYE OLD</t>
  </si>
  <si>
    <t>M5-ROD</t>
  </si>
  <si>
    <t>M5 Threaded Rod</t>
  </si>
  <si>
    <t>M6*25 CSK Allen Cap Screw</t>
  </si>
  <si>
    <t>M6*25 CSK Allen Cap Screw 6x25</t>
  </si>
  <si>
    <t>M6*70 HT HEX SET SCREW ZB</t>
  </si>
  <si>
    <t>M6*70 HT HEX SET SCREW Z/BLUE</t>
  </si>
  <si>
    <t>M6X1</t>
  </si>
  <si>
    <t>M6*1 M/S THREADED ROD Z/BLUE - 6*1 975 ZB</t>
  </si>
  <si>
    <t>M6X16</t>
  </si>
  <si>
    <t>GRUB SCREW</t>
  </si>
  <si>
    <t>M6X16 COUNTER SUNK</t>
  </si>
  <si>
    <t>M6X16 COUNTER SUNK BOLTS - Allen key screw in - Zinc blue</t>
  </si>
  <si>
    <t>M6X16 COUNTER SUNK-MACH</t>
  </si>
  <si>
    <t>M6X16 COUNTER SUNK BOLTS - Machine screw in - zinc blue</t>
  </si>
  <si>
    <t>POZI SELF TAPPER - 10</t>
  </si>
  <si>
    <t>No10 (4 .8mm)x19 PAN/HD POZI SELF TAPPER 10X19 7981</t>
  </si>
  <si>
    <t>POZI SELF TAPPER - 10 (S/S)</t>
  </si>
  <si>
    <t>No10 (4.8mm)x19 PAN/HD POZI SELF TAPPER - S/S 304 - A2</t>
  </si>
  <si>
    <t>POZI SELF TAPPER - 12</t>
  </si>
  <si>
    <t>No12 (5.5mm)x19 PAN/HD POZI SELF TAPPER 10X19 7981</t>
  </si>
  <si>
    <t>POZI SELF TAPPER - 12 (S/S)</t>
  </si>
  <si>
    <t>No12 (5.5mm)x19 PAN/HD POZI SELF TAPPER - (S/S)</t>
  </si>
  <si>
    <t>SPRING WASHER 16 ZB</t>
  </si>
  <si>
    <t>16 SQ MED SPRING WASHER Z/BLUE 16 7980 SS ZB</t>
  </si>
  <si>
    <t>THREADED ROD 12X1 ZB</t>
  </si>
  <si>
    <t>THREADED ROD 8.8 ZINC BLUE 12X1 975 8.8 ZB</t>
  </si>
  <si>
    <t>THREADED ROD 16X1 8 .8 ZB</t>
  </si>
  <si>
    <t>16X1 THREADED ROD 8 . 8 ZINC BLUE 16X1 975 8 .8 ZB</t>
  </si>
  <si>
    <t>SCBD2M0.7kWb</t>
  </si>
  <si>
    <t>SCB D2M 0.7kW - 220V</t>
  </si>
  <si>
    <t>SCBD2T0.7kWB</t>
  </si>
  <si>
    <t>SCB D2T 0.7kW - 400V</t>
  </si>
  <si>
    <t>SCBD3M1.3kWB</t>
  </si>
  <si>
    <t>SCB D3M 1.3kW - 220V</t>
  </si>
  <si>
    <t>SCBD3T0.85kWB</t>
  </si>
  <si>
    <t>SCB D3T 0.85kW - 400V</t>
  </si>
  <si>
    <t>SCBD3T1.3kWB</t>
  </si>
  <si>
    <t>SCB D3T 1.3kW - 400V</t>
  </si>
  <si>
    <t>SCBD4M1.3kWB</t>
  </si>
  <si>
    <t>SCB D4M 1.3kW - 220V</t>
  </si>
  <si>
    <t>SCBD4M1.5kWB</t>
  </si>
  <si>
    <t>SCB D4M 1.5kW - 220V</t>
  </si>
  <si>
    <t>SCBD4M2.2kWB</t>
  </si>
  <si>
    <t>SCB D4M 2.2kW - 220V</t>
  </si>
  <si>
    <t>SCBD4T1.6kWB</t>
  </si>
  <si>
    <t>SCB D4T 1.6kW - 400V</t>
  </si>
  <si>
    <t>SCBD4T2.2kWB</t>
  </si>
  <si>
    <t>SCB D4T 2.2kW - 400V</t>
  </si>
  <si>
    <t>SCBD5T2.2kWB</t>
  </si>
  <si>
    <t>SCB D5T 2.2kW - 400V</t>
  </si>
  <si>
    <t>SCBD5T3kWB</t>
  </si>
  <si>
    <t>SCB D5T 3kW - 400V</t>
  </si>
  <si>
    <t>SCBD5T4kWB</t>
  </si>
  <si>
    <t>SCB D5T 4kW - 400V</t>
  </si>
  <si>
    <t>SCBD7T3.0kWB</t>
  </si>
  <si>
    <t>SCB D7T 3.0kW - 400V</t>
  </si>
  <si>
    <t>SCBD7T5.5kWB</t>
  </si>
  <si>
    <t>SCB D7T 5.5kW - 400V</t>
  </si>
  <si>
    <t>SCBD8T5.5kWB</t>
  </si>
  <si>
    <t>SCB D8T 5.5kW - 400V</t>
  </si>
  <si>
    <t>SCBFLT1.25B</t>
  </si>
  <si>
    <t>SCB Blower Simple Intake Filter - 1 1/4</t>
  </si>
  <si>
    <t>SCBFLT1.5B</t>
  </si>
  <si>
    <t>SCB Blower Simple Intake Filter - 1 1/2</t>
  </si>
  <si>
    <t>SCBFLT2.5B</t>
  </si>
  <si>
    <t>SCB Blower Simple Intake Filter - 2 1/2</t>
  </si>
  <si>
    <t>SCBFLT4</t>
  </si>
  <si>
    <t>SCB Blower Simple Intake Filter - 4</t>
  </si>
  <si>
    <t>SCBPV1.25AB</t>
  </si>
  <si>
    <t>SCB Pressure Relieve Valve - 1 1/4 - Aluminium</t>
  </si>
  <si>
    <t>SCBPV1.25PB</t>
  </si>
  <si>
    <t>SCB Pressure Relieve Valve - 1 1/4 - Plastic</t>
  </si>
  <si>
    <t>SCBPV4AB</t>
  </si>
  <si>
    <t>SCB Pressure Relieve Valve - 4 - Aluminium</t>
  </si>
  <si>
    <t>SCBS0T0.12kWB</t>
  </si>
  <si>
    <t>SCB S0T 0.12kW - 400V</t>
  </si>
  <si>
    <t>SCBS1M0.2kWB</t>
  </si>
  <si>
    <t>SCB S1M 0.2kW - 220V</t>
  </si>
  <si>
    <t>SCBS1T0.2kWB</t>
  </si>
  <si>
    <t>SCB S1T 0.2kW - 400V</t>
  </si>
  <si>
    <t>SCBS2M0.25kWB</t>
  </si>
  <si>
    <t>SCB S2M 0.25kW - 220V</t>
  </si>
  <si>
    <t>SCBS2M0.4kWB</t>
  </si>
  <si>
    <t>SCB S2M 0.4kW - 220V</t>
  </si>
  <si>
    <t>SCBS2T0.25kWB</t>
  </si>
  <si>
    <t>SCB S2T 0.25kW - 400V</t>
  </si>
  <si>
    <t>SCBS2T0.4kWB</t>
  </si>
  <si>
    <t>SCB S2T 0.4kW - 400V</t>
  </si>
  <si>
    <t>SCBS3M0.55kWB</t>
  </si>
  <si>
    <t>SCB S3M 0.55kW - 220V</t>
  </si>
  <si>
    <t>SCBS3M0.7kWB</t>
  </si>
  <si>
    <t>SCB S3M 0.7kW - 220V</t>
  </si>
  <si>
    <t>SCBS3T0.55kWB</t>
  </si>
  <si>
    <t>SCB S3T 0.55kW - 400V</t>
  </si>
  <si>
    <t>SCBS3T0.7kWB</t>
  </si>
  <si>
    <t>SCB S3T 0.7kW - 400V</t>
  </si>
  <si>
    <t>SCBS4M0.7kWB</t>
  </si>
  <si>
    <t>SCB S4M 0.7kW - 220V</t>
  </si>
  <si>
    <t>SCBS4M0.85kWB</t>
  </si>
  <si>
    <t>SCB S4M 0.85kW - 220V</t>
  </si>
  <si>
    <t>SCBS4M1.3kWB</t>
  </si>
  <si>
    <t>SCB S4M 1.3kW - 220V</t>
  </si>
  <si>
    <t>SCBS4T0.7kWB</t>
  </si>
  <si>
    <t>SCB S4T 0.7kW - 400V</t>
  </si>
  <si>
    <t>SCBS4T0.85kWB</t>
  </si>
  <si>
    <t>SCB S4T 0.85kW - 400V</t>
  </si>
  <si>
    <t>SCBS4T1.3kWB</t>
  </si>
  <si>
    <t>SCB S4T 1.3kW - 400V</t>
  </si>
  <si>
    <t>SCBS5M1.3kWB</t>
  </si>
  <si>
    <t>SCB S5M 1.3kW - 220V</t>
  </si>
  <si>
    <t>SCBS5M1.5kWB</t>
  </si>
  <si>
    <t>SCB S5M 1.5kW - 220V</t>
  </si>
  <si>
    <t>SCBS5M2.2kWB</t>
  </si>
  <si>
    <t>SCB S5M 2.2kW - 220V</t>
  </si>
  <si>
    <t>SCBS5T1.3kWB</t>
  </si>
  <si>
    <t>SCB S5T 1.3kW - 400V</t>
  </si>
  <si>
    <t>SCBS5T1.6kWB</t>
  </si>
  <si>
    <t>SCB S5T 1.6kW - 400V</t>
  </si>
  <si>
    <t>SCBS5T2.2kWB</t>
  </si>
  <si>
    <t>SCB S5T 2.2kW - 400V</t>
  </si>
  <si>
    <t>SCBS6M2.2kWB</t>
  </si>
  <si>
    <t>SCB S6M 2.2kW - 220V</t>
  </si>
  <si>
    <t>SCBS6T2.2kWB</t>
  </si>
  <si>
    <t>SCB S6T 2.2kW - 400V</t>
  </si>
  <si>
    <t>SCBS6T3kWB</t>
  </si>
  <si>
    <t>SCB S6T 3kW - 400V</t>
  </si>
  <si>
    <t>SCBS7T3kWB</t>
  </si>
  <si>
    <t>SCB S7T 3kW - 400V</t>
  </si>
  <si>
    <t>SCBS7T4.3kWB</t>
  </si>
  <si>
    <t>SCB S7T 4.3kW - 400V</t>
  </si>
  <si>
    <t>SCBS8T4.3kWB</t>
  </si>
  <si>
    <t>SCB S8T 4.3kW - 400V</t>
  </si>
  <si>
    <t>SCBS8T5.5kWB</t>
  </si>
  <si>
    <t>SCB S8T 5.5kW - 400V</t>
  </si>
  <si>
    <t>SCBS8T7.5kWB</t>
  </si>
  <si>
    <t>SCB S8T 7.5kW - 400V</t>
  </si>
  <si>
    <t>1000CF</t>
  </si>
  <si>
    <t>1000 Diam Counter Flange</t>
  </si>
  <si>
    <t>Attenu-Tec HVAC Parts</t>
  </si>
  <si>
    <t>1000CFUG</t>
  </si>
  <si>
    <t>1000 Diam Counter Flange Ungalvanised</t>
  </si>
  <si>
    <t>315CF</t>
  </si>
  <si>
    <t>315 Diam Counter Flange</t>
  </si>
  <si>
    <t>400CF</t>
  </si>
  <si>
    <t>400 Diam Counter Flange</t>
  </si>
  <si>
    <t>500CF</t>
  </si>
  <si>
    <t>500 Diam Counter Flange</t>
  </si>
  <si>
    <t>500CFUG</t>
  </si>
  <si>
    <t>500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</si>
  <si>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</si>
  <si>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</si>
  <si>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</si>
  <si>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</si>
  <si>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</si>
  <si>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</si>
  <si>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</si>
  <si>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</si>
  <si>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</si>
  <si>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</si>
  <si>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</si>
  <si>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</si>
  <si>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</si>
  <si>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</si>
  <si>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</si>
  <si>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</si>
  <si>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</si>
  <si>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</si>
  <si>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900CFUG</t>
  </si>
  <si>
    <t>900 Diam Counter Flange Ungalvanised</t>
  </si>
  <si>
    <t>C315x315</t>
  </si>
  <si>
    <t>Casing size 315diamx315</t>
  </si>
  <si>
    <t>C400x400</t>
  </si>
  <si>
    <t>Casing Size 400diamx400</t>
  </si>
  <si>
    <t>C500x400</t>
  </si>
  <si>
    <t>Casing Size 500diamx400</t>
  </si>
  <si>
    <t>C560x400</t>
  </si>
  <si>
    <t>Casing size 560diamx400</t>
  </si>
  <si>
    <t>C560x500</t>
  </si>
  <si>
    <t>Casing size 560diamx500</t>
  </si>
  <si>
    <t>C630x400</t>
  </si>
  <si>
    <t>Casing Size 630diamx400</t>
  </si>
  <si>
    <t>C710x400</t>
  </si>
  <si>
    <t>Casing Size 710diamx400</t>
  </si>
  <si>
    <t>C800x400</t>
  </si>
  <si>
    <t>Casing Size 800diamx400</t>
  </si>
  <si>
    <t>C800x500</t>
  </si>
  <si>
    <t>Casing Size 800diamx500</t>
  </si>
  <si>
    <t>C900x500</t>
  </si>
  <si>
    <t>Casing Size 900diamx500</t>
  </si>
  <si>
    <t>HDA9B315</t>
  </si>
  <si>
    <t>HDA9 - 315 Impeller to suit 0.37Kw 2pole Motor</t>
  </si>
  <si>
    <t>LDA9B710</t>
  </si>
  <si>
    <t>LDA9B - Allumium bladed Impeller - Form B to suit 1.1kw 4Pole motor</t>
  </si>
  <si>
    <t>1000FC</t>
  </si>
  <si>
    <t>1000 Diam Flexible Connection</t>
  </si>
  <si>
    <t>1000HVJ-2S</t>
  </si>
  <si>
    <t>1000 Diam Vertical Discharge Unit</t>
  </si>
  <si>
    <t>1000HVJ-2SB</t>
  </si>
  <si>
    <t>1000 Diam Vertical Discharge BASE</t>
  </si>
  <si>
    <t>1000S1.0D</t>
  </si>
  <si>
    <t>1000 Diam Silencer 1.0D</t>
  </si>
  <si>
    <t>1000S1.0DP</t>
  </si>
  <si>
    <t>1000 Diam Silencer 1.0D Podded</t>
  </si>
  <si>
    <t>1000S1.5D</t>
  </si>
  <si>
    <t>1000 Diam Silencer 1.5D</t>
  </si>
  <si>
    <t>1000S1.5DP</t>
  </si>
  <si>
    <t>1000 Diam Silencer 1.5D Podded</t>
  </si>
  <si>
    <t>Attenu-Tec</t>
  </si>
  <si>
    <t>1000S2.0D</t>
  </si>
  <si>
    <t>1000 Diam Silencer 2.0D</t>
  </si>
  <si>
    <t>1000S2.0DP</t>
  </si>
  <si>
    <t>1000 Diam Silencer 2.0D Podded</t>
  </si>
  <si>
    <t>1000SM1.0D</t>
  </si>
  <si>
    <t>1000 Diam Melinex Silencer 1.0D</t>
  </si>
  <si>
    <t>1000SM1.0DP</t>
  </si>
  <si>
    <t>1000 Diam Melinex Silencer 1.0D Podded</t>
  </si>
  <si>
    <t>1000SM1.5D</t>
  </si>
  <si>
    <t>1000 Diam Melinex Silencer 1.5D</t>
  </si>
  <si>
    <t>1000SM1.5DP</t>
  </si>
  <si>
    <t>1000 Diam Melinex Silencer 1.5D Podded</t>
  </si>
  <si>
    <t>1000SM2.0D</t>
  </si>
  <si>
    <t>1000 Diam Melinex Silencer 2.0D</t>
  </si>
  <si>
    <t>1000SM2.0DP</t>
  </si>
  <si>
    <t>1000 Diam Melinex Silencer 2.0D Podded</t>
  </si>
  <si>
    <t>100T300</t>
  </si>
  <si>
    <t>100 Diam Tube Silencer 300L</t>
  </si>
  <si>
    <t>100T600</t>
  </si>
  <si>
    <t>100 Diam Tube Silencer 600L</t>
  </si>
  <si>
    <t>1250FC</t>
  </si>
  <si>
    <t>1250 Diam Flexible Connection</t>
  </si>
  <si>
    <t>1250HVJ-2S</t>
  </si>
  <si>
    <t>1250 Diam Vertical Discharge Unit</t>
  </si>
  <si>
    <t>1250HVJ-2SB</t>
  </si>
  <si>
    <t>1250 Diam Vertical Discharge BASE</t>
  </si>
  <si>
    <t>1250S1.0D</t>
  </si>
  <si>
    <t>1250 Diam Silencer 1.0D</t>
  </si>
  <si>
    <t>1250S1.0DP</t>
  </si>
  <si>
    <t>1250 Diam Silencer 1.0D Podded</t>
  </si>
  <si>
    <t>1250S1.5D</t>
  </si>
  <si>
    <t>1250 Diam Silencer 1.5D</t>
  </si>
  <si>
    <t>1250S1.5DP</t>
  </si>
  <si>
    <t>1250 Diam Silencer 1.5D Podded</t>
  </si>
  <si>
    <t>1250S2.0D</t>
  </si>
  <si>
    <t>1250 Diam Silencer 2.0D</t>
  </si>
  <si>
    <t>1250S2.0DP</t>
  </si>
  <si>
    <t>1250 Diam Silencer 2.0D Podded</t>
  </si>
  <si>
    <t>1250SM1.0D</t>
  </si>
  <si>
    <t>1250 Diam Melinex Silencer 1.0D</t>
  </si>
  <si>
    <t>1250SM1.0DP</t>
  </si>
  <si>
    <t>1250 Diam Melinex Silencer 1.0D Podded</t>
  </si>
  <si>
    <t>1250SM1.5D</t>
  </si>
  <si>
    <t>1250 Diam Melinex Silencer 1.5D</t>
  </si>
  <si>
    <t>1250SM1.5DP</t>
  </si>
  <si>
    <t>1250 Diam Melinex Silencer 1.5D Podded</t>
  </si>
  <si>
    <t>1250SM2.0D</t>
  </si>
  <si>
    <t>1250 Diam Melinex Silencer 2.0D</t>
  </si>
  <si>
    <t>1250SM2.0DP</t>
  </si>
  <si>
    <t>1250 Diam Melinex Silencer 2.0D Podded</t>
  </si>
  <si>
    <t>125T300</t>
  </si>
  <si>
    <t>125 Diam Tube Silencer 300L</t>
  </si>
  <si>
    <t>125T600</t>
  </si>
  <si>
    <t>125 Diam Tube Silencer 600L</t>
  </si>
  <si>
    <t>125TTSilentM</t>
  </si>
  <si>
    <t>125 TT Silent M Fan</t>
  </si>
  <si>
    <t>150T300</t>
  </si>
  <si>
    <t>150 Diam Tube Silencer 300L</t>
  </si>
  <si>
    <t>150T600</t>
  </si>
  <si>
    <t>150 Diam Tube Silencer 600L</t>
  </si>
  <si>
    <t>1600FC</t>
  </si>
  <si>
    <t>1600 Diam Flexible Connection</t>
  </si>
  <si>
    <t>1600HVJ-2S</t>
  </si>
  <si>
    <t>1600 Diam Vertical Discharge Unit</t>
  </si>
  <si>
    <t>1600HVJ-2SB</t>
  </si>
  <si>
    <t>1600 Diam Vertical Discharge BASE</t>
  </si>
  <si>
    <t>1600S1.0D</t>
  </si>
  <si>
    <t>1600 Diam Silencer 1.0D</t>
  </si>
  <si>
    <t>1600S1.0DP</t>
  </si>
  <si>
    <t>1600 Diam Silencer 1.0D Poded</t>
  </si>
  <si>
    <t>1600S1.5D</t>
  </si>
  <si>
    <t>1600 Diam Silencer 1.5D</t>
  </si>
  <si>
    <t>1600S1.5DP</t>
  </si>
  <si>
    <t>1600 Diam Silencer 1.5D Podded</t>
  </si>
  <si>
    <t>1600S2.0D</t>
  </si>
  <si>
    <t>1600 Diam Silencer 2.0D</t>
  </si>
  <si>
    <t>1600S2.0DP</t>
  </si>
  <si>
    <t>1600 Diam Silencer 2.0D Podded</t>
  </si>
  <si>
    <t>1600SM1.0D</t>
  </si>
  <si>
    <t>1600 Diam Melinex Silencer 1.0D</t>
  </si>
  <si>
    <t>1600SM1.0DP</t>
  </si>
  <si>
    <t>1600 Diam Melinex Silencer 1.0D Podded</t>
  </si>
  <si>
    <t>1600SM1.5D</t>
  </si>
  <si>
    <t>1600 Diam Melinex Silencer 1.5D</t>
  </si>
  <si>
    <t>1600SM1.5DP</t>
  </si>
  <si>
    <t>1600 Diam Melinex Silencer 1.5D Podded</t>
  </si>
  <si>
    <t>1600SM2.0D</t>
  </si>
  <si>
    <t>1600 Diam Melinex Silencer 2.0D</t>
  </si>
  <si>
    <t>1600SM2.0DP</t>
  </si>
  <si>
    <t>1600 Diam Melinex Silencer 2.0D Podded</t>
  </si>
  <si>
    <t>160T300</t>
  </si>
  <si>
    <t>160 Diam Tube Silencer 300L</t>
  </si>
  <si>
    <t>160T600</t>
  </si>
  <si>
    <t>160 Diam Tube Silencer 600L</t>
  </si>
  <si>
    <t>200T300</t>
  </si>
  <si>
    <t>200 Diam Tube Silencer 300L</t>
  </si>
  <si>
    <t>200T600</t>
  </si>
  <si>
    <t>200 Diam Tube Silencer 600L</t>
  </si>
  <si>
    <t>200T900</t>
  </si>
  <si>
    <t>200 Diam Tube Silencer 900L</t>
  </si>
  <si>
    <t>2243FM</t>
  </si>
  <si>
    <t>22kW 4P 380V Foot Mount Motor</t>
  </si>
  <si>
    <t>ACTOM</t>
  </si>
  <si>
    <t>250T300</t>
  </si>
  <si>
    <t>250 Diam Tube Silencer 300L</t>
  </si>
  <si>
    <t>250T600</t>
  </si>
  <si>
    <t>250 Diam Tube Silencer 600L</t>
  </si>
  <si>
    <t>315-560AVMS</t>
  </si>
  <si>
    <t>315 to 560 NDA RED ANeoprene Floor Mounts</t>
  </si>
  <si>
    <t>Seal 'N Devices (Pty) Ltd</t>
  </si>
  <si>
    <t>315FC</t>
  </si>
  <si>
    <t>315 Diam Flexible Connection</t>
  </si>
  <si>
    <t>315HVJ-2S</t>
  </si>
  <si>
    <t>315 Diam Vertical Discharge Unit</t>
  </si>
  <si>
    <t>315HVJ-2SB</t>
  </si>
  <si>
    <t>315 Diam Vertical Discharge BASE</t>
  </si>
  <si>
    <t>315S1.0D</t>
  </si>
  <si>
    <t>315 Diam Silencer 1.0D</t>
  </si>
  <si>
    <t>315S1.0DP</t>
  </si>
  <si>
    <t>315 Diam Silencer 1.0D Podded</t>
  </si>
  <si>
    <t>315S1.5D</t>
  </si>
  <si>
    <t>315 Diam Silencer 1.5D</t>
  </si>
  <si>
    <t>315S1.5DP</t>
  </si>
  <si>
    <t>315 Diam Silencer 1.5D Podded</t>
  </si>
  <si>
    <t>315S2.0D</t>
  </si>
  <si>
    <t>315 Diam Silencer 2.0D</t>
  </si>
  <si>
    <t>315S2.0DP</t>
  </si>
  <si>
    <t>315 Diam Silencer 2.0D Podded</t>
  </si>
  <si>
    <t>315SM1.0D</t>
  </si>
  <si>
    <t>315 Diam Melinex Silencer 1.0D</t>
  </si>
  <si>
    <t>315SM1.0DP</t>
  </si>
  <si>
    <t>315 Diam Melinex Silencer 1.0D Podded</t>
  </si>
  <si>
    <t>315SM1.5D</t>
  </si>
  <si>
    <t>315 Diam Melinex Silencer 1.5D</t>
  </si>
  <si>
    <t>315SM1.5DP</t>
  </si>
  <si>
    <t>315 Diam Melinex Silencer 1.5D Podded</t>
  </si>
  <si>
    <t>315SM2.0D</t>
  </si>
  <si>
    <t>315 Diam Melinex Silencer 2.0D</t>
  </si>
  <si>
    <t>315SM2.0DP</t>
  </si>
  <si>
    <t>315 Diam Melinex Silencer 2.0D Podded</t>
  </si>
  <si>
    <t>315T300</t>
  </si>
  <si>
    <t>315 Diam Tube Silencer 300L</t>
  </si>
  <si>
    <t>315T600</t>
  </si>
  <si>
    <t>315 Diam Tube Silencer 600L</t>
  </si>
  <si>
    <t>315T900</t>
  </si>
  <si>
    <t>315 Diam Tube Silencer 900L</t>
  </si>
  <si>
    <t>355CF</t>
  </si>
  <si>
    <t>355 Diam Counter Flange</t>
  </si>
  <si>
    <t>355FC</t>
  </si>
  <si>
    <t>355 Diam Flexible Connection</t>
  </si>
  <si>
    <t>355HVJ-2S</t>
  </si>
  <si>
    <t>355 Diam Vertical Discharge Unit</t>
  </si>
  <si>
    <t>355HVJ-2SB</t>
  </si>
  <si>
    <t>355 Diam Vertical Discharge BASE</t>
  </si>
  <si>
    <t>355S1.0D</t>
  </si>
  <si>
    <t>355 Diam Silencer 1.0D</t>
  </si>
  <si>
    <t>355S1.0DP</t>
  </si>
  <si>
    <t>355 Diam Silencer 1.0D Podded</t>
  </si>
  <si>
    <t>355S1.5D</t>
  </si>
  <si>
    <t>355 Diam Silencer 1.5D</t>
  </si>
  <si>
    <t>355S1.5DP</t>
  </si>
  <si>
    <t>355 Diam Silencer 1.5D Podded</t>
  </si>
  <si>
    <t>355S2.0D</t>
  </si>
  <si>
    <t>355 Diam Silencer 2.0D</t>
  </si>
  <si>
    <t>355S2.0DP</t>
  </si>
  <si>
    <t>355 Diam Silencer 2.0D Podded</t>
  </si>
  <si>
    <t>355SM1.0D</t>
  </si>
  <si>
    <t>355 Diam Melinex Silencer 1.0D</t>
  </si>
  <si>
    <t>355SM1.0DP</t>
  </si>
  <si>
    <t>355 Diam Melinex Silencer 1.0D Podded</t>
  </si>
  <si>
    <t>355SM1.5D</t>
  </si>
  <si>
    <t>355 Diam Melinex Silencer 1.5D</t>
  </si>
  <si>
    <t>355SM1.5DP</t>
  </si>
  <si>
    <t>355 Diam Melinex Silencer 1.5D Podded</t>
  </si>
  <si>
    <t>355SM2.0D</t>
  </si>
  <si>
    <t>355 Diam Melinex Silencer 2.0D</t>
  </si>
  <si>
    <t>355SM2.0DP</t>
  </si>
  <si>
    <t>355 Diam Melinex Silencer 2.0D Podded</t>
  </si>
  <si>
    <t>355T600.</t>
  </si>
  <si>
    <t>355 Diam Tube Silencer 600L</t>
  </si>
  <si>
    <t>400FC</t>
  </si>
  <si>
    <t>400 Diam Flexible Connection</t>
  </si>
  <si>
    <t>400HVJ-2S</t>
  </si>
  <si>
    <t>400 Diam Vertical Discharge Unit</t>
  </si>
  <si>
    <t>400HVJ-2SB</t>
  </si>
  <si>
    <t>400 Diam Vertical Discharge BASE</t>
  </si>
  <si>
    <t>400S1.0D</t>
  </si>
  <si>
    <t>400 Diam Silencer 1.0D</t>
  </si>
  <si>
    <t>400S1.0DP</t>
  </si>
  <si>
    <t>400 Diam Silencer 1.0D Podded</t>
  </si>
  <si>
    <t>400S1.5D</t>
  </si>
  <si>
    <t>400 Diam Silencer 1.5D</t>
  </si>
  <si>
    <t>400S1.5DP</t>
  </si>
  <si>
    <t>400 Diam Silencer 1.5D Podded</t>
  </si>
  <si>
    <t>400S2.0D</t>
  </si>
  <si>
    <t>400 Diam Silencer 2.0D</t>
  </si>
  <si>
    <t>400S2.0DP</t>
  </si>
  <si>
    <t>400 Diam Silencer 2.0D Podded</t>
  </si>
  <si>
    <t>400SM1.0D</t>
  </si>
  <si>
    <t>400 Diam Melinex Silencer 1.0D</t>
  </si>
  <si>
    <t>400SM1.0DP</t>
  </si>
  <si>
    <t>400 Diam Melinex Silencer 1.0D Podded</t>
  </si>
  <si>
    <t>400SM1.5D</t>
  </si>
  <si>
    <t>400 Diam Melinex Silencer 1.5D</t>
  </si>
  <si>
    <t>400SM1.5DP</t>
  </si>
  <si>
    <t>400 Diam Melinex Silencer 1.5D Podded</t>
  </si>
  <si>
    <t>400SM2.0D</t>
  </si>
  <si>
    <t>400 Diam Melinex Silencer 2.0D</t>
  </si>
  <si>
    <t>400SM2.0DP</t>
  </si>
  <si>
    <t>400 Diam Melinex Silencer 2.0D Podded</t>
  </si>
  <si>
    <t>450FC</t>
  </si>
  <si>
    <t>450 Diam Flexible Connection</t>
  </si>
  <si>
    <t>450HVJ-2S</t>
  </si>
  <si>
    <t>450 Diam Vertical Discharge Unit</t>
  </si>
  <si>
    <t>450HVJ-2SB</t>
  </si>
  <si>
    <t>450 Diam Vertical Discharge BASE</t>
  </si>
  <si>
    <t>450S1.0D</t>
  </si>
  <si>
    <t>450 Diam Silencer 1.0D</t>
  </si>
  <si>
    <t>450S1.0DP</t>
  </si>
  <si>
    <t>450 Diam Silencer 1.0D Podded</t>
  </si>
  <si>
    <t>450S1.5D</t>
  </si>
  <si>
    <t>450 Diam Silencer 1.5D</t>
  </si>
  <si>
    <t>450S1.5DP</t>
  </si>
  <si>
    <t>450 Diam Silencer 1.5D Podded</t>
  </si>
  <si>
    <t>450S2.0D</t>
  </si>
  <si>
    <t>450 Diam Silencer 2.0D</t>
  </si>
  <si>
    <t>450S2.0DP</t>
  </si>
  <si>
    <t>450 Diam Silencer 2.0D Podded</t>
  </si>
  <si>
    <t>450SM1.0D</t>
  </si>
  <si>
    <t>450 Diam Melinex Silencer 1.0D</t>
  </si>
  <si>
    <t>450SM1.0DP</t>
  </si>
  <si>
    <t>450 Diam Melinex Silencer 1.0D Podded</t>
  </si>
  <si>
    <t>450SM1.5D</t>
  </si>
  <si>
    <t>450 Diam Melinex Silencer 1.5D</t>
  </si>
  <si>
    <t>450SM1.5DP</t>
  </si>
  <si>
    <t>450 Diam Melinex Silencer 1.5D Podded</t>
  </si>
  <si>
    <t>450SM2.0D</t>
  </si>
  <si>
    <t>450 Diam Melinex Silencer 2.0D</t>
  </si>
  <si>
    <t>450SM2.0DP</t>
  </si>
  <si>
    <t>450 Diam Melinex Silencer 2.0D Podded</t>
  </si>
  <si>
    <t>500FC</t>
  </si>
  <si>
    <t>500 Diam Flexible Connection</t>
  </si>
  <si>
    <t>500HVJ-2S</t>
  </si>
  <si>
    <t>500 Diam Vertical Discharge Unit</t>
  </si>
  <si>
    <t>500HVJ-2SB</t>
  </si>
  <si>
    <t>500 Diam Vertical Discharge BASE</t>
  </si>
  <si>
    <t>500S1.0D</t>
  </si>
  <si>
    <t>500 Diam Silencer 1.0D</t>
  </si>
  <si>
    <t>500S1.0DP</t>
  </si>
  <si>
    <t>500 Diam Silencer 1.0D Podded</t>
  </si>
  <si>
    <t>500S1.5D</t>
  </si>
  <si>
    <t>500 Diam Silencer 1.5D</t>
  </si>
  <si>
    <t>500S1.5DP</t>
  </si>
  <si>
    <t>500 Diam Silencer 1.5D Podded</t>
  </si>
  <si>
    <t>500S2.0D</t>
  </si>
  <si>
    <t>500 Diam Silencer 2.0D</t>
  </si>
  <si>
    <t>500S2.0DP</t>
  </si>
  <si>
    <t>500 Diam Silencer 2.0D Podded</t>
  </si>
  <si>
    <t>500SM1.0D</t>
  </si>
  <si>
    <t>500 Diam Melinex Silencer 1.0D</t>
  </si>
  <si>
    <t>500SM1.0DP</t>
  </si>
  <si>
    <t>500 Diam Melinex Silencer 1.0D Podded</t>
  </si>
  <si>
    <t>500SM1.5D</t>
  </si>
  <si>
    <t>500 Diam Melinex Silencer 1.5D</t>
  </si>
  <si>
    <t>500SM1.5DP</t>
  </si>
  <si>
    <t>500 Diam Melinex Silencer 1.5D Podded</t>
  </si>
  <si>
    <t>500SM2.0D</t>
  </si>
  <si>
    <t>500 Diam Melinex Silencer 2.0D</t>
  </si>
  <si>
    <t>500SM2.0DP</t>
  </si>
  <si>
    <t>500 Diam Melinex Silencer 2.0D Podded</t>
  </si>
  <si>
    <t>560FC</t>
  </si>
  <si>
    <t>560 Diam Flexible Connection</t>
  </si>
  <si>
    <t>560HVJ-2S</t>
  </si>
  <si>
    <t>560 Diam Vertical Discharge Unit</t>
  </si>
  <si>
    <t>560HVJ-2SB</t>
  </si>
  <si>
    <t>560 Diam Vertical Discharge BASE</t>
  </si>
  <si>
    <t>560S1.0D</t>
  </si>
  <si>
    <t>560 Diam Silencer 1.0D</t>
  </si>
  <si>
    <t>560S1.0DP</t>
  </si>
  <si>
    <t>560 Diam Silencer 1.0D Podded</t>
  </si>
  <si>
    <t>560S1.5D</t>
  </si>
  <si>
    <t>560 Diam Silencer 1.5D</t>
  </si>
  <si>
    <t>560S1.5DP</t>
  </si>
  <si>
    <t>560 Diam Silencer 1.5D Podded</t>
  </si>
  <si>
    <t>560S2.0D</t>
  </si>
  <si>
    <t>560 Diam Silencer 2.0D</t>
  </si>
  <si>
    <t>560S2.0DP</t>
  </si>
  <si>
    <t>560 Diam Silencer 2.0D Podded</t>
  </si>
  <si>
    <t>560SM1.0D</t>
  </si>
  <si>
    <t>560 Diam Melinex Silencer 1.0D</t>
  </si>
  <si>
    <t>560SM1.0DP</t>
  </si>
  <si>
    <t>560 Diam Melinex Silencer 1.0D Podded</t>
  </si>
  <si>
    <t>560SM1.5D</t>
  </si>
  <si>
    <t>560 Diam Melinex Silencer 1.5D</t>
  </si>
  <si>
    <t>560SM1.5DP</t>
  </si>
  <si>
    <t>560 Diam Melinex Silencer 1.5D Podded</t>
  </si>
  <si>
    <t>560SM2.0D</t>
  </si>
  <si>
    <t>560 Diam Melinex Silencer 2.0D</t>
  </si>
  <si>
    <t>560SM2.0DP</t>
  </si>
  <si>
    <t>560 Diam Melinex Silencer 2.0D Podded</t>
  </si>
  <si>
    <t>630-1000AVMS</t>
  </si>
  <si>
    <t>630 to 1000 NDB GREEN Neoprene Floor Mounts</t>
  </si>
  <si>
    <t>630FC</t>
  </si>
  <si>
    <t>630 Diam Flexible Connection</t>
  </si>
  <si>
    <t>630HVJ-2S</t>
  </si>
  <si>
    <t>630 Diam Vertical Discharge Unit</t>
  </si>
  <si>
    <t>630HVJ-2SB</t>
  </si>
  <si>
    <t>630 Diam Vertical Discharge BASE</t>
  </si>
  <si>
    <t>630S1.0D</t>
  </si>
  <si>
    <t>630 Diam Silencer 1.0D</t>
  </si>
  <si>
    <t>630S1.0DP</t>
  </si>
  <si>
    <t>630 Diam Silencer 1.0D Podded</t>
  </si>
  <si>
    <t>630S1.5D</t>
  </si>
  <si>
    <t>630 Diam Silencer 1.5D</t>
  </si>
  <si>
    <t>630S1.5DP</t>
  </si>
  <si>
    <t>630 Diam Silencer 1.5D Podded</t>
  </si>
  <si>
    <t>630S2.0D</t>
  </si>
  <si>
    <t>630 Diam Silencer 2.0D</t>
  </si>
  <si>
    <t>630S2.0DP</t>
  </si>
  <si>
    <t>630 Diam Silencer 2.0D Podded</t>
  </si>
  <si>
    <t>630SM1.0D</t>
  </si>
  <si>
    <t>630 Diam Melinex Silencer 1.0D</t>
  </si>
  <si>
    <t>630SM1.0DP</t>
  </si>
  <si>
    <t>630 Diam Melinex Silencer 1.0D Podded</t>
  </si>
  <si>
    <t>630SM1.5D</t>
  </si>
  <si>
    <t>630 Diam Melinex Silencer 1.5D</t>
  </si>
  <si>
    <t>630SM1.5DP</t>
  </si>
  <si>
    <t>630 Diam Melinex Silencer 1.5D Podded</t>
  </si>
  <si>
    <t>630SM2.0D</t>
  </si>
  <si>
    <t>630 Diam Melinex Silencer 2.0D</t>
  </si>
  <si>
    <t>630SM2.0DP</t>
  </si>
  <si>
    <t>630 Diam Melinex Silencer 2.0D Podded</t>
  </si>
  <si>
    <t>710FC</t>
  </si>
  <si>
    <t>710 Diam Flexible Connection</t>
  </si>
  <si>
    <t>710HVJ-2S</t>
  </si>
  <si>
    <t>710 Diam Vertical Discharge Unit</t>
  </si>
  <si>
    <t>710HVJ-2SB</t>
  </si>
  <si>
    <t>710 Diam Vertical Discharge BASE</t>
  </si>
  <si>
    <t>710S1.0D</t>
  </si>
  <si>
    <t>710 Diam Silencer 1.0D</t>
  </si>
  <si>
    <t>710S1.0DP</t>
  </si>
  <si>
    <t>710 Diam Silencer 1.0D Podded</t>
  </si>
  <si>
    <t>710S1.5D</t>
  </si>
  <si>
    <t>710 Diam Silencer 1.5D</t>
  </si>
  <si>
    <t>710S1.5DP</t>
  </si>
  <si>
    <t>710 Diam Silencer 1.5D Podded</t>
  </si>
  <si>
    <t>710S2.0D</t>
  </si>
  <si>
    <t>710 Diam Silencer 2.0D</t>
  </si>
  <si>
    <t>710S2.0DP</t>
  </si>
  <si>
    <t>710 Diam Silencer 2.0D Podded</t>
  </si>
  <si>
    <t>710SM1.0D</t>
  </si>
  <si>
    <t>710 Diam Melinex Silencer 1.0D</t>
  </si>
  <si>
    <t>710SM1.0DP</t>
  </si>
  <si>
    <t>710 Diam Melinex Silencer 1.0D Podded</t>
  </si>
  <si>
    <t>710SM1.5D</t>
  </si>
  <si>
    <t>710 Diam Melinex Silencer 1.5D</t>
  </si>
  <si>
    <t>710SM1.5DP</t>
  </si>
  <si>
    <t>710 Diam Melinex Silencer 1.5D Podded</t>
  </si>
  <si>
    <t>710SM2.0D</t>
  </si>
  <si>
    <t>710 Diam Melinex Silencer 2.0D</t>
  </si>
  <si>
    <t>710SM2.0DP</t>
  </si>
  <si>
    <t>710 Diam Melinex Silencer 2.0D Podded</t>
  </si>
  <si>
    <t>800FC</t>
  </si>
  <si>
    <t>800 Diam Flexible Connection</t>
  </si>
  <si>
    <t>800HVJ-2S</t>
  </si>
  <si>
    <t>800 Diam Vertical Discharge Unit</t>
  </si>
  <si>
    <t>800HVJ-2SB</t>
  </si>
  <si>
    <t>800 Diam Vertical Discharge BASE</t>
  </si>
  <si>
    <t>800S1.0D</t>
  </si>
  <si>
    <t>800 Diam Silencer 1.0D</t>
  </si>
  <si>
    <t>800S1.0DP</t>
  </si>
  <si>
    <t>800 Diam Silencer 1.0D Podded</t>
  </si>
  <si>
    <t>800S1.5D</t>
  </si>
  <si>
    <t>800 Diam Silencer 1.5D</t>
  </si>
  <si>
    <t>800S1.5DP</t>
  </si>
  <si>
    <t>800 Diam Silencer 1.5D Podded</t>
  </si>
  <si>
    <t>800S2.0D</t>
  </si>
  <si>
    <t>800 Diam Silencer 2.0D</t>
  </si>
  <si>
    <t>800S2.0DP</t>
  </si>
  <si>
    <t>800 Diam Silencer 2.0D Podded</t>
  </si>
  <si>
    <t>800SM1.0D</t>
  </si>
  <si>
    <t>800 Diam Melinex Silencer 1.0D</t>
  </si>
  <si>
    <t>800SM1.0DP</t>
  </si>
  <si>
    <t>800 Diam Melinex Silencer 1.0D Podded</t>
  </si>
  <si>
    <t>800SM1.5D</t>
  </si>
  <si>
    <t>800 Diam Melinex Silencer 1.5D</t>
  </si>
  <si>
    <t>800SM1.5DP</t>
  </si>
  <si>
    <t>800 Diam Melinex Silencer 1.5D Podded</t>
  </si>
  <si>
    <t>800SM2.0D</t>
  </si>
  <si>
    <t>800 Diam Melinex Silencer 2.0D</t>
  </si>
  <si>
    <t>800SM2.0DP</t>
  </si>
  <si>
    <t>800 Diam Melinex Silencer 2.0D Podded</t>
  </si>
  <si>
    <t>900FC</t>
  </si>
  <si>
    <t>900 Diam Flexible Connection</t>
  </si>
  <si>
    <t>900HVJ-2S</t>
  </si>
  <si>
    <t>900 Diam Vertical Discharge Unit</t>
  </si>
  <si>
    <t>900HVJ-2SB</t>
  </si>
  <si>
    <t>900 Diam Vertical Discharge BASE</t>
  </si>
  <si>
    <t>900S1.0D</t>
  </si>
  <si>
    <t>900 Diam Silencer 1.0D</t>
  </si>
  <si>
    <t>900S1.0DP</t>
  </si>
  <si>
    <t>900 Diam Silencer 1.0D Podded</t>
  </si>
  <si>
    <t>900S1.5D</t>
  </si>
  <si>
    <t>900 Diam Silencer 1.5D</t>
  </si>
  <si>
    <t>900S1.5DP</t>
  </si>
  <si>
    <t>900 Diam Silencer 1.5D Podded</t>
  </si>
  <si>
    <t>900S2.0D</t>
  </si>
  <si>
    <t>900 Diam Silencer 2.0D</t>
  </si>
  <si>
    <t>900S2.0DP</t>
  </si>
  <si>
    <t>900 Diam Silencer 2.0D Podded</t>
  </si>
  <si>
    <t>900SM1.0D</t>
  </si>
  <si>
    <t>900 Diam Melinex Silencer 1.0D</t>
  </si>
  <si>
    <t>900SM1.0DP</t>
  </si>
  <si>
    <t>900 Diam Melinex Silencer 1.0D Podded</t>
  </si>
  <si>
    <t>900SM1.5D</t>
  </si>
  <si>
    <t>900 Diam Melinex Silencer 1.5D</t>
  </si>
  <si>
    <t>900SM1.5DP</t>
  </si>
  <si>
    <t>900 Diam Melinex Silencer 1.5D Podded</t>
  </si>
  <si>
    <t>900SM2.0D</t>
  </si>
  <si>
    <t>900 Diam Melinex Silencer 2.0D</t>
  </si>
  <si>
    <t>900SM2.0DP</t>
  </si>
  <si>
    <t>900 Diam Melinex Silencer 2.0D Podded</t>
  </si>
  <si>
    <t>AIRMAX2-500</t>
  </si>
  <si>
    <t>AIRMAX-2.500 W</t>
  </si>
  <si>
    <t>AIRMAX2-500P</t>
  </si>
  <si>
    <t>AIRMAX-2.500 P</t>
  </si>
  <si>
    <t>AIRMAX2-650</t>
  </si>
  <si>
    <t>AIRMAX-2.650 W</t>
  </si>
  <si>
    <t>AIRMAX2-650P</t>
  </si>
  <si>
    <t>AIRMAX-2.650 P</t>
  </si>
  <si>
    <t>AIRMAX2-650P.EC</t>
  </si>
  <si>
    <t>AIRMAX-2.650 P. EC</t>
  </si>
  <si>
    <t>AIRMAX2-650W</t>
  </si>
  <si>
    <t>AIRMAX-2.650 W.EC</t>
  </si>
  <si>
    <t>AIRMAX2-750</t>
  </si>
  <si>
    <t>AIRMAX-2.750 W</t>
  </si>
  <si>
    <t>AIRMAX2-750P</t>
  </si>
  <si>
    <t>AIRMAX-2.750 P</t>
  </si>
  <si>
    <t>AIRMAX2-750P.EC</t>
  </si>
  <si>
    <t>AIRMAX-2.750 P.EC</t>
  </si>
  <si>
    <t>AIRMAX2-750W</t>
  </si>
  <si>
    <t>AIRMAX-2.750 W.EC</t>
  </si>
  <si>
    <t>AIRMAX2-850</t>
  </si>
  <si>
    <t>AIRMAX-2.850 W</t>
  </si>
  <si>
    <t>AIRMAX2-850P</t>
  </si>
  <si>
    <t>AIRMAX-2.850 P</t>
  </si>
  <si>
    <t>C462x470-B</t>
  </si>
  <si>
    <t>Casing size 462diamx470 Buffalo</t>
  </si>
  <si>
    <t>C462x470UG-B</t>
  </si>
  <si>
    <t>Casing size 462diamx470 Buffalo-Ungalvanised</t>
  </si>
  <si>
    <t>CTerm-Cap</t>
  </si>
  <si>
    <t>Casing Terminal Cap</t>
  </si>
  <si>
    <t>D100040</t>
  </si>
  <si>
    <t>PS-1-300 SPEED CONTROL</t>
  </si>
  <si>
    <t>D100041</t>
  </si>
  <si>
    <t>RS-4-O-PS SPEED CONTROL</t>
  </si>
  <si>
    <t>D100042</t>
  </si>
  <si>
    <t>RS-3-0-TA SPEED CONTROL</t>
  </si>
  <si>
    <t>D100043</t>
  </si>
  <si>
    <t>R-1/010 SPEED CONTROL</t>
  </si>
  <si>
    <t>D100044</t>
  </si>
  <si>
    <t>MKM 3 MOUNTING BOX</t>
  </si>
  <si>
    <t>D100045</t>
  </si>
  <si>
    <t>MKV 2 MOUNTING BOX</t>
  </si>
  <si>
    <t>D100046</t>
  </si>
  <si>
    <t>Q150 QUIET LINE</t>
  </si>
  <si>
    <t>D100047</t>
  </si>
  <si>
    <t>R510.0TA SPEED CONTROL</t>
  </si>
  <si>
    <t>D100048</t>
  </si>
  <si>
    <t>R55.0 SPEED CONTROL</t>
  </si>
  <si>
    <t>D100049</t>
  </si>
  <si>
    <t>TM-1.5N SENSOR</t>
  </si>
  <si>
    <t>D100050</t>
  </si>
  <si>
    <t>P2-10 SPEED CONTROL</t>
  </si>
  <si>
    <t>D100051</t>
  </si>
  <si>
    <t>VFED-400-TA SPEED CONTROL</t>
  </si>
  <si>
    <t>D100052</t>
  </si>
  <si>
    <t>CHANNEL FILTERS</t>
  </si>
  <si>
    <t>D100053</t>
  </si>
  <si>
    <t>PRESSURE VALVES</t>
  </si>
  <si>
    <t>D100054</t>
  </si>
  <si>
    <t>D100055</t>
  </si>
  <si>
    <t>RELIEF VALVES</t>
  </si>
  <si>
    <t>D100056</t>
  </si>
  <si>
    <t>KSB 200 BOX FAN</t>
  </si>
  <si>
    <t>D100057</t>
  </si>
  <si>
    <t>KSB 150 BOX FAN</t>
  </si>
  <si>
    <t>D100058</t>
  </si>
  <si>
    <t>KSB 250 BOX FAN</t>
  </si>
  <si>
    <t>D100059</t>
  </si>
  <si>
    <t>TT SILENT M250</t>
  </si>
  <si>
    <t>D100060</t>
  </si>
  <si>
    <t>TT SILENT M125</t>
  </si>
  <si>
    <t>D100061</t>
  </si>
  <si>
    <t>VKV4E450 ROOF FAN</t>
  </si>
  <si>
    <t>D100062</t>
  </si>
  <si>
    <t>VKV4E355 ROOF FAN</t>
  </si>
  <si>
    <t>D100063</t>
  </si>
  <si>
    <t>TT SILENT - M-100</t>
  </si>
  <si>
    <t>D100064</t>
  </si>
  <si>
    <t>TT PRO 100</t>
  </si>
  <si>
    <t>D100065</t>
  </si>
  <si>
    <t>TT PRO 125</t>
  </si>
  <si>
    <t>D100066</t>
  </si>
  <si>
    <t>TT PRO 150</t>
  </si>
  <si>
    <t>D100067</t>
  </si>
  <si>
    <t>TT PRO 160</t>
  </si>
  <si>
    <t>D100068</t>
  </si>
  <si>
    <t>TT PRO 200</t>
  </si>
  <si>
    <t>D100069</t>
  </si>
  <si>
    <t>VP 150K</t>
  </si>
  <si>
    <t>D100070</t>
  </si>
  <si>
    <t>VP 100K</t>
  </si>
  <si>
    <t>D100071</t>
  </si>
  <si>
    <t>VP 125K</t>
  </si>
  <si>
    <t>F6942 Filter</t>
  </si>
  <si>
    <t>Donkin Fan Filter F6942 Set</t>
  </si>
  <si>
    <t>FT4001502</t>
  </si>
  <si>
    <t>Funmax 400 15.D.8 c/w 1.5kw 2P 380 V Motor</t>
  </si>
  <si>
    <t>FT7101104</t>
  </si>
  <si>
    <t>Funmax 710 20.D.8 c/w 1.1kw 4P 380 V Motor</t>
  </si>
  <si>
    <t>Centrifab (Pty) Ltd</t>
  </si>
  <si>
    <t>LS250</t>
  </si>
  <si>
    <t>LOUVER SHUTTER Alum. 9</t>
  </si>
  <si>
    <t>LS315</t>
  </si>
  <si>
    <t>LOUVER SHUTTER Alum. 12</t>
  </si>
  <si>
    <t>LS400</t>
  </si>
  <si>
    <t>LOUVRE SHUTTER 15''</t>
  </si>
  <si>
    <t>LS500</t>
  </si>
  <si>
    <t>LOUVRE SHUTTER Alum. 18</t>
  </si>
  <si>
    <t>LS630</t>
  </si>
  <si>
    <t>LOUVRE SHUTTER Alum. 24</t>
  </si>
  <si>
    <t>MB1000UG</t>
  </si>
  <si>
    <t>1000diam mounting brackets Ungalvanized (4 per set)</t>
  </si>
  <si>
    <t>MB315UG</t>
  </si>
  <si>
    <t>315diam mounting brackets Ungalvanized (4 per set)</t>
  </si>
  <si>
    <t>MB630</t>
  </si>
  <si>
    <t>630diam Mounting Brackets (4 per set)</t>
  </si>
  <si>
    <t>MB630UG</t>
  </si>
  <si>
    <t>630diam Mounting Brackets Ungalvanized (4 per set)</t>
  </si>
  <si>
    <t>MB710</t>
  </si>
  <si>
    <t>710diam mounting brackets (4 per set)</t>
  </si>
  <si>
    <t>MB710UG</t>
  </si>
  <si>
    <t>710diam mounting brackets Ungalvanized (4 per set)</t>
  </si>
  <si>
    <t>MB800UG</t>
  </si>
  <si>
    <t>800diam mounting brackets Ungalvanized (4 per set)</t>
  </si>
  <si>
    <t>MB900UG</t>
  </si>
  <si>
    <t>900diam mounting brackets Ungalvanized (4 per set)</t>
  </si>
  <si>
    <t>MF125011006</t>
  </si>
  <si>
    <t>MFAJAX-3 1250 c/w 11,00KW 6P 380V</t>
  </si>
  <si>
    <t>MF125015006</t>
  </si>
  <si>
    <t>MFAJAX-3 1250 c/w 15,00KW 6P 380V</t>
  </si>
  <si>
    <t>MF125018506</t>
  </si>
  <si>
    <t>MFAJAX-3 1250 c/w 18,50KW 6P 380V</t>
  </si>
  <si>
    <t>MF12502206</t>
  </si>
  <si>
    <t>MFAJAX-3 1250 c/w 2,20KW 6P 380V</t>
  </si>
  <si>
    <t>MF12503006</t>
  </si>
  <si>
    <t>MFAJAX-3 1250 c/w 3,00KW 6P 380V</t>
  </si>
  <si>
    <t>MF12504006</t>
  </si>
  <si>
    <t>MFAJAX-3 1250 c/w 4,00KW 6P 380V</t>
  </si>
  <si>
    <t>MF12504008</t>
  </si>
  <si>
    <t>MFAJAX-3 1250 c/w 4,00KW 8P 380V</t>
  </si>
  <si>
    <t>MF12505506</t>
  </si>
  <si>
    <t>MFAJAX-3 1250 c/w 5,50KW 6P 380V</t>
  </si>
  <si>
    <t>MF12505508</t>
  </si>
  <si>
    <t>MFAJAX-3 1250 c/w 5,50KW 8P 380V</t>
  </si>
  <si>
    <t>MF12507506</t>
  </si>
  <si>
    <t>MFAJAX-3 1250 c/w 7,50KW 6P 380V</t>
  </si>
  <si>
    <t>MF12507508</t>
  </si>
  <si>
    <t>MFAJAX-3 1250 c/w 7,50KW 8P 380V</t>
  </si>
  <si>
    <t>MFA100011004</t>
  </si>
  <si>
    <t>MAXFLO 1000/250/14 A c/w 11,00KW 4P 380V</t>
  </si>
  <si>
    <t>MFA100015004</t>
  </si>
  <si>
    <t>MAXFLO 1000/250/14 A c/w 15,00KW 4P 380V</t>
  </si>
  <si>
    <t>MFA100018504</t>
  </si>
  <si>
    <t>MAXFLO 1000/250/14 A c/w 18,50KW 4P 380V</t>
  </si>
  <si>
    <t>MFA10002206</t>
  </si>
  <si>
    <t>MAXFLO 1000/250/14 A c/w 2,20KW 6P 380V</t>
  </si>
  <si>
    <t>MFA10003006</t>
  </si>
  <si>
    <t>MAXFLO 1000/250/14 A c/w 3,00KW 6P 380V</t>
  </si>
  <si>
    <t>MFA10004004</t>
  </si>
  <si>
    <t>MAXFLO 1000/250/14 A c/w 4,00KW 4P 380V</t>
  </si>
  <si>
    <t>MFA10004006</t>
  </si>
  <si>
    <t>MAXFLO 1000/250/14 A c/w 4,00KW 6P 380V</t>
  </si>
  <si>
    <t>MFA10005504</t>
  </si>
  <si>
    <t>MAXFLO 1000/250/14 A c/w 5,50KW 4P 380V</t>
  </si>
  <si>
    <t>MFA10005506</t>
  </si>
  <si>
    <t>MAXFLO 1000/250/14 A c/w 5,50KW 6P 380V</t>
  </si>
  <si>
    <t>MFA10007504</t>
  </si>
  <si>
    <t>MAXFLO 1000/250/14 A c/w 7,50KW 4P 380V</t>
  </si>
  <si>
    <t>MFA3150186</t>
  </si>
  <si>
    <t>MAXFLO 315/150/10 A c/w 0,18KW 6P 380V</t>
  </si>
  <si>
    <t>MFA3150372</t>
  </si>
  <si>
    <t>MAXFLO 315/150/10 A c/w 0.37kW 2P 380V</t>
  </si>
  <si>
    <t>MFA3150552</t>
  </si>
  <si>
    <t>MAXFLO 315/150/10 A c/w 0,55KW 2P 380V</t>
  </si>
  <si>
    <t>MFA3150752</t>
  </si>
  <si>
    <t>MAXFLO 315/150/10 A c/w 0,75KW 2P 380V</t>
  </si>
  <si>
    <t>MFA4000374</t>
  </si>
  <si>
    <t>MAXFLO 400/150/10 A c/w 0,37KW 4P 380V</t>
  </si>
  <si>
    <t>MFA4000552</t>
  </si>
  <si>
    <t>MAXFLO 400/150/10 A c/w 0,55KW 2P 380V</t>
  </si>
  <si>
    <t>MFA4000554</t>
  </si>
  <si>
    <t>MAXFLO 400/150/10 A c/w 0,55KW 4P 380V</t>
  </si>
  <si>
    <t>MFA4000556</t>
  </si>
  <si>
    <t>MAXFLO 400/150/10 A c/w 0,55KW 6P 380V</t>
  </si>
  <si>
    <t>MFA4000752</t>
  </si>
  <si>
    <t>MAXFLO 400/150/10 A c/w 0,75KW 2P 380V</t>
  </si>
  <si>
    <t>MFA40007521</t>
  </si>
  <si>
    <t>MAXFLO 400/150/10 A c/w 0.75KW 2P 220V</t>
  </si>
  <si>
    <t>MFA4001102</t>
  </si>
  <si>
    <t>MAXFLO 400/150/10 A c/w 1,10KW 2P 380V</t>
  </si>
  <si>
    <t>MFA4001502</t>
  </si>
  <si>
    <t>MAXFLO 400/150/10 A c/w 1.50KW 2P 380V</t>
  </si>
  <si>
    <t>MFA4002202</t>
  </si>
  <si>
    <t>MAXFLO 400/150/10 A c/w 2,20KW 2P 380V</t>
  </si>
  <si>
    <t>MFA5000254</t>
  </si>
  <si>
    <t>MAXFLO 500/150/10 A c/w 0,25KW 4P 380V</t>
  </si>
  <si>
    <t>MFA5000374</t>
  </si>
  <si>
    <t>MAXFLO 500/150/10 A c/w 0.37KW 4P 380V</t>
  </si>
  <si>
    <t>MFA5000554</t>
  </si>
  <si>
    <t>MAXFLO 500/150/10 A c/w 0,55KW 4P 380V</t>
  </si>
  <si>
    <t>MFA5000556</t>
  </si>
  <si>
    <t>MAXFLO 500/150/10 A c/w 0,55KW 6P 380V</t>
  </si>
  <si>
    <t>MFA5000754</t>
  </si>
  <si>
    <t>MAXFLO 500/150/10 A c/w 0,75KW 4P 380V</t>
  </si>
  <si>
    <t>MFA5001102</t>
  </si>
  <si>
    <t>MAXFLO 500/150/10 A c/w 1,10KW 2P 380V</t>
  </si>
  <si>
    <t>MFA5001104</t>
  </si>
  <si>
    <t>MAXFLO 500/150/10 A c/w 1,10KW 4P 380V</t>
  </si>
  <si>
    <t>MFA5001504</t>
  </si>
  <si>
    <t>MAXFLO 500/150/10 A c/w 1,50KW 4P 380V</t>
  </si>
  <si>
    <t>MFA5002202</t>
  </si>
  <si>
    <t>MAXFLO 500/150/10 A c/w 2,20KW 2P 380V</t>
  </si>
  <si>
    <t>MFA5003002</t>
  </si>
  <si>
    <t>MAXFLO 500/150/10 A c/w 3.00kW 2P 380V</t>
  </si>
  <si>
    <t>MFA5004002</t>
  </si>
  <si>
    <t>MAXFLO 500/150/10 A c/w 4,00KW 2P 380V</t>
  </si>
  <si>
    <t>MFA90011004</t>
  </si>
  <si>
    <t>MAXFLO 900/250/14 A c/w 11,00KW 4P 380V</t>
  </si>
  <si>
    <t>MFA9001506</t>
  </si>
  <si>
    <t>MAXFLO 900/250/14 A c/w 1,50KW 6P 380V</t>
  </si>
  <si>
    <t>MFA9002204</t>
  </si>
  <si>
    <t>MAXFLO 900/250/14 A c/w 2,20KW 4P 380V</t>
  </si>
  <si>
    <t>MFA9003004</t>
  </si>
  <si>
    <t>MAXFLO 900/250/14 A c/w 3,00KW 4P 380V</t>
  </si>
  <si>
    <t>MFA9003006</t>
  </si>
  <si>
    <t>MAXFLO 900/250/14 A c/w 3,00KW 6P 380V</t>
  </si>
  <si>
    <t>MFA9004004</t>
  </si>
  <si>
    <t>MAXFLO 900/250/14 A c/w 4,00KW 4P 380V</t>
  </si>
  <si>
    <t>MFA9004006</t>
  </si>
  <si>
    <t>MAXFLO 900/250/14 A c/w 4,00KW 6P 380V</t>
  </si>
  <si>
    <t>MFA9005504</t>
  </si>
  <si>
    <t>MAXFLO 900/250/14 A c/w 5,50KW 4P 380V</t>
  </si>
  <si>
    <t>MFA9007504</t>
  </si>
  <si>
    <t>MAXFLO 900/250/14 A c/w 7,50KW 4P 380V</t>
  </si>
  <si>
    <t>MFAY5600256</t>
  </si>
  <si>
    <t>MAXFLO 560/150/10 A c/w 0,25KW 6P 380V</t>
  </si>
  <si>
    <t>MFAY5600374</t>
  </si>
  <si>
    <t>MAXFLO 560/150/10 A c/w 0,37KW 4P 380V</t>
  </si>
  <si>
    <t>MFAY5600554</t>
  </si>
  <si>
    <t>MAXFLO 560/150/10 A c/w 0,55KW 4P 380V</t>
  </si>
  <si>
    <t>MFAY5600556</t>
  </si>
  <si>
    <t>MAXFLO 560/150/10 A c/w 0,55KW 6P 380V</t>
  </si>
  <si>
    <t>MFAY5600754</t>
  </si>
  <si>
    <t>MAXFLO 560/150/10 A c/w 0,75KW 4P 380V</t>
  </si>
  <si>
    <t>MFAY5601104</t>
  </si>
  <si>
    <t>MAXFLO 560/150/10 A c/w 1,10KW 4P 380V</t>
  </si>
  <si>
    <t>MFAY5601504</t>
  </si>
  <si>
    <t>MAXFLO 560/150/10 A c/w 1,50KW 4P 380V</t>
  </si>
  <si>
    <t>MFAY5602202</t>
  </si>
  <si>
    <t>MAXFLO 560/150/10 A c/w 2,20KW 2P 380V</t>
  </si>
  <si>
    <t>MFAY5604002</t>
  </si>
  <si>
    <t>MAXFLO 560/150/10 A c/w 4,00KW 2P 380V</t>
  </si>
  <si>
    <t>MFAY6300374</t>
  </si>
  <si>
    <t>MAXFLO 630/150/10 A c/w 0,37KW 4P 380V</t>
  </si>
  <si>
    <t>MFAY6300554</t>
  </si>
  <si>
    <t>MAXFLO 630/150/10 A c/w 0,55KW 4P 380V</t>
  </si>
  <si>
    <t>MFAY6300556</t>
  </si>
  <si>
    <t>MAXFLO 630/150/10 A c/w 0,55KW 6P 380V</t>
  </si>
  <si>
    <t>MFAY6300754</t>
  </si>
  <si>
    <t>MAXFLO 630/150/10 A c/w 0,75KW 4P 380V</t>
  </si>
  <si>
    <t>MFAY6300756</t>
  </si>
  <si>
    <t>MAXFLO 630/150/10 A c/w 0,75KW 6P 380V</t>
  </si>
  <si>
    <t>MFAY6301104</t>
  </si>
  <si>
    <t>MAXFLO 630/150/10 A c/w 1,10KW 4P 380V</t>
  </si>
  <si>
    <t>MFAY6301106</t>
  </si>
  <si>
    <t>MAXFLO 630/150/10 A c/w 1,10KW 6P 380V</t>
  </si>
  <si>
    <t>MFAY6301504</t>
  </si>
  <si>
    <t>MAXFLO 630/150/10 A c/w 1,50KW 4P 380V</t>
  </si>
  <si>
    <t>MFAY6302204</t>
  </si>
  <si>
    <t>MAXFLO 630/150/10 A c/w 2,20KW 4P 380V</t>
  </si>
  <si>
    <t>MFAY6303004</t>
  </si>
  <si>
    <t>MAXFLO 630/150/10 A c/w 3,00KW 4P 380V</t>
  </si>
  <si>
    <t>MFAY6304002</t>
  </si>
  <si>
    <t>MAXFLO 630/150/10 A c/w 4,00KW 2P 380V</t>
  </si>
  <si>
    <t>MFAY6304004</t>
  </si>
  <si>
    <t>MAXFLO 630/150/10 A c/w 4,00KW 4P 380V</t>
  </si>
  <si>
    <t>MFAY7100556</t>
  </si>
  <si>
    <t>MAXFLO 710/150/10 A c/w 0,55KW 6P 380V</t>
  </si>
  <si>
    <t>MFAY7100754</t>
  </si>
  <si>
    <t>MAXFLO 710/150/10 A c/w 0,75KW 4P 380V</t>
  </si>
  <si>
    <t>MFAY7101104</t>
  </si>
  <si>
    <t>MAXFLO 710/150/10 A c/w 1,10KW 4P 380V</t>
  </si>
  <si>
    <t>MFAY7101106</t>
  </si>
  <si>
    <t>MAXFLO 710/150/10 A c/w 1,10KW 6P 380V</t>
  </si>
  <si>
    <t>MFAY7101504</t>
  </si>
  <si>
    <t>MAXFLO 710/150/10 A c/w 1,50KW 4P 380V</t>
  </si>
  <si>
    <t>MFAY7101506</t>
  </si>
  <si>
    <t>MAXFLO 710/150/10 A c/w 1,50KW 6P 380V</t>
  </si>
  <si>
    <t>MFAY7102204</t>
  </si>
  <si>
    <t>MAXFLO 710/150/10 A c/w 2,20KW 4P 380V</t>
  </si>
  <si>
    <t>MFAY7103004</t>
  </si>
  <si>
    <t>MAXFLO 710/150/10 A c/w 3,00KW 4P 380V</t>
  </si>
  <si>
    <t>MFAY7104004</t>
  </si>
  <si>
    <t>MAXFLO 710/150/10 A c/w 4,00KW 4P 380V</t>
  </si>
  <si>
    <t>MFAY7105504</t>
  </si>
  <si>
    <t>MAXFLO 710/150/10 A c/w 5,50KW 4P 380V</t>
  </si>
  <si>
    <t>MFAY8000556</t>
  </si>
  <si>
    <t>MAXFLO 800/150/10 A c/w 0,55KW 6P 380V</t>
  </si>
  <si>
    <t>MFAY8000756</t>
  </si>
  <si>
    <t>MAXFLO 800/150/10 A c/w 0,75KW 6P 380V</t>
  </si>
  <si>
    <t>MFAY8001104</t>
  </si>
  <si>
    <t>MAXFLO 800/150/10 A c/w 1,10KW 4P 380V</t>
  </si>
  <si>
    <t>MFAY8001106</t>
  </si>
  <si>
    <t>MAXFLO 800/150/10 A c/w 1,10KW 6P 380V</t>
  </si>
  <si>
    <t>MFAY8001504</t>
  </si>
  <si>
    <t>MAXFLO 800/150/10 A c/w 1,50KW 4P 380V</t>
  </si>
  <si>
    <t>MFAY8001506</t>
  </si>
  <si>
    <t>MAXFLO 800/150/10 A c/w 1,50KW 6P 380V</t>
  </si>
  <si>
    <t>MFAY8002204</t>
  </si>
  <si>
    <t>MAXFLO 800/150/10 A c/w 2,20KW 4P 380V</t>
  </si>
  <si>
    <t>MFAY8002206</t>
  </si>
  <si>
    <t>MAXFLO 800/150/10 A c/w 2,20KW 6P 380V</t>
  </si>
  <si>
    <t>MFAY8003004</t>
  </si>
  <si>
    <t>MAXFLO 800/150/10 A c/w 3,00KW 4P 380V</t>
  </si>
  <si>
    <t>MFAY8003006</t>
  </si>
  <si>
    <t>MAXFLO 800/150/10 A c/w 3,00KW 6P 380V</t>
  </si>
  <si>
    <t>MFAY8004004</t>
  </si>
  <si>
    <t>MAXFLO 800/150/10 A c/w 4,00KW 4P 380V</t>
  </si>
  <si>
    <t>MFAY8005504</t>
  </si>
  <si>
    <t>MAXFLO 800/150/10 A c/w 5,50KW 4P 380V</t>
  </si>
  <si>
    <t>MFAY8007504</t>
  </si>
  <si>
    <t>MAXFLO 800/150/10 A c/w 7,50KW 4P 380V</t>
  </si>
  <si>
    <t>MFAZ5600374</t>
  </si>
  <si>
    <t>MAXFLO 560/250/14 A c/w 0,37KW 4P 380V</t>
  </si>
  <si>
    <t>MFAZ5600554</t>
  </si>
  <si>
    <t>MAXFLO 560/250/14 A c/w 0,55KW 4P 380V</t>
  </si>
  <si>
    <t>MFAZ5600556</t>
  </si>
  <si>
    <t>MAXFLO 560/250/14 A c/w 0,55KW 6P 380V</t>
  </si>
  <si>
    <t>MFAZ5600754</t>
  </si>
  <si>
    <t>MAXFLO 560/250/14 A c/w 0,75KW 4P 380V</t>
  </si>
  <si>
    <t>MFAZ5600756</t>
  </si>
  <si>
    <t>MAXFLO 560/250/14 A c/w 0,75KW 6P 380V</t>
  </si>
  <si>
    <t>MFAZ5601104</t>
  </si>
  <si>
    <t>MAXFLO 560/250/14 A c/w 1,10KW 4P 380V</t>
  </si>
  <si>
    <t>MFAZ5601504</t>
  </si>
  <si>
    <t>MAXFLO 560/250/14 A c/w 1,50KW 4P 380V</t>
  </si>
  <si>
    <t>MFAZ5602202</t>
  </si>
  <si>
    <t>MAXFLO 560/250/14 A c/w 2,20KW 2P 380V</t>
  </si>
  <si>
    <t>MFAZ5604002</t>
  </si>
  <si>
    <t>MAXFLO 560/250/14 A c/w 4,00KW 2P 380V</t>
  </si>
  <si>
    <t>MFAZ6300374</t>
  </si>
  <si>
    <t>MAXFLO 630/250/14 A c/w 0,37KW 4P 380V</t>
  </si>
  <si>
    <t>MFAZ6300554</t>
  </si>
  <si>
    <t>MAXFLO 630/250/14 A c/w 0,55KW 4P 380V</t>
  </si>
  <si>
    <t>MFAZ6300754</t>
  </si>
  <si>
    <t>MAXFLO 630/250/14 A c/w 0,75KW 4P 380V</t>
  </si>
  <si>
    <t>MFAZ6301104</t>
  </si>
  <si>
    <t>MAXFLO 630/250/14 A c/w 1,10KW 4P 380V</t>
  </si>
  <si>
    <t>MFAZ6301504</t>
  </si>
  <si>
    <t>MAXFLO 630/250/14 A c/w 1,50KW 4P 380V</t>
  </si>
  <si>
    <t>MFAZ6302204</t>
  </si>
  <si>
    <t>MAXFLO 630/250/14 A c/w 2,20KW 4P 380V</t>
  </si>
  <si>
    <t>MFAZ6303004</t>
  </si>
  <si>
    <t>MAXFLO 630/250/14 A c/w 3,00KW 4P 380V</t>
  </si>
  <si>
    <t>MFAZ6304002</t>
  </si>
  <si>
    <t>MAXFLO 630/250/14 A c/w 4,00KW 2P 380V</t>
  </si>
  <si>
    <t>MFAZ6304004</t>
  </si>
  <si>
    <t>MAXFLO 630/250/14 A c/w 4,00KW 4P 380V</t>
  </si>
  <si>
    <t>MFAZ7100556</t>
  </si>
  <si>
    <t>MAXFLO 710/250/14 A c/w 0,55KW 6P 380V</t>
  </si>
  <si>
    <t>MFAZ7100754</t>
  </si>
  <si>
    <t>MAXFLO 710/250/14 A c/w 0,75KW 4P 380V</t>
  </si>
  <si>
    <t>MFAZ7101104</t>
  </si>
  <si>
    <t>MAXFLO 710/250/14 A c/w 1,10KW 4P 380V</t>
  </si>
  <si>
    <t>MFAZ7101106</t>
  </si>
  <si>
    <t>MAXFLO 710/250/14 A c/w 1,10KW 6P 380V</t>
  </si>
  <si>
    <t>MFAZ7101504</t>
  </si>
  <si>
    <t>MAXFLO 710/250/14 A c/w 1,50KW 4P 380V</t>
  </si>
  <si>
    <t>MFAZ7101506</t>
  </si>
  <si>
    <t>MAXFLO 710/250/14 A c/w 1,50KW 6P 380V</t>
  </si>
  <si>
    <t>MFAZ7102204</t>
  </si>
  <si>
    <t>MAXFLO 710/250/14 A c/w 2,20KW 4P 380V</t>
  </si>
  <si>
    <t>MFAZ7103004</t>
  </si>
  <si>
    <t>MAXFLO 710/250/14 A c/w 3,00KW 4P 380V</t>
  </si>
  <si>
    <t>MFAZ7104004</t>
  </si>
  <si>
    <t>MAXFLO 710/250/14 A c/w 4,00KW 4P 380V</t>
  </si>
  <si>
    <t>MFAZ7105504</t>
  </si>
  <si>
    <t>MAXFLO 710/250/14 A c/w 5,50KW 4P 380V</t>
  </si>
  <si>
    <t>MFAZ8000556</t>
  </si>
  <si>
    <t>MAXFLO 800/250/14 A c/w 0,55KW 6P 380V</t>
  </si>
  <si>
    <t>MFAZ8000756</t>
  </si>
  <si>
    <t>MAXFLO 800/250/14 A c/w 0,75KW 6P 380V</t>
  </si>
  <si>
    <t>MFAZ8001104</t>
  </si>
  <si>
    <t>MAXFLO 800/250/14 A c/w 1,10KW 4P 380V</t>
  </si>
  <si>
    <t>MFAZ8001106</t>
  </si>
  <si>
    <t>MAXFLO 800/250/14 A c/w 1,10KW 6P 380V</t>
  </si>
  <si>
    <t>MFAZ8001504</t>
  </si>
  <si>
    <t>MAXFLO 800/250/14 A c/w 1,50KW 4P 380V</t>
  </si>
  <si>
    <t>MFAZ8001506</t>
  </si>
  <si>
    <t>MAXFLO 800/250/14 A c/w 1,50KW 6P 380V</t>
  </si>
  <si>
    <t>MFAZ8002204</t>
  </si>
  <si>
    <t>MAXFLO 800/250/14 A c/w 2,20KW 4P 380V</t>
  </si>
  <si>
    <t>MFAZ8002206</t>
  </si>
  <si>
    <t>MAXFLO 800/250/14 A c/w 2,20KW 6P 380V</t>
  </si>
  <si>
    <t>MFAZ8003004</t>
  </si>
  <si>
    <t>MAXFLO 800/250/14 A c/w 3,00KW 4P 380V</t>
  </si>
  <si>
    <t>MFAZ8003006</t>
  </si>
  <si>
    <t>MAXFLO 800/250/14 A c/w 3,00KW 6P 380V</t>
  </si>
  <si>
    <t>MFAZ8004004</t>
  </si>
  <si>
    <t>MAXFLO 800/250/14 A c/w 4,00KW 4P 380V</t>
  </si>
  <si>
    <t>MFAZ8005504</t>
  </si>
  <si>
    <t>MAXFLO 800/250/14 A c/w 5,50KW 4P 380V</t>
  </si>
  <si>
    <t>MFAZ8007504</t>
  </si>
  <si>
    <t>MAXFLO 800/250/14 A c/w 7,50KW 4P 380V</t>
  </si>
  <si>
    <t>MFP100011004</t>
  </si>
  <si>
    <t>MAXFLO 1000/250/14 P c/w 11,00KW 4P 380V</t>
  </si>
  <si>
    <t>MFP100015004</t>
  </si>
  <si>
    <t>MAXFLO 1000/250/14 P c/w 15,00KW 4P 380V</t>
  </si>
  <si>
    <t>MFP100018504</t>
  </si>
  <si>
    <t>MAXFLO 1000/250/14 P c/w 18,50KW 4P 380V</t>
  </si>
  <si>
    <t>MFP10002206</t>
  </si>
  <si>
    <t>MAXFLO 1000/250/14 P c/w 2,20KW 6P 380V</t>
  </si>
  <si>
    <t>MFP10003006</t>
  </si>
  <si>
    <t>MAXFLO 1000/250/14 P c/w 3,00KW 6P 380V</t>
  </si>
  <si>
    <t>MFP10004004</t>
  </si>
  <si>
    <t>MAXFLO 1000/250/14 P c/w 4,00KW 4P 380V</t>
  </si>
  <si>
    <t>MFP10004006</t>
  </si>
  <si>
    <t>MAXFLO 1000/250/14 P c/w 4,00KW 6P 380V</t>
  </si>
  <si>
    <t>MFP10005504</t>
  </si>
  <si>
    <t>MAXFLO 1000/250/14 P c/w 5,50KW 4P 380V</t>
  </si>
  <si>
    <t>MFP10005506</t>
  </si>
  <si>
    <t>MAXFLO 1000/250/14 P c/w 5,50KW 6P 380V</t>
  </si>
  <si>
    <t>MFP10007504</t>
  </si>
  <si>
    <t>MAXFLO 1000/250/14 P c/w 7,50KW 4P 380V</t>
  </si>
  <si>
    <t>MFP3150186</t>
  </si>
  <si>
    <t>MAXFLO 315/150/10 P c/w 0,18KW 6P 380V</t>
  </si>
  <si>
    <t>MFP3150254</t>
  </si>
  <si>
    <t>MAXFLO 315/150/10 P c/w 0,25KW 4P 380V</t>
  </si>
  <si>
    <t>MFP3150374</t>
  </si>
  <si>
    <t>MAXFLO 315/150/10 P c/w 0,37KW 4P 380V</t>
  </si>
  <si>
    <t>MFP3150552</t>
  </si>
  <si>
    <t>MAXFLO 315/150/10 P c/w 0,55KW 2P 380V</t>
  </si>
  <si>
    <t>MFP3150752</t>
  </si>
  <si>
    <t>MAXFLO 315/150/10 P c/w 0,75KW 2P 380V</t>
  </si>
  <si>
    <t>MFP4000254</t>
  </si>
  <si>
    <t>MAXFLO 400/150/10 P c/w 0,25KW 4P 380V</t>
  </si>
  <si>
    <t>MFP4000374</t>
  </si>
  <si>
    <t>MAXFLO 400/150/10 P c/w 0,37KW 4P 380V</t>
  </si>
  <si>
    <t>MFP4000552</t>
  </si>
  <si>
    <t>MAXFLO 400/150/10 P c/w 0,55KW 2P 380V</t>
  </si>
  <si>
    <t>MFP4000554</t>
  </si>
  <si>
    <t>MAXFLO 400/150/10 P c/w 0,55KW 4P 380V</t>
  </si>
  <si>
    <t>MFP4000556</t>
  </si>
  <si>
    <t>MAXFLO 400/150/10 P c/w 0,55KW 6P 380V</t>
  </si>
  <si>
    <t>MFP4000752</t>
  </si>
  <si>
    <t>MAXFLO 400/150/10 P c/w 0,75KW 2P 380V</t>
  </si>
  <si>
    <t>MFP4001102</t>
  </si>
  <si>
    <t>MAXFLO 400/150/10 P c/w 1,10KW 2P 380V</t>
  </si>
  <si>
    <t>MFP4002202</t>
  </si>
  <si>
    <t>MAXFLO 400/150/10 P c/w 2,20KW 2P 380V</t>
  </si>
  <si>
    <t>MFP5000374</t>
  </si>
  <si>
    <t>MAXFLO 500/150/10 P c/w 0,37KW 4P 380V</t>
  </si>
  <si>
    <t>MFP5000554</t>
  </si>
  <si>
    <t>MAXFLO 500/150/10 P c/w 0,55KW 4P 380V</t>
  </si>
  <si>
    <t>MFP5000556</t>
  </si>
  <si>
    <t>MAXFLO 500/150/10 P c/w 0,55KW 6P 380V</t>
  </si>
  <si>
    <t>MFP5000754</t>
  </si>
  <si>
    <t>MAXFLO 500/150/10 P c/w 0,75KW 4P 380V</t>
  </si>
  <si>
    <t>MFP5001102</t>
  </si>
  <si>
    <t>MAXFLO 500/150/10 P c/w 1,10KW 2P 380V</t>
  </si>
  <si>
    <t>MFP5001104</t>
  </si>
  <si>
    <t>MAXFLO 500/150/10 P c/w 1,10KW 4P 380V</t>
  </si>
  <si>
    <t>MFP5001504</t>
  </si>
  <si>
    <t>MAXFLO 500/150/10 P c/w 1,50KW 4P 380V</t>
  </si>
  <si>
    <t>MFP5002202</t>
  </si>
  <si>
    <t>MAXFLO 500/150/10 P c/w 2,20KW 2P 380V</t>
  </si>
  <si>
    <t>MFP5004002</t>
  </si>
  <si>
    <t>MAXFLO 500/150/10 P c/w 4,00KW 2P 380V</t>
  </si>
  <si>
    <t>MFP90011004</t>
  </si>
  <si>
    <t>MAXFLO 900/250/14 P c/w 11,00KW 4P 380V</t>
  </si>
  <si>
    <t>MFP9001506</t>
  </si>
  <si>
    <t>MAXFLO 900/250/14 P c/w 1,50KW 6P 380V</t>
  </si>
  <si>
    <t>MFP9002204</t>
  </si>
  <si>
    <t>MAXFLO 900/250/14 P c/w 2,20KW 4P 380V</t>
  </si>
  <si>
    <t>MFP9003004</t>
  </si>
  <si>
    <t>MAXFLO 900/250/14 P c/w 3,00KW 4P 380V</t>
  </si>
  <si>
    <t>MFP9003006</t>
  </si>
  <si>
    <t>MAXFLO 900/250/14 P c/w 3,00KW 6P 380V</t>
  </si>
  <si>
    <t>MFP9004004</t>
  </si>
  <si>
    <t>MAXFLO 900/250/14 P c/w 4,00KW 4P 380V</t>
  </si>
  <si>
    <t>MFP9004006</t>
  </si>
  <si>
    <t>MAXFLO 900/250/14 P c/w 4,00KW 6P 380V</t>
  </si>
  <si>
    <t>MFP9005504</t>
  </si>
  <si>
    <t>MAXFLO 900/250/14 P c/w 5,50KW 4P 380V</t>
  </si>
  <si>
    <t>MFP9007504</t>
  </si>
  <si>
    <t>MAXFLO 900/250/14 P c/w 7,50KW 4P 380V</t>
  </si>
  <si>
    <t>MFPY5600256</t>
  </si>
  <si>
    <t>MAXFLO 560/150/10 P c/w 0,25KW 6P 380V</t>
  </si>
  <si>
    <t>MFPY5600374</t>
  </si>
  <si>
    <t>MAXFLO 560/150/10 P c/w 0,37KW 4P 380V</t>
  </si>
  <si>
    <t>MFPY5600554</t>
  </si>
  <si>
    <t>MAXFLO 560/150/10 P c/w 0,55KW 4P 380V</t>
  </si>
  <si>
    <t>MFPY5600556</t>
  </si>
  <si>
    <t>MAXFLO 560/150/10 P c/w 0,55KW 6P 380V</t>
  </si>
  <si>
    <t>MFPY5600754</t>
  </si>
  <si>
    <t>MAXFLO 560/150/10 P c/w 0,75KW 4P 380V</t>
  </si>
  <si>
    <t>MFPY5601104</t>
  </si>
  <si>
    <t>MAXFLO 560/150/10 P c/w 1,10KW 4P 380V</t>
  </si>
  <si>
    <t>MFPY5601504</t>
  </si>
  <si>
    <t>MAXFLO 560/150/10 P c/w 1,50KW 4P 380V</t>
  </si>
  <si>
    <t>MFPY5602202</t>
  </si>
  <si>
    <t>MAXFLO 560/150/10 P c/w 2,20KW 2P 380V</t>
  </si>
  <si>
    <t>MFPY5604002</t>
  </si>
  <si>
    <t>MAXFLO 560/150/10 P c/w 4,00KW 2P 380V</t>
  </si>
  <si>
    <t>MFPY6300374</t>
  </si>
  <si>
    <t>MAXFLO 630/150/10 P c/w 0,37KW 4P 380V</t>
  </si>
  <si>
    <t>MFPY6300554</t>
  </si>
  <si>
    <t>MAXFLO 630/150/10 P c/w 0,55KW 4P 380V</t>
  </si>
  <si>
    <t>MFPY6300556</t>
  </si>
  <si>
    <t>MAXFLO 630/150/10 P c/w 0,55KW 6P 380V</t>
  </si>
  <si>
    <t>MFPY6300754</t>
  </si>
  <si>
    <t>MAXFLO 630/150/10 P c/w 0,75KW 4P 380V</t>
  </si>
  <si>
    <t>MFPY6300756</t>
  </si>
  <si>
    <t>MAXFLO 630/150/10 P c/w 0,75KW 6P 380V</t>
  </si>
  <si>
    <t>MFPY6301104</t>
  </si>
  <si>
    <t>MAXFLO 630/150/10 P c/w 1,10KW 4P 380V</t>
  </si>
  <si>
    <t>MFPY6301106</t>
  </si>
  <si>
    <t>MAXFLO 630/150/10 P c/w 1,10KW 6P 380V</t>
  </si>
  <si>
    <t>MFPY6301504</t>
  </si>
  <si>
    <t>MAXFLO 630/150/10 P c/w 1,50KW 4P 380V</t>
  </si>
  <si>
    <t>MFPY6302204</t>
  </si>
  <si>
    <t>MAXFLO 630/150/10 P c/w 2,20KW 4P 380V</t>
  </si>
  <si>
    <t>MFPY6303004</t>
  </si>
  <si>
    <t>MAXFLO 630/150/10 P c/w 3,00KW 4P 380V</t>
  </si>
  <si>
    <t>MFPY6304002</t>
  </si>
  <si>
    <t>MAXFLO 630/150/10 P c/w 4,00KW 2P 380V</t>
  </si>
  <si>
    <t>MFPY6304004</t>
  </si>
  <si>
    <t>MAXFLO 630/150/10 P c/w 4,00KW 4P 380V</t>
  </si>
  <si>
    <t>MFPY7100556</t>
  </si>
  <si>
    <t>MAXFLO 710/150/10 P c/w 0,55KW 6P 380V</t>
  </si>
  <si>
    <t>MFPY7100754</t>
  </si>
  <si>
    <t>MAXFLO 710/150/10 P c/w 0,75KW 4P 380V</t>
  </si>
  <si>
    <t>MFPY7101104</t>
  </si>
  <si>
    <t>MAXFLO 710/150/10 P c/w 1,10KW 4P 380V</t>
  </si>
  <si>
    <t>MFPY7101106</t>
  </si>
  <si>
    <t>MAXFLO 710/150/10 P c/w 1,10KW 6P 380V</t>
  </si>
  <si>
    <t>MFPY7101504</t>
  </si>
  <si>
    <t>MAXFLO 710/150/10 P c/w 1,50KW 4P 380V</t>
  </si>
  <si>
    <t>MFPY7101506</t>
  </si>
  <si>
    <t>MAXFLO 710/150/10 P c/w 1,50KW 6P 380V</t>
  </si>
  <si>
    <t>MFPY7102204</t>
  </si>
  <si>
    <t>MAXFLO 710/150/10 P c/w 2,20KW 4P 380V</t>
  </si>
  <si>
    <t>MFPY7103004</t>
  </si>
  <si>
    <t>MAXFLO 710/150/10 P c/w 3,00KW 4P 380V</t>
  </si>
  <si>
    <t>MFPY7104004</t>
  </si>
  <si>
    <t>MAXFLO 710/150/10 P c/w 4,00KW 4P 380V</t>
  </si>
  <si>
    <t>MFPY7105504</t>
  </si>
  <si>
    <t>MAXFLO 710/150/10 P c/w 5,50KW 4P 380V</t>
  </si>
  <si>
    <t>MFPY8000556</t>
  </si>
  <si>
    <t>MAXFLO 800/150/10 P c/w 0,55KW 6P 380V</t>
  </si>
  <si>
    <t>MFPY8000756</t>
  </si>
  <si>
    <t>MAXFLO 800/150/10 P c/w 0,75KW 6P 380V</t>
  </si>
  <si>
    <t>MFPY8001104</t>
  </si>
  <si>
    <t>MAXFLO 800/150/10 P c/w 1,10KW 4P 380V</t>
  </si>
  <si>
    <t>MFPY8001106</t>
  </si>
  <si>
    <t>MAXFLO 800/150/10 P c/w 1,10KW 6P 380V</t>
  </si>
  <si>
    <t>MFPY8001504</t>
  </si>
  <si>
    <t>MAXFLO 800/150/10 P c/w 1,50KW 4P 380V</t>
  </si>
  <si>
    <t>MFPY8001506</t>
  </si>
  <si>
    <t>MAXFLO 800/150/10 P c/w 1,50KW 6P 380V</t>
  </si>
  <si>
    <t>MFPY8002204</t>
  </si>
  <si>
    <t>MAXFLO 800/150/10 P c/w 2,20KW 4P 380V</t>
  </si>
  <si>
    <t>MFPY8002206</t>
  </si>
  <si>
    <t>MAXFLO 800/150/10 P c/w 2,20KW 6P 380V</t>
  </si>
  <si>
    <t>MFPY8003004</t>
  </si>
  <si>
    <t>MAXFLO 800/150/10 P c/w 3,00KW 4P 380V</t>
  </si>
  <si>
    <t>MFPY8003006</t>
  </si>
  <si>
    <t>MAXFLO 800/150/10 P c/w 3,00KW 6P 380V</t>
  </si>
  <si>
    <t>MFPY8004004</t>
  </si>
  <si>
    <t>MAXFLO 800/150/10 P c/w 4,00KW 4P 380V</t>
  </si>
  <si>
    <t>MFPY8005504</t>
  </si>
  <si>
    <t>MAXFLO 800/150/10 P c/w 5,50KW 4P 380V</t>
  </si>
  <si>
    <t>MFPY8007504</t>
  </si>
  <si>
    <t>MAXFLO 800/150/10 P c/w 7,50KW 4P 380V</t>
  </si>
  <si>
    <t>MFPZ5600374</t>
  </si>
  <si>
    <t>MAXFLO 560/250/14 P c/w 0,37KW 4P 380V</t>
  </si>
  <si>
    <t>MFPZ5600554</t>
  </si>
  <si>
    <t>MAXFLO 560/250/14 P c/w 0,55KW 4P 380V</t>
  </si>
  <si>
    <t>MFPZ5600556</t>
  </si>
  <si>
    <t>MAXFLO 560/250/14 P c/w 0,55KW 6P 380V</t>
  </si>
  <si>
    <t>MFPZ5600754</t>
  </si>
  <si>
    <t>MAXFLO 560/250/14 P c/w 0,75KW 4P 380V</t>
  </si>
  <si>
    <t>MFPZ5600756</t>
  </si>
  <si>
    <t>MAXFLO 560/250/14 P c/w 0,75KW 6P 380V</t>
  </si>
  <si>
    <t>MFPZ5601104</t>
  </si>
  <si>
    <t>MAXFLO 560/250/14 P c/w 1,10KW 4P 380V</t>
  </si>
  <si>
    <t>MFPZ5601504</t>
  </si>
  <si>
    <t>MAXFLO 560/250/14 P c/w 1,50KW 4P 380V</t>
  </si>
  <si>
    <t>MFPZ5602202</t>
  </si>
  <si>
    <t>MAXFLO 560/250/14 P c/w 2,20KW 2P 380V</t>
  </si>
  <si>
    <t>MFPZ5604002</t>
  </si>
  <si>
    <t>MAXFLO 560/250/14 P c/w 4,00KW 2P 380V</t>
  </si>
  <si>
    <t>MFPZ6300374</t>
  </si>
  <si>
    <t>MAXFLO 630/250/14 P c/w 0,37KW 4P 380V</t>
  </si>
  <si>
    <t>MFPZ6300554</t>
  </si>
  <si>
    <t>MAXFLO 630/250/14 P c/w 0,55KW 4P 380V</t>
  </si>
  <si>
    <t>MFPZ6300754</t>
  </si>
  <si>
    <t>MAXFLO 630/250/14 P c/w 0,75KW 4P 380V</t>
  </si>
  <si>
    <t>MFPZ6301104</t>
  </si>
  <si>
    <t>MAXFLO 630/250/14 P c/w 1,10KW 4P 380V</t>
  </si>
  <si>
    <t>MFPZ6301504</t>
  </si>
  <si>
    <t>MAXFLO 630/250/14 P c/w 1,50KW 4P 380V</t>
  </si>
  <si>
    <t>MFPZ6302204</t>
  </si>
  <si>
    <t>MAXFLO 630/250/14 P c/w 2,20KW 4P 380V</t>
  </si>
  <si>
    <t>MFPZ6303004</t>
  </si>
  <si>
    <t>MAXFLO 630/250/14 P c/w 3,00KW 4P 380V</t>
  </si>
  <si>
    <t>MFPZ6304002</t>
  </si>
  <si>
    <t>MAXFLO 630/250/14 P c/w 4,00KW 2P 380V</t>
  </si>
  <si>
    <t>MFPZ6304004</t>
  </si>
  <si>
    <t>MAXFLO 630/250/14 P c/w 4,00KW 4P 380V</t>
  </si>
  <si>
    <t>MFPZ7100556</t>
  </si>
  <si>
    <t>MAXFLO 710/250/14 P c/w 0,55KW 6P 380V</t>
  </si>
  <si>
    <t>MFPZ7100754</t>
  </si>
  <si>
    <t>MAXFLO 710/250/14 P c/w 0,75KW 4P 380V</t>
  </si>
  <si>
    <t>MFPZ7101104</t>
  </si>
  <si>
    <t>MAXFLO 710/250/14 P c/w 1,10KW 4P 380V</t>
  </si>
  <si>
    <t>MFPZ7101106</t>
  </si>
  <si>
    <t>MAXFLO 710/250/14 P c/w 1,10KW 6P 380V</t>
  </si>
  <si>
    <t>MFPZ7101504</t>
  </si>
  <si>
    <t>MAXFLO 710/250/14 P c/w 1,50KW 4P 380V</t>
  </si>
  <si>
    <t>MFPZ7101506</t>
  </si>
  <si>
    <t>MAXFLO 710/250/14 P c/w 1,50KW 6P 380V</t>
  </si>
  <si>
    <t>MFPZ7102204</t>
  </si>
  <si>
    <t>MAXFLO 710/250/14 P c/w 2,20KW 4P 380V</t>
  </si>
  <si>
    <t>MFPZ7103004</t>
  </si>
  <si>
    <t>MAXFLO 710/250/14 P c/w 3,00KW 4P 380V</t>
  </si>
  <si>
    <t>MFPZ7104004</t>
  </si>
  <si>
    <t>MAXFLO 710/250/14 P c/w 4,00KW 4P 380V</t>
  </si>
  <si>
    <t>MFPZ7105504</t>
  </si>
  <si>
    <t>MAXFLO 710/250/14 P c/w 5,50KW 4P 380V</t>
  </si>
  <si>
    <t>MFPZ8000556</t>
  </si>
  <si>
    <t>MAXFLO 800/250/14 P c/w 0,55KW 6P 380V</t>
  </si>
  <si>
    <t>MFPZ8000756</t>
  </si>
  <si>
    <t>MAXFLO 800/250/14 P c/w 0,75KW 6P 380V</t>
  </si>
  <si>
    <t>MFPZ8001104</t>
  </si>
  <si>
    <t>MAXFLO 800/250/14 P c/w 1,10KW 4P 380V</t>
  </si>
  <si>
    <t>MFPZ8001106</t>
  </si>
  <si>
    <t>MAXFLO 800/250/14 P c/w 1,10KW 6P 380V</t>
  </si>
  <si>
    <t>MFPZ8001504</t>
  </si>
  <si>
    <t>MAXFLO 800/250/14 P c/w 1,50KW 4P 380V</t>
  </si>
  <si>
    <t>MFPZ8001506</t>
  </si>
  <si>
    <t>MAXFLO 800/250/14 P c/w 1,50KW 6P 380V</t>
  </si>
  <si>
    <t>MFPZ8002204</t>
  </si>
  <si>
    <t>MAXFLO 800/250/14 P c/w 2,20KW 4P 380V</t>
  </si>
  <si>
    <t>MFPZ8002206</t>
  </si>
  <si>
    <t>MAXFLO 800/250/14 P c/w 2,20KW 6P 380V</t>
  </si>
  <si>
    <t>MFPZ8003004</t>
  </si>
  <si>
    <t>MAXFLO 800/250/14 P c/w 3,00KW 4P 380V</t>
  </si>
  <si>
    <t>MFPZ8003006</t>
  </si>
  <si>
    <t>MAXFLO 800/250/14 P c/w 3,00KW 6P 380V</t>
  </si>
  <si>
    <t>MFPZ8004004</t>
  </si>
  <si>
    <t>MAXFLO 800/250/14 P c/w 4,00KW 4P 380V</t>
  </si>
  <si>
    <t>MFPZ8005504</t>
  </si>
  <si>
    <t>MAXFLO 800/250/14 P c/w 5,50KW 4P 380V</t>
  </si>
  <si>
    <t>MFPZ8007504</t>
  </si>
  <si>
    <t>MAXFLO 800/250/14 P c/w 7,50KW 4P 380V</t>
  </si>
  <si>
    <t>MH125011004</t>
  </si>
  <si>
    <t>MFAJAX-3 1250 c/w 11,00KW 4P 380V</t>
  </si>
  <si>
    <t>MH125011006</t>
  </si>
  <si>
    <t>MH125011008</t>
  </si>
  <si>
    <t>MFAJAX-3 1250 c/w 11,00KW 8P 380V</t>
  </si>
  <si>
    <t>MH125015004</t>
  </si>
  <si>
    <t>MFAJAX-3 1250 c/w 15,00KW 4P 380V</t>
  </si>
  <si>
    <t>MH125015006</t>
  </si>
  <si>
    <t>MH125015008</t>
  </si>
  <si>
    <t>MFAJAX-3 1250 c/w 15,00KW 8P 380V</t>
  </si>
  <si>
    <t>MH125018504</t>
  </si>
  <si>
    <t>MFAJAX-3 1250 c/w 18,50KW 4P 380V</t>
  </si>
  <si>
    <t>MH125018506</t>
  </si>
  <si>
    <t>MH125018508</t>
  </si>
  <si>
    <t>MFAJAX-3 1250 c/w 18,50KW 8P 380V</t>
  </si>
  <si>
    <t>MH125022004</t>
  </si>
  <si>
    <t>MFAJAX-3 1250 c/w 22,00KW 4P 380V</t>
  </si>
  <si>
    <t>MH125022006</t>
  </si>
  <si>
    <t>MFAJAX-3 1250 c/w 22,00KW 6P 380V</t>
  </si>
  <si>
    <t>MH125022008</t>
  </si>
  <si>
    <t>MFAJAX-3 1250 c/w 22,00KW 8P 380V</t>
  </si>
  <si>
    <t>MH125030004</t>
  </si>
  <si>
    <t>MFAJAX-3 1250 c/w 30,00KW 4P 380V</t>
  </si>
  <si>
    <t>MH125030006</t>
  </si>
  <si>
    <t>MFAJAX-3 1250 c/w 30,00KW 6P 380V</t>
  </si>
  <si>
    <t>MH125030008</t>
  </si>
  <si>
    <t>MFAJAX-3 1250 c/w 30,00KW 8P 380V</t>
  </si>
  <si>
    <t>MH12503006</t>
  </si>
  <si>
    <t>MH125037004</t>
  </si>
  <si>
    <t>MFAJAX-3 1250 c/w 37,00KW 4P 380V</t>
  </si>
  <si>
    <t>MH125037006</t>
  </si>
  <si>
    <t>MFAJAX-3 1250 c/w 37,00KW 6P 380V</t>
  </si>
  <si>
    <t>MH125037008</t>
  </si>
  <si>
    <t>MFAJAX-3 1250 c/w 37,00KW 8P 380V</t>
  </si>
  <si>
    <t>MH12504006</t>
  </si>
  <si>
    <t>MH12504008</t>
  </si>
  <si>
    <t>MH125045004</t>
  </si>
  <si>
    <t>MFAJAX-3 1250 c/w 45,00KW 4P 380V</t>
  </si>
  <si>
    <t>MH125045006</t>
  </si>
  <si>
    <t>MFAJAX-3 1250 c/w 45,00KW 6P 380V</t>
  </si>
  <si>
    <t>MH125055004</t>
  </si>
  <si>
    <t>MFAJAX-3 1250 c/w 55,00KW 4P 380V</t>
  </si>
  <si>
    <t>MH12505506</t>
  </si>
  <si>
    <t>MH12505508</t>
  </si>
  <si>
    <t>MH125075004</t>
  </si>
  <si>
    <t>MFAJAX-3 1250 c/w 75,00KW 4P 380V</t>
  </si>
  <si>
    <t>MH12507506</t>
  </si>
  <si>
    <t>MH12507508</t>
  </si>
  <si>
    <t>MS3150552</t>
  </si>
  <si>
    <t>MAJAX-3 315 c/w 0,55KW 2P 220V</t>
  </si>
  <si>
    <t>MS3150554</t>
  </si>
  <si>
    <t>MAJAX-3 315 c/w 0,55KW 4P 220V</t>
  </si>
  <si>
    <t>MS3150556</t>
  </si>
  <si>
    <t>MAJAX-3 315 c/w 0,55KW 6P 220V</t>
  </si>
  <si>
    <t>MS4000186</t>
  </si>
  <si>
    <t>MAJAX-3 400 c/w 0,18KW 6P 220V</t>
  </si>
  <si>
    <t>MS4000254</t>
  </si>
  <si>
    <t>MAJAX-3 400 c/w 0,25KW 4P 220V</t>
  </si>
  <si>
    <t>MS4000374</t>
  </si>
  <si>
    <t>MAJAX-3 400 c/w 0,37KW 4P 220V</t>
  </si>
  <si>
    <t>MS4000552</t>
  </si>
  <si>
    <t>MAJAX-3 400 c/w 0,55KW 2P 220V</t>
  </si>
  <si>
    <t>MS4000754</t>
  </si>
  <si>
    <t>MAJAX-3 400 c/w 0,75KW 4P 220V</t>
  </si>
  <si>
    <t>MS4001102</t>
  </si>
  <si>
    <t>MAJAX-3 400 c/w 1,10KW 2P 220V</t>
  </si>
  <si>
    <t>MS4001502</t>
  </si>
  <si>
    <t>MAJAX-3 400 c/w 1,50KW 2P 220V</t>
  </si>
  <si>
    <t>MS4002202</t>
  </si>
  <si>
    <t>MAJAX-3 400 c/w 2,20KW 2P 220V</t>
  </si>
  <si>
    <t>MS5000186</t>
  </si>
  <si>
    <t>MAJAX-3 500 c/w 0,18KW 6P 220V</t>
  </si>
  <si>
    <t>MS5000254</t>
  </si>
  <si>
    <t>MAJAX-3 500 c/w 0,25KW 4P 220V</t>
  </si>
  <si>
    <t>MS5000374</t>
  </si>
  <si>
    <t>MAJAX-3 500 c/w 0,37KW 4P 220V</t>
  </si>
  <si>
    <t>MS5000554</t>
  </si>
  <si>
    <t>MAJAX-3 500 c/w 0,55KW 4P 220V</t>
  </si>
  <si>
    <t>MS5000556</t>
  </si>
  <si>
    <t>MAJAX-3 500 c/w 0,55KW 6P 220V</t>
  </si>
  <si>
    <t>MS5000752</t>
  </si>
  <si>
    <t>MAJAX-3 500 c/w 0,75KW 2P 220V</t>
  </si>
  <si>
    <t>MS5000754</t>
  </si>
  <si>
    <t>MAJAX-3 500 c/w 0,75KW 4P 220V</t>
  </si>
  <si>
    <t>MS5001102</t>
  </si>
  <si>
    <t>MAJAX-3 500 c/w 1,10KW 2P 220V</t>
  </si>
  <si>
    <t>MS5001104</t>
  </si>
  <si>
    <t>MAJAX-3 500 c/w 1,10KW 4P 220V</t>
  </si>
  <si>
    <t>MS5001502</t>
  </si>
  <si>
    <t>MAJAX-3 500 c/w 1,50KW 2P 220V</t>
  </si>
  <si>
    <t>MS5001504</t>
  </si>
  <si>
    <t>MAJAX-3 500 c/w 1,50KW 4P 220V</t>
  </si>
  <si>
    <t>MS5002202</t>
  </si>
  <si>
    <t>MAJAX-3 500 c/w 2,20KW 2P 220V</t>
  </si>
  <si>
    <t>MS5600186</t>
  </si>
  <si>
    <t>MAJAX-3 560 c/w 0,18KW 6P 220V</t>
  </si>
  <si>
    <t>MS5600374</t>
  </si>
  <si>
    <t>MAJAX-3 560 c/w 0,37KW 4P 220V</t>
  </si>
  <si>
    <t>MS5600554</t>
  </si>
  <si>
    <t>MAJAX-3 560 c/w 0,55KW 4P 220V</t>
  </si>
  <si>
    <t>MS5600556</t>
  </si>
  <si>
    <t>MAJAX-3 560 c/w 0,55KW 6P 220V</t>
  </si>
  <si>
    <t>MS5600754</t>
  </si>
  <si>
    <t>MAJAX-3 560 c/w 0,75KW 4P 220V</t>
  </si>
  <si>
    <t>MS5601102</t>
  </si>
  <si>
    <t>MAJAX-3 560 c/w 1,10KW 2P 220V</t>
  </si>
  <si>
    <t>MS5601104</t>
  </si>
  <si>
    <t>MAJAX-3 560 c/w 1,10KW 4P 220V</t>
  </si>
  <si>
    <t>MS5601502</t>
  </si>
  <si>
    <t>MAJAX-3 560 c/w 1,50KW 2P 220V</t>
  </si>
  <si>
    <t>MS5601504</t>
  </si>
  <si>
    <t>MAJAX-3 560 c/w 1,50KW 4P 220V</t>
  </si>
  <si>
    <t>MS5602202</t>
  </si>
  <si>
    <t>MAJAX-3 560 c/w 2,20KW 2P 220V</t>
  </si>
  <si>
    <t>MS5605502</t>
  </si>
  <si>
    <t>MAJAX-3 560 c/w 5,50KW 2P 220V</t>
  </si>
  <si>
    <t>MS6300186</t>
  </si>
  <si>
    <t>MAJAX-3 630 c/w 0,18KW 6P 220V</t>
  </si>
  <si>
    <t>MS6300374</t>
  </si>
  <si>
    <t>MAJAX-3 630 c/w 0,37KW 4P 220V</t>
  </si>
  <si>
    <t>MS6300554</t>
  </si>
  <si>
    <t>MAJAX-3 630 c/w 0,55KW 4P 220V</t>
  </si>
  <si>
    <t>MS6300556</t>
  </si>
  <si>
    <t>MAJAX-3 630 c/w 0,55KW 6P 220V</t>
  </si>
  <si>
    <t>MS6300754</t>
  </si>
  <si>
    <t>MAJAX-3 630 c/w 0,75KW 4P 220V</t>
  </si>
  <si>
    <t>MS6301104</t>
  </si>
  <si>
    <t>MAJAX-3 630 c/w 1,10KW 4P 220V</t>
  </si>
  <si>
    <t>MS6301504</t>
  </si>
  <si>
    <t>MAJAX-3 630 c/w 1,50KW 4P 220V</t>
  </si>
  <si>
    <t>MS6302204</t>
  </si>
  <si>
    <t>MAJAX-3 630 c/w 2,20KW 4P 220V</t>
  </si>
  <si>
    <t>MT100011004</t>
  </si>
  <si>
    <t>MAJAX-3 1000 c/w 11,00KW 4P 380V</t>
  </si>
  <si>
    <t>MT100011006</t>
  </si>
  <si>
    <t>MAJAX-3 1000 c/w 11,00KW 6P 380V</t>
  </si>
  <si>
    <t>MT10001106</t>
  </si>
  <si>
    <t>MAJAX-3 1000 c/w 1,10KW 6P 380V</t>
  </si>
  <si>
    <t>MT100015004</t>
  </si>
  <si>
    <t>MAJAX-3 1000 c/w 15,00KW 4P 380V</t>
  </si>
  <si>
    <t>MT10001506</t>
  </si>
  <si>
    <t>MAJAX-3 1000 c/w 1,50KW 6P 380V</t>
  </si>
  <si>
    <t>MT100018504</t>
  </si>
  <si>
    <t>MAJAX-3 1000 c/w 18,50KW 4P 380V</t>
  </si>
  <si>
    <t>MT100022004</t>
  </si>
  <si>
    <t>MAJAX-3 1000 c/w 22,00KW 4P 380V</t>
  </si>
  <si>
    <t>MT10002206</t>
  </si>
  <si>
    <t>MAJAX-3 1000 c/w 2,20KW 6P 380V</t>
  </si>
  <si>
    <t>MT100030004</t>
  </si>
  <si>
    <t>MAJAX-3 1000 c/w 30,00KW 4P 380V</t>
  </si>
  <si>
    <t>MT10003004</t>
  </si>
  <si>
    <t>MAJAX-3 1000 c/w 3,00KW 4P 380V</t>
  </si>
  <si>
    <t>MT10003006</t>
  </si>
  <si>
    <t>MAJAX-3 1000 c/w 3,00KW 6P 380V</t>
  </si>
  <si>
    <t>MT10004004</t>
  </si>
  <si>
    <t>MAJAX-3 1000 c/w 4,00KW 4P 380V</t>
  </si>
  <si>
    <t>MT10004006</t>
  </si>
  <si>
    <t>MAJAX-3 1000 c/w 4,00KW 6P 380V</t>
  </si>
  <si>
    <t>MT10004008</t>
  </si>
  <si>
    <t>MAJAX-3 1000 c/w 4,00KW 8P 380V</t>
  </si>
  <si>
    <t>MT10005504</t>
  </si>
  <si>
    <t>MAJAX-3 1000 c/w 5,50KW 4P 380V</t>
  </si>
  <si>
    <t>MT10005506</t>
  </si>
  <si>
    <t>MAJAX-3 1000 c/w 5,50KW 6P 380V</t>
  </si>
  <si>
    <t>MT10007504</t>
  </si>
  <si>
    <t>MAJAX-3 1000 c/w 7,50KW 4P 380V</t>
  </si>
  <si>
    <t>MT10007506</t>
  </si>
  <si>
    <t>MAJAX-3 1000 c/w 7,50KW 6P 380V</t>
  </si>
  <si>
    <t>MT3150186</t>
  </si>
  <si>
    <t>MAJAX-3 315 c/w 0,18KW 6P 380V</t>
  </si>
  <si>
    <t>MT3150254</t>
  </si>
  <si>
    <t>MAJAX-3 315 c/w 0,25KW 4P 380V</t>
  </si>
  <si>
    <t>MT3150552</t>
  </si>
  <si>
    <t>MAJAX-3 315 c/w 0,55KW 2P 380V</t>
  </si>
  <si>
    <t>MT3150556</t>
  </si>
  <si>
    <t>MAJAX-3 315 c/w 0,55KW 6P 380V</t>
  </si>
  <si>
    <t>MT4000186</t>
  </si>
  <si>
    <t>MAJAX-3 400 c/w 0,18KW 6P 380V</t>
  </si>
  <si>
    <t>MT4000254</t>
  </si>
  <si>
    <t>MAJAX-3 400 c/w 0,25KW 4P 380V</t>
  </si>
  <si>
    <t>MT4000374</t>
  </si>
  <si>
    <t>MAJAX-3 400 c/w 0,37KW 4P 380V</t>
  </si>
  <si>
    <t>MT4000552</t>
  </si>
  <si>
    <t>MAJAX-3 400 c/w 0,55KW 2P 380V</t>
  </si>
  <si>
    <t>MT4001102</t>
  </si>
  <si>
    <t>MAJAX-3 400 c/w 1,10KW 2P 380V</t>
  </si>
  <si>
    <t>MT4001502</t>
  </si>
  <si>
    <t>MAJAX-3 400 c/w 1,50KW 2P 380V</t>
  </si>
  <si>
    <t>MT4002202</t>
  </si>
  <si>
    <t>MAJAX-3 400 c/w 2,20KW 2P 380V</t>
  </si>
  <si>
    <t>MT5000186</t>
  </si>
  <si>
    <t>MAJAX-3 500 c/w 0,18KW 6P 380V</t>
  </si>
  <si>
    <t>MT5000254</t>
  </si>
  <si>
    <t>MAJAX-3 500 c/w 0,25KW 4P 380V</t>
  </si>
  <si>
    <t>MT5000374</t>
  </si>
  <si>
    <t>MAJAX-3 500 c/w 0,37KW 4P 380V</t>
  </si>
  <si>
    <t>MT5000554</t>
  </si>
  <si>
    <t>MAJAX-3 500 c/w 0,55KW 4P 380V</t>
  </si>
  <si>
    <t>MT5000556</t>
  </si>
  <si>
    <t>MAJAX-3 500 c/w 0,55KW 6P 380V</t>
  </si>
  <si>
    <t>MT5000754</t>
  </si>
  <si>
    <t>MAJAX-3 500 c/w 0,75KW 4P 380V</t>
  </si>
  <si>
    <t>MT5001102</t>
  </si>
  <si>
    <t>MAJAX-3 500 c/w 1,10KW 2P 380V</t>
  </si>
  <si>
    <t>MT5001104</t>
  </si>
  <si>
    <t>MAJAX-3 500 c/w 1,10KW 4P 380V</t>
  </si>
  <si>
    <t>MT5001502</t>
  </si>
  <si>
    <t>MAJAX-3 500 c/w 1,50KW 2P 380V</t>
  </si>
  <si>
    <t>MT5001504</t>
  </si>
  <si>
    <t>MAJAX-3 500 c/w 1,50KW 4P 380V</t>
  </si>
  <si>
    <t>MT5002202</t>
  </si>
  <si>
    <t>MAJAX-3 500 c/w 2,20KW 2P 380V</t>
  </si>
  <si>
    <t>MT5004002</t>
  </si>
  <si>
    <t>MAJAX-3 500 c/w 4,00KW 2P 380V</t>
  </si>
  <si>
    <t>MT5600186</t>
  </si>
  <si>
    <t>MAJAX-3 560 c/w 0,18KW 6P 380V</t>
  </si>
  <si>
    <t>MT5600374</t>
  </si>
  <si>
    <t>MAJAX-3 560 c/w 0,37KW 4P 380V</t>
  </si>
  <si>
    <t>MT5600554</t>
  </si>
  <si>
    <t>MAJAX-3 560 c/w 0,55KW 4P 380V</t>
  </si>
  <si>
    <t>MT5600556</t>
  </si>
  <si>
    <t>MAJAX-3 560 c/w 0,55KW 6P 380V</t>
  </si>
  <si>
    <t>MT5600754</t>
  </si>
  <si>
    <t>MAJAX-3 560 c/w 0,75KW 4P 380V</t>
  </si>
  <si>
    <t>MT5601102</t>
  </si>
  <si>
    <t>MAJAX-3 560 c/w 1,10KW 2P 380V</t>
  </si>
  <si>
    <t>MT5601104</t>
  </si>
  <si>
    <t>MAJAX-3 560 c/w 1,10KW 4P 380V</t>
  </si>
  <si>
    <t>MT5601502</t>
  </si>
  <si>
    <t>MAJAX-3 560 c/w 1,50KW 2P 380V</t>
  </si>
  <si>
    <t>MT5601504</t>
  </si>
  <si>
    <t>MAJAX-3 560 c/w 1,50KW 4P 380V</t>
  </si>
  <si>
    <t>MT5602202</t>
  </si>
  <si>
    <t>MAJAX-3 560 c/w 2,20KW 2P 380V</t>
  </si>
  <si>
    <t>MT5604002</t>
  </si>
  <si>
    <t>MAJAX-3 560 c/w 4,00KW 2P 380V</t>
  </si>
  <si>
    <t>Wide Range Engineering (Pty) Ltd</t>
  </si>
  <si>
    <t>MT6300186</t>
  </si>
  <si>
    <t>MAJAX-3 630 c/w 0,18KW 6P 380V</t>
  </si>
  <si>
    <t>MT6300374</t>
  </si>
  <si>
    <t>MAJAX-3 630 c/w 0,37KW 4P 380V</t>
  </si>
  <si>
    <t>MT6300554</t>
  </si>
  <si>
    <t>MAJAX-3 630 c/w 0,55KW 4P 380V</t>
  </si>
  <si>
    <t>MT6300556</t>
  </si>
  <si>
    <t>MAJAX-3 630 c/w 0,55KW 6P 380V</t>
  </si>
  <si>
    <t>MT6300754</t>
  </si>
  <si>
    <t>MAJAX-3 630 c/w 0,75KW 4P 380V</t>
  </si>
  <si>
    <t>MT6300756</t>
  </si>
  <si>
    <t>MAJAX-3 630 c/w 0,75KW 6P 380V</t>
  </si>
  <si>
    <t>MT63011002</t>
  </si>
  <si>
    <t>MAJAX-3 630 c/w 11,00KW 2P 380V</t>
  </si>
  <si>
    <t>MT6301104</t>
  </si>
  <si>
    <t>MAJAX-3 630 c/w 1,10KW 4P 380V</t>
  </si>
  <si>
    <t>MT6301504</t>
  </si>
  <si>
    <t>MAJAX-3 630 c/w 1,50KW 4P 380V</t>
  </si>
  <si>
    <t>MT6302204</t>
  </si>
  <si>
    <t>MAJAX-3 630 c/w 2,20KW 4P 380V</t>
  </si>
  <si>
    <t>MT6303004</t>
  </si>
  <si>
    <t>MAJAX-3 630 c/w 3,00KW 4P 380V</t>
  </si>
  <si>
    <t>MT6305502</t>
  </si>
  <si>
    <t>MAJAX-3 630 c/w 5,50KW 2P 380V</t>
  </si>
  <si>
    <t>MT6307502</t>
  </si>
  <si>
    <t>MAJAX-3 630 c/w 7,50KW 2P 380V</t>
  </si>
  <si>
    <t>MT7100554</t>
  </si>
  <si>
    <t>MAJAX-3 710 c/w 0,55KW 4P 380V</t>
  </si>
  <si>
    <t>MT7100556</t>
  </si>
  <si>
    <t>MAJAX-3 710 c/w 0,55KW 6P 380V</t>
  </si>
  <si>
    <t>MT7100754</t>
  </si>
  <si>
    <t>MAJAX-3 710 c/w 0,75KW 4P 380V</t>
  </si>
  <si>
    <t>MT7101104</t>
  </si>
  <si>
    <t>MAJAX-3 710 c/w 1,10KW 4P 380V</t>
  </si>
  <si>
    <t>MT7101106</t>
  </si>
  <si>
    <t>MAJAX-3 710 c/w 1,10KW 6P 380V</t>
  </si>
  <si>
    <t>MT7101504</t>
  </si>
  <si>
    <t>MAJAX-3 710 c/w 1,50KW 4P 380V</t>
  </si>
  <si>
    <t>MT7101506</t>
  </si>
  <si>
    <t>MAJAX-3 710 c/w 1,50KW 6P 380V</t>
  </si>
  <si>
    <t>MT7102204</t>
  </si>
  <si>
    <t>MAJAX-3 710 c/w 2,20KW 4P 380V</t>
  </si>
  <si>
    <t>MT7102206</t>
  </si>
  <si>
    <t>MAJAX-3 710 c/w 2,20KW 6P 380V</t>
  </si>
  <si>
    <t>MT7103004</t>
  </si>
  <si>
    <t>MAJAX-3 710 c/w 3,00KW 4P 380V</t>
  </si>
  <si>
    <t>MT7103006</t>
  </si>
  <si>
    <t>MAJAX-3 710 c/w 3,00KW 6P 380V</t>
  </si>
  <si>
    <t>MT7104004</t>
  </si>
  <si>
    <t>MAJAX-3 710 c/w 4,00KW 4P 380V</t>
  </si>
  <si>
    <t>MT7104006</t>
  </si>
  <si>
    <t>MAJAX-3 710 c/w 4,00KW 6P 380V</t>
  </si>
  <si>
    <t>MT7105504</t>
  </si>
  <si>
    <t>MAJAX-3 710 c/w 5,50KW 4P 380V</t>
  </si>
  <si>
    <t>MT7105506</t>
  </si>
  <si>
    <t>MAJAX-3 710 c/w 5,50KW 6P 380V</t>
  </si>
  <si>
    <t>MT7107504</t>
  </si>
  <si>
    <t>MAJAX-3 710 c/w 7,50KW 4P 380V</t>
  </si>
  <si>
    <t>MT8000556</t>
  </si>
  <si>
    <t>MAJAX-3 800 c/w 0,55KW 6P 380V</t>
  </si>
  <si>
    <t>MT80011004</t>
  </si>
  <si>
    <t>MAJAX-3 800 c/w 11,00KW 4P 380V</t>
  </si>
  <si>
    <t>MT8001106</t>
  </si>
  <si>
    <t>MAJAX-3 800 c/w 1,10KW 6P 380V</t>
  </si>
  <si>
    <t>MT8001504</t>
  </si>
  <si>
    <t>MAJAX-3 800 c/w 1,50KW 4P 380V</t>
  </si>
  <si>
    <t>MT8001506</t>
  </si>
  <si>
    <t>MAJAX-3 800 c/w 1,50KW 6P 380V</t>
  </si>
  <si>
    <t>MT8002204</t>
  </si>
  <si>
    <t>MAJAX-3 800 c/w 2,20KW 4P 380V</t>
  </si>
  <si>
    <t>MT8002206</t>
  </si>
  <si>
    <t>MAJAX-3 800 c/w 2,20KW 6P 380V</t>
  </si>
  <si>
    <t>MT8003004</t>
  </si>
  <si>
    <t>MAJAX-3 800 c/w 3,00KW 4P 380V</t>
  </si>
  <si>
    <t>MT8003006</t>
  </si>
  <si>
    <t>MAJAX-3 800 c/w 3,00KW 6P 380V</t>
  </si>
  <si>
    <t>MT8004004</t>
  </si>
  <si>
    <t>MAJAX-3 800 c/w 4,00KW 4P 380V</t>
  </si>
  <si>
    <t>MT8005504</t>
  </si>
  <si>
    <t>MAJAX-3 800 c/w 5,50KW 4P 380V</t>
  </si>
  <si>
    <t>MT8007504</t>
  </si>
  <si>
    <t>MAJAX-3 800 c/w 7,50KW 4P 380V</t>
  </si>
  <si>
    <t>MT90011004</t>
  </si>
  <si>
    <t>MAJAX-3 900 c/w 11,00KW 4P 380V</t>
  </si>
  <si>
    <t>MT9001104</t>
  </si>
  <si>
    <t>MAJAX-3 900 c/w 1,10KW 4P 380V</t>
  </si>
  <si>
    <t>MT9001106</t>
  </si>
  <si>
    <t>MAJAX-3 900 c/w 1,10KW 6P 380V</t>
  </si>
  <si>
    <t>MT9001504</t>
  </si>
  <si>
    <t>MAJAX-3 900 c/w 1,50KW 4P 380V</t>
  </si>
  <si>
    <t>MT9001506</t>
  </si>
  <si>
    <t>MAJAX-3 900 c/w 1,50KW 6P 380V</t>
  </si>
  <si>
    <t>MT9002204</t>
  </si>
  <si>
    <t>MAJAX-3 900 c/w 2,20KW 4P 380V</t>
  </si>
  <si>
    <t>MT9002206</t>
  </si>
  <si>
    <t>MAJAX-3 900 c/w 2,20KW 6P 380V</t>
  </si>
  <si>
    <t>MT9003004</t>
  </si>
  <si>
    <t>MAJAX-3 900 c/w 3,00KW 4P 380V</t>
  </si>
  <si>
    <t>MT9003006</t>
  </si>
  <si>
    <t>MAJAX-3 900 c/w 3,00KW 6P 380V</t>
  </si>
  <si>
    <t>MT9004004</t>
  </si>
  <si>
    <t>MAJAX-3 900 c/w 4,00KW 4P 380V</t>
  </si>
  <si>
    <t>MT9004006</t>
  </si>
  <si>
    <t>MAJAX-3 900 c/w 4,00KW 6P 380V</t>
  </si>
  <si>
    <t>MT9005504</t>
  </si>
  <si>
    <t>MAJAX-3 900 c/w 5,50KW 4P 380V</t>
  </si>
  <si>
    <t>MT9005506</t>
  </si>
  <si>
    <t>MAJAX-3 900 c/w 5,50KW 6P 380V</t>
  </si>
  <si>
    <t>MT9007504</t>
  </si>
  <si>
    <t>MAJAX-3 900 c/w 7,50KW 4P 380V</t>
  </si>
  <si>
    <t>MT9007506</t>
  </si>
  <si>
    <t>MAJAX-3 900 c/w 7,50KW 6P 380V</t>
  </si>
  <si>
    <t>NONE</t>
  </si>
  <si>
    <t>AIRMAX-2.850 WALL MOUNT</t>
  </si>
  <si>
    <t>TB 315-560</t>
  </si>
  <si>
    <t>Casing Terminal Box (315-560)</t>
  </si>
  <si>
    <t>TB 630-800</t>
  </si>
  <si>
    <t>Casing Terminal Box (560-800)</t>
  </si>
  <si>
    <t>VFC355-300</t>
  </si>
  <si>
    <t>VFC 355/300 c/w 300Watts 230V Motor</t>
  </si>
  <si>
    <t>Material</t>
  </si>
  <si>
    <t>Downside Projects</t>
  </si>
  <si>
    <t>WIRING</t>
  </si>
  <si>
    <t>Wiring of welding plug and installation of welding plug x2</t>
  </si>
  <si>
    <t>2450x1225x4mm</t>
  </si>
  <si>
    <t>HR Sheet CQ 2450x1225x4 mm</t>
  </si>
  <si>
    <t>25.4*6-2RTUBE</t>
  </si>
  <si>
    <t>25,4*1.6-2mm Round Tube Die Set (Die CLR 93mm)</t>
  </si>
  <si>
    <t>Strongman Metal Tools CC</t>
  </si>
  <si>
    <t>3000x1500x4mm</t>
  </si>
  <si>
    <t>HR Sheet CQ 3000x1500x4mm</t>
  </si>
  <si>
    <t>32*2-RTUBE</t>
  </si>
  <si>
    <t>32*2 mm Round Tube Die Set (Die CLR 125mm)</t>
  </si>
  <si>
    <t>FLEX-W/FRAME (2mx3m)</t>
  </si>
  <si>
    <t>H=2m x W=3m, Galv Steel Frame (25x25 square tube)</t>
  </si>
  <si>
    <t>Fischli + Fuhrmann</t>
  </si>
  <si>
    <t>TTS038030006</t>
  </si>
  <si>
    <t>Sq / Tube 38X38X3.0-6M</t>
  </si>
  <si>
    <t>ENGINE-001</t>
  </si>
  <si>
    <t>Engineering Services - 3D Scanning, Modelling of a Fan Blade and Hub</t>
  </si>
  <si>
    <t>Holt Consulting Engineers</t>
  </si>
  <si>
    <t>CA4</t>
  </si>
  <si>
    <t>CA4V - 1' 1/4</t>
  </si>
  <si>
    <t>CA5</t>
  </si>
  <si>
    <t>CA5V - 1' 1/2</t>
  </si>
  <si>
    <t>CA6</t>
  </si>
  <si>
    <t>CA6V - 2'</t>
  </si>
  <si>
    <t>Effepizeta</t>
  </si>
  <si>
    <t>CA8</t>
  </si>
  <si>
    <t>CA8 - 3'</t>
  </si>
  <si>
    <t>CA9</t>
  </si>
  <si>
    <t>CA9- 4'</t>
  </si>
  <si>
    <t>CF4</t>
  </si>
  <si>
    <t>CF4 - 1' 1/4</t>
  </si>
  <si>
    <t>CF5</t>
  </si>
  <si>
    <t>CF5 - 1' 1/2</t>
  </si>
  <si>
    <t>CF6</t>
  </si>
  <si>
    <t>CF6 - 2'</t>
  </si>
  <si>
    <t>CF8</t>
  </si>
  <si>
    <t>CF8 - 3'</t>
  </si>
  <si>
    <t>CF9</t>
  </si>
  <si>
    <t>CF9 - 4'</t>
  </si>
  <si>
    <t>D100030</t>
  </si>
  <si>
    <t>SCLK03 MS-055-3</t>
  </si>
  <si>
    <t>D100031</t>
  </si>
  <si>
    <t>SCLK08 R-MD-75KW</t>
  </si>
  <si>
    <t>D100032</t>
  </si>
  <si>
    <t>FPZ FLEXIBLE SLEEVE</t>
  </si>
  <si>
    <t>D100033</t>
  </si>
  <si>
    <t>25 FA 5</t>
  </si>
  <si>
    <t>D100034</t>
  </si>
  <si>
    <t>25 FA 6</t>
  </si>
  <si>
    <t>D100035</t>
  </si>
  <si>
    <t>25 FA 8</t>
  </si>
  <si>
    <t>D100036</t>
  </si>
  <si>
    <t>25 FLS</t>
  </si>
  <si>
    <t>D100037</t>
  </si>
  <si>
    <t>25 FL5</t>
  </si>
  <si>
    <t>D100038</t>
  </si>
  <si>
    <t>25 FL6</t>
  </si>
  <si>
    <t>D100039</t>
  </si>
  <si>
    <t>CONTROL UNIT</t>
  </si>
  <si>
    <t>FL4</t>
  </si>
  <si>
    <t>FL4 - 1' 1/4</t>
  </si>
  <si>
    <t>FL5</t>
  </si>
  <si>
    <t>FL5 - 1' 1/2</t>
  </si>
  <si>
    <t>FL6</t>
  </si>
  <si>
    <t>FL6 - 2'</t>
  </si>
  <si>
    <t>FL8</t>
  </si>
  <si>
    <t>FL8 - 3'</t>
  </si>
  <si>
    <t>FL9</t>
  </si>
  <si>
    <t>FL9 - 4 Intake Filter</t>
  </si>
  <si>
    <t>K03MS055S</t>
  </si>
  <si>
    <t>SCL-K03 MS-0.55kW-1</t>
  </si>
  <si>
    <t>K04MS11S</t>
  </si>
  <si>
    <t>SCL-K04 MS-1.1kW-1-220V</t>
  </si>
  <si>
    <t>K04MS11T</t>
  </si>
  <si>
    <t>SCL-K04 MS-1.1kW</t>
  </si>
  <si>
    <t>K04MS15T</t>
  </si>
  <si>
    <t>SCL-K04 MS-1.5kW</t>
  </si>
  <si>
    <t>K05MS11S</t>
  </si>
  <si>
    <t>SCL-K05 MS-1.1kW-1-220V</t>
  </si>
  <si>
    <t>K05MS11T</t>
  </si>
  <si>
    <t>SCL-K05 MS-1.1kW</t>
  </si>
  <si>
    <t>K05MS15T</t>
  </si>
  <si>
    <t>SCL-K05 MS-1.5kW</t>
  </si>
  <si>
    <t>K05MS22S</t>
  </si>
  <si>
    <t>SCL-K04 MS-2.2kW-1-220V</t>
  </si>
  <si>
    <t>K05MS22T</t>
  </si>
  <si>
    <t>SCL-K05 MS-2.2kW</t>
  </si>
  <si>
    <t>K05MS3T</t>
  </si>
  <si>
    <t>SCL-K05 MS-3kW</t>
  </si>
  <si>
    <t>K05TD3</t>
  </si>
  <si>
    <t>SCL-K05 TD-3kW</t>
  </si>
  <si>
    <t>K05TD4</t>
  </si>
  <si>
    <t>SCL-K05 TD-4kW</t>
  </si>
  <si>
    <t>K05TS3</t>
  </si>
  <si>
    <t>SCL-K05 TS-3kW</t>
  </si>
  <si>
    <t>K05TS4</t>
  </si>
  <si>
    <t>SCL-K05 TS-4kW</t>
  </si>
  <si>
    <t>K06MS22</t>
  </si>
  <si>
    <t>SCL-K06 MS-2.2kW</t>
  </si>
  <si>
    <t>K06MS3</t>
  </si>
  <si>
    <t>SCL-K06 MS-3.0kW</t>
  </si>
  <si>
    <t>K06MS4</t>
  </si>
  <si>
    <t>SCL-K06 MS-4W</t>
  </si>
  <si>
    <t>K06TD4</t>
  </si>
  <si>
    <t>SCL-K06 TD-4.0kW</t>
  </si>
  <si>
    <t>K06TD55</t>
  </si>
  <si>
    <t>SCL-K06 TD-5.5kW</t>
  </si>
  <si>
    <t>K06TD75</t>
  </si>
  <si>
    <t>SCL-K06 TD-7.5kW</t>
  </si>
  <si>
    <t>K06TS4</t>
  </si>
  <si>
    <t>SCL-K06 TS-4.0kW</t>
  </si>
  <si>
    <t>K06TS55</t>
  </si>
  <si>
    <t>SCL-K06 TS-5.5kW</t>
  </si>
  <si>
    <t>K06TS75</t>
  </si>
  <si>
    <t>SCL-K06 TS-7.5kW</t>
  </si>
  <si>
    <t>K07MS22</t>
  </si>
  <si>
    <t>SCL-K07 MS-2.2kW</t>
  </si>
  <si>
    <t>K07MS3</t>
  </si>
  <si>
    <t>SCL-K07 MS-3.0kW</t>
  </si>
  <si>
    <t>K07MS4</t>
  </si>
  <si>
    <t>SCL-K07 MS-4kW</t>
  </si>
  <si>
    <t>K07MS55</t>
  </si>
  <si>
    <t>SCL-K07 MS-5.5kW</t>
  </si>
  <si>
    <t>K07RMD4</t>
  </si>
  <si>
    <t>SCL-K07R MD-4.0kW</t>
  </si>
  <si>
    <t>K07RMD55</t>
  </si>
  <si>
    <t>SCL-K07R MD-5.5kW</t>
  </si>
  <si>
    <t>K07TD55</t>
  </si>
  <si>
    <t>SCL-K07 TD-5.5kW</t>
  </si>
  <si>
    <t>K07TD75</t>
  </si>
  <si>
    <t>SCL-K07 TD-7.5kW</t>
  </si>
  <si>
    <t>K07TD92</t>
  </si>
  <si>
    <t>SCL-K07 TD-9.2kW</t>
  </si>
  <si>
    <t>K07TS11</t>
  </si>
  <si>
    <t>SCL-K07 TS-11kW</t>
  </si>
  <si>
    <t>K07TS55</t>
  </si>
  <si>
    <t>SCL-K07 TS-5.5kW</t>
  </si>
  <si>
    <t>K07TS75</t>
  </si>
  <si>
    <t>SCL-K07 TS-7.5kW</t>
  </si>
  <si>
    <t>K07TS92</t>
  </si>
  <si>
    <t>SCL-K07 TS-9.2kW</t>
  </si>
  <si>
    <t>K08MS4</t>
  </si>
  <si>
    <t>SCL-K08 MS-4kW</t>
  </si>
  <si>
    <t>K08MS55</t>
  </si>
  <si>
    <t>SCL-K08 MS-5.5kW</t>
  </si>
  <si>
    <t>K08MS75</t>
  </si>
  <si>
    <t>SCL-K08 MS-7.5kW</t>
  </si>
  <si>
    <t>K08MS92</t>
  </si>
  <si>
    <t>SCL-K08 MS-9.2kW</t>
  </si>
  <si>
    <t>K08RMD75</t>
  </si>
  <si>
    <t>SCL-K08R MD MOR-7.5kw 380V</t>
  </si>
  <si>
    <t>K08TD11</t>
  </si>
  <si>
    <t>SCL-K08 TD-11kW</t>
  </si>
  <si>
    <t>K08TD15</t>
  </si>
  <si>
    <t>SCL-K08 TD-15kW</t>
  </si>
  <si>
    <t>K08TD75</t>
  </si>
  <si>
    <t>SCL-K08 TD-7.5kW</t>
  </si>
  <si>
    <t>K08TD92</t>
  </si>
  <si>
    <t>SCL-K08 TD-9.2kW</t>
  </si>
  <si>
    <t>K08TS11</t>
  </si>
  <si>
    <t>SCL-K08 TS-11kW</t>
  </si>
  <si>
    <t>K08TS15</t>
  </si>
  <si>
    <t>SCL-K08 TS-15kW</t>
  </si>
  <si>
    <t>K08TS75</t>
  </si>
  <si>
    <t>SCL-K08 TS-7.5kW</t>
  </si>
  <si>
    <t>K08TS92</t>
  </si>
  <si>
    <t>SCL-K08 TS-9.2kW</t>
  </si>
  <si>
    <t>K09MD55</t>
  </si>
  <si>
    <t>SCL-K09 MD-5.5kW</t>
  </si>
  <si>
    <t>K09MD75</t>
  </si>
  <si>
    <t>SCL-K09 MD-7.5kW</t>
  </si>
  <si>
    <t>K09MS11</t>
  </si>
  <si>
    <t>SCL-K09 MS-11kW</t>
  </si>
  <si>
    <t>K09MS4</t>
  </si>
  <si>
    <t>SCL-K09 MS-4kW</t>
  </si>
  <si>
    <t>K09MS55</t>
  </si>
  <si>
    <t>SCL-K09 MS-5.5kW</t>
  </si>
  <si>
    <t>K09MS75</t>
  </si>
  <si>
    <t>SCL-K09 MS-7.5kW</t>
  </si>
  <si>
    <t>K09MS92</t>
  </si>
  <si>
    <t>SCL-K09 MS-9.2kW</t>
  </si>
  <si>
    <t>K09TD11</t>
  </si>
  <si>
    <t>SCL-K09 TD-11kW</t>
  </si>
  <si>
    <t>K09TD15</t>
  </si>
  <si>
    <t>SCL-K09 TD-15kW</t>
  </si>
  <si>
    <t>K09TS11</t>
  </si>
  <si>
    <t>SCL-K09 TS-11kW</t>
  </si>
  <si>
    <t>K09TS15</t>
  </si>
  <si>
    <t>SCL-K09 TS-15kW</t>
  </si>
  <si>
    <t>K10MD75</t>
  </si>
  <si>
    <t>SCL-K10 MD-7.5kW</t>
  </si>
  <si>
    <t>K10MD92</t>
  </si>
  <si>
    <t>SCL-K10 MD-9.2kW</t>
  </si>
  <si>
    <t>K10MS11</t>
  </si>
  <si>
    <t>SCL-K10 MS-11kW</t>
  </si>
  <si>
    <t>K10MS15</t>
  </si>
  <si>
    <t>SCL-K10 MS-15kW</t>
  </si>
  <si>
    <t>K10MS55</t>
  </si>
  <si>
    <t>SCL-K10 MS-5.5kW</t>
  </si>
  <si>
    <t>K10MS75</t>
  </si>
  <si>
    <t>SCL-K10 MS-7.5kW</t>
  </si>
  <si>
    <t>K10MS92</t>
  </si>
  <si>
    <t>SCL-K10 MS-9.2kW</t>
  </si>
  <si>
    <t>K10TD11</t>
  </si>
  <si>
    <t>SCL-K10 T D-11kW</t>
  </si>
  <si>
    <t>K10TD15</t>
  </si>
  <si>
    <t>SCL-K10 TD-15kW</t>
  </si>
  <si>
    <t>K10TD185</t>
  </si>
  <si>
    <t>SCL-K10 TD-18.5kW</t>
  </si>
  <si>
    <t>K10TS11</t>
  </si>
  <si>
    <t>SCL-K10 TS-11kW</t>
  </si>
  <si>
    <t>K10TS15</t>
  </si>
  <si>
    <t>SCL-K10 TS-15kW</t>
  </si>
  <si>
    <t>K10TS185</t>
  </si>
  <si>
    <t>SCL-K10 TS-18.5kW</t>
  </si>
  <si>
    <t>K11MD11</t>
  </si>
  <si>
    <t>SCL-K11 MD-11kW</t>
  </si>
  <si>
    <t>K11MD75</t>
  </si>
  <si>
    <t>SCL-K11 MD-7.5kW</t>
  </si>
  <si>
    <t>K11MS11</t>
  </si>
  <si>
    <t>SCL-K11 MS-11kW</t>
  </si>
  <si>
    <t>K11MS15</t>
  </si>
  <si>
    <t>SCL-K11 MS-15kW</t>
  </si>
  <si>
    <t>K11MS185</t>
  </si>
  <si>
    <t>SCL-K11 MS-18.5kW</t>
  </si>
  <si>
    <t>K11MS75</t>
  </si>
  <si>
    <t>SCL-K11 MS-7.5kW</t>
  </si>
  <si>
    <t>K11MS92</t>
  </si>
  <si>
    <t>SCL-K11 MS-9.2kW</t>
  </si>
  <si>
    <t>K11TD15</t>
  </si>
  <si>
    <t>SCL-K11 TD-15kW</t>
  </si>
  <si>
    <t>K11TD185</t>
  </si>
  <si>
    <t>SCL-K11 TD-18.5kW</t>
  </si>
  <si>
    <t>K11TS15</t>
  </si>
  <si>
    <t>SCL-K11 TS-15kW</t>
  </si>
  <si>
    <t>K11TS185</t>
  </si>
  <si>
    <t>SCL-K11 TS-18.5kW</t>
  </si>
  <si>
    <t>K11TS22</t>
  </si>
  <si>
    <t>SCL-K11 TS-22kW</t>
  </si>
  <si>
    <t>K12MD11</t>
  </si>
  <si>
    <t>SCL-K12 MD-11kW</t>
  </si>
  <si>
    <t>K12MD15</t>
  </si>
  <si>
    <t>SCL-K12 MD-15kW</t>
  </si>
  <si>
    <t>K12MS11</t>
  </si>
  <si>
    <t>SCL-K12 MS-11kW</t>
  </si>
  <si>
    <t>K12MS15</t>
  </si>
  <si>
    <t>SCL-K12 MS-15kW</t>
  </si>
  <si>
    <t>K12MS185</t>
  </si>
  <si>
    <t>SCL-K12 MS-18.5kW</t>
  </si>
  <si>
    <t>K12MS92</t>
  </si>
  <si>
    <t>SCL-K12 MS-9.2kW</t>
  </si>
  <si>
    <t>K12TD185</t>
  </si>
  <si>
    <t>SCL-K12 TD-18.5kW</t>
  </si>
  <si>
    <t>K75MS4</t>
  </si>
  <si>
    <t>SCL-K75 MS-4kW</t>
  </si>
  <si>
    <t>K75MS55</t>
  </si>
  <si>
    <t>SCL-K75 MS-5.5kW</t>
  </si>
  <si>
    <t>K75MS75</t>
  </si>
  <si>
    <t>SCL-K75 MS-7.5kW</t>
  </si>
  <si>
    <t>SCB0820-1.3kW-M</t>
  </si>
  <si>
    <t>Side Channel Blower - 1.3kW-M - 1 1/2 - 230V</t>
  </si>
  <si>
    <t>SCL-R20MD-0.75kW-400V</t>
  </si>
  <si>
    <t>SCL R20MD 0.75kW 400V BLOWER</t>
  </si>
  <si>
    <t>SR30MD000024</t>
  </si>
  <si>
    <t>SCL R30-MD MOR M.E 1.5KW 1Ph 220V</t>
  </si>
  <si>
    <t>SR30MD000069</t>
  </si>
  <si>
    <t>SCL R30-MD MOR EU M.E 1.5KW 3Ph 380V</t>
  </si>
  <si>
    <t>SR40MD00+0006</t>
  </si>
  <si>
    <t>SCL R40MD</t>
  </si>
  <si>
    <t>VLA3 &amp; RV3</t>
  </si>
  <si>
    <t>VLA3 or RV3 - 1'</t>
  </si>
  <si>
    <t>VRL6</t>
  </si>
  <si>
    <t>VRL6 - 2'</t>
  </si>
  <si>
    <t>VRL8</t>
  </si>
  <si>
    <t>VRL8 - 3'</t>
  </si>
  <si>
    <t>VRL9</t>
  </si>
  <si>
    <t>VRL9 - 4'</t>
  </si>
  <si>
    <t>Fumax 1250.50.H.6.11000.4.3</t>
  </si>
  <si>
    <t>1250 c/w 11KW 4 Pole 400V Motor</t>
  </si>
  <si>
    <t>1609CL</t>
  </si>
  <si>
    <t>160/9 Clamp - to suit, 14mm, 19mm, 24mm and 28mm bore hubs</t>
  </si>
  <si>
    <t>1609H14</t>
  </si>
  <si>
    <t>160/9 Hub - 14mm</t>
  </si>
  <si>
    <t>1609H19</t>
  </si>
  <si>
    <t>160/9 Hub - 19mm</t>
  </si>
  <si>
    <t>1609H24</t>
  </si>
  <si>
    <t>160/9 Hub - 24mm</t>
  </si>
  <si>
    <t>1609H28</t>
  </si>
  <si>
    <t>160/9 Hub - 28mm</t>
  </si>
  <si>
    <t>25012CL</t>
  </si>
  <si>
    <t>250/12 Clamp - to suit, 38mm and 42mm bore hubs</t>
  </si>
  <si>
    <t>25012H19</t>
  </si>
  <si>
    <t>250/12 Hub - 19mm</t>
  </si>
  <si>
    <t>25012H24</t>
  </si>
  <si>
    <t>250/12 Hub - 24mm bore</t>
  </si>
  <si>
    <t>25012H28</t>
  </si>
  <si>
    <t>250/12 Hub - 28mm bore</t>
  </si>
  <si>
    <t>25012H38</t>
  </si>
  <si>
    <t>250/12 Hub - 38mm</t>
  </si>
  <si>
    <t>25012H42</t>
  </si>
  <si>
    <t>250/12 Hub - 42mm</t>
  </si>
  <si>
    <t>Al Blades</t>
  </si>
  <si>
    <t>Aluminium Blades</t>
  </si>
  <si>
    <t>Al Blanks</t>
  </si>
  <si>
    <t>Aluminium Blanks</t>
  </si>
  <si>
    <t>Pl Blades</t>
  </si>
  <si>
    <t>Plastic Blades</t>
  </si>
  <si>
    <t>Pl Blanks</t>
  </si>
  <si>
    <t>Plastic Blanks</t>
  </si>
  <si>
    <t>AXIP450</t>
  </si>
  <si>
    <t>TAXIP F300: 450-5-25</t>
  </si>
  <si>
    <t>Kayites</t>
  </si>
  <si>
    <t>BAF100</t>
  </si>
  <si>
    <t>BAF 100</t>
  </si>
  <si>
    <t>BAF125</t>
  </si>
  <si>
    <t>BAF 125</t>
  </si>
  <si>
    <t>BAF150</t>
  </si>
  <si>
    <t>BAF 150</t>
  </si>
  <si>
    <t>CFD2.5</t>
  </si>
  <si>
    <t>2.5 Amps Speed Controller</t>
  </si>
  <si>
    <t>CRAD190</t>
  </si>
  <si>
    <t>CRAD 190</t>
  </si>
  <si>
    <t>CRAD225</t>
  </si>
  <si>
    <t>CRAD 225</t>
  </si>
  <si>
    <t>CRAD250</t>
  </si>
  <si>
    <t>CRAD 250</t>
  </si>
  <si>
    <t>CRAD280</t>
  </si>
  <si>
    <t>CRAD 280</t>
  </si>
  <si>
    <t>CRAD355</t>
  </si>
  <si>
    <t>CRAD 355</t>
  </si>
  <si>
    <t>CRAD400</t>
  </si>
  <si>
    <t>CRAD 400</t>
  </si>
  <si>
    <t>CRAD450</t>
  </si>
  <si>
    <t>CRAD 450</t>
  </si>
  <si>
    <t>CRAD500</t>
  </si>
  <si>
    <t>CRAD 500</t>
  </si>
  <si>
    <t>CRAD560</t>
  </si>
  <si>
    <t>CRAD 560</t>
  </si>
  <si>
    <t>CRADIK190</t>
  </si>
  <si>
    <t>CRADIK 190</t>
  </si>
  <si>
    <t>CRADIK225</t>
  </si>
  <si>
    <t>CRADIK 225</t>
  </si>
  <si>
    <t>CRADIK250</t>
  </si>
  <si>
    <t>CRADIK 250</t>
  </si>
  <si>
    <t>CRADIK280</t>
  </si>
  <si>
    <t>CRADIK 280</t>
  </si>
  <si>
    <t>CRADIK355</t>
  </si>
  <si>
    <t>CRADIK 355</t>
  </si>
  <si>
    <t>CRADIK400</t>
  </si>
  <si>
    <t>CRADIK 400</t>
  </si>
  <si>
    <t>CRADIK450</t>
  </si>
  <si>
    <t>CRADIK 450</t>
  </si>
  <si>
    <t>CRADIK500</t>
  </si>
  <si>
    <t>CRADIK 500</t>
  </si>
  <si>
    <t>CRADIK560</t>
  </si>
  <si>
    <t>CRADIK 560</t>
  </si>
  <si>
    <t>CUB100</t>
  </si>
  <si>
    <t>CUB 100</t>
  </si>
  <si>
    <t>CUB125</t>
  </si>
  <si>
    <t>CUB 125</t>
  </si>
  <si>
    <t>CUB150</t>
  </si>
  <si>
    <t>CUB 150</t>
  </si>
  <si>
    <t>CUB160</t>
  </si>
  <si>
    <t>CUB 160</t>
  </si>
  <si>
    <t>CUB200</t>
  </si>
  <si>
    <t>CUB 200</t>
  </si>
  <si>
    <t>CUB250</t>
  </si>
  <si>
    <t>CUB 250</t>
  </si>
  <si>
    <t>CUB315</t>
  </si>
  <si>
    <t>CUB 315</t>
  </si>
  <si>
    <t>CUB355</t>
  </si>
  <si>
    <t>CUB 355</t>
  </si>
  <si>
    <t>CUB400</t>
  </si>
  <si>
    <t>CUB 400</t>
  </si>
  <si>
    <t>CUB450</t>
  </si>
  <si>
    <t>CUB 450</t>
  </si>
  <si>
    <t>CUB500</t>
  </si>
  <si>
    <t>CUB 500</t>
  </si>
  <si>
    <t>CUB560</t>
  </si>
  <si>
    <t>CUB 560</t>
  </si>
  <si>
    <t>DAXIS200</t>
  </si>
  <si>
    <t>DAXIS 200</t>
  </si>
  <si>
    <t>DAXIS250</t>
  </si>
  <si>
    <t>DAXIS 250</t>
  </si>
  <si>
    <t>DAXIS300</t>
  </si>
  <si>
    <t>DAXIS 300</t>
  </si>
  <si>
    <t>DAXIS350</t>
  </si>
  <si>
    <t>DAXIS 350</t>
  </si>
  <si>
    <t>DREC450</t>
  </si>
  <si>
    <t>DREC 450</t>
  </si>
  <si>
    <t>JAXI300F400</t>
  </si>
  <si>
    <t>JAXI 300 F400 'C / 2H</t>
  </si>
  <si>
    <t>JAXI315F300</t>
  </si>
  <si>
    <t>JAXI 315 F300 'C / 2H</t>
  </si>
  <si>
    <t>JAXI355F300</t>
  </si>
  <si>
    <t>JAXI 355 F300 'C / 2H</t>
  </si>
  <si>
    <t>JAXI355F400</t>
  </si>
  <si>
    <t>JAXI 355 F400 'C / 2H</t>
  </si>
  <si>
    <t>JAXI400F300</t>
  </si>
  <si>
    <t>JAXI 400 F300 'C / 2H</t>
  </si>
  <si>
    <t>JAXI400F400</t>
  </si>
  <si>
    <t>JAXI 400 F400 'C / 2H</t>
  </si>
  <si>
    <t>JAXI450F300</t>
  </si>
  <si>
    <t>JAXI 450 F300 'C / 2H</t>
  </si>
  <si>
    <t>JAXI450F400</t>
  </si>
  <si>
    <t>JAXI 450 F400 'C / 2H</t>
  </si>
  <si>
    <t>JAXI500F300</t>
  </si>
  <si>
    <t>JAXI 500 F300 'C / 2H</t>
  </si>
  <si>
    <t>JAXI500F400</t>
  </si>
  <si>
    <t>JAXI 500 F400 'C / 2H</t>
  </si>
  <si>
    <t>JRAD50F300</t>
  </si>
  <si>
    <t>JRAD 50 F300 'C / 2H</t>
  </si>
  <si>
    <t>JRAD50F400</t>
  </si>
  <si>
    <t>JRAD 50 F400 'C / 2H</t>
  </si>
  <si>
    <t>JRAD70F300</t>
  </si>
  <si>
    <t>JRAD 70 F300 'C / 2H</t>
  </si>
  <si>
    <t>JRAD70F400</t>
  </si>
  <si>
    <t>JRAD 70 F400 'C / 2H</t>
  </si>
  <si>
    <t>JRAD90F300</t>
  </si>
  <si>
    <t>JRAD 90 F300 'C / 2H</t>
  </si>
  <si>
    <t>JRAD90F400</t>
  </si>
  <si>
    <t>JRAD 90 F400 'C / 2H</t>
  </si>
  <si>
    <t>KAF100</t>
  </si>
  <si>
    <t>KAF 100</t>
  </si>
  <si>
    <t>KAF125</t>
  </si>
  <si>
    <t>KAF 125</t>
  </si>
  <si>
    <t>KAF150</t>
  </si>
  <si>
    <t>KAF 150</t>
  </si>
  <si>
    <t>KAF160</t>
  </si>
  <si>
    <t>KAF 160</t>
  </si>
  <si>
    <t>KAF200</t>
  </si>
  <si>
    <t>KAF 200</t>
  </si>
  <si>
    <t>KAF250</t>
  </si>
  <si>
    <t>KAF 250</t>
  </si>
  <si>
    <t>KAF315</t>
  </si>
  <si>
    <t>KAF 315</t>
  </si>
  <si>
    <t>KAZ120</t>
  </si>
  <si>
    <t>KAZ 120</t>
  </si>
  <si>
    <t>KAZ140</t>
  </si>
  <si>
    <t>KAZ 140</t>
  </si>
  <si>
    <t>KAZ160</t>
  </si>
  <si>
    <t>KAZ 160</t>
  </si>
  <si>
    <t>KDAXIS200</t>
  </si>
  <si>
    <t>KDAXIS 200</t>
  </si>
  <si>
    <t>KDAXIS250</t>
  </si>
  <si>
    <t>KDAXIS 250</t>
  </si>
  <si>
    <t>KDAXIS300</t>
  </si>
  <si>
    <t>KDAXIS 300</t>
  </si>
  <si>
    <t>KDAXIS350</t>
  </si>
  <si>
    <t>KDAXIS 350</t>
  </si>
  <si>
    <t>KSA-300-4K-M</t>
  </si>
  <si>
    <t>KSA-350-4K-M</t>
  </si>
  <si>
    <t>KSA4004M</t>
  </si>
  <si>
    <t>KSA-400-4K-M-220V</t>
  </si>
  <si>
    <t>KSA4004T</t>
  </si>
  <si>
    <t>KSA-400-4K-T-380V</t>
  </si>
  <si>
    <t>KSA4504M</t>
  </si>
  <si>
    <t>KSA-450-4K-M-220V</t>
  </si>
  <si>
    <t>KSA4504T</t>
  </si>
  <si>
    <t>KSA-450-4K-T-380V</t>
  </si>
  <si>
    <t>KSA5004M</t>
  </si>
  <si>
    <t>KSA-500-4K-M-220V</t>
  </si>
  <si>
    <t>KSA5004T</t>
  </si>
  <si>
    <t>KSA-500-4K-T-380V</t>
  </si>
  <si>
    <t>KSA5504M</t>
  </si>
  <si>
    <t>KSA-550-4K-M-220V</t>
  </si>
  <si>
    <t>KSA5504T</t>
  </si>
  <si>
    <t>KSA-550-4K-T-380V</t>
  </si>
  <si>
    <t>KSA6004M</t>
  </si>
  <si>
    <t>KSA-600-4K-M-220V</t>
  </si>
  <si>
    <t>KSA6004T</t>
  </si>
  <si>
    <t>KSA-600-4K-T-380V</t>
  </si>
  <si>
    <t>MRAD315</t>
  </si>
  <si>
    <t>MRAD 315</t>
  </si>
  <si>
    <t>RAD100</t>
  </si>
  <si>
    <t>RAD 100</t>
  </si>
  <si>
    <t>RAD125</t>
  </si>
  <si>
    <t>RAD 125</t>
  </si>
  <si>
    <t>RAD150</t>
  </si>
  <si>
    <t>RAD 150</t>
  </si>
  <si>
    <t>RAD160</t>
  </si>
  <si>
    <t>RAD 160</t>
  </si>
  <si>
    <t>RAD200</t>
  </si>
  <si>
    <t>RAD 200</t>
  </si>
  <si>
    <t>RAD250</t>
  </si>
  <si>
    <t>RAD 250</t>
  </si>
  <si>
    <t>RAD315</t>
  </si>
  <si>
    <t>RAD 315</t>
  </si>
  <si>
    <t>RAD355</t>
  </si>
  <si>
    <t>RAD 355</t>
  </si>
  <si>
    <t>REC10050</t>
  </si>
  <si>
    <t>REC 100-50</t>
  </si>
  <si>
    <t>REC3015</t>
  </si>
  <si>
    <t>REC 30-15</t>
  </si>
  <si>
    <t>REC4020A</t>
  </si>
  <si>
    <t>REC 40-20 A</t>
  </si>
  <si>
    <t>REC4020B</t>
  </si>
  <si>
    <t>REC 40-20 B</t>
  </si>
  <si>
    <t>REC5025</t>
  </si>
  <si>
    <t>REC 50-25</t>
  </si>
  <si>
    <t>REC6030</t>
  </si>
  <si>
    <t>REC 60-30</t>
  </si>
  <si>
    <t>REC6035</t>
  </si>
  <si>
    <t>REC 60-35</t>
  </si>
  <si>
    <t>REC7040</t>
  </si>
  <si>
    <t>REC 70-40</t>
  </si>
  <si>
    <t>REC8050</t>
  </si>
  <si>
    <t>REC 80-50</t>
  </si>
  <si>
    <t>SAL280</t>
  </si>
  <si>
    <t>SAL 280</t>
  </si>
  <si>
    <t>SAL315</t>
  </si>
  <si>
    <t>SAL 315</t>
  </si>
  <si>
    <t>SAL355</t>
  </si>
  <si>
    <t>SAL 355</t>
  </si>
  <si>
    <t>SAL400</t>
  </si>
  <si>
    <t>SAL 400</t>
  </si>
  <si>
    <t>SAL450</t>
  </si>
  <si>
    <t>SAL 450</t>
  </si>
  <si>
    <t>SAL500</t>
  </si>
  <si>
    <t>SAL 500</t>
  </si>
  <si>
    <t>SAL560</t>
  </si>
  <si>
    <t>SAL 560</t>
  </si>
  <si>
    <t>SAL630</t>
  </si>
  <si>
    <t>SAL 630</t>
  </si>
  <si>
    <t>SAL710</t>
  </si>
  <si>
    <t>SAL 710</t>
  </si>
  <si>
    <t>SEF100</t>
  </si>
  <si>
    <t>SEF 100</t>
  </si>
  <si>
    <t>SEF125</t>
  </si>
  <si>
    <t>SOF250</t>
  </si>
  <si>
    <t>SOF 250</t>
  </si>
  <si>
    <t>SOF300</t>
  </si>
  <si>
    <t>SOF 300</t>
  </si>
  <si>
    <t>SOF350</t>
  </si>
  <si>
    <t>SOF 350</t>
  </si>
  <si>
    <t>SOF400</t>
  </si>
  <si>
    <t>SOF 400</t>
  </si>
  <si>
    <t>SOF450</t>
  </si>
  <si>
    <t>SOF 450</t>
  </si>
  <si>
    <t>SOF500</t>
  </si>
  <si>
    <t>SOF 500</t>
  </si>
  <si>
    <t>SOF630</t>
  </si>
  <si>
    <t>SOF 630</t>
  </si>
  <si>
    <t>YUF150</t>
  </si>
  <si>
    <t>CAP0.14220</t>
  </si>
  <si>
    <t>New Capacitor suitable for 60hz 0.1kw 1430rpm 230V</t>
  </si>
  <si>
    <t>Luck and King</t>
  </si>
  <si>
    <t>RW0.14220</t>
  </si>
  <si>
    <t>Rewind 0.1Kw 1430rpm 230V Motor Suitable for 60Hz Operation</t>
  </si>
  <si>
    <t>1000MF</t>
  </si>
  <si>
    <t>1000 Diam Mounting Feet</t>
  </si>
  <si>
    <t>1000MFUG</t>
  </si>
  <si>
    <t>1000 Diam Mounting Feet Ungalvanized</t>
  </si>
  <si>
    <t>315MF</t>
  </si>
  <si>
    <t>315 Diam Mounting Feet</t>
  </si>
  <si>
    <t>400MF</t>
  </si>
  <si>
    <t>400 Diam Mounting Feet</t>
  </si>
  <si>
    <t>500MF</t>
  </si>
  <si>
    <t>500 Diam Mounting Feet</t>
  </si>
  <si>
    <t>500MFUG</t>
  </si>
  <si>
    <t>500 Diam Mounting Feet Ungalvanized</t>
  </si>
  <si>
    <t>560MF</t>
  </si>
  <si>
    <t>560 Diam Mounting Feet</t>
  </si>
  <si>
    <t>560MFUG</t>
  </si>
  <si>
    <t>560 Diam Mounting Feet Ungalvanized</t>
  </si>
  <si>
    <t>630MF</t>
  </si>
  <si>
    <t>630 Diam Mounting Feet</t>
  </si>
  <si>
    <t>630MFUG</t>
  </si>
  <si>
    <t>630 Diam Mounting Feet Ungalvanized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</si>
  <si>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</si>
  <si>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</si>
  <si>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</si>
  <si>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</si>
  <si>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</si>
  <si>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</si>
  <si>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</si>
  <si>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Ungalvanized</t>
  </si>
  <si>
    <t>900MF</t>
  </si>
  <si>
    <t>900 Diam Mounting Feet</t>
  </si>
  <si>
    <t>900MFUG</t>
  </si>
  <si>
    <t>900 Diam Mounting Feet Ungalvanized</t>
  </si>
  <si>
    <t>Callout</t>
  </si>
  <si>
    <t>Lime Laser service</t>
  </si>
  <si>
    <t>Kilometer</t>
  </si>
  <si>
    <t>Travelled Kilometers</t>
  </si>
  <si>
    <t>Toll</t>
  </si>
  <si>
    <t>0.2543PM</t>
  </si>
  <si>
    <t>0.25kW 4P 380V Pad Mount Motor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</si>
  <si>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</si>
  <si>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</si>
  <si>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</si>
  <si>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</si>
  <si>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</si>
  <si>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</si>
  <si>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</si>
  <si>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</si>
  <si>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</si>
  <si>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</si>
  <si>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</si>
  <si>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</si>
  <si>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</si>
  <si>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</si>
  <si>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</si>
  <si>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</si>
  <si>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</si>
  <si>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</si>
  <si>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</si>
  <si>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</si>
  <si>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</si>
  <si>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</si>
  <si>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</si>
  <si>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</si>
  <si>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</si>
  <si>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</si>
  <si>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</si>
  <si>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</si>
  <si>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</si>
  <si>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</si>
  <si>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</si>
  <si>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</si>
  <si>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</si>
  <si>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</si>
  <si>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</si>
  <si>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</si>
  <si>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</si>
  <si>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380V Pad Mount Motor</t>
  </si>
  <si>
    <t>7.543PM</t>
  </si>
  <si>
    <t>7.5kW 4P 380V Pad Mount Motor</t>
  </si>
  <si>
    <t>1010521</t>
  </si>
  <si>
    <t>AT 10/10 SC - Single Unit</t>
  </si>
  <si>
    <t>1010522</t>
  </si>
  <si>
    <t>AT 10/10 SC2 - Double Unit</t>
  </si>
  <si>
    <t>1212521</t>
  </si>
  <si>
    <t>AT 12/12 SC - Single Unit</t>
  </si>
  <si>
    <t>1212522</t>
  </si>
  <si>
    <t>AT 12/12 SC2 - Double Unit</t>
  </si>
  <si>
    <t>129521</t>
  </si>
  <si>
    <t>AT 12/9 SC - Single Unit</t>
  </si>
  <si>
    <t>129522</t>
  </si>
  <si>
    <t>AT 12/9 SC2 - Double Unit</t>
  </si>
  <si>
    <t>1511521</t>
  </si>
  <si>
    <t>AT 15/11 SC - Single Unit</t>
  </si>
  <si>
    <t>1515521</t>
  </si>
  <si>
    <t>AT 15/15 SC - Single Unit</t>
  </si>
  <si>
    <t>Regal Beloit Italy S.p.A - Nicotra .</t>
  </si>
  <si>
    <t>1515522</t>
  </si>
  <si>
    <t>AT 15/15 SC2 - Double Unit</t>
  </si>
  <si>
    <t>1813521</t>
  </si>
  <si>
    <t>AT 18/13 SC - Single Unit</t>
  </si>
  <si>
    <t>1818521</t>
  </si>
  <si>
    <t>AT 18/18 SC - Single Unit</t>
  </si>
  <si>
    <t>Apache Manufacturing CC</t>
  </si>
  <si>
    <t>1818522</t>
  </si>
  <si>
    <t>AT 18/18 SC2 - Double Unit</t>
  </si>
  <si>
    <t>6038M104</t>
  </si>
  <si>
    <t>AT18/18 AR 035 PHASE</t>
  </si>
  <si>
    <t>Air Movement Supplies</t>
  </si>
  <si>
    <t>610303</t>
  </si>
  <si>
    <t>DD 7-7 - 610303 - 62W 6P 230V-1Ph</t>
  </si>
  <si>
    <t>610318</t>
  </si>
  <si>
    <t>DD 12/9 - 610318 - 1100W 6P 400V - 3Ph</t>
  </si>
  <si>
    <t>610633</t>
  </si>
  <si>
    <t>DD 7/7 - 610633 - 147W 4P 230V-1Ph</t>
  </si>
  <si>
    <t>6A102FFZZ0000000</t>
  </si>
  <si>
    <t>AT 25/25 TIC 40</t>
  </si>
  <si>
    <t>6DA003KZZ0000000</t>
  </si>
  <si>
    <t>DDMP 8/7 T M6A0 DA5</t>
  </si>
  <si>
    <t>6E21001</t>
  </si>
  <si>
    <t>RDHEO/0180</t>
  </si>
  <si>
    <t>6H2108DZZ0000000</t>
  </si>
  <si>
    <t>RDH 710 K2</t>
  </si>
  <si>
    <t>6M020K</t>
  </si>
  <si>
    <t>DDM 9/7 6M020K - 300W 4P 400V-3Ph</t>
  </si>
  <si>
    <t>6M020M</t>
  </si>
  <si>
    <t>DDM 9/7 - 6M020M - 550W 4P 230V-1Ph</t>
  </si>
  <si>
    <t>6M0247</t>
  </si>
  <si>
    <t>DDM 9/7 - 6M0247 - 200W 6P 230V-1Ph</t>
  </si>
  <si>
    <t>6M0299</t>
  </si>
  <si>
    <t>DDM 7/7 - 6M0299 - 300W 4P 230V-1Ph</t>
  </si>
  <si>
    <t>6M02H0</t>
  </si>
  <si>
    <t>DDM 10/10 - 6M02H0 - 600W 4P 220V-1Ph</t>
  </si>
  <si>
    <t>6M02H4</t>
  </si>
  <si>
    <t>DDM 10/8 - 6M02H4 - 550W 4P 230V-1Ph</t>
  </si>
  <si>
    <t>6M02H5</t>
  </si>
  <si>
    <t>DDM 10/8 - 6M02H5 - 600W 4P 380V</t>
  </si>
  <si>
    <t>6M02P4</t>
  </si>
  <si>
    <t>DDM 10/10 - 6M02P4 - 550W 4P 230V-1Ph</t>
  </si>
  <si>
    <t>6M02R7</t>
  </si>
  <si>
    <t>DDM 10/10 - 6M02R7 - 500W 6P 230V-1Ph</t>
  </si>
  <si>
    <t>6M02R9</t>
  </si>
  <si>
    <t>DDM 9/9 - 6M02R9 - 550W 4P 220V-1Ph</t>
  </si>
  <si>
    <t>6M0312</t>
  </si>
  <si>
    <t>DD 10/8 - 6M0312 - 245W 6P 220V - 1Ph</t>
  </si>
  <si>
    <t>6M0607</t>
  </si>
  <si>
    <t>DD 12/9 - 6M0607 - 590W 6P 400V - 3Ph</t>
  </si>
  <si>
    <t>6M061U</t>
  </si>
  <si>
    <t>DD 10/10 - 6M061U - 550W 6P 220V - 1Ph</t>
  </si>
  <si>
    <t>6M0629</t>
  </si>
  <si>
    <t>DD 9/7 - 6M0629 - 373W 4P 220V - 13Ph</t>
  </si>
  <si>
    <t>6M0631</t>
  </si>
  <si>
    <t>DD 10/8 - 6M0631 - 373W 4P 220V - 1Ph</t>
  </si>
  <si>
    <t>6M066N</t>
  </si>
  <si>
    <t>DD 9/9 - 6M066N - 550W 4P 220V - 1Ph</t>
  </si>
  <si>
    <t>6M0679</t>
  </si>
  <si>
    <t>DD 10/10 - 6M0679 - 500W - 6P 220V - 1Ph</t>
  </si>
  <si>
    <t>6M0690</t>
  </si>
  <si>
    <t>DD 9/7 - 6M0690 - 245W 6P 220V - 13Ph</t>
  </si>
  <si>
    <t>6M0697</t>
  </si>
  <si>
    <t>DD 9/9 - 6M0697 - 300W 4P 220V - 1Ph</t>
  </si>
  <si>
    <t>6M0698</t>
  </si>
  <si>
    <t>DD 9/9 - 6M0698 - 248W 6P 220V - 1Ph</t>
  </si>
  <si>
    <t>6M06WA</t>
  </si>
  <si>
    <t>DD9/9 4PIP - 370W</t>
  </si>
  <si>
    <t>6N0320</t>
  </si>
  <si>
    <t>DD 12/12 - 6N0320 - 1100W 6P 400V 3Ph</t>
  </si>
  <si>
    <t>77521</t>
  </si>
  <si>
    <t>AT 7/7 SC - Single Unit</t>
  </si>
  <si>
    <t>97521</t>
  </si>
  <si>
    <t>AT 9/7 SC - Single Unit</t>
  </si>
  <si>
    <t>99521</t>
  </si>
  <si>
    <t>AT 9/9 SC - Single Unit</t>
  </si>
  <si>
    <t>AT 12/9 SC/BD</t>
  </si>
  <si>
    <t>AT 12/9 SC - Single Unit, Belt drive C/W 4kW 4P 380V FM</t>
  </si>
  <si>
    <t>D100019</t>
  </si>
  <si>
    <t>BD 9/9 - M4 0.35KW 230V - 500HZ STC</t>
  </si>
  <si>
    <t>D100020</t>
  </si>
  <si>
    <t>DDM 9/9 6P</t>
  </si>
  <si>
    <t>D100021</t>
  </si>
  <si>
    <t>DDM 10/8 245W 230V 6P 6M0648</t>
  </si>
  <si>
    <t>D100022</t>
  </si>
  <si>
    <t>DDM 10/8 600KW 6N 0220/01</t>
  </si>
  <si>
    <t>D100023</t>
  </si>
  <si>
    <t>BD 12/12 T6 1.1KW 230V/400 50HZ LPC</t>
  </si>
  <si>
    <t>D100024</t>
  </si>
  <si>
    <t>BD 12/9 M6 0.76KW 230V/58HZ STC</t>
  </si>
  <si>
    <t>D100026</t>
  </si>
  <si>
    <t>MBP 35 2.2KW 380V</t>
  </si>
  <si>
    <t>7000034</t>
  </si>
  <si>
    <t>CDC 100 - 7000034 - CDC 100C</t>
  </si>
  <si>
    <t>7000037</t>
  </si>
  <si>
    <t>CDC 125 - 7000037 - CDC 125C</t>
  </si>
  <si>
    <t>7000043</t>
  </si>
  <si>
    <t>CDC 150 - 7000043 - CDC 150C</t>
  </si>
  <si>
    <t>7000048</t>
  </si>
  <si>
    <t>CDC 160 - 7000048 - CDC160B</t>
  </si>
  <si>
    <t>7000053</t>
  </si>
  <si>
    <t>CDC 200/0.8 - 7000053 - CDC200A</t>
  </si>
  <si>
    <t>7000057</t>
  </si>
  <si>
    <t>CDC 200/0.8 - 7000057 - CDC200B</t>
  </si>
  <si>
    <t>7000059</t>
  </si>
  <si>
    <t>CDC 250 - 7000059 - CDC250C</t>
  </si>
  <si>
    <t>7000067</t>
  </si>
  <si>
    <t>CDC315 - 7000067 - CDC315B</t>
  </si>
  <si>
    <t>7000072</t>
  </si>
  <si>
    <t>CDC315 - 7000072 - CDC315C</t>
  </si>
  <si>
    <t>7000073</t>
  </si>
  <si>
    <t>LT6 - 6Amps</t>
  </si>
  <si>
    <t>7000074</t>
  </si>
  <si>
    <t>LT10 - 10 Amps</t>
  </si>
  <si>
    <t>D100027</t>
  </si>
  <si>
    <t>CDC 125A</t>
  </si>
  <si>
    <t>D100028</t>
  </si>
  <si>
    <t>CDC 150B</t>
  </si>
  <si>
    <t>PAINT-WORKS</t>
  </si>
  <si>
    <t>SPRAY PAINT INLET CONES</t>
  </si>
  <si>
    <t>1000005</t>
  </si>
  <si>
    <t>TURBINA CMP 616 14 LG (Impeller for CMP616-2T-0.75 230/400V)</t>
  </si>
  <si>
    <t>SODECA</t>
  </si>
  <si>
    <t>1000012</t>
  </si>
  <si>
    <t>HCD 20 4M</t>
  </si>
  <si>
    <t>1000013</t>
  </si>
  <si>
    <t>HCD 25 4M</t>
  </si>
  <si>
    <t>1000015</t>
  </si>
  <si>
    <t>HCD 30 4M</t>
  </si>
  <si>
    <t>1000016</t>
  </si>
  <si>
    <t>HCD 35 4M</t>
  </si>
  <si>
    <t>1000039</t>
  </si>
  <si>
    <t>HCT-25-2M/PL</t>
  </si>
  <si>
    <t>1000040</t>
  </si>
  <si>
    <t>HCT-25-2T/PL</t>
  </si>
  <si>
    <t>1000043</t>
  </si>
  <si>
    <t>HCT-25-4M/PL</t>
  </si>
  <si>
    <t>1000044</t>
  </si>
  <si>
    <t>HCT-25-4T/PL</t>
  </si>
  <si>
    <t>1000046</t>
  </si>
  <si>
    <t>HCT-31-2M/PL</t>
  </si>
  <si>
    <t>1000047</t>
  </si>
  <si>
    <t>HCT-31-2T/PL</t>
  </si>
  <si>
    <t>1000049</t>
  </si>
  <si>
    <t>HCT-31-4M/PL</t>
  </si>
  <si>
    <t>1000050</t>
  </si>
  <si>
    <t>HCT-31-4T/PL</t>
  </si>
  <si>
    <t>1000051</t>
  </si>
  <si>
    <t>HCT-35-2M/PL</t>
  </si>
  <si>
    <t>1000052</t>
  </si>
  <si>
    <t>HCT-35-2T/PL</t>
  </si>
  <si>
    <t>1000054</t>
  </si>
  <si>
    <t>HCT-35-4M/PL</t>
  </si>
  <si>
    <t>1000055</t>
  </si>
  <si>
    <t>HCT-35-4T/PL</t>
  </si>
  <si>
    <t>1002948</t>
  </si>
  <si>
    <t>HCT-40-4T-0.33/PL</t>
  </si>
  <si>
    <t>1005876</t>
  </si>
  <si>
    <t>HTM-45-4M</t>
  </si>
  <si>
    <t>1005877</t>
  </si>
  <si>
    <t>HTM-45-4T</t>
  </si>
  <si>
    <t>1005878</t>
  </si>
  <si>
    <t>HTM-56-4M</t>
  </si>
  <si>
    <t>1005879</t>
  </si>
  <si>
    <t>HTM-56-4T</t>
  </si>
  <si>
    <t>1005880</t>
  </si>
  <si>
    <t>HTM-63-4T IE3</t>
  </si>
  <si>
    <t>1006313</t>
  </si>
  <si>
    <t>HCDF-31-4T / ATEX / EXII2G Ex d</t>
  </si>
  <si>
    <t>1006315</t>
  </si>
  <si>
    <t>HCDF 35 - 4T - Flameproof</t>
  </si>
  <si>
    <t>1006317</t>
  </si>
  <si>
    <t>HCDF 40 - 4T - Flameproof</t>
  </si>
  <si>
    <t>1006319</t>
  </si>
  <si>
    <t>HCDF 45 - 4T - Flameproof</t>
  </si>
  <si>
    <t>1006321</t>
  </si>
  <si>
    <t>HCDF 50 - 4T - Flameproof</t>
  </si>
  <si>
    <t>1006323</t>
  </si>
  <si>
    <t>HCDF 56 - 4T - Flameproof</t>
  </si>
  <si>
    <t>1007944</t>
  </si>
  <si>
    <t>CPV 1020 4T</t>
  </si>
  <si>
    <t>1007947</t>
  </si>
  <si>
    <t>CPV 1325 4T</t>
  </si>
  <si>
    <t>1007957</t>
  </si>
  <si>
    <t>CPV 1020 2TIE3</t>
  </si>
  <si>
    <t>1007960</t>
  </si>
  <si>
    <t>CPV 1325 2TIE3</t>
  </si>
  <si>
    <t>1008011</t>
  </si>
  <si>
    <t>CPV/ATEX-1325-2T/2G Ex db</t>
  </si>
  <si>
    <t>1008843</t>
  </si>
  <si>
    <t>CMA-218-2M</t>
  </si>
  <si>
    <t>1008844</t>
  </si>
  <si>
    <t>CMA-218-2T</t>
  </si>
  <si>
    <t>1008847</t>
  </si>
  <si>
    <t>CMA-324-2M</t>
  </si>
  <si>
    <t>1008849</t>
  </si>
  <si>
    <t>CMA-324-2T</t>
  </si>
  <si>
    <t>1008851</t>
  </si>
  <si>
    <t>CMA-325-2M</t>
  </si>
  <si>
    <t>1008852</t>
  </si>
  <si>
    <t>CMA-325-2T</t>
  </si>
  <si>
    <t>1008854</t>
  </si>
  <si>
    <t>CMA-426-2M</t>
  </si>
  <si>
    <t>1008856</t>
  </si>
  <si>
    <t>CMA-426-2T</t>
  </si>
  <si>
    <t>1008860</t>
  </si>
  <si>
    <t>CMA-527-2M</t>
  </si>
  <si>
    <t>1008861</t>
  </si>
  <si>
    <t>CMA-527-2T</t>
  </si>
  <si>
    <t>1008864</t>
  </si>
  <si>
    <t>CMA-528-2M - 1.5</t>
  </si>
  <si>
    <t>1008867</t>
  </si>
  <si>
    <t>CMA-531-2M-2</t>
  </si>
  <si>
    <t>1008870</t>
  </si>
  <si>
    <t>CMA-528-2T-1.5 IE3</t>
  </si>
  <si>
    <t>1008871</t>
  </si>
  <si>
    <t>CMA-528-2T-1 IE3</t>
  </si>
  <si>
    <t>1008873</t>
  </si>
  <si>
    <t>CMA-531-2T-1.5 IE3</t>
  </si>
  <si>
    <t>1008874</t>
  </si>
  <si>
    <t>CMA-531-2T-2 IE3</t>
  </si>
  <si>
    <t>1008875</t>
  </si>
  <si>
    <t>CMA-531-2T-3 IE3</t>
  </si>
  <si>
    <t>1008876</t>
  </si>
  <si>
    <t>CMA-545-2T-4 c/w 3.0KW 2P 400V</t>
  </si>
  <si>
    <t>1008985</t>
  </si>
  <si>
    <t>CMAT 531-2T</t>
  </si>
  <si>
    <t>1010135</t>
  </si>
  <si>
    <t>CA-160-2T-2 230/400V. IE3</t>
  </si>
  <si>
    <t>1010154</t>
  </si>
  <si>
    <t>CA-172-2T-7.5 400/690V. IE3</t>
  </si>
  <si>
    <t>1010396</t>
  </si>
  <si>
    <t>CAM 540 2T</t>
  </si>
  <si>
    <t>1010401</t>
  </si>
  <si>
    <t>CAM 545 2T 4 c/w 3.0kw 2P 400V</t>
  </si>
  <si>
    <t>1010407</t>
  </si>
  <si>
    <t>CAM 550 2T 7.5</t>
  </si>
  <si>
    <t>1010596</t>
  </si>
  <si>
    <t>CAS 254 - 2T - 3</t>
  </si>
  <si>
    <t>1010606</t>
  </si>
  <si>
    <t>CAS 463 - 2T - 7.5</t>
  </si>
  <si>
    <t>1011200</t>
  </si>
  <si>
    <t>CAS 863 - 2T</t>
  </si>
  <si>
    <t>1012391</t>
  </si>
  <si>
    <t>CMP 38 2M</t>
  </si>
  <si>
    <t>1012398</t>
  </si>
  <si>
    <t>CMP 512 2M</t>
  </si>
  <si>
    <t>1012411</t>
  </si>
  <si>
    <t>CMP 512 2T</t>
  </si>
  <si>
    <t>1012446</t>
  </si>
  <si>
    <t>CMP 514 2M</t>
  </si>
  <si>
    <t>1012461</t>
  </si>
  <si>
    <t>CMP 514 2T</t>
  </si>
  <si>
    <t>1012504</t>
  </si>
  <si>
    <t>CMP 616 2M</t>
  </si>
  <si>
    <t>1012516</t>
  </si>
  <si>
    <t>CMP 616 2T</t>
  </si>
  <si>
    <t>1012549</t>
  </si>
  <si>
    <t>CMP 616-4T</t>
  </si>
  <si>
    <t>1012571</t>
  </si>
  <si>
    <t>CMP 718 2M</t>
  </si>
  <si>
    <t>1012594</t>
  </si>
  <si>
    <t>CMP 820 2M</t>
  </si>
  <si>
    <t>1012607</t>
  </si>
  <si>
    <t>CMP 820 4T</t>
  </si>
  <si>
    <t>1012658</t>
  </si>
  <si>
    <t>CMP 718 2T</t>
  </si>
  <si>
    <t>1012671</t>
  </si>
  <si>
    <t>CMP 820 2T</t>
  </si>
  <si>
    <t>1012695</t>
  </si>
  <si>
    <t>CMP 1025 2T 3</t>
  </si>
  <si>
    <t>1016614</t>
  </si>
  <si>
    <t>HEP-31-2M/H 220-240V</t>
  </si>
  <si>
    <t>1017052</t>
  </si>
  <si>
    <t>HC-25-2M/H</t>
  </si>
  <si>
    <t>1017059</t>
  </si>
  <si>
    <t>HC-25-2T/H</t>
  </si>
  <si>
    <t>1017069</t>
  </si>
  <si>
    <t>HC-25-4M/H</t>
  </si>
  <si>
    <t>1017074</t>
  </si>
  <si>
    <t>HC-25-4T/H</t>
  </si>
  <si>
    <t>1017082</t>
  </si>
  <si>
    <t>HC-31-2M/H</t>
  </si>
  <si>
    <t>1017086</t>
  </si>
  <si>
    <t>HC-31-2T/H</t>
  </si>
  <si>
    <t>1017097</t>
  </si>
  <si>
    <t>HC-31-4M/H</t>
  </si>
  <si>
    <t>1017099</t>
  </si>
  <si>
    <t>HC-31-4T/H</t>
  </si>
  <si>
    <t>1017103</t>
  </si>
  <si>
    <t>HC-35-2T/H</t>
  </si>
  <si>
    <t>1017106</t>
  </si>
  <si>
    <t>HC-35-4M/H</t>
  </si>
  <si>
    <t>1017112</t>
  </si>
  <si>
    <t>HC-35-4T/H</t>
  </si>
  <si>
    <t>1017125</t>
  </si>
  <si>
    <t>HC-40-4M/H</t>
  </si>
  <si>
    <t>1017127</t>
  </si>
  <si>
    <t>HC-40-4T/H</t>
  </si>
  <si>
    <t>1017129</t>
  </si>
  <si>
    <t>HC-40-6M/H</t>
  </si>
  <si>
    <t>1017130</t>
  </si>
  <si>
    <t>HC-40-6T/H</t>
  </si>
  <si>
    <t>1017131</t>
  </si>
  <si>
    <t>HC-45-4M/H</t>
  </si>
  <si>
    <t>1017134</t>
  </si>
  <si>
    <t>HC-45-4T/H</t>
  </si>
  <si>
    <t>1017138</t>
  </si>
  <si>
    <t>HC-45-6M/H</t>
  </si>
  <si>
    <t>1017139</t>
  </si>
  <si>
    <t>HC-45-6T/H</t>
  </si>
  <si>
    <t>1017140</t>
  </si>
  <si>
    <t>HC-50-4M/H</t>
  </si>
  <si>
    <t>1017142</t>
  </si>
  <si>
    <t>HC-50-4T/H</t>
  </si>
  <si>
    <t>1017147</t>
  </si>
  <si>
    <t>HC-50-6M/H</t>
  </si>
  <si>
    <t>1017148</t>
  </si>
  <si>
    <t>HC-50-6T/H</t>
  </si>
  <si>
    <t>1017154</t>
  </si>
  <si>
    <t>HC-56-6M/H</t>
  </si>
  <si>
    <t>1017155</t>
  </si>
  <si>
    <t>HC-56-6T/H</t>
  </si>
  <si>
    <t>1017159</t>
  </si>
  <si>
    <t>HC-63-6M/H</t>
  </si>
  <si>
    <t>1017160</t>
  </si>
  <si>
    <t>HC-63-6T/H</t>
  </si>
  <si>
    <t>1017177</t>
  </si>
  <si>
    <t>HC-56-4T/H IE3</t>
  </si>
  <si>
    <t>1017179</t>
  </si>
  <si>
    <t>HC-63-4T/H IE3</t>
  </si>
  <si>
    <t>1028560</t>
  </si>
  <si>
    <t>HCT-35-4T/ATEX/2G Ex db 230/400V</t>
  </si>
  <si>
    <t>1028561</t>
  </si>
  <si>
    <t>HCT-40-2T-1.5/ATEX/2G Ex db 230/400V</t>
  </si>
  <si>
    <t>1028566</t>
  </si>
  <si>
    <t>HCT-50-4T-0.75/ATEX/2G Ex db 230/400V</t>
  </si>
  <si>
    <t>1028584</t>
  </si>
  <si>
    <t>HCT-71-4T-3/ATEX/2G Ex db 230/400V</t>
  </si>
  <si>
    <t>1029359</t>
  </si>
  <si>
    <t>CMP-616-4T/ATEX/2G Ex db 230/400V</t>
  </si>
  <si>
    <t>103453</t>
  </si>
  <si>
    <t>HGT-125-6T/9-10 400/690V. IE3</t>
  </si>
  <si>
    <t>1034783</t>
  </si>
  <si>
    <t>NEOLINEO-125/V</t>
  </si>
  <si>
    <t>1034784</t>
  </si>
  <si>
    <t>NEOLINEO-150/V</t>
  </si>
  <si>
    <t>1034786</t>
  </si>
  <si>
    <t>NEOLINEO-200/V</t>
  </si>
  <si>
    <t>1034787</t>
  </si>
  <si>
    <t>NEOLINEO-250/V</t>
  </si>
  <si>
    <t>1034788</t>
  </si>
  <si>
    <t>NEOLINEO-315/V</t>
  </si>
  <si>
    <t>1061997</t>
  </si>
  <si>
    <t>CAS-467-2T - 10/INOX-304 150Degree 400/690V. IE3</t>
  </si>
  <si>
    <t>1105306</t>
  </si>
  <si>
    <t>CMP-1128-2T-5.5/S/PIE RD 230/400V. IE3</t>
  </si>
  <si>
    <t>1129393</t>
  </si>
  <si>
    <t>CA/LINE-10</t>
  </si>
  <si>
    <t>1129394</t>
  </si>
  <si>
    <t>CA/LINE-12</t>
  </si>
  <si>
    <t>1129395</t>
  </si>
  <si>
    <t>CA/LINE-15</t>
  </si>
  <si>
    <t>1129396</t>
  </si>
  <si>
    <t>CA/LINE-20</t>
  </si>
  <si>
    <t>1129397</t>
  </si>
  <si>
    <t>CA/LINE-25</t>
  </si>
  <si>
    <t>D100001</t>
  </si>
  <si>
    <t>CMP-1128-4T</t>
  </si>
  <si>
    <t>D100002</t>
  </si>
  <si>
    <t>HAT-28-4M</t>
  </si>
  <si>
    <t>D100003</t>
  </si>
  <si>
    <t>HAT-35-4T</t>
  </si>
  <si>
    <t>D100004</t>
  </si>
  <si>
    <t>HAT-35-2M</t>
  </si>
  <si>
    <t>D100005</t>
  </si>
  <si>
    <t>CAM-550-2T 5.5</t>
  </si>
  <si>
    <t>D100006</t>
  </si>
  <si>
    <t>HJBM PLUS 45 - T4 0.55KW</t>
  </si>
  <si>
    <t>D100007</t>
  </si>
  <si>
    <t>HJBM 40 M4 0.25</t>
  </si>
  <si>
    <t>D100008</t>
  </si>
  <si>
    <t>HJBM 50 T4 0.55</t>
  </si>
  <si>
    <t>D100009</t>
  </si>
  <si>
    <t>CA/LINE 355 220-240V</t>
  </si>
  <si>
    <t>D100010</t>
  </si>
  <si>
    <t>VKAP 100 LD 3.0</t>
  </si>
  <si>
    <t>D100011</t>
  </si>
  <si>
    <t>SV-150-H</t>
  </si>
  <si>
    <t>D100012</t>
  </si>
  <si>
    <t>HAT-24-4M</t>
  </si>
  <si>
    <t>D100013</t>
  </si>
  <si>
    <t>CA-LINE-12</t>
  </si>
  <si>
    <t>D100014</t>
  </si>
  <si>
    <t>CA-LINE-15</t>
  </si>
  <si>
    <t>D100015</t>
  </si>
  <si>
    <t>CA-LINE-20</t>
  </si>
  <si>
    <t>D100016</t>
  </si>
  <si>
    <t>NEOSILENT 200</t>
  </si>
  <si>
    <t>D100017</t>
  </si>
  <si>
    <t>NEOSILENT 150</t>
  </si>
  <si>
    <t>D100018</t>
  </si>
  <si>
    <t>CA-160-2T-2</t>
  </si>
  <si>
    <t>E1029657</t>
  </si>
  <si>
    <t>CMR/R-1240-4T/ATEX/2G/D EX DB TB/INOX-316 T1 for 250 degree Celsius</t>
  </si>
  <si>
    <t>E1283492</t>
  </si>
  <si>
    <t>CAAE-900/A-2T-15 400/690V 50HZ IE3 RD90</t>
  </si>
  <si>
    <t>E1500271</t>
  </si>
  <si>
    <t>CASB-X-900-125-2130RPM</t>
  </si>
  <si>
    <t>99050-EMB-22-R50</t>
  </si>
  <si>
    <t>EMBROIDERY R50 R50</t>
  </si>
  <si>
    <t>Workwear Depot (Pty)Ltd</t>
  </si>
  <si>
    <t>CP77P-DNM12-104-00-38</t>
  </si>
  <si>
    <t>DENIM WORK TROUSERS INDIGO 38</t>
  </si>
  <si>
    <t>JN3002-TUNBOOT-600-00-07</t>
  </si>
  <si>
    <t>TUNGSTEN BOOT BLACK 7</t>
  </si>
  <si>
    <t>JN3002-TUNBOOT-600-00-09</t>
  </si>
  <si>
    <t>TUNGSTEN BOOT BLACK 9</t>
  </si>
  <si>
    <t>JTPOLY-6398B-600-04-L</t>
  </si>
  <si>
    <t>WORK T BLACK L</t>
  </si>
  <si>
    <t>N3002-TUNBOOT-600-00-07</t>
  </si>
  <si>
    <t>11100</t>
  </si>
  <si>
    <t>MG 100/4 LL</t>
  </si>
  <si>
    <t>11101</t>
  </si>
  <si>
    <t>MG 100/4 LL T</t>
  </si>
  <si>
    <t>11102</t>
  </si>
  <si>
    <t>MG 120/5 LL</t>
  </si>
  <si>
    <t>11103</t>
  </si>
  <si>
    <t>MG 120/5 LL T</t>
  </si>
  <si>
    <t>11104</t>
  </si>
  <si>
    <t>MG 150/6 LL</t>
  </si>
  <si>
    <t>11105</t>
  </si>
  <si>
    <t>MG 150/6 LL T</t>
  </si>
  <si>
    <t>11106</t>
  </si>
  <si>
    <t>MGK 100/4 LL</t>
  </si>
  <si>
    <t>11110</t>
  </si>
  <si>
    <t>MG 90/3,5</t>
  </si>
  <si>
    <t>11116</t>
  </si>
  <si>
    <t>MG 120/5</t>
  </si>
  <si>
    <t>11117</t>
  </si>
  <si>
    <t>MG 150/6</t>
  </si>
  <si>
    <t>11123</t>
  </si>
  <si>
    <t>MF 100</t>
  </si>
  <si>
    <t>11124</t>
  </si>
  <si>
    <t>MF 120</t>
  </si>
  <si>
    <t>11125</t>
  </si>
  <si>
    <t>MF 150</t>
  </si>
  <si>
    <t>Vortice Elettrosociali SpA</t>
  </si>
  <si>
    <t>11127</t>
  </si>
  <si>
    <t>MF 100T</t>
  </si>
  <si>
    <t>11128</t>
  </si>
  <si>
    <t>MF 120 T</t>
  </si>
  <si>
    <t>11129</t>
  </si>
  <si>
    <t>MF 150T</t>
  </si>
  <si>
    <t>11131</t>
  </si>
  <si>
    <t>MF 100 LL</t>
  </si>
  <si>
    <t>11132</t>
  </si>
  <si>
    <t>MF 120 LL</t>
  </si>
  <si>
    <t>11133</t>
  </si>
  <si>
    <t>MF 150 LL</t>
  </si>
  <si>
    <t>11135</t>
  </si>
  <si>
    <t>MF 100 T LL</t>
  </si>
  <si>
    <t>11136</t>
  </si>
  <si>
    <t>MF 120 T LL</t>
  </si>
  <si>
    <t>11137</t>
  </si>
  <si>
    <t>MF 150 T LL</t>
  </si>
  <si>
    <t>11145</t>
  </si>
  <si>
    <t>MFO 100/4</t>
  </si>
  <si>
    <t>11146</t>
  </si>
  <si>
    <t>MFO 120/5</t>
  </si>
  <si>
    <t>11147</t>
  </si>
  <si>
    <t>11187</t>
  </si>
  <si>
    <t>MF 150/6 PIRLL</t>
  </si>
  <si>
    <t>11201</t>
  </si>
  <si>
    <t>M 100 / 4</t>
  </si>
  <si>
    <t>11202</t>
  </si>
  <si>
    <t>M100/4</t>
  </si>
  <si>
    <t>11211</t>
  </si>
  <si>
    <t>M 100 / 4 T</t>
  </si>
  <si>
    <t>11212</t>
  </si>
  <si>
    <t>M 100 / 4 T LL</t>
  </si>
  <si>
    <t>11221</t>
  </si>
  <si>
    <t>M 100 / 4 A</t>
  </si>
  <si>
    <t>11222</t>
  </si>
  <si>
    <t>M 100 / 4 A LL</t>
  </si>
  <si>
    <t>11260</t>
  </si>
  <si>
    <t>ME 100 / 4 LL</t>
  </si>
  <si>
    <t>11270</t>
  </si>
  <si>
    <t>ME 120/5 LL</t>
  </si>
  <si>
    <t>11274</t>
  </si>
  <si>
    <t>M 120 / 5 T LL</t>
  </si>
  <si>
    <t>11301</t>
  </si>
  <si>
    <t>M 120 / 5</t>
  </si>
  <si>
    <t>11302</t>
  </si>
  <si>
    <t>M 120 / 5 LL</t>
  </si>
  <si>
    <t>11311</t>
  </si>
  <si>
    <t>M 120 / 5 T</t>
  </si>
  <si>
    <t>11313</t>
  </si>
  <si>
    <t>MEX 100/4 LL 1S</t>
  </si>
  <si>
    <t>11314</t>
  </si>
  <si>
    <t>MEX 100/4 1S LLT</t>
  </si>
  <si>
    <t>11321</t>
  </si>
  <si>
    <t>M 120 / 5 A</t>
  </si>
  <si>
    <t>11322</t>
  </si>
  <si>
    <t>M 120 / 5 A LL</t>
  </si>
  <si>
    <t>11333</t>
  </si>
  <si>
    <t>MEX 120/5 LL IS</t>
  </si>
  <si>
    <t>11334</t>
  </si>
  <si>
    <t>MEX 120/5 1S LLT</t>
  </si>
  <si>
    <t>11401</t>
  </si>
  <si>
    <t>M 150 / 6</t>
  </si>
  <si>
    <t>11402</t>
  </si>
  <si>
    <t>M 150 / 6 LL</t>
  </si>
  <si>
    <t>11411</t>
  </si>
  <si>
    <t>M 150 / 6 T</t>
  </si>
  <si>
    <t>11412</t>
  </si>
  <si>
    <t>M 150 / 6 T LL</t>
  </si>
  <si>
    <t>11421</t>
  </si>
  <si>
    <t>M 150 / 6 A</t>
  </si>
  <si>
    <t>11422</t>
  </si>
  <si>
    <t>M 150 / 6 A LL</t>
  </si>
  <si>
    <t>11741</t>
  </si>
  <si>
    <t>M120/5 P</t>
  </si>
  <si>
    <t>11746</t>
  </si>
  <si>
    <t>M 120/5AP-PUNTO</t>
  </si>
  <si>
    <t>11944</t>
  </si>
  <si>
    <t>VORT QUADRO MEDIO</t>
  </si>
  <si>
    <t>11952</t>
  </si>
  <si>
    <t>VORT QUADRO SUPER</t>
  </si>
  <si>
    <t>11967</t>
  </si>
  <si>
    <t>VORT PRESS 110 LL</t>
  </si>
  <si>
    <t>11968</t>
  </si>
  <si>
    <t>Vort Press 110 ( surface mount )</t>
  </si>
  <si>
    <t>11971</t>
  </si>
  <si>
    <t>Vort Press 140 ( built-in )</t>
  </si>
  <si>
    <t>12017</t>
  </si>
  <si>
    <t>MICRO 100 I</t>
  </si>
  <si>
    <t>12018</t>
  </si>
  <si>
    <t>MICRO 100 I T</t>
  </si>
  <si>
    <t>12020</t>
  </si>
  <si>
    <t>MEDIO I</t>
  </si>
  <si>
    <t>12021</t>
  </si>
  <si>
    <t>MEDIO I T</t>
  </si>
  <si>
    <t>12023</t>
  </si>
  <si>
    <t>SUPER I</t>
  </si>
  <si>
    <t>12024</t>
  </si>
  <si>
    <t>SUPER I T</t>
  </si>
  <si>
    <t>12045</t>
  </si>
  <si>
    <t>MICRO 100 I ES (Energy Saving)</t>
  </si>
  <si>
    <t>12046</t>
  </si>
  <si>
    <t>MICRO 100 I T ES (Energy Saving)</t>
  </si>
  <si>
    <t>12065</t>
  </si>
  <si>
    <t>MICRO 100 I T HCS (Humidity ctrl. System)</t>
  </si>
  <si>
    <t>12066</t>
  </si>
  <si>
    <t>MEDIO I T HCS ( Humidity ctrl. system)</t>
  </si>
  <si>
    <t>12067</t>
  </si>
  <si>
    <t>SUPER I T HCS (Humidity ctrl. system)</t>
  </si>
  <si>
    <t>12412</t>
  </si>
  <si>
    <t>V 300/12 AR</t>
  </si>
  <si>
    <t>12413</t>
  </si>
  <si>
    <t>V 300/12 ARI</t>
  </si>
  <si>
    <t>12415</t>
  </si>
  <si>
    <t>V 300/12 AR LL S</t>
  </si>
  <si>
    <t>12416</t>
  </si>
  <si>
    <t>V 300/12 ARI LL S</t>
  </si>
  <si>
    <t>12451</t>
  </si>
  <si>
    <t>V 230/9 P</t>
  </si>
  <si>
    <t>12452</t>
  </si>
  <si>
    <t>V 230/9 AR</t>
  </si>
  <si>
    <t>12453</t>
  </si>
  <si>
    <t>V 230/9 ARI</t>
  </si>
  <si>
    <t>12454</t>
  </si>
  <si>
    <t>V 230/9 P LL S</t>
  </si>
  <si>
    <t>12455</t>
  </si>
  <si>
    <t>V 230/9 AR LL S</t>
  </si>
  <si>
    <t>12456</t>
  </si>
  <si>
    <t>V 230/9 ARI LL S</t>
  </si>
  <si>
    <t>12611</t>
  </si>
  <si>
    <t>V 150/6 P</t>
  </si>
  <si>
    <t>12612</t>
  </si>
  <si>
    <t>V 150/6 AR</t>
  </si>
  <si>
    <t>12613</t>
  </si>
  <si>
    <t>V 150/6 ARI</t>
  </si>
  <si>
    <t>12614</t>
  </si>
  <si>
    <t>V 150/6 P LL S</t>
  </si>
  <si>
    <t>12615</t>
  </si>
  <si>
    <t>V 150/6 AR LL S</t>
  </si>
  <si>
    <t>12616</t>
  </si>
  <si>
    <t>V 150/6 ARI LL S</t>
  </si>
  <si>
    <t>12740</t>
  </si>
  <si>
    <t>30/12 ARI</t>
  </si>
  <si>
    <t>12877</t>
  </si>
  <si>
    <t>IRET INVERTER 400 2.2A</t>
  </si>
  <si>
    <t>12878</t>
  </si>
  <si>
    <t>IRET INVERTER 400 3.6A</t>
  </si>
  <si>
    <t>12879</t>
  </si>
  <si>
    <t>IRET INVERTER 400 5A</t>
  </si>
  <si>
    <t>12880</t>
  </si>
  <si>
    <t>IRET INVERTER 400 8A</t>
  </si>
  <si>
    <t>12941</t>
  </si>
  <si>
    <t>CR5N Speed Controller</t>
  </si>
  <si>
    <t>12943</t>
  </si>
  <si>
    <t>CR5 Speed Controller</t>
  </si>
  <si>
    <t>12966</t>
  </si>
  <si>
    <t>C1.5 Speed Controller (to suit Lineo 100 to 200)</t>
  </si>
  <si>
    <t>12967</t>
  </si>
  <si>
    <t>C2.5 Speed Controller (to suit Lineo 250 to 315)</t>
  </si>
  <si>
    <t>12994</t>
  </si>
  <si>
    <t>PIR</t>
  </si>
  <si>
    <t>12998</t>
  </si>
  <si>
    <t>PIR Sensor</t>
  </si>
  <si>
    <t>13001</t>
  </si>
  <si>
    <t>KIT TE 150/6 Roof Mounting</t>
  </si>
  <si>
    <t>13002</t>
  </si>
  <si>
    <t>KIT TE 230/9 Roof Mounting</t>
  </si>
  <si>
    <t>13003</t>
  </si>
  <si>
    <t>KIT TE 300/12 Roof Mounting</t>
  </si>
  <si>
    <t>13028</t>
  </si>
  <si>
    <t>KIT TC 230/9</t>
  </si>
  <si>
    <t>1373000218</t>
  </si>
  <si>
    <t>MOTORE GM-63A4 B143F TC10 - TIRACAMINO MOTOR</t>
  </si>
  <si>
    <t>15000</t>
  </si>
  <si>
    <t>Tiracamino Chimney Fan for Chimney Tops</t>
  </si>
  <si>
    <t>16185</t>
  </si>
  <si>
    <t>CA 200 MD E RF</t>
  </si>
  <si>
    <t>17001</t>
  </si>
  <si>
    <t>LINEO 100 VO</t>
  </si>
  <si>
    <t>17004</t>
  </si>
  <si>
    <t>LINEO 160 VO</t>
  </si>
  <si>
    <t>17005</t>
  </si>
  <si>
    <t>LINEO 1000 VO</t>
  </si>
  <si>
    <t>17009</t>
  </si>
  <si>
    <t>LINEO 250 VO</t>
  </si>
  <si>
    <t>17013</t>
  </si>
  <si>
    <t>LINEO 125 VO KIT</t>
  </si>
  <si>
    <t>17021</t>
  </si>
  <si>
    <t>LINEO 100 TVO</t>
  </si>
  <si>
    <t>17022</t>
  </si>
  <si>
    <t>LINEO 125 TVO</t>
  </si>
  <si>
    <t>17023</t>
  </si>
  <si>
    <t>LINEO 150 TVO</t>
  </si>
  <si>
    <t>17143</t>
  </si>
  <si>
    <t>LINEO 100 Q</t>
  </si>
  <si>
    <t>17144</t>
  </si>
  <si>
    <t>LINEO 100</t>
  </si>
  <si>
    <t>17145</t>
  </si>
  <si>
    <t>LINEO 125</t>
  </si>
  <si>
    <t>17146</t>
  </si>
  <si>
    <t>LINEO 150</t>
  </si>
  <si>
    <t>17147</t>
  </si>
  <si>
    <t>LINEO 160</t>
  </si>
  <si>
    <t>17148</t>
  </si>
  <si>
    <t>LINEO 200 Q</t>
  </si>
  <si>
    <t>17149</t>
  </si>
  <si>
    <t>LINEO 250 Q</t>
  </si>
  <si>
    <t>17160</t>
  </si>
  <si>
    <t>LINEO 100 QUIET</t>
  </si>
  <si>
    <t>17161</t>
  </si>
  <si>
    <t>LINEO 125 QUIET</t>
  </si>
  <si>
    <t>17162</t>
  </si>
  <si>
    <t>LINEO 150 QUIET</t>
  </si>
  <si>
    <t>17163</t>
  </si>
  <si>
    <t>LINEO 160 QUIET</t>
  </si>
  <si>
    <t>17164</t>
  </si>
  <si>
    <t>LINEO 200 QUIET</t>
  </si>
  <si>
    <t>17165</t>
  </si>
  <si>
    <t>LINEO 250 QUIET</t>
  </si>
  <si>
    <t>17166</t>
  </si>
  <si>
    <t>LINEO 315 QUIET</t>
  </si>
  <si>
    <t>17177</t>
  </si>
  <si>
    <t>LINEO 200 T</t>
  </si>
  <si>
    <t>17180</t>
  </si>
  <si>
    <t>LINEO 200</t>
  </si>
  <si>
    <t>17181</t>
  </si>
  <si>
    <t>LINEO 250</t>
  </si>
  <si>
    <t>17182</t>
  </si>
  <si>
    <t>LINEO 315</t>
  </si>
  <si>
    <t>17184</t>
  </si>
  <si>
    <t>LINEO 100 Q T</t>
  </si>
  <si>
    <t>17185</t>
  </si>
  <si>
    <t>LINEO 100 T</t>
  </si>
  <si>
    <t>17186</t>
  </si>
  <si>
    <t>LINEO 125 T</t>
  </si>
  <si>
    <t>17187</t>
  </si>
  <si>
    <t>LINEO 150 T</t>
  </si>
  <si>
    <t>17188</t>
  </si>
  <si>
    <t>LINEO 160 T</t>
  </si>
  <si>
    <t>22010</t>
  </si>
  <si>
    <t>100 Wall Fans</t>
  </si>
  <si>
    <t>22020</t>
  </si>
  <si>
    <t>120/150 Wall Fixed Grills</t>
  </si>
  <si>
    <t>22131</t>
  </si>
  <si>
    <t>F 100 / 4 WINDOW KIT</t>
  </si>
  <si>
    <t>22132</t>
  </si>
  <si>
    <t>F 120 / 5 WINDOW KIT</t>
  </si>
  <si>
    <t>22133</t>
  </si>
  <si>
    <t>F 150 / 6 WINDOW KIT</t>
  </si>
  <si>
    <t>22154</t>
  </si>
  <si>
    <t>S 100 / 4 CEILING KIT</t>
  </si>
  <si>
    <t>22155</t>
  </si>
  <si>
    <t>S 120 / 5 CEILING KIT</t>
  </si>
  <si>
    <t>22156</t>
  </si>
  <si>
    <t>S 150 / 6 CEILING KIT</t>
  </si>
  <si>
    <t>22165</t>
  </si>
  <si>
    <t>FG 100 FIXED GRILLE (VOR 22165)</t>
  </si>
  <si>
    <t>22167</t>
  </si>
  <si>
    <t>FG 150 FIXED GRILLE (VOR 22167)</t>
  </si>
  <si>
    <t>22668</t>
  </si>
  <si>
    <t>CA-FU 125</t>
  </si>
  <si>
    <t>26025</t>
  </si>
  <si>
    <t>DEUMIDO 10</t>
  </si>
  <si>
    <t>26027</t>
  </si>
  <si>
    <t>DEUMIDO 20</t>
  </si>
  <si>
    <t>30301</t>
  </si>
  <si>
    <t>C 10/2 T ATEX II 2G/D h T3/125 X Gb/Db</t>
  </si>
  <si>
    <t>30304</t>
  </si>
  <si>
    <t>C 15/2 T ATEX II 2G/D h T3/125 X Gb/Db</t>
  </si>
  <si>
    <t>30305</t>
  </si>
  <si>
    <t>C 20/2 T ATEX II 2G/D h T3/125 X Gb/Db</t>
  </si>
  <si>
    <t>30306</t>
  </si>
  <si>
    <t>C 25/2 T ATEX II 2G/D h T3/125 X Gb/Db</t>
  </si>
  <si>
    <t>30307</t>
  </si>
  <si>
    <t>C 30/2 T ATEX II 2G/D h T3/125 X Gb/Db</t>
  </si>
  <si>
    <t>30308</t>
  </si>
  <si>
    <t>C 30/4 T ATEX II 2G/D h T3/125 X Gb/Db</t>
  </si>
  <si>
    <t>30309</t>
  </si>
  <si>
    <t>C 31/4 T ATEX II 2G/D h T3/125 X Gb/Db</t>
  </si>
  <si>
    <t>30310</t>
  </si>
  <si>
    <t>C 35/4 T ATEX II 2G/D h T3/125 X Gb/Db</t>
  </si>
  <si>
    <t>30311</t>
  </si>
  <si>
    <t>C 37/4 T ATEX II 2G/D h T3/125 X Gb/Db</t>
  </si>
  <si>
    <t>33353</t>
  </si>
  <si>
    <t>C30/4T</t>
  </si>
  <si>
    <t>33355</t>
  </si>
  <si>
    <t>C31/4T</t>
  </si>
  <si>
    <t>40301</t>
  </si>
  <si>
    <t>E 254 M ATEX II 2G/D h T3/125 X Gb/Db</t>
  </si>
  <si>
    <t>40302</t>
  </si>
  <si>
    <t>E 304 M ATEX II 2G/D h T3/125 X Gb/Db</t>
  </si>
  <si>
    <t>40304</t>
  </si>
  <si>
    <t>E 354 M ATEX II 2G/D h T3/125 X Gb/Db</t>
  </si>
  <si>
    <t>40306</t>
  </si>
  <si>
    <t>E 404 M ATEX II 2G/D h T3/125 X Gb/Db</t>
  </si>
  <si>
    <t>40308</t>
  </si>
  <si>
    <t>E 454 M ATEX II 2G/D h T3/125 X Gb/Db</t>
  </si>
  <si>
    <t>40309</t>
  </si>
  <si>
    <t>E 254 T ATEX II 2G/D h T3/125 X Gb/Db</t>
  </si>
  <si>
    <t>40310</t>
  </si>
  <si>
    <t>E 304 T ATEX II 2G/D h T3/125 X Gb/Db</t>
  </si>
  <si>
    <t>40313</t>
  </si>
  <si>
    <t>E 354 T ATEX II 2G/D h T3/125 X Gb/Db</t>
  </si>
  <si>
    <t>40314</t>
  </si>
  <si>
    <t>E404 T ATEX</t>
  </si>
  <si>
    <t>40315</t>
  </si>
  <si>
    <t>E 454 T ATEX II 2G/D h T3/125 X Gb/Db</t>
  </si>
  <si>
    <t>40316</t>
  </si>
  <si>
    <t>E 504 T ATEX II 2G/D h T3/125 X Gb/Db</t>
  </si>
  <si>
    <t>40317</t>
  </si>
  <si>
    <t>E 604 T ATEX II 2G/D h T3/125 X Gb/Db</t>
  </si>
  <si>
    <t>42227</t>
  </si>
  <si>
    <t>A-E 304 T</t>
  </si>
  <si>
    <t>42259</t>
  </si>
  <si>
    <t>A-E 354 T</t>
  </si>
  <si>
    <t>CMS25</t>
  </si>
  <si>
    <t>Vorticent CMS 25/10 T4 0.75KW (1400 CFM)</t>
  </si>
  <si>
    <t>CMS35</t>
  </si>
  <si>
    <t>Vorticent CMS 35/14 T4 4KW (4600 CFM)</t>
  </si>
  <si>
    <t>D100072</t>
  </si>
  <si>
    <t>MOTOR</t>
  </si>
  <si>
    <t>HE190ES</t>
  </si>
  <si>
    <t>VORT QBK HE 190 ES (300CFM)</t>
  </si>
  <si>
    <t>L10101101</t>
  </si>
  <si>
    <t>CA 100 VO - D Two Speed - Plastic</t>
  </si>
  <si>
    <t>L10101126</t>
  </si>
  <si>
    <t>CA 125 VO - D Two Speed - Plastic</t>
  </si>
  <si>
    <t>L10101151</t>
  </si>
  <si>
    <t>CA 150 VO - D Two Speed - Plastic</t>
  </si>
  <si>
    <t>L10101200</t>
  </si>
  <si>
    <t>CA 200Q VO Lower Volume In-Line Tube Fan Plastic Casin</t>
  </si>
  <si>
    <t>L10101250</t>
  </si>
  <si>
    <t>CA 250 VO In-Line Tube Fan Plastic Casing</t>
  </si>
  <si>
    <t>L10101315</t>
  </si>
  <si>
    <t>CA 315 VO In-Line Tube Fan Plastic Casing</t>
  </si>
  <si>
    <t>L10101317</t>
  </si>
  <si>
    <t>CA 355</t>
  </si>
  <si>
    <t>TR355T4</t>
  </si>
  <si>
    <t>Torrette TR 355 T4 0.55KW ATEX ZONE1 (1084 CFM)</t>
  </si>
  <si>
    <t>TR400T4</t>
  </si>
  <si>
    <t>Torrette TR 400 T4 1.1KW ATEX ZONE1 (2700 CFM)</t>
  </si>
  <si>
    <t>TR450T4</t>
  </si>
  <si>
    <t>Torrette TR 450 T4 2.2KW ATEX ZONE 1 (4500 CFM)</t>
  </si>
  <si>
    <t>TR500T4</t>
  </si>
  <si>
    <t>Torrette TR 500 T4 3KW ATEX ZONE1 (6500 CFM)</t>
  </si>
  <si>
    <t>TR500T6</t>
  </si>
  <si>
    <t>Torrette TR 500 T6 0.75KW ATEX ZONE1 (3600 CFM)</t>
  </si>
  <si>
    <t>TR710T6</t>
  </si>
  <si>
    <t>Torrette TR 710 T6 4KW ATEX ZONE1 (9500 CFM)</t>
  </si>
  <si>
    <t>TRK-AR-500T4</t>
  </si>
  <si>
    <t>Torrette TRK-AR 500 T4 3KW (6200CFM)</t>
  </si>
  <si>
    <t>TRS250EC</t>
  </si>
  <si>
    <t>Torrette TRS 250 EC (850 CFM)</t>
  </si>
  <si>
    <t>TRS310EC</t>
  </si>
  <si>
    <t>Torrette TRS 310 EC (1050 CFM)</t>
  </si>
  <si>
    <t>Fuel Surcharge</t>
  </si>
  <si>
    <t>Rhenus Logistics (Pty) Ltd</t>
  </si>
  <si>
    <t>BCC-2 450/1.0</t>
  </si>
  <si>
    <t>2A DIDW c/w 5.5 kW 4 Pole 380V</t>
  </si>
  <si>
    <t>UV 630/3/8/W</t>
  </si>
  <si>
    <t>c/w 0.75 kW 8 Pole 380 V</t>
  </si>
  <si>
    <t>IMP0400B150A05AR19080</t>
  </si>
  <si>
    <t>Impeller 0400mm 'B' 150A05AR 19mm 080Frame Deg00 - 17 DEG</t>
  </si>
  <si>
    <t>IMP0500B150A10AR28100.</t>
  </si>
  <si>
    <t>Impeller 0500mm 'B' 150A10AR 28mm 100Frame Deg00 - 10 DEG</t>
  </si>
  <si>
    <t>IMP0560B250A14AR24090</t>
  </si>
  <si>
    <t>Impeller 0560mm 'B' 250A14AR 24mm 090Frame Deg00 - 31 DEG</t>
  </si>
  <si>
    <t>IMP0560B250A14AR28100</t>
  </si>
  <si>
    <t>Impeller 0560mm 'B' 250A14AR 28mm 100Frame Deg00 - 32 DEG</t>
  </si>
  <si>
    <t>IMP0630B150A10AR28100</t>
  </si>
  <si>
    <t>Impeller 0630mm 'B' 150A10AR 28mm 100Frame Deg00 - 29 DEG</t>
  </si>
  <si>
    <t>IMP0900B250A14AR38132</t>
  </si>
  <si>
    <t>Impeller 0900mm 'B' 250A14AR 38mm 132Frame Deg00 - 15 DEG</t>
  </si>
  <si>
    <t>1250MF</t>
  </si>
  <si>
    <t>1250 Diam Mounting Feet</t>
  </si>
  <si>
    <t>1600MF</t>
  </si>
  <si>
    <t>1600 Diam Mounting Feet</t>
  </si>
  <si>
    <t>355MF</t>
  </si>
  <si>
    <t>355 Diam Mounting Feet</t>
  </si>
  <si>
    <t>450MF</t>
  </si>
  <si>
    <t>450 Diam Mounting Feet</t>
  </si>
  <si>
    <t>460MF</t>
  </si>
  <si>
    <t>460 Diam Mounting Feet</t>
  </si>
  <si>
    <t>EXD-D90B5</t>
  </si>
  <si>
    <t>EXD D90B5 CAST IRON FLANGE</t>
  </si>
  <si>
    <t>Shaka Machinery (Pty) Ltd</t>
  </si>
  <si>
    <t>0.3741PM</t>
  </si>
  <si>
    <t>0.37KW 4P 220V Pad Mount Motor</t>
  </si>
  <si>
    <t>WEG South Africa</t>
  </si>
  <si>
    <t>0.5523FM</t>
  </si>
  <si>
    <t>0.55KW 2P 380V Foot Mount Motor</t>
  </si>
  <si>
    <t>0.5541PM</t>
  </si>
  <si>
    <t>0.55KW 4P 220V Pad Mount Motor</t>
  </si>
  <si>
    <t>ASKARI ELECTRIC (PTY) LTD</t>
  </si>
  <si>
    <t>EXD-2.2-2-4-B3</t>
  </si>
  <si>
    <t>2.2KW 2P 230/400V B3 EXD IE2 FS90L</t>
  </si>
  <si>
    <t>WEG SMOKEX PAD W22</t>
  </si>
  <si>
    <t>18.5KW 4P 380V IP55 300 C/2HR MOTOR</t>
  </si>
  <si>
    <t>6M04L5</t>
  </si>
  <si>
    <t>DDM 146/190</t>
  </si>
  <si>
    <t>SH01</t>
  </si>
  <si>
    <t>HAND STRAPPING 12X 1500M - BLACK</t>
  </si>
  <si>
    <t>Advantage Air Africa Pty Ltd</t>
  </si>
  <si>
    <t>GALV PLATE</t>
  </si>
  <si>
    <t>3mm Galvanised Plate</t>
  </si>
  <si>
    <t>Kart Shop TA Ultimate Laser Cutting</t>
  </si>
  <si>
    <t>GALV PLATE - BR</t>
  </si>
  <si>
    <t>3mm Galvanised Plate For Brackets</t>
  </si>
  <si>
    <t>GALV PLATE - PR1</t>
  </si>
  <si>
    <t>3mm Galvanised Plate - Program 1</t>
  </si>
  <si>
    <t>UV 710/3/6</t>
  </si>
  <si>
    <t>UV710/3/6</t>
  </si>
  <si>
    <t>ADAPTOR-50*110</t>
  </si>
  <si>
    <t>Stub shaft - Adaptor 50 Dia*110</t>
  </si>
  <si>
    <t>Hulmak Engineering cc</t>
  </si>
  <si>
    <t>-GLF12.5-S</t>
  </si>
  <si>
    <t>Galvanised Industrial Extractor Fan+ Grill &amp; Louvers 1380sq, 380V,1.1kw, 440rpm, 44000m3/hr</t>
  </si>
  <si>
    <t>AF Fans CC</t>
  </si>
  <si>
    <t>0.3763PM</t>
  </si>
  <si>
    <t>0.37kW 6P 380V Pad Mount Motor</t>
  </si>
  <si>
    <t>0.552P</t>
  </si>
  <si>
    <t>0.55Kw 2P 380V Pad Motor</t>
  </si>
  <si>
    <t>0.5563PM</t>
  </si>
  <si>
    <t>0.55kW 6P 380V Pad Mount Motor</t>
  </si>
  <si>
    <t>0.752P</t>
  </si>
  <si>
    <t>0.75Kw 2Pole 380V Pad Mount</t>
  </si>
  <si>
    <t>0.7541FM</t>
  </si>
  <si>
    <t>0.75Kw 220v Foot Mount</t>
  </si>
  <si>
    <t>0.7541PM</t>
  </si>
  <si>
    <t>0.75Kw 220v Pad Mount</t>
  </si>
  <si>
    <t>0.7563PM</t>
  </si>
  <si>
    <t>0.75kW 6P 380V Pad Mount Motor</t>
  </si>
  <si>
    <t>0010</t>
  </si>
  <si>
    <t>SPARE MOTOR - TIRACAMINO - Vortice Spare Motor for Tiracamino 0.12kW 4P 230V</t>
  </si>
  <si>
    <t>008</t>
  </si>
  <si>
    <t>Majax-2 800 32-E-8 Belt drive c/w 4.0kw 4P 1150rpm 380V</t>
  </si>
  <si>
    <t>009</t>
  </si>
  <si>
    <t>HVF/75N c/w 0.24kW 750mm 220V</t>
  </si>
  <si>
    <t>02880</t>
  </si>
  <si>
    <t>PRA LOCKNUT BRASS No 0 &amp; 1 - M20</t>
  </si>
  <si>
    <t>053575</t>
  </si>
  <si>
    <t>AFROX PICKELING PASTE AOX 1LT</t>
  </si>
  <si>
    <t>1 IP 65</t>
  </si>
  <si>
    <t>Change IP Rating - Motor Size 90Watts 2Pole 380V to IP 65</t>
  </si>
  <si>
    <t>1.1.2Pad</t>
  </si>
  <si>
    <t>1.1Kw 2P 380V Pad Mount Motor</t>
  </si>
  <si>
    <t>1.141PM</t>
  </si>
  <si>
    <t>1.1kW 4P 220V Pad Mount Motor</t>
  </si>
  <si>
    <t>1.143FM</t>
  </si>
  <si>
    <t>1.1kW 4P 400V B3 QL3</t>
  </si>
  <si>
    <t>1.163PM</t>
  </si>
  <si>
    <t>1.1kW 6P 380V Pad Mount Motor</t>
  </si>
  <si>
    <t>1.541PM</t>
  </si>
  <si>
    <t>1.5KW 4P 220V Pad Mount Motor</t>
  </si>
  <si>
    <t>1.563PM</t>
  </si>
  <si>
    <t>1.5kW 6P 380V Pad Mount Motor</t>
  </si>
  <si>
    <t>1.583PM</t>
  </si>
  <si>
    <t>1.5KW 8P 380V Pad Mount Motor</t>
  </si>
  <si>
    <t>Bearing Man Group</t>
  </si>
  <si>
    <t>100/112 FR 27.8</t>
  </si>
  <si>
    <t>100/112 Motor Frame - 27.8 mm OD Spacer</t>
  </si>
  <si>
    <t>1000 HDG</t>
  </si>
  <si>
    <t>1000SC 1000mm Diam HDG Screen</t>
  </si>
  <si>
    <t>Heinmor Wire Products CC</t>
  </si>
  <si>
    <t>1000 ICS</t>
  </si>
  <si>
    <t>Majax Inlet Cone &amp; Screen</t>
  </si>
  <si>
    <t>1000 IMP</t>
  </si>
  <si>
    <t>Impeller 1000Dia</t>
  </si>
  <si>
    <t>1000 LS</t>
  </si>
  <si>
    <t>Louvre Shutter</t>
  </si>
  <si>
    <t>1000 SI</t>
  </si>
  <si>
    <t>Spare Impeller</t>
  </si>
  <si>
    <t>1000 SIL</t>
  </si>
  <si>
    <t>Inlet Silencer 1000 1.5D (1000mm Diameter to reduce noise on the dischargeside)</t>
  </si>
  <si>
    <t>1000 X 500 MM</t>
  </si>
  <si>
    <t>Sand Trap Air Louver</t>
  </si>
  <si>
    <t>10000000</t>
  </si>
  <si>
    <t>Impeller 0560mm 'B' 250A14PR19mm 080Frame</t>
  </si>
  <si>
    <t>10000005</t>
  </si>
  <si>
    <t>SILENTBLOCKS FOR THT-125-4/8T/6-27-F300 400V</t>
  </si>
  <si>
    <t>1000002</t>
  </si>
  <si>
    <t>Monthly Retainer - March 2025</t>
  </si>
  <si>
    <t>KOBILAN PILLAY AND ASSOCIATES</t>
  </si>
  <si>
    <t>1000005.</t>
  </si>
  <si>
    <t>FILTER F7 - REPLACEMENT FOR CJK/FILTER/EC-500-F7+9</t>
  </si>
  <si>
    <t>1000013.</t>
  </si>
  <si>
    <t>HCD-30-4M 230V. 50/60Hz</t>
  </si>
  <si>
    <t>100005</t>
  </si>
  <si>
    <t>SILENT BLOCK THT-90-4T-5.5-14-F-300</t>
  </si>
  <si>
    <t>100081</t>
  </si>
  <si>
    <t>OPTECH OUTER LENS 110 X 90</t>
  </si>
  <si>
    <t>100083</t>
  </si>
  <si>
    <t>OPTECH INNER LENS 108 X 51</t>
  </si>
  <si>
    <t>100087</t>
  </si>
  <si>
    <t>SOLAR HELMET ADJUSTABLE (84-210300-11</t>
  </si>
  <si>
    <t>1000BDD</t>
  </si>
  <si>
    <t>Back Draft Demper</t>
  </si>
  <si>
    <t>1000FB</t>
  </si>
  <si>
    <t>Filter Box c/w Weather Louvre (Fresh Air)</t>
  </si>
  <si>
    <t>1000IC</t>
  </si>
  <si>
    <t>Majax Inlet Cone</t>
  </si>
  <si>
    <t>1000ILC</t>
  </si>
  <si>
    <t>Majax-2 Inlet Cone Screen</t>
  </si>
  <si>
    <t>1000MBP09</t>
  </si>
  <si>
    <t>1-0350-240 P09 - 1000 Motor Bracket</t>
  </si>
  <si>
    <t>1000PLT800-4MM</t>
  </si>
  <si>
    <t>1000 Casing Sheet - 3153 x 800 - 4mm</t>
  </si>
  <si>
    <t>1000SAP</t>
  </si>
  <si>
    <t>1000mm Diam podded silencer 1400 Long</t>
  </si>
  <si>
    <t>1003102</t>
  </si>
  <si>
    <t>HCT-80-4T-5.5/PL IE3</t>
  </si>
  <si>
    <t>1003118</t>
  </si>
  <si>
    <t>HCT-90-4T-7.5/PL IE3</t>
  </si>
  <si>
    <t>1006386</t>
  </si>
  <si>
    <t>HT-80-4T 230/400V. IE3</t>
  </si>
  <si>
    <t>1006628</t>
  </si>
  <si>
    <t>R/THT-90-1</t>
  </si>
  <si>
    <t>1006661</t>
  </si>
  <si>
    <t>B-125</t>
  </si>
  <si>
    <t>1006663</t>
  </si>
  <si>
    <t>B-150</t>
  </si>
  <si>
    <t>1006732</t>
  </si>
  <si>
    <t>BTUB-900</t>
  </si>
  <si>
    <t>1006734</t>
  </si>
  <si>
    <t>BTUB-1250</t>
  </si>
  <si>
    <t>1006880</t>
  </si>
  <si>
    <t>PS-125/20CV</t>
  </si>
  <si>
    <t>1006889</t>
  </si>
  <si>
    <t>PS-90</t>
  </si>
  <si>
    <t>1006891</t>
  </si>
  <si>
    <t>RT-125</t>
  </si>
  <si>
    <t>1006904</t>
  </si>
  <si>
    <t>RT-90</t>
  </si>
  <si>
    <t>1006974</t>
  </si>
  <si>
    <t>RPA-20</t>
  </si>
  <si>
    <t>1007130</t>
  </si>
  <si>
    <t>BAC-900</t>
  </si>
  <si>
    <t>1007132</t>
  </si>
  <si>
    <t>BAC - 1250</t>
  </si>
  <si>
    <t>1007138</t>
  </si>
  <si>
    <t>ACE - 125</t>
  </si>
  <si>
    <t>1007140</t>
  </si>
  <si>
    <t>ACE-150</t>
  </si>
  <si>
    <t>1007195</t>
  </si>
  <si>
    <t>VSD3/A-RFT-10</t>
  </si>
  <si>
    <t>1007207</t>
  </si>
  <si>
    <t>VSD3/ARFT-30</t>
  </si>
  <si>
    <t>1007213</t>
  </si>
  <si>
    <t>VSD3/A-RFT-7.5</t>
  </si>
  <si>
    <t>1007372</t>
  </si>
  <si>
    <t>SC-900/1200</t>
  </si>
  <si>
    <t>1007376</t>
  </si>
  <si>
    <t>SR-1800/1200/1200</t>
  </si>
  <si>
    <t>1007442</t>
  </si>
  <si>
    <t>BIC - 254</t>
  </si>
  <si>
    <t>1007964</t>
  </si>
  <si>
    <t>CPV-1630-4T IE3</t>
  </si>
  <si>
    <t>1007966</t>
  </si>
  <si>
    <t>CPV-1840-4T IE3</t>
  </si>
  <si>
    <t>1007971</t>
  </si>
  <si>
    <t>CPV -1942-4T-10 IE3</t>
  </si>
  <si>
    <t>1008005</t>
  </si>
  <si>
    <t>CPV-1020-4T/ATEX/EXII2G Ex d</t>
  </si>
  <si>
    <t>1008010</t>
  </si>
  <si>
    <t>CPV-1020-2T/ATEX/EXII2G Ex d</t>
  </si>
  <si>
    <t>1008215</t>
  </si>
  <si>
    <t>CJDXR-315-1 230/400V. IE3</t>
  </si>
  <si>
    <t>1008225</t>
  </si>
  <si>
    <t>CJDXR-355-1.5 230/400V IE3</t>
  </si>
  <si>
    <t>1008226</t>
  </si>
  <si>
    <t>CJDXR-400-3 230/400V. IE3</t>
  </si>
  <si>
    <t>1008234</t>
  </si>
  <si>
    <t>1008235</t>
  </si>
  <si>
    <t>CJDXR-400-4 230/400V. IE3</t>
  </si>
  <si>
    <t>1008243</t>
  </si>
  <si>
    <t>CJDXR-450-4 230/400V. IE3</t>
  </si>
  <si>
    <t>1009156</t>
  </si>
  <si>
    <t>CBD-1919-6M 1/10/HE</t>
  </si>
  <si>
    <t>1009166</t>
  </si>
  <si>
    <t>CBD-2828-4M 3/4/HE</t>
  </si>
  <si>
    <t>100NB x 135mm</t>
  </si>
  <si>
    <t>100NB x 135mm Style 10 Linkflex 100% (Inner &amp; Outer Tube) EPDM rubber bellows c/w mild steel</t>
  </si>
  <si>
    <t>Malcolm Arnot CC ( Linkflex)</t>
  </si>
  <si>
    <t>1010405</t>
  </si>
  <si>
    <t>CAM 550-2T-5.5 230/400V. IE3</t>
  </si>
  <si>
    <t>1010410</t>
  </si>
  <si>
    <t>CAM 752-2T-7.5 c/w 5.5kW 400/690v IE3</t>
  </si>
  <si>
    <t>101065</t>
  </si>
  <si>
    <t>ER70S MILD STEEL MIG WIRE 1.0MM</t>
  </si>
  <si>
    <t>1010817</t>
  </si>
  <si>
    <t>CAS-463-2T-5.5/TODO INOX-304 380V. 60Hz</t>
  </si>
  <si>
    <t>1010818</t>
  </si>
  <si>
    <t>CAS-463-2T-5.5/TODO INOX-304/ATEX/2G Ex eb 380V 60Hz</t>
  </si>
  <si>
    <t>1012-2010-A</t>
  </si>
  <si>
    <t>SQUARE COMBINATION SET 4PC DASQUA</t>
  </si>
  <si>
    <t>SPARES 2000 CC t/a SHARP-RITE</t>
  </si>
  <si>
    <t>1012392</t>
  </si>
  <si>
    <t>CMP-38-2M/E 230V</t>
  </si>
  <si>
    <t>1012714</t>
  </si>
  <si>
    <t>CMP1128 2T 4</t>
  </si>
  <si>
    <t>1012739</t>
  </si>
  <si>
    <t>CMP-1231-4T-4 IE3</t>
  </si>
  <si>
    <t>101397</t>
  </si>
  <si>
    <t>ANTI SPATTER 500ML</t>
  </si>
  <si>
    <t>1014656</t>
  </si>
  <si>
    <t>CMRG-1240-4T 230/400V IE3</t>
  </si>
  <si>
    <t>1016608</t>
  </si>
  <si>
    <t>HEP-25-2T/H 220-240/380-415V</t>
  </si>
  <si>
    <t>1016615.</t>
  </si>
  <si>
    <t>HEP-31-2T</t>
  </si>
  <si>
    <t>1016620</t>
  </si>
  <si>
    <t>HEP-35-2M/H</t>
  </si>
  <si>
    <t>1017181</t>
  </si>
  <si>
    <t>HC-71-4T/H IE3</t>
  </si>
  <si>
    <t>1017315</t>
  </si>
  <si>
    <t>HC-63-4T/H/ATEX/2G Ex db 380V. 60Hz</t>
  </si>
  <si>
    <t>1020807</t>
  </si>
  <si>
    <t>CI-100-4/8T-F-400 400V</t>
  </si>
  <si>
    <t>1023613</t>
  </si>
  <si>
    <t>PV-90</t>
  </si>
  <si>
    <t>1023615</t>
  </si>
  <si>
    <t>PV-125</t>
  </si>
  <si>
    <t>1023775</t>
  </si>
  <si>
    <t>CJACUS/C-2</t>
  </si>
  <si>
    <t>1024046</t>
  </si>
  <si>
    <t>FMC-C-501</t>
  </si>
  <si>
    <t>1024050</t>
  </si>
  <si>
    <t>FM-DP500</t>
  </si>
  <si>
    <t>1024172</t>
  </si>
  <si>
    <t>MTP</t>
  </si>
  <si>
    <t>1027474</t>
  </si>
  <si>
    <t>CJBR-1850-4T 230/400V. IE3</t>
  </si>
  <si>
    <t>1028473</t>
  </si>
  <si>
    <t>SV-250/L 230V. 50/60Hz.</t>
  </si>
  <si>
    <t>1028479</t>
  </si>
  <si>
    <t>SV-400/H 230V. 50/60Hz.</t>
  </si>
  <si>
    <t>1028591</t>
  </si>
  <si>
    <t>HCT-80-4T-5.5/ATEX/2G Ex db 230/400V</t>
  </si>
  <si>
    <t>1028951</t>
  </si>
  <si>
    <t>HCT/ATEX-40-2T-1.5/2G Ex eb</t>
  </si>
  <si>
    <t>1028957</t>
  </si>
  <si>
    <t>HCT/ATEX-56-4T-0.75/2G Ex eb</t>
  </si>
  <si>
    <t>1029315</t>
  </si>
  <si>
    <t>CMA/ATEX-325-2T/2G EX EB</t>
  </si>
  <si>
    <t>1029544</t>
  </si>
  <si>
    <t>CMP-922-4T/ATEX/2GD Ex db tb 230/400V</t>
  </si>
  <si>
    <t>1030701</t>
  </si>
  <si>
    <t>TIRACANO</t>
  </si>
  <si>
    <t>1030730</t>
  </si>
  <si>
    <t>TUB-200</t>
  </si>
  <si>
    <t>1030731</t>
  </si>
  <si>
    <t>TUB-225</t>
  </si>
  <si>
    <t>1030732</t>
  </si>
  <si>
    <t>TUB-250</t>
  </si>
  <si>
    <t>1031847</t>
  </si>
  <si>
    <t>INT/ATEX 16/3CA</t>
  </si>
  <si>
    <t>1054558</t>
  </si>
  <si>
    <t>CAM 752-2T-10 c/w 7.5kW 400/690v IE3</t>
  </si>
  <si>
    <t>1054591</t>
  </si>
  <si>
    <t>CAM-760-2T-15/E</t>
  </si>
  <si>
    <t>1054601</t>
  </si>
  <si>
    <t>CAM-880-2T-40</t>
  </si>
  <si>
    <t>1062024</t>
  </si>
  <si>
    <t>CAS-790-2T-20 IE3</t>
  </si>
  <si>
    <t>1064 Laser Head</t>
  </si>
  <si>
    <t>Jewellery Laser head</t>
  </si>
  <si>
    <t>Tech Up 3D</t>
  </si>
  <si>
    <t>1064128</t>
  </si>
  <si>
    <t>HTP-125-4T-75 c/w 55kW 4Pole 400V</t>
  </si>
  <si>
    <t>1064263</t>
  </si>
  <si>
    <t>HCT-100-4T-15/AL 400/690V. IE3</t>
  </si>
  <si>
    <t>106X3SPA</t>
  </si>
  <si>
    <t>PULLEY FRICTION BELT V-WEDGE 3 GROOVE SPA 1610 TAPER 106MM FENNER</t>
  </si>
  <si>
    <t>1100999</t>
  </si>
  <si>
    <t>Rental Sharp BP 30C25 Copier</t>
  </si>
  <si>
    <t>CRS Corporate Rental Solutions (Pty) Ltd</t>
  </si>
  <si>
    <t>1100SAP</t>
  </si>
  <si>
    <t>1100mm Diam podded silencer 1400 Long</t>
  </si>
  <si>
    <t>1105922</t>
  </si>
  <si>
    <t>CJFILTER/REC-600X900-450-CA</t>
  </si>
  <si>
    <t>1115991</t>
  </si>
  <si>
    <t>VSD3/A-RFT-40-IP55</t>
  </si>
  <si>
    <t>112 TBLOCK AL F</t>
  </si>
  <si>
    <t>BMG MOTORLINE SPARES</t>
  </si>
  <si>
    <t>1125043</t>
  </si>
  <si>
    <t>CL/PLUS/EC-8050</t>
  </si>
  <si>
    <t>112525</t>
  </si>
  <si>
    <t>11Kw 2P 525V motor to suit 630 Fans</t>
  </si>
  <si>
    <t>1126467</t>
  </si>
  <si>
    <t>THT/CL-125-4/8T/6-20-F-300 400V.</t>
  </si>
  <si>
    <t>1126491</t>
  </si>
  <si>
    <t>THT/CL-125-4T/6-25-F-300 400/690V. IE3</t>
  </si>
  <si>
    <t>1126734</t>
  </si>
  <si>
    <t>THT/CL-90-4T-10-F-300 IE3</t>
  </si>
  <si>
    <t>1129398</t>
  </si>
  <si>
    <t>CA/LINE-31</t>
  </si>
  <si>
    <t>112X3SPA</t>
  </si>
  <si>
    <t>PULLEY FRICTION BELT V-WEDGE 3 GROOVE SPA 2012 TAPER 112MM FENNER</t>
  </si>
  <si>
    <t>1139111</t>
  </si>
  <si>
    <t>THT-90-4T-5.5-14-F-300</t>
  </si>
  <si>
    <t>1139474</t>
  </si>
  <si>
    <t>THT/CL-71-4T-3-F-300 230/400V. IE3</t>
  </si>
  <si>
    <t>1139862</t>
  </si>
  <si>
    <t>HTMV-125-4T/9-40/380V. 60Hz. IE3</t>
  </si>
  <si>
    <t>1140155</t>
  </si>
  <si>
    <t>HTMV-90-4T-7.5/ATEX/2G Ex db 380V. 60Hz</t>
  </si>
  <si>
    <t>1143.</t>
  </si>
  <si>
    <t>11kW 4Pole 525V B3 NV3 IE1 Cast Iron</t>
  </si>
  <si>
    <t>1143PM</t>
  </si>
  <si>
    <t>11KW 4 POLE 380V Pad Mount Motor</t>
  </si>
  <si>
    <t>1182768</t>
  </si>
  <si>
    <t>CJK/EC-500</t>
  </si>
  <si>
    <t>118X2SPA.</t>
  </si>
  <si>
    <t>PULLEY FRICTION BELT V-WEDGE 2 GROOVESPA 1610 TAPER 118MM FENNER</t>
  </si>
  <si>
    <t>118X3SPA</t>
  </si>
  <si>
    <t>PULLEY FRICTION BELT V-WEDGE 3 GROOVE SPA 2012 TAPER 118MM FENNER</t>
  </si>
  <si>
    <t>1200000</t>
  </si>
  <si>
    <t>Insurance</t>
  </si>
  <si>
    <t>1200SAP</t>
  </si>
  <si>
    <t>1200mm Diam podded silencer 1400 Long</t>
  </si>
  <si>
    <t>1210X28MM</t>
  </si>
  <si>
    <t>TAPER LOCK BUSH METRIC 1210 28MM FENNER</t>
  </si>
  <si>
    <t>1220IM</t>
  </si>
  <si>
    <t>32.F.4 Impeller</t>
  </si>
  <si>
    <t>1220SC</t>
  </si>
  <si>
    <t>Screen</t>
  </si>
  <si>
    <t>1220SM1.23D</t>
  </si>
  <si>
    <t>1220 Diam Silencer 1500mm Long</t>
  </si>
  <si>
    <t>1250IM</t>
  </si>
  <si>
    <t>Impeller</t>
  </si>
  <si>
    <t>1270510</t>
  </si>
  <si>
    <t>CUADRO MANDOS BOX SMART</t>
  </si>
  <si>
    <t>1272947</t>
  </si>
  <si>
    <t>THT/CL -125-6T/ 12-15-F-300 IE3</t>
  </si>
  <si>
    <t>1273007</t>
  </si>
  <si>
    <t>THT/IMP-C-REV-63-2T-20-F-400 IE3</t>
  </si>
  <si>
    <t>1273330</t>
  </si>
  <si>
    <t>SDECB/Z-260-4T-0.75</t>
  </si>
  <si>
    <t>1273331</t>
  </si>
  <si>
    <t>SDECB/Z-280-4T-0.75</t>
  </si>
  <si>
    <t>1273332</t>
  </si>
  <si>
    <t>SDECB/Z-300-4T-0.75</t>
  </si>
  <si>
    <t>1275754</t>
  </si>
  <si>
    <t>CJK/FILTER/EC-500-F7+F9</t>
  </si>
  <si>
    <t>1280298</t>
  </si>
  <si>
    <t>DAMPER BOX SMART 71/80</t>
  </si>
  <si>
    <t>1282483</t>
  </si>
  <si>
    <t>KIT BOXPDS SMART 900 4T 10 IE3</t>
  </si>
  <si>
    <t>1286836</t>
  </si>
  <si>
    <t>PS-125 20CV</t>
  </si>
  <si>
    <t>1289142</t>
  </si>
  <si>
    <t>SV/FILTER/EC- 200 F6+F8</t>
  </si>
  <si>
    <t>13-11</t>
  </si>
  <si>
    <t>CABTYRE - 6MM X 6 LUGS 10PKT</t>
  </si>
  <si>
    <t>Alpha Electrical</t>
  </si>
  <si>
    <t>13-12</t>
  </si>
  <si>
    <t>CABTYRE - 6MM X 8 LUGS 10PKT</t>
  </si>
  <si>
    <t>132B0100</t>
  </si>
  <si>
    <t>OPT MICRO LCP DISPLAY W/O POTENTIOM</t>
  </si>
  <si>
    <t>1350439</t>
  </si>
  <si>
    <t>HCT/EC- 63-4T-3 IE5</t>
  </si>
  <si>
    <t>1352297</t>
  </si>
  <si>
    <t>SC-1250/1200</t>
  </si>
  <si>
    <t>1353233</t>
  </si>
  <si>
    <t>KIT BOXSMART-7100 - 230V. -1D</t>
  </si>
  <si>
    <t>1353244</t>
  </si>
  <si>
    <t>KIT BOXSMART-7100 - 230V. -2D</t>
  </si>
  <si>
    <t>1355136</t>
  </si>
  <si>
    <t>HGT-125-4T/12-60 400/690V. IE3</t>
  </si>
  <si>
    <t>13mm X 8mm</t>
  </si>
  <si>
    <t>A 2100</t>
  </si>
  <si>
    <t>Bluetech Fans (Pty) Ltd</t>
  </si>
  <si>
    <t>1400mm</t>
  </si>
  <si>
    <t>Twin Stage Fan c/w 90kw 4Pole (1400rpm) 550V motor</t>
  </si>
  <si>
    <t>1400mm BM</t>
  </si>
  <si>
    <t>1400mm Bellmouth</t>
  </si>
  <si>
    <t>1400mm Inlet</t>
  </si>
  <si>
    <t>and Discharge Screen</t>
  </si>
  <si>
    <t>15-1</t>
  </si>
  <si>
    <t>TI8R BLK - T18R CABLE TIES BLACK 100MMX2</t>
  </si>
  <si>
    <t>Atlantic Lighting &amp; Electrical distributors</t>
  </si>
  <si>
    <t>15-5</t>
  </si>
  <si>
    <t>T50R BLACK - T50R CABLE TIES BLACK 198MMX4</t>
  </si>
  <si>
    <t>1500W</t>
  </si>
  <si>
    <t>TERAL 17.5KG</t>
  </si>
  <si>
    <t>1502479</t>
  </si>
  <si>
    <t>HTMH-71-4T-4 220/380V. 60Hz IE3</t>
  </si>
  <si>
    <t>1503625</t>
  </si>
  <si>
    <t>CA/LINE/EC-10</t>
  </si>
  <si>
    <t>1503631</t>
  </si>
  <si>
    <t>CA/LINE/EC-20</t>
  </si>
  <si>
    <t>1503632</t>
  </si>
  <si>
    <t>CA/LINE/EC-31 50/60Hz.</t>
  </si>
  <si>
    <t>1503633</t>
  </si>
  <si>
    <t>1503634</t>
  </si>
  <si>
    <t>CA/LINE/EC-35 50/60Hz.</t>
  </si>
  <si>
    <t>150NB x 130mm</t>
  </si>
  <si>
    <t>Style 15 Linkflex 100% (Inner &amp; Outer Tube) EPDM rubber bellows c/w mild steel electro</t>
  </si>
  <si>
    <t>150T900</t>
  </si>
  <si>
    <t>150 Diam Tube Silencer 900L</t>
  </si>
  <si>
    <t>15928</t>
  </si>
  <si>
    <t>Repair CMP-1025-2T-3 ( ROS Del Note 15928)</t>
  </si>
  <si>
    <t>1600ICS</t>
  </si>
  <si>
    <t>1600 Dia Inlet Cone Screen</t>
  </si>
  <si>
    <t>16039</t>
  </si>
  <si>
    <t>160X3SPA</t>
  </si>
  <si>
    <t>PULLEY FRICTION BELT V-WEDGE 3 GROOVE SPA 2517 TAPER 160MM FENNER</t>
  </si>
  <si>
    <t>1610X25MM.</t>
  </si>
  <si>
    <t>TAPER LOCK BUSH METRIC 1610 25MM FENNER</t>
  </si>
  <si>
    <t>1610X28MM.</t>
  </si>
  <si>
    <t>Taper Lock Bush Metric 1610 28mm FE</t>
  </si>
  <si>
    <t>1610X38MM</t>
  </si>
  <si>
    <t>TAPER LOCK BUSH METRIC 1610 38MM FENNER</t>
  </si>
  <si>
    <t>16183</t>
  </si>
  <si>
    <t>CA 150 MD E RF</t>
  </si>
  <si>
    <t>16702</t>
  </si>
  <si>
    <t>PRA GLD FLP TTECH SWA D/COMP NO1 M20</t>
  </si>
  <si>
    <t>168-37</t>
  </si>
  <si>
    <t>FAS3212LF RIVET FA - 3.2MMX12MM POP RIVETS</t>
  </si>
  <si>
    <t>18INLET-CONE</t>
  </si>
  <si>
    <t>18 Inch Inlet Cone</t>
  </si>
  <si>
    <t>1920</t>
  </si>
  <si>
    <t>RENTAL MONTHLY</t>
  </si>
  <si>
    <t>19220</t>
  </si>
  <si>
    <t>METAL DRY AUTOMATIC</t>
  </si>
  <si>
    <t>19404</t>
  </si>
  <si>
    <t>KTEX 50-30-4</t>
  </si>
  <si>
    <t>194832</t>
  </si>
  <si>
    <t>M10 FLAT WASHER DIN 125A ZINC BLUE (10 .5i/dx20o/dX2thk)</t>
  </si>
  <si>
    <t>194925</t>
  </si>
  <si>
    <t>M8 FLAT WASHER DIN 125A ZINC BLUE (8 . 4ID*16OD*1 . 6THICK)</t>
  </si>
  <si>
    <t>2.243FM</t>
  </si>
  <si>
    <t>2.2kW 4P 380V Foot Mount Motor</t>
  </si>
  <si>
    <t>2.263PM</t>
  </si>
  <si>
    <t>2.2kW 6P 380V Pad Mount Motor</t>
  </si>
  <si>
    <t>200220VSD</t>
  </si>
  <si>
    <t>220kW 220V VSD</t>
  </si>
  <si>
    <t>200LS</t>
  </si>
  <si>
    <t>200T1200</t>
  </si>
  <si>
    <t>200 Diam Tube Silencer 1200L</t>
  </si>
  <si>
    <t>2012X25MM.</t>
  </si>
  <si>
    <t>TAPER LOCK BUSH METRIC 2012 25MM FENNER</t>
  </si>
  <si>
    <t>2012X38MM</t>
  </si>
  <si>
    <t>TAPER LOCK BUSH METRIC 2012 38MM FENNER</t>
  </si>
  <si>
    <t>21113</t>
  </si>
  <si>
    <t>GV2 ME04</t>
  </si>
  <si>
    <t>214165</t>
  </si>
  <si>
    <t>M10X25X2 FLAT WASHER Z/BLUE</t>
  </si>
  <si>
    <t>214899</t>
  </si>
  <si>
    <t>M12X30X3 FLAT WASHER Z/BLUE</t>
  </si>
  <si>
    <t>220025</t>
  </si>
  <si>
    <t>M8 . 4*20*3 FLAT WASHER Z/BLUE</t>
  </si>
  <si>
    <t>221331</t>
  </si>
  <si>
    <t>M150/6 Spare Motor</t>
  </si>
  <si>
    <t>22M16X150</t>
  </si>
  <si>
    <t>M16 X 150 HT Setscrews</t>
  </si>
  <si>
    <t>MADAN Engineering cc</t>
  </si>
  <si>
    <t>235829</t>
  </si>
  <si>
    <t>M16*120 HT HEX BOLT Z/BLUE</t>
  </si>
  <si>
    <t>237756</t>
  </si>
  <si>
    <t>M10*16 HT HEX SET SCREW Z/BLUE</t>
  </si>
  <si>
    <t>237939</t>
  </si>
  <si>
    <t>M12*20 HT HEX SET SCREW Z/BLUE 12X20 933 8.8 ZB</t>
  </si>
  <si>
    <t>237993</t>
  </si>
  <si>
    <t>M12*40 HT HEX SET SCREW Z/BLUE</t>
  </si>
  <si>
    <t>238028</t>
  </si>
  <si>
    <t>M12*60 HT HEX SET SCREW Z/BLUE</t>
  </si>
  <si>
    <t>238062</t>
  </si>
  <si>
    <t>M12*90 HT HEX SET SCREW Z/BLUE</t>
  </si>
  <si>
    <t>238152</t>
  </si>
  <si>
    <t>M16*100 HT HEX SET SCREW Z/BLUE</t>
  </si>
  <si>
    <t>238166</t>
  </si>
  <si>
    <t>M16*120 HT HEX SET SCREW Z/BLUE</t>
  </si>
  <si>
    <t>238185</t>
  </si>
  <si>
    <t>M16*150 HT HEX SET SCREW ZINC BLUE</t>
  </si>
  <si>
    <t>238307</t>
  </si>
  <si>
    <t>M16*80 HT HEX SET SCREW Z/BLUE</t>
  </si>
  <si>
    <t>239044</t>
  </si>
  <si>
    <t>M5*16 HT HEX SET SCREW Z/BLUE</t>
  </si>
  <si>
    <t>239281</t>
  </si>
  <si>
    <t>M8*16 HT SET SCREW Z/BLUE</t>
  </si>
  <si>
    <t>241419</t>
  </si>
  <si>
    <t>M10 (10.5X20X2) DIN 125 FLAT WASHER S/S 304 - A2</t>
  </si>
  <si>
    <t>241421</t>
  </si>
  <si>
    <t>M16 (17X30X3) FLAT WASHER DIN 125A S/S 304 - A2</t>
  </si>
  <si>
    <t>241440</t>
  </si>
  <si>
    <t>M5 FLAT WASHER DIN 125A S/S 304 - A2 -(5.3i/d X 10o/d X 1thk)</t>
  </si>
  <si>
    <t>241442</t>
  </si>
  <si>
    <t>M6 FLAT WASHER DIN 125A S/S 304 - A2 - (6.4X12.5X1.6)</t>
  </si>
  <si>
    <t>244896</t>
  </si>
  <si>
    <t>M10*25 HEX SET SCREW S/S 304 - A2</t>
  </si>
  <si>
    <t>244949</t>
  </si>
  <si>
    <t>M12*25 HEX SET SCREW S/S A2 - 304</t>
  </si>
  <si>
    <t>244999</t>
  </si>
  <si>
    <t>M16X120 A2 HEX SET SCREW</t>
  </si>
  <si>
    <t>245022</t>
  </si>
  <si>
    <t>M16*60 HEX SET SCREW S/S A2 - 304</t>
  </si>
  <si>
    <t>245035</t>
  </si>
  <si>
    <t>M16*90 A2 HEX SET SCREW</t>
  </si>
  <si>
    <t>245328</t>
  </si>
  <si>
    <t>M12 HEX NUT S/S 304 - A2</t>
  </si>
  <si>
    <t>245333</t>
  </si>
  <si>
    <t>M16 HEX NUT S/S A2 304</t>
  </si>
  <si>
    <t>245388</t>
  </si>
  <si>
    <t>M6 HEX NUT S/S 304 - A2</t>
  </si>
  <si>
    <t>24VDC</t>
  </si>
  <si>
    <t>24VDV, KL, Plug, 119x119x38mm, Compact fan</t>
  </si>
  <si>
    <t>250 WL</t>
  </si>
  <si>
    <t>Weather Louvre</t>
  </si>
  <si>
    <t>250/355 WC</t>
  </si>
  <si>
    <t>Wall Cowl Galvanized</t>
  </si>
  <si>
    <t>25001</t>
  </si>
  <si>
    <t>PRA BLANKING PLUG FLP Exd 20mm</t>
  </si>
  <si>
    <t>250LS</t>
  </si>
  <si>
    <t>250T1200</t>
  </si>
  <si>
    <t>250 Diam Tube Silencer 1200L</t>
  </si>
  <si>
    <t>2517X25MM.</t>
  </si>
  <si>
    <t>TAPER LOCK BUSH METRIC 2517 25MM FENNER</t>
  </si>
  <si>
    <t>2517X28MM</t>
  </si>
  <si>
    <t>TAPER LOCK BUSH METRIC 2517 28MM FENNER</t>
  </si>
  <si>
    <t>2517X35MM</t>
  </si>
  <si>
    <t>TAPER LOCK BUSH METRIC 2517 35MM FENNER</t>
  </si>
  <si>
    <t>255557</t>
  </si>
  <si>
    <t>Stop Start Panel - ABB</t>
  </si>
  <si>
    <t>257799</t>
  </si>
  <si>
    <t>M10 DIN 934 GRADE 8.8 HEX NUT - Satinless Steel</t>
  </si>
  <si>
    <t>257855</t>
  </si>
  <si>
    <t>M16 GR8 HEX NUT Z/BLUE</t>
  </si>
  <si>
    <t>258032</t>
  </si>
  <si>
    <t>M5 HT HEX NUT Z/BLUE</t>
  </si>
  <si>
    <t>258205</t>
  </si>
  <si>
    <t>M12 HT NYLOCK NUT</t>
  </si>
  <si>
    <t>258306</t>
  </si>
  <si>
    <t>M6 HT NYLOCK NUT</t>
  </si>
  <si>
    <t>25CA10</t>
  </si>
  <si>
    <t>Manifold Filter 5''</t>
  </si>
  <si>
    <t>25FF10J20</t>
  </si>
  <si>
    <t>Filtro - FLANGIA DN100 - CON 2 PRESE DI PRESSIONE 1/4 GAS E TAPPI - Item Code: FF10J20</t>
  </si>
  <si>
    <t>25FL10</t>
  </si>
  <si>
    <t>Filter FL10</t>
  </si>
  <si>
    <t>25FL8</t>
  </si>
  <si>
    <t>FILTER FL8</t>
  </si>
  <si>
    <t>25FL9</t>
  </si>
  <si>
    <t>Filter FL9</t>
  </si>
  <si>
    <t>25FM10.</t>
  </si>
  <si>
    <t>FLEXIBLE SLEEVE FM 10</t>
  </si>
  <si>
    <t>25FM8</t>
  </si>
  <si>
    <t>Flexible Sleeve FM 8</t>
  </si>
  <si>
    <t>25MC 040</t>
  </si>
  <si>
    <t>PRESSURE GAUGE 0.600 M BAR</t>
  </si>
  <si>
    <t>25MC040</t>
  </si>
  <si>
    <t>PRESSURE GAUGE 0-600 M.BAR</t>
  </si>
  <si>
    <t>25MC050</t>
  </si>
  <si>
    <t>Pressure Gauge 0/+1000 mbar</t>
  </si>
  <si>
    <t>25MP8</t>
  </si>
  <si>
    <t>Sleeve MP 8 with O-Ring</t>
  </si>
  <si>
    <t>25PV10950</t>
  </si>
  <si>
    <t>Valve Holder G5 INOX VRL 9 L50</t>
  </si>
  <si>
    <t>25PV8650</t>
  </si>
  <si>
    <t>VALVE HOLDER G3'' INOX FOR VRL 6 L50</t>
  </si>
  <si>
    <t>25PV9650</t>
  </si>
  <si>
    <t>Valve Holder G4'' INOX FOR VRL 6 L50</t>
  </si>
  <si>
    <t>25SS8</t>
  </si>
  <si>
    <t>SILENCER SS 8 3''</t>
  </si>
  <si>
    <t>25SS950</t>
  </si>
  <si>
    <t>Silencer SS 9 (4'') GAS L50</t>
  </si>
  <si>
    <t>25TR8</t>
  </si>
  <si>
    <t>CONNECTOR FOR FILTERS 3''</t>
  </si>
  <si>
    <t>25TR9</t>
  </si>
  <si>
    <t>Connector For Filter 4''</t>
  </si>
  <si>
    <t>25VC10-</t>
  </si>
  <si>
    <t>NON-RETURN VALVE</t>
  </si>
  <si>
    <t>25VC8</t>
  </si>
  <si>
    <t>CHECK VALVE VC 8</t>
  </si>
  <si>
    <t>25VC9</t>
  </si>
  <si>
    <t>CHECK VALVE VC9</t>
  </si>
  <si>
    <t>25VRL6 G50</t>
  </si>
  <si>
    <t>RELIEF VALVE VRL 6 GAS L50</t>
  </si>
  <si>
    <t>25VRL6G50</t>
  </si>
  <si>
    <t>RELIEF VALVE VRL9 GAS L50</t>
  </si>
  <si>
    <t>25VRL6HPG50</t>
  </si>
  <si>
    <t>Flow Relief Valve VRL6 HP GAS L50</t>
  </si>
  <si>
    <t>25VRL9G50</t>
  </si>
  <si>
    <t>26-29</t>
  </si>
  <si>
    <t>4MM RED RING LUGS</t>
  </si>
  <si>
    <t>26-30</t>
  </si>
  <si>
    <t>5MM RED RING LUGS</t>
  </si>
  <si>
    <t>26016666640A</t>
  </si>
  <si>
    <t>HBA 112 T6 c/w 7.5Kw 6P 525V</t>
  </si>
  <si>
    <t>267215</t>
  </si>
  <si>
    <t>M12 HEX NUT ZINC BLUE</t>
  </si>
  <si>
    <t>3 MM PLT</t>
  </si>
  <si>
    <t>Bending</t>
  </si>
  <si>
    <t>300 X 300 DG</t>
  </si>
  <si>
    <t>DOOR GRILLE 300/300 NS NA</t>
  </si>
  <si>
    <t>300 x 300 filter box</t>
  </si>
  <si>
    <t>c/w filter, 450 x 450 weather louvre &amp; double deflection grill</t>
  </si>
  <si>
    <t>3000x1500x3mm</t>
  </si>
  <si>
    <t>HR Sheet CQ 3000x1500x3mm</t>
  </si>
  <si>
    <t>300220VSD</t>
  </si>
  <si>
    <t>320kW 220V VSD</t>
  </si>
  <si>
    <t>300WL</t>
  </si>
  <si>
    <t>30630189P16</t>
  </si>
  <si>
    <t>Majax-2 Screen</t>
  </si>
  <si>
    <t>315 LS</t>
  </si>
  <si>
    <t>315MBP01</t>
  </si>
  <si>
    <t>1-0350-240-P01 - 315 Motor Bracket</t>
  </si>
  <si>
    <t>Mafilisti Trading and Projects (Pty) Ltd</t>
  </si>
  <si>
    <t>315SC</t>
  </si>
  <si>
    <t>315mm Dia HDG Screen</t>
  </si>
  <si>
    <t>320 x 280 x 80</t>
  </si>
  <si>
    <t>220V KL Plug - 250HL0601</t>
  </si>
  <si>
    <t>343FM</t>
  </si>
  <si>
    <t>3kW 4P 380V Foot Mount Motor</t>
  </si>
  <si>
    <t>350 LV</t>
  </si>
  <si>
    <t>350 x 350 filter box</t>
  </si>
  <si>
    <t>363PM</t>
  </si>
  <si>
    <t>3kW 6P 380V Pad Mount Motor</t>
  </si>
  <si>
    <t>3mm plt</t>
  </si>
  <si>
    <t>program 2 - Program 2</t>
  </si>
  <si>
    <t>3mm plt - program 2</t>
  </si>
  <si>
    <t>Program 2</t>
  </si>
  <si>
    <t>4 kW 2P 112M</t>
  </si>
  <si>
    <t>3Ph 380-400-415 Standard Efficiency IC418 - TEAO - B30L(D)</t>
  </si>
  <si>
    <t>4.03</t>
  </si>
  <si>
    <t>Ablution ventilation</t>
  </si>
  <si>
    <t>400 LS</t>
  </si>
  <si>
    <t>400053</t>
  </si>
  <si>
    <t>25A TIP HOLDER M6</t>
  </si>
  <si>
    <t>400080</t>
  </si>
  <si>
    <t>TB 250 SHROUD</t>
  </si>
  <si>
    <t>400184</t>
  </si>
  <si>
    <t>LINER 1.00MM AND 1.2MM 4 METRE</t>
  </si>
  <si>
    <t>400220VSD</t>
  </si>
  <si>
    <t>420kW 220V VSD</t>
  </si>
  <si>
    <t>400238</t>
  </si>
  <si>
    <t>CONTACT TIP BNZ STYLE M6 1.0MM</t>
  </si>
  <si>
    <t>400BS</t>
  </si>
  <si>
    <t>Bird Screen</t>
  </si>
  <si>
    <t>400MBP02</t>
  </si>
  <si>
    <t>1-0350-240 P02 - 400 Motor Bracket</t>
  </si>
  <si>
    <t>400SC</t>
  </si>
  <si>
    <t>400 Diam Side Screen</t>
  </si>
  <si>
    <t>400WL</t>
  </si>
  <si>
    <t>400X400WL</t>
  </si>
  <si>
    <t>Weather Louvre NS</t>
  </si>
  <si>
    <t>400ma</t>
  </si>
  <si>
    <t>Maxair 400/3/4</t>
  </si>
  <si>
    <t>4032+0037</t>
  </si>
  <si>
    <t>SPARE MOTOR SIZE 90 - 2.2kW 2 POLI - 230V-50Hz SINGLE-PHASE -CL.F TROP. IP55 + PTO</t>
  </si>
  <si>
    <t>40322</t>
  </si>
  <si>
    <t>40324</t>
  </si>
  <si>
    <t>40329</t>
  </si>
  <si>
    <t>42116</t>
  </si>
  <si>
    <t>BD 12/12 T6 1.1KW 251520160</t>
  </si>
  <si>
    <t>44.13.0010</t>
  </si>
  <si>
    <t>Round Terminal Block</t>
  </si>
  <si>
    <t>443FM</t>
  </si>
  <si>
    <t>4KW 4 D112 ALU Foot 400V IE1 SN:</t>
  </si>
  <si>
    <t>Electromote (Pty) Ltd</t>
  </si>
  <si>
    <t>452525</t>
  </si>
  <si>
    <t>45kW 2P 525v Pad Mount Motor</t>
  </si>
  <si>
    <t>46000</t>
  </si>
  <si>
    <t>PRA GLAND FLP Exde BRASS CPR N0S M20</t>
  </si>
  <si>
    <t>463PM</t>
  </si>
  <si>
    <t>4kW 6P 380V Pad Mount Motor</t>
  </si>
  <si>
    <t>480CF</t>
  </si>
  <si>
    <t>Counter Flanges</t>
  </si>
  <si>
    <t>480MF</t>
  </si>
  <si>
    <t>Mounting Feet</t>
  </si>
  <si>
    <t>49111090</t>
  </si>
  <si>
    <t>CATALOGO</t>
  </si>
  <si>
    <t>4mm plt</t>
  </si>
  <si>
    <t>1000 Flanges Special request</t>
  </si>
  <si>
    <t>5.523FM</t>
  </si>
  <si>
    <t>5.5KW 2P 400V FOOT MOUNT MOTOR</t>
  </si>
  <si>
    <t>5.543FM</t>
  </si>
  <si>
    <t>5.5KW 4P 400V FOOT MOUNT MOTOR</t>
  </si>
  <si>
    <t>5.563PM</t>
  </si>
  <si>
    <t>5.5kW 6P 380V Pad Mount Motor</t>
  </si>
  <si>
    <t>50 duct</t>
  </si>
  <si>
    <t>500mm 5meter</t>
  </si>
  <si>
    <t>500 SC</t>
  </si>
  <si>
    <t>500 Diam Side Screen (HOT DEEP GALV)</t>
  </si>
  <si>
    <t>500/560WC</t>
  </si>
  <si>
    <t>500/560 Wall Cowl</t>
  </si>
  <si>
    <t>500220VSD</t>
  </si>
  <si>
    <t>520kW 220V VSD</t>
  </si>
  <si>
    <t>500BS</t>
  </si>
  <si>
    <t>500IM</t>
  </si>
  <si>
    <t>500IM &amp; 0.55kW 6 Pole 380V</t>
  </si>
  <si>
    <t>Impeller &amp; Motor Assembly</t>
  </si>
  <si>
    <t>500MBP03</t>
  </si>
  <si>
    <t>1-0350-240 P03 - 500 Motor Bracket</t>
  </si>
  <si>
    <t>500SC-</t>
  </si>
  <si>
    <t>500mm Zinc</t>
  </si>
  <si>
    <t>- Zinc Filter Clips</t>
  </si>
  <si>
    <t>Airventfil (Pty) Ltd</t>
  </si>
  <si>
    <t>500mm Zinc -</t>
  </si>
  <si>
    <t>Zinc Filter Clips</t>
  </si>
  <si>
    <t>500mm Zinz -</t>
  </si>
  <si>
    <t>502203527</t>
  </si>
  <si>
    <t>MBP 35 2T c/w 2.2Kw 2880rpm 380V Motor</t>
  </si>
  <si>
    <t>51070</t>
  </si>
  <si>
    <t>PRA REDUCER FLP Ex d/e 32M-25F</t>
  </si>
  <si>
    <t>549CFUG</t>
  </si>
  <si>
    <t>B - 549 Diam Counter Flange Ungalvanised - Buffalo</t>
  </si>
  <si>
    <t>560 20.D.8</t>
  </si>
  <si>
    <t>560 FB</t>
  </si>
  <si>
    <t>Filter Box</t>
  </si>
  <si>
    <t>560/150/10 SI</t>
  </si>
  <si>
    <t>Spare Impeller (560mm 'B' 150A10AR 19mm 080Frame Deg 21 DEG - FM3181)</t>
  </si>
  <si>
    <t>560DC</t>
  </si>
  <si>
    <t>Discharge Cowl</t>
  </si>
  <si>
    <t>560ICS</t>
  </si>
  <si>
    <t>560IMP</t>
  </si>
  <si>
    <t>Impeller 560/250/14 Aluminum - 20 deg pitch, Form B, 24mm Bore</t>
  </si>
  <si>
    <t>560LS</t>
  </si>
  <si>
    <t>560MBP04</t>
  </si>
  <si>
    <t>1-0350-240 P04 - 560 Motor Bracket</t>
  </si>
  <si>
    <t>560SC</t>
  </si>
  <si>
    <t>560WC</t>
  </si>
  <si>
    <t>Wall Cowl &amp; Screen</t>
  </si>
  <si>
    <t>600 X 600</t>
  </si>
  <si>
    <t>600/150</t>
  </si>
  <si>
    <t>150NB T600 RINGS CUT IN ORDER TO MACHINE FLANGES</t>
  </si>
  <si>
    <t>600WC</t>
  </si>
  <si>
    <t>600WL</t>
  </si>
  <si>
    <t>630</t>
  </si>
  <si>
    <t>630mm Fan Guard</t>
  </si>
  <si>
    <t>630 IC</t>
  </si>
  <si>
    <t>Inlet Cone c/w Screen</t>
  </si>
  <si>
    <t>630 Screen</t>
  </si>
  <si>
    <t>630.20.D.4</t>
  </si>
  <si>
    <t>630/150/10 SI</t>
  </si>
  <si>
    <t>Spare Impeller (0630mm 'B' 150A10AR 24mm 090Frame Deg 35 DEG - FM3180)</t>
  </si>
  <si>
    <t>630/150/5 SI</t>
  </si>
  <si>
    <t>630/150/6 SI</t>
  </si>
  <si>
    <t>630/250/7SI</t>
  </si>
  <si>
    <t>630/3/6</t>
  </si>
  <si>
    <t>UV 630/3/6 c/w 1.5 kW 6 Pole 380V</t>
  </si>
  <si>
    <t>630HD</t>
  </si>
  <si>
    <t>630mm Horizontal Discharge Unit with flange and mesh</t>
  </si>
  <si>
    <t>630MB</t>
  </si>
  <si>
    <t>630 Impeller - Balance and Machine</t>
  </si>
  <si>
    <t>Phoenix Fans &amp; Engineering</t>
  </si>
  <si>
    <t>630MBP05</t>
  </si>
  <si>
    <t>1-0350-240 P05 - 630 Motor Bracket</t>
  </si>
  <si>
    <t>630MV112P</t>
  </si>
  <si>
    <t>Minevent 630 c/w 11kw 2P 400V</t>
  </si>
  <si>
    <t>630SC</t>
  </si>
  <si>
    <t>630WC</t>
  </si>
  <si>
    <t>650503207000</t>
  </si>
  <si>
    <t>BEARING 3207 2RS</t>
  </si>
  <si>
    <t>6DA005KZZ000000</t>
  </si>
  <si>
    <t>DDMP 8/9 T M6A1 DA5</t>
  </si>
  <si>
    <t>6DB0046ZZ0000000</t>
  </si>
  <si>
    <t>DDMP 10/8 M6A4 DA8</t>
  </si>
  <si>
    <t>6M02149B</t>
  </si>
  <si>
    <t>DDM 10/10 3F 6P 550W</t>
  </si>
  <si>
    <t>6M04A4/01</t>
  </si>
  <si>
    <t>DDMP 10/10 230V</t>
  </si>
  <si>
    <t>6M04A5</t>
  </si>
  <si>
    <t>DDMP8/7</t>
  </si>
  <si>
    <t>6N02R9</t>
  </si>
  <si>
    <t>DDM 9/9 - 6N02R9 - 550W 4P 220V-1Ph</t>
  </si>
  <si>
    <t>6N02XF</t>
  </si>
  <si>
    <t>DDM 10/10 E6G2503 1F 4P 1V</t>
  </si>
  <si>
    <t>6X4 HOT RUBBER CBK</t>
  </si>
  <si>
    <t>ABNER ELECTRICAL WHOLESALERS (PTY) LTD</t>
  </si>
  <si>
    <t>6mmEW</t>
  </si>
  <si>
    <t>End Washer - 43mm OD and 6mm ID - Plated</t>
  </si>
  <si>
    <t>7.52FM</t>
  </si>
  <si>
    <t>7.5KW 2P 400V FOOT</t>
  </si>
  <si>
    <t>7.543FM</t>
  </si>
  <si>
    <t>7.5kW 4P 400V B3 Alum QL3 Foot Mount</t>
  </si>
  <si>
    <t>7.5kW</t>
  </si>
  <si>
    <t>4Pole 380V IE1 B3 Cast Iron Foot Mount</t>
  </si>
  <si>
    <t>71 FR 13.8</t>
  </si>
  <si>
    <t>71 Motor frame - 13.8 mm OD spacer</t>
  </si>
  <si>
    <t>710 B</t>
  </si>
  <si>
    <t>Blades</t>
  </si>
  <si>
    <t>710 LS</t>
  </si>
  <si>
    <t>710 SI</t>
  </si>
  <si>
    <t>710/150/10 SI</t>
  </si>
  <si>
    <t>Spare Impeller (710mm 'B' 150A10AR 28mm 100Frame 37 DEG - FM3173</t>
  </si>
  <si>
    <t>710IC</t>
  </si>
  <si>
    <t>Majax Inlet Cone c/w Screen</t>
  </si>
  <si>
    <t>710MBP06</t>
  </si>
  <si>
    <t>1-0350-240 P06 - 710 Motor Bracket</t>
  </si>
  <si>
    <t>Intervent-Universal (Pty) Ltd</t>
  </si>
  <si>
    <t>710SC</t>
  </si>
  <si>
    <t>Side Screen</t>
  </si>
  <si>
    <t>710WC</t>
  </si>
  <si>
    <t>71848</t>
  </si>
  <si>
    <t>PRA REDUCER STD BRASS 40M - 25F</t>
  </si>
  <si>
    <t>73-18</t>
  </si>
  <si>
    <t>YCI607A HELLEMON T : RED HANDLE WIRE STRIPPER</t>
  </si>
  <si>
    <t>73-191</t>
  </si>
  <si>
    <t>HYAC5 CRIMP TOOL B : BOOTLACE CRIMPER</t>
  </si>
  <si>
    <t>734SSC</t>
  </si>
  <si>
    <t>734 Special Screen - Hot Dip Galvinised</t>
  </si>
  <si>
    <t>762-37</t>
  </si>
  <si>
    <t>762mm 37kw 2P 525V Flameproof Auxiliary Fan</t>
  </si>
  <si>
    <t>Oniet Enterprise (Pty) Ltd</t>
  </si>
  <si>
    <t>762-45</t>
  </si>
  <si>
    <t>762mm 45KW 2P 525V Flameproof Auxiliary Fan</t>
  </si>
  <si>
    <t>762Assembly</t>
  </si>
  <si>
    <t>762 Assembly, and Miscellaneous</t>
  </si>
  <si>
    <t>762Flame</t>
  </si>
  <si>
    <t>762 Flameproof Track</t>
  </si>
  <si>
    <t>762Grille</t>
  </si>
  <si>
    <t>762 Grille</t>
  </si>
  <si>
    <t>762IMP</t>
  </si>
  <si>
    <t>762 Impeller</t>
  </si>
  <si>
    <t>762Silenced- Motor</t>
  </si>
  <si>
    <t>762 Silenced Motor Barrel</t>
  </si>
  <si>
    <t>762Silenced-Stator</t>
  </si>
  <si>
    <t>762 Silenced Stator Barrel c/w Stator</t>
  </si>
  <si>
    <t>7mmEW</t>
  </si>
  <si>
    <t>End Washer - 43mm OD and 7mm ID - Plated</t>
  </si>
  <si>
    <t>8-188</t>
  </si>
  <si>
    <t>CABTYRE - 4MM X 4C CABTYRE CUT PE</t>
  </si>
  <si>
    <t>80 FR 18.8</t>
  </si>
  <si>
    <t>80 Motor Frame - 18.8 mm OD Spacer</t>
  </si>
  <si>
    <t>800/150/10 SI</t>
  </si>
  <si>
    <t>Spare Impeller (800mm 'B' 150A10AR 28mm 100Frame 27 DEG - FM3176)</t>
  </si>
  <si>
    <t>8005LSW03000300</t>
  </si>
  <si>
    <t>Grille LS 0300x0300 White for fans 200-250-300</t>
  </si>
  <si>
    <t>800IC</t>
  </si>
  <si>
    <t>Inlet Cone</t>
  </si>
  <si>
    <t>800IMP</t>
  </si>
  <si>
    <t>800MBP07</t>
  </si>
  <si>
    <t>1-0350-240 P07 - 800 Motor Bracket</t>
  </si>
  <si>
    <t>800S</t>
  </si>
  <si>
    <t>800mm dia Fan Guard - Hot Dip Galvanised</t>
  </si>
  <si>
    <t>800SAP</t>
  </si>
  <si>
    <t>800mm Diam podded silencer 1400 Long</t>
  </si>
  <si>
    <t>800SC</t>
  </si>
  <si>
    <t>Systemair (Pty) Ltd</t>
  </si>
  <si>
    <t>800WC</t>
  </si>
  <si>
    <t>800 Wall Cowl Galvanized</t>
  </si>
  <si>
    <t>800mm Dia</t>
  </si>
  <si>
    <t>Casing, Impeller and Brackets</t>
  </si>
  <si>
    <t>8220000263</t>
  </si>
  <si>
    <t>8UFAFCAP - Capacitor</t>
  </si>
  <si>
    <t>Ebmpapst</t>
  </si>
  <si>
    <t>830SAP</t>
  </si>
  <si>
    <t>830mm Diam podded silencer 1400 Long</t>
  </si>
  <si>
    <t>85X3SPA</t>
  </si>
  <si>
    <t>PULLEY FRICTION BELT V-WEDGE 3 GROOVE SPA 1210 TAPER 85MM FENNER</t>
  </si>
  <si>
    <t>9.223PM</t>
  </si>
  <si>
    <t>9.2kW 2P 380V Pad Mount Motor</t>
  </si>
  <si>
    <t>9.243PM</t>
  </si>
  <si>
    <t>9.2kW 4P 380V Pad Mount Motor</t>
  </si>
  <si>
    <t>90 FR 23.8</t>
  </si>
  <si>
    <t>90 Motor Frame - 23.8 mm OD Spacer</t>
  </si>
  <si>
    <t>9000004</t>
  </si>
  <si>
    <t>CFD ANALYSIS</t>
  </si>
  <si>
    <t>9000007</t>
  </si>
  <si>
    <t>EXTENDED WARRANTY</t>
  </si>
  <si>
    <t>900FB</t>
  </si>
  <si>
    <t>900Impeller</t>
  </si>
  <si>
    <t>Majax-2 900.32.E.8 Spare Impeller</t>
  </si>
  <si>
    <t>900MBP08</t>
  </si>
  <si>
    <t>1-0350-240 P08 - 900 Motor Bracket</t>
  </si>
  <si>
    <t>900SC</t>
  </si>
  <si>
    <t>90X2SPZ</t>
  </si>
  <si>
    <t>Pulley Friction Belt V-wedge 2 Groo</t>
  </si>
  <si>
    <t>90X3SPA</t>
  </si>
  <si>
    <t>PULLEY FRICTION BELT V-WEDGE 3 GROOVE SPA 1610 TAPER 90MM FENNER</t>
  </si>
  <si>
    <t>950x600x1200</t>
  </si>
  <si>
    <t>950 x 600 x 1200mm Silencer</t>
  </si>
  <si>
    <t>95X3SPA</t>
  </si>
  <si>
    <t>PULLEY FRICTION BELT V-WEDGE 3 GROOVE SPA 1610 TAPER 95MM FENNER</t>
  </si>
  <si>
    <t>97-32</t>
  </si>
  <si>
    <t>PG-16 GLANDS : PG16 POLYMER CABLE GLAND GREY</t>
  </si>
  <si>
    <t>99050-EMB-20-R40</t>
  </si>
  <si>
    <t>EMBROIDERY R40 R40</t>
  </si>
  <si>
    <t>A)</t>
  </si>
  <si>
    <t>LDP/400/6/15/B/19mm - 0.75kW 2P</t>
  </si>
  <si>
    <t>A/01</t>
  </si>
  <si>
    <t>Volume Control Damper &amp; Quad 100mm</t>
  </si>
  <si>
    <t>A/02</t>
  </si>
  <si>
    <t>Fire Damper c/w Link &amp; Quad 100mm</t>
  </si>
  <si>
    <t>AA</t>
  </si>
  <si>
    <t>ABOVE FANS ARE FOR</t>
  </si>
  <si>
    <t>ICC BASEMENT PARKING</t>
  </si>
  <si>
    <t>AC AXIAL FAN</t>
  </si>
  <si>
    <t>130, 220V, FORM V, KL</t>
  </si>
  <si>
    <t>AC COMPACT FAN</t>
  </si>
  <si>
    <t>119X119X38, 220V, GL, PLUG</t>
  </si>
  <si>
    <t>ADF-PVT30</t>
  </si>
  <si>
    <t>PVT 30</t>
  </si>
  <si>
    <t>ADF-PVT30-DUCT</t>
  </si>
  <si>
    <t>Spiral Flex PVC ducting, 5m Length, 300mm Diameter</t>
  </si>
  <si>
    <t>ADRA-</t>
  </si>
  <si>
    <t>RA 1200(W)*600(H) NS PCW</t>
  </si>
  <si>
    <t>ADSD</t>
  </si>
  <si>
    <t>SINGLE DEFLECTION GRILLE 625(W)*625(H) OVER FLANGE NATURAL</t>
  </si>
  <si>
    <t>ADWL--</t>
  </si>
  <si>
    <t>WL 900(W)*600(H) NS NA</t>
  </si>
  <si>
    <t>ADWL.</t>
  </si>
  <si>
    <t>WEATHER LOUVRE 520(W)*520(H) OPENING SIZE NATURALLY ANOD</t>
  </si>
  <si>
    <t>ADWL..</t>
  </si>
  <si>
    <t>WEATHER LOUVRE 800(W)*800(H) HS NA</t>
  </si>
  <si>
    <t>AF4.0X4+EWHSL</t>
  </si>
  <si>
    <t>ALFIX 4.0MM2 4 CORE+E S/LENGHT</t>
  </si>
  <si>
    <t>Alvern Cables (Pty) Ltd</t>
  </si>
  <si>
    <t>AT</t>
  </si>
  <si>
    <t>3001 ALU FOIL TAPE 48mm X 50m (30 micron)</t>
  </si>
  <si>
    <t>AT12/12</t>
  </si>
  <si>
    <t>AT12/12 c/w 3kw 4p 380V</t>
  </si>
  <si>
    <t>ATT/01</t>
  </si>
  <si>
    <t>Attenuator 200x600mm</t>
  </si>
  <si>
    <t>AVMs-</t>
  </si>
  <si>
    <t>Anti-Vibration Rubber Mounts</t>
  </si>
  <si>
    <t>AWSL/1/ 600X600)P/0/P1/</t>
  </si>
  <si>
    <t>Accounting</t>
  </si>
  <si>
    <t>Subscription (Accounting)</t>
  </si>
  <si>
    <t>Sage South Africa (Pty) Ltd</t>
  </si>
  <si>
    <t>Airfreight</t>
  </si>
  <si>
    <t>- Dar Es Salaam</t>
  </si>
  <si>
    <t>Airfreight -</t>
  </si>
  <si>
    <t>Dar Es Salaam</t>
  </si>
  <si>
    <t>Airmax PB</t>
  </si>
  <si>
    <t>Airmax Poles &amp; Brackets</t>
  </si>
  <si>
    <t>Airmax-2.650.W.</t>
  </si>
  <si>
    <t>Airmax-2.650.W - Wall Fan - 187 Watts - 230/1/50 - Twin Blade - Black (Pull Cord)</t>
  </si>
  <si>
    <t>Assembly</t>
  </si>
  <si>
    <t>Building Casing &amp; Impeller</t>
  </si>
  <si>
    <t>B)</t>
  </si>
  <si>
    <t>LDP/315/6/10/B/14mm - 0.55kW 2P</t>
  </si>
  <si>
    <t>B-124-FAN1</t>
  </si>
  <si>
    <t>HTMV-125-4T/9-40 400/690V.IE3 -60Hz - Roof Top Exhaust Fan</t>
  </si>
  <si>
    <t>B-135-FAN1</t>
  </si>
  <si>
    <t>TORRETTE TR-A 450 T4 2.2KW ATEX Zone 1 - Explosion Proof Roof Top Centrifugal Exhaust Fan</t>
  </si>
  <si>
    <t>B-135-FAN2</t>
  </si>
  <si>
    <t>TORRETTE TR-A 500 T4 3KW ATEX Zone 1 - Explosion Proof Roof Top Centrifugal Exhaust Fan</t>
  </si>
  <si>
    <t>B-135-FAN3</t>
  </si>
  <si>
    <t>TORRETTE TR-A 400 T4 1.1KW ATEX Zone 1 - Explosion Proof Roof Top Centrifugal Exhaust Fan</t>
  </si>
  <si>
    <t>B-135-FAN4</t>
  </si>
  <si>
    <t>TORRETTE TRK-AR 500 T4 3KW - Roof Top Centrifugal Exhaust Fan</t>
  </si>
  <si>
    <t>B-135-FAN5</t>
  </si>
  <si>
    <t>B-135-FAN6</t>
  </si>
  <si>
    <t>VORTICENT CMS 35/14 T4 4KW - Wall Mountex Centrifugal Exhaust Fan</t>
  </si>
  <si>
    <t>B-135-FAN7</t>
  </si>
  <si>
    <t>VORTICENT CMS 25/10 T4 0.75KW - Wall Mounted Centrifugal Exhaust Fan</t>
  </si>
  <si>
    <t>B-135-FAN8</t>
  </si>
  <si>
    <t>ENKEL QBK 190 EC - Cassette Type Exhaust Fan</t>
  </si>
  <si>
    <t>B-91-FAN1</t>
  </si>
  <si>
    <t>TORRETTE TR-A 710 T6 4KW ATEX Zone 1 - Explosion Proof Roof Top Centrifugal Exhaust Fan</t>
  </si>
  <si>
    <t>B-91-FAN2</t>
  </si>
  <si>
    <t>HC-63-4T/H/ATEX/2G Ex db 230/400V - 60Hz - Explosion Proof Wall Mounted Centrifugal Exhaust Fan</t>
  </si>
  <si>
    <t>B-91-FAN3</t>
  </si>
  <si>
    <t>TORRETTE TR-A 500 T4 3KW ATEX Zone 1 - Explosion Proof Roof Top Exhaust Fan</t>
  </si>
  <si>
    <t>B-91-FAN4</t>
  </si>
  <si>
    <t>HTMV-90-4T-7.5/ATEX/2G Ex db 400/690V - Explosion Proof Roof Top Exhaust Fan</t>
  </si>
  <si>
    <t>B-91-FAN5</t>
  </si>
  <si>
    <t>TORRETTE TRS 310 EC - Roof Top Exhaust Fan</t>
  </si>
  <si>
    <t>B-91-FAN6</t>
  </si>
  <si>
    <t>TORRETTE TRS 250 EC - Roof Top Exhaust Fan</t>
  </si>
  <si>
    <t>B-91-FAN7</t>
  </si>
  <si>
    <t>Lineo 200 - Inline Exhaust Fan</t>
  </si>
  <si>
    <t>B/01</t>
  </si>
  <si>
    <t>Volume Control Damper &amp; Quad 150mm</t>
  </si>
  <si>
    <t>B/02</t>
  </si>
  <si>
    <t>Fire Damper c/w Link &amp; Quad 150mm</t>
  </si>
  <si>
    <t>B1000</t>
  </si>
  <si>
    <t>BCC2 800/1.0D1 BELT DRIVEN C/W 15KW 4P 380V</t>
  </si>
  <si>
    <t>B3</t>
  </si>
  <si>
    <t>IA Certification (Imported Equipment). Document Review and IA Certification Transfer Based on ATEX</t>
  </si>
  <si>
    <t>MEGATON SYSTEMS (PTY) LTD. T/A MTEX LABORATORIES</t>
  </si>
  <si>
    <t>BBC19X10/14T</t>
  </si>
  <si>
    <t>BANDSAW BIMETAL M42 19x10/14T (2.480x1)</t>
  </si>
  <si>
    <t>BBC19X10/14T-2</t>
  </si>
  <si>
    <t>BANDSAW BIMETAL M42 19x10/14T (3.050x1)</t>
  </si>
  <si>
    <t>BBF19X10/14DOM</t>
  </si>
  <si>
    <t>BBF27X8/12T</t>
  </si>
  <si>
    <t>BANDSAW BIMETAL M42 8/12T (2.480X1)</t>
  </si>
  <si>
    <t>BC-L7ZDW</t>
  </si>
  <si>
    <t>BC-L7ZDW (BCL720) c/w 3.0kw 4P 380V Motor</t>
  </si>
  <si>
    <t>BCC 15</t>
  </si>
  <si>
    <t>BCC 15/0.75kW arrangement 1A class 2 c/w 4kW 4Pole 525v fan Spped 3057rpm</t>
  </si>
  <si>
    <t>BCC 18/01 Class1 (1A) SISW</t>
  </si>
  <si>
    <t>4 kW 4 Pole 380 V</t>
  </si>
  <si>
    <t>BCC 18/01 Class1 (2A) Belt Driven</t>
  </si>
  <si>
    <t>c/w 5.5 kW 4 Pole 380 V Motor</t>
  </si>
  <si>
    <t>BCC 21/01 Class1 (2A) Belt Driven</t>
  </si>
  <si>
    <t>c/w 5.5 kW 4 Pole 380V (IP66)</t>
  </si>
  <si>
    <t>BCC 24/0.93 SI</t>
  </si>
  <si>
    <t>c/w 4KW 4P 380V</t>
  </si>
  <si>
    <t>BCC 27/</t>
  </si>
  <si>
    <t>BCC 27/1.0 c/w 7.5kW 4Pole 380 v</t>
  </si>
  <si>
    <t>BCC 30/0.71 SI (ARR 6A)</t>
  </si>
  <si>
    <t>c/w 15 kW 4 Pole 380 V (Direct Driven)</t>
  </si>
  <si>
    <t>BCC 30/0.75 Class 2 (6A)</t>
  </si>
  <si>
    <t>c/w 15 kW 4 Pole 380 V Motor (Direct Driven)</t>
  </si>
  <si>
    <t>BCC 36/0.81 SI CLASS 3 (A6)</t>
  </si>
  <si>
    <t>c/w 37 kW 4 Pole 380 V (Direct Driven)</t>
  </si>
  <si>
    <t>BCC 39</t>
  </si>
  <si>
    <t>BCC 39/0.99 SISW c/w 75Kw 4P 400V Motor</t>
  </si>
  <si>
    <t>BCC 42/1 Arr2 (Belt driven)</t>
  </si>
  <si>
    <t>c/w 18.5 kW 4 Pole 380 V Motor</t>
  </si>
  <si>
    <t>BCC 45/1.0 (SISW 1A)</t>
  </si>
  <si>
    <t>c/w 45kW 4 Pole 525 V</t>
  </si>
  <si>
    <t>BCC IMP</t>
  </si>
  <si>
    <t>21-inch BCC Impeller</t>
  </si>
  <si>
    <t>BCC-2</t>
  </si>
  <si>
    <t>560/1.0SISW1 c/w 4kw CLASS2 ARR(6A)T60</t>
  </si>
  <si>
    <t>BCC-2 315/1.0</t>
  </si>
  <si>
    <t>c/w 1.1 kW 2 Pole 380 V (Belt Driven)</t>
  </si>
  <si>
    <t>BCC-2 400 1</t>
  </si>
  <si>
    <t>4A DIDW Belt Driven c/w 3kW 4Pole 380v Motor</t>
  </si>
  <si>
    <t>BCC-2 500/1.0</t>
  </si>
  <si>
    <t>4A c/w 7.5 kW 4 Pole 380V</t>
  </si>
  <si>
    <t>BCC-2 500/1.0 DI CLASS 2 (2A)</t>
  </si>
  <si>
    <t>c/w 15 kW 4 Pole 380 V (Belt Driven)</t>
  </si>
  <si>
    <t>BCC-2 560</t>
  </si>
  <si>
    <t>c/w 2.2kW 4Pole 380v Motor</t>
  </si>
  <si>
    <t>BCC-2 630/1 DI 4A</t>
  </si>
  <si>
    <t>c/w 11 kW 4 Pole 380 V</t>
  </si>
  <si>
    <t>BCC-2 630/1.0S1 CLASS2 ARR(1A)</t>
  </si>
  <si>
    <t>C/w 4kw 4pole 380v (Belt Driven)</t>
  </si>
  <si>
    <t>BCC-2 710/1.0 DI CLASS 2 (2A)</t>
  </si>
  <si>
    <t>c/w 30 kW 4 Pole 380 V (Belt Driven)</t>
  </si>
  <si>
    <t>BCC-2 710/1.0 SI 1A</t>
  </si>
  <si>
    <t>c/w 15 kW 4 Pole 380 V Motor (Belt Driven)</t>
  </si>
  <si>
    <t>BCC-2 710/10</t>
  </si>
  <si>
    <t>BCC-2 710/10 4Arr c/w 11kW 4Pole 380v Motor</t>
  </si>
  <si>
    <t>BCC-2 800 1.0 DIDW</t>
  </si>
  <si>
    <t>Arrgt 2-A CL Fan Assembly. L180</t>
  </si>
  <si>
    <t>BCC-24/1.0</t>
  </si>
  <si>
    <t>BCC-24/1.0 c/w 30KW 4P 380V</t>
  </si>
  <si>
    <t>BCC-2400</t>
  </si>
  <si>
    <t>BCC-2 400 DIDW c/w 5.5Kw 4P 380V - J96084</t>
  </si>
  <si>
    <t>BCC12/0.75</t>
  </si>
  <si>
    <t>c/w 1.1 kW 4 Pole 380 V</t>
  </si>
  <si>
    <t>BCC15-J61923</t>
  </si>
  <si>
    <t>BCC 15/0.75 CL2 Ar 1A c/w 4.0kw 4P 525V - J61923</t>
  </si>
  <si>
    <t>BCC27P28350</t>
  </si>
  <si>
    <t>BCC 27/1.0 SISW AR 6A c/w 3.0Kw 6P 380V</t>
  </si>
  <si>
    <t>BCC36</t>
  </si>
  <si>
    <t>BCC36/0.8 SI CLASS 4 (1A) c/w 55kw 4Pole 380V (Belt-Driven)</t>
  </si>
  <si>
    <t>BD 15/15 T6 (42117)</t>
  </si>
  <si>
    <t>BD 15/15 T6 2.2kw 2523</t>
  </si>
  <si>
    <t>BDB-280 CM</t>
  </si>
  <si>
    <t>BCC DIDW CENTRIFUGAL FAN</t>
  </si>
  <si>
    <t>BF</t>
  </si>
  <si>
    <t>Base Frame - HBC-M 630</t>
  </si>
  <si>
    <t>BF50L1.51HS</t>
  </si>
  <si>
    <t>Box fan 1250mm LOUV 220v 01.50kW S/S</t>
  </si>
  <si>
    <t>BP01</t>
  </si>
  <si>
    <t>PLASTIC BUCKLES 12MM - (1000)</t>
  </si>
  <si>
    <t>Balance Impeller</t>
  </si>
  <si>
    <t>Impeller Balancing 2.5kg 4p</t>
  </si>
  <si>
    <t>ISO BALANCING</t>
  </si>
  <si>
    <t>Bcc 30/1.0 Class 1 (1A) SISW</t>
  </si>
  <si>
    <t>c/w 4 kW 4 Pole 380 V</t>
  </si>
  <si>
    <t>Bellax 400</t>
  </si>
  <si>
    <t>Bellax 400 c/w 0.25kW 4Pole 380v Motor</t>
  </si>
  <si>
    <t>Bellax 560</t>
  </si>
  <si>
    <t>Bellax 560 20.D 8 - c/w 1.5kw 4P 220v</t>
  </si>
  <si>
    <t>Bellax 630</t>
  </si>
  <si>
    <t>Bellax 630 20.D 8- c/w1.5kw 4P 220V</t>
  </si>
  <si>
    <t>Bellax 800</t>
  </si>
  <si>
    <t>Bellax 800 32-E-8 c/w 1.5kW 6Pole Motor</t>
  </si>
  <si>
    <t>Bellax500</t>
  </si>
  <si>
    <t>Bellax 500 - 20 - C - 8 c/w 2,2KW 2P 220V</t>
  </si>
  <si>
    <t>Bend System</t>
  </si>
  <si>
    <t>MULTI BEND SYSTEM 50 R</t>
  </si>
  <si>
    <t>in house bending</t>
  </si>
  <si>
    <t>C4324</t>
  </si>
  <si>
    <t>2.0MX1.5MX3.MM KLINGERSIL C4324</t>
  </si>
  <si>
    <t>Klinger Mzansi (Pty) Ltd</t>
  </si>
  <si>
    <t>CA/Line/EC</t>
  </si>
  <si>
    <t>31 50/60HZ</t>
  </si>
  <si>
    <t>CAMC</t>
  </si>
  <si>
    <t>CAMC-360-80 B/2</t>
  </si>
  <si>
    <t>CAMC-560</t>
  </si>
  <si>
    <t>CAMC-560-160 MA/2</t>
  </si>
  <si>
    <t>CANCOLSPIG150</t>
  </si>
  <si>
    <t>CANCOLLAR SPIGOT 150 DIA</t>
  </si>
  <si>
    <t>CAS</t>
  </si>
  <si>
    <t>CAS-248-2T-1.5/INOX-316 230/400V. IE3</t>
  </si>
  <si>
    <t>CAS.</t>
  </si>
  <si>
    <t>CAS-242-2T-0.5/INOX-316 230/400V</t>
  </si>
  <si>
    <t>CAS..</t>
  </si>
  <si>
    <t>CAS-242-2T-0.5/INOX-316 230/400V.</t>
  </si>
  <si>
    <t>CASB-560-2T-25</t>
  </si>
  <si>
    <t>c/w 18.5 kW 4 Pole 380 V (Direct Driven)</t>
  </si>
  <si>
    <t>CASB-900</t>
  </si>
  <si>
    <t>CASB-900-4T-30/ATEX/3G Ex ec 380/660V./ARR.9 60H</t>
  </si>
  <si>
    <t>CCD25</t>
  </si>
  <si>
    <t>250 DIA SQUARE CONSTANT VOLUME DIFFUSER</t>
  </si>
  <si>
    <t>CCTV</t>
  </si>
  <si>
    <t>Camera Replacement</t>
  </si>
  <si>
    <t>AXEGROUP</t>
  </si>
  <si>
    <t>CDXRT</t>
  </si>
  <si>
    <t>CDXRT-250-3 230/400V. IE3</t>
  </si>
  <si>
    <t>CE 250</t>
  </si>
  <si>
    <t>CE200</t>
  </si>
  <si>
    <t>CF/01</t>
  </si>
  <si>
    <t>LCF 56 - 1440rpm - 4 Speed 220V</t>
  </si>
  <si>
    <t>CHT</t>
  </si>
  <si>
    <t>CHT-200-4M 230V.</t>
  </si>
  <si>
    <t>CI-100-4T-F-300</t>
  </si>
  <si>
    <t>CJ77J-DNM12-104-02-M</t>
  </si>
  <si>
    <t>DENIM WORK JACKET INDIGO M</t>
  </si>
  <si>
    <t>CJ77J-DNM12-104-03-L</t>
  </si>
  <si>
    <t>DENIM WORK JACKET INDIGO L</t>
  </si>
  <si>
    <t>CJ77J-NAVBOT-101-01-S</t>
  </si>
  <si>
    <t>VERSATEX TWO-TONE WORK JACKET NAVY/BOTTLE S</t>
  </si>
  <si>
    <t>CJ77J-NAVBOT-101-02-M</t>
  </si>
  <si>
    <t>VERSATEX TWO-TONE WORK JACKET NAVY/BOTTLE M</t>
  </si>
  <si>
    <t>CJ77J-NAVBOT-101-04-XL</t>
  </si>
  <si>
    <t>VERSATEX TWO-TONE WORK JACKET NAVY/BOTTLE XL</t>
  </si>
  <si>
    <t>CL/PLUS/EC-6035</t>
  </si>
  <si>
    <t>Rectangular Fan</t>
  </si>
  <si>
    <t>CL/PLUS/EC-7040</t>
  </si>
  <si>
    <t>CLIPS003</t>
  </si>
  <si>
    <t>75mm Galv Filter Clip</t>
  </si>
  <si>
    <t>Filtermac Design ( Pty) Ltd</t>
  </si>
  <si>
    <t>CMP</t>
  </si>
  <si>
    <t>CMP11254T</t>
  </si>
  <si>
    <t>CMP 1128 4T</t>
  </si>
  <si>
    <t>CMRS-400-2T</t>
  </si>
  <si>
    <t>CMRS-400-2T-5.5 LG270-0-45-90-135-315</t>
  </si>
  <si>
    <t>CMV400</t>
  </si>
  <si>
    <t>CMVpro 400 P4 PPs Casing &amp; impeller RD 90 Fan c/w 5.5kw 4P 380V</t>
  </si>
  <si>
    <t>Polimatrix SA (Pty) Ltd</t>
  </si>
  <si>
    <t>CMVpro DD250-250P4 PPs LG 0</t>
  </si>
  <si>
    <t>1.5 kW 4 Pole 220 V</t>
  </si>
  <si>
    <t>CN4PC-SS-DAS</t>
  </si>
  <si>
    <t>Screws &amp; Springs for Combination Set Dasqua</t>
  </si>
  <si>
    <t>CONT/0350/00960</t>
  </si>
  <si>
    <t>MLM 36V Power Supply Unit</t>
  </si>
  <si>
    <t>COUNCIL BILLINGG</t>
  </si>
  <si>
    <t>February Council Billing</t>
  </si>
  <si>
    <t>Stand 231 Alrode South CC</t>
  </si>
  <si>
    <t>CP77P-DESMBO-201-00-28</t>
  </si>
  <si>
    <t>VERSATEX WORK TROUSERS BOTTLE 28</t>
  </si>
  <si>
    <t>CP77P-DESMBO-201-00-32</t>
  </si>
  <si>
    <t>VERSATEX WORK TROUSERS BOTTLE 32</t>
  </si>
  <si>
    <t>CP77P-DESMBO-201-00-44</t>
  </si>
  <si>
    <t>VERSATEX WORK TROUSERS BOTTLE 44</t>
  </si>
  <si>
    <t>CP77P-DNM12-104-00-32</t>
  </si>
  <si>
    <t>DENIM WORK TROUSERS INDIGO 32</t>
  </si>
  <si>
    <t>CPV</t>
  </si>
  <si>
    <t>CPV2045/4T-IE3</t>
  </si>
  <si>
    <t>CPV/ATEX</t>
  </si>
  <si>
    <t>CPV/ATEX-160-4T/2D EX TB</t>
  </si>
  <si>
    <t>CSH1000x1.5</t>
  </si>
  <si>
    <t>Copper Sheet (2000x1000x1.5mm)</t>
  </si>
  <si>
    <t>Gold Circle Metals</t>
  </si>
  <si>
    <t>CT1.50X4BK</t>
  </si>
  <si>
    <t>CABTYRE 1,5MM2 4 CORE BLACK</t>
  </si>
  <si>
    <t>CT2.50X4BK</t>
  </si>
  <si>
    <t>CABTYRE 2,5MM2 4 CORE - BLACK</t>
  </si>
  <si>
    <t>CTA/01</t>
  </si>
  <si>
    <t>Attenuator 150x600mm</t>
  </si>
  <si>
    <t>CTA/02</t>
  </si>
  <si>
    <t>CTF - 60</t>
  </si>
  <si>
    <t>c/w 1.8kW 4Pole 220v</t>
  </si>
  <si>
    <t>CTF - 80</t>
  </si>
  <si>
    <t>CTF-80 c/w 2.2kW 960rpm 220v</t>
  </si>
  <si>
    <t>CTF-40</t>
  </si>
  <si>
    <t>CTF-40 c/w 1.1kw 2990rpm 380V</t>
  </si>
  <si>
    <t>CTF-50</t>
  </si>
  <si>
    <t>c/w 1.1kW 4Pole 220v</t>
  </si>
  <si>
    <t>CZ200C</t>
  </si>
  <si>
    <t>Neoprene Clamp - 200mm</t>
  </si>
  <si>
    <t>CZ315C</t>
  </si>
  <si>
    <t>Neoprene Clamp 315</t>
  </si>
  <si>
    <t>Centrifugal Fan</t>
  </si>
  <si>
    <t>280 CM BCC DIDW CENTRIFUGAL FAN</t>
  </si>
  <si>
    <t>Company Car</t>
  </si>
  <si>
    <t>Mahindra 1.2T MX2 A/T</t>
  </si>
  <si>
    <t>Compile</t>
  </si>
  <si>
    <t>Report</t>
  </si>
  <si>
    <t>TDCM Engineering cc</t>
  </si>
  <si>
    <t>Control Panel</t>
  </si>
  <si>
    <t>For 7-off Fans</t>
  </si>
  <si>
    <t>Counter-Flanges</t>
  </si>
  <si>
    <t>DDM 10/10</t>
  </si>
  <si>
    <t>Crates</t>
  </si>
  <si>
    <t>Wooden crates</t>
  </si>
  <si>
    <t>D)</t>
  </si>
  <si>
    <t>Casings - 315mm Casing to Suit Above</t>
  </si>
  <si>
    <t>D100000</t>
  </si>
  <si>
    <t>UV250/1/6/F</t>
  </si>
  <si>
    <t>D100039 - D31689</t>
  </si>
  <si>
    <t>500 Impeller</t>
  </si>
  <si>
    <t>D100039 - D31713</t>
  </si>
  <si>
    <t>560 Impeller</t>
  </si>
  <si>
    <t>D100073</t>
  </si>
  <si>
    <t>CE250BB</t>
  </si>
  <si>
    <t>D100074</t>
  </si>
  <si>
    <t>RM 220/1/50 Speed Controller</t>
  </si>
  <si>
    <t>D10075</t>
  </si>
  <si>
    <t>Lineo 125 Kit</t>
  </si>
  <si>
    <t>D4E180</t>
  </si>
  <si>
    <t>CA02-02 50/60Hz 230V</t>
  </si>
  <si>
    <t>DD250</t>
  </si>
  <si>
    <t>CMVpro DD250-250P4 PPs LG 0 Fan, 380 Volt, 1.5 kW IE1 Standard Efficiency Motor @ 1400 rpm</t>
  </si>
  <si>
    <t>DD315</t>
  </si>
  <si>
    <t>CMVpro DD315-315P4 PPs LG 0 Fan, 380 Volt, 2,2 kW IE1 Standard Efficiency Motor @ 1400 rpm</t>
  </si>
  <si>
    <t>DD400</t>
  </si>
  <si>
    <t>CMVeco DD400-400P4 PPs LG 0 Fan, 380 Volt, 5,5 kW IE1 Standard Efficiency Motor @ 1400 rpm</t>
  </si>
  <si>
    <t>DMP</t>
  </si>
  <si>
    <t>VCDQK - VC DAMPER WITH QUADRANT KIT 150*150</t>
  </si>
  <si>
    <t>DMP - VCDQK</t>
  </si>
  <si>
    <t>VC DAMPER WITH QUADRANT KIT 150*150</t>
  </si>
  <si>
    <t>DPF95%/600/600/300</t>
  </si>
  <si>
    <t>DISPOSABLE POCKET FILTER 95%</t>
  </si>
  <si>
    <t>DPF95%/600/600/600</t>
  </si>
  <si>
    <t>DPF95%/CUSTOM</t>
  </si>
  <si>
    <t>DISPOSABLE POCKET FILTER 95% 600MM X 270MM X 300MM</t>
  </si>
  <si>
    <t>DPF95%/CUSTOM.</t>
  </si>
  <si>
    <t>DISPOSABLE POCKET FILTER 95% 600MM X 270MM X 600MM</t>
  </si>
  <si>
    <t>DRG4030</t>
  </si>
  <si>
    <t>DOOR GRILLE 400/300 NS NA</t>
  </si>
  <si>
    <t>DRG4040</t>
  </si>
  <si>
    <t>DOOR GRILLE 400/400 NS NA</t>
  </si>
  <si>
    <t>DRILL BIT</t>
  </si>
  <si>
    <t>3MM - Drill bit 3mm HSS</t>
  </si>
  <si>
    <t>DTG/01</t>
  </si>
  <si>
    <t>DRG 300x150 Mill c/w Powder Coating</t>
  </si>
  <si>
    <t>Delivery</t>
  </si>
  <si>
    <t>- Delivery</t>
  </si>
  <si>
    <t>D3 Express (PTY) Ltd</t>
  </si>
  <si>
    <t>Delivery -</t>
  </si>
  <si>
    <t>Duct</t>
  </si>
  <si>
    <t>10 Meter Spiral Flexible Ducting</t>
  </si>
  <si>
    <t>E)</t>
  </si>
  <si>
    <t>Brackets - sets motor mounting brackets (threaded rod)</t>
  </si>
  <si>
    <t>E01-FAN1</t>
  </si>
  <si>
    <t>Torrette TR-A 450 T4 2.2KW ATEX ZONE 1 - Explosion Proof Roof Top Exhaust Fan</t>
  </si>
  <si>
    <t>E01-FAN2</t>
  </si>
  <si>
    <t>TORRETTE TR-A 355 T4 0.55KW ATEX Zone 1 - Explosion Proof Roof Top Exhaust Fan</t>
  </si>
  <si>
    <t>E01-FAN3</t>
  </si>
  <si>
    <t>E01-FAN4</t>
  </si>
  <si>
    <t>CA 150 MD E RF - Roof Top Exhaust Fan</t>
  </si>
  <si>
    <t>E01-FAN5</t>
  </si>
  <si>
    <t>A-E 354 T - Wall Mounted Exhaust Fan</t>
  </si>
  <si>
    <t>E01-FAN6</t>
  </si>
  <si>
    <t>A-E 304 T - Wall Mounted Exhaust Fan</t>
  </si>
  <si>
    <t>E07TD GOR X M.E</t>
  </si>
  <si>
    <t>7.5-9 KW SIZE 132- B5</t>
  </si>
  <si>
    <t>E09TD GOR X M.E</t>
  </si>
  <si>
    <t>18.5-22kw Size 160-B5</t>
  </si>
  <si>
    <t>E1006999</t>
  </si>
  <si>
    <t>BD-140 / INOX 316 - Inlet Transition</t>
  </si>
  <si>
    <t>E1007790</t>
  </si>
  <si>
    <t>CHT-630-6T/ATEX/2D Ex tb 230/400V.</t>
  </si>
  <si>
    <t>E1010596</t>
  </si>
  <si>
    <t>CAS 254 - 2T - 3 c/w 2.2kw 2Pole 220V-3Ph Motor</t>
  </si>
  <si>
    <t>E1012389</t>
  </si>
  <si>
    <t>CMP-514-2T Stainless Steel</t>
  </si>
  <si>
    <t>E1012489</t>
  </si>
  <si>
    <t>CMP-514-2T UL/CSA 480V. 60Hz</t>
  </si>
  <si>
    <t>E1098100</t>
  </si>
  <si>
    <t>CMRS-710-4T-20/ALL</t>
  </si>
  <si>
    <t>E1098105</t>
  </si>
  <si>
    <t>CMRS-800-6T-7.5/ALL</t>
  </si>
  <si>
    <t>E1122845</t>
  </si>
  <si>
    <t>THT/CL-125-6/12T/9-10-F-400 400V.</t>
  </si>
  <si>
    <t>E1350433</t>
  </si>
  <si>
    <t>HCT/EC-45-2T-2 400V. 50/60Hz. IE5</t>
  </si>
  <si>
    <t>EAF 06</t>
  </si>
  <si>
    <t>3040 l/s @ 300Pa</t>
  </si>
  <si>
    <t>EAF 06.</t>
  </si>
  <si>
    <t>3040 l/s @ 300Pa (Set 710 Blades to 20 Degree)</t>
  </si>
  <si>
    <t>ECO100220</t>
  </si>
  <si>
    <t>Bubble Wrap - 1250mm x 100mm</t>
  </si>
  <si>
    <t>Econopak CC</t>
  </si>
  <si>
    <t>EG/01</t>
  </si>
  <si>
    <t>EG/02</t>
  </si>
  <si>
    <t>4 way Ceiling Diffuser</t>
  </si>
  <si>
    <t>EML2303033</t>
  </si>
  <si>
    <t>5.5kw 4P 400V/690V B3T 132S IE1 Motor</t>
  </si>
  <si>
    <t>ESD-220V</t>
  </si>
  <si>
    <t>Smoke Damper &amp; 220v Actuator</t>
  </si>
  <si>
    <t>ESD-24V</t>
  </si>
  <si>
    <t>Smoke Damper &amp; 24v Actuator</t>
  </si>
  <si>
    <t>EUA1152MM</t>
  </si>
  <si>
    <t>Eurotherm A1 152mm - 10M</t>
  </si>
  <si>
    <t>HVAC DISTRIBUTORS (PTY) LTD</t>
  </si>
  <si>
    <t>EVC-JH168</t>
  </si>
  <si>
    <t>Evaporative Air Cooler: 220V, 380W, 3 Speed, 8000m3/hr, 80Pa</t>
  </si>
  <si>
    <t>EVM100</t>
  </si>
  <si>
    <t>100MM METAL EXTRACT VALVE</t>
  </si>
  <si>
    <t>EVM200</t>
  </si>
  <si>
    <t>200MM METAL EXTRACT VALVE</t>
  </si>
  <si>
    <t>Electric Motor</t>
  </si>
  <si>
    <t>5.5 kW 4 Pole 380 V (Foot Mount) Standard Motor</t>
  </si>
  <si>
    <t>380W, 230V, 800m3/hr, 75lt - 3 Speed</t>
  </si>
  <si>
    <t>F)</t>
  </si>
  <si>
    <t>Brackets - set motor mounting bracket (threaded rod)</t>
  </si>
  <si>
    <t>FA 400</t>
  </si>
  <si>
    <t>FAC 400/3/4</t>
  </si>
  <si>
    <t>FA6</t>
  </si>
  <si>
    <t>FA8</t>
  </si>
  <si>
    <t>FAN QCP</t>
  </si>
  <si>
    <t>Data Book</t>
  </si>
  <si>
    <t>FB</t>
  </si>
  <si>
    <t>Filter box, wall sleeve and flashing</t>
  </si>
  <si>
    <t>FBar-50x8mm-6M</t>
  </si>
  <si>
    <t>Flat Bar CQ 50x8mm 6M</t>
  </si>
  <si>
    <t>FCC 21/1</t>
  </si>
  <si>
    <t>c/w 0.55 kW 6 Pole 380 V Motor</t>
  </si>
  <si>
    <t>FD40</t>
  </si>
  <si>
    <t>Floor Fan</t>
  </si>
  <si>
    <t>FILTERSS</t>
  </si>
  <si>
    <t>RIGID POC FILTERS</t>
  </si>
  <si>
    <t>FLAT WASHER</t>
  </si>
  <si>
    <t>M6 ZB - M6 (6.4 X12X1.6) FLAT WASHER DIN 125A ZINC BLUE</t>
  </si>
  <si>
    <t>FM</t>
  </si>
  <si>
    <t>004 - 2940 rpm SANS 60079-15</t>
  </si>
  <si>
    <t>FM - 004</t>
  </si>
  <si>
    <t>2940 rpm SANS 60079-15</t>
  </si>
  <si>
    <t>FM - EXPORT</t>
  </si>
  <si>
    <t>GOODS DELIVERED</t>
  </si>
  <si>
    <t>FM - IMPORTS</t>
  </si>
  <si>
    <t>STOCK RECEIVED</t>
  </si>
  <si>
    <t>FM - IMPORTS VAT</t>
  </si>
  <si>
    <t>IMPORT OUTPUT VAT</t>
  </si>
  <si>
    <t>FM - Inspection</t>
  </si>
  <si>
    <t>Charges SGS</t>
  </si>
  <si>
    <t>FM - PRINTER</t>
  </si>
  <si>
    <t>PRINTER COPIES</t>
  </si>
  <si>
    <t>FM- 003</t>
  </si>
  <si>
    <t>7.5kW Stator Rewind to 525V</t>
  </si>
  <si>
    <t>FMTA4519</t>
  </si>
  <si>
    <t>Mimosa Mall Office Park</t>
  </si>
  <si>
    <t>FMTA4567</t>
  </si>
  <si>
    <t>Constitutional Hill</t>
  </si>
  <si>
    <t>FMX5000302</t>
  </si>
  <si>
    <t>Fumax 500.20.C.8.300.2.3 c/w 3 kW 2 Pole 380V</t>
  </si>
  <si>
    <t>FMX900</t>
  </si>
  <si>
    <t>Fumax 900</t>
  </si>
  <si>
    <t>FR500A-4T-4.0G/5.5P-H</t>
  </si>
  <si>
    <t>4.0KW 380V 9.5A</t>
  </si>
  <si>
    <t>Drive Dynamics (Pty) Ltd</t>
  </si>
  <si>
    <t>FRK-25</t>
  </si>
  <si>
    <t>DUCT WRAP 10m X 1200 X 25 X 23 FRK (silver)</t>
  </si>
  <si>
    <t>FS C.25A</t>
  </si>
  <si>
    <t>Fan Speed Controller</t>
  </si>
  <si>
    <t>FT8003004</t>
  </si>
  <si>
    <t>Fumax 800.32.E.8.300.4.3 c/w 3 kW 4 Pole 380V</t>
  </si>
  <si>
    <t>FUMAX</t>
  </si>
  <si>
    <t>FUMAX 1000.32.F.8 c/w 15KW 4P 380V</t>
  </si>
  <si>
    <t>FUMAX 500</t>
  </si>
  <si>
    <t>FUMAX 500.20.C.8 c/w 0.37KW 4P 380V</t>
  </si>
  <si>
    <t>FUMAX105X105</t>
  </si>
  <si>
    <t>UV print onto alu plates (105mm x105mm) block cut</t>
  </si>
  <si>
    <t>HC Soekoe CC</t>
  </si>
  <si>
    <t>FUMAX40X65</t>
  </si>
  <si>
    <t>UV print onto alu plates (40mm x65mm) block cut</t>
  </si>
  <si>
    <t>FUMAX630</t>
  </si>
  <si>
    <t>Fumax 630.20.D.8 c/w 1.5 kw 4P 380V</t>
  </si>
  <si>
    <t>FUMAX710</t>
  </si>
  <si>
    <t>Fumax 710.20.D c/w 3kw 4P 380V</t>
  </si>
  <si>
    <t>FUMAX900</t>
  </si>
  <si>
    <t>Fumax 900.32.4.E.4 c/w5.5kw 4P 380V</t>
  </si>
  <si>
    <t>Fan Redusor</t>
  </si>
  <si>
    <t>Fan Size to 260 X 260 mm</t>
  </si>
  <si>
    <t>Fan Screen</t>
  </si>
  <si>
    <t>500mm Dia</t>
  </si>
  <si>
    <t>Fan Testing</t>
  </si>
  <si>
    <t>Service Engineer x1</t>
  </si>
  <si>
    <t>Fiber Laser</t>
  </si>
  <si>
    <t>Mini Desktop Fibre Laser - Mini Desktop Fibre Laser Marking Machine</t>
  </si>
  <si>
    <t>Fumax 1000.32.F.8.1100.4.3</t>
  </si>
  <si>
    <t>c/w 11 kW 4 Pole 380 V Motor</t>
  </si>
  <si>
    <t>Fumax 1000.32.F.8.1500.4.3</t>
  </si>
  <si>
    <t>c/w 15 kW 4 Pole 380 V Motor</t>
  </si>
  <si>
    <t>Fumax 1000.32.F.8.1850.4.3</t>
  </si>
  <si>
    <t>c/w 18.5 kW 4 Pole 400 V Motor</t>
  </si>
  <si>
    <t>Fumax 10007504</t>
  </si>
  <si>
    <t>1000 32.F.8 c/w 7.5kW 4 Pole 380V</t>
  </si>
  <si>
    <t>Fumax 1250 50.H.6</t>
  </si>
  <si>
    <t>5.5kW 4Pole 380V</t>
  </si>
  <si>
    <t>Fumax 500 20.C.8</t>
  </si>
  <si>
    <t>c/w 2.2kW 4 Pole 380 V</t>
  </si>
  <si>
    <t>Fumax 560</t>
  </si>
  <si>
    <t>Fumax 560.20.D.8 C/W 3KW 2P 380V</t>
  </si>
  <si>
    <t>Fumax 630</t>
  </si>
  <si>
    <t>Fumax 6300754</t>
  </si>
  <si>
    <t>630 20.D.8 c/w 0.75 kW 4 Pole 380V</t>
  </si>
  <si>
    <t>Fumax 710.20.D.8.0220.4.3</t>
  </si>
  <si>
    <t>c/w 2.2 kW 4 Pole 380 V Motor</t>
  </si>
  <si>
    <t>Fumax 800.32.E.8.0400.4.3</t>
  </si>
  <si>
    <t>c/w 4 kW 4 Pole 380 V Motor</t>
  </si>
  <si>
    <t>Fumax 8004004</t>
  </si>
  <si>
    <t>800 32.F.8 c/w 4 kW 4 Pole 380V</t>
  </si>
  <si>
    <t>Fumax 900 32.E.8</t>
  </si>
  <si>
    <t>Fumax 900.20.E.8.0550.4.3</t>
  </si>
  <si>
    <t>c/w 5.5 kW 4 Pole 380 V</t>
  </si>
  <si>
    <t>Fumax 900.20.E.8.0750.4.3</t>
  </si>
  <si>
    <t>c/w 7.7 kW 4 Pole 380 V Motor</t>
  </si>
  <si>
    <t>Fumax-2 400 15.B.8</t>
  </si>
  <si>
    <t>Fumax400</t>
  </si>
  <si>
    <t>Fumax 4000.15.B.4 C/W 1.5KW 2P 380V</t>
  </si>
  <si>
    <t>Fumex 1250.50.H.6.0220.4.3</t>
  </si>
  <si>
    <t>c/w 22 kW 4 Pole 380 V Motor</t>
  </si>
  <si>
    <t>G023</t>
  </si>
  <si>
    <t>GLOVES 2.5 GREEN WRIST</t>
  </si>
  <si>
    <t>G2E180EH0301</t>
  </si>
  <si>
    <t>220V SI Centrifugal Fan</t>
  </si>
  <si>
    <t>GALVANISING</t>
  </si>
  <si>
    <t>Galvanizing General 11 X FAN CASING</t>
  </si>
  <si>
    <t>GAS001</t>
  </si>
  <si>
    <t>Rolls Gasketing</t>
  </si>
  <si>
    <t>GL5</t>
  </si>
  <si>
    <t>380V Extraction &amp; Ventilation 380V, 0.55kW 1430rpm 7000m3/hr</t>
  </si>
  <si>
    <t>GLF12.5</t>
  </si>
  <si>
    <t>Box, NO MOTOR</t>
  </si>
  <si>
    <t>GLF7</t>
  </si>
  <si>
    <t>c/w 0.45kW 960RPM 380V Motor</t>
  </si>
  <si>
    <t>GM35SG5IH</t>
  </si>
  <si>
    <t>GM 35 S, UNIT, ACCOUSTIC HOOD</t>
  </si>
  <si>
    <t>GRM300</t>
  </si>
  <si>
    <t>Shutter PVC Gravity for 200mmFan S/Frame</t>
  </si>
  <si>
    <t>GRM350.</t>
  </si>
  <si>
    <t>GRM400</t>
  </si>
  <si>
    <t>Shutter PVC Gravity for 315mmFan S/Frame</t>
  </si>
  <si>
    <t>GRM535</t>
  </si>
  <si>
    <t>Shutter PVC Gravity for 400mmFan S/Frame</t>
  </si>
  <si>
    <t>GRM634</t>
  </si>
  <si>
    <t>Shutter PVC Gravity for 450mmFan S/Frame</t>
  </si>
  <si>
    <t>GRM635</t>
  </si>
  <si>
    <t>Shutter PVC Gravity for 500mmFan S/Frame</t>
  </si>
  <si>
    <t>Grub Screw</t>
  </si>
  <si>
    <t>4mm - 4mm Grub Screw</t>
  </si>
  <si>
    <t>H20102</t>
  </si>
  <si>
    <t>WEATHER SEAL 6mm*25mm*5mt BLACK FOAM</t>
  </si>
  <si>
    <t>Securadeal</t>
  </si>
  <si>
    <t>HANDLING FEE.</t>
  </si>
  <si>
    <t>GOODS RETURNED HANDLING FEE - CHARGED AT 15%</t>
  </si>
  <si>
    <t>HBC-M 1400(E)/0.83 SI Arr (6A) (HD04/04)</t>
  </si>
  <si>
    <t>c/w 110 kW 4 Pole 525 V</t>
  </si>
  <si>
    <t>HBC-M 1600(A)/0.93 SI Arr (6A) (HD04/04)</t>
  </si>
  <si>
    <t>c/w 132 kW 4 Pole 525 V (Direct Driven)</t>
  </si>
  <si>
    <t>HBC-M 630(B)/0.96</t>
  </si>
  <si>
    <t>HBC-M 710/1.0 (1A) Class 3</t>
  </si>
  <si>
    <t>30k W 4Pole 380 V Motor (Belt Driven Fan)</t>
  </si>
  <si>
    <t>HBC-M 900(A)/0.99 SI Arr (6A) (HD04/04)</t>
  </si>
  <si>
    <t>c/w 55 kW 4 Pole 525V Motor</t>
  </si>
  <si>
    <t>HBCM630</t>
  </si>
  <si>
    <t>HBC-M 630 Ar 6A Direct Driven c/w 9.2KW 2P 380V</t>
  </si>
  <si>
    <t>HBF 45 T4</t>
  </si>
  <si>
    <t>c/w 0.55 kW 4 Pole 380V Motor</t>
  </si>
  <si>
    <t>HCT/EC</t>
  </si>
  <si>
    <t>45-2T-2 400V 50/60HZ IE5</t>
  </si>
  <si>
    <t>HDA 9/9</t>
  </si>
  <si>
    <t>Crop to 959mm - 42mm Bore</t>
  </si>
  <si>
    <t>HDA1250</t>
  </si>
  <si>
    <t>HDA 1250 , 9Bladed , axial flow impeller</t>
  </si>
  <si>
    <t>HEP.25.2TH</t>
  </si>
  <si>
    <t>HEP.25.2T/H</t>
  </si>
  <si>
    <t>HF002</t>
  </si>
  <si>
    <t>Galvanised Holding Frame 610x610x55</t>
  </si>
  <si>
    <t>HIGH H</t>
  </si>
  <si>
    <t>HIGH HEAT 5LT SILVER</t>
  </si>
  <si>
    <t>HJBM-Plus</t>
  </si>
  <si>
    <t>50-T-4 c/w 0.55KW 1400rpm 380V</t>
  </si>
  <si>
    <t>HJBM.PLUS.45.T4</t>
  </si>
  <si>
    <t>0.55kw</t>
  </si>
  <si>
    <t>HPLV 500</t>
  </si>
  <si>
    <t>c/w 5.5 kW 2 Pole 380V Motor</t>
  </si>
  <si>
    <t>HPLV 560</t>
  </si>
  <si>
    <t>ARR 6A 7,5kW-2P MOTOR 525 V</t>
  </si>
  <si>
    <t>HPLV 560/1.0 SISW</t>
  </si>
  <si>
    <t>HPLV 630-1</t>
  </si>
  <si>
    <t>c/w 11kW 2Pole</t>
  </si>
  <si>
    <t>HPLV 630/0.71 SISW Ar 6A</t>
  </si>
  <si>
    <t>HPLV 710/0.75 SISW Ar 6A</t>
  </si>
  <si>
    <t>c/w 15Kw 2P 400V</t>
  </si>
  <si>
    <t>HPLV710152</t>
  </si>
  <si>
    <t>HPLV 710/1.0 SISW Ar 6A c/w 15Kw 2P 400V</t>
  </si>
  <si>
    <t>HV</t>
  </si>
  <si>
    <t>HV 6 c/w 0.45kw 6P</t>
  </si>
  <si>
    <t>HV 11.2</t>
  </si>
  <si>
    <t>0.75kW 380V</t>
  </si>
  <si>
    <t>HV 12.5</t>
  </si>
  <si>
    <t>HV1250 c/w 1.1Kw 450 rpm 380V</t>
  </si>
  <si>
    <t>HV-7</t>
  </si>
  <si>
    <t>HV 7 c/w 0.45kW 6Pole</t>
  </si>
  <si>
    <t>HV5.6 750x400x750</t>
  </si>
  <si>
    <t>c/w 0.45KW/ 960RPM / 220V</t>
  </si>
  <si>
    <t>HV5380V</t>
  </si>
  <si>
    <t>HV5 c/w 0.55kw 380V</t>
  </si>
  <si>
    <t>HV7T</t>
  </si>
  <si>
    <t>HV 7 c/w 0.45kw 6P 380v</t>
  </si>
  <si>
    <t>HV8</t>
  </si>
  <si>
    <t>c/w 0.37Kw 450 rpm 380V</t>
  </si>
  <si>
    <t>HV9.5 Fan</t>
  </si>
  <si>
    <t>HV 9.5 - 220V 0.55KW</t>
  </si>
  <si>
    <t>HV9.5T</t>
  </si>
  <si>
    <t>Extractor Fan c/w 0.75kw 380v</t>
  </si>
  <si>
    <t>HVF</t>
  </si>
  <si>
    <t>105L-6</t>
  </si>
  <si>
    <t>HVF - 105N</t>
  </si>
  <si>
    <t>HVF-105N c/w 0.75kW 850rpm 220v</t>
  </si>
  <si>
    <t>HVF65N</t>
  </si>
  <si>
    <t>HVF 65 N</t>
  </si>
  <si>
    <t>HVF75N</t>
  </si>
  <si>
    <t>HVF 75 N</t>
  </si>
  <si>
    <t>HVJ-2S-</t>
  </si>
  <si>
    <t>315</t>
  </si>
  <si>
    <t>HVJ2</t>
  </si>
  <si>
    <t>HVMotor 380V</t>
  </si>
  <si>
    <t>HV 1250 - 380V Motor</t>
  </si>
  <si>
    <t>HWP100/001</t>
  </si>
  <si>
    <t>500mm Dia Fan Guard 3mm Spiral, 4mm Support, Mild Steel, Uncoated</t>
  </si>
  <si>
    <t>HWP100/001-</t>
  </si>
  <si>
    <t>800mm Dia Fan Guard</t>
  </si>
  <si>
    <t>I&amp;T</t>
  </si>
  <si>
    <t>Installation and Training</t>
  </si>
  <si>
    <t>ID75/180OD</t>
  </si>
  <si>
    <t>Cooling Spinner - 75mm ID - 180 OD</t>
  </si>
  <si>
    <t>IM-CF</t>
  </si>
  <si>
    <t>Light duty Impeller</t>
  </si>
  <si>
    <t>IMA0500B150A10AR24090</t>
  </si>
  <si>
    <t>Impeller 0500mm 'B' 150A10AR 24mm 090Frame Deg00(aluminium)</t>
  </si>
  <si>
    <t>IMP0315B150A05PR14071</t>
  </si>
  <si>
    <t>Impeller 0315mm 'B' 150A05PR 14mm 071Frame Deg00 -10 DEG</t>
  </si>
  <si>
    <t>IMP0315B150A10AR14071</t>
  </si>
  <si>
    <t>Impeller 0315mm 'B' 150A10AR 14mm 071Frame Deg00 -26 DEG</t>
  </si>
  <si>
    <t>IMP0315B150A10PR14071</t>
  </si>
  <si>
    <t>Impeller 0315mm 'B' 150A10PR 14mm 071Frame Deg00 21 DEG</t>
  </si>
  <si>
    <t>IMP0400B150A05PR14071</t>
  </si>
  <si>
    <t>Impeller 0400mm 'B' 150A05PR 14mm 071Frame Deg00 - 10 DEG</t>
  </si>
  <si>
    <t>IMP0400B150A05PR19080</t>
  </si>
  <si>
    <t>Impeller 0400mm 'B' 150A05PR 19mm 080Frame - 23Deg</t>
  </si>
  <si>
    <t>IMP0400B150A05PR24090</t>
  </si>
  <si>
    <t>Impeller 0400mm 'B' 150A05PR 24mm 090Frame - 29Deg</t>
  </si>
  <si>
    <t>IMP0400B150A10PR14071</t>
  </si>
  <si>
    <t>Impeller 0400mm 'B' 150A10PR 14mm 071Frame Deg00 19 DEG</t>
  </si>
  <si>
    <t>IMP0500B150A05AR19080</t>
  </si>
  <si>
    <t>Impeller 0500mm 'B' 150A05AR 19mm 080Frame Deg00 - 10 DEG</t>
  </si>
  <si>
    <t>IMP0500B150A05AR24090</t>
  </si>
  <si>
    <t>Impeller 0500mm 'B' 150A05AR 24mm 090Frame Deg00 -14 DEG</t>
  </si>
  <si>
    <t>IMP0500B150A05PR14071</t>
  </si>
  <si>
    <t>Impeller 0500mm 'B' 150A05PR 14mm 071Frame Deg00 -17 DEG</t>
  </si>
  <si>
    <t>IMP0500B150A10AR14071</t>
  </si>
  <si>
    <t>Impeller 0500mm 'B' 150A10AR 14mm 071Frame Deg00 -10 DEG</t>
  </si>
  <si>
    <t>IMP0500B150A10AR19071</t>
  </si>
  <si>
    <t>Impeller 0500mm 'B' 150A10AR 19mm 071Frame Deg00 -28 DEG</t>
  </si>
  <si>
    <t>IMP0500B150A10AR24090</t>
  </si>
  <si>
    <t>Impeller 0500mm 'B' 150A10AR 24mm 090Frame Deg16</t>
  </si>
  <si>
    <t>IMP0500B150A10AR24090.</t>
  </si>
  <si>
    <t>Impeller 0500mm 'B' 150A10AR 24mm 090Fram 16deg</t>
  </si>
  <si>
    <t>IMP0500B150A10AR28100</t>
  </si>
  <si>
    <t>Impeller 0500mm 'B' 150A10AR 28mm 100Frame Deg00 -25 DEG</t>
  </si>
  <si>
    <t>IMP0500B150A10PR14071</t>
  </si>
  <si>
    <t>Impeller 0500mm 'B' 150A10PR 14mm 071Frame Deg00 - 18 DEG</t>
  </si>
  <si>
    <t>IMP0500B150A10PR140711</t>
  </si>
  <si>
    <t>Impeller 0500mm 'B' 150A10PR 14mm 071Frame Deg00 - 12 DEG</t>
  </si>
  <si>
    <t>IMP0560B150A05AR14071</t>
  </si>
  <si>
    <t>Impeller 0560mm 'B' 150A05AR 14mm 071Frame Deg00 - 20 DEG</t>
  </si>
  <si>
    <t>IMP0560B150A05AR28100</t>
  </si>
  <si>
    <t>Impeller 0560mm 'B' 150A05AR 28mm 100Frame Deg00 - 22 DEG</t>
  </si>
  <si>
    <t>IMP0560B150A05PR14071</t>
  </si>
  <si>
    <t>Impeller 0560mm 'B' 150A05PR 14mm 071Frame Deg00 20 DEG</t>
  </si>
  <si>
    <t>IMP0560B150A10AR14071</t>
  </si>
  <si>
    <t>Impeller 0560mm 'B' 150A10AR 14mm 071Frame Deg00 10 DEG FM3517</t>
  </si>
  <si>
    <t>IMP0560B150A10AR19080</t>
  </si>
  <si>
    <t>Impeller 0560mm 'B' 150A10AR 19mm 080Frame Deg00 - 15 DEG</t>
  </si>
  <si>
    <t>IMP0560B150A10AR19080.</t>
  </si>
  <si>
    <t>Impeller 0560mm 'B' 150A10AR 19mm 080Frame Deg00 - 20 DEG</t>
  </si>
  <si>
    <t>IMP0560B150A10AR19080..</t>
  </si>
  <si>
    <t>Impeller 0560mm 'B' 150A10AR 19mm 080Frame Deg00 - 12 DEG</t>
  </si>
  <si>
    <t>IMP0560B150A10AR19080...</t>
  </si>
  <si>
    <t>Impeller 0560mm 'B' 150A10AR 19mm 080Frame Deg00 13 DEG FM3516</t>
  </si>
  <si>
    <t>IMP0560B150A10AR24090</t>
  </si>
  <si>
    <t>Impeller 0560mm 'B' 150A10AR 24mm 090Frame Deg00 - 33 DEG</t>
  </si>
  <si>
    <t>IMP0560B150A10AR24090.</t>
  </si>
  <si>
    <t>Impeller 0560mm 'B' 150A10AR 24mm 090Frame Deg00 - 28 DEG</t>
  </si>
  <si>
    <t>IMP0560B150A10PR14071</t>
  </si>
  <si>
    <t>Impeller 0560mm 'B' 150A10PR 14mm 071Frame</t>
  </si>
  <si>
    <t>IMP0560B150A10PR19080</t>
  </si>
  <si>
    <t>Impeller 0560mm 'B' 150A10PR 19mm 080Frame Deg00 - 11 DEG</t>
  </si>
  <si>
    <t>IMP0560B250A14AR19080</t>
  </si>
  <si>
    <t>Impeller 0560mm 'B' 250A14AR19mm 080Frame</t>
  </si>
  <si>
    <t>IMP0560B250A14PR24090</t>
  </si>
  <si>
    <t>Impeller 0560mm 'B' 250A14PR 24mm 090Frame</t>
  </si>
  <si>
    <t>IMP0630B150A10AR24090</t>
  </si>
  <si>
    <t>Impeller 0630mm 'B' 150A10AR 24mm 090Frame Deg00 -27 DEG</t>
  </si>
  <si>
    <t>IMP0630B250A14AR24090</t>
  </si>
  <si>
    <t>Impeller 0630mm 'B' 250A14AR 24mm 090Frame</t>
  </si>
  <si>
    <t>IMP0630B250A14AR28100</t>
  </si>
  <si>
    <t>Impeller 0630mm 'B' 250A14AR 28mm 100Frame</t>
  </si>
  <si>
    <t>IMP0630B250A14PR28100</t>
  </si>
  <si>
    <t>Impeller 0630mm 'B' 250A14PR 28mm 100Frame Deg00 - 30 DEG</t>
  </si>
  <si>
    <t>IMP0710A150A10AR28100</t>
  </si>
  <si>
    <t>Impeller 0710mm 'A' 150A10AR 28mm 100Frame Deg00 - 38 DEG</t>
  </si>
  <si>
    <t>IMP0710B150A05AR28100</t>
  </si>
  <si>
    <t>Impeller 0710mm 'B' 150A05AR 28mm 100Frame Deg00 - 35 DEG</t>
  </si>
  <si>
    <t>IMP0710B150A05PR24090</t>
  </si>
  <si>
    <t>Impeller 0710mm 'B' 150A05PR 24mm 090Frame Deg00 -21 DEG</t>
  </si>
  <si>
    <t>IMP0710B150A10AR28100</t>
  </si>
  <si>
    <t>Impeller 0710mm 'B' 150A10AR 28mm 100Frame Deg00 - 33 DEG</t>
  </si>
  <si>
    <t>IMP0710B150A10AR28100.</t>
  </si>
  <si>
    <t>Impeller 0710mm 'B' 150A10AR 28mm 100Frame Deg00 - 38 DEG</t>
  </si>
  <si>
    <t>IMP0710B250A07PR240903</t>
  </si>
  <si>
    <t>Impeller 0710mm 'B' 250A07PR 24mm 090Frame Deg00 -24 DEG</t>
  </si>
  <si>
    <t>IMP0710B250A14AR28100</t>
  </si>
  <si>
    <t>Impeller 0710mm 'B' 250A14AR 28mm 100Frame</t>
  </si>
  <si>
    <t>IMP0710B250A14PR24090</t>
  </si>
  <si>
    <t>Impeller 0710mm 'B' 250A14PR 24mm 090Frame</t>
  </si>
  <si>
    <t>IMP0800B150A10AR28100</t>
  </si>
  <si>
    <t>Impeller 0800mm 'B' 150A10AR 28mm 100Frame Deg00 - 25 DEG</t>
  </si>
  <si>
    <t>IMP0800B150A10AR28100.</t>
  </si>
  <si>
    <t>Impeller 0800mm 'B' 150A10AR 28mm 100Frame Deg00 -14 DEG</t>
  </si>
  <si>
    <t>IMP0800B150A10PR28100</t>
  </si>
  <si>
    <t>Impeller 0800mm 'B' 150A10PR 28mm 100Frame Deg 25</t>
  </si>
  <si>
    <t>IMP0800B250A14AR28100</t>
  </si>
  <si>
    <t>Impeller 0800mm 'B' 250A14AR 28mm 100Frame</t>
  </si>
  <si>
    <t>IMP0800B250A14AR38132</t>
  </si>
  <si>
    <t>Impeller 0800mm 'B' 250A14AR 38mm 132Frame Deg00 - 35 DEG</t>
  </si>
  <si>
    <t>IMP0900B250A14AR28</t>
  </si>
  <si>
    <t>900/250/14 13 deg pitch 28mm bore form B Aluminium Blades</t>
  </si>
  <si>
    <t>IMP0900B250A14AR38</t>
  </si>
  <si>
    <t>900/250/14 15 deg pitch 38mm bore form B Aluminium Blades</t>
  </si>
  <si>
    <t>IMP1000B250A14AR38132</t>
  </si>
  <si>
    <t>Impeller 1000mm 'B' 250A14AR 38mm 132Frame Deg00 - 25 DEG</t>
  </si>
  <si>
    <t>IMP1220 Impeller</t>
  </si>
  <si>
    <t>c/w 18.5 kW 4 Pole 380 V</t>
  </si>
  <si>
    <t>IMP315LDA</t>
  </si>
  <si>
    <t>315diam LDA Impeller</t>
  </si>
  <si>
    <t>IMP400LDA</t>
  </si>
  <si>
    <t>400diam LDA Impeller</t>
  </si>
  <si>
    <t>IMP400LDP</t>
  </si>
  <si>
    <t>400diam LDP Impeller</t>
  </si>
  <si>
    <t>IMP560LDP</t>
  </si>
  <si>
    <t>LDP 560/250/12/1440-Form B - 15 degrees</t>
  </si>
  <si>
    <t>IMP800LDA</t>
  </si>
  <si>
    <t>LDA 800-9-A16</t>
  </si>
  <si>
    <t>INLET-CONE</t>
  </si>
  <si>
    <t>Imepeller 560mm 'B' 250A10AR</t>
  </si>
  <si>
    <t>19mm 080Frame 12DEG</t>
  </si>
  <si>
    <t>Imepeller 560mm 'B' 250A14AR</t>
  </si>
  <si>
    <t>19mm 080Frame 15DEG</t>
  </si>
  <si>
    <t>Imp BI</t>
  </si>
  <si>
    <t>Set pitch, Crop &amp; Balance impeller</t>
  </si>
  <si>
    <t>Impeller 0710mm 'B' 150A10AR</t>
  </si>
  <si>
    <t>24mm 090Frame 13 DEG</t>
  </si>
  <si>
    <t>Impeller 0710mm 'B' 250A14AR</t>
  </si>
  <si>
    <t>24mm 090 Frame 10 DEG</t>
  </si>
  <si>
    <t>Impeller 560mm 'B' 150A10AR</t>
  </si>
  <si>
    <t>14mm 071Frame 12DEG</t>
  </si>
  <si>
    <t>Impeller 630mm 'B' 150A10AR</t>
  </si>
  <si>
    <t>24mm 090Frame 15DEG</t>
  </si>
  <si>
    <t>Impeller 630mm 'B' 250A14AR</t>
  </si>
  <si>
    <t>24mm 090Frame 15 DEG</t>
  </si>
  <si>
    <t>Impeller 710mm 'B' 250A14R</t>
  </si>
  <si>
    <t>24mm 090Frame 12 DEG</t>
  </si>
  <si>
    <t>Impeller Plate Mount Fans</t>
  </si>
  <si>
    <t>Impeller shaft</t>
  </si>
  <si>
    <t>Impeller shaft+2 keys. Stainless Steel</t>
  </si>
  <si>
    <t>Induced Draft Plan</t>
  </si>
  <si>
    <t>INSPECTION TEST PALN (ITP)</t>
  </si>
  <si>
    <t>Installation</t>
  </si>
  <si>
    <t>Attenuators</t>
  </si>
  <si>
    <t>Fresh Air Projects (Pty) Ltd</t>
  </si>
  <si>
    <t>J48821</t>
  </si>
  <si>
    <t>BCC-2 450 c/w 5.5kw 4P 380V DIDW</t>
  </si>
  <si>
    <t>J57174BRG</t>
  </si>
  <si>
    <t>BCC-2 560 Bearings</t>
  </si>
  <si>
    <t>J57174IMP</t>
  </si>
  <si>
    <t>BCC-2 560 Impeller set</t>
  </si>
  <si>
    <t>J57174INC</t>
  </si>
  <si>
    <t>BCC-2 560 Inlet Cone</t>
  </si>
  <si>
    <t>J57174SHT</t>
  </si>
  <si>
    <t>BCC-2 560 Shaft</t>
  </si>
  <si>
    <t>J70889 FAN</t>
  </si>
  <si>
    <t>BCC-2 900/1.0 SISW c/w 7.5Kw 4P 380V</t>
  </si>
  <si>
    <t>J89867 AVM</t>
  </si>
  <si>
    <t>Anti Vibration Mount-Set</t>
  </si>
  <si>
    <t>J95929</t>
  </si>
  <si>
    <t>BCC-2 315 Class 1 DIDW c/w 2.2kw 4P 380V</t>
  </si>
  <si>
    <t>J96093</t>
  </si>
  <si>
    <t>BCC-2 355 DIDW c/w 3.0kw 2P 380V</t>
  </si>
  <si>
    <t>J96202-BCC-2315</t>
  </si>
  <si>
    <t>BCC-2 315 Class 1 AR 4A DIDW excl motor</t>
  </si>
  <si>
    <t>JA2 18000Btu</t>
  </si>
  <si>
    <t>JASA-H18A4/JA2</t>
  </si>
  <si>
    <t>JB1948</t>
  </si>
  <si>
    <t>HPLV 630/0.71 c/w 4.0kw 2890rpm 525V Motor</t>
  </si>
  <si>
    <t>JC25776 BEARING SET</t>
  </si>
  <si>
    <t>c/w TIMAKE PLUMMER BLOCK</t>
  </si>
  <si>
    <t>JC25776 SHAFT</t>
  </si>
  <si>
    <t>ONLY</t>
  </si>
  <si>
    <t>JC6202</t>
  </si>
  <si>
    <t>BCC-2 Class 1 DI2DW c/w 2,2kW 4P 400V - 2522RPM</t>
  </si>
  <si>
    <t>JC9756</t>
  </si>
  <si>
    <t>BCC-2 315 Class 1 DIDW c/w 2.2kw 4P 380V - 2845RPM</t>
  </si>
  <si>
    <t>JG/S6</t>
  </si>
  <si>
    <t>600mm 380V 2.2KW 1400rpm</t>
  </si>
  <si>
    <t>JN2002-GNTBOOT-500-00-06</t>
  </si>
  <si>
    <t>GRANITE CHELSEA BOOTS BLACK 6</t>
  </si>
  <si>
    <t>JN2002-GNTBOOT-500-00-07</t>
  </si>
  <si>
    <t>GRANITE CHELSEA BOOTS BLACK 7</t>
  </si>
  <si>
    <t>JTPOLY-6398B-600-03-M</t>
  </si>
  <si>
    <t>WORK T BLACK M</t>
  </si>
  <si>
    <t>K03MS II ATEX</t>
  </si>
  <si>
    <t>K03MS II ATEX 3G/D II GOR-A ATEX II2G Ex db eb IIC T3 Gb kW 0,55 B34 IIC T3 +PTC V380 50 Hz IE2</t>
  </si>
  <si>
    <t>K11TS30</t>
  </si>
  <si>
    <t>SCL E11-TS GOR-C 30KW 400/690-50 V-Hz</t>
  </si>
  <si>
    <t>K431A5F</t>
  </si>
  <si>
    <t>D 1F-1,05KW X DDMP 8/9 TIG M6A1</t>
  </si>
  <si>
    <t>K431A8B</t>
  </si>
  <si>
    <t>D 1F-2,0KW X DDMP 10/8 M6A4</t>
  </si>
  <si>
    <t>KAT 15/15 C2</t>
  </si>
  <si>
    <t>TWIN BARE FAN 380/380 CW FCC</t>
  </si>
  <si>
    <t>KDD 10/10-4/1</t>
  </si>
  <si>
    <t>Fan KDD 10/10 550W 4P-1 3SY</t>
  </si>
  <si>
    <t>KDD 12/12-6-1</t>
  </si>
  <si>
    <t>FAN KDD 12/12 517W 6P-1 3SY</t>
  </si>
  <si>
    <t>KHA50</t>
  </si>
  <si>
    <t>Speed Controller</t>
  </si>
  <si>
    <t>KP2-S c/w</t>
  </si>
  <si>
    <t>373 Watts 220/1/50</t>
  </si>
  <si>
    <t>KP6-H AT</t>
  </si>
  <si>
    <t>Attenuator</t>
  </si>
  <si>
    <t>KP6-H.</t>
  </si>
  <si>
    <t>Filter Unit with Primary and Hepa Filter</t>
  </si>
  <si>
    <t>KSA-250-4K-M</t>
  </si>
  <si>
    <t>KSB 150</t>
  </si>
  <si>
    <t>INLINE SILENT FAN</t>
  </si>
  <si>
    <t>KUL</t>
  </si>
  <si>
    <t>1/200 X 200 back draft damper</t>
  </si>
  <si>
    <t>Keep-plate5mmOD</t>
  </si>
  <si>
    <t>Keep Plate 5mm OD. 42mm, ID. 6mm</t>
  </si>
  <si>
    <t>L20300630</t>
  </si>
  <si>
    <t>24 - 630mm Louvre Shutter Size 756 X 756</t>
  </si>
  <si>
    <t>L54202182</t>
  </si>
  <si>
    <t>CMA 218-2T</t>
  </si>
  <si>
    <t>LCE 250</t>
  </si>
  <si>
    <t>Extractor Ceiling Fan 250mm 220v</t>
  </si>
  <si>
    <t>LCF- 56</t>
  </si>
  <si>
    <t>900mm Ceiling Sweep Fan</t>
  </si>
  <si>
    <t>LDP 560/250/12/1440/</t>
  </si>
  <si>
    <t>Form B - Blade Angle 15 Deg</t>
  </si>
  <si>
    <t>LEGESSS-COT135-100-03-M</t>
  </si>
  <si>
    <t>LEGENDARY SHORT SLEEVE SHIRT BLUE M</t>
  </si>
  <si>
    <t>LEGESSS-COT135-101-03-M</t>
  </si>
  <si>
    <t>LEGENDARY SHORT SLEEVE SHIRT NAVY M</t>
  </si>
  <si>
    <t>LEGESSS-COT135-914-04-L</t>
  </si>
  <si>
    <t>LEGENDARY SHORT SLEEVE SHIRT FATIGUE L</t>
  </si>
  <si>
    <t>LEGESSS-MCNAST-M45-03-M</t>
  </si>
  <si>
    <t>LEGENDARY TWO-TONE SHORT SLEEVE SHIRT - NAVY/STONE M</t>
  </si>
  <si>
    <t>LEGESSS-MCNAST-M45-04-L</t>
  </si>
  <si>
    <t>LEGENDARY TWO-TONE SHORT SLEEVE SHIRT NAVY/STONE L</t>
  </si>
  <si>
    <t>LFC</t>
  </si>
  <si>
    <t>LFC 450 SISW CL-1 Arrgt 1A</t>
  </si>
  <si>
    <t>LT10-3SPD</t>
  </si>
  <si>
    <t>LT10 - 3-Step Speed Controller 10Amp</t>
  </si>
  <si>
    <t>Labour.</t>
  </si>
  <si>
    <t>Repair Dasqua 1012-2010-A COMBINATION SET SQUARE</t>
  </si>
  <si>
    <t>Laptop</t>
  </si>
  <si>
    <t>Lenovo AMD RYZEN 7 (i7) 7730U 2.0GHz -8GB ram 512GB 15.6 ich FHD battery 3 Cell</t>
  </si>
  <si>
    <t>M10 DIN 934 GRADE 8.8 HEX NUT Z/BLUE 10 934 GR8 ZB</t>
  </si>
  <si>
    <t>M10 FLAT WASHER (10 .5i/dx20o/dxthk) S/S A2</t>
  </si>
  <si>
    <t>M10 Flat Washer S/S A2</t>
  </si>
  <si>
    <t>M10 Nylock Nut</t>
  </si>
  <si>
    <t>M10 Nylock Nut Zinc Blue(Silver)</t>
  </si>
  <si>
    <t>M10*1 M/S THREADED ROD Z/BLUE 10X1 975 ZB</t>
  </si>
  <si>
    <t>M10*16</t>
  </si>
  <si>
    <t>M10*16 HT HEX SET SCREW</t>
  </si>
  <si>
    <t>M10*25 HT HEX SET SCREW Z/BLUE 10X25 933 8.8 ZB</t>
  </si>
  <si>
    <t>M10X25</t>
  </si>
  <si>
    <t>HEX SET SCREW - S/S 304 - A2</t>
  </si>
  <si>
    <t>M10X25X2 FLAT WASHER Z/BLUE 10X25X2 OLD ZB</t>
  </si>
  <si>
    <t>M10X35</t>
  </si>
  <si>
    <t>Hex Bolts zinc Blue(Silver)</t>
  </si>
  <si>
    <t>M10X45</t>
  </si>
  <si>
    <t>M10X45 HT HEX SET SCREWS</t>
  </si>
  <si>
    <t>M10X65</t>
  </si>
  <si>
    <t>M10X65 HT HEX SET SCREWS</t>
  </si>
  <si>
    <t>M12</t>
  </si>
  <si>
    <t>HEX NUT ZINC BLUE</t>
  </si>
  <si>
    <t>M12*120</t>
  </si>
  <si>
    <t>HEX SET SCREW</t>
  </si>
  <si>
    <t>M12*40</t>
  </si>
  <si>
    <t>M12*40 HT HEX NUT Z/BLUE</t>
  </si>
  <si>
    <t>M12*60</t>
  </si>
  <si>
    <t>M12X60 HT HEX SET SCREW Z/BLUE -Silver</t>
  </si>
  <si>
    <t>M12*90</t>
  </si>
  <si>
    <t>M12X16</t>
  </si>
  <si>
    <t>M12X16 HT HEX SET SCREWS</t>
  </si>
  <si>
    <t>M12X25</t>
  </si>
  <si>
    <t>M12*25 HT HEX SET SCREW Z/BLUE 12X25 933 8.8 ZB</t>
  </si>
  <si>
    <t>M12X30X3 FLAT WASHER Z/BLUE 12X30X3 OLD ZB</t>
  </si>
  <si>
    <t>M12X35</t>
  </si>
  <si>
    <t>M12X35 HT Hex Set Screws</t>
  </si>
  <si>
    <t>M14 FLAT WASHER DIN 125A ZINC BLUE (15i / d X 28o/d X 2.5thk) 14 125A ZB</t>
  </si>
  <si>
    <t>M14 HT NYLOCK NUT 14 985 GR8</t>
  </si>
  <si>
    <t>M14*50 HT HEX SET SCREW Z/BLUE 14X50 933 8 . 8 ZB</t>
  </si>
  <si>
    <t>M16 FLAT WASHER DIN (17i/d X 30o/d 3thk) S/S A2</t>
  </si>
  <si>
    <t>M16 FLAT WASHER DIN (17i/d x 30o/d X 3thk) S/S A2</t>
  </si>
  <si>
    <t>M16 GR8 HEX NUT Z/BLUE 16 934 GR8 ZB</t>
  </si>
  <si>
    <t>M16 HEX</t>
  </si>
  <si>
    <t>M16 HEX NUT HOT DIP GALV</t>
  </si>
  <si>
    <t>M16 LOCK NUT</t>
  </si>
  <si>
    <t>M16 HT LOCK NUT</t>
  </si>
  <si>
    <t>M16*1</t>
  </si>
  <si>
    <t>MM16*1 M/S THREADED ROD Z/BLUE - 16*1 975 ZB</t>
  </si>
  <si>
    <t>M16*110</t>
  </si>
  <si>
    <t>M16*110 GR8.8 HEX BOLT HOT</t>
  </si>
  <si>
    <t>M16*110 HT SET SCREW 16X110 933 8.8</t>
  </si>
  <si>
    <t>M16*120 HT HEX SET SCREW</t>
  </si>
  <si>
    <t>M16*120 HT HEX SET SCREW 16X120 933 8.8</t>
  </si>
  <si>
    <t>M16*20</t>
  </si>
  <si>
    <t>M16*20 Hex Set Screws</t>
  </si>
  <si>
    <t>M16*40 HT HEX SET SCREW 8 . 8 Z/BLUE 16X40 933 8 . 8 ZB</t>
  </si>
  <si>
    <t>M16X110 HT SET SCREW 16X110 933 8.8</t>
  </si>
  <si>
    <t>M16X130 HT</t>
  </si>
  <si>
    <t>M16X130 HT SET SCREW MECH</t>
  </si>
  <si>
    <t>M16X90</t>
  </si>
  <si>
    <t>M16X90 HT HEX SET SCREWS Z/BLUE</t>
  </si>
  <si>
    <t>M20*20 GRUB SCREW Z/BLUE 20X20 916 14.9 ZB</t>
  </si>
  <si>
    <t>M5 HT NUT Z/BLUE 5 934 GR8 ZB</t>
  </si>
  <si>
    <t>M5*16 HT HEX SET SCREW Z/BLUE 5X16 933 8.8 ZB</t>
  </si>
  <si>
    <t>M5*45 HT HEX SET SCREW 5X45 933 8 . 8</t>
  </si>
  <si>
    <t>M5001-</t>
  </si>
  <si>
    <t>Majax-2 500 20.C.8 Mancooler c/w 2.2 kW 2P 525V With Start/Stop Box</t>
  </si>
  <si>
    <t>M5X16X1.5</t>
  </si>
  <si>
    <t>HT Flat washer</t>
  </si>
  <si>
    <t>M5X25</t>
  </si>
  <si>
    <t>M6 HT HEX NUT Z/BLUE 6 934 GR8 ZB</t>
  </si>
  <si>
    <t>M6*16 CSK ALLEN CAP SCREW MECHANICAL YELLOW 6X16 7991 10.9 MY</t>
  </si>
  <si>
    <t>M6*16 HT HEX SET SCREW ENVIROPAS 6X16 933 8.8 EN</t>
  </si>
  <si>
    <t>M6*25</t>
  </si>
  <si>
    <t>M6*25 HT HEX SET SCREW S/S A2</t>
  </si>
  <si>
    <t>M6*35 HT SET SCREW Z/BLUE 6X35 933 8.8 ZB</t>
  </si>
  <si>
    <t>M8 . 4*20*3 FLAT WASHER Z/BLUE 8X20X3 OLD ZB</t>
  </si>
  <si>
    <t>M8 ANCHOR BOLTS</t>
  </si>
  <si>
    <t>M8 FLAT WASHER DIN 125A ZINC BLUE (8 . 4ID*16OD*1.6THICK) 8 125A ZB</t>
  </si>
  <si>
    <t>M8 HT NYLOCK NUT 8 985 GR8</t>
  </si>
  <si>
    <t>M8 NUT</t>
  </si>
  <si>
    <t>M8 HEX NUT ZINC/BLUE</t>
  </si>
  <si>
    <t>M8*16</t>
  </si>
  <si>
    <t>M8*16 HT SET SCREW S/S A2</t>
  </si>
  <si>
    <t>M8*25 HT HEX 8 . 8 SET SCREW Z/BLUE 8X25 933 8 . 8 ZB</t>
  </si>
  <si>
    <t>M8X25</t>
  </si>
  <si>
    <t>M8X70</t>
  </si>
  <si>
    <t>M8X70 HT HEX SET SCREWS ZINC/BLUE</t>
  </si>
  <si>
    <t>MANUFACTURE RAW CASINGS</t>
  </si>
  <si>
    <t>RAW CASING</t>
  </si>
  <si>
    <t>MB315</t>
  </si>
  <si>
    <t>315diam mounting brackets</t>
  </si>
  <si>
    <t>MB400</t>
  </si>
  <si>
    <t>400diam mounting brackets</t>
  </si>
  <si>
    <t>MB500</t>
  </si>
  <si>
    <t>500diam mounting brackets</t>
  </si>
  <si>
    <t>MB560</t>
  </si>
  <si>
    <t>560diam mounting brackets</t>
  </si>
  <si>
    <t>MB800</t>
  </si>
  <si>
    <t>800diam mounting brackets</t>
  </si>
  <si>
    <t>MF</t>
  </si>
  <si>
    <t>MFA5000754PTL</t>
  </si>
  <si>
    <t>MAXFLO 500/150/10 A c/w 0,75KW 4P 380V (Plate Mount)</t>
  </si>
  <si>
    <t>MFA500FP</t>
  </si>
  <si>
    <t>MAXFLO 500/150/10 A c/w 0,25KW 4P 380V Flame Proof</t>
  </si>
  <si>
    <t>MFAY5601104.</t>
  </si>
  <si>
    <t>MAXFLO 560/150/10 A c/w 0,75KW 4P 220V</t>
  </si>
  <si>
    <t>MJ1500</t>
  </si>
  <si>
    <t>Majax-1 470 Impeller</t>
  </si>
  <si>
    <t>MP0400B150A05PR14071</t>
  </si>
  <si>
    <t>Impeller 0400mm 'B' 150A05PR 14mm 071Frame Deg00 -10 DEG</t>
  </si>
  <si>
    <t>MP0500B150A05AR24090</t>
  </si>
  <si>
    <t>Impeller 0500mm 'B' 150A05AR 24mm 090Frame Deg00 - 14 DEG</t>
  </si>
  <si>
    <t>MP0630B150A10AR24090</t>
  </si>
  <si>
    <t>Impeller 0630mm 'B' 150A10AR 24mm 090Frame Deg00 - 27 DEG</t>
  </si>
  <si>
    <t>MP0710B150A05PR24090</t>
  </si>
  <si>
    <t>eller 0710mm 'B' 150A05PR 24mm 090Frame Deg00 - 21 DEG</t>
  </si>
  <si>
    <t>MP0710B150A05PR240901</t>
  </si>
  <si>
    <t>Impeller 0710mm 'B' 150A05PR 24mm 090Frame Deg00 - 23 DEG</t>
  </si>
  <si>
    <t>MP0710B150A10AR28100</t>
  </si>
  <si>
    <t>Impeller 0710mm 'B' 150A10AR 28mm 100Frame Deg00 - 35 DEG</t>
  </si>
  <si>
    <t>MP9.</t>
  </si>
  <si>
    <t>4 Aluminum Hose Sleeve MP</t>
  </si>
  <si>
    <t>MR60Hz</t>
  </si>
  <si>
    <t>Rewind motor to 60Hz incl. SATMOS Treatment</t>
  </si>
  <si>
    <t>MRB 250/0.75</t>
  </si>
  <si>
    <t>c/w 4 kW 2 Pole 380 V (Direct Driven)</t>
  </si>
  <si>
    <t>MRB 800/1.0 SI</t>
  </si>
  <si>
    <t>c/w 18.5 kW 4 Pole 380 V (Belt Driven)</t>
  </si>
  <si>
    <t>MT(FLP)5601104</t>
  </si>
  <si>
    <t>Majax-2 560 c/w 1.1kW 4Pole 380V (Flame Proof)</t>
  </si>
  <si>
    <t>MT-PROMIG 250T</t>
  </si>
  <si>
    <t>PROMIG 250T MACHINE</t>
  </si>
  <si>
    <t>MT125030004</t>
  </si>
  <si>
    <t>Majax-2 1250 50.H.12-BIF c/w 30kW 4Pole 380V</t>
  </si>
  <si>
    <t>MT160037006</t>
  </si>
  <si>
    <t>MAJAX-3 1600 c/w 37,00KW 6P 380V</t>
  </si>
  <si>
    <t>MT3150372</t>
  </si>
  <si>
    <t>Majax-3 315 c/w 0.37kW 2 Pole 380V</t>
  </si>
  <si>
    <t>MT4007502</t>
  </si>
  <si>
    <t>MAJAX 400 c/w 0.75kW 2Pole 380V</t>
  </si>
  <si>
    <t>MT500</t>
  </si>
  <si>
    <t>Majax 500 Impeller</t>
  </si>
  <si>
    <t>MT5607502BIF</t>
  </si>
  <si>
    <t>Majax-2 535 20.D.8-BIF-T200 c/w 7.5 kW 2 Pole 380V</t>
  </si>
  <si>
    <t>MT7603004</t>
  </si>
  <si>
    <t>Majax-2 760-32-E-8 c/w 3.0KW 4P 380V</t>
  </si>
  <si>
    <t>MT8002204.</t>
  </si>
  <si>
    <t>MAJAX-2 800 c/w 2,20KW 4P 380V - FUMAX</t>
  </si>
  <si>
    <t>MTB8005504</t>
  </si>
  <si>
    <t>MAJAX-Bifucated 800 c/w 5.5kW 4Pole 380V</t>
  </si>
  <si>
    <t>MTBELT 500 20.C.8</t>
  </si>
  <si>
    <t>MAJAX-2 500 BAREFAN BELT DRIVEN</t>
  </si>
  <si>
    <t>MTPL5000374</t>
  </si>
  <si>
    <t>Majax-2 Plate Mounted 500 20.C.8 c/w 0.37 kW 4 Pole 380 V</t>
  </si>
  <si>
    <t>MTPL7102204</t>
  </si>
  <si>
    <t>Majax-2 Plate Mounted 710 20.D.8 c/w 2.2 kW 4 Pole 380 V</t>
  </si>
  <si>
    <t>Majax-2 400 15.B.8 IM</t>
  </si>
  <si>
    <t>Majax-2 400-15-B-8 Bifucated</t>
  </si>
  <si>
    <t>T200 c/w 1.1kw 2P 400V</t>
  </si>
  <si>
    <t>Majax-2 630.20.D.4</t>
  </si>
  <si>
    <t>Man Cooler</t>
  </si>
  <si>
    <t>600mm c/w 1.5kw 220v</t>
  </si>
  <si>
    <t>MaxfloA 710/150/5</t>
  </si>
  <si>
    <t>c/w1.5kw 4Pole 380V</t>
  </si>
  <si>
    <t>MaxfloP 710/150/5</t>
  </si>
  <si>
    <t>c/w 1.5kw 4Pole 380V</t>
  </si>
  <si>
    <t>Mild Steel-200x200x1.6mm</t>
  </si>
  <si>
    <t>Laser-Cut Mild Steel Plate 200x200x1.6mm</t>
  </si>
  <si>
    <t>Mild Steel-310x310x1.6mm</t>
  </si>
  <si>
    <t>Laser-Cut Mild Steel Plate 310x310x1.6mm</t>
  </si>
  <si>
    <t>Mild Steel-620x620x1.6mm</t>
  </si>
  <si>
    <t>Laser-Cut Mild Steel Plate 620x620x1.6mm</t>
  </si>
  <si>
    <t>NAME PLATES</t>
  </si>
  <si>
    <t>Name plates/ engraving plates</t>
  </si>
  <si>
    <t>Cuspal Manufacturing &amp; Anodising CC</t>
  </si>
  <si>
    <t>NITRO PRO</t>
  </si>
  <si>
    <t>includes PDF Editing (Windows, Mac, iOS), unlimited eSigning, and Customer Support.</t>
  </si>
  <si>
    <t>Cleverbridge GmbH - NITRO</t>
  </si>
  <si>
    <t>NRD</t>
  </si>
  <si>
    <t>Non Return Discharge Dampers</t>
  </si>
  <si>
    <t>NS40/610/610/300</t>
  </si>
  <si>
    <t>HEPA FILTER 4000M3/H</t>
  </si>
  <si>
    <t>Filta Matix</t>
  </si>
  <si>
    <t>NS40/610/610/300.</t>
  </si>
  <si>
    <t>HEPA FILTER 4000M/H</t>
  </si>
  <si>
    <t>New .Impeller</t>
  </si>
  <si>
    <t>400D</t>
  </si>
  <si>
    <t>OUTSTANDING BALANCE</t>
  </si>
  <si>
    <t>Outstanding Balance for industrial Fans</t>
  </si>
  <si>
    <t>PD2</t>
  </si>
  <si>
    <t>White</t>
  </si>
  <si>
    <t>PHPM20B</t>
  </si>
  <si>
    <t>M20 SCREW-IN BLANKING PLUGS (BLK)</t>
  </si>
  <si>
    <t>ElectroMechanica (Pty) Ltd</t>
  </si>
  <si>
    <t>PINE</t>
  </si>
  <si>
    <t>CRATING 25X114X1.8M</t>
  </si>
  <si>
    <t>PINE - BXXX 50X76X6.0M</t>
  </si>
  <si>
    <t>PINE - CRATING 25X114X3 .6M</t>
  </si>
  <si>
    <t>PMGB20-13.5</t>
  </si>
  <si>
    <t>M20 NYLON COMPRESSION GLAND GREY</t>
  </si>
  <si>
    <t>PMGB25-18</t>
  </si>
  <si>
    <t>M25 NYLON COMPRESSION GLAND GREY</t>
  </si>
  <si>
    <t>POZI SELF TAPPER</t>
  </si>
  <si>
    <t>10 - No10 (4 .8mm)x19 PAN/HD POZI SELF TAPPER 10X19 7981</t>
  </si>
  <si>
    <t>PQ3070-2RH</t>
  </si>
  <si>
    <t>0.37KW 2P 400V PAD</t>
  </si>
  <si>
    <t>PQ3083-4RH</t>
  </si>
  <si>
    <t>0.75KW 4P 400V PAD</t>
  </si>
  <si>
    <t>PQ3090-4RH</t>
  </si>
  <si>
    <t>1.1KW 4P 400V PAD</t>
  </si>
  <si>
    <t>PR3mm x 1300mm</t>
  </si>
  <si>
    <t>New W11F 3mm x 1300mm Plate Roller</t>
  </si>
  <si>
    <t>Mech Tech Precision (Pty) Ltd</t>
  </si>
  <si>
    <t>PRA GLAND FLP Exde BRASS CPR N*1 M20</t>
  </si>
  <si>
    <t>PRA LOCKNUT BRASS No 0 &amp; 1</t>
  </si>
  <si>
    <t>M20 - PRA LOCKNUT BRASS No 0 &amp; 1 - M20</t>
  </si>
  <si>
    <t>PRA LOCKNUT BRASS No 2</t>
  </si>
  <si>
    <t>M25 - PRA LOCKNUT BRASS No 2 - M25</t>
  </si>
  <si>
    <t>PRA LOCKNUT BRASS No 2 - M25</t>
  </si>
  <si>
    <t>PRA REDUCER FLP Ex d/e 25M-20F</t>
  </si>
  <si>
    <t>PROGRAM</t>
  </si>
  <si>
    <t>Customized Programming Service - Development of web Based Fan Selection Program</t>
  </si>
  <si>
    <t>PROGRAM - Customized Programming Service</t>
  </si>
  <si>
    <t>Development of web Based Fan Selection Program</t>
  </si>
  <si>
    <t>PRPFAN822</t>
  </si>
  <si>
    <t>FAC30/4 Propeller Fan</t>
  </si>
  <si>
    <t>PTAVAV23795</t>
  </si>
  <si>
    <t>VCD 200 S595 SW 1.00KW MLM 24V Master</t>
  </si>
  <si>
    <t>PTAVAV23796</t>
  </si>
  <si>
    <t>VCD 250 S595 SW 1.25KW MLM 24V Master</t>
  </si>
  <si>
    <t>PVT/20</t>
  </si>
  <si>
    <t>PVT/20 c/w 130W 2880RPM 220V</t>
  </si>
  <si>
    <t>PVT/30</t>
  </si>
  <si>
    <t>PVT/30 c/w 380W 2800RPM 220V</t>
  </si>
  <si>
    <t>PVT/40</t>
  </si>
  <si>
    <t>PVT/40 c/w 1.1kW 2800RPM 220V</t>
  </si>
  <si>
    <t>PVT/50</t>
  </si>
  <si>
    <t>PVT /50 c/w 2.2KkW 2800RPM 220V</t>
  </si>
  <si>
    <t>PWT PI150 0R7G3Z</t>
  </si>
  <si>
    <t>PI150 VSD 0.75KW 380V IP20 BRK</t>
  </si>
  <si>
    <t>Partial Payment</t>
  </si>
  <si>
    <t>Industrial fan - Partial Payment</t>
  </si>
  <si>
    <t>Plasma Cuts</t>
  </si>
  <si>
    <t>Sheets cut(10), Plates cut(56) &amp; Ends Cut(60)</t>
  </si>
  <si>
    <t>Project Name</t>
  </si>
  <si>
    <t>The Precint</t>
  </si>
  <si>
    <t>QCP-</t>
  </si>
  <si>
    <t>QD GP 5LT</t>
  </si>
  <si>
    <t>QD GREY PRIMER 5LT</t>
  </si>
  <si>
    <t>R30 MD II ATEX</t>
  </si>
  <si>
    <t>R30 MD II ATEX 3G/D II GOR 1.1kW ATEX II 2G Ex db eb IIC T3 GB- B14 IIC T3 130 V220/380 -50 Hz IE3</t>
  </si>
  <si>
    <t>RA</t>
  </si>
  <si>
    <t>1500x600x850 long Rectangular Attenuator</t>
  </si>
  <si>
    <t>RB Flex</t>
  </si>
  <si>
    <t>Flexible connection</t>
  </si>
  <si>
    <t>RB7/0.5</t>
  </si>
  <si>
    <t>SISW c/w 0.55 kW 2P 380V</t>
  </si>
  <si>
    <t>RECT ATT</t>
  </si>
  <si>
    <t>1100 X 1100 and 1500mm Long</t>
  </si>
  <si>
    <t>REFURBISHING</t>
  </si>
  <si>
    <t>FAN REFURBISHMENT</t>
  </si>
  <si>
    <t>RENTAL</t>
  </si>
  <si>
    <t>RIGM6</t>
  </si>
  <si>
    <t>RIGID POC FILTERS 600X600X600 M6 6POC</t>
  </si>
  <si>
    <t>RS1-400</t>
  </si>
  <si>
    <t>Controller 1.8 amp ( Excl.J.Box)</t>
  </si>
  <si>
    <t>RT1.25-4S</t>
  </si>
  <si>
    <t>Red Ring Terminal 4mm Stud</t>
  </si>
  <si>
    <t>Cabrical (Pty) Ltd</t>
  </si>
  <si>
    <t>RT1.25-5S</t>
  </si>
  <si>
    <t>Red Ring Terminal 5mm Stud</t>
  </si>
  <si>
    <t>RT1.25-6S</t>
  </si>
  <si>
    <t>Red Ring Terminal 6mm Stud</t>
  </si>
  <si>
    <t>RTube-25x1.9-6M</t>
  </si>
  <si>
    <t>Round Tube 25x1.9-6M</t>
  </si>
  <si>
    <t>RTube-32x1.9-6M</t>
  </si>
  <si>
    <t>Round Tube 32x1.9-6M</t>
  </si>
  <si>
    <t>RTube-38x1.9-6M</t>
  </si>
  <si>
    <t>Round Tube 38x1.9-6M</t>
  </si>
  <si>
    <t>RV+02-4 Inch</t>
  </si>
  <si>
    <t>Safety Valve - Press 300- 600mBar - 4Inch</t>
  </si>
  <si>
    <t>RV02-4</t>
  </si>
  <si>
    <t>Safety Valve - Press 300-600mBar - 4</t>
  </si>
  <si>
    <t>RepairCMP</t>
  </si>
  <si>
    <t>Repair teh casing by replacing the flange to be 3mm thick and re-paint entire casing</t>
  </si>
  <si>
    <t>Repairr</t>
  </si>
  <si>
    <t>Mahindra repair chip</t>
  </si>
  <si>
    <t>Rewind Motors</t>
  </si>
  <si>
    <t>From 400V to 525V</t>
  </si>
  <si>
    <t>Rewind To</t>
  </si>
  <si>
    <t>525V</t>
  </si>
  <si>
    <t>Roshcon</t>
  </si>
  <si>
    <t>Ducting</t>
  </si>
  <si>
    <t>S-STARMIG-255</t>
  </si>
  <si>
    <t>SMARTER STAR MIG 255 with Parker torch</t>
  </si>
  <si>
    <t>S/S</t>
  </si>
  <si>
    <t>Pleated Panel Filter 595 x 595 x 48</t>
  </si>
  <si>
    <t>S1</t>
  </si>
  <si>
    <t>Silencers</t>
  </si>
  <si>
    <t>SA</t>
  </si>
  <si>
    <t>Skid Assembly</t>
  </si>
  <si>
    <t>SA06/GF</t>
  </si>
  <si>
    <t>900 X 600 X 1200 Rectangular Attenuator</t>
  </si>
  <si>
    <t>SA07/GF</t>
  </si>
  <si>
    <t>600 X 600 X 1200 Rectangular Attenuator</t>
  </si>
  <si>
    <t>SA08/GF</t>
  </si>
  <si>
    <t>1500 X 600 X 1200 Rectangular Attenuator</t>
  </si>
  <si>
    <t>SA10/GF</t>
  </si>
  <si>
    <t>1800 X 350 X 1200 Rectangular Attenuator</t>
  </si>
  <si>
    <t>SA11/GF</t>
  </si>
  <si>
    <t>SA12/GF</t>
  </si>
  <si>
    <t>630mm Dia 1.5D Silencer</t>
  </si>
  <si>
    <t>SACFW500B10P0T4DB20G2</t>
  </si>
  <si>
    <t>VSD 4KW 380V 10A</t>
  </si>
  <si>
    <t>SACFW500D24P0T4DB20G2</t>
  </si>
  <si>
    <t>VSD 11KW 380V 24A</t>
  </si>
  <si>
    <t>SAF-1.5 Inch</t>
  </si>
  <si>
    <t>- Inlet Wire Screen Mesh - 1.5Inch</t>
  </si>
  <si>
    <t>SAF-4 Inch -</t>
  </si>
  <si>
    <t>- Inlet Wire Screen Mesh - 4Inch</t>
  </si>
  <si>
    <t>SAF4</t>
  </si>
  <si>
    <t>Inlet Wire Screen Mesh - 4 inch</t>
  </si>
  <si>
    <t>SAV STICKERS</t>
  </si>
  <si>
    <t>Solvent Printed SAV Stickers - Rounded Corners - (108mm x 88mm)</t>
  </si>
  <si>
    <t>SCBD4T2.2kW-</t>
  </si>
  <si>
    <t>Side Channel Blower D4T 2.2kW - 400V - 3Ph - 50Hz - 1.5Inch</t>
  </si>
  <si>
    <t>SCBD9T16.5kW</t>
  </si>
  <si>
    <t>Side Channel Blower D5T 16.5kW - 400V - 3Ph - 50Hz - 4Inch</t>
  </si>
  <si>
    <t>SCBS9T12.5kW</t>
  </si>
  <si>
    <t>Side Channel Blower S9T 12.5Kw - 525V - 4</t>
  </si>
  <si>
    <t>SE07MD50+0004</t>
  </si>
  <si>
    <t>e7 MD 4.0Kw 3Ph</t>
  </si>
  <si>
    <t>SE07MS50+0005</t>
  </si>
  <si>
    <t>SCL e07-MS MOR IE3 M.E. 4.0-4.8KW - 2 POLI 345-415/200-240V 50Hz - 380-480/220-280V 60Hz. IP55</t>
  </si>
  <si>
    <t>SE07MS50+0012</t>
  </si>
  <si>
    <t>SCL e07-MS MOR IE3 M.E. 5.5 - 6.5 kW - 2 POLI -600-720/345-415V 50Hz - 660-830/380-480V 60Hz WR</t>
  </si>
  <si>
    <t>SE08MS50+0014</t>
  </si>
  <si>
    <t>SCL e08-MS MOR - IE3 M.E 7.5KW - 9.0KW - 2 POLI</t>
  </si>
  <si>
    <t>SE08MS55</t>
  </si>
  <si>
    <t>SCL e08-MS MOR IE3 - M.E. 5.5 kW- 525V -IE3 -IP55 NATURAL FINISH</t>
  </si>
  <si>
    <t>SE10MS50+0005</t>
  </si>
  <si>
    <t>SCL e10-MS MOR IE3 M.E. 11 - 13 kW - 2 POLI - 380V - IP55 Natural Finish</t>
  </si>
  <si>
    <t>SE11MS00+0048</t>
  </si>
  <si>
    <t>SCL e11-MS MOR IE2 M.E. 11 - 13 kW - 2 POLI - 300/525V 50HZ 360/630V 60HZ IE2 - CL. F TROP.</t>
  </si>
  <si>
    <t>SE11TS50+0002</t>
  </si>
  <si>
    <t>SCL e11-TS MOR IER - M.E 22 - 25.5 kW - 2 POLI - IE3 CL. F TROP. PTO IP55 - NATURAL FINISH</t>
  </si>
  <si>
    <t>SE12TS50+0000</t>
  </si>
  <si>
    <t>SCL e12-TS MOR IE3 - M.E. 18.5 - 22 kW - 2 POLI</t>
  </si>
  <si>
    <t>SFB04006006</t>
  </si>
  <si>
    <t>Flat Bar CQ 40x6mm 6 Mtr</t>
  </si>
  <si>
    <t>SHPBSW</t>
  </si>
  <si>
    <t>BANDSAW WELD ONLY BIMETAL</t>
  </si>
  <si>
    <t>SHR03012252450</t>
  </si>
  <si>
    <t>SITEW</t>
  </si>
  <si>
    <t>Site Work - 8 hours</t>
  </si>
  <si>
    <t>SK03MS50+0121</t>
  </si>
  <si>
    <t>SCL K03-MS MOR IE3 M.E. 0.55 - 0.65 kW 2 POLI345-415/200-240V 50Hz - 380-480/220-280V 60Hz WR</t>
  </si>
  <si>
    <t>SLA2025</t>
  </si>
  <si>
    <t>Support SLA Mar</t>
  </si>
  <si>
    <t>SMOKE EXTRACTION FS 160/180</t>
  </si>
  <si>
    <t>TERMINAL BLOCK 300c</t>
  </si>
  <si>
    <t>SMR2005</t>
  </si>
  <si>
    <t>Spring Mount 2 - 750 - White</t>
  </si>
  <si>
    <t>SMR3002</t>
  </si>
  <si>
    <t>Spring Mount 3 - 1350 - Yellow</t>
  </si>
  <si>
    <t>SMR3005</t>
  </si>
  <si>
    <t>Spring Mount 3 - 1000 - Black</t>
  </si>
  <si>
    <t>SMR3005.</t>
  </si>
  <si>
    <t>SMR3006</t>
  </si>
  <si>
    <t>SMR3007</t>
  </si>
  <si>
    <t>Spring Mount 3 - 1675 - Yellow</t>
  </si>
  <si>
    <t>SMRH1003</t>
  </si>
  <si>
    <t>Spring Mount H 1-125Red</t>
  </si>
  <si>
    <t>SMRH1004</t>
  </si>
  <si>
    <t>Spring Mount H 1-200Black</t>
  </si>
  <si>
    <t>SMRH1005</t>
  </si>
  <si>
    <t>Spring Mount H 1-310Yellow</t>
  </si>
  <si>
    <t>SMW23030</t>
  </si>
  <si>
    <t>5.5KW 4P 380V IP55 300 C/2HR WEG SMOKEX PAD W22 MOTOR</t>
  </si>
  <si>
    <t>SP</t>
  </si>
  <si>
    <t>Spark Proofing - SP</t>
  </si>
  <si>
    <t>SQL-GLF12.5-D</t>
  </si>
  <si>
    <t>Galvanised Industrial Extractor Fan + Grill &amp; Louvers: 1380sq, 220V, 1.1kw, 440rpm, 44000m3/hr</t>
  </si>
  <si>
    <t>SQL-GLF12.5-GR</t>
  </si>
  <si>
    <t>GLF Grill: 1380sq.</t>
  </si>
  <si>
    <t>SQL-GLF9.5-D</t>
  </si>
  <si>
    <t>GLF 9.5 c/w 0.75kW 220v</t>
  </si>
  <si>
    <t>SQL-GR75F</t>
  </si>
  <si>
    <t>GLF Fan Wheel - Fixed 70mm</t>
  </si>
  <si>
    <t>SQL-GR75PBR</t>
  </si>
  <si>
    <t>GLF Fan Wheel - PBK 70mm</t>
  </si>
  <si>
    <t>SR20MD00+0095</t>
  </si>
  <si>
    <t>SCL R20-MD GOR ATEX 2G ANOD. +V.INOX + IMPR. EU M.E.0.75-0.9KW - 2 POLI 230/400-50</t>
  </si>
  <si>
    <t>SR30MD50</t>
  </si>
  <si>
    <t>R30 MD 1.5Kw 380V 3-ph</t>
  </si>
  <si>
    <t>SR30MD50+0010</t>
  </si>
  <si>
    <t>R30 MD 1.5K 380V 3Ph</t>
  </si>
  <si>
    <t>SR30MD50+0020</t>
  </si>
  <si>
    <t>R30 MD 1.5Kw 220V 1-ph</t>
  </si>
  <si>
    <t>SR40MD00 + 0006</t>
  </si>
  <si>
    <t>SCL R40-MD MOR EU M.E 2.2kW - 2 POLI 230-50 V-HZ - MF - CL.F TROP. + PTO - IP55 - PAINTED</t>
  </si>
  <si>
    <t>SSD</t>
  </si>
  <si>
    <t>New Disk replacement SSD 512gb from invoice AXG0205</t>
  </si>
  <si>
    <t>ST0.14220</t>
  </si>
  <si>
    <t>Satmos Treatment 0.1Kw 1430rpm 230V</t>
  </si>
  <si>
    <t>ST0001</t>
  </si>
  <si>
    <t>760diam/9bladed/28mmbore/30deg/Impeller/FB</t>
  </si>
  <si>
    <t>STORAGE1000000</t>
  </si>
  <si>
    <t>Rental Space to Store Goods</t>
  </si>
  <si>
    <t>Plant Service &amp; Maintenance (PTY) Ltd</t>
  </si>
  <si>
    <t>SWA02.5X4BKLH</t>
  </si>
  <si>
    <t>STEEL WIRE ARMOURED 2.5MM X 4</t>
  </si>
  <si>
    <t>Sea Freight</t>
  </si>
  <si>
    <t>Sea Freight 2-off Blower</t>
  </si>
  <si>
    <t>Search Engine</t>
  </si>
  <si>
    <t>Search Engine Optimisation - Pro Package</t>
  </si>
  <si>
    <t>ONPOINT MEDIA SA</t>
  </si>
  <si>
    <t>Service Provider</t>
  </si>
  <si>
    <t>Service</t>
  </si>
  <si>
    <t>Comtech Network Solutions</t>
  </si>
  <si>
    <t>Spare Motor</t>
  </si>
  <si>
    <t>Tiracamino</t>
  </si>
  <si>
    <t>Spring Hanger</t>
  </si>
  <si>
    <t>2.280 Green</t>
  </si>
  <si>
    <t>Stantionary</t>
  </si>
  <si>
    <t>Stationary</t>
  </si>
  <si>
    <t>Bond Stationers</t>
  </si>
  <si>
    <t>TAB10130</t>
  </si>
  <si>
    <t>1.1kw 6P 400V B30 90L IE1 MOTOR WEG W21 IP55 AL BOX</t>
  </si>
  <si>
    <t>TAB15030</t>
  </si>
  <si>
    <t>2.2kW 2P 400V B30 90L IE1 MOTOR WEG W11 IP55 AL BOX</t>
  </si>
  <si>
    <t>TAB15030-</t>
  </si>
  <si>
    <t>TAP08130</t>
  </si>
  <si>
    <t>0.75kw 6P 400V B30 90S IE1 MOTOR WEG W21 IP55 AL LEAD</t>
  </si>
  <si>
    <t>TAXIP F300 450-5-25</t>
  </si>
  <si>
    <t>TC10.0X4BKHO7</t>
  </si>
  <si>
    <t>Trailing Cable 10mm2 4 Core</t>
  </si>
  <si>
    <t>TEX1943033</t>
  </si>
  <si>
    <t>3kW 4P 220/380-415V B3T 100L IE1 Motor WEG W21 IP55 FLP</t>
  </si>
  <si>
    <t>TEX2313030</t>
  </si>
  <si>
    <t>5.5kW 6P 380-415/660V B3 132M IE1 MOTOR WEG W21 IP55 FLP</t>
  </si>
  <si>
    <t>Weg SA</t>
  </si>
  <si>
    <t>THINNERS</t>
  </si>
  <si>
    <t>25L - Thinners 25L</t>
  </si>
  <si>
    <t>TRL</t>
  </si>
  <si>
    <t>Traveling from Office to Airport</t>
  </si>
  <si>
    <t>TTS 55 Pro</t>
  </si>
  <si>
    <t>TTS 55 Pro Laser Engraving Machine</t>
  </si>
  <si>
    <t>TTSILENTM125 Fan</t>
  </si>
  <si>
    <t>TTSILENTM125</t>
  </si>
  <si>
    <t>Terminal-B56.36</t>
  </si>
  <si>
    <t>Terminal Block 56.36 - 6TN 56.36 M5 Complete</t>
  </si>
  <si>
    <t>Machine Electrical Components CC</t>
  </si>
  <si>
    <t>Terminal-B70.45</t>
  </si>
  <si>
    <t>Terminal Blocks 70.45 - 6TN10, M6</t>
  </si>
  <si>
    <t>Transport</t>
  </si>
  <si>
    <t>Travel</t>
  </si>
  <si>
    <t>Call Out</t>
  </si>
  <si>
    <t>UV</t>
  </si>
  <si>
    <t>UV 710 / 3 / 8 1.1KW</t>
  </si>
  <si>
    <t>UV 250/1/4</t>
  </si>
  <si>
    <t>220 / 1 / 50</t>
  </si>
  <si>
    <t>UV 250/1/4 c/w</t>
  </si>
  <si>
    <t>0. 18 kW 220 / 1 / 50</t>
  </si>
  <si>
    <t>UV 400 SCREEN</t>
  </si>
  <si>
    <t>400 SCREENS</t>
  </si>
  <si>
    <t>UV 400-</t>
  </si>
  <si>
    <t>UV 400-3-4</t>
  </si>
  <si>
    <t>c/w 0.55 kW 4 Pole 380</t>
  </si>
  <si>
    <t>UV 400-3-6</t>
  </si>
  <si>
    <t>c/w 0.55 kW 6 Pole 380</t>
  </si>
  <si>
    <t>UV 500</t>
  </si>
  <si>
    <t>Dome Only</t>
  </si>
  <si>
    <t>UV 500-3-4</t>
  </si>
  <si>
    <t>c/w 1.5 kW 4 Pole 380V</t>
  </si>
  <si>
    <t>UV 630/3/6/W</t>
  </si>
  <si>
    <t>c/w 1.5 kW 6 Pole 380 V Motor</t>
  </si>
  <si>
    <t>UV250/1/6</t>
  </si>
  <si>
    <t>c/w 0.18kW 220v Motor</t>
  </si>
  <si>
    <t>UV400/1/4</t>
  </si>
  <si>
    <t>UV 400/1/4 c/w 0.55kW 4Pole 220v Motor</t>
  </si>
  <si>
    <t>VB10NX1320 F</t>
  </si>
  <si>
    <t>Friction Belt wedge Envelope SPZ SE</t>
  </si>
  <si>
    <t>VB13NX1340 F</t>
  </si>
  <si>
    <t>VB13NX1340 FENNER</t>
  </si>
  <si>
    <t>VB13NX1400 F</t>
  </si>
  <si>
    <t>FRICTION BELT WEDGE ENVELOPE SPA SECTION 13 X 10 X 1400MM FENNER</t>
  </si>
  <si>
    <t>VB13NX1600 F</t>
  </si>
  <si>
    <t>FRICTION BELT WEDGE ENVELOPE SPA -SECTION 13 X 10 X 1600MM FENNER</t>
  </si>
  <si>
    <t>VB13NX1682 F</t>
  </si>
  <si>
    <t>FRICTION BELT WEDGE ENVELOPE SPA SECTION 13 X 10 X 1682MM FENNER</t>
  </si>
  <si>
    <t>VB13NX1700 FF</t>
  </si>
  <si>
    <t>FRICTION BELT WEDGE ENVELOPE SPA SE</t>
  </si>
  <si>
    <t>VB13NX1800 F</t>
  </si>
  <si>
    <t>FRICTION BELT WEDGE ENVELOPE SPA SECTION 13 X 10 X 1800MM FENNER</t>
  </si>
  <si>
    <t>VB13NX1900 F</t>
  </si>
  <si>
    <t>FRICTION BELT WEDGE ENVELOPE SPA SECTION 13 X 10 X 1900MM FENNER</t>
  </si>
  <si>
    <t>VFC 310/300</t>
  </si>
  <si>
    <t>VFC 310/300 c/w 300W 230V MOTOR</t>
  </si>
  <si>
    <t>VFC 355/550</t>
  </si>
  <si>
    <t>VFC 355/550 c/w 550Watts 230V Motor</t>
  </si>
  <si>
    <t>VFC 450 S</t>
  </si>
  <si>
    <t>VFC SILENCER</t>
  </si>
  <si>
    <t>VFC 450/1100.12</t>
  </si>
  <si>
    <t>c/w 1.1KW</t>
  </si>
  <si>
    <t>VFC 450/1100.9</t>
  </si>
  <si>
    <t>VFC 355/3 850Lx520Wx410H</t>
  </si>
  <si>
    <t>VFC SILENCER.</t>
  </si>
  <si>
    <t>VFC 355/5 1450Lx520Wx410H</t>
  </si>
  <si>
    <t>VFC SILENCER..</t>
  </si>
  <si>
    <t>VFC 310/3 850Lx450Wx360H</t>
  </si>
  <si>
    <t>VFC VS 400 / 550</t>
  </si>
  <si>
    <t>c/w 0.55 kW 4 Pole 230 V Motor</t>
  </si>
  <si>
    <t>VFC310.147</t>
  </si>
  <si>
    <t>147WATTS</t>
  </si>
  <si>
    <t>VFC355-420</t>
  </si>
  <si>
    <t>VFC355/420 c/w 420watts 4P 230v</t>
  </si>
  <si>
    <t>VFC355550</t>
  </si>
  <si>
    <t>VFC 355/550 c/w 550W 4P 220V</t>
  </si>
  <si>
    <t>VFC355550S</t>
  </si>
  <si>
    <t>520wide x 510high x 610mm Long Silencers</t>
  </si>
  <si>
    <t>VOC</t>
  </si>
  <si>
    <t>Creation, Conformity Review, Inspection &amp; Issuance</t>
  </si>
  <si>
    <t>Bureau Veritas Testing Inspection SA Pty</t>
  </si>
  <si>
    <t>VP 15</t>
  </si>
  <si>
    <t>VP10</t>
  </si>
  <si>
    <t>100 K</t>
  </si>
  <si>
    <t>VP12</t>
  </si>
  <si>
    <t>125 K</t>
  </si>
  <si>
    <t>- 37 kW 380V variable speed drive</t>
  </si>
  <si>
    <t>VSD -</t>
  </si>
  <si>
    <t>37 kW 380V variable speed drive</t>
  </si>
  <si>
    <t>Vibrasorb Waffle/Steel</t>
  </si>
  <si>
    <t>100 x 100 -60 Shore</t>
  </si>
  <si>
    <t>W1G250</t>
  </si>
  <si>
    <t>HH67 - 52 - 48 V (36-57V-) DC. 105 W 2750 min 1</t>
  </si>
  <si>
    <t>W1G250 - HH67 - 52</t>
  </si>
  <si>
    <t>48 V (36-57V-) DC. 105 W 2750 min 1</t>
  </si>
  <si>
    <t>W82011</t>
  </si>
  <si>
    <t>Bearing RCSM 25</t>
  </si>
  <si>
    <t>WAMCENTRIF</t>
  </si>
  <si>
    <t>WAM Centrif c/w 1.5HP Nema Motor</t>
  </si>
  <si>
    <t>WAREHOUSE-FAN1</t>
  </si>
  <si>
    <t>HTMH-71-4T-4 IE3 380V 60Hz IE3 - Roof Top Exhaust Fan</t>
  </si>
  <si>
    <t>WD002</t>
  </si>
  <si>
    <t>FMD 600 x 600 x 50 W/D</t>
  </si>
  <si>
    <t>WGP3603033</t>
  </si>
  <si>
    <t>22kW 4P 380-400-415/660-690//460V B3T 180L IE1</t>
  </si>
  <si>
    <t>WL 400</t>
  </si>
  <si>
    <t>Wall Mount</t>
  </si>
  <si>
    <t>WL1200</t>
  </si>
  <si>
    <t>Weather Louver 1200x1200mm</t>
  </si>
  <si>
    <t>WL2525</t>
  </si>
  <si>
    <t>WEATHER LOUVRE 250*250 NS NA</t>
  </si>
  <si>
    <t>WL350</t>
  </si>
  <si>
    <t>350x350mm Weather Louvres</t>
  </si>
  <si>
    <t>WL6060</t>
  </si>
  <si>
    <t>WEATHER LOUVRE 600*600 NS NA</t>
  </si>
  <si>
    <t>WP P800</t>
  </si>
  <si>
    <t>WATERPAPER P800</t>
  </si>
  <si>
    <t>WPF50/600/600/50</t>
  </si>
  <si>
    <t>Filter</t>
  </si>
  <si>
    <t>WPF50/600/600/50.</t>
  </si>
  <si>
    <t>WS</t>
  </si>
  <si>
    <t>Wall sleeve, plate and flashing</t>
  </si>
  <si>
    <t>WSAWBS014</t>
  </si>
  <si>
    <t>[D]HBS350N[1] 14inch WOODWORKING</t>
  </si>
  <si>
    <t>Adendorff Machinery Mart</t>
  </si>
  <si>
    <t>Wooden crate charges</t>
  </si>
  <si>
    <t>Z4540002</t>
  </si>
  <si>
    <t>Commission for HFEAVAO.AFM.000298-AECI CHEMICALS</t>
  </si>
  <si>
    <t>ZZZ-SP 2200</t>
  </si>
  <si>
    <t>0.37KW 4P 400 V B3 - IE2-OH71 M ORANGE1</t>
  </si>
  <si>
    <t>Kurt Maier Motor-Press (South africa) (Pty) Ltd t/a EMAC</t>
  </si>
  <si>
    <t>changing Discharge position</t>
  </si>
  <si>
    <t>to R 90</t>
  </si>
  <si>
    <t>cmp 922</t>
  </si>
  <si>
    <t>cmp 922- 2T-3 2.2kw 2p</t>
  </si>
  <si>
    <t>e12TS30</t>
  </si>
  <si>
    <t>e12TS GOR-C + E.M. 30 KW GR 200-B5 + PTC (Motor included)</t>
  </si>
  <si>
    <t>flex</t>
  </si>
  <si>
    <t>Inlet and Discharge Flexible Connections</t>
  </si>
  <si>
    <t>0.75kW VSD</t>
  </si>
  <si>
    <t>0.75kW Variable Speed Drive</t>
  </si>
  <si>
    <t>0.75kW VSD Enc.</t>
  </si>
  <si>
    <t>0.75kW Variable Speed Drive Enclosure</t>
  </si>
  <si>
    <t>AM SYSTEMS INTEGRATIONS (PTY) LTD</t>
  </si>
  <si>
    <t>1.5 kW 4P VSD</t>
  </si>
  <si>
    <t>1.5kW 4 Pole Variable Speed Drive</t>
  </si>
  <si>
    <t>1.5kW VSD</t>
  </si>
  <si>
    <t>1.5kW Variable Speed Drive</t>
  </si>
  <si>
    <t>1.5kW VSD ENC.</t>
  </si>
  <si>
    <t>1.5kW Variable Speed Drive Enclosure</t>
  </si>
  <si>
    <t>2.2 kW VSD</t>
  </si>
  <si>
    <t>2.2kW Variable Speed Controller</t>
  </si>
  <si>
    <t>2.2kW VSD ENC.</t>
  </si>
  <si>
    <t>2.2kW Variable Speed Drive Enclosure</t>
  </si>
  <si>
    <t>3kW VSD</t>
  </si>
  <si>
    <t>3kW Variable Speed Controller</t>
  </si>
  <si>
    <t>3kW VSD ENC.</t>
  </si>
  <si>
    <t>3kW Variable Speed Enclosure</t>
  </si>
  <si>
    <t>4kW VSD</t>
  </si>
  <si>
    <t>4kW Variable Speed Controller</t>
  </si>
  <si>
    <t>4kW VSD ENC.</t>
  </si>
  <si>
    <t>4kW Variable Speed Enclosure</t>
  </si>
  <si>
    <t>5.5kW VSD</t>
  </si>
  <si>
    <t>5.5kW Variable Speed Controller</t>
  </si>
  <si>
    <t>5.5kW VSD ENC.</t>
  </si>
  <si>
    <t>5kW Variable Speed Enclosure</t>
  </si>
  <si>
    <t>KOMU250</t>
  </si>
  <si>
    <t>KOMU250 - Non Return Damper</t>
  </si>
  <si>
    <t>KSB250</t>
  </si>
  <si>
    <t>TTSILENTM100</t>
  </si>
  <si>
    <t>TTSILENTM250</t>
  </si>
  <si>
    <t>VCN100</t>
  </si>
  <si>
    <t>VCN100 - External Exhaust Fan - 100mm?</t>
  </si>
  <si>
    <t>VCN125</t>
  </si>
  <si>
    <t>VCN125 - External Exhaust Fan - 125mm?</t>
  </si>
  <si>
    <t>VCN150</t>
  </si>
  <si>
    <t>VCN150 - External Exhaust Fan - 150mm?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</si>
</sst>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egorySummary" displayName="CategorySummary" ref="A1:D48" totalsRowCount="1">
  <autoFilter ref="A1:D47" xr:uid="{00000000-0009-0000-0100-000001000000}"/>
  <tableColumns count="4">
    <tableColumn id="1" xr3:uid="{00000000-0010-0000-0000-000001000000}" name="Category" totalsRowLabel="TOTAL STOCK"/>
    <tableColumn id="2" xr3:uid="{00000000-0010-0000-0000-000002000000}" name="Total Items" totalsRowFunction="sum"/>
    <tableColumn id="3" xr3:uid="{00000000-0010-0000-0000-000003000000}" name="Total QTY Purchased" totalsRowFunction="sum"/>
    <tableColumn id="4" xr3:uid="{00000000-0010-0000-0000-000004000000}" name="Total QTY Sold" totalsRowFunction="sum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t_Accessories" displayName="cat_Accessories" ref="A1:R8" totalsRowCount="1">
  <autoFilter ref="A1:R7" xr:uid="{00000000-0009-0000-0100-000002000000}"/>
  <tableColumns count="18">
    <tableColumn id="1" xr3:uid="{00000000-0010-0000-0100-000001000000}" name="Item Code" totalsRowLabel="TOTAL STOCK"/>
    <tableColumn id="2" xr3:uid="{00000000-0010-0000-0100-000002000000}" name="Description"/>
    <tableColumn id="3" xr3:uid="{00000000-0010-0000-0100-000003000000}" name="Category"/>
    <tableColumn id="4" xr3:uid="{00000000-0010-0000-0100-000004000000}" name="Period (month(s))"/>
    <tableColumn id="5" xr3:uid="{00000000-0010-0000-0100-000005000000}" name="Total QTY Purchased" totalsRowFunction="sum"/>
    <tableColumn id="6" xr3:uid="{00000000-0010-0000-0100-000006000000}" name="Supplier"/>
    <tableColumn id="7" xr3:uid="{00000000-0010-0000-0100-000007000000}" name="Cost"/>
    <tableColumn id="8" xr3:uid="{00000000-0010-0000-0100-000008000000}" name="Total QTY Sold" totalsRowFunction="sum"/>
    <tableColumn id="9" xr3:uid="{00000000-0010-0000-0100-000009000000}" name="Lead Time (months)"/>
    <tableColumn id="10" xr3:uid="{00000000-0010-0000-0100-00000A000000}" name="AMU"/>
    <tableColumn id="11" xr3:uid="{00000000-0010-0000-0100-00000B000000}" name="Min" totalsRowFunction="sum"/>
    <tableColumn id="12" xr3:uid="{00000000-0010-0000-0100-00000C000000}" name="Re-Order Point (ROP)" totalsRowFunction="sum"/>
    <tableColumn id="13" xr3:uid="{00000000-0010-0000-0100-00000D000000}" name="Current Stock" totalsRowFunction="sum"/>
    <tableColumn id="14" xr3:uid="{00000000-0010-0000-0100-00000E000000}" name="On Order" totalsRowFunction="sum"/>
    <tableColumn id="15" xr3:uid="{00000000-0010-0000-0100-00000F000000}" name="Max" totalsRowFunction="sum"/>
    <tableColumn id="16" xr3:uid="{00000000-0010-0000-0100-000010000000}" name="Stock Value" totalsRowFunction="sum"/>
    <tableColumn id="17" xr3:uid="{00000000-0010-0000-0100-000011000000}" name="Re-Order Qty" totalsRowFunction="sum"/>
    <tableColumn id="18" xr3:uid="{00000000-0010-0000-0100-000012000000}" name="Re-Order Value" totalsRowFunction="sum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at_BENDINGCUTTING" displayName="cat_BENDINGCUTTING" ref="A1:R22" totalsRowCount="1">
  <autoFilter ref="A1:R21" xr:uid="{00000000-0009-0000-0100-000003000000}"/>
  <tableColumns count="18">
    <tableColumn id="1" xr3:uid="{00000000-0010-0000-0200-000001000000}" name="Item Code" totalsRowLabel="TOTAL STOCK"/>
    <tableColumn id="2" xr3:uid="{00000000-0010-0000-0200-000002000000}" name="Description"/>
    <tableColumn id="3" xr3:uid="{00000000-0010-0000-0200-000003000000}" name="Category"/>
    <tableColumn id="4" xr3:uid="{00000000-0010-0000-0200-000004000000}" name="Period (month(s))"/>
    <tableColumn id="5" xr3:uid="{00000000-0010-0000-0200-000005000000}" name="Total QTY Purchased" totalsRowFunction="sum"/>
    <tableColumn id="6" xr3:uid="{00000000-0010-0000-0200-000006000000}" name="Supplier"/>
    <tableColumn id="7" xr3:uid="{00000000-0010-0000-0200-000007000000}" name="Cost"/>
    <tableColumn id="8" xr3:uid="{00000000-0010-0000-0200-000008000000}" name="Total QTY Sold" totalsRowFunction="sum"/>
    <tableColumn id="9" xr3:uid="{00000000-0010-0000-0200-000009000000}" name="Lead Time (months)"/>
    <tableColumn id="10" xr3:uid="{00000000-0010-0000-0200-00000A000000}" name="AMU"/>
    <tableColumn id="11" xr3:uid="{00000000-0010-0000-0200-00000B000000}" name="Min" totalsRowFunction="sum"/>
    <tableColumn id="12" xr3:uid="{00000000-0010-0000-0200-00000C000000}" name="Re-Order Point (ROP)" totalsRowFunction="sum"/>
    <tableColumn id="13" xr3:uid="{00000000-0010-0000-0200-00000D000000}" name="Current Stock" totalsRowFunction="sum"/>
    <tableColumn id="14" xr3:uid="{00000000-0010-0000-0200-00000E000000}" name="On Order" totalsRowFunction="sum"/>
    <tableColumn id="15" xr3:uid="{00000000-0010-0000-0200-00000F000000}" name="Max" totalsRowFunction="sum"/>
    <tableColumn id="16" xr3:uid="{00000000-0010-0000-0200-000010000000}" name="Stock Value" totalsRowFunction="sum"/>
    <tableColumn id="17" xr3:uid="{00000000-0010-0000-0200-000011000000}" name="Re-Order Qty" totalsRowFunction="sum"/>
    <tableColumn id="18" xr3:uid="{00000000-0010-0000-0200-000012000000}" name="Re-Order Value" totalsRowFunction="sum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at_CFLANGE" displayName="cat_CFLANGE" ref="A1:R7" totalsRowCount="1">
  <autoFilter ref="A1:R6" xr:uid="{00000000-0009-0000-0100-000004000000}"/>
  <tableColumns count="18">
    <tableColumn id="1" xr3:uid="{00000000-0010-0000-0300-000001000000}" name="Item Code" totalsRowLabel="TOTAL STOCK"/>
    <tableColumn id="2" xr3:uid="{00000000-0010-0000-0300-000002000000}" name="Description"/>
    <tableColumn id="3" xr3:uid="{00000000-0010-0000-0300-000003000000}" name="Category"/>
    <tableColumn id="4" xr3:uid="{00000000-0010-0000-0300-000004000000}" name="Period (month(s))"/>
    <tableColumn id="5" xr3:uid="{00000000-0010-0000-0300-000005000000}" name="Total QTY Purchased" totalsRowFunction="sum"/>
    <tableColumn id="6" xr3:uid="{00000000-0010-0000-0300-000006000000}" name="Supplier"/>
    <tableColumn id="7" xr3:uid="{00000000-0010-0000-0300-000007000000}" name="Cost"/>
    <tableColumn id="8" xr3:uid="{00000000-0010-0000-0300-000008000000}" name="Total QTY Sold" totalsRowFunction="sum"/>
    <tableColumn id="9" xr3:uid="{00000000-0010-0000-0300-000009000000}" name="Lead Time (months)"/>
    <tableColumn id="10" xr3:uid="{00000000-0010-0000-0300-00000A000000}" name="AMU"/>
    <tableColumn id="11" xr3:uid="{00000000-0010-0000-0300-00000B000000}" name="Min" totalsRowFunction="sum"/>
    <tableColumn id="12" xr3:uid="{00000000-0010-0000-0300-00000C000000}" name="Re-Order Point (ROP)" totalsRowFunction="sum"/>
    <tableColumn id="13" xr3:uid="{00000000-0010-0000-0300-00000D000000}" name="Current Stock" totalsRowFunction="sum"/>
    <tableColumn id="14" xr3:uid="{00000000-0010-0000-0300-00000E000000}" name="On Order" totalsRowFunction="sum"/>
    <tableColumn id="15" xr3:uid="{00000000-0010-0000-0300-00000F000000}" name="Max" totalsRowFunction="sum"/>
    <tableColumn id="16" xr3:uid="{00000000-0010-0000-0300-000010000000}" name="Stock Value" totalsRowFunction="sum"/>
    <tableColumn id="17" xr3:uid="{00000000-0010-0000-0300-000011000000}" name="Re-Order Qty" totalsRowFunction="sum"/>
    <tableColumn id="18" xr3:uid="{00000000-0010-0000-0300-000012000000}" name="Re-Order Value" totalsRowFunction="sum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t_CASING" displayName="cat_CASING" ref="A1:R36" totalsRowCount="1">
  <autoFilter ref="A1:R35" xr:uid="{00000000-0009-0000-0100-000005000000}"/>
  <tableColumns count="18">
    <tableColumn id="1" xr3:uid="{00000000-0010-0000-0400-000001000000}" name="Item Code" totalsRowLabel="TOTAL STOCK"/>
    <tableColumn id="2" xr3:uid="{00000000-0010-0000-0400-000002000000}" name="Description"/>
    <tableColumn id="3" xr3:uid="{00000000-0010-0000-0400-000003000000}" name="Category"/>
    <tableColumn id="4" xr3:uid="{00000000-0010-0000-0400-000004000000}" name="Period (month(s))"/>
    <tableColumn id="5" xr3:uid="{00000000-0010-0000-0400-000005000000}" name="Total QTY Purchased" totalsRowFunction="sum"/>
    <tableColumn id="6" xr3:uid="{00000000-0010-0000-0400-000006000000}" name="Supplier"/>
    <tableColumn id="7" xr3:uid="{00000000-0010-0000-0400-000007000000}" name="Cost"/>
    <tableColumn id="8" xr3:uid="{00000000-0010-0000-0400-000008000000}" name="Total QTY Sold" totalsRowFunction="sum"/>
    <tableColumn id="9" xr3:uid="{00000000-0010-0000-0400-000009000000}" name="Lead Time (months)"/>
    <tableColumn id="10" xr3:uid="{00000000-0010-0000-0400-00000A000000}" name="AMU"/>
    <tableColumn id="11" xr3:uid="{00000000-0010-0000-0400-00000B000000}" name="Min" totalsRowFunction="sum"/>
    <tableColumn id="12" xr3:uid="{00000000-0010-0000-0400-00000C000000}" name="Re-Order Point (ROP)" totalsRowFunction="sum"/>
    <tableColumn id="13" xr3:uid="{00000000-0010-0000-0400-00000D000000}" name="Current Stock" totalsRowFunction="sum"/>
    <tableColumn id="14" xr3:uid="{00000000-0010-0000-0400-00000E000000}" name="On Order" totalsRowFunction="sum"/>
    <tableColumn id="15" xr3:uid="{00000000-0010-0000-0400-00000F000000}" name="Max" totalsRowFunction="sum"/>
    <tableColumn id="16" xr3:uid="{00000000-0010-0000-0400-000010000000}" name="Stock Value" totalsRowFunction="sum"/>
    <tableColumn id="17" xr3:uid="{00000000-0010-0000-0400-000011000000}" name="Re-Order Qty" totalsRowFunction="sum"/>
    <tableColumn id="18" xr3:uid="{00000000-0010-0000-0400-000012000000}" name="Re-Order Value" totalsRowFunction="sum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at_CONSUMABLES" displayName="cat_CONSUMABLES" ref="A1:R25" totalsRowCount="1">
  <autoFilter ref="A1:R24" xr:uid="{00000000-0009-0000-0100-000006000000}"/>
  <tableColumns count="18">
    <tableColumn id="1" xr3:uid="{00000000-0010-0000-0500-000001000000}" name="Item Code" totalsRowLabel="TOTAL STOCK"/>
    <tableColumn id="2" xr3:uid="{00000000-0010-0000-0500-000002000000}" name="Description"/>
    <tableColumn id="3" xr3:uid="{00000000-0010-0000-0500-000003000000}" name="Category"/>
    <tableColumn id="4" xr3:uid="{00000000-0010-0000-0500-000004000000}" name="Period (month(s))"/>
    <tableColumn id="5" xr3:uid="{00000000-0010-0000-0500-000005000000}" name="Total QTY Purchased" totalsRowFunction="sum"/>
    <tableColumn id="6" xr3:uid="{00000000-0010-0000-0500-000006000000}" name="Supplier"/>
    <tableColumn id="7" xr3:uid="{00000000-0010-0000-0500-000007000000}" name="Cost"/>
    <tableColumn id="8" xr3:uid="{00000000-0010-0000-0500-000008000000}" name="Total QTY Sold" totalsRowFunction="sum"/>
    <tableColumn id="9" xr3:uid="{00000000-0010-0000-0500-000009000000}" name="Lead Time (months)"/>
    <tableColumn id="10" xr3:uid="{00000000-0010-0000-0500-00000A000000}" name="AMU"/>
    <tableColumn id="11" xr3:uid="{00000000-0010-0000-0500-00000B000000}" name="Min" totalsRowFunction="sum"/>
    <tableColumn id="12" xr3:uid="{00000000-0010-0000-0500-00000C000000}" name="Re-Order Point (ROP)" totalsRowFunction="sum"/>
    <tableColumn id="13" xr3:uid="{00000000-0010-0000-0500-00000D000000}" name="Current Stock" totalsRowFunction="sum"/>
    <tableColumn id="14" xr3:uid="{00000000-0010-0000-0500-00000E000000}" name="On Order" totalsRowFunction="sum"/>
    <tableColumn id="15" xr3:uid="{00000000-0010-0000-0500-00000F000000}" name="Max" totalsRowFunction="sum"/>
    <tableColumn id="16" xr3:uid="{00000000-0010-0000-0500-000010000000}" name="Stock Value" totalsRowFunction="sum"/>
    <tableColumn id="17" xr3:uid="{00000000-0010-0000-0500-000011000000}" name="Re-Order Qty" totalsRowFunction="sum"/>
    <tableColumn id="18" xr3:uid="{00000000-0010-0000-0500-000012000000}" name="Re-Order Value" totalsRowFunction="sum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t_CRATING" displayName="cat_CRATING" ref="A1:R3" totalsRowCount="1">
  <autoFilter ref="A1:R2" xr:uid="{00000000-0009-0000-0100-000007000000}"/>
  <tableColumns count="18">
    <tableColumn id="1" xr3:uid="{00000000-0010-0000-0600-000001000000}" name="Item Code" totalsRowLabel="TOTAL STOCK"/>
    <tableColumn id="2" xr3:uid="{00000000-0010-0000-0600-000002000000}" name="Description"/>
    <tableColumn id="3" xr3:uid="{00000000-0010-0000-0600-000003000000}" name="Category"/>
    <tableColumn id="4" xr3:uid="{00000000-0010-0000-0600-000004000000}" name="Period (month(s))"/>
    <tableColumn id="5" xr3:uid="{00000000-0010-0000-0600-000005000000}" name="Total QTY Purchased" totalsRowFunction="sum"/>
    <tableColumn id="6" xr3:uid="{00000000-0010-0000-0600-000006000000}" name="Supplier"/>
    <tableColumn id="7" xr3:uid="{00000000-0010-0000-0600-000007000000}" name="Cost"/>
    <tableColumn id="8" xr3:uid="{00000000-0010-0000-0600-000008000000}" name="Total QTY Sold" totalsRowFunction="sum"/>
    <tableColumn id="9" xr3:uid="{00000000-0010-0000-0600-000009000000}" name="Lead Time (months)"/>
    <tableColumn id="10" xr3:uid="{00000000-0010-0000-0600-00000A000000}" name="AMU"/>
    <tableColumn id="11" xr3:uid="{00000000-0010-0000-0600-00000B000000}" name="Min" totalsRowFunction="sum"/>
    <tableColumn id="12" xr3:uid="{00000000-0010-0000-0600-00000C000000}" name="Re-Order Point (ROP)" totalsRowFunction="sum"/>
    <tableColumn id="13" xr3:uid="{00000000-0010-0000-0600-00000D000000}" name="Current Stock" totalsRowFunction="sum"/>
    <tableColumn id="14" xr3:uid="{00000000-0010-0000-0600-00000E000000}" name="On Order" totalsRowFunction="sum"/>
    <tableColumn id="15" xr3:uid="{00000000-0010-0000-0600-00000F000000}" name="Max" totalsRowFunction="sum"/>
    <tableColumn id="16" xr3:uid="{00000000-0010-0000-0600-000010000000}" name="Stock Value" totalsRowFunction="sum"/>
    <tableColumn id="17" xr3:uid="{00000000-0010-0000-0600-000011000000}" name="Re-Order Qty" totalsRowFunction="sum"/>
    <tableColumn id="18" xr3:uid="{00000000-0010-0000-0600-000012000000}" name="Re-Order Value" totalsRowFunction="sum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cat_Caraccessories" displayName="cat_Caraccessories" ref="A1:R3" totalsRowCount="1">
  <autoFilter ref="A1:R2" xr:uid="{00000000-0009-0000-0100-000008000000}"/>
  <tableColumns count="18">
    <tableColumn id="1" xr3:uid="{00000000-0010-0000-0700-000001000000}" name="Item Code" totalsRowLabel="TOTAL STOCK"/>
    <tableColumn id="2" xr3:uid="{00000000-0010-0000-0700-000002000000}" name="Description"/>
    <tableColumn id="3" xr3:uid="{00000000-0010-0000-0700-000003000000}" name="Category"/>
    <tableColumn id="4" xr3:uid="{00000000-0010-0000-0700-000004000000}" name="Period (month(s))"/>
    <tableColumn id="5" xr3:uid="{00000000-0010-0000-0700-000005000000}" name="Total QTY Purchased" totalsRowFunction="sum"/>
    <tableColumn id="6" xr3:uid="{00000000-0010-0000-0700-000006000000}" name="Supplier"/>
    <tableColumn id="7" xr3:uid="{00000000-0010-0000-0700-000007000000}" name="Cost"/>
    <tableColumn id="8" xr3:uid="{00000000-0010-0000-0700-000008000000}" name="Total QTY Sold" totalsRowFunction="sum"/>
    <tableColumn id="9" xr3:uid="{00000000-0010-0000-0700-000009000000}" name="Lead Time (months)"/>
    <tableColumn id="10" xr3:uid="{00000000-0010-0000-0700-00000A000000}" name="AMU"/>
    <tableColumn id="11" xr3:uid="{00000000-0010-0000-0700-00000B000000}" name="Min" totalsRowFunction="sum"/>
    <tableColumn id="12" xr3:uid="{00000000-0010-0000-0700-00000C000000}" name="Re-Order Point (ROP)" totalsRowFunction="sum"/>
    <tableColumn id="13" xr3:uid="{00000000-0010-0000-0700-00000D000000}" name="Current Stock" totalsRowFunction="sum"/>
    <tableColumn id="14" xr3:uid="{00000000-0010-0000-0700-00000E000000}" name="On Order" totalsRowFunction="sum"/>
    <tableColumn id="15" xr3:uid="{00000000-0010-0000-0700-00000F000000}" name="Max" totalsRowFunction="sum"/>
    <tableColumn id="16" xr3:uid="{00000000-0010-0000-0700-000010000000}" name="Stock Value" totalsRowFunction="sum"/>
    <tableColumn id="17" xr3:uid="{00000000-0010-0000-0700-000011000000}" name="Re-Order Qty" totalsRowFunction="sum"/>
    <tableColumn id="18" xr3:uid="{00000000-0010-0000-0700-000012000000}" name="Re-Order Value" totalsRowFunction="sum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t_DUCT" displayName="cat_DUCT" ref="A1:R3" totalsRowCount="1">
  <autoFilter ref="A1:R2" xr:uid="{00000000-0009-0000-0100-000009000000}"/>
  <tableColumns count="18">
    <tableColumn id="1" xr3:uid="{00000000-0010-0000-0800-000001000000}" name="Item Code" totalsRowLabel="TOTAL STOCK"/>
    <tableColumn id="2" xr3:uid="{00000000-0010-0000-0800-000002000000}" name="Description"/>
    <tableColumn id="3" xr3:uid="{00000000-0010-0000-0800-000003000000}" name="Category"/>
    <tableColumn id="4" xr3:uid="{00000000-0010-0000-0800-000004000000}" name="Period (month(s))"/>
    <tableColumn id="5" xr3:uid="{00000000-0010-0000-0800-000005000000}" name="Total QTY Purchased" totalsRowFunction="sum"/>
    <tableColumn id="6" xr3:uid="{00000000-0010-0000-0800-000006000000}" name="Supplier"/>
    <tableColumn id="7" xr3:uid="{00000000-0010-0000-0800-000007000000}" name="Cost"/>
    <tableColumn id="8" xr3:uid="{00000000-0010-0000-0800-000008000000}" name="Total QTY Sold" totalsRowFunction="sum"/>
    <tableColumn id="9" xr3:uid="{00000000-0010-0000-0800-000009000000}" name="Lead Time (months)"/>
    <tableColumn id="10" xr3:uid="{00000000-0010-0000-0800-00000A000000}" name="AMU"/>
    <tableColumn id="11" xr3:uid="{00000000-0010-0000-0800-00000B000000}" name="Min" totalsRowFunction="sum"/>
    <tableColumn id="12" xr3:uid="{00000000-0010-0000-0800-00000C000000}" name="Re-Order Point (ROP)" totalsRowFunction="sum"/>
    <tableColumn id="13" xr3:uid="{00000000-0010-0000-0800-00000D000000}" name="Current Stock" totalsRowFunction="sum"/>
    <tableColumn id="14" xr3:uid="{00000000-0010-0000-0800-00000E000000}" name="On Order" totalsRowFunction="sum"/>
    <tableColumn id="15" xr3:uid="{00000000-0010-0000-0800-00000F000000}" name="Max" totalsRowFunction="sum"/>
    <tableColumn id="16" xr3:uid="{00000000-0010-0000-0800-000010000000}" name="Stock Value" totalsRowFunction="sum"/>
    <tableColumn id="17" xr3:uid="{00000000-0010-0000-0800-000011000000}" name="Re-Order Qty" totalsRowFunction="sum"/>
    <tableColumn id="18" xr3:uid="{00000000-0010-0000-0800-000012000000}" name="Re-Order Value" totalsRowFunction="sum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at_FABRICATION" displayName="cat_FABRICATION" ref="A1:R10" totalsRowCount="1">
  <autoFilter ref="A1:R9" xr:uid="{00000000-0009-0000-0100-00000A000000}"/>
  <tableColumns count="18">
    <tableColumn id="1" xr3:uid="{00000000-0010-0000-0900-000001000000}" name="Item Code" totalsRowLabel="TOTAL STOCK"/>
    <tableColumn id="2" xr3:uid="{00000000-0010-0000-0900-000002000000}" name="Description"/>
    <tableColumn id="3" xr3:uid="{00000000-0010-0000-0900-000003000000}" name="Category"/>
    <tableColumn id="4" xr3:uid="{00000000-0010-0000-0900-000004000000}" name="Period (month(s))"/>
    <tableColumn id="5" xr3:uid="{00000000-0010-0000-0900-000005000000}" name="Total QTY Purchased" totalsRowFunction="sum"/>
    <tableColumn id="6" xr3:uid="{00000000-0010-0000-0900-000006000000}" name="Supplier"/>
    <tableColumn id="7" xr3:uid="{00000000-0010-0000-0900-000007000000}" name="Cost"/>
    <tableColumn id="8" xr3:uid="{00000000-0010-0000-0900-000008000000}" name="Total QTY Sold" totalsRowFunction="sum"/>
    <tableColumn id="9" xr3:uid="{00000000-0010-0000-0900-000009000000}" name="Lead Time (months)"/>
    <tableColumn id="10" xr3:uid="{00000000-0010-0000-0900-00000A000000}" name="AMU"/>
    <tableColumn id="11" xr3:uid="{00000000-0010-0000-0900-00000B000000}" name="Min" totalsRowFunction="sum"/>
    <tableColumn id="12" xr3:uid="{00000000-0010-0000-0900-00000C000000}" name="Re-Order Point (ROP)" totalsRowFunction="sum"/>
    <tableColumn id="13" xr3:uid="{00000000-0010-0000-0900-00000D000000}" name="Current Stock" totalsRowFunction="sum"/>
    <tableColumn id="14" xr3:uid="{00000000-0010-0000-0900-00000E000000}" name="On Order" totalsRowFunction="sum"/>
    <tableColumn id="15" xr3:uid="{00000000-0010-0000-0900-00000F000000}" name="Max" totalsRowFunction="sum"/>
    <tableColumn id="16" xr3:uid="{00000000-0010-0000-0900-000010000000}" name="Stock Value" totalsRowFunction="sum"/>
    <tableColumn id="17" xr3:uid="{00000000-0010-0000-0900-000011000000}" name="Re-Order Qty" totalsRowFunction="sum"/>
    <tableColumn id="18" xr3:uid="{00000000-0010-0000-0900-000012000000}" name="Re-Order Value" totalsRowFunction="sum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at_FASTENERS" displayName="cat_FASTENERS" ref="A1:R50" totalsRowCount="1">
  <autoFilter ref="A1:R49" xr:uid="{00000000-0009-0000-0100-00000B000000}"/>
  <tableColumns count="18">
    <tableColumn id="1" xr3:uid="{00000000-0010-0000-0A00-000001000000}" name="Item Code" totalsRowLabel="TOTAL STOCK"/>
    <tableColumn id="2" xr3:uid="{00000000-0010-0000-0A00-000002000000}" name="Description"/>
    <tableColumn id="3" xr3:uid="{00000000-0010-0000-0A00-000003000000}" name="Category"/>
    <tableColumn id="4" xr3:uid="{00000000-0010-0000-0A00-000004000000}" name="Period (month(s))"/>
    <tableColumn id="5" xr3:uid="{00000000-0010-0000-0A00-000005000000}" name="Total QTY Purchased" totalsRowFunction="sum"/>
    <tableColumn id="6" xr3:uid="{00000000-0010-0000-0A00-000006000000}" name="Supplier"/>
    <tableColumn id="7" xr3:uid="{00000000-0010-0000-0A00-000007000000}" name="Cost"/>
    <tableColumn id="8" xr3:uid="{00000000-0010-0000-0A00-000008000000}" name="Total QTY Sold" totalsRowFunction="sum"/>
    <tableColumn id="9" xr3:uid="{00000000-0010-0000-0A00-000009000000}" name="Lead Time (months)"/>
    <tableColumn id="10" xr3:uid="{00000000-0010-0000-0A00-00000A000000}" name="AMU"/>
    <tableColumn id="11" xr3:uid="{00000000-0010-0000-0A00-00000B000000}" name="Min" totalsRowFunction="sum"/>
    <tableColumn id="12" xr3:uid="{00000000-0010-0000-0A00-00000C000000}" name="Re-Order Point (ROP)" totalsRowFunction="sum"/>
    <tableColumn id="13" xr3:uid="{00000000-0010-0000-0A00-00000D000000}" name="Current Stock" totalsRowFunction="sum"/>
    <tableColumn id="14" xr3:uid="{00000000-0010-0000-0A00-00000E000000}" name="On Order" totalsRowFunction="sum"/>
    <tableColumn id="15" xr3:uid="{00000000-0010-0000-0A00-00000F000000}" name="Max" totalsRowFunction="sum"/>
    <tableColumn id="16" xr3:uid="{00000000-0010-0000-0A00-000010000000}" name="Stock Value" totalsRowFunction="sum"/>
    <tableColumn id="17" xr3:uid="{00000000-0010-0000-0A00-000011000000}" name="Re-Order Qty" totalsRowFunction="sum"/>
    <tableColumn id="18" xr3:uid="{00000000-0010-0000-0A00-000012000000}" name="Re-Order Value" totalsRowFunction="sum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cat_FMBLOWER" displayName="cat_FMBLOWER" ref="A1:R56" totalsRowCount="1">
  <autoFilter ref="A1:R55" xr:uid="{00000000-0009-0000-0100-00000C000000}"/>
  <tableColumns count="18">
    <tableColumn id="1" xr3:uid="{00000000-0010-0000-0B00-000001000000}" name="Item Code" totalsRowLabel="TOTAL STOCK"/>
    <tableColumn id="2" xr3:uid="{00000000-0010-0000-0B00-000002000000}" name="Description"/>
    <tableColumn id="3" xr3:uid="{00000000-0010-0000-0B00-000003000000}" name="Category"/>
    <tableColumn id="4" xr3:uid="{00000000-0010-0000-0B00-000004000000}" name="Period (month(s))"/>
    <tableColumn id="5" xr3:uid="{00000000-0010-0000-0B00-000005000000}" name="Total QTY Purchased" totalsRowFunction="sum"/>
    <tableColumn id="6" xr3:uid="{00000000-0010-0000-0B00-000006000000}" name="Supplier"/>
    <tableColumn id="7" xr3:uid="{00000000-0010-0000-0B00-000007000000}" name="Cost"/>
    <tableColumn id="8" xr3:uid="{00000000-0010-0000-0B00-000008000000}" name="Total QTY Sold" totalsRowFunction="sum"/>
    <tableColumn id="9" xr3:uid="{00000000-0010-0000-0B00-000009000000}" name="Lead Time (months)"/>
    <tableColumn id="10" xr3:uid="{00000000-0010-0000-0B00-00000A000000}" name="AMU"/>
    <tableColumn id="11" xr3:uid="{00000000-0010-0000-0B00-00000B000000}" name="Min" totalsRowFunction="sum"/>
    <tableColumn id="12" xr3:uid="{00000000-0010-0000-0B00-00000C000000}" name="Re-Order Point (ROP)" totalsRowFunction="sum"/>
    <tableColumn id="13" xr3:uid="{00000000-0010-0000-0B00-00000D000000}" name="Current Stock" totalsRowFunction="sum"/>
    <tableColumn id="14" xr3:uid="{00000000-0010-0000-0B00-00000E000000}" name="On Order" totalsRowFunction="sum"/>
    <tableColumn id="15" xr3:uid="{00000000-0010-0000-0B00-00000F000000}" name="Max" totalsRowFunction="sum"/>
    <tableColumn id="16" xr3:uid="{00000000-0010-0000-0B00-000010000000}" name="Stock Value" totalsRowFunction="sum"/>
    <tableColumn id="17" xr3:uid="{00000000-0010-0000-0B00-000011000000}" name="Re-Order Qty" totalsRowFunction="sum"/>
    <tableColumn id="18" xr3:uid="{00000000-0010-0000-0B00-000012000000}" name="Re-Order Value" totalsRowFunction="sum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cat_FMCFLANGE" displayName="cat_FMCFLANGE" ref="A1:R18" totalsRowCount="1">
  <autoFilter ref="A1:R17" xr:uid="{00000000-0009-0000-0100-00000D000000}"/>
  <tableColumns count="18">
    <tableColumn id="1" xr3:uid="{00000000-0010-0000-0C00-000001000000}" name="Item Code" totalsRowLabel="TOTAL STOCK"/>
    <tableColumn id="2" xr3:uid="{00000000-0010-0000-0C00-000002000000}" name="Description"/>
    <tableColumn id="3" xr3:uid="{00000000-0010-0000-0C00-000003000000}" name="Category"/>
    <tableColumn id="4" xr3:uid="{00000000-0010-0000-0C00-000004000000}" name="Period (month(s))"/>
    <tableColumn id="5" xr3:uid="{00000000-0010-0000-0C00-000005000000}" name="Total QTY Purchased" totalsRowFunction="sum"/>
    <tableColumn id="6" xr3:uid="{00000000-0010-0000-0C00-000006000000}" name="Supplier"/>
    <tableColumn id="7" xr3:uid="{00000000-0010-0000-0C00-000007000000}" name="Cost"/>
    <tableColumn id="8" xr3:uid="{00000000-0010-0000-0C00-000008000000}" name="Total QTY Sold" totalsRowFunction="sum"/>
    <tableColumn id="9" xr3:uid="{00000000-0010-0000-0C00-000009000000}" name="Lead Time (months)"/>
    <tableColumn id="10" xr3:uid="{00000000-0010-0000-0C00-00000A000000}" name="AMU"/>
    <tableColumn id="11" xr3:uid="{00000000-0010-0000-0C00-00000B000000}" name="Min" totalsRowFunction="sum"/>
    <tableColumn id="12" xr3:uid="{00000000-0010-0000-0C00-00000C000000}" name="Re-Order Point (ROP)" totalsRowFunction="sum"/>
    <tableColumn id="13" xr3:uid="{00000000-0010-0000-0C00-00000D000000}" name="Current Stock" totalsRowFunction="sum"/>
    <tableColumn id="14" xr3:uid="{00000000-0010-0000-0C00-00000E000000}" name="On Order" totalsRowFunction="sum"/>
    <tableColumn id="15" xr3:uid="{00000000-0010-0000-0C00-00000F000000}" name="Max" totalsRowFunction="sum"/>
    <tableColumn id="16" xr3:uid="{00000000-0010-0000-0C00-000010000000}" name="Stock Value" totalsRowFunction="sum"/>
    <tableColumn id="17" xr3:uid="{00000000-0010-0000-0C00-000011000000}" name="Re-Order Qty" totalsRowFunction="sum"/>
    <tableColumn id="18" xr3:uid="{00000000-0010-0000-0C00-000012000000}" name="Re-Order Value" totalsRowFunction="sum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cat_FMCASING" displayName="cat_FMCASING" ref="A1:R12" totalsRowCount="1">
  <autoFilter ref="A1:R11" xr:uid="{00000000-0009-0000-0100-00000E000000}"/>
  <tableColumns count="18">
    <tableColumn id="1" xr3:uid="{00000000-0010-0000-0D00-000001000000}" name="Item Code" totalsRowLabel="TOTAL STOCK"/>
    <tableColumn id="2" xr3:uid="{00000000-0010-0000-0D00-000002000000}" name="Description"/>
    <tableColumn id="3" xr3:uid="{00000000-0010-0000-0D00-000003000000}" name="Category"/>
    <tableColumn id="4" xr3:uid="{00000000-0010-0000-0D00-000004000000}" name="Period (month(s))"/>
    <tableColumn id="5" xr3:uid="{00000000-0010-0000-0D00-000005000000}" name="Total QTY Purchased" totalsRowFunction="sum"/>
    <tableColumn id="6" xr3:uid="{00000000-0010-0000-0D00-000006000000}" name="Supplier"/>
    <tableColumn id="7" xr3:uid="{00000000-0010-0000-0D00-000007000000}" name="Cost"/>
    <tableColumn id="8" xr3:uid="{00000000-0010-0000-0D00-000008000000}" name="Total QTY Sold" totalsRowFunction="sum"/>
    <tableColumn id="9" xr3:uid="{00000000-0010-0000-0D00-000009000000}" name="Lead Time (months)"/>
    <tableColumn id="10" xr3:uid="{00000000-0010-0000-0D00-00000A000000}" name="AMU"/>
    <tableColumn id="11" xr3:uid="{00000000-0010-0000-0D00-00000B000000}" name="Min" totalsRowFunction="sum"/>
    <tableColumn id="12" xr3:uid="{00000000-0010-0000-0D00-00000C000000}" name="Re-Order Point (ROP)" totalsRowFunction="sum"/>
    <tableColumn id="13" xr3:uid="{00000000-0010-0000-0D00-00000D000000}" name="Current Stock" totalsRowFunction="sum"/>
    <tableColumn id="14" xr3:uid="{00000000-0010-0000-0D00-00000E000000}" name="On Order" totalsRowFunction="sum"/>
    <tableColumn id="15" xr3:uid="{00000000-0010-0000-0D00-00000F000000}" name="Max" totalsRowFunction="sum"/>
    <tableColumn id="16" xr3:uid="{00000000-0010-0000-0D00-000010000000}" name="Stock Value" totalsRowFunction="sum"/>
    <tableColumn id="17" xr3:uid="{00000000-0010-0000-0D00-000011000000}" name="Re-Order Qty" totalsRowFunction="sum"/>
    <tableColumn id="18" xr3:uid="{00000000-0010-0000-0D00-000012000000}" name="Re-Order Value" totalsRowFunction="sum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at_FMCFWFANS" displayName="cat_FMCFWFANS" ref="A1:R4" totalsRowCount="1">
  <autoFilter ref="A1:R3" xr:uid="{00000000-0009-0000-0100-00000F000000}"/>
  <tableColumns count="18">
    <tableColumn id="1" xr3:uid="{00000000-0010-0000-0E00-000001000000}" name="Item Code" totalsRowLabel="TOTAL STOCK"/>
    <tableColumn id="2" xr3:uid="{00000000-0010-0000-0E00-000002000000}" name="Description"/>
    <tableColumn id="3" xr3:uid="{00000000-0010-0000-0E00-000003000000}" name="Category"/>
    <tableColumn id="4" xr3:uid="{00000000-0010-0000-0E00-000004000000}" name="Period (month(s))"/>
    <tableColumn id="5" xr3:uid="{00000000-0010-0000-0E00-000005000000}" name="Total QTY Purchased" totalsRowFunction="sum"/>
    <tableColumn id="6" xr3:uid="{00000000-0010-0000-0E00-000006000000}" name="Supplier"/>
    <tableColumn id="7" xr3:uid="{00000000-0010-0000-0E00-000007000000}" name="Cost"/>
    <tableColumn id="8" xr3:uid="{00000000-0010-0000-0E00-000008000000}" name="Total QTY Sold" totalsRowFunction="sum"/>
    <tableColumn id="9" xr3:uid="{00000000-0010-0000-0E00-000009000000}" name="Lead Time (months)"/>
    <tableColumn id="10" xr3:uid="{00000000-0010-0000-0E00-00000A000000}" name="AMU"/>
    <tableColumn id="11" xr3:uid="{00000000-0010-0000-0E00-00000B000000}" name="Min" totalsRowFunction="sum"/>
    <tableColumn id="12" xr3:uid="{00000000-0010-0000-0E00-00000C000000}" name="Re-Order Point (ROP)" totalsRowFunction="sum"/>
    <tableColumn id="13" xr3:uid="{00000000-0010-0000-0E00-00000D000000}" name="Current Stock" totalsRowFunction="sum"/>
    <tableColumn id="14" xr3:uid="{00000000-0010-0000-0E00-00000E000000}" name="On Order" totalsRowFunction="sum"/>
    <tableColumn id="15" xr3:uid="{00000000-0010-0000-0E00-00000F000000}" name="Max" totalsRowFunction="sum"/>
    <tableColumn id="16" xr3:uid="{00000000-0010-0000-0E00-000010000000}" name="Stock Value" totalsRowFunction="sum"/>
    <tableColumn id="17" xr3:uid="{00000000-0010-0000-0E00-000011000000}" name="Re-Order Qty" totalsRowFunction="sum"/>
    <tableColumn id="18" xr3:uid="{00000000-0010-0000-0E00-000012000000}" name="Re-Order Value" totalsRowFunction="sum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cat_FMDONKIN" displayName="cat_FMDONKIN" ref="A1:R730" totalsRowCount="1">
  <autoFilter ref="A1:R729" xr:uid="{00000000-0009-0000-0100-000010000000}"/>
  <tableColumns count="18">
    <tableColumn id="1" xr3:uid="{00000000-0010-0000-0F00-000001000000}" name="Item Code" totalsRowLabel="TOTAL STOCK"/>
    <tableColumn id="2" xr3:uid="{00000000-0010-0000-0F00-000002000000}" name="Description"/>
    <tableColumn id="3" xr3:uid="{00000000-0010-0000-0F00-000003000000}" name="Category"/>
    <tableColumn id="4" xr3:uid="{00000000-0010-0000-0F00-000004000000}" name="Period (month(s))"/>
    <tableColumn id="5" xr3:uid="{00000000-0010-0000-0F00-000005000000}" name="Total QTY Purchased" totalsRowFunction="sum"/>
    <tableColumn id="6" xr3:uid="{00000000-0010-0000-0F00-000006000000}" name="Supplier"/>
    <tableColumn id="7" xr3:uid="{00000000-0010-0000-0F00-000007000000}" name="Cost"/>
    <tableColumn id="8" xr3:uid="{00000000-0010-0000-0F00-000008000000}" name="Total QTY Sold" totalsRowFunction="sum"/>
    <tableColumn id="9" xr3:uid="{00000000-0010-0000-0F00-000009000000}" name="Lead Time (months)"/>
    <tableColumn id="10" xr3:uid="{00000000-0010-0000-0F00-00000A000000}" name="AMU"/>
    <tableColumn id="11" xr3:uid="{00000000-0010-0000-0F00-00000B000000}" name="Min" totalsRowFunction="sum"/>
    <tableColumn id="12" xr3:uid="{00000000-0010-0000-0F00-00000C000000}" name="Re-Order Point (ROP)" totalsRowFunction="sum"/>
    <tableColumn id="13" xr3:uid="{00000000-0010-0000-0F00-00000D000000}" name="Current Stock" totalsRowFunction="sum"/>
    <tableColumn id="14" xr3:uid="{00000000-0010-0000-0F00-00000E000000}" name="On Order" totalsRowFunction="sum"/>
    <tableColumn id="15" xr3:uid="{00000000-0010-0000-0F00-00000F000000}" name="Max" totalsRowFunction="sum"/>
    <tableColumn id="16" xr3:uid="{00000000-0010-0000-0F00-000010000000}" name="Stock Value" totalsRowFunction="sum"/>
    <tableColumn id="17" xr3:uid="{00000000-0010-0000-0F00-000011000000}" name="Re-Order Qty" totalsRowFunction="sum"/>
    <tableColumn id="18" xr3:uid="{00000000-0010-0000-0F00-000012000000}" name="Re-Order Value" totalsRowFunction="sum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cat_FMELECTRICALWIRING" displayName="cat_FMELECTRICALWIRING" ref="A1:R4" totalsRowCount="1">
  <autoFilter ref="A1:R3" xr:uid="{00000000-0009-0000-0100-000011000000}"/>
  <tableColumns count="18">
    <tableColumn id="1" xr3:uid="{00000000-0010-0000-1000-000001000000}" name="Item Code" totalsRowLabel="TOTAL STOCK"/>
    <tableColumn id="2" xr3:uid="{00000000-0010-0000-1000-000002000000}" name="Description"/>
    <tableColumn id="3" xr3:uid="{00000000-0010-0000-1000-000003000000}" name="Category"/>
    <tableColumn id="4" xr3:uid="{00000000-0010-0000-1000-000004000000}" name="Period (month(s))"/>
    <tableColumn id="5" xr3:uid="{00000000-0010-0000-1000-000005000000}" name="Total QTY Purchased" totalsRowFunction="sum"/>
    <tableColumn id="6" xr3:uid="{00000000-0010-0000-1000-000006000000}" name="Supplier"/>
    <tableColumn id="7" xr3:uid="{00000000-0010-0000-1000-000007000000}" name="Cost"/>
    <tableColumn id="8" xr3:uid="{00000000-0010-0000-1000-000008000000}" name="Total QTY Sold" totalsRowFunction="sum"/>
    <tableColumn id="9" xr3:uid="{00000000-0010-0000-1000-000009000000}" name="Lead Time (months)"/>
    <tableColumn id="10" xr3:uid="{00000000-0010-0000-1000-00000A000000}" name="AMU"/>
    <tableColumn id="11" xr3:uid="{00000000-0010-0000-1000-00000B000000}" name="Min" totalsRowFunction="sum"/>
    <tableColumn id="12" xr3:uid="{00000000-0010-0000-1000-00000C000000}" name="Re-Order Point (ROP)" totalsRowFunction="sum"/>
    <tableColumn id="13" xr3:uid="{00000000-0010-0000-1000-00000D000000}" name="Current Stock" totalsRowFunction="sum"/>
    <tableColumn id="14" xr3:uid="{00000000-0010-0000-1000-00000E000000}" name="On Order" totalsRowFunction="sum"/>
    <tableColumn id="15" xr3:uid="{00000000-0010-0000-1000-00000F000000}" name="Max" totalsRowFunction="sum"/>
    <tableColumn id="16" xr3:uid="{00000000-0010-0000-1000-000010000000}" name="Stock Value" totalsRowFunction="sum"/>
    <tableColumn id="17" xr3:uid="{00000000-0010-0000-1000-000011000000}" name="Re-Order Qty" totalsRowFunction="sum"/>
    <tableColumn id="18" xr3:uid="{00000000-0010-0000-1000-000012000000}" name="Re-Order Value" totalsRowFunction="sum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cat_FMFABRICATION" displayName="cat_FMFABRICATION" ref="A1:R8" totalsRowCount="1">
  <autoFilter ref="A1:R7" xr:uid="{00000000-0009-0000-0100-000012000000}"/>
  <tableColumns count="18">
    <tableColumn id="1" xr3:uid="{00000000-0010-0000-1100-000001000000}" name="Item Code" totalsRowLabel="TOTAL STOCK"/>
    <tableColumn id="2" xr3:uid="{00000000-0010-0000-1100-000002000000}" name="Description"/>
    <tableColumn id="3" xr3:uid="{00000000-0010-0000-1100-000003000000}" name="Category"/>
    <tableColumn id="4" xr3:uid="{00000000-0010-0000-1100-000004000000}" name="Period (month(s))"/>
    <tableColumn id="5" xr3:uid="{00000000-0010-0000-1100-000005000000}" name="Total QTY Purchased" totalsRowFunction="sum"/>
    <tableColumn id="6" xr3:uid="{00000000-0010-0000-1100-000006000000}" name="Supplier"/>
    <tableColumn id="7" xr3:uid="{00000000-0010-0000-1100-000007000000}" name="Cost"/>
    <tableColumn id="8" xr3:uid="{00000000-0010-0000-1100-000008000000}" name="Total QTY Sold" totalsRowFunction="sum"/>
    <tableColumn id="9" xr3:uid="{00000000-0010-0000-1100-000009000000}" name="Lead Time (months)"/>
    <tableColumn id="10" xr3:uid="{00000000-0010-0000-1100-00000A000000}" name="AMU"/>
    <tableColumn id="11" xr3:uid="{00000000-0010-0000-1100-00000B000000}" name="Min" totalsRowFunction="sum"/>
    <tableColumn id="12" xr3:uid="{00000000-0010-0000-1100-00000C000000}" name="Re-Order Point (ROP)" totalsRowFunction="sum"/>
    <tableColumn id="13" xr3:uid="{00000000-0010-0000-1100-00000D000000}" name="Current Stock" totalsRowFunction="sum"/>
    <tableColumn id="14" xr3:uid="{00000000-0010-0000-1100-00000E000000}" name="On Order" totalsRowFunction="sum"/>
    <tableColumn id="15" xr3:uid="{00000000-0010-0000-1100-00000F000000}" name="Max" totalsRowFunction="sum"/>
    <tableColumn id="16" xr3:uid="{00000000-0010-0000-1100-000010000000}" name="Stock Value" totalsRowFunction="sum"/>
    <tableColumn id="17" xr3:uid="{00000000-0010-0000-1100-000011000000}" name="Re-Order Qty" totalsRowFunction="sum"/>
    <tableColumn id="18" xr3:uid="{00000000-0010-0000-1100-000012000000}" name="Re-Order Value" totalsRowFunction="sum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cat_FMFANBLADEMODELLING" displayName="cat_FMFANBLADEMODELLING" ref="A1:R3" totalsRowCount="1">
  <autoFilter ref="A1:R2" xr:uid="{00000000-0009-0000-0100-000013000000}"/>
  <tableColumns count="18">
    <tableColumn id="1" xr3:uid="{00000000-0010-0000-1200-000001000000}" name="Item Code" totalsRowLabel="TOTAL STOCK"/>
    <tableColumn id="2" xr3:uid="{00000000-0010-0000-1200-000002000000}" name="Description"/>
    <tableColumn id="3" xr3:uid="{00000000-0010-0000-1200-000003000000}" name="Category"/>
    <tableColumn id="4" xr3:uid="{00000000-0010-0000-1200-000004000000}" name="Period (month(s))"/>
    <tableColumn id="5" xr3:uid="{00000000-0010-0000-1200-000005000000}" name="Total QTY Purchased" totalsRowFunction="sum"/>
    <tableColumn id="6" xr3:uid="{00000000-0010-0000-1200-000006000000}" name="Supplier"/>
    <tableColumn id="7" xr3:uid="{00000000-0010-0000-1200-000007000000}" name="Cost"/>
    <tableColumn id="8" xr3:uid="{00000000-0010-0000-1200-000008000000}" name="Total QTY Sold" totalsRowFunction="sum"/>
    <tableColumn id="9" xr3:uid="{00000000-0010-0000-1200-000009000000}" name="Lead Time (months)"/>
    <tableColumn id="10" xr3:uid="{00000000-0010-0000-1200-00000A000000}" name="AMU"/>
    <tableColumn id="11" xr3:uid="{00000000-0010-0000-1200-00000B000000}" name="Min" totalsRowFunction="sum"/>
    <tableColumn id="12" xr3:uid="{00000000-0010-0000-1200-00000C000000}" name="Re-Order Point (ROP)" totalsRowFunction="sum"/>
    <tableColumn id="13" xr3:uid="{00000000-0010-0000-1200-00000D000000}" name="Current Stock" totalsRowFunction="sum"/>
    <tableColumn id="14" xr3:uid="{00000000-0010-0000-1200-00000E000000}" name="On Order" totalsRowFunction="sum"/>
    <tableColumn id="15" xr3:uid="{00000000-0010-0000-1200-00000F000000}" name="Max" totalsRowFunction="sum"/>
    <tableColumn id="16" xr3:uid="{00000000-0010-0000-1200-000010000000}" name="Stock Value" totalsRowFunction="sum"/>
    <tableColumn id="17" xr3:uid="{00000000-0010-0000-1200-000011000000}" name="Re-Order Qty" totalsRowFunction="sum"/>
    <tableColumn id="18" xr3:uid="{00000000-0010-0000-1200-000012000000}" name="Re-Order Value" totalsRowFunction="sum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cat_FMFPZ" displayName="cat_FMFPZ" ref="A1:R131" totalsRowCount="1">
  <autoFilter ref="A1:R130" xr:uid="{00000000-0009-0000-0100-000014000000}"/>
  <tableColumns count="18">
    <tableColumn id="1" xr3:uid="{00000000-0010-0000-1300-000001000000}" name="Item Code" totalsRowLabel="TOTAL STOCK"/>
    <tableColumn id="2" xr3:uid="{00000000-0010-0000-1300-000002000000}" name="Description"/>
    <tableColumn id="3" xr3:uid="{00000000-0010-0000-1300-000003000000}" name="Category"/>
    <tableColumn id="4" xr3:uid="{00000000-0010-0000-1300-000004000000}" name="Period (month(s))"/>
    <tableColumn id="5" xr3:uid="{00000000-0010-0000-1300-000005000000}" name="Total QTY Purchased" totalsRowFunction="sum"/>
    <tableColumn id="6" xr3:uid="{00000000-0010-0000-1300-000006000000}" name="Supplier"/>
    <tableColumn id="7" xr3:uid="{00000000-0010-0000-1300-000007000000}" name="Cost"/>
    <tableColumn id="8" xr3:uid="{00000000-0010-0000-1300-000008000000}" name="Total QTY Sold" totalsRowFunction="sum"/>
    <tableColumn id="9" xr3:uid="{00000000-0010-0000-1300-000009000000}" name="Lead Time (months)"/>
    <tableColumn id="10" xr3:uid="{00000000-0010-0000-1300-00000A000000}" name="AMU"/>
    <tableColumn id="11" xr3:uid="{00000000-0010-0000-1300-00000B000000}" name="Min" totalsRowFunction="sum"/>
    <tableColumn id="12" xr3:uid="{00000000-0010-0000-1300-00000C000000}" name="Re-Order Point (ROP)" totalsRowFunction="sum"/>
    <tableColumn id="13" xr3:uid="{00000000-0010-0000-1300-00000D000000}" name="Current Stock" totalsRowFunction="sum"/>
    <tableColumn id="14" xr3:uid="{00000000-0010-0000-1300-00000E000000}" name="On Order" totalsRowFunction="sum"/>
    <tableColumn id="15" xr3:uid="{00000000-0010-0000-1300-00000F000000}" name="Max" totalsRowFunction="sum"/>
    <tableColumn id="16" xr3:uid="{00000000-0010-0000-1300-000010000000}" name="Stock Value" totalsRowFunction="sum"/>
    <tableColumn id="17" xr3:uid="{00000000-0010-0000-1300-000011000000}" name="Re-Order Qty" totalsRowFunction="sum"/>
    <tableColumn id="18" xr3:uid="{00000000-0010-0000-1300-000012000000}" name="Re-Order Value" totalsRowFunction="sum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cat_FMFUMAX" displayName="cat_FMFUMAX" ref="A1:R3" totalsRowCount="1">
  <autoFilter ref="A1:R2" xr:uid="{00000000-0009-0000-0100-000015000000}"/>
  <tableColumns count="18">
    <tableColumn id="1" xr3:uid="{00000000-0010-0000-1400-000001000000}" name="Item Code" totalsRowLabel="TOTAL STOCK"/>
    <tableColumn id="2" xr3:uid="{00000000-0010-0000-1400-000002000000}" name="Description"/>
    <tableColumn id="3" xr3:uid="{00000000-0010-0000-1400-000003000000}" name="Category"/>
    <tableColumn id="4" xr3:uid="{00000000-0010-0000-1400-000004000000}" name="Period (month(s))"/>
    <tableColumn id="5" xr3:uid="{00000000-0010-0000-1400-000005000000}" name="Total QTY Purchased" totalsRowFunction="sum"/>
    <tableColumn id="6" xr3:uid="{00000000-0010-0000-1400-000006000000}" name="Supplier"/>
    <tableColumn id="7" xr3:uid="{00000000-0010-0000-1400-000007000000}" name="Cost"/>
    <tableColumn id="8" xr3:uid="{00000000-0010-0000-1400-000008000000}" name="Total QTY Sold" totalsRowFunction="sum"/>
    <tableColumn id="9" xr3:uid="{00000000-0010-0000-1400-000009000000}" name="Lead Time (months)"/>
    <tableColumn id="10" xr3:uid="{00000000-0010-0000-1400-00000A000000}" name="AMU"/>
    <tableColumn id="11" xr3:uid="{00000000-0010-0000-1400-00000B000000}" name="Min" totalsRowFunction="sum"/>
    <tableColumn id="12" xr3:uid="{00000000-0010-0000-1400-00000C000000}" name="Re-Order Point (ROP)" totalsRowFunction="sum"/>
    <tableColumn id="13" xr3:uid="{00000000-0010-0000-1400-00000D000000}" name="Current Stock" totalsRowFunction="sum"/>
    <tableColumn id="14" xr3:uid="{00000000-0010-0000-1400-00000E000000}" name="On Order" totalsRowFunction="sum"/>
    <tableColumn id="15" xr3:uid="{00000000-0010-0000-1400-00000F000000}" name="Max" totalsRowFunction="sum"/>
    <tableColumn id="16" xr3:uid="{00000000-0010-0000-1400-000010000000}" name="Stock Value" totalsRowFunction="sum"/>
    <tableColumn id="17" xr3:uid="{00000000-0010-0000-1400-000011000000}" name="Re-Order Qty" totalsRowFunction="sum"/>
    <tableColumn id="18" xr3:uid="{00000000-0010-0000-1400-000012000000}" name="Re-Order Value" totalsRowFunction="sum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cat_FMIMPELLER" displayName="cat_FMIMPELLER" ref="A1:R17" totalsRowCount="1">
  <autoFilter ref="A1:R16" xr:uid="{00000000-0009-0000-0100-000016000000}"/>
  <tableColumns count="18">
    <tableColumn id="1" xr3:uid="{00000000-0010-0000-1500-000001000000}" name="Item Code" totalsRowLabel="TOTAL STOCK"/>
    <tableColumn id="2" xr3:uid="{00000000-0010-0000-1500-000002000000}" name="Description"/>
    <tableColumn id="3" xr3:uid="{00000000-0010-0000-1500-000003000000}" name="Category"/>
    <tableColumn id="4" xr3:uid="{00000000-0010-0000-1500-000004000000}" name="Period (month(s))"/>
    <tableColumn id="5" xr3:uid="{00000000-0010-0000-1500-000005000000}" name="Total QTY Purchased" totalsRowFunction="sum"/>
    <tableColumn id="6" xr3:uid="{00000000-0010-0000-1500-000006000000}" name="Supplier"/>
    <tableColumn id="7" xr3:uid="{00000000-0010-0000-1500-000007000000}" name="Cost"/>
    <tableColumn id="8" xr3:uid="{00000000-0010-0000-1500-000008000000}" name="Total QTY Sold" totalsRowFunction="sum"/>
    <tableColumn id="9" xr3:uid="{00000000-0010-0000-1500-000009000000}" name="Lead Time (months)"/>
    <tableColumn id="10" xr3:uid="{00000000-0010-0000-1500-00000A000000}" name="AMU"/>
    <tableColumn id="11" xr3:uid="{00000000-0010-0000-1500-00000B000000}" name="Min" totalsRowFunction="sum"/>
    <tableColumn id="12" xr3:uid="{00000000-0010-0000-1500-00000C000000}" name="Re-Order Point (ROP)" totalsRowFunction="sum"/>
    <tableColumn id="13" xr3:uid="{00000000-0010-0000-1500-00000D000000}" name="Current Stock" totalsRowFunction="sum"/>
    <tableColumn id="14" xr3:uid="{00000000-0010-0000-1500-00000E000000}" name="On Order" totalsRowFunction="sum"/>
    <tableColumn id="15" xr3:uid="{00000000-0010-0000-1500-00000F000000}" name="Max" totalsRowFunction="sum"/>
    <tableColumn id="16" xr3:uid="{00000000-0010-0000-1500-000010000000}" name="Stock Value" totalsRowFunction="sum"/>
    <tableColumn id="17" xr3:uid="{00000000-0010-0000-1500-000011000000}" name="Re-Order Qty" totalsRowFunction="sum"/>
    <tableColumn id="18" xr3:uid="{00000000-0010-0000-1500-000012000000}" name="Re-Order Value" totalsRowFunction="sum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at_FMKAYITES" displayName="cat_FMKAYITES" ref="A1:R121" totalsRowCount="1">
  <autoFilter ref="A1:R120" xr:uid="{00000000-0009-0000-0100-000017000000}"/>
  <tableColumns count="18">
    <tableColumn id="1" xr3:uid="{00000000-0010-0000-1600-000001000000}" name="Item Code" totalsRowLabel="TOTAL STOCK"/>
    <tableColumn id="2" xr3:uid="{00000000-0010-0000-1600-000002000000}" name="Description"/>
    <tableColumn id="3" xr3:uid="{00000000-0010-0000-1600-000003000000}" name="Category"/>
    <tableColumn id="4" xr3:uid="{00000000-0010-0000-1600-000004000000}" name="Period (month(s))"/>
    <tableColumn id="5" xr3:uid="{00000000-0010-0000-1600-000005000000}" name="Total QTY Purchased" totalsRowFunction="sum"/>
    <tableColumn id="6" xr3:uid="{00000000-0010-0000-1600-000006000000}" name="Supplier"/>
    <tableColumn id="7" xr3:uid="{00000000-0010-0000-1600-000007000000}" name="Cost"/>
    <tableColumn id="8" xr3:uid="{00000000-0010-0000-1600-000008000000}" name="Total QTY Sold" totalsRowFunction="sum"/>
    <tableColumn id="9" xr3:uid="{00000000-0010-0000-1600-000009000000}" name="Lead Time (months)"/>
    <tableColumn id="10" xr3:uid="{00000000-0010-0000-1600-00000A000000}" name="AMU"/>
    <tableColumn id="11" xr3:uid="{00000000-0010-0000-1600-00000B000000}" name="Min" totalsRowFunction="sum"/>
    <tableColumn id="12" xr3:uid="{00000000-0010-0000-1600-00000C000000}" name="Re-Order Point (ROP)" totalsRowFunction="sum"/>
    <tableColumn id="13" xr3:uid="{00000000-0010-0000-1600-00000D000000}" name="Current Stock" totalsRowFunction="sum"/>
    <tableColumn id="14" xr3:uid="{00000000-0010-0000-1600-00000E000000}" name="On Order" totalsRowFunction="sum"/>
    <tableColumn id="15" xr3:uid="{00000000-0010-0000-1600-00000F000000}" name="Max" totalsRowFunction="sum"/>
    <tableColumn id="16" xr3:uid="{00000000-0010-0000-1600-000010000000}" name="Stock Value" totalsRowFunction="sum"/>
    <tableColumn id="17" xr3:uid="{00000000-0010-0000-1600-000011000000}" name="Re-Order Qty" totalsRowFunction="sum"/>
    <tableColumn id="18" xr3:uid="{00000000-0010-0000-1600-000012000000}" name="Re-Order Value" totalsRowFunction="sum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at_FMLUCKKING" displayName="cat_FMLUCKKING" ref="A1:R4" totalsRowCount="1">
  <autoFilter ref="A1:R3" xr:uid="{00000000-0009-0000-0100-000018000000}"/>
  <tableColumns count="18">
    <tableColumn id="1" xr3:uid="{00000000-0010-0000-1700-000001000000}" name="Item Code" totalsRowLabel="TOTAL STOCK"/>
    <tableColumn id="2" xr3:uid="{00000000-0010-0000-1700-000002000000}" name="Description"/>
    <tableColumn id="3" xr3:uid="{00000000-0010-0000-1700-000003000000}" name="Category"/>
    <tableColumn id="4" xr3:uid="{00000000-0010-0000-1700-000004000000}" name="Period (month(s))"/>
    <tableColumn id="5" xr3:uid="{00000000-0010-0000-1700-000005000000}" name="Total QTY Purchased" totalsRowFunction="sum"/>
    <tableColumn id="6" xr3:uid="{00000000-0010-0000-1700-000006000000}" name="Supplier"/>
    <tableColumn id="7" xr3:uid="{00000000-0010-0000-1700-000007000000}" name="Cost"/>
    <tableColumn id="8" xr3:uid="{00000000-0010-0000-1700-000008000000}" name="Total QTY Sold" totalsRowFunction="sum"/>
    <tableColumn id="9" xr3:uid="{00000000-0010-0000-1700-000009000000}" name="Lead Time (months)"/>
    <tableColumn id="10" xr3:uid="{00000000-0010-0000-1700-00000A000000}" name="AMU"/>
    <tableColumn id="11" xr3:uid="{00000000-0010-0000-1700-00000B000000}" name="Min" totalsRowFunction="sum"/>
    <tableColumn id="12" xr3:uid="{00000000-0010-0000-1700-00000C000000}" name="Re-Order Point (ROP)" totalsRowFunction="sum"/>
    <tableColumn id="13" xr3:uid="{00000000-0010-0000-1700-00000D000000}" name="Current Stock" totalsRowFunction="sum"/>
    <tableColumn id="14" xr3:uid="{00000000-0010-0000-1700-00000E000000}" name="On Order" totalsRowFunction="sum"/>
    <tableColumn id="15" xr3:uid="{00000000-0010-0000-1700-00000F000000}" name="Max" totalsRowFunction="sum"/>
    <tableColumn id="16" xr3:uid="{00000000-0010-0000-1700-000010000000}" name="Stock Value" totalsRowFunction="sum"/>
    <tableColumn id="17" xr3:uid="{00000000-0010-0000-1700-000011000000}" name="Re-Order Qty" totalsRowFunction="sum"/>
    <tableColumn id="18" xr3:uid="{00000000-0010-0000-1700-000012000000}" name="Re-Order Value" totalsRowFunction="sum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cat_FMMFEET" displayName="cat_FMMFEET" ref="A1:R18" totalsRowCount="1">
  <autoFilter ref="A1:R17" xr:uid="{00000000-0009-0000-0100-000019000000}"/>
  <tableColumns count="18">
    <tableColumn id="1" xr3:uid="{00000000-0010-0000-1800-000001000000}" name="Item Code" totalsRowLabel="TOTAL STOCK"/>
    <tableColumn id="2" xr3:uid="{00000000-0010-0000-1800-000002000000}" name="Description"/>
    <tableColumn id="3" xr3:uid="{00000000-0010-0000-1800-000003000000}" name="Category"/>
    <tableColumn id="4" xr3:uid="{00000000-0010-0000-1800-000004000000}" name="Period (month(s))"/>
    <tableColumn id="5" xr3:uid="{00000000-0010-0000-1800-000005000000}" name="Total QTY Purchased" totalsRowFunction="sum"/>
    <tableColumn id="6" xr3:uid="{00000000-0010-0000-1800-000006000000}" name="Supplier"/>
    <tableColumn id="7" xr3:uid="{00000000-0010-0000-1800-000007000000}" name="Cost"/>
    <tableColumn id="8" xr3:uid="{00000000-0010-0000-1800-000008000000}" name="Total QTY Sold" totalsRowFunction="sum"/>
    <tableColumn id="9" xr3:uid="{00000000-0010-0000-1800-000009000000}" name="Lead Time (months)"/>
    <tableColumn id="10" xr3:uid="{00000000-0010-0000-1800-00000A000000}" name="AMU"/>
    <tableColumn id="11" xr3:uid="{00000000-0010-0000-1800-00000B000000}" name="Min" totalsRowFunction="sum"/>
    <tableColumn id="12" xr3:uid="{00000000-0010-0000-1800-00000C000000}" name="Re-Order Point (ROP)" totalsRowFunction="sum"/>
    <tableColumn id="13" xr3:uid="{00000000-0010-0000-1800-00000D000000}" name="Current Stock" totalsRowFunction="sum"/>
    <tableColumn id="14" xr3:uid="{00000000-0010-0000-1800-00000E000000}" name="On Order" totalsRowFunction="sum"/>
    <tableColumn id="15" xr3:uid="{00000000-0010-0000-1800-00000F000000}" name="Max" totalsRowFunction="sum"/>
    <tableColumn id="16" xr3:uid="{00000000-0010-0000-1800-000010000000}" name="Stock Value" totalsRowFunction="sum"/>
    <tableColumn id="17" xr3:uid="{00000000-0010-0000-1800-000011000000}" name="Re-Order Qty" totalsRowFunction="sum"/>
    <tableColumn id="18" xr3:uid="{00000000-0010-0000-1800-000012000000}" name="Re-Order Value" totalsRowFunction="sum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cat_FMMACHINERY" displayName="cat_FMMACHINERY" ref="A1:R5" totalsRowCount="1">
  <autoFilter ref="A1:R4" xr:uid="{00000000-0009-0000-0100-00001A000000}"/>
  <tableColumns count="18">
    <tableColumn id="1" xr3:uid="{00000000-0010-0000-1900-000001000000}" name="Item Code" totalsRowLabel="TOTAL STOCK"/>
    <tableColumn id="2" xr3:uid="{00000000-0010-0000-1900-000002000000}" name="Description"/>
    <tableColumn id="3" xr3:uid="{00000000-0010-0000-1900-000003000000}" name="Category"/>
    <tableColumn id="4" xr3:uid="{00000000-0010-0000-1900-000004000000}" name="Period (month(s))"/>
    <tableColumn id="5" xr3:uid="{00000000-0010-0000-1900-000005000000}" name="Total QTY Purchased" totalsRowFunction="sum"/>
    <tableColumn id="6" xr3:uid="{00000000-0010-0000-1900-000006000000}" name="Supplier"/>
    <tableColumn id="7" xr3:uid="{00000000-0010-0000-1900-000007000000}" name="Cost"/>
    <tableColumn id="8" xr3:uid="{00000000-0010-0000-1900-000008000000}" name="Total QTY Sold" totalsRowFunction="sum"/>
    <tableColumn id="9" xr3:uid="{00000000-0010-0000-1900-000009000000}" name="Lead Time (months)"/>
    <tableColumn id="10" xr3:uid="{00000000-0010-0000-1900-00000A000000}" name="AMU"/>
    <tableColumn id="11" xr3:uid="{00000000-0010-0000-1900-00000B000000}" name="Min" totalsRowFunction="sum"/>
    <tableColumn id="12" xr3:uid="{00000000-0010-0000-1900-00000C000000}" name="Re-Order Point (ROP)" totalsRowFunction="sum"/>
    <tableColumn id="13" xr3:uid="{00000000-0010-0000-1900-00000D000000}" name="Current Stock" totalsRowFunction="sum"/>
    <tableColumn id="14" xr3:uid="{00000000-0010-0000-1900-00000E000000}" name="On Order" totalsRowFunction="sum"/>
    <tableColumn id="15" xr3:uid="{00000000-0010-0000-1900-00000F000000}" name="Max" totalsRowFunction="sum"/>
    <tableColumn id="16" xr3:uid="{00000000-0010-0000-1900-000010000000}" name="Stock Value" totalsRowFunction="sum"/>
    <tableColumn id="17" xr3:uid="{00000000-0010-0000-1900-000011000000}" name="Re-Order Qty" totalsRowFunction="sum"/>
    <tableColumn id="18" xr3:uid="{00000000-0010-0000-1900-000012000000}" name="Re-Order Value" totalsRowFunction="sum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cat_FMMOTOR" displayName="cat_FMMOTOR" ref="A1:R23" totalsRowCount="1">
  <autoFilter ref="A1:R22" xr:uid="{00000000-0009-0000-0100-00001B000000}"/>
  <tableColumns count="18">
    <tableColumn id="1" xr3:uid="{00000000-0010-0000-1A00-000001000000}" name="Item Code" totalsRowLabel="TOTAL STOCK"/>
    <tableColumn id="2" xr3:uid="{00000000-0010-0000-1A00-000002000000}" name="Description"/>
    <tableColumn id="3" xr3:uid="{00000000-0010-0000-1A00-000003000000}" name="Category"/>
    <tableColumn id="4" xr3:uid="{00000000-0010-0000-1A00-000004000000}" name="Period (month(s))"/>
    <tableColumn id="5" xr3:uid="{00000000-0010-0000-1A00-000005000000}" name="Total QTY Purchased" totalsRowFunction="sum"/>
    <tableColumn id="6" xr3:uid="{00000000-0010-0000-1A00-000006000000}" name="Supplier"/>
    <tableColumn id="7" xr3:uid="{00000000-0010-0000-1A00-000007000000}" name="Cost"/>
    <tableColumn id="8" xr3:uid="{00000000-0010-0000-1A00-000008000000}" name="Total QTY Sold" totalsRowFunction="sum"/>
    <tableColumn id="9" xr3:uid="{00000000-0010-0000-1A00-000009000000}" name="Lead Time (months)"/>
    <tableColumn id="10" xr3:uid="{00000000-0010-0000-1A00-00000A000000}" name="AMU"/>
    <tableColumn id="11" xr3:uid="{00000000-0010-0000-1A00-00000B000000}" name="Min" totalsRowFunction="sum"/>
    <tableColumn id="12" xr3:uid="{00000000-0010-0000-1A00-00000C000000}" name="Re-Order Point (ROP)" totalsRowFunction="sum"/>
    <tableColumn id="13" xr3:uid="{00000000-0010-0000-1A00-00000D000000}" name="Current Stock" totalsRowFunction="sum"/>
    <tableColumn id="14" xr3:uid="{00000000-0010-0000-1A00-00000E000000}" name="On Order" totalsRowFunction="sum"/>
    <tableColumn id="15" xr3:uid="{00000000-0010-0000-1A00-00000F000000}" name="Max" totalsRowFunction="sum"/>
    <tableColumn id="16" xr3:uid="{00000000-0010-0000-1A00-000010000000}" name="Stock Value" totalsRowFunction="sum"/>
    <tableColumn id="17" xr3:uid="{00000000-0010-0000-1A00-000011000000}" name="Re-Order Qty" totalsRowFunction="sum"/>
    <tableColumn id="18" xr3:uid="{00000000-0010-0000-1A00-000012000000}" name="Re-Order Value" totalsRowFunction="sum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cat_FMNICOTRA" displayName="cat_FMNICOTRA" ref="A1:R55" totalsRowCount="1">
  <autoFilter ref="A1:R54" xr:uid="{00000000-0009-0000-0100-00001C000000}"/>
  <tableColumns count="18">
    <tableColumn id="1" xr3:uid="{00000000-0010-0000-1B00-000001000000}" name="Item Code" totalsRowLabel="TOTAL STOCK"/>
    <tableColumn id="2" xr3:uid="{00000000-0010-0000-1B00-000002000000}" name="Description"/>
    <tableColumn id="3" xr3:uid="{00000000-0010-0000-1B00-000003000000}" name="Category"/>
    <tableColumn id="4" xr3:uid="{00000000-0010-0000-1B00-000004000000}" name="Period (month(s))"/>
    <tableColumn id="5" xr3:uid="{00000000-0010-0000-1B00-000005000000}" name="Total QTY Purchased" totalsRowFunction="sum"/>
    <tableColumn id="6" xr3:uid="{00000000-0010-0000-1B00-000006000000}" name="Supplier"/>
    <tableColumn id="7" xr3:uid="{00000000-0010-0000-1B00-000007000000}" name="Cost"/>
    <tableColumn id="8" xr3:uid="{00000000-0010-0000-1B00-000008000000}" name="Total QTY Sold" totalsRowFunction="sum"/>
    <tableColumn id="9" xr3:uid="{00000000-0010-0000-1B00-000009000000}" name="Lead Time (months)"/>
    <tableColumn id="10" xr3:uid="{00000000-0010-0000-1B00-00000A000000}" name="AMU"/>
    <tableColumn id="11" xr3:uid="{00000000-0010-0000-1B00-00000B000000}" name="Min" totalsRowFunction="sum"/>
    <tableColumn id="12" xr3:uid="{00000000-0010-0000-1B00-00000C000000}" name="Re-Order Point (ROP)" totalsRowFunction="sum"/>
    <tableColumn id="13" xr3:uid="{00000000-0010-0000-1B00-00000D000000}" name="Current Stock" totalsRowFunction="sum"/>
    <tableColumn id="14" xr3:uid="{00000000-0010-0000-1B00-00000E000000}" name="On Order" totalsRowFunction="sum"/>
    <tableColumn id="15" xr3:uid="{00000000-0010-0000-1B00-00000F000000}" name="Max" totalsRowFunction="sum"/>
    <tableColumn id="16" xr3:uid="{00000000-0010-0000-1B00-000010000000}" name="Stock Value" totalsRowFunction="sum"/>
    <tableColumn id="17" xr3:uid="{00000000-0010-0000-1B00-000011000000}" name="Re-Order Qty" totalsRowFunction="sum"/>
    <tableColumn id="18" xr3:uid="{00000000-0010-0000-1B00-000012000000}" name="Re-Order Value" totalsRowFunction="sum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at_FMOSTBERG" displayName="cat_FMOSTBERG" ref="A1:R15" totalsRowCount="1">
  <autoFilter ref="A1:R14" xr:uid="{00000000-0009-0000-0100-00001D000000}"/>
  <tableColumns count="18">
    <tableColumn id="1" xr3:uid="{00000000-0010-0000-1C00-000001000000}" name="Item Code" totalsRowLabel="TOTAL STOCK"/>
    <tableColumn id="2" xr3:uid="{00000000-0010-0000-1C00-000002000000}" name="Description"/>
    <tableColumn id="3" xr3:uid="{00000000-0010-0000-1C00-000003000000}" name="Category"/>
    <tableColumn id="4" xr3:uid="{00000000-0010-0000-1C00-000004000000}" name="Period (month(s))"/>
    <tableColumn id="5" xr3:uid="{00000000-0010-0000-1C00-000005000000}" name="Total QTY Purchased" totalsRowFunction="sum"/>
    <tableColumn id="6" xr3:uid="{00000000-0010-0000-1C00-000006000000}" name="Supplier"/>
    <tableColumn id="7" xr3:uid="{00000000-0010-0000-1C00-000007000000}" name="Cost"/>
    <tableColumn id="8" xr3:uid="{00000000-0010-0000-1C00-000008000000}" name="Total QTY Sold" totalsRowFunction="sum"/>
    <tableColumn id="9" xr3:uid="{00000000-0010-0000-1C00-000009000000}" name="Lead Time (months)"/>
    <tableColumn id="10" xr3:uid="{00000000-0010-0000-1C00-00000A000000}" name="AMU"/>
    <tableColumn id="11" xr3:uid="{00000000-0010-0000-1C00-00000B000000}" name="Min" totalsRowFunction="sum"/>
    <tableColumn id="12" xr3:uid="{00000000-0010-0000-1C00-00000C000000}" name="Re-Order Point (ROP)" totalsRowFunction="sum"/>
    <tableColumn id="13" xr3:uid="{00000000-0010-0000-1C00-00000D000000}" name="Current Stock" totalsRowFunction="sum"/>
    <tableColumn id="14" xr3:uid="{00000000-0010-0000-1C00-00000E000000}" name="On Order" totalsRowFunction="sum"/>
    <tableColumn id="15" xr3:uid="{00000000-0010-0000-1C00-00000F000000}" name="Max" totalsRowFunction="sum"/>
    <tableColumn id="16" xr3:uid="{00000000-0010-0000-1C00-000010000000}" name="Stock Value" totalsRowFunction="sum"/>
    <tableColumn id="17" xr3:uid="{00000000-0010-0000-1C00-000011000000}" name="Re-Order Qty" totalsRowFunction="sum"/>
    <tableColumn id="18" xr3:uid="{00000000-0010-0000-1C00-000012000000}" name="Re-Order Value" totalsRowFunction="sum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cat_FMPAINTING" displayName="cat_FMPAINTING" ref="A1:R3" totalsRowCount="1">
  <autoFilter ref="A1:R2" xr:uid="{00000000-0009-0000-0100-00001E000000}"/>
  <tableColumns count="18">
    <tableColumn id="1" xr3:uid="{00000000-0010-0000-1D00-000001000000}" name="Item Code" totalsRowLabel="TOTAL STOCK"/>
    <tableColumn id="2" xr3:uid="{00000000-0010-0000-1D00-000002000000}" name="Description"/>
    <tableColumn id="3" xr3:uid="{00000000-0010-0000-1D00-000003000000}" name="Category"/>
    <tableColumn id="4" xr3:uid="{00000000-0010-0000-1D00-000004000000}" name="Period (month(s))"/>
    <tableColumn id="5" xr3:uid="{00000000-0010-0000-1D00-000005000000}" name="Total QTY Purchased" totalsRowFunction="sum"/>
    <tableColumn id="6" xr3:uid="{00000000-0010-0000-1D00-000006000000}" name="Supplier"/>
    <tableColumn id="7" xr3:uid="{00000000-0010-0000-1D00-000007000000}" name="Cost"/>
    <tableColumn id="8" xr3:uid="{00000000-0010-0000-1D00-000008000000}" name="Total QTY Sold" totalsRowFunction="sum"/>
    <tableColumn id="9" xr3:uid="{00000000-0010-0000-1D00-000009000000}" name="Lead Time (months)"/>
    <tableColumn id="10" xr3:uid="{00000000-0010-0000-1D00-00000A000000}" name="AMU"/>
    <tableColumn id="11" xr3:uid="{00000000-0010-0000-1D00-00000B000000}" name="Min" totalsRowFunction="sum"/>
    <tableColumn id="12" xr3:uid="{00000000-0010-0000-1D00-00000C000000}" name="Re-Order Point (ROP)" totalsRowFunction="sum"/>
    <tableColumn id="13" xr3:uid="{00000000-0010-0000-1D00-00000D000000}" name="Current Stock" totalsRowFunction="sum"/>
    <tableColumn id="14" xr3:uid="{00000000-0010-0000-1D00-00000E000000}" name="On Order" totalsRowFunction="sum"/>
    <tableColumn id="15" xr3:uid="{00000000-0010-0000-1D00-00000F000000}" name="Max" totalsRowFunction="sum"/>
    <tableColumn id="16" xr3:uid="{00000000-0010-0000-1D00-000010000000}" name="Stock Value" totalsRowFunction="sum"/>
    <tableColumn id="17" xr3:uid="{00000000-0010-0000-1D00-000011000000}" name="Re-Order Qty" totalsRowFunction="sum"/>
    <tableColumn id="18" xr3:uid="{00000000-0010-0000-1D00-000012000000}" name="Re-Order Value" totalsRowFunction="sum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cat_FMSODECA" displayName="cat_FMSODECA" ref="A1:R146" totalsRowCount="1">
  <autoFilter ref="A1:R145" xr:uid="{00000000-0009-0000-0100-00001F000000}"/>
  <tableColumns count="18">
    <tableColumn id="1" xr3:uid="{00000000-0010-0000-1E00-000001000000}" name="Item Code" totalsRowLabel="TOTAL STOCK"/>
    <tableColumn id="2" xr3:uid="{00000000-0010-0000-1E00-000002000000}" name="Description"/>
    <tableColumn id="3" xr3:uid="{00000000-0010-0000-1E00-000003000000}" name="Category"/>
    <tableColumn id="4" xr3:uid="{00000000-0010-0000-1E00-000004000000}" name="Period (month(s))"/>
    <tableColumn id="5" xr3:uid="{00000000-0010-0000-1E00-000005000000}" name="Total QTY Purchased" totalsRowFunction="sum"/>
    <tableColumn id="6" xr3:uid="{00000000-0010-0000-1E00-000006000000}" name="Supplier"/>
    <tableColumn id="7" xr3:uid="{00000000-0010-0000-1E00-000007000000}" name="Cost"/>
    <tableColumn id="8" xr3:uid="{00000000-0010-0000-1E00-000008000000}" name="Total QTY Sold" totalsRowFunction="sum"/>
    <tableColumn id="9" xr3:uid="{00000000-0010-0000-1E00-000009000000}" name="Lead Time (months)"/>
    <tableColumn id="10" xr3:uid="{00000000-0010-0000-1E00-00000A000000}" name="AMU"/>
    <tableColumn id="11" xr3:uid="{00000000-0010-0000-1E00-00000B000000}" name="Min" totalsRowFunction="sum"/>
    <tableColumn id="12" xr3:uid="{00000000-0010-0000-1E00-00000C000000}" name="Re-Order Point (ROP)" totalsRowFunction="sum"/>
    <tableColumn id="13" xr3:uid="{00000000-0010-0000-1E00-00000D000000}" name="Current Stock" totalsRowFunction="sum"/>
    <tableColumn id="14" xr3:uid="{00000000-0010-0000-1E00-00000E000000}" name="On Order" totalsRowFunction="sum"/>
    <tableColumn id="15" xr3:uid="{00000000-0010-0000-1E00-00000F000000}" name="Max" totalsRowFunction="sum"/>
    <tableColumn id="16" xr3:uid="{00000000-0010-0000-1E00-000010000000}" name="Stock Value" totalsRowFunction="sum"/>
    <tableColumn id="17" xr3:uid="{00000000-0010-0000-1E00-000011000000}" name="Re-Order Qty" totalsRowFunction="sum"/>
    <tableColumn id="18" xr3:uid="{00000000-0010-0000-1E00-000012000000}" name="Re-Order Value" totalsRowFunction="sum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cat_FMUNIFORM" displayName="cat_FMUNIFORM" ref="A1:R8" totalsRowCount="1">
  <autoFilter ref="A1:R7" xr:uid="{00000000-0009-0000-0100-000020000000}"/>
  <tableColumns count="18">
    <tableColumn id="1" xr3:uid="{00000000-0010-0000-1F00-000001000000}" name="Item Code" totalsRowLabel="TOTAL STOCK"/>
    <tableColumn id="2" xr3:uid="{00000000-0010-0000-1F00-000002000000}" name="Description"/>
    <tableColumn id="3" xr3:uid="{00000000-0010-0000-1F00-000003000000}" name="Category"/>
    <tableColumn id="4" xr3:uid="{00000000-0010-0000-1F00-000004000000}" name="Period (month(s))"/>
    <tableColumn id="5" xr3:uid="{00000000-0010-0000-1F00-000005000000}" name="Total QTY Purchased" totalsRowFunction="sum"/>
    <tableColumn id="6" xr3:uid="{00000000-0010-0000-1F00-000006000000}" name="Supplier"/>
    <tableColumn id="7" xr3:uid="{00000000-0010-0000-1F00-000007000000}" name="Cost"/>
    <tableColumn id="8" xr3:uid="{00000000-0010-0000-1F00-000008000000}" name="Total QTY Sold" totalsRowFunction="sum"/>
    <tableColumn id="9" xr3:uid="{00000000-0010-0000-1F00-000009000000}" name="Lead Time (months)"/>
    <tableColumn id="10" xr3:uid="{00000000-0010-0000-1F00-00000A000000}" name="AMU"/>
    <tableColumn id="11" xr3:uid="{00000000-0010-0000-1F00-00000B000000}" name="Min" totalsRowFunction="sum"/>
    <tableColumn id="12" xr3:uid="{00000000-0010-0000-1F00-00000C000000}" name="Re-Order Point (ROP)" totalsRowFunction="sum"/>
    <tableColumn id="13" xr3:uid="{00000000-0010-0000-1F00-00000D000000}" name="Current Stock" totalsRowFunction="sum"/>
    <tableColumn id="14" xr3:uid="{00000000-0010-0000-1F00-00000E000000}" name="On Order" totalsRowFunction="sum"/>
    <tableColumn id="15" xr3:uid="{00000000-0010-0000-1F00-00000F000000}" name="Max" totalsRowFunction="sum"/>
    <tableColumn id="16" xr3:uid="{00000000-0010-0000-1F00-000010000000}" name="Stock Value" totalsRowFunction="sum"/>
    <tableColumn id="17" xr3:uid="{00000000-0010-0000-1F00-000011000000}" name="Re-Order Qty" totalsRowFunction="sum"/>
    <tableColumn id="18" xr3:uid="{00000000-0010-0000-1F00-000012000000}" name="Re-Order Value" totalsRowFunction="sum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at_FMVORTICE" displayName="cat_FMVORTICE" ref="A1:R193" totalsRowCount="1">
  <autoFilter ref="A1:R192" xr:uid="{00000000-0009-0000-0100-000021000000}"/>
  <tableColumns count="18">
    <tableColumn id="1" xr3:uid="{00000000-0010-0000-2000-000001000000}" name="Item Code" totalsRowLabel="TOTAL STOCK"/>
    <tableColumn id="2" xr3:uid="{00000000-0010-0000-2000-000002000000}" name="Description"/>
    <tableColumn id="3" xr3:uid="{00000000-0010-0000-2000-000003000000}" name="Category"/>
    <tableColumn id="4" xr3:uid="{00000000-0010-0000-2000-000004000000}" name="Period (month(s))"/>
    <tableColumn id="5" xr3:uid="{00000000-0010-0000-2000-000005000000}" name="Total QTY Purchased" totalsRowFunction="sum"/>
    <tableColumn id="6" xr3:uid="{00000000-0010-0000-2000-000006000000}" name="Supplier"/>
    <tableColumn id="7" xr3:uid="{00000000-0010-0000-2000-000007000000}" name="Cost"/>
    <tableColumn id="8" xr3:uid="{00000000-0010-0000-2000-000008000000}" name="Total QTY Sold" totalsRowFunction="sum"/>
    <tableColumn id="9" xr3:uid="{00000000-0010-0000-2000-000009000000}" name="Lead Time (months)"/>
    <tableColumn id="10" xr3:uid="{00000000-0010-0000-2000-00000A000000}" name="AMU"/>
    <tableColumn id="11" xr3:uid="{00000000-0010-0000-2000-00000B000000}" name="Min" totalsRowFunction="sum"/>
    <tableColumn id="12" xr3:uid="{00000000-0010-0000-2000-00000C000000}" name="Re-Order Point (ROP)" totalsRowFunction="sum"/>
    <tableColumn id="13" xr3:uid="{00000000-0010-0000-2000-00000D000000}" name="Current Stock" totalsRowFunction="sum"/>
    <tableColumn id="14" xr3:uid="{00000000-0010-0000-2000-00000E000000}" name="On Order" totalsRowFunction="sum"/>
    <tableColumn id="15" xr3:uid="{00000000-0010-0000-2000-00000F000000}" name="Max" totalsRowFunction="sum"/>
    <tableColumn id="16" xr3:uid="{00000000-0010-0000-2000-000010000000}" name="Stock Value" totalsRowFunction="sum"/>
    <tableColumn id="17" xr3:uid="{00000000-0010-0000-2000-000011000000}" name="Re-Order Qty" totalsRowFunction="sum"/>
    <tableColumn id="18" xr3:uid="{00000000-0010-0000-2000-000012000000}" name="Re-Order Value" totalsRowFunction="sum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cat_FREIGHT" displayName="cat_FREIGHT" ref="A1:R3" totalsRowCount="1">
  <autoFilter ref="A1:R2" xr:uid="{00000000-0009-0000-0100-000022000000}"/>
  <tableColumns count="18">
    <tableColumn id="1" xr3:uid="{00000000-0010-0000-2100-000001000000}" name="Item Code" totalsRowLabel="TOTAL STOCK"/>
    <tableColumn id="2" xr3:uid="{00000000-0010-0000-2100-000002000000}" name="Description"/>
    <tableColumn id="3" xr3:uid="{00000000-0010-0000-2100-000003000000}" name="Category"/>
    <tableColumn id="4" xr3:uid="{00000000-0010-0000-2100-000004000000}" name="Period (month(s))"/>
    <tableColumn id="5" xr3:uid="{00000000-0010-0000-2100-000005000000}" name="Total QTY Purchased" totalsRowFunction="sum"/>
    <tableColumn id="6" xr3:uid="{00000000-0010-0000-2100-000006000000}" name="Supplier"/>
    <tableColumn id="7" xr3:uid="{00000000-0010-0000-2100-000007000000}" name="Cost"/>
    <tableColumn id="8" xr3:uid="{00000000-0010-0000-2100-000008000000}" name="Total QTY Sold" totalsRowFunction="sum"/>
    <tableColumn id="9" xr3:uid="{00000000-0010-0000-2100-000009000000}" name="Lead Time (months)"/>
    <tableColumn id="10" xr3:uid="{00000000-0010-0000-2100-00000A000000}" name="AMU"/>
    <tableColumn id="11" xr3:uid="{00000000-0010-0000-2100-00000B000000}" name="Min" totalsRowFunction="sum"/>
    <tableColumn id="12" xr3:uid="{00000000-0010-0000-2100-00000C000000}" name="Re-Order Point (ROP)" totalsRowFunction="sum"/>
    <tableColumn id="13" xr3:uid="{00000000-0010-0000-2100-00000D000000}" name="Current Stock" totalsRowFunction="sum"/>
    <tableColumn id="14" xr3:uid="{00000000-0010-0000-2100-00000E000000}" name="On Order" totalsRowFunction="sum"/>
    <tableColumn id="15" xr3:uid="{00000000-0010-0000-2100-00000F000000}" name="Max" totalsRowFunction="sum"/>
    <tableColumn id="16" xr3:uid="{00000000-0010-0000-2100-000010000000}" name="Stock Value" totalsRowFunction="sum"/>
    <tableColumn id="17" xr3:uid="{00000000-0010-0000-2100-000011000000}" name="Re-Order Qty" totalsRowFunction="sum"/>
    <tableColumn id="18" xr3:uid="{00000000-0010-0000-2100-000012000000}" name="Re-Order Value" totalsRowFunction="sum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cat_Fan" displayName="cat_Fan" ref="A1:R4" totalsRowCount="1">
  <autoFilter ref="A1:R3" xr:uid="{00000000-0009-0000-0100-000023000000}"/>
  <tableColumns count="18">
    <tableColumn id="1" xr3:uid="{00000000-0010-0000-2200-000001000000}" name="Item Code" totalsRowLabel="TOTAL STOCK"/>
    <tableColumn id="2" xr3:uid="{00000000-0010-0000-2200-000002000000}" name="Description"/>
    <tableColumn id="3" xr3:uid="{00000000-0010-0000-2200-000003000000}" name="Category"/>
    <tableColumn id="4" xr3:uid="{00000000-0010-0000-2200-000004000000}" name="Period (month(s))"/>
    <tableColumn id="5" xr3:uid="{00000000-0010-0000-2200-000005000000}" name="Total QTY Purchased" totalsRowFunction="sum"/>
    <tableColumn id="6" xr3:uid="{00000000-0010-0000-2200-000006000000}" name="Supplier"/>
    <tableColumn id="7" xr3:uid="{00000000-0010-0000-2200-000007000000}" name="Cost"/>
    <tableColumn id="8" xr3:uid="{00000000-0010-0000-2200-000008000000}" name="Total QTY Sold" totalsRowFunction="sum"/>
    <tableColumn id="9" xr3:uid="{00000000-0010-0000-2200-000009000000}" name="Lead Time (months)"/>
    <tableColumn id="10" xr3:uid="{00000000-0010-0000-2200-00000A000000}" name="AMU"/>
    <tableColumn id="11" xr3:uid="{00000000-0010-0000-2200-00000B000000}" name="Min" totalsRowFunction="sum"/>
    <tableColumn id="12" xr3:uid="{00000000-0010-0000-2200-00000C000000}" name="Re-Order Point (ROP)" totalsRowFunction="sum"/>
    <tableColumn id="13" xr3:uid="{00000000-0010-0000-2200-00000D000000}" name="Current Stock" totalsRowFunction="sum"/>
    <tableColumn id="14" xr3:uid="{00000000-0010-0000-2200-00000E000000}" name="On Order" totalsRowFunction="sum"/>
    <tableColumn id="15" xr3:uid="{00000000-0010-0000-2200-00000F000000}" name="Max" totalsRowFunction="sum"/>
    <tableColumn id="16" xr3:uid="{00000000-0010-0000-2200-000010000000}" name="Stock Value" totalsRowFunction="sum"/>
    <tableColumn id="17" xr3:uid="{00000000-0010-0000-2200-000011000000}" name="Re-Order Qty" totalsRowFunction="sum"/>
    <tableColumn id="18" xr3:uid="{00000000-0010-0000-2200-000012000000}" name="Re-Order Value" totalsRowFunction="sum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cat_IMPELLER" displayName="cat_IMPELLER" ref="A1:R8" totalsRowCount="1">
  <autoFilter ref="A1:R7" xr:uid="{00000000-0009-0000-0100-000024000000}"/>
  <tableColumns count="18">
    <tableColumn id="1" xr3:uid="{00000000-0010-0000-2300-000001000000}" name="Item Code" totalsRowLabel="TOTAL STOCK"/>
    <tableColumn id="2" xr3:uid="{00000000-0010-0000-2300-000002000000}" name="Description"/>
    <tableColumn id="3" xr3:uid="{00000000-0010-0000-2300-000003000000}" name="Category"/>
    <tableColumn id="4" xr3:uid="{00000000-0010-0000-2300-000004000000}" name="Period (month(s))"/>
    <tableColumn id="5" xr3:uid="{00000000-0010-0000-2300-000005000000}" name="Total QTY Purchased" totalsRowFunction="sum"/>
    <tableColumn id="6" xr3:uid="{00000000-0010-0000-2300-000006000000}" name="Supplier"/>
    <tableColumn id="7" xr3:uid="{00000000-0010-0000-2300-000007000000}" name="Cost"/>
    <tableColumn id="8" xr3:uid="{00000000-0010-0000-2300-000008000000}" name="Total QTY Sold" totalsRowFunction="sum"/>
    <tableColumn id="9" xr3:uid="{00000000-0010-0000-2300-000009000000}" name="Lead Time (months)"/>
    <tableColumn id="10" xr3:uid="{00000000-0010-0000-2300-00000A000000}" name="AMU"/>
    <tableColumn id="11" xr3:uid="{00000000-0010-0000-2300-00000B000000}" name="Min" totalsRowFunction="sum"/>
    <tableColumn id="12" xr3:uid="{00000000-0010-0000-2300-00000C000000}" name="Re-Order Point (ROP)" totalsRowFunction="sum"/>
    <tableColumn id="13" xr3:uid="{00000000-0010-0000-2300-00000D000000}" name="Current Stock" totalsRowFunction="sum"/>
    <tableColumn id="14" xr3:uid="{00000000-0010-0000-2300-00000E000000}" name="On Order" totalsRowFunction="sum"/>
    <tableColumn id="15" xr3:uid="{00000000-0010-0000-2300-00000F000000}" name="Max" totalsRowFunction="sum"/>
    <tableColumn id="16" xr3:uid="{00000000-0010-0000-2300-000010000000}" name="Stock Value" totalsRowFunction="sum"/>
    <tableColumn id="17" xr3:uid="{00000000-0010-0000-2300-000011000000}" name="Re-Order Qty" totalsRowFunction="sum"/>
    <tableColumn id="18" xr3:uid="{00000000-0010-0000-2300-000012000000}" name="Re-Order Value" totalsRowFunction="sum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cat_MFEET" displayName="cat_MFEET" ref="A1:R7" totalsRowCount="1">
  <autoFilter ref="A1:R6" xr:uid="{00000000-0009-0000-0100-000025000000}"/>
  <tableColumns count="18">
    <tableColumn id="1" xr3:uid="{00000000-0010-0000-2400-000001000000}" name="Item Code" totalsRowLabel="TOTAL STOCK"/>
    <tableColumn id="2" xr3:uid="{00000000-0010-0000-2400-000002000000}" name="Description"/>
    <tableColumn id="3" xr3:uid="{00000000-0010-0000-2400-000003000000}" name="Category"/>
    <tableColumn id="4" xr3:uid="{00000000-0010-0000-2400-000004000000}" name="Period (month(s))"/>
    <tableColumn id="5" xr3:uid="{00000000-0010-0000-2400-000005000000}" name="Total QTY Purchased" totalsRowFunction="sum"/>
    <tableColumn id="6" xr3:uid="{00000000-0010-0000-2400-000006000000}" name="Supplier"/>
    <tableColumn id="7" xr3:uid="{00000000-0010-0000-2400-000007000000}" name="Cost"/>
    <tableColumn id="8" xr3:uid="{00000000-0010-0000-2400-000008000000}" name="Total QTY Sold" totalsRowFunction="sum"/>
    <tableColumn id="9" xr3:uid="{00000000-0010-0000-2400-000009000000}" name="Lead Time (months)"/>
    <tableColumn id="10" xr3:uid="{00000000-0010-0000-2400-00000A000000}" name="AMU"/>
    <tableColumn id="11" xr3:uid="{00000000-0010-0000-2400-00000B000000}" name="Min" totalsRowFunction="sum"/>
    <tableColumn id="12" xr3:uid="{00000000-0010-0000-2400-00000C000000}" name="Re-Order Point (ROP)" totalsRowFunction="sum"/>
    <tableColumn id="13" xr3:uid="{00000000-0010-0000-2400-00000D000000}" name="Current Stock" totalsRowFunction="sum"/>
    <tableColumn id="14" xr3:uid="{00000000-0010-0000-2400-00000E000000}" name="On Order" totalsRowFunction="sum"/>
    <tableColumn id="15" xr3:uid="{00000000-0010-0000-2400-00000F000000}" name="Max" totalsRowFunction="sum"/>
    <tableColumn id="16" xr3:uid="{00000000-0010-0000-2400-000010000000}" name="Stock Value" totalsRowFunction="sum"/>
    <tableColumn id="17" xr3:uid="{00000000-0010-0000-2400-000011000000}" name="Re-Order Qty" totalsRowFunction="sum"/>
    <tableColumn id="18" xr3:uid="{00000000-0010-0000-2400-000012000000}" name="Re-Order Value" totalsRowFunction="sum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cat_MOTORFLANGE" displayName="cat_MOTORFLANGE" ref="A1:R3" totalsRowCount="1">
  <autoFilter ref="A1:R2" xr:uid="{00000000-0009-0000-0100-000026000000}"/>
  <tableColumns count="18">
    <tableColumn id="1" xr3:uid="{00000000-0010-0000-2500-000001000000}" name="Item Code" totalsRowLabel="TOTAL STOCK"/>
    <tableColumn id="2" xr3:uid="{00000000-0010-0000-2500-000002000000}" name="Description"/>
    <tableColumn id="3" xr3:uid="{00000000-0010-0000-2500-000003000000}" name="Category"/>
    <tableColumn id="4" xr3:uid="{00000000-0010-0000-2500-000004000000}" name="Period (month(s))"/>
    <tableColumn id="5" xr3:uid="{00000000-0010-0000-2500-000005000000}" name="Total QTY Purchased" totalsRowFunction="sum"/>
    <tableColumn id="6" xr3:uid="{00000000-0010-0000-2500-000006000000}" name="Supplier"/>
    <tableColumn id="7" xr3:uid="{00000000-0010-0000-2500-000007000000}" name="Cost"/>
    <tableColumn id="8" xr3:uid="{00000000-0010-0000-2500-000008000000}" name="Total QTY Sold" totalsRowFunction="sum"/>
    <tableColumn id="9" xr3:uid="{00000000-0010-0000-2500-000009000000}" name="Lead Time (months)"/>
    <tableColumn id="10" xr3:uid="{00000000-0010-0000-2500-00000A000000}" name="AMU"/>
    <tableColumn id="11" xr3:uid="{00000000-0010-0000-2500-00000B000000}" name="Min" totalsRowFunction="sum"/>
    <tableColumn id="12" xr3:uid="{00000000-0010-0000-2500-00000C000000}" name="Re-Order Point (ROP)" totalsRowFunction="sum"/>
    <tableColumn id="13" xr3:uid="{00000000-0010-0000-2500-00000D000000}" name="Current Stock" totalsRowFunction="sum"/>
    <tableColumn id="14" xr3:uid="{00000000-0010-0000-2500-00000E000000}" name="On Order" totalsRowFunction="sum"/>
    <tableColumn id="15" xr3:uid="{00000000-0010-0000-2500-00000F000000}" name="Max" totalsRowFunction="sum"/>
    <tableColumn id="16" xr3:uid="{00000000-0010-0000-2500-000010000000}" name="Stock Value" totalsRowFunction="sum"/>
    <tableColumn id="17" xr3:uid="{00000000-0010-0000-2500-000011000000}" name="Re-Order Qty" totalsRowFunction="sum"/>
    <tableColumn id="18" xr3:uid="{00000000-0010-0000-2500-000012000000}" name="Re-Order Value" totalsRowFunction="sum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cat_MOTORS" displayName="cat_MOTORS" ref="A1:R7" totalsRowCount="1">
  <autoFilter ref="A1:R6" xr:uid="{00000000-0009-0000-0100-000027000000}"/>
  <tableColumns count="18">
    <tableColumn id="1" xr3:uid="{00000000-0010-0000-2600-000001000000}" name="Item Code" totalsRowLabel="TOTAL STOCK"/>
    <tableColumn id="2" xr3:uid="{00000000-0010-0000-2600-000002000000}" name="Description"/>
    <tableColumn id="3" xr3:uid="{00000000-0010-0000-2600-000003000000}" name="Category"/>
    <tableColumn id="4" xr3:uid="{00000000-0010-0000-2600-000004000000}" name="Period (month(s))"/>
    <tableColumn id="5" xr3:uid="{00000000-0010-0000-2600-000005000000}" name="Total QTY Purchased" totalsRowFunction="sum"/>
    <tableColumn id="6" xr3:uid="{00000000-0010-0000-2600-000006000000}" name="Supplier"/>
    <tableColumn id="7" xr3:uid="{00000000-0010-0000-2600-000007000000}" name="Cost"/>
    <tableColumn id="8" xr3:uid="{00000000-0010-0000-2600-000008000000}" name="Total QTY Sold" totalsRowFunction="sum"/>
    <tableColumn id="9" xr3:uid="{00000000-0010-0000-2600-000009000000}" name="Lead Time (months)"/>
    <tableColumn id="10" xr3:uid="{00000000-0010-0000-2600-00000A000000}" name="AMU"/>
    <tableColumn id="11" xr3:uid="{00000000-0010-0000-2600-00000B000000}" name="Min" totalsRowFunction="sum"/>
    <tableColumn id="12" xr3:uid="{00000000-0010-0000-2600-00000C000000}" name="Re-Order Point (ROP)" totalsRowFunction="sum"/>
    <tableColumn id="13" xr3:uid="{00000000-0010-0000-2600-00000D000000}" name="Current Stock" totalsRowFunction="sum"/>
    <tableColumn id="14" xr3:uid="{00000000-0010-0000-2600-00000E000000}" name="On Order" totalsRowFunction="sum"/>
    <tableColumn id="15" xr3:uid="{00000000-0010-0000-2600-00000F000000}" name="Max" totalsRowFunction="sum"/>
    <tableColumn id="16" xr3:uid="{00000000-0010-0000-2600-000010000000}" name="Stock Value" totalsRowFunction="sum"/>
    <tableColumn id="17" xr3:uid="{00000000-0010-0000-2600-000011000000}" name="Re-Order Qty" totalsRowFunction="sum"/>
    <tableColumn id="18" xr3:uid="{00000000-0010-0000-2600-000012000000}" name="Re-Order Value" totalsRowFunction="sum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00000000-000C-0000-FFFF-FFFF27000000}" name="cat_Nicotra" displayName="cat_Nicotra" ref="A1:R3" totalsRowCount="1">
  <autoFilter ref="A1:R2" xr:uid="{00000000-0009-0000-0100-000028000000}"/>
  <tableColumns count="18">
    <tableColumn id="1" xr3:uid="{00000000-0010-0000-2700-000001000000}" name="Item Code" totalsRowLabel="TOTAL STOCK"/>
    <tableColumn id="2" xr3:uid="{00000000-0010-0000-2700-000002000000}" name="Description"/>
    <tableColumn id="3" xr3:uid="{00000000-0010-0000-2700-000003000000}" name="Category"/>
    <tableColumn id="4" xr3:uid="{00000000-0010-0000-2700-000004000000}" name="Period (month(s))"/>
    <tableColumn id="5" xr3:uid="{00000000-0010-0000-2700-000005000000}" name="Total QTY Purchased" totalsRowFunction="sum"/>
    <tableColumn id="6" xr3:uid="{00000000-0010-0000-2700-000006000000}" name="Supplier"/>
    <tableColumn id="7" xr3:uid="{00000000-0010-0000-2700-000007000000}" name="Cost"/>
    <tableColumn id="8" xr3:uid="{00000000-0010-0000-2700-000008000000}" name="Total QTY Sold" totalsRowFunction="sum"/>
    <tableColumn id="9" xr3:uid="{00000000-0010-0000-2700-000009000000}" name="Lead Time (months)"/>
    <tableColumn id="10" xr3:uid="{00000000-0010-0000-2700-00000A000000}" name="AMU"/>
    <tableColumn id="11" xr3:uid="{00000000-0010-0000-2700-00000B000000}" name="Min" totalsRowFunction="sum"/>
    <tableColumn id="12" xr3:uid="{00000000-0010-0000-2700-00000C000000}" name="Re-Order Point (ROP)" totalsRowFunction="sum"/>
    <tableColumn id="13" xr3:uid="{00000000-0010-0000-2700-00000D000000}" name="Current Stock" totalsRowFunction="sum"/>
    <tableColumn id="14" xr3:uid="{00000000-0010-0000-2700-00000E000000}" name="On Order" totalsRowFunction="sum"/>
    <tableColumn id="15" xr3:uid="{00000000-0010-0000-2700-00000F000000}" name="Max" totalsRowFunction="sum"/>
    <tableColumn id="16" xr3:uid="{00000000-0010-0000-2700-000010000000}" name="Stock Value" totalsRowFunction="sum"/>
    <tableColumn id="17" xr3:uid="{00000000-0010-0000-2700-000011000000}" name="Re-Order Qty" totalsRowFunction="sum"/>
    <tableColumn id="18" xr3:uid="{00000000-0010-0000-2700-000012000000}" name="Re-Order Value" totalsRowFunction="sum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28000000}" name="cat_PACKAGING" displayName="cat_PACKAGING" ref="A1:R3" totalsRowCount="1">
  <autoFilter ref="A1:R2" xr:uid="{00000000-0009-0000-0100-000029000000}"/>
  <tableColumns count="18">
    <tableColumn id="1" xr3:uid="{00000000-0010-0000-2800-000001000000}" name="Item Code" totalsRowLabel="TOTAL STOCK"/>
    <tableColumn id="2" xr3:uid="{00000000-0010-0000-2800-000002000000}" name="Description"/>
    <tableColumn id="3" xr3:uid="{00000000-0010-0000-2800-000003000000}" name="Category"/>
    <tableColumn id="4" xr3:uid="{00000000-0010-0000-2800-000004000000}" name="Period (month(s))"/>
    <tableColumn id="5" xr3:uid="{00000000-0010-0000-2800-000005000000}" name="Total QTY Purchased" totalsRowFunction="sum"/>
    <tableColumn id="6" xr3:uid="{00000000-0010-0000-2800-000006000000}" name="Supplier"/>
    <tableColumn id="7" xr3:uid="{00000000-0010-0000-2800-000007000000}" name="Cost"/>
    <tableColumn id="8" xr3:uid="{00000000-0010-0000-2800-000008000000}" name="Total QTY Sold" totalsRowFunction="sum"/>
    <tableColumn id="9" xr3:uid="{00000000-0010-0000-2800-000009000000}" name="Lead Time (months)"/>
    <tableColumn id="10" xr3:uid="{00000000-0010-0000-2800-00000A000000}" name="AMU"/>
    <tableColumn id="11" xr3:uid="{00000000-0010-0000-2800-00000B000000}" name="Min" totalsRowFunction="sum"/>
    <tableColumn id="12" xr3:uid="{00000000-0010-0000-2800-00000C000000}" name="Re-Order Point (ROP)" totalsRowFunction="sum"/>
    <tableColumn id="13" xr3:uid="{00000000-0010-0000-2800-00000D000000}" name="Current Stock" totalsRowFunction="sum"/>
    <tableColumn id="14" xr3:uid="{00000000-0010-0000-2800-00000E000000}" name="On Order" totalsRowFunction="sum"/>
    <tableColumn id="15" xr3:uid="{00000000-0010-0000-2800-00000F000000}" name="Max" totalsRowFunction="sum"/>
    <tableColumn id="16" xr3:uid="{00000000-0010-0000-2800-000010000000}" name="Stock Value" totalsRowFunction="sum"/>
    <tableColumn id="17" xr3:uid="{00000000-0010-0000-2800-000011000000}" name="Re-Order Qty" totalsRowFunction="sum"/>
    <tableColumn id="18" xr3:uid="{00000000-0010-0000-2800-000012000000}" name="Re-Order Value" totalsRowFunction="sum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00000000-000C-0000-FFFF-FFFF29000000}" name="cat_PLATE" displayName="cat_PLATE" ref="A1:R5" totalsRowCount="1">
  <autoFilter ref="A1:R4" xr:uid="{00000000-0009-0000-0100-00002A000000}"/>
  <tableColumns count="18">
    <tableColumn id="1" xr3:uid="{00000000-0010-0000-2900-000001000000}" name="Item Code" totalsRowLabel="TOTAL STOCK"/>
    <tableColumn id="2" xr3:uid="{00000000-0010-0000-2900-000002000000}" name="Description"/>
    <tableColumn id="3" xr3:uid="{00000000-0010-0000-2900-000003000000}" name="Category"/>
    <tableColumn id="4" xr3:uid="{00000000-0010-0000-2900-000004000000}" name="Period (month(s))"/>
    <tableColumn id="5" xr3:uid="{00000000-0010-0000-2900-000005000000}" name="Total QTY Purchased" totalsRowFunction="sum"/>
    <tableColumn id="6" xr3:uid="{00000000-0010-0000-2900-000006000000}" name="Supplier"/>
    <tableColumn id="7" xr3:uid="{00000000-0010-0000-2900-000007000000}" name="Cost"/>
    <tableColumn id="8" xr3:uid="{00000000-0010-0000-2900-000008000000}" name="Total QTY Sold" totalsRowFunction="sum"/>
    <tableColumn id="9" xr3:uid="{00000000-0010-0000-2900-000009000000}" name="Lead Time (months)"/>
    <tableColumn id="10" xr3:uid="{00000000-0010-0000-2900-00000A000000}" name="AMU"/>
    <tableColumn id="11" xr3:uid="{00000000-0010-0000-2900-00000B000000}" name="Min" totalsRowFunction="sum"/>
    <tableColumn id="12" xr3:uid="{00000000-0010-0000-2900-00000C000000}" name="Re-Order Point (ROP)" totalsRowFunction="sum"/>
    <tableColumn id="13" xr3:uid="{00000000-0010-0000-2900-00000D000000}" name="Current Stock" totalsRowFunction="sum"/>
    <tableColumn id="14" xr3:uid="{00000000-0010-0000-2900-00000E000000}" name="On Order" totalsRowFunction="sum"/>
    <tableColumn id="15" xr3:uid="{00000000-0010-0000-2900-00000F000000}" name="Max" totalsRowFunction="sum"/>
    <tableColumn id="16" xr3:uid="{00000000-0010-0000-2900-000010000000}" name="Stock Value" totalsRowFunction="sum"/>
    <tableColumn id="17" xr3:uid="{00000000-0010-0000-2900-000011000000}" name="Re-Order Qty" totalsRowFunction="sum"/>
    <tableColumn id="18" xr3:uid="{00000000-0010-0000-2900-000012000000}" name="Re-Order Value" totalsRowFunction="sum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00000000-000C-0000-FFFF-FFFF2A000000}" name="cat_RoofFans" displayName="cat_RoofFans" ref="A1:R3" totalsRowCount="1">
  <autoFilter ref="A1:R2" xr:uid="{00000000-0009-0000-0100-00002B000000}"/>
  <tableColumns count="18">
    <tableColumn id="1" xr3:uid="{00000000-0010-0000-2A00-000001000000}" name="Item Code" totalsRowLabel="TOTAL STOCK"/>
    <tableColumn id="2" xr3:uid="{00000000-0010-0000-2A00-000002000000}" name="Description"/>
    <tableColumn id="3" xr3:uid="{00000000-0010-0000-2A00-000003000000}" name="Category"/>
    <tableColumn id="4" xr3:uid="{00000000-0010-0000-2A00-000004000000}" name="Period (month(s))"/>
    <tableColumn id="5" xr3:uid="{00000000-0010-0000-2A00-000005000000}" name="Total QTY Purchased" totalsRowFunction="sum"/>
    <tableColumn id="6" xr3:uid="{00000000-0010-0000-2A00-000006000000}" name="Supplier"/>
    <tableColumn id="7" xr3:uid="{00000000-0010-0000-2A00-000007000000}" name="Cost"/>
    <tableColumn id="8" xr3:uid="{00000000-0010-0000-2A00-000008000000}" name="Total QTY Sold" totalsRowFunction="sum"/>
    <tableColumn id="9" xr3:uid="{00000000-0010-0000-2A00-000009000000}" name="Lead Time (months)"/>
    <tableColumn id="10" xr3:uid="{00000000-0010-0000-2A00-00000A000000}" name="AMU"/>
    <tableColumn id="11" xr3:uid="{00000000-0010-0000-2A00-00000B000000}" name="Min" totalsRowFunction="sum"/>
    <tableColumn id="12" xr3:uid="{00000000-0010-0000-2A00-00000C000000}" name="Re-Order Point (ROP)" totalsRowFunction="sum"/>
    <tableColumn id="13" xr3:uid="{00000000-0010-0000-2A00-00000D000000}" name="Current Stock" totalsRowFunction="sum"/>
    <tableColumn id="14" xr3:uid="{00000000-0010-0000-2A00-00000E000000}" name="On Order" totalsRowFunction="sum"/>
    <tableColumn id="15" xr3:uid="{00000000-0010-0000-2A00-00000F000000}" name="Max" totalsRowFunction="sum"/>
    <tableColumn id="16" xr3:uid="{00000000-0010-0000-2A00-000010000000}" name="Stock Value" totalsRowFunction="sum"/>
    <tableColumn id="17" xr3:uid="{00000000-0010-0000-2A00-000011000000}" name="Re-Order Qty" totalsRowFunction="sum"/>
    <tableColumn id="18" xr3:uid="{00000000-0010-0000-2A00-000012000000}" name="Re-Order Value" totalsRowFunction="sum"/>
  </tableColumns>
  <tableStyleInfo name="TableStyleLight9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00000000-000C-0000-FFFF-FFFF2B000000}" name="cat_StubShaft" displayName="cat_StubShaft" ref="A1:R3" totalsRowCount="1">
  <autoFilter ref="A1:R2" xr:uid="{00000000-0009-0000-0100-00002C000000}"/>
  <tableColumns count="18">
    <tableColumn id="1" xr3:uid="{00000000-0010-0000-2B00-000001000000}" name="Item Code" totalsRowLabel="TOTAL STOCK"/>
    <tableColumn id="2" xr3:uid="{00000000-0010-0000-2B00-000002000000}" name="Description"/>
    <tableColumn id="3" xr3:uid="{00000000-0010-0000-2B00-000003000000}" name="Category"/>
    <tableColumn id="4" xr3:uid="{00000000-0010-0000-2B00-000004000000}" name="Period (month(s))"/>
    <tableColumn id="5" xr3:uid="{00000000-0010-0000-2B00-000005000000}" name="Total QTY Purchased" totalsRowFunction="sum"/>
    <tableColumn id="6" xr3:uid="{00000000-0010-0000-2B00-000006000000}" name="Supplier"/>
    <tableColumn id="7" xr3:uid="{00000000-0010-0000-2B00-000007000000}" name="Cost"/>
    <tableColumn id="8" xr3:uid="{00000000-0010-0000-2B00-000008000000}" name="Total QTY Sold" totalsRowFunction="sum"/>
    <tableColumn id="9" xr3:uid="{00000000-0010-0000-2B00-000009000000}" name="Lead Time (months)"/>
    <tableColumn id="10" xr3:uid="{00000000-0010-0000-2B00-00000A000000}" name="AMU"/>
    <tableColumn id="11" xr3:uid="{00000000-0010-0000-2B00-00000B000000}" name="Min" totalsRowFunction="sum"/>
    <tableColumn id="12" xr3:uid="{00000000-0010-0000-2B00-00000C000000}" name="Re-Order Point (ROP)" totalsRowFunction="sum"/>
    <tableColumn id="13" xr3:uid="{00000000-0010-0000-2B00-00000D000000}" name="Current Stock" totalsRowFunction="sum"/>
    <tableColumn id="14" xr3:uid="{00000000-0010-0000-2B00-00000E000000}" name="On Order" totalsRowFunction="sum"/>
    <tableColumn id="15" xr3:uid="{00000000-0010-0000-2B00-00000F000000}" name="Max" totalsRowFunction="sum"/>
    <tableColumn id="16" xr3:uid="{00000000-0010-0000-2B00-000010000000}" name="Stock Value" totalsRowFunction="sum"/>
    <tableColumn id="17" xr3:uid="{00000000-0010-0000-2B00-000011000000}" name="Re-Order Qty" totalsRowFunction="sum"/>
    <tableColumn id="18" xr3:uid="{00000000-0010-0000-2B00-000012000000}" name="Re-Order Value" totalsRowFunction="sum"/>
  </tableColumns>
  <tableStyleInfo name="TableStyleLight9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2C000000}" name="cat_Uncategorized" displayName="cat_Uncategorized" ref="A1:R1206" totalsRowCount="1">
  <autoFilter ref="A1:R1205" xr:uid="{00000000-0009-0000-0100-00002D000000}">
    <filterColumn colId="5">
      <filters>
        <filter val="Adendorff Machinery Mart"/>
      </filters>
    </filterColumn>
  </autoFilter>
  <tableColumns count="18">
    <tableColumn id="1" xr3:uid="{00000000-0010-0000-2C00-000001000000}" name="Item Code" totalsRowLabel="TOTAL STOCK"/>
    <tableColumn id="2" xr3:uid="{00000000-0010-0000-2C00-000002000000}" name="Description"/>
    <tableColumn id="3" xr3:uid="{00000000-0010-0000-2C00-000003000000}" name="Category"/>
    <tableColumn id="4" xr3:uid="{00000000-0010-0000-2C00-000004000000}" name="Period (month(s))"/>
    <tableColumn id="5" xr3:uid="{00000000-0010-0000-2C00-000005000000}" name="Total QTY Purchased" totalsRowFunction="sum"/>
    <tableColumn id="6" xr3:uid="{00000000-0010-0000-2C00-000006000000}" name="Supplier"/>
    <tableColumn id="7" xr3:uid="{00000000-0010-0000-2C00-000007000000}" name="Cost"/>
    <tableColumn id="8" xr3:uid="{00000000-0010-0000-2C00-000008000000}" name="Total QTY Sold" totalsRowFunction="sum"/>
    <tableColumn id="9" xr3:uid="{00000000-0010-0000-2C00-000009000000}" name="Lead Time (months)"/>
    <tableColumn id="10" xr3:uid="{00000000-0010-0000-2C00-00000A000000}" name="AMU"/>
    <tableColumn id="11" xr3:uid="{00000000-0010-0000-2C00-00000B000000}" name="Min" totalsRowFunction="sum"/>
    <tableColumn id="12" xr3:uid="{00000000-0010-0000-2C00-00000C000000}" name="Re-Order Point (ROP)" totalsRowFunction="sum"/>
    <tableColumn id="13" xr3:uid="{00000000-0010-0000-2C00-00000D000000}" name="Current Stock" totalsRowFunction="sum"/>
    <tableColumn id="14" xr3:uid="{00000000-0010-0000-2C00-00000E000000}" name="On Order" totalsRowFunction="sum"/>
    <tableColumn id="15" xr3:uid="{00000000-0010-0000-2C00-00000F000000}" name="Max" totalsRowFunction="sum"/>
    <tableColumn id="16" xr3:uid="{00000000-0010-0000-2C00-000010000000}" name="Stock Value" totalsRowFunction="sum"/>
    <tableColumn id="17" xr3:uid="{00000000-0010-0000-2C00-000011000000}" name="Re-Order Qty" totalsRowFunction="sum"/>
    <tableColumn id="18" xr3:uid="{00000000-0010-0000-2C00-000012000000}" name="Re-Order Value" totalsRowFunction="sum"/>
  </tableColumns>
  <tableStyleInfo name="TableStyleLight9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2D000000}" name="cat_VSD" displayName="cat_VSD" ref="A1:R15" totalsRowCount="1">
  <autoFilter ref="A1:R14" xr:uid="{00000000-0009-0000-0100-00002E000000}"/>
  <tableColumns count="18">
    <tableColumn id="1" xr3:uid="{00000000-0010-0000-2D00-000001000000}" name="Item Code" totalsRowLabel="TOTAL STOCK"/>
    <tableColumn id="2" xr3:uid="{00000000-0010-0000-2D00-000002000000}" name="Description"/>
    <tableColumn id="3" xr3:uid="{00000000-0010-0000-2D00-000003000000}" name="Category"/>
    <tableColumn id="4" xr3:uid="{00000000-0010-0000-2D00-000004000000}" name="Period (month(s))"/>
    <tableColumn id="5" xr3:uid="{00000000-0010-0000-2D00-000005000000}" name="Total QTY Purchased" totalsRowFunction="sum"/>
    <tableColumn id="6" xr3:uid="{00000000-0010-0000-2D00-000006000000}" name="Supplier"/>
    <tableColumn id="7" xr3:uid="{00000000-0010-0000-2D00-000007000000}" name="Cost"/>
    <tableColumn id="8" xr3:uid="{00000000-0010-0000-2D00-000008000000}" name="Total QTY Sold" totalsRowFunction="sum"/>
    <tableColumn id="9" xr3:uid="{00000000-0010-0000-2D00-000009000000}" name="Lead Time (months)"/>
    <tableColumn id="10" xr3:uid="{00000000-0010-0000-2D00-00000A000000}" name="AMU"/>
    <tableColumn id="11" xr3:uid="{00000000-0010-0000-2D00-00000B000000}" name="Min" totalsRowFunction="sum"/>
    <tableColumn id="12" xr3:uid="{00000000-0010-0000-2D00-00000C000000}" name="Re-Order Point (ROP)" totalsRowFunction="sum"/>
    <tableColumn id="13" xr3:uid="{00000000-0010-0000-2D00-00000D000000}" name="Current Stock" totalsRowFunction="sum"/>
    <tableColumn id="14" xr3:uid="{00000000-0010-0000-2D00-00000E000000}" name="On Order" totalsRowFunction="sum"/>
    <tableColumn id="15" xr3:uid="{00000000-0010-0000-2D00-00000F000000}" name="Max" totalsRowFunction="sum"/>
    <tableColumn id="16" xr3:uid="{00000000-0010-0000-2D00-000010000000}" name="Stock Value" totalsRowFunction="sum"/>
    <tableColumn id="17" xr3:uid="{00000000-0010-0000-2D00-000011000000}" name="Re-Order Qty" totalsRowFunction="sum"/>
    <tableColumn id="18" xr3:uid="{00000000-0010-0000-2D00-000012000000}" name="Re-Order Value" totalsRowFunction="sum"/>
  </tableColumns>
  <tableStyleInfo name="TableStyleLight9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2E000000}" name="cat_Vents" displayName="cat_Vents" ref="A1:R9" totalsRowCount="1">
  <autoFilter ref="A1:R8" xr:uid="{00000000-0009-0000-0100-00002F000000}"/>
  <tableColumns count="18">
    <tableColumn id="1" xr3:uid="{00000000-0010-0000-2E00-000001000000}" name="Item Code" totalsRowLabel="TOTAL STOCK"/>
    <tableColumn id="2" xr3:uid="{00000000-0010-0000-2E00-000002000000}" name="Description"/>
    <tableColumn id="3" xr3:uid="{00000000-0010-0000-2E00-000003000000}" name="Category"/>
    <tableColumn id="4" xr3:uid="{00000000-0010-0000-2E00-000004000000}" name="Period (month(s))"/>
    <tableColumn id="5" xr3:uid="{00000000-0010-0000-2E00-000005000000}" name="Total QTY Purchased" totalsRowFunction="sum"/>
    <tableColumn id="6" xr3:uid="{00000000-0010-0000-2E00-000006000000}" name="Supplier"/>
    <tableColumn id="7" xr3:uid="{00000000-0010-0000-2E00-000007000000}" name="Cost"/>
    <tableColumn id="8" xr3:uid="{00000000-0010-0000-2E00-000008000000}" name="Total QTY Sold" totalsRowFunction="sum"/>
    <tableColumn id="9" xr3:uid="{00000000-0010-0000-2E00-000009000000}" name="Lead Time (months)"/>
    <tableColumn id="10" xr3:uid="{00000000-0010-0000-2E00-00000A000000}" name="AMU"/>
    <tableColumn id="11" xr3:uid="{00000000-0010-0000-2E00-00000B000000}" name="Min" totalsRowFunction="sum"/>
    <tableColumn id="12" xr3:uid="{00000000-0010-0000-2E00-00000C000000}" name="Re-Order Point (ROP)" totalsRowFunction="sum"/>
    <tableColumn id="13" xr3:uid="{00000000-0010-0000-2E00-00000D000000}" name="Current Stock" totalsRowFunction="sum"/>
    <tableColumn id="14" xr3:uid="{00000000-0010-0000-2E00-00000E000000}" name="On Order" totalsRowFunction="sum"/>
    <tableColumn id="15" xr3:uid="{00000000-0010-0000-2E00-00000F000000}" name="Max" totalsRowFunction="sum"/>
    <tableColumn id="16" xr3:uid="{00000000-0010-0000-2E00-000010000000}" name="Stock Value" totalsRowFunction="sum"/>
    <tableColumn id="17" xr3:uid="{00000000-0010-0000-2E00-000011000000}" name="Re-Order Qty" totalsRowFunction="sum"/>
    <tableColumn id="18" xr3:uid="{00000000-0010-0000-2E00-000012000000}" name="Re-Order Value" totalsRowFunction="sum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workbookViewId="0">
      <pane ySplit="1" topLeftCell="A29" activePane="bottomLeft" state="frozen"/>
      <selection pane="bottomLeft" activeCell="A40" sqref="A40"/>
    </sheetView>
  </sheetViews>
  <sheetFormatPr defaultRowHeight="14.4" x14ac:dyDescent="0.3"/>
  <cols>
    <col min="1" max="1" width="25.109375" bestFit="1" customWidth="1"/>
    <col min="2" max="2" width="12.5546875" bestFit="1" customWidth="1"/>
    <col min="3" max="3" width="20.6640625" bestFit="1" customWidth="1"/>
    <col min="4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6</v>
      </c>
      <c r="C2">
        <v>11</v>
      </c>
      <c r="D2">
        <v>20</v>
      </c>
    </row>
    <row r="3" spans="1:4" x14ac:dyDescent="0.3">
      <c r="A3" t="s">
        <v>5</v>
      </c>
      <c r="B3">
        <v>20</v>
      </c>
      <c r="C3">
        <v>533</v>
      </c>
      <c r="D3">
        <v>6</v>
      </c>
    </row>
    <row r="4" spans="1:4" x14ac:dyDescent="0.3">
      <c r="A4" t="s">
        <v>6</v>
      </c>
      <c r="B4">
        <v>5</v>
      </c>
      <c r="C4">
        <v>6</v>
      </c>
      <c r="D4">
        <v>14</v>
      </c>
    </row>
    <row r="5" spans="1:4" x14ac:dyDescent="0.3">
      <c r="A5" t="s">
        <v>7</v>
      </c>
      <c r="B5">
        <v>34</v>
      </c>
      <c r="C5">
        <v>195</v>
      </c>
      <c r="D5">
        <v>0</v>
      </c>
    </row>
    <row r="6" spans="1:4" x14ac:dyDescent="0.3">
      <c r="A6" t="s">
        <v>8</v>
      </c>
      <c r="B6">
        <v>23</v>
      </c>
      <c r="C6">
        <v>184</v>
      </c>
      <c r="D6">
        <v>1</v>
      </c>
    </row>
    <row r="7" spans="1:4" x14ac:dyDescent="0.3">
      <c r="A7" t="s">
        <v>9</v>
      </c>
      <c r="B7">
        <v>1</v>
      </c>
      <c r="C7">
        <v>10</v>
      </c>
      <c r="D7">
        <v>0</v>
      </c>
    </row>
    <row r="8" spans="1:4" x14ac:dyDescent="0.3">
      <c r="A8" t="s">
        <v>10</v>
      </c>
      <c r="B8">
        <v>1</v>
      </c>
      <c r="C8">
        <v>1</v>
      </c>
      <c r="D8">
        <v>0</v>
      </c>
    </row>
    <row r="9" spans="1:4" x14ac:dyDescent="0.3">
      <c r="A9" t="s">
        <v>11</v>
      </c>
      <c r="B9">
        <v>1</v>
      </c>
      <c r="C9">
        <v>5</v>
      </c>
      <c r="D9">
        <v>5</v>
      </c>
    </row>
    <row r="10" spans="1:4" x14ac:dyDescent="0.3">
      <c r="A10" t="s">
        <v>12</v>
      </c>
      <c r="B10">
        <v>8</v>
      </c>
      <c r="C10">
        <v>19</v>
      </c>
      <c r="D10">
        <v>0</v>
      </c>
    </row>
    <row r="11" spans="1:4" x14ac:dyDescent="0.3">
      <c r="A11" t="s">
        <v>13</v>
      </c>
      <c r="B11">
        <v>48</v>
      </c>
      <c r="C11">
        <v>17962</v>
      </c>
      <c r="D11">
        <v>0</v>
      </c>
    </row>
    <row r="12" spans="1:4" x14ac:dyDescent="0.3">
      <c r="A12" t="s">
        <v>14</v>
      </c>
      <c r="B12">
        <v>54</v>
      </c>
      <c r="C12">
        <v>0</v>
      </c>
      <c r="D12">
        <v>1</v>
      </c>
    </row>
    <row r="13" spans="1:4" x14ac:dyDescent="0.3">
      <c r="A13" t="s">
        <v>15</v>
      </c>
      <c r="B13">
        <v>16</v>
      </c>
      <c r="C13">
        <v>1933</v>
      </c>
      <c r="D13">
        <v>1658</v>
      </c>
    </row>
    <row r="14" spans="1:4" x14ac:dyDescent="0.3">
      <c r="A14" t="s">
        <v>16</v>
      </c>
      <c r="B14">
        <v>10</v>
      </c>
      <c r="C14">
        <v>79</v>
      </c>
      <c r="D14">
        <v>0</v>
      </c>
    </row>
    <row r="15" spans="1:4" x14ac:dyDescent="0.3">
      <c r="A15" t="s">
        <v>17</v>
      </c>
      <c r="B15">
        <v>2</v>
      </c>
      <c r="C15">
        <v>5</v>
      </c>
      <c r="D15">
        <v>3</v>
      </c>
    </row>
    <row r="16" spans="1:4" x14ac:dyDescent="0.3">
      <c r="A16" t="s">
        <v>18</v>
      </c>
      <c r="B16">
        <v>728</v>
      </c>
      <c r="C16">
        <v>5641</v>
      </c>
      <c r="D16">
        <v>5465</v>
      </c>
    </row>
    <row r="17" spans="1:4" x14ac:dyDescent="0.3">
      <c r="A17" t="s">
        <v>19</v>
      </c>
      <c r="B17">
        <v>2</v>
      </c>
      <c r="C17">
        <v>3</v>
      </c>
      <c r="D17">
        <v>0</v>
      </c>
    </row>
    <row r="18" spans="1:4" x14ac:dyDescent="0.3">
      <c r="A18" t="s">
        <v>20</v>
      </c>
      <c r="B18">
        <v>6</v>
      </c>
      <c r="C18">
        <v>10</v>
      </c>
      <c r="D18">
        <v>0</v>
      </c>
    </row>
    <row r="19" spans="1:4" x14ac:dyDescent="0.3">
      <c r="A19" t="s">
        <v>21</v>
      </c>
      <c r="B19">
        <v>1</v>
      </c>
      <c r="C19">
        <v>0.5</v>
      </c>
      <c r="D19">
        <v>0</v>
      </c>
    </row>
    <row r="20" spans="1:4" x14ac:dyDescent="0.3">
      <c r="A20" t="s">
        <v>22</v>
      </c>
      <c r="B20">
        <v>129</v>
      </c>
      <c r="C20">
        <v>737.9</v>
      </c>
      <c r="D20">
        <v>592</v>
      </c>
    </row>
    <row r="21" spans="1:4" x14ac:dyDescent="0.3">
      <c r="A21" t="s">
        <v>23</v>
      </c>
      <c r="B21">
        <v>1</v>
      </c>
      <c r="C21">
        <v>0</v>
      </c>
      <c r="D21">
        <v>0</v>
      </c>
    </row>
    <row r="22" spans="1:4" x14ac:dyDescent="0.3">
      <c r="A22" t="s">
        <v>24</v>
      </c>
      <c r="B22">
        <v>15</v>
      </c>
      <c r="C22">
        <v>4735</v>
      </c>
      <c r="D22">
        <v>0</v>
      </c>
    </row>
    <row r="23" spans="1:4" x14ac:dyDescent="0.3">
      <c r="A23" t="s">
        <v>25</v>
      </c>
      <c r="B23">
        <v>119</v>
      </c>
      <c r="C23">
        <v>1363</v>
      </c>
      <c r="D23">
        <v>1188</v>
      </c>
    </row>
    <row r="24" spans="1:4" x14ac:dyDescent="0.3">
      <c r="A24" t="s">
        <v>26</v>
      </c>
      <c r="B24">
        <v>2</v>
      </c>
      <c r="C24">
        <v>2</v>
      </c>
      <c r="D24">
        <v>0</v>
      </c>
    </row>
    <row r="25" spans="1:4" x14ac:dyDescent="0.3">
      <c r="A25" t="s">
        <v>27</v>
      </c>
      <c r="B25">
        <v>16</v>
      </c>
      <c r="C25">
        <v>1986</v>
      </c>
      <c r="D25">
        <v>2674</v>
      </c>
    </row>
    <row r="26" spans="1:4" x14ac:dyDescent="0.3">
      <c r="A26" t="s">
        <v>28</v>
      </c>
      <c r="B26">
        <v>3</v>
      </c>
      <c r="C26">
        <v>204</v>
      </c>
      <c r="D26">
        <v>0</v>
      </c>
    </row>
    <row r="27" spans="1:4" x14ac:dyDescent="0.3">
      <c r="A27" t="s">
        <v>29</v>
      </c>
      <c r="B27">
        <v>21</v>
      </c>
      <c r="C27">
        <v>766</v>
      </c>
      <c r="D27">
        <v>25</v>
      </c>
    </row>
    <row r="28" spans="1:4" x14ac:dyDescent="0.3">
      <c r="A28" t="s">
        <v>30</v>
      </c>
      <c r="B28">
        <v>53</v>
      </c>
      <c r="C28">
        <v>51</v>
      </c>
      <c r="D28">
        <v>181</v>
      </c>
    </row>
    <row r="29" spans="1:4" x14ac:dyDescent="0.3">
      <c r="A29" t="s">
        <v>31</v>
      </c>
      <c r="B29">
        <v>13</v>
      </c>
      <c r="C29">
        <v>3</v>
      </c>
      <c r="D29">
        <v>118</v>
      </c>
    </row>
    <row r="30" spans="1:4" x14ac:dyDescent="0.3">
      <c r="A30" t="s">
        <v>32</v>
      </c>
      <c r="B30">
        <v>1</v>
      </c>
      <c r="C30">
        <v>0</v>
      </c>
      <c r="D30">
        <v>2</v>
      </c>
    </row>
    <row r="31" spans="1:4" x14ac:dyDescent="0.3">
      <c r="A31" t="s">
        <v>33</v>
      </c>
      <c r="B31">
        <v>144</v>
      </c>
      <c r="C31">
        <v>826</v>
      </c>
      <c r="D31">
        <v>1306</v>
      </c>
    </row>
    <row r="32" spans="1:4" x14ac:dyDescent="0.3">
      <c r="A32" t="s">
        <v>34</v>
      </c>
      <c r="B32">
        <v>6</v>
      </c>
      <c r="C32">
        <v>15</v>
      </c>
      <c r="D32">
        <v>0</v>
      </c>
    </row>
    <row r="33" spans="1:4" x14ac:dyDescent="0.3">
      <c r="A33" t="s">
        <v>35</v>
      </c>
      <c r="B33">
        <v>191</v>
      </c>
      <c r="C33">
        <v>1471</v>
      </c>
      <c r="D33">
        <v>1908</v>
      </c>
    </row>
    <row r="34" spans="1:4" x14ac:dyDescent="0.3">
      <c r="A34" t="s">
        <v>36</v>
      </c>
      <c r="B34">
        <v>1</v>
      </c>
      <c r="C34">
        <v>1</v>
      </c>
      <c r="D34">
        <v>0</v>
      </c>
    </row>
    <row r="35" spans="1:4" x14ac:dyDescent="0.3">
      <c r="A35" t="s">
        <v>37</v>
      </c>
      <c r="B35">
        <v>2</v>
      </c>
      <c r="C35">
        <v>0</v>
      </c>
      <c r="D35">
        <v>0</v>
      </c>
    </row>
    <row r="36" spans="1:4" x14ac:dyDescent="0.3">
      <c r="A36" t="s">
        <v>38</v>
      </c>
      <c r="B36">
        <v>6</v>
      </c>
      <c r="C36">
        <v>8</v>
      </c>
      <c r="D36">
        <v>0</v>
      </c>
    </row>
    <row r="37" spans="1:4" x14ac:dyDescent="0.3">
      <c r="A37" t="s">
        <v>39</v>
      </c>
      <c r="B37">
        <v>5</v>
      </c>
      <c r="C37">
        <v>11</v>
      </c>
      <c r="D37">
        <v>34</v>
      </c>
    </row>
    <row r="38" spans="1:4" x14ac:dyDescent="0.3">
      <c r="A38" t="s">
        <v>40</v>
      </c>
      <c r="B38">
        <v>1</v>
      </c>
      <c r="C38">
        <v>1</v>
      </c>
      <c r="D38">
        <v>0</v>
      </c>
    </row>
    <row r="39" spans="1:4" x14ac:dyDescent="0.3">
      <c r="A39" t="s">
        <v>41</v>
      </c>
      <c r="B39">
        <v>5</v>
      </c>
      <c r="C39">
        <v>7</v>
      </c>
      <c r="D39">
        <v>2</v>
      </c>
    </row>
    <row r="40" spans="1:4" x14ac:dyDescent="0.3">
      <c r="A40" t="s">
        <v>42</v>
      </c>
      <c r="B40">
        <v>1</v>
      </c>
      <c r="C40">
        <v>0</v>
      </c>
      <c r="D40">
        <v>0</v>
      </c>
    </row>
    <row r="41" spans="1:4" x14ac:dyDescent="0.3">
      <c r="A41" t="s">
        <v>43</v>
      </c>
      <c r="B41">
        <v>1</v>
      </c>
      <c r="C41">
        <v>1</v>
      </c>
      <c r="D41">
        <v>0</v>
      </c>
    </row>
    <row r="42" spans="1:4" x14ac:dyDescent="0.3">
      <c r="A42" t="s">
        <v>44</v>
      </c>
      <c r="B42">
        <v>3</v>
      </c>
      <c r="C42">
        <v>11</v>
      </c>
      <c r="D42">
        <v>0</v>
      </c>
    </row>
    <row r="43" spans="1:4" x14ac:dyDescent="0.3">
      <c r="A43" t="s">
        <v>45</v>
      </c>
      <c r="B43">
        <v>1</v>
      </c>
      <c r="C43">
        <v>4</v>
      </c>
      <c r="D43">
        <v>4</v>
      </c>
    </row>
    <row r="44" spans="1:4" x14ac:dyDescent="0.3">
      <c r="A44" t="s">
        <v>46</v>
      </c>
      <c r="B44">
        <v>1</v>
      </c>
      <c r="C44">
        <v>4</v>
      </c>
      <c r="D44">
        <v>0</v>
      </c>
    </row>
    <row r="45" spans="1:4" x14ac:dyDescent="0.3">
      <c r="A45" t="s">
        <v>47</v>
      </c>
      <c r="B45">
        <v>1204</v>
      </c>
      <c r="C45">
        <v>102200.46</v>
      </c>
      <c r="D45">
        <v>2376</v>
      </c>
    </row>
    <row r="46" spans="1:4" x14ac:dyDescent="0.3">
      <c r="A46" t="s">
        <v>48</v>
      </c>
      <c r="B46">
        <v>13</v>
      </c>
      <c r="C46">
        <v>27</v>
      </c>
      <c r="D46">
        <v>20</v>
      </c>
    </row>
    <row r="47" spans="1:4" x14ac:dyDescent="0.3">
      <c r="A47" t="s">
        <v>49</v>
      </c>
      <c r="B47">
        <v>7</v>
      </c>
      <c r="C47">
        <v>0</v>
      </c>
      <c r="D47">
        <v>128</v>
      </c>
    </row>
    <row r="48" spans="1:4" x14ac:dyDescent="0.3">
      <c r="A48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66</v>
      </c>
      <c r="B2" t="s">
        <v>67</v>
      </c>
      <c r="C2" t="s">
        <v>4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0</v>
      </c>
    </row>
    <row r="3" spans="1:18" x14ac:dyDescent="0.3">
      <c r="A3" t="s">
        <v>68</v>
      </c>
      <c r="B3" t="s">
        <v>69</v>
      </c>
      <c r="C3" t="s">
        <v>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70</v>
      </c>
      <c r="B4" t="s">
        <v>71</v>
      </c>
      <c r="C4" t="s">
        <v>4</v>
      </c>
      <c r="D4">
        <v>1</v>
      </c>
      <c r="E4">
        <v>2</v>
      </c>
      <c r="F4" t="s">
        <v>72</v>
      </c>
      <c r="G4" s="1">
        <v>3264</v>
      </c>
      <c r="H4">
        <v>0</v>
      </c>
      <c r="I4">
        <v>0.8</v>
      </c>
      <c r="J4">
        <v>2</v>
      </c>
      <c r="K4">
        <v>2</v>
      </c>
      <c r="L4">
        <f t="shared" si="0"/>
        <v>4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19584</v>
      </c>
    </row>
    <row r="5" spans="1:18" x14ac:dyDescent="0.3">
      <c r="A5" t="s">
        <v>73</v>
      </c>
      <c r="B5" t="s">
        <v>74</v>
      </c>
      <c r="C5" t="s">
        <v>4</v>
      </c>
      <c r="D5">
        <v>1</v>
      </c>
      <c r="E5">
        <v>0</v>
      </c>
      <c r="G5" s="1">
        <v>0</v>
      </c>
      <c r="H5">
        <v>18</v>
      </c>
      <c r="I5">
        <v>0.5</v>
      </c>
      <c r="J5">
        <v>18</v>
      </c>
      <c r="K5">
        <v>9</v>
      </c>
      <c r="L5">
        <f t="shared" si="0"/>
        <v>18</v>
      </c>
      <c r="M5">
        <v>0</v>
      </c>
      <c r="N5">
        <v>0</v>
      </c>
      <c r="O5">
        <v>45</v>
      </c>
      <c r="P5" s="1">
        <f t="shared" si="1"/>
        <v>0</v>
      </c>
      <c r="Q5">
        <f t="shared" si="2"/>
        <v>45</v>
      </c>
      <c r="R5" s="1">
        <f t="shared" si="3"/>
        <v>0</v>
      </c>
    </row>
    <row r="6" spans="1:18" x14ac:dyDescent="0.3">
      <c r="A6" t="s">
        <v>75</v>
      </c>
      <c r="B6" t="s">
        <v>76</v>
      </c>
      <c r="C6" t="s">
        <v>4</v>
      </c>
      <c r="D6">
        <v>9</v>
      </c>
      <c r="E6">
        <v>7</v>
      </c>
      <c r="F6" t="s">
        <v>77</v>
      </c>
      <c r="G6" s="1">
        <v>503.25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1006.5</v>
      </c>
    </row>
    <row r="7" spans="1:18" x14ac:dyDescent="0.3">
      <c r="A7" t="s">
        <v>78</v>
      </c>
      <c r="B7" t="s">
        <v>78</v>
      </c>
      <c r="C7" t="s">
        <v>4</v>
      </c>
      <c r="D7">
        <v>1</v>
      </c>
      <c r="E7">
        <v>2</v>
      </c>
      <c r="F7" t="s">
        <v>79</v>
      </c>
      <c r="G7" s="1">
        <v>1950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9750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2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80</v>
      </c>
      <c r="B2" t="s">
        <v>81</v>
      </c>
      <c r="C2" t="s">
        <v>5</v>
      </c>
      <c r="D2">
        <v>1</v>
      </c>
      <c r="E2">
        <v>0</v>
      </c>
      <c r="G2" s="1">
        <v>0</v>
      </c>
      <c r="H2">
        <v>6</v>
      </c>
      <c r="I2">
        <v>0.5</v>
      </c>
      <c r="J2">
        <v>6</v>
      </c>
      <c r="K2">
        <v>3</v>
      </c>
      <c r="L2">
        <f t="shared" ref="L2:L21" si="0">ROUNDUP((J2*I2)+K2,0)</f>
        <v>6</v>
      </c>
      <c r="M2">
        <v>0</v>
      </c>
      <c r="N2">
        <v>0</v>
      </c>
      <c r="O2">
        <v>15</v>
      </c>
      <c r="P2" s="1">
        <f t="shared" ref="P2:P21" si="1">IFERROR(M2*G2,0)</f>
        <v>0</v>
      </c>
      <c r="Q2">
        <f t="shared" ref="Q2:Q21" si="2">IF(O2-M2-N2&gt;0,O2-M2-N2,0)</f>
        <v>15</v>
      </c>
      <c r="R2" s="1">
        <f t="shared" ref="R2:R21" si="3">IFERROR(Q2*G2,0)</f>
        <v>0</v>
      </c>
    </row>
    <row r="3" spans="1:18" x14ac:dyDescent="0.3">
      <c r="A3" t="s">
        <v>82</v>
      </c>
      <c r="B3" t="s">
        <v>83</v>
      </c>
      <c r="C3" t="s">
        <v>5</v>
      </c>
      <c r="D3">
        <v>1</v>
      </c>
      <c r="E3">
        <v>6</v>
      </c>
      <c r="F3" t="s">
        <v>84</v>
      </c>
      <c r="G3" s="1">
        <v>62.5</v>
      </c>
      <c r="H3">
        <v>0</v>
      </c>
      <c r="I3">
        <v>0.6</v>
      </c>
      <c r="J3">
        <v>6</v>
      </c>
      <c r="K3">
        <v>4</v>
      </c>
      <c r="L3">
        <f t="shared" si="0"/>
        <v>8</v>
      </c>
      <c r="M3">
        <v>0</v>
      </c>
      <c r="N3">
        <v>0</v>
      </c>
      <c r="O3">
        <v>16</v>
      </c>
      <c r="P3" s="1">
        <f t="shared" si="1"/>
        <v>0</v>
      </c>
      <c r="Q3">
        <f t="shared" si="2"/>
        <v>16</v>
      </c>
      <c r="R3" s="1">
        <f t="shared" si="3"/>
        <v>1000</v>
      </c>
    </row>
    <row r="4" spans="1:18" x14ac:dyDescent="0.3">
      <c r="A4" t="s">
        <v>85</v>
      </c>
      <c r="B4" t="s">
        <v>86</v>
      </c>
      <c r="C4" t="s">
        <v>5</v>
      </c>
      <c r="D4">
        <v>1</v>
      </c>
      <c r="E4">
        <v>2</v>
      </c>
      <c r="F4" t="s">
        <v>87</v>
      </c>
      <c r="G4" s="1">
        <v>81.99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409.95</v>
      </c>
    </row>
    <row r="5" spans="1:18" x14ac:dyDescent="0.3">
      <c r="A5" t="s">
        <v>88</v>
      </c>
      <c r="B5" t="s">
        <v>89</v>
      </c>
      <c r="C5" t="s">
        <v>5</v>
      </c>
      <c r="D5">
        <v>1</v>
      </c>
      <c r="E5">
        <v>2</v>
      </c>
      <c r="F5" t="s">
        <v>87</v>
      </c>
      <c r="G5" s="1">
        <v>217.32</v>
      </c>
      <c r="H5">
        <v>0</v>
      </c>
      <c r="I5">
        <v>0.5</v>
      </c>
      <c r="J5">
        <v>2</v>
      </c>
      <c r="K5">
        <v>1</v>
      </c>
      <c r="L5">
        <f t="shared" si="0"/>
        <v>2</v>
      </c>
      <c r="M5">
        <v>0</v>
      </c>
      <c r="N5">
        <v>0</v>
      </c>
      <c r="O5">
        <v>5</v>
      </c>
      <c r="P5" s="1">
        <f t="shared" si="1"/>
        <v>0</v>
      </c>
      <c r="Q5">
        <f t="shared" si="2"/>
        <v>5</v>
      </c>
      <c r="R5" s="1">
        <f t="shared" si="3"/>
        <v>1086.5999999999999</v>
      </c>
    </row>
    <row r="6" spans="1:18" x14ac:dyDescent="0.3">
      <c r="A6" t="s">
        <v>90</v>
      </c>
      <c r="B6" t="s">
        <v>91</v>
      </c>
      <c r="C6" t="s">
        <v>5</v>
      </c>
      <c r="D6">
        <v>5</v>
      </c>
      <c r="E6">
        <v>27</v>
      </c>
      <c r="F6" t="s">
        <v>87</v>
      </c>
      <c r="G6" s="1">
        <v>1904.5</v>
      </c>
      <c r="H6">
        <v>0</v>
      </c>
      <c r="I6">
        <v>0.5</v>
      </c>
      <c r="J6">
        <v>5.5</v>
      </c>
      <c r="K6">
        <v>3</v>
      </c>
      <c r="L6">
        <f t="shared" si="0"/>
        <v>6</v>
      </c>
      <c r="M6">
        <v>0</v>
      </c>
      <c r="N6">
        <v>0</v>
      </c>
      <c r="O6">
        <v>14</v>
      </c>
      <c r="P6" s="1">
        <f t="shared" si="1"/>
        <v>0</v>
      </c>
      <c r="Q6">
        <f t="shared" si="2"/>
        <v>14</v>
      </c>
      <c r="R6" s="1">
        <f t="shared" si="3"/>
        <v>26663</v>
      </c>
    </row>
    <row r="7" spans="1:18" x14ac:dyDescent="0.3">
      <c r="A7" t="s">
        <v>92</v>
      </c>
      <c r="B7" t="s">
        <v>93</v>
      </c>
      <c r="C7" t="s">
        <v>5</v>
      </c>
      <c r="D7">
        <v>1</v>
      </c>
      <c r="E7">
        <v>0</v>
      </c>
      <c r="G7" s="1">
        <v>3636.67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7273.34</v>
      </c>
    </row>
    <row r="8" spans="1:18" x14ac:dyDescent="0.3">
      <c r="A8" t="s">
        <v>94</v>
      </c>
      <c r="B8" t="s">
        <v>95</v>
      </c>
      <c r="C8" t="s">
        <v>5</v>
      </c>
      <c r="D8">
        <v>1</v>
      </c>
      <c r="E8">
        <v>0</v>
      </c>
      <c r="G8" s="1">
        <v>742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1484</v>
      </c>
    </row>
    <row r="9" spans="1:18" x14ac:dyDescent="0.3">
      <c r="A9" t="s">
        <v>96</v>
      </c>
      <c r="B9" t="s">
        <v>97</v>
      </c>
      <c r="C9" t="s">
        <v>5</v>
      </c>
      <c r="D9">
        <v>1</v>
      </c>
      <c r="E9">
        <v>0</v>
      </c>
      <c r="G9" s="1">
        <v>2760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5520</v>
      </c>
    </row>
    <row r="10" spans="1:18" x14ac:dyDescent="0.3">
      <c r="A10" t="s">
        <v>98</v>
      </c>
      <c r="B10" t="s">
        <v>99</v>
      </c>
      <c r="C10" t="s">
        <v>5</v>
      </c>
      <c r="D10">
        <v>1</v>
      </c>
      <c r="E10">
        <v>0</v>
      </c>
      <c r="G10" s="1">
        <v>2760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5520</v>
      </c>
    </row>
    <row r="11" spans="1:18" x14ac:dyDescent="0.3">
      <c r="A11" t="s">
        <v>100</v>
      </c>
      <c r="B11" t="s">
        <v>101</v>
      </c>
      <c r="C11" t="s">
        <v>5</v>
      </c>
      <c r="D11">
        <v>1</v>
      </c>
      <c r="E11">
        <v>1</v>
      </c>
      <c r="F11" t="s">
        <v>87</v>
      </c>
      <c r="G11" s="1">
        <v>2950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5900</v>
      </c>
    </row>
    <row r="12" spans="1:18" x14ac:dyDescent="0.3">
      <c r="A12" t="s">
        <v>102</v>
      </c>
      <c r="B12" t="s">
        <v>103</v>
      </c>
      <c r="C12" t="s">
        <v>5</v>
      </c>
      <c r="D12">
        <v>1</v>
      </c>
      <c r="E12">
        <v>1</v>
      </c>
      <c r="F12" t="s">
        <v>87</v>
      </c>
      <c r="G12" s="1">
        <v>2950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5900</v>
      </c>
    </row>
    <row r="13" spans="1:18" x14ac:dyDescent="0.3">
      <c r="A13" t="s">
        <v>104</v>
      </c>
      <c r="B13" t="s">
        <v>105</v>
      </c>
      <c r="C13" t="s">
        <v>5</v>
      </c>
      <c r="D13">
        <v>1</v>
      </c>
      <c r="E13">
        <v>3</v>
      </c>
      <c r="F13" t="s">
        <v>87</v>
      </c>
      <c r="G13" s="1">
        <v>3230</v>
      </c>
      <c r="H13">
        <v>0</v>
      </c>
      <c r="I13">
        <v>0.5</v>
      </c>
      <c r="J13">
        <v>3</v>
      </c>
      <c r="K13">
        <v>2</v>
      </c>
      <c r="L13">
        <f t="shared" si="0"/>
        <v>4</v>
      </c>
      <c r="M13">
        <v>0</v>
      </c>
      <c r="N13">
        <v>0</v>
      </c>
      <c r="O13">
        <v>8</v>
      </c>
      <c r="P13" s="1">
        <f t="shared" si="1"/>
        <v>0</v>
      </c>
      <c r="Q13">
        <f t="shared" si="2"/>
        <v>8</v>
      </c>
      <c r="R13" s="1">
        <f t="shared" si="3"/>
        <v>25840</v>
      </c>
    </row>
    <row r="14" spans="1:18" x14ac:dyDescent="0.3">
      <c r="A14" t="s">
        <v>106</v>
      </c>
      <c r="B14" t="s">
        <v>107</v>
      </c>
      <c r="C14" t="s">
        <v>5</v>
      </c>
      <c r="D14">
        <v>2</v>
      </c>
      <c r="E14">
        <v>452</v>
      </c>
      <c r="F14" t="s">
        <v>87</v>
      </c>
      <c r="G14" s="1">
        <v>4.09</v>
      </c>
      <c r="H14">
        <v>0</v>
      </c>
      <c r="I14">
        <v>0.5</v>
      </c>
      <c r="J14">
        <v>226</v>
      </c>
      <c r="K14">
        <v>113</v>
      </c>
      <c r="L14">
        <f t="shared" si="0"/>
        <v>226</v>
      </c>
      <c r="M14">
        <v>0</v>
      </c>
      <c r="N14">
        <v>0</v>
      </c>
      <c r="O14">
        <v>565</v>
      </c>
      <c r="P14" s="1">
        <f t="shared" si="1"/>
        <v>0</v>
      </c>
      <c r="Q14">
        <f t="shared" si="2"/>
        <v>565</v>
      </c>
      <c r="R14" s="1">
        <f t="shared" si="3"/>
        <v>2310.85</v>
      </c>
    </row>
    <row r="15" spans="1:18" x14ac:dyDescent="0.3">
      <c r="A15" t="s">
        <v>108</v>
      </c>
      <c r="B15" t="s">
        <v>109</v>
      </c>
      <c r="C15" t="s">
        <v>5</v>
      </c>
      <c r="D15">
        <v>1</v>
      </c>
      <c r="E15">
        <v>3</v>
      </c>
      <c r="F15" t="s">
        <v>87</v>
      </c>
      <c r="G15" s="1">
        <v>3000</v>
      </c>
      <c r="H15">
        <v>0</v>
      </c>
      <c r="I15">
        <v>0.5</v>
      </c>
      <c r="J15">
        <v>3</v>
      </c>
      <c r="K15">
        <v>2</v>
      </c>
      <c r="L15">
        <f t="shared" si="0"/>
        <v>4</v>
      </c>
      <c r="M15">
        <v>0</v>
      </c>
      <c r="N15">
        <v>0</v>
      </c>
      <c r="O15">
        <v>8</v>
      </c>
      <c r="P15" s="1">
        <f t="shared" si="1"/>
        <v>0</v>
      </c>
      <c r="Q15">
        <f t="shared" si="2"/>
        <v>8</v>
      </c>
      <c r="R15" s="1">
        <f t="shared" si="3"/>
        <v>24000</v>
      </c>
    </row>
    <row r="16" spans="1:18" x14ac:dyDescent="0.3">
      <c r="A16" t="s">
        <v>110</v>
      </c>
      <c r="B16" t="s">
        <v>111</v>
      </c>
      <c r="C16" t="s">
        <v>5</v>
      </c>
      <c r="D16">
        <v>3</v>
      </c>
      <c r="E16">
        <v>15</v>
      </c>
      <c r="F16" t="s">
        <v>87</v>
      </c>
      <c r="G16" s="1">
        <v>3103.33</v>
      </c>
      <c r="H16">
        <v>0</v>
      </c>
      <c r="I16">
        <v>0.5</v>
      </c>
      <c r="J16">
        <v>5</v>
      </c>
      <c r="K16">
        <v>2</v>
      </c>
      <c r="L16">
        <f t="shared" si="0"/>
        <v>5</v>
      </c>
      <c r="M16">
        <v>0</v>
      </c>
      <c r="N16">
        <v>0</v>
      </c>
      <c r="O16">
        <v>12</v>
      </c>
      <c r="P16" s="1">
        <f t="shared" si="1"/>
        <v>0</v>
      </c>
      <c r="Q16">
        <f t="shared" si="2"/>
        <v>12</v>
      </c>
      <c r="R16" s="1">
        <f t="shared" si="3"/>
        <v>37239.96</v>
      </c>
    </row>
    <row r="17" spans="1:18" x14ac:dyDescent="0.3">
      <c r="A17" t="s">
        <v>112</v>
      </c>
      <c r="B17" t="s">
        <v>113</v>
      </c>
      <c r="C17" t="s">
        <v>5</v>
      </c>
      <c r="D17">
        <v>3</v>
      </c>
      <c r="E17">
        <v>13</v>
      </c>
      <c r="F17" t="s">
        <v>87</v>
      </c>
      <c r="G17" s="1">
        <v>2545.38</v>
      </c>
      <c r="H17">
        <v>0</v>
      </c>
      <c r="I17">
        <v>0.5</v>
      </c>
      <c r="J17">
        <v>4.5</v>
      </c>
      <c r="K17">
        <v>2</v>
      </c>
      <c r="L17">
        <f t="shared" si="0"/>
        <v>5</v>
      </c>
      <c r="M17">
        <v>0</v>
      </c>
      <c r="N17">
        <v>0</v>
      </c>
      <c r="O17">
        <v>11</v>
      </c>
      <c r="P17" s="1">
        <f t="shared" si="1"/>
        <v>0</v>
      </c>
      <c r="Q17">
        <f t="shared" si="2"/>
        <v>11</v>
      </c>
      <c r="R17" s="1">
        <f t="shared" si="3"/>
        <v>27999.18</v>
      </c>
    </row>
    <row r="18" spans="1:18" x14ac:dyDescent="0.3">
      <c r="A18" t="s">
        <v>114</v>
      </c>
      <c r="B18" t="s">
        <v>115</v>
      </c>
      <c r="C18" t="s">
        <v>5</v>
      </c>
      <c r="D18">
        <v>1</v>
      </c>
      <c r="E18">
        <v>1</v>
      </c>
      <c r="F18" t="s">
        <v>87</v>
      </c>
      <c r="G18" s="1">
        <v>3100</v>
      </c>
      <c r="H18">
        <v>0</v>
      </c>
      <c r="I18">
        <v>0.7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3</v>
      </c>
      <c r="P18" s="1">
        <f t="shared" si="1"/>
        <v>0</v>
      </c>
      <c r="Q18">
        <f t="shared" si="2"/>
        <v>3</v>
      </c>
      <c r="R18" s="1">
        <f t="shared" si="3"/>
        <v>9300</v>
      </c>
    </row>
    <row r="19" spans="1:18" x14ac:dyDescent="0.3">
      <c r="A19" t="s">
        <v>116</v>
      </c>
      <c r="B19" t="s">
        <v>117</v>
      </c>
      <c r="C19" t="s">
        <v>5</v>
      </c>
      <c r="D19">
        <v>1</v>
      </c>
      <c r="E19">
        <v>2</v>
      </c>
      <c r="F19" t="s">
        <v>87</v>
      </c>
      <c r="G19" s="1">
        <v>4545</v>
      </c>
      <c r="H19">
        <v>0</v>
      </c>
      <c r="I19">
        <v>0.7</v>
      </c>
      <c r="J19">
        <v>2</v>
      </c>
      <c r="K19">
        <v>1</v>
      </c>
      <c r="L19">
        <f t="shared" si="0"/>
        <v>3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22725</v>
      </c>
    </row>
    <row r="20" spans="1:18" x14ac:dyDescent="0.3">
      <c r="A20" t="s">
        <v>118</v>
      </c>
      <c r="B20" t="s">
        <v>119</v>
      </c>
      <c r="C20" t="s">
        <v>5</v>
      </c>
      <c r="D20">
        <v>1</v>
      </c>
      <c r="E20">
        <v>3</v>
      </c>
      <c r="F20" t="s">
        <v>87</v>
      </c>
      <c r="G20" s="1">
        <v>4200</v>
      </c>
      <c r="H20">
        <v>0</v>
      </c>
      <c r="I20">
        <v>0.5</v>
      </c>
      <c r="J20">
        <v>3</v>
      </c>
      <c r="K20">
        <v>2</v>
      </c>
      <c r="L20">
        <f t="shared" si="0"/>
        <v>4</v>
      </c>
      <c r="M20">
        <v>0</v>
      </c>
      <c r="N20">
        <v>0</v>
      </c>
      <c r="O20">
        <v>8</v>
      </c>
      <c r="P20" s="1">
        <f t="shared" si="1"/>
        <v>0</v>
      </c>
      <c r="Q20">
        <f t="shared" si="2"/>
        <v>8</v>
      </c>
      <c r="R20" s="1">
        <f t="shared" si="3"/>
        <v>33600</v>
      </c>
    </row>
    <row r="21" spans="1:18" x14ac:dyDescent="0.3">
      <c r="A21" t="s">
        <v>120</v>
      </c>
      <c r="B21" t="s">
        <v>121</v>
      </c>
      <c r="C21" t="s">
        <v>5</v>
      </c>
      <c r="D21">
        <v>1</v>
      </c>
      <c r="E21">
        <v>2</v>
      </c>
      <c r="F21" t="s">
        <v>87</v>
      </c>
      <c r="G21" s="1">
        <v>0</v>
      </c>
      <c r="H21">
        <v>0</v>
      </c>
      <c r="I21">
        <v>0.5</v>
      </c>
      <c r="J21">
        <v>2</v>
      </c>
      <c r="K21">
        <v>1</v>
      </c>
      <c r="L21">
        <f t="shared" si="0"/>
        <v>2</v>
      </c>
      <c r="M21">
        <v>0</v>
      </c>
      <c r="N21">
        <v>0</v>
      </c>
      <c r="O21">
        <v>5</v>
      </c>
      <c r="P21" s="1">
        <f t="shared" si="1"/>
        <v>0</v>
      </c>
      <c r="Q21">
        <f t="shared" si="2"/>
        <v>5</v>
      </c>
      <c r="R21" s="1">
        <f t="shared" si="3"/>
        <v>0</v>
      </c>
    </row>
    <row r="22" spans="1:18" x14ac:dyDescent="0.3">
      <c r="A2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122</v>
      </c>
      <c r="B2" t="s">
        <v>123</v>
      </c>
      <c r="C2" t="s">
        <v>6</v>
      </c>
      <c r="D2">
        <v>17</v>
      </c>
      <c r="E2">
        <v>2</v>
      </c>
      <c r="F2" t="s">
        <v>124</v>
      </c>
      <c r="G2" s="1">
        <v>534.83000000000004</v>
      </c>
      <c r="H2">
        <v>6</v>
      </c>
      <c r="I2">
        <v>1.3</v>
      </c>
      <c r="J2">
        <v>1</v>
      </c>
      <c r="K2">
        <v>1</v>
      </c>
      <c r="L2">
        <f>ROUNDUP((J2*I2)+K2,0)</f>
        <v>3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1604.4900000000002</v>
      </c>
    </row>
    <row r="3" spans="1:18" x14ac:dyDescent="0.3">
      <c r="A3" t="s">
        <v>125</v>
      </c>
      <c r="B3" t="s">
        <v>126</v>
      </c>
      <c r="C3" t="s">
        <v>6</v>
      </c>
      <c r="D3">
        <v>13</v>
      </c>
      <c r="E3">
        <v>2</v>
      </c>
      <c r="F3" t="s">
        <v>124</v>
      </c>
      <c r="G3" s="1">
        <v>1358.93</v>
      </c>
      <c r="H3">
        <v>6</v>
      </c>
      <c r="I3">
        <v>0.9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3</v>
      </c>
      <c r="P3" s="1">
        <f>IFERROR(M3*G3,0)</f>
        <v>0</v>
      </c>
      <c r="Q3">
        <f>IF(O3-M3-N3&gt;0,O3-M3-N3,0)</f>
        <v>3</v>
      </c>
      <c r="R3" s="1">
        <f>IFERROR(Q3*G3,0)</f>
        <v>4076.79</v>
      </c>
    </row>
    <row r="4" spans="1:18" x14ac:dyDescent="0.3">
      <c r="A4" t="s">
        <v>127</v>
      </c>
      <c r="B4" t="s">
        <v>128</v>
      </c>
      <c r="C4" t="s">
        <v>6</v>
      </c>
      <c r="D4">
        <v>1</v>
      </c>
      <c r="E4">
        <v>0</v>
      </c>
      <c r="G4" s="1">
        <v>0</v>
      </c>
      <c r="H4">
        <v>2</v>
      </c>
      <c r="I4">
        <v>0.5</v>
      </c>
      <c r="J4">
        <v>2</v>
      </c>
      <c r="K4">
        <v>1</v>
      </c>
      <c r="L4">
        <f>ROUNDUP((J4*I4)+K4,0)</f>
        <v>2</v>
      </c>
      <c r="M4">
        <v>0</v>
      </c>
      <c r="N4">
        <v>0</v>
      </c>
      <c r="O4">
        <v>5</v>
      </c>
      <c r="P4" s="1">
        <f>IFERROR(M4*G4,0)</f>
        <v>0</v>
      </c>
      <c r="Q4">
        <f>IF(O4-M4-N4&gt;0,O4-M4-N4,0)</f>
        <v>5</v>
      </c>
      <c r="R4" s="1">
        <f>IFERROR(Q4*G4,0)</f>
        <v>0</v>
      </c>
    </row>
    <row r="5" spans="1:18" x14ac:dyDescent="0.3">
      <c r="A5" t="s">
        <v>129</v>
      </c>
      <c r="B5" t="s">
        <v>130</v>
      </c>
      <c r="C5" t="s">
        <v>6</v>
      </c>
      <c r="D5">
        <v>1</v>
      </c>
      <c r="E5">
        <v>2</v>
      </c>
      <c r="F5" t="s">
        <v>131</v>
      </c>
      <c r="G5" s="1">
        <v>0</v>
      </c>
      <c r="H5">
        <v>0</v>
      </c>
      <c r="I5">
        <v>0.5</v>
      </c>
      <c r="J5">
        <v>2</v>
      </c>
      <c r="K5">
        <v>1</v>
      </c>
      <c r="L5">
        <f>ROUNDUP((J5*I5)+K5,0)</f>
        <v>2</v>
      </c>
      <c r="M5">
        <v>0</v>
      </c>
      <c r="N5">
        <v>0</v>
      </c>
      <c r="O5">
        <v>5</v>
      </c>
      <c r="P5" s="1">
        <f>IFERROR(M5*G5,0)</f>
        <v>0</v>
      </c>
      <c r="Q5">
        <f>IF(O5-M5-N5&gt;0,O5-M5-N5,0)</f>
        <v>5</v>
      </c>
      <c r="R5" s="1">
        <f>IFERROR(Q5*G5,0)</f>
        <v>0</v>
      </c>
    </row>
    <row r="6" spans="1:18" x14ac:dyDescent="0.3">
      <c r="A6" t="s">
        <v>132</v>
      </c>
      <c r="B6" t="s">
        <v>133</v>
      </c>
      <c r="C6" t="s">
        <v>6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0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134</v>
      </c>
      <c r="B2" t="s">
        <v>135</v>
      </c>
      <c r="C2" t="s">
        <v>7</v>
      </c>
      <c r="D2">
        <v>1</v>
      </c>
      <c r="E2">
        <v>0</v>
      </c>
      <c r="G2" s="1">
        <v>797</v>
      </c>
      <c r="H2">
        <v>0</v>
      </c>
      <c r="I2">
        <v>0.5</v>
      </c>
      <c r="J2">
        <v>1</v>
      </c>
      <c r="K2">
        <v>1</v>
      </c>
      <c r="L2">
        <f t="shared" ref="L2:L35" si="0">ROUNDUP((J2*I2)+K2,0)</f>
        <v>2</v>
      </c>
      <c r="M2">
        <v>0</v>
      </c>
      <c r="N2">
        <v>0</v>
      </c>
      <c r="O2">
        <v>2</v>
      </c>
      <c r="P2" s="1">
        <f t="shared" ref="P2:P35" si="1">IFERROR(M2*G2,0)</f>
        <v>0</v>
      </c>
      <c r="Q2">
        <f t="shared" ref="Q2:Q35" si="2">IF(O2-M2-N2&gt;0,O2-M2-N2,0)</f>
        <v>2</v>
      </c>
      <c r="R2" s="1">
        <f t="shared" ref="R2:R35" si="3">IFERROR(Q2*G2,0)</f>
        <v>1594</v>
      </c>
    </row>
    <row r="3" spans="1:18" x14ac:dyDescent="0.3">
      <c r="A3" t="s">
        <v>136</v>
      </c>
      <c r="B3" t="s">
        <v>137</v>
      </c>
      <c r="C3" t="s">
        <v>7</v>
      </c>
      <c r="D3">
        <v>1</v>
      </c>
      <c r="E3">
        <v>0</v>
      </c>
      <c r="G3" s="1">
        <v>997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1994</v>
      </c>
    </row>
    <row r="4" spans="1:18" x14ac:dyDescent="0.3">
      <c r="A4" t="s">
        <v>138</v>
      </c>
      <c r="B4" t="s">
        <v>139</v>
      </c>
      <c r="C4" t="s">
        <v>7</v>
      </c>
      <c r="D4">
        <v>2</v>
      </c>
      <c r="E4">
        <v>16</v>
      </c>
      <c r="F4" t="s">
        <v>140</v>
      </c>
      <c r="G4" s="1">
        <v>133</v>
      </c>
      <c r="H4">
        <v>0</v>
      </c>
      <c r="I4">
        <v>0.5</v>
      </c>
      <c r="J4">
        <v>8</v>
      </c>
      <c r="K4">
        <v>4</v>
      </c>
      <c r="L4">
        <f t="shared" si="0"/>
        <v>8</v>
      </c>
      <c r="M4">
        <v>0</v>
      </c>
      <c r="N4">
        <v>0</v>
      </c>
      <c r="O4">
        <v>20</v>
      </c>
      <c r="P4" s="1">
        <f t="shared" si="1"/>
        <v>0</v>
      </c>
      <c r="Q4">
        <f t="shared" si="2"/>
        <v>20</v>
      </c>
      <c r="R4" s="1">
        <f t="shared" si="3"/>
        <v>2660</v>
      </c>
    </row>
    <row r="5" spans="1:18" x14ac:dyDescent="0.3">
      <c r="A5" t="s">
        <v>141</v>
      </c>
      <c r="B5" t="s">
        <v>142</v>
      </c>
      <c r="C5" t="s">
        <v>7</v>
      </c>
      <c r="D5">
        <v>2</v>
      </c>
      <c r="E5">
        <v>17</v>
      </c>
      <c r="F5" t="s">
        <v>140</v>
      </c>
      <c r="G5" s="1">
        <v>213</v>
      </c>
      <c r="H5">
        <v>0</v>
      </c>
      <c r="I5">
        <v>0.5</v>
      </c>
      <c r="J5">
        <v>8.5</v>
      </c>
      <c r="K5">
        <v>4</v>
      </c>
      <c r="L5">
        <f t="shared" si="0"/>
        <v>9</v>
      </c>
      <c r="M5">
        <v>0</v>
      </c>
      <c r="N5">
        <v>0</v>
      </c>
      <c r="O5">
        <v>21</v>
      </c>
      <c r="P5" s="1">
        <f t="shared" si="1"/>
        <v>0</v>
      </c>
      <c r="Q5">
        <f t="shared" si="2"/>
        <v>21</v>
      </c>
      <c r="R5" s="1">
        <f t="shared" si="3"/>
        <v>4473</v>
      </c>
    </row>
    <row r="6" spans="1:18" x14ac:dyDescent="0.3">
      <c r="A6" t="s">
        <v>143</v>
      </c>
      <c r="B6" t="s">
        <v>144</v>
      </c>
      <c r="C6" t="s">
        <v>7</v>
      </c>
      <c r="D6">
        <v>1</v>
      </c>
      <c r="E6">
        <v>6</v>
      </c>
      <c r="F6" t="s">
        <v>140</v>
      </c>
      <c r="G6" s="1">
        <v>207.08</v>
      </c>
      <c r="H6">
        <v>0</v>
      </c>
      <c r="I6">
        <v>0.5</v>
      </c>
      <c r="J6">
        <v>6</v>
      </c>
      <c r="K6">
        <v>3</v>
      </c>
      <c r="L6">
        <f t="shared" si="0"/>
        <v>6</v>
      </c>
      <c r="M6">
        <v>0</v>
      </c>
      <c r="N6">
        <v>0</v>
      </c>
      <c r="O6">
        <v>15</v>
      </c>
      <c r="P6" s="1">
        <f t="shared" si="1"/>
        <v>0</v>
      </c>
      <c r="Q6">
        <f t="shared" si="2"/>
        <v>15</v>
      </c>
      <c r="R6" s="1">
        <f t="shared" si="3"/>
        <v>3106.2000000000003</v>
      </c>
    </row>
    <row r="7" spans="1:18" x14ac:dyDescent="0.3">
      <c r="A7" t="s">
        <v>145</v>
      </c>
      <c r="B7" t="s">
        <v>146</v>
      </c>
      <c r="C7" t="s">
        <v>7</v>
      </c>
      <c r="D7">
        <v>1</v>
      </c>
      <c r="E7">
        <v>6</v>
      </c>
      <c r="F7" t="s">
        <v>140</v>
      </c>
      <c r="G7" s="1">
        <v>385.17</v>
      </c>
      <c r="H7">
        <v>0</v>
      </c>
      <c r="I7">
        <v>0.5</v>
      </c>
      <c r="J7">
        <v>6</v>
      </c>
      <c r="K7">
        <v>3</v>
      </c>
      <c r="L7">
        <f t="shared" si="0"/>
        <v>6</v>
      </c>
      <c r="M7">
        <v>0</v>
      </c>
      <c r="N7">
        <v>0</v>
      </c>
      <c r="O7">
        <v>15</v>
      </c>
      <c r="P7" s="1">
        <f t="shared" si="1"/>
        <v>0</v>
      </c>
      <c r="Q7">
        <f t="shared" si="2"/>
        <v>15</v>
      </c>
      <c r="R7" s="1">
        <f t="shared" si="3"/>
        <v>5777.55</v>
      </c>
    </row>
    <row r="8" spans="1:18" x14ac:dyDescent="0.3">
      <c r="A8" t="s">
        <v>147</v>
      </c>
      <c r="B8" t="s">
        <v>148</v>
      </c>
      <c r="C8" t="s">
        <v>7</v>
      </c>
      <c r="D8">
        <v>1</v>
      </c>
      <c r="E8">
        <v>1</v>
      </c>
      <c r="F8" t="s">
        <v>140</v>
      </c>
      <c r="G8" s="1">
        <v>389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778</v>
      </c>
    </row>
    <row r="9" spans="1:18" x14ac:dyDescent="0.3">
      <c r="A9" t="s">
        <v>149</v>
      </c>
      <c r="B9" t="s">
        <v>150</v>
      </c>
      <c r="C9" t="s">
        <v>7</v>
      </c>
      <c r="D9">
        <v>1</v>
      </c>
      <c r="E9">
        <v>10</v>
      </c>
      <c r="F9" t="s">
        <v>140</v>
      </c>
      <c r="G9" s="1">
        <v>232</v>
      </c>
      <c r="H9">
        <v>0</v>
      </c>
      <c r="I9">
        <v>0.5</v>
      </c>
      <c r="J9">
        <v>10</v>
      </c>
      <c r="K9">
        <v>5</v>
      </c>
      <c r="L9">
        <f t="shared" si="0"/>
        <v>10</v>
      </c>
      <c r="M9">
        <v>0</v>
      </c>
      <c r="N9">
        <v>0</v>
      </c>
      <c r="O9">
        <v>25</v>
      </c>
      <c r="P9" s="1">
        <f t="shared" si="1"/>
        <v>0</v>
      </c>
      <c r="Q9">
        <f t="shared" si="2"/>
        <v>25</v>
      </c>
      <c r="R9" s="1">
        <f t="shared" si="3"/>
        <v>5800</v>
      </c>
    </row>
    <row r="10" spans="1:18" x14ac:dyDescent="0.3">
      <c r="A10" t="s">
        <v>151</v>
      </c>
      <c r="B10" t="s">
        <v>152</v>
      </c>
      <c r="C10" t="s">
        <v>7</v>
      </c>
      <c r="D10">
        <v>1</v>
      </c>
      <c r="E10">
        <v>7</v>
      </c>
      <c r="F10" t="s">
        <v>140</v>
      </c>
      <c r="G10" s="1">
        <v>418.71</v>
      </c>
      <c r="H10">
        <v>0</v>
      </c>
      <c r="I10">
        <v>0.5</v>
      </c>
      <c r="J10">
        <v>7</v>
      </c>
      <c r="K10">
        <v>4</v>
      </c>
      <c r="L10">
        <f t="shared" si="0"/>
        <v>8</v>
      </c>
      <c r="M10">
        <v>0</v>
      </c>
      <c r="N10">
        <v>0</v>
      </c>
      <c r="O10">
        <v>18</v>
      </c>
      <c r="P10" s="1">
        <f t="shared" si="1"/>
        <v>0</v>
      </c>
      <c r="Q10">
        <f t="shared" si="2"/>
        <v>18</v>
      </c>
      <c r="R10" s="1">
        <f t="shared" si="3"/>
        <v>7536.78</v>
      </c>
    </row>
    <row r="11" spans="1:18" x14ac:dyDescent="0.3">
      <c r="A11" t="s">
        <v>153</v>
      </c>
      <c r="B11" t="s">
        <v>154</v>
      </c>
      <c r="C11" t="s">
        <v>7</v>
      </c>
      <c r="D11">
        <v>1</v>
      </c>
      <c r="E11">
        <v>0</v>
      </c>
      <c r="G11" s="1">
        <v>559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1118</v>
      </c>
    </row>
    <row r="12" spans="1:18" x14ac:dyDescent="0.3">
      <c r="A12" t="s">
        <v>155</v>
      </c>
      <c r="B12" t="s">
        <v>156</v>
      </c>
      <c r="C12" t="s">
        <v>7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157</v>
      </c>
      <c r="B13" t="s">
        <v>158</v>
      </c>
      <c r="C13" t="s">
        <v>7</v>
      </c>
      <c r="D13">
        <v>2</v>
      </c>
      <c r="E13">
        <v>12</v>
      </c>
      <c r="F13" t="s">
        <v>140</v>
      </c>
      <c r="G13" s="1">
        <v>437.67</v>
      </c>
      <c r="H13">
        <v>0</v>
      </c>
      <c r="I13">
        <v>0.5</v>
      </c>
      <c r="J13">
        <v>6</v>
      </c>
      <c r="K13">
        <v>3</v>
      </c>
      <c r="L13">
        <f t="shared" si="0"/>
        <v>6</v>
      </c>
      <c r="M13">
        <v>0</v>
      </c>
      <c r="N13">
        <v>0</v>
      </c>
      <c r="O13">
        <v>15</v>
      </c>
      <c r="P13" s="1">
        <f t="shared" si="1"/>
        <v>0</v>
      </c>
      <c r="Q13">
        <f t="shared" si="2"/>
        <v>15</v>
      </c>
      <c r="R13" s="1">
        <f t="shared" si="3"/>
        <v>6565.05</v>
      </c>
    </row>
    <row r="14" spans="1:18" x14ac:dyDescent="0.3">
      <c r="A14" t="s">
        <v>159</v>
      </c>
      <c r="B14" t="s">
        <v>160</v>
      </c>
      <c r="C14" t="s">
        <v>7</v>
      </c>
      <c r="D14">
        <v>1</v>
      </c>
      <c r="E14">
        <v>0</v>
      </c>
      <c r="G14" s="1">
        <v>628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1256</v>
      </c>
    </row>
    <row r="15" spans="1:18" x14ac:dyDescent="0.3">
      <c r="A15" t="s">
        <v>161</v>
      </c>
      <c r="B15" t="s">
        <v>162</v>
      </c>
      <c r="C15" t="s">
        <v>7</v>
      </c>
      <c r="D15">
        <v>1</v>
      </c>
      <c r="E15">
        <v>7</v>
      </c>
      <c r="F15" t="s">
        <v>140</v>
      </c>
      <c r="G15" s="1">
        <v>530</v>
      </c>
      <c r="H15">
        <v>0</v>
      </c>
      <c r="I15">
        <v>0.5</v>
      </c>
      <c r="J15">
        <v>7</v>
      </c>
      <c r="K15">
        <v>4</v>
      </c>
      <c r="L15">
        <f t="shared" si="0"/>
        <v>8</v>
      </c>
      <c r="M15">
        <v>0</v>
      </c>
      <c r="N15">
        <v>0</v>
      </c>
      <c r="O15">
        <v>18</v>
      </c>
      <c r="P15" s="1">
        <f t="shared" si="1"/>
        <v>0</v>
      </c>
      <c r="Q15">
        <f t="shared" si="2"/>
        <v>18</v>
      </c>
      <c r="R15" s="1">
        <f t="shared" si="3"/>
        <v>9540</v>
      </c>
    </row>
    <row r="16" spans="1:18" x14ac:dyDescent="0.3">
      <c r="A16" t="s">
        <v>163</v>
      </c>
      <c r="B16" t="s">
        <v>164</v>
      </c>
      <c r="C16" t="s">
        <v>7</v>
      </c>
      <c r="D16">
        <v>1</v>
      </c>
      <c r="E16">
        <v>0</v>
      </c>
      <c r="G16" s="1">
        <v>703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1406</v>
      </c>
    </row>
    <row r="17" spans="1:18" x14ac:dyDescent="0.3">
      <c r="A17" t="s">
        <v>165</v>
      </c>
      <c r="B17" t="s">
        <v>166</v>
      </c>
      <c r="C17" t="s">
        <v>7</v>
      </c>
      <c r="D17">
        <v>1</v>
      </c>
      <c r="E17">
        <v>6</v>
      </c>
      <c r="F17" t="s">
        <v>140</v>
      </c>
      <c r="G17" s="1">
        <v>331</v>
      </c>
      <c r="H17">
        <v>0</v>
      </c>
      <c r="I17">
        <v>0.5</v>
      </c>
      <c r="J17">
        <v>6</v>
      </c>
      <c r="K17">
        <v>3</v>
      </c>
      <c r="L17">
        <f t="shared" si="0"/>
        <v>6</v>
      </c>
      <c r="M17">
        <v>0</v>
      </c>
      <c r="N17">
        <v>0</v>
      </c>
      <c r="O17">
        <v>15</v>
      </c>
      <c r="P17" s="1">
        <f t="shared" si="1"/>
        <v>0</v>
      </c>
      <c r="Q17">
        <f t="shared" si="2"/>
        <v>15</v>
      </c>
      <c r="R17" s="1">
        <f t="shared" si="3"/>
        <v>4965</v>
      </c>
    </row>
    <row r="18" spans="1:18" x14ac:dyDescent="0.3">
      <c r="A18" t="s">
        <v>167</v>
      </c>
      <c r="B18" t="s">
        <v>168</v>
      </c>
      <c r="C18" t="s">
        <v>7</v>
      </c>
      <c r="D18">
        <v>1</v>
      </c>
      <c r="E18">
        <v>7</v>
      </c>
      <c r="F18" t="s">
        <v>140</v>
      </c>
      <c r="G18" s="1">
        <v>597</v>
      </c>
      <c r="H18">
        <v>0</v>
      </c>
      <c r="I18">
        <v>0.5</v>
      </c>
      <c r="J18">
        <v>7</v>
      </c>
      <c r="K18">
        <v>4</v>
      </c>
      <c r="L18">
        <f t="shared" si="0"/>
        <v>8</v>
      </c>
      <c r="M18">
        <v>0</v>
      </c>
      <c r="N18">
        <v>0</v>
      </c>
      <c r="O18">
        <v>18</v>
      </c>
      <c r="P18" s="1">
        <f t="shared" si="1"/>
        <v>0</v>
      </c>
      <c r="Q18">
        <f t="shared" si="2"/>
        <v>18</v>
      </c>
      <c r="R18" s="1">
        <f t="shared" si="3"/>
        <v>10746</v>
      </c>
    </row>
    <row r="19" spans="1:18" x14ac:dyDescent="0.3">
      <c r="A19" t="s">
        <v>169</v>
      </c>
      <c r="B19" t="s">
        <v>168</v>
      </c>
      <c r="C19" t="s">
        <v>7</v>
      </c>
      <c r="D19">
        <v>1</v>
      </c>
      <c r="E19">
        <v>10</v>
      </c>
      <c r="F19" t="s">
        <v>87</v>
      </c>
      <c r="G19" s="1">
        <v>400</v>
      </c>
      <c r="H19">
        <v>0</v>
      </c>
      <c r="I19">
        <v>0.5</v>
      </c>
      <c r="J19">
        <v>10</v>
      </c>
      <c r="K19">
        <v>5</v>
      </c>
      <c r="L19">
        <f t="shared" si="0"/>
        <v>10</v>
      </c>
      <c r="M19">
        <v>0</v>
      </c>
      <c r="N19">
        <v>0</v>
      </c>
      <c r="O19">
        <v>25</v>
      </c>
      <c r="P19" s="1">
        <f t="shared" si="1"/>
        <v>0</v>
      </c>
      <c r="Q19">
        <f t="shared" si="2"/>
        <v>25</v>
      </c>
      <c r="R19" s="1">
        <f t="shared" si="3"/>
        <v>10000</v>
      </c>
    </row>
    <row r="20" spans="1:18" x14ac:dyDescent="0.3">
      <c r="A20" t="s">
        <v>170</v>
      </c>
      <c r="B20" t="s">
        <v>171</v>
      </c>
      <c r="C20" t="s">
        <v>7</v>
      </c>
      <c r="D20">
        <v>1</v>
      </c>
      <c r="E20">
        <v>6</v>
      </c>
      <c r="F20" t="s">
        <v>140</v>
      </c>
      <c r="G20" s="1">
        <v>767.67</v>
      </c>
      <c r="H20">
        <v>0</v>
      </c>
      <c r="I20">
        <v>0.5</v>
      </c>
      <c r="J20">
        <v>6</v>
      </c>
      <c r="K20">
        <v>3</v>
      </c>
      <c r="L20">
        <f t="shared" si="0"/>
        <v>6</v>
      </c>
      <c r="M20">
        <v>0</v>
      </c>
      <c r="N20">
        <v>0</v>
      </c>
      <c r="O20">
        <v>15</v>
      </c>
      <c r="P20" s="1">
        <f t="shared" si="1"/>
        <v>0</v>
      </c>
      <c r="Q20">
        <f t="shared" si="2"/>
        <v>15</v>
      </c>
      <c r="R20" s="1">
        <f t="shared" si="3"/>
        <v>11515.05</v>
      </c>
    </row>
    <row r="21" spans="1:18" x14ac:dyDescent="0.3">
      <c r="A21" t="s">
        <v>172</v>
      </c>
      <c r="B21" t="s">
        <v>173</v>
      </c>
      <c r="C21" t="s">
        <v>7</v>
      </c>
      <c r="D21">
        <v>1</v>
      </c>
      <c r="E21">
        <v>5</v>
      </c>
      <c r="F21" t="s">
        <v>140</v>
      </c>
      <c r="G21" s="1">
        <v>897</v>
      </c>
      <c r="H21">
        <v>0</v>
      </c>
      <c r="I21">
        <v>0.5</v>
      </c>
      <c r="J21">
        <v>5</v>
      </c>
      <c r="K21">
        <v>2</v>
      </c>
      <c r="L21">
        <f t="shared" si="0"/>
        <v>5</v>
      </c>
      <c r="M21">
        <v>0</v>
      </c>
      <c r="N21">
        <v>0</v>
      </c>
      <c r="O21">
        <v>12</v>
      </c>
      <c r="P21" s="1">
        <f t="shared" si="1"/>
        <v>0</v>
      </c>
      <c r="Q21">
        <f t="shared" si="2"/>
        <v>12</v>
      </c>
      <c r="R21" s="1">
        <f t="shared" si="3"/>
        <v>10764</v>
      </c>
    </row>
    <row r="22" spans="1:18" x14ac:dyDescent="0.3">
      <c r="A22" t="s">
        <v>174</v>
      </c>
      <c r="B22" t="s">
        <v>175</v>
      </c>
      <c r="C22" t="s">
        <v>7</v>
      </c>
      <c r="D22">
        <v>1</v>
      </c>
      <c r="E22">
        <v>1</v>
      </c>
      <c r="F22" t="s">
        <v>131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176</v>
      </c>
      <c r="B23" t="s">
        <v>177</v>
      </c>
      <c r="C23" t="s">
        <v>7</v>
      </c>
      <c r="D23">
        <v>1</v>
      </c>
      <c r="E23">
        <v>6</v>
      </c>
      <c r="F23" t="s">
        <v>178</v>
      </c>
      <c r="G23" s="1">
        <v>594.72</v>
      </c>
      <c r="H23">
        <v>0</v>
      </c>
      <c r="I23">
        <v>0.5</v>
      </c>
      <c r="J23">
        <v>6</v>
      </c>
      <c r="K23">
        <v>3</v>
      </c>
      <c r="L23">
        <f t="shared" si="0"/>
        <v>6</v>
      </c>
      <c r="M23">
        <v>0</v>
      </c>
      <c r="N23">
        <v>0</v>
      </c>
      <c r="O23">
        <v>15</v>
      </c>
      <c r="P23" s="1">
        <f t="shared" si="1"/>
        <v>0</v>
      </c>
      <c r="Q23">
        <f t="shared" si="2"/>
        <v>15</v>
      </c>
      <c r="R23" s="1">
        <f t="shared" si="3"/>
        <v>8920.8000000000011</v>
      </c>
    </row>
    <row r="24" spans="1:18" x14ac:dyDescent="0.3">
      <c r="A24" t="s">
        <v>179</v>
      </c>
      <c r="B24" t="s">
        <v>180</v>
      </c>
      <c r="C24" t="s">
        <v>7</v>
      </c>
      <c r="D24">
        <v>2</v>
      </c>
      <c r="E24">
        <v>6</v>
      </c>
      <c r="F24" t="s">
        <v>181</v>
      </c>
      <c r="G24" s="1">
        <v>1195</v>
      </c>
      <c r="H24">
        <v>0</v>
      </c>
      <c r="I24">
        <v>0.5</v>
      </c>
      <c r="J24">
        <v>3</v>
      </c>
      <c r="K24">
        <v>2</v>
      </c>
      <c r="L24">
        <f t="shared" si="0"/>
        <v>4</v>
      </c>
      <c r="M24">
        <v>0</v>
      </c>
      <c r="N24">
        <v>0</v>
      </c>
      <c r="O24">
        <v>8</v>
      </c>
      <c r="P24" s="1">
        <f t="shared" si="1"/>
        <v>0</v>
      </c>
      <c r="Q24">
        <f t="shared" si="2"/>
        <v>8</v>
      </c>
      <c r="R24" s="1">
        <f t="shared" si="3"/>
        <v>9560</v>
      </c>
    </row>
    <row r="25" spans="1:18" x14ac:dyDescent="0.3">
      <c r="A25" t="s">
        <v>182</v>
      </c>
      <c r="B25" t="s">
        <v>183</v>
      </c>
      <c r="C25" t="s">
        <v>7</v>
      </c>
      <c r="D25">
        <v>1</v>
      </c>
      <c r="E25">
        <v>4</v>
      </c>
      <c r="F25" t="s">
        <v>178</v>
      </c>
      <c r="G25" s="1">
        <v>849.6</v>
      </c>
      <c r="H25">
        <v>0</v>
      </c>
      <c r="I25">
        <v>0.5</v>
      </c>
      <c r="J25">
        <v>4</v>
      </c>
      <c r="K25">
        <v>2</v>
      </c>
      <c r="L25">
        <f t="shared" si="0"/>
        <v>4</v>
      </c>
      <c r="M25">
        <v>0</v>
      </c>
      <c r="N25">
        <v>0</v>
      </c>
      <c r="O25">
        <v>10</v>
      </c>
      <c r="P25" s="1">
        <f t="shared" si="1"/>
        <v>0</v>
      </c>
      <c r="Q25">
        <f t="shared" si="2"/>
        <v>10</v>
      </c>
      <c r="R25" s="1">
        <f t="shared" si="3"/>
        <v>8496</v>
      </c>
    </row>
    <row r="26" spans="1:18" x14ac:dyDescent="0.3">
      <c r="A26" t="s">
        <v>184</v>
      </c>
      <c r="B26" t="s">
        <v>185</v>
      </c>
      <c r="C26" t="s">
        <v>7</v>
      </c>
      <c r="D26">
        <v>2</v>
      </c>
      <c r="E26">
        <v>6</v>
      </c>
      <c r="F26" t="s">
        <v>181</v>
      </c>
      <c r="G26" s="1">
        <v>1438</v>
      </c>
      <c r="H26">
        <v>0</v>
      </c>
      <c r="I26">
        <v>0.5</v>
      </c>
      <c r="J26">
        <v>3</v>
      </c>
      <c r="K26">
        <v>2</v>
      </c>
      <c r="L26">
        <f t="shared" si="0"/>
        <v>4</v>
      </c>
      <c r="M26">
        <v>0</v>
      </c>
      <c r="N26">
        <v>0</v>
      </c>
      <c r="O26">
        <v>8</v>
      </c>
      <c r="P26" s="1">
        <f t="shared" si="1"/>
        <v>0</v>
      </c>
      <c r="Q26">
        <f t="shared" si="2"/>
        <v>8</v>
      </c>
      <c r="R26" s="1">
        <f t="shared" si="3"/>
        <v>11504</v>
      </c>
    </row>
    <row r="27" spans="1:18" x14ac:dyDescent="0.3">
      <c r="A27" t="s">
        <v>186</v>
      </c>
      <c r="B27" t="s">
        <v>187</v>
      </c>
      <c r="C27" t="s">
        <v>7</v>
      </c>
      <c r="D27">
        <v>1</v>
      </c>
      <c r="E27">
        <v>6</v>
      </c>
      <c r="F27" t="s">
        <v>178</v>
      </c>
      <c r="G27" s="1">
        <v>1019.75</v>
      </c>
      <c r="H27">
        <v>0</v>
      </c>
      <c r="I27">
        <v>0.5</v>
      </c>
      <c r="J27">
        <v>6</v>
      </c>
      <c r="K27">
        <v>3</v>
      </c>
      <c r="L27">
        <f t="shared" si="0"/>
        <v>6</v>
      </c>
      <c r="M27">
        <v>0</v>
      </c>
      <c r="N27">
        <v>0</v>
      </c>
      <c r="O27">
        <v>15</v>
      </c>
      <c r="P27" s="1">
        <f t="shared" si="1"/>
        <v>0</v>
      </c>
      <c r="Q27">
        <f t="shared" si="2"/>
        <v>15</v>
      </c>
      <c r="R27" s="1">
        <f t="shared" si="3"/>
        <v>15296.25</v>
      </c>
    </row>
    <row r="28" spans="1:18" x14ac:dyDescent="0.3">
      <c r="A28" t="s">
        <v>188</v>
      </c>
      <c r="B28" t="s">
        <v>189</v>
      </c>
      <c r="C28" t="s">
        <v>7</v>
      </c>
      <c r="D28">
        <v>1</v>
      </c>
      <c r="E28">
        <v>2</v>
      </c>
      <c r="F28" t="s">
        <v>178</v>
      </c>
      <c r="G28" s="1">
        <v>1180.8399999999999</v>
      </c>
      <c r="H28">
        <v>0</v>
      </c>
      <c r="I28">
        <v>0.5</v>
      </c>
      <c r="J28">
        <v>2</v>
      </c>
      <c r="K28">
        <v>1</v>
      </c>
      <c r="L28">
        <f t="shared" si="0"/>
        <v>2</v>
      </c>
      <c r="M28">
        <v>0</v>
      </c>
      <c r="N28">
        <v>0</v>
      </c>
      <c r="O28">
        <v>5</v>
      </c>
      <c r="P28" s="1">
        <f t="shared" si="1"/>
        <v>0</v>
      </c>
      <c r="Q28">
        <f t="shared" si="2"/>
        <v>5</v>
      </c>
      <c r="R28" s="1">
        <f t="shared" si="3"/>
        <v>5904.2</v>
      </c>
    </row>
    <row r="29" spans="1:18" x14ac:dyDescent="0.3">
      <c r="A29" t="s">
        <v>190</v>
      </c>
      <c r="B29" t="s">
        <v>191</v>
      </c>
      <c r="C29" t="s">
        <v>7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192</v>
      </c>
      <c r="B30" t="s">
        <v>193</v>
      </c>
      <c r="C30" t="s">
        <v>7</v>
      </c>
      <c r="D30">
        <v>1</v>
      </c>
      <c r="E30">
        <v>4</v>
      </c>
      <c r="F30" t="s">
        <v>178</v>
      </c>
      <c r="G30" s="1">
        <v>1402.45</v>
      </c>
      <c r="H30">
        <v>0</v>
      </c>
      <c r="I30">
        <v>0.5</v>
      </c>
      <c r="J30">
        <v>4</v>
      </c>
      <c r="K30">
        <v>2</v>
      </c>
      <c r="L30">
        <f t="shared" si="0"/>
        <v>4</v>
      </c>
      <c r="M30">
        <v>0</v>
      </c>
      <c r="N30">
        <v>0</v>
      </c>
      <c r="O30">
        <v>10</v>
      </c>
      <c r="P30" s="1">
        <f t="shared" si="1"/>
        <v>0</v>
      </c>
      <c r="Q30">
        <f t="shared" si="2"/>
        <v>10</v>
      </c>
      <c r="R30" s="1">
        <f t="shared" si="3"/>
        <v>14024.5</v>
      </c>
    </row>
    <row r="31" spans="1:18" x14ac:dyDescent="0.3">
      <c r="A31" t="s">
        <v>194</v>
      </c>
      <c r="B31" t="s">
        <v>195</v>
      </c>
      <c r="C31" t="s">
        <v>7</v>
      </c>
      <c r="D31">
        <v>1</v>
      </c>
      <c r="E31">
        <v>4</v>
      </c>
      <c r="F31" t="s">
        <v>178</v>
      </c>
      <c r="G31" s="1">
        <v>1505.57</v>
      </c>
      <c r="H31">
        <v>0</v>
      </c>
      <c r="I31">
        <v>0.5</v>
      </c>
      <c r="J31">
        <v>4</v>
      </c>
      <c r="K31">
        <v>2</v>
      </c>
      <c r="L31">
        <f t="shared" si="0"/>
        <v>4</v>
      </c>
      <c r="M31">
        <v>0</v>
      </c>
      <c r="N31">
        <v>0</v>
      </c>
      <c r="O31">
        <v>10</v>
      </c>
      <c r="P31" s="1">
        <f t="shared" si="1"/>
        <v>0</v>
      </c>
      <c r="Q31">
        <f t="shared" si="2"/>
        <v>10</v>
      </c>
      <c r="R31" s="1">
        <f t="shared" si="3"/>
        <v>15055.699999999999</v>
      </c>
    </row>
    <row r="32" spans="1:18" x14ac:dyDescent="0.3">
      <c r="A32" t="s">
        <v>196</v>
      </c>
      <c r="B32" t="s">
        <v>197</v>
      </c>
      <c r="C32" t="s">
        <v>7</v>
      </c>
      <c r="D32">
        <v>1</v>
      </c>
      <c r="E32">
        <v>4</v>
      </c>
      <c r="F32" t="s">
        <v>178</v>
      </c>
      <c r="G32" s="1">
        <v>2044.2</v>
      </c>
      <c r="H32">
        <v>0</v>
      </c>
      <c r="I32">
        <v>0.5</v>
      </c>
      <c r="J32">
        <v>4</v>
      </c>
      <c r="K32">
        <v>2</v>
      </c>
      <c r="L32">
        <f t="shared" si="0"/>
        <v>4</v>
      </c>
      <c r="M32">
        <v>0</v>
      </c>
      <c r="N32">
        <v>0</v>
      </c>
      <c r="O32">
        <v>10</v>
      </c>
      <c r="P32" s="1">
        <f t="shared" si="1"/>
        <v>0</v>
      </c>
      <c r="Q32">
        <f t="shared" si="2"/>
        <v>10</v>
      </c>
      <c r="R32" s="1">
        <f t="shared" si="3"/>
        <v>20442</v>
      </c>
    </row>
    <row r="33" spans="1:18" x14ac:dyDescent="0.3">
      <c r="A33" t="s">
        <v>198</v>
      </c>
      <c r="B33" t="s">
        <v>199</v>
      </c>
      <c r="C33" t="s">
        <v>7</v>
      </c>
      <c r="D33">
        <v>1</v>
      </c>
      <c r="E33">
        <v>2</v>
      </c>
      <c r="F33" t="s">
        <v>131</v>
      </c>
      <c r="G33" s="1">
        <v>0</v>
      </c>
      <c r="H33">
        <v>0</v>
      </c>
      <c r="I33">
        <v>0.5</v>
      </c>
      <c r="J33">
        <v>2</v>
      </c>
      <c r="K33">
        <v>1</v>
      </c>
      <c r="L33">
        <f t="shared" si="0"/>
        <v>2</v>
      </c>
      <c r="M33">
        <v>0</v>
      </c>
      <c r="N33">
        <v>0</v>
      </c>
      <c r="O33">
        <v>5</v>
      </c>
      <c r="P33" s="1">
        <f t="shared" si="1"/>
        <v>0</v>
      </c>
      <c r="Q33">
        <f t="shared" si="2"/>
        <v>5</v>
      </c>
      <c r="R33" s="1">
        <f t="shared" si="3"/>
        <v>0</v>
      </c>
    </row>
    <row r="34" spans="1:18" x14ac:dyDescent="0.3">
      <c r="A34" t="s">
        <v>200</v>
      </c>
      <c r="B34" t="s">
        <v>201</v>
      </c>
      <c r="C34" t="s">
        <v>7</v>
      </c>
      <c r="D34">
        <v>1</v>
      </c>
      <c r="E34">
        <v>2</v>
      </c>
      <c r="F34" t="s">
        <v>131</v>
      </c>
      <c r="G34" s="1">
        <v>0</v>
      </c>
      <c r="H34">
        <v>0</v>
      </c>
      <c r="I34">
        <v>0.5</v>
      </c>
      <c r="J34">
        <v>2</v>
      </c>
      <c r="K34">
        <v>1</v>
      </c>
      <c r="L34">
        <f t="shared" si="0"/>
        <v>2</v>
      </c>
      <c r="M34">
        <v>0</v>
      </c>
      <c r="N34">
        <v>0</v>
      </c>
      <c r="O34">
        <v>5</v>
      </c>
      <c r="P34" s="1">
        <f t="shared" si="1"/>
        <v>0</v>
      </c>
      <c r="Q34">
        <f t="shared" si="2"/>
        <v>5</v>
      </c>
      <c r="R34" s="1">
        <f t="shared" si="3"/>
        <v>0</v>
      </c>
    </row>
    <row r="35" spans="1:18" x14ac:dyDescent="0.3">
      <c r="A35" t="s">
        <v>202</v>
      </c>
      <c r="B35" t="s">
        <v>203</v>
      </c>
      <c r="C35" t="s">
        <v>7</v>
      </c>
      <c r="D35">
        <v>1</v>
      </c>
      <c r="E35">
        <v>32</v>
      </c>
      <c r="F35" t="s">
        <v>131</v>
      </c>
      <c r="G35" s="1">
        <v>0</v>
      </c>
      <c r="H35">
        <v>0</v>
      </c>
      <c r="I35">
        <v>0.5</v>
      </c>
      <c r="J35">
        <v>32</v>
      </c>
      <c r="K35">
        <v>16</v>
      </c>
      <c r="L35">
        <f t="shared" si="0"/>
        <v>32</v>
      </c>
      <c r="M35">
        <v>0</v>
      </c>
      <c r="N35">
        <v>0</v>
      </c>
      <c r="O35">
        <v>80</v>
      </c>
      <c r="P35" s="1">
        <f t="shared" si="1"/>
        <v>0</v>
      </c>
      <c r="Q35">
        <f t="shared" si="2"/>
        <v>80</v>
      </c>
      <c r="R35" s="1">
        <f t="shared" si="3"/>
        <v>0</v>
      </c>
    </row>
    <row r="36" spans="1:18" x14ac:dyDescent="0.3">
      <c r="A3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2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204</v>
      </c>
      <c r="B2" t="s">
        <v>205</v>
      </c>
      <c r="C2" t="s">
        <v>8</v>
      </c>
      <c r="D2">
        <v>1</v>
      </c>
      <c r="E2">
        <v>2</v>
      </c>
      <c r="F2" t="s">
        <v>206</v>
      </c>
      <c r="G2" s="1">
        <v>20.56</v>
      </c>
      <c r="H2">
        <v>0</v>
      </c>
      <c r="I2">
        <v>0.5</v>
      </c>
      <c r="J2">
        <v>2</v>
      </c>
      <c r="K2">
        <v>1</v>
      </c>
      <c r="L2">
        <f t="shared" ref="L2:L24" si="0">ROUNDUP((J2*I2)+K2,0)</f>
        <v>2</v>
      </c>
      <c r="M2">
        <v>0</v>
      </c>
      <c r="N2">
        <v>0</v>
      </c>
      <c r="O2">
        <v>5</v>
      </c>
      <c r="P2" s="1">
        <f t="shared" ref="P2:P24" si="1">IFERROR(M2*G2,0)</f>
        <v>0</v>
      </c>
      <c r="Q2">
        <f t="shared" ref="Q2:Q24" si="2">IF(O2-M2-N2&gt;0,O2-M2-N2,0)</f>
        <v>5</v>
      </c>
      <c r="R2" s="1">
        <f t="shared" ref="R2:R24" si="3">IFERROR(Q2*G2,0)</f>
        <v>102.8</v>
      </c>
    </row>
    <row r="3" spans="1:18" x14ac:dyDescent="0.3">
      <c r="A3" t="s">
        <v>207</v>
      </c>
      <c r="B3" t="s">
        <v>208</v>
      </c>
      <c r="C3" t="s">
        <v>8</v>
      </c>
      <c r="D3">
        <v>1</v>
      </c>
      <c r="E3">
        <v>144</v>
      </c>
      <c r="F3" t="s">
        <v>209</v>
      </c>
      <c r="G3" s="1">
        <v>2.85</v>
      </c>
      <c r="H3">
        <v>0</v>
      </c>
      <c r="I3">
        <v>0.6</v>
      </c>
      <c r="J3">
        <v>144</v>
      </c>
      <c r="K3">
        <v>86</v>
      </c>
      <c r="L3">
        <f t="shared" si="0"/>
        <v>173</v>
      </c>
      <c r="M3">
        <v>0</v>
      </c>
      <c r="N3">
        <v>0</v>
      </c>
      <c r="O3">
        <v>374</v>
      </c>
      <c r="P3" s="1">
        <f t="shared" si="1"/>
        <v>0</v>
      </c>
      <c r="Q3">
        <f t="shared" si="2"/>
        <v>374</v>
      </c>
      <c r="R3" s="1">
        <f t="shared" si="3"/>
        <v>1065.9000000000001</v>
      </c>
    </row>
    <row r="4" spans="1:18" x14ac:dyDescent="0.3">
      <c r="A4" t="s">
        <v>210</v>
      </c>
      <c r="B4" t="s">
        <v>211</v>
      </c>
      <c r="C4" t="s">
        <v>8</v>
      </c>
      <c r="D4">
        <v>1</v>
      </c>
      <c r="E4">
        <v>2</v>
      </c>
      <c r="F4" t="s">
        <v>206</v>
      </c>
      <c r="G4" s="1">
        <v>456.01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2280.0500000000002</v>
      </c>
    </row>
    <row r="5" spans="1:18" x14ac:dyDescent="0.3">
      <c r="A5" t="s">
        <v>212</v>
      </c>
      <c r="B5" t="s">
        <v>213</v>
      </c>
      <c r="C5" t="s">
        <v>8</v>
      </c>
      <c r="D5">
        <v>1</v>
      </c>
      <c r="E5">
        <v>10</v>
      </c>
      <c r="F5" t="s">
        <v>214</v>
      </c>
      <c r="G5" s="1">
        <v>30.43</v>
      </c>
      <c r="H5">
        <v>0</v>
      </c>
      <c r="I5">
        <v>0.5</v>
      </c>
      <c r="J5">
        <v>10</v>
      </c>
      <c r="K5">
        <v>5</v>
      </c>
      <c r="L5">
        <f t="shared" si="0"/>
        <v>10</v>
      </c>
      <c r="M5">
        <v>0</v>
      </c>
      <c r="N5">
        <v>0</v>
      </c>
      <c r="O5">
        <v>25</v>
      </c>
      <c r="P5" s="1">
        <f t="shared" si="1"/>
        <v>0</v>
      </c>
      <c r="Q5">
        <f t="shared" si="2"/>
        <v>25</v>
      </c>
      <c r="R5" s="1">
        <f t="shared" si="3"/>
        <v>760.75</v>
      </c>
    </row>
    <row r="6" spans="1:18" x14ac:dyDescent="0.3">
      <c r="A6" t="s">
        <v>215</v>
      </c>
      <c r="B6" t="s">
        <v>215</v>
      </c>
      <c r="C6" t="s">
        <v>8</v>
      </c>
      <c r="D6">
        <v>1</v>
      </c>
      <c r="E6">
        <v>4</v>
      </c>
      <c r="F6" t="s">
        <v>214</v>
      </c>
      <c r="G6" s="1">
        <v>4.3499999999999996</v>
      </c>
      <c r="H6">
        <v>0</v>
      </c>
      <c r="I6">
        <v>0.5</v>
      </c>
      <c r="J6">
        <v>4</v>
      </c>
      <c r="K6">
        <v>2</v>
      </c>
      <c r="L6">
        <f t="shared" si="0"/>
        <v>4</v>
      </c>
      <c r="M6">
        <v>0</v>
      </c>
      <c r="N6">
        <v>0</v>
      </c>
      <c r="O6">
        <v>10</v>
      </c>
      <c r="P6" s="1">
        <f t="shared" si="1"/>
        <v>0</v>
      </c>
      <c r="Q6">
        <f t="shared" si="2"/>
        <v>10</v>
      </c>
      <c r="R6" s="1">
        <f t="shared" si="3"/>
        <v>43.5</v>
      </c>
    </row>
    <row r="7" spans="1:18" x14ac:dyDescent="0.3">
      <c r="A7" t="s">
        <v>216</v>
      </c>
      <c r="B7" t="s">
        <v>217</v>
      </c>
      <c r="C7" t="s">
        <v>8</v>
      </c>
      <c r="D7">
        <v>1</v>
      </c>
      <c r="E7">
        <v>2</v>
      </c>
      <c r="F7" t="s">
        <v>214</v>
      </c>
      <c r="G7" s="1">
        <v>86.96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434.79999999999995</v>
      </c>
    </row>
    <row r="8" spans="1:18" x14ac:dyDescent="0.3">
      <c r="A8" t="s">
        <v>218</v>
      </c>
      <c r="B8" t="s">
        <v>219</v>
      </c>
      <c r="C8" t="s">
        <v>8</v>
      </c>
      <c r="D8">
        <v>1</v>
      </c>
      <c r="E8">
        <v>0</v>
      </c>
      <c r="G8" s="1">
        <v>6.6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13.2</v>
      </c>
    </row>
    <row r="9" spans="1:18" x14ac:dyDescent="0.3">
      <c r="A9" t="s">
        <v>220</v>
      </c>
      <c r="B9" t="s">
        <v>221</v>
      </c>
      <c r="C9" t="s">
        <v>8</v>
      </c>
      <c r="D9">
        <v>1</v>
      </c>
      <c r="E9">
        <v>0</v>
      </c>
      <c r="G9" s="1">
        <v>10.4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20.8</v>
      </c>
    </row>
    <row r="10" spans="1:18" x14ac:dyDescent="0.3">
      <c r="A10" t="s">
        <v>222</v>
      </c>
      <c r="B10" t="s">
        <v>223</v>
      </c>
      <c r="C10" t="s">
        <v>8</v>
      </c>
      <c r="D10">
        <v>1</v>
      </c>
      <c r="E10">
        <v>0</v>
      </c>
      <c r="G10" s="1">
        <v>13.36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26.72</v>
      </c>
    </row>
    <row r="11" spans="1:18" x14ac:dyDescent="0.3">
      <c r="A11" t="s">
        <v>224</v>
      </c>
      <c r="B11" t="s">
        <v>225</v>
      </c>
      <c r="C11" t="s">
        <v>8</v>
      </c>
      <c r="D11">
        <v>1</v>
      </c>
      <c r="E11">
        <v>0</v>
      </c>
      <c r="G11" s="1">
        <v>21.44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42.88</v>
      </c>
    </row>
    <row r="12" spans="1:18" x14ac:dyDescent="0.3">
      <c r="A12" t="s">
        <v>226</v>
      </c>
      <c r="B12" t="s">
        <v>227</v>
      </c>
      <c r="C12" t="s">
        <v>8</v>
      </c>
      <c r="D12">
        <v>1</v>
      </c>
      <c r="E12">
        <v>0</v>
      </c>
      <c r="G12" s="1">
        <v>27.65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55.3</v>
      </c>
    </row>
    <row r="13" spans="1:18" x14ac:dyDescent="0.3">
      <c r="A13" t="s">
        <v>228</v>
      </c>
      <c r="B13" t="s">
        <v>229</v>
      </c>
      <c r="C13" t="s">
        <v>8</v>
      </c>
      <c r="D13">
        <v>1</v>
      </c>
      <c r="E13">
        <v>2</v>
      </c>
      <c r="F13" t="s">
        <v>209</v>
      </c>
      <c r="G13" s="1">
        <v>69</v>
      </c>
      <c r="H13">
        <v>0</v>
      </c>
      <c r="I13">
        <v>0.6</v>
      </c>
      <c r="J13">
        <v>2</v>
      </c>
      <c r="K13">
        <v>1</v>
      </c>
      <c r="L13">
        <f t="shared" si="0"/>
        <v>3</v>
      </c>
      <c r="M13">
        <v>0</v>
      </c>
      <c r="N13">
        <v>0</v>
      </c>
      <c r="O13">
        <v>5</v>
      </c>
      <c r="P13" s="1">
        <f t="shared" si="1"/>
        <v>0</v>
      </c>
      <c r="Q13">
        <f t="shared" si="2"/>
        <v>5</v>
      </c>
      <c r="R13" s="1">
        <f t="shared" si="3"/>
        <v>345</v>
      </c>
    </row>
    <row r="14" spans="1:18" x14ac:dyDescent="0.3">
      <c r="A14" t="s">
        <v>230</v>
      </c>
      <c r="B14" t="s">
        <v>231</v>
      </c>
      <c r="C14" t="s">
        <v>8</v>
      </c>
      <c r="D14">
        <v>1</v>
      </c>
      <c r="E14">
        <v>1</v>
      </c>
      <c r="F14" t="s">
        <v>214</v>
      </c>
      <c r="G14" s="1">
        <v>521.74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1043.48</v>
      </c>
    </row>
    <row r="15" spans="1:18" x14ac:dyDescent="0.3">
      <c r="A15" t="s">
        <v>232</v>
      </c>
      <c r="B15" t="s">
        <v>233</v>
      </c>
      <c r="C15" t="s">
        <v>8</v>
      </c>
      <c r="D15">
        <v>1</v>
      </c>
      <c r="E15">
        <v>1</v>
      </c>
      <c r="F15" t="s">
        <v>214</v>
      </c>
      <c r="G15" s="1">
        <v>1173.9100000000001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2347.8200000000002</v>
      </c>
    </row>
    <row r="16" spans="1:18" x14ac:dyDescent="0.3">
      <c r="A16" t="s">
        <v>234</v>
      </c>
      <c r="B16" t="s">
        <v>235</v>
      </c>
      <c r="C16" t="s">
        <v>8</v>
      </c>
      <c r="D16">
        <v>1</v>
      </c>
      <c r="E16">
        <v>1</v>
      </c>
      <c r="F16" t="s">
        <v>214</v>
      </c>
      <c r="G16" s="1">
        <v>1691.3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3382.6</v>
      </c>
    </row>
    <row r="17" spans="1:18" x14ac:dyDescent="0.3">
      <c r="A17" t="s">
        <v>236</v>
      </c>
      <c r="B17" t="s">
        <v>237</v>
      </c>
      <c r="C17" t="s">
        <v>8</v>
      </c>
      <c r="D17">
        <v>1</v>
      </c>
      <c r="E17">
        <v>1</v>
      </c>
      <c r="F17" t="s">
        <v>84</v>
      </c>
      <c r="G17" s="1">
        <v>1625</v>
      </c>
      <c r="H17">
        <v>1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3250</v>
      </c>
    </row>
    <row r="18" spans="1:18" x14ac:dyDescent="0.3">
      <c r="A18" t="s">
        <v>238</v>
      </c>
      <c r="B18" t="s">
        <v>239</v>
      </c>
      <c r="C18" t="s">
        <v>8</v>
      </c>
      <c r="D18">
        <v>1</v>
      </c>
      <c r="E18">
        <v>10</v>
      </c>
      <c r="F18" t="s">
        <v>214</v>
      </c>
      <c r="G18" s="1">
        <v>26.09</v>
      </c>
      <c r="H18">
        <v>0</v>
      </c>
      <c r="I18">
        <v>0.5</v>
      </c>
      <c r="J18">
        <v>10</v>
      </c>
      <c r="K18">
        <v>5</v>
      </c>
      <c r="L18">
        <f t="shared" si="0"/>
        <v>10</v>
      </c>
      <c r="M18">
        <v>0</v>
      </c>
      <c r="N18">
        <v>0</v>
      </c>
      <c r="O18">
        <v>25</v>
      </c>
      <c r="P18" s="1">
        <f t="shared" si="1"/>
        <v>0</v>
      </c>
      <c r="Q18">
        <f t="shared" si="2"/>
        <v>25</v>
      </c>
      <c r="R18" s="1">
        <f t="shared" si="3"/>
        <v>652.25</v>
      </c>
    </row>
    <row r="19" spans="1:18" x14ac:dyDescent="0.3">
      <c r="A19" t="s">
        <v>240</v>
      </c>
      <c r="B19" t="s">
        <v>241</v>
      </c>
      <c r="C19" t="s">
        <v>8</v>
      </c>
      <c r="D19">
        <v>1</v>
      </c>
      <c r="E19">
        <v>0</v>
      </c>
      <c r="F19" t="s">
        <v>242</v>
      </c>
      <c r="G19" s="1">
        <v>271.3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542.6</v>
      </c>
    </row>
    <row r="20" spans="1:18" x14ac:dyDescent="0.3">
      <c r="A20" t="s">
        <v>243</v>
      </c>
      <c r="B20" t="s">
        <v>244</v>
      </c>
      <c r="C20" t="s">
        <v>8</v>
      </c>
      <c r="D20">
        <v>1</v>
      </c>
      <c r="E20">
        <v>0</v>
      </c>
      <c r="F20" t="s">
        <v>242</v>
      </c>
      <c r="G20" s="1">
        <v>299.13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598.26</v>
      </c>
    </row>
    <row r="21" spans="1:18" x14ac:dyDescent="0.3">
      <c r="A21" t="s">
        <v>245</v>
      </c>
      <c r="B21" t="s">
        <v>246</v>
      </c>
      <c r="C21" t="s">
        <v>8</v>
      </c>
      <c r="D21">
        <v>1</v>
      </c>
      <c r="E21">
        <v>2</v>
      </c>
      <c r="F21" t="s">
        <v>247</v>
      </c>
      <c r="G21" s="1">
        <v>253</v>
      </c>
      <c r="H21">
        <v>0</v>
      </c>
      <c r="I21">
        <v>0.5</v>
      </c>
      <c r="J21">
        <v>2</v>
      </c>
      <c r="K21">
        <v>1</v>
      </c>
      <c r="L21">
        <f t="shared" si="0"/>
        <v>2</v>
      </c>
      <c r="M21">
        <v>0</v>
      </c>
      <c r="N21">
        <v>0</v>
      </c>
      <c r="O21">
        <v>5</v>
      </c>
      <c r="P21" s="1">
        <f t="shared" si="1"/>
        <v>0</v>
      </c>
      <c r="Q21">
        <f t="shared" si="2"/>
        <v>5</v>
      </c>
      <c r="R21" s="1">
        <f t="shared" si="3"/>
        <v>1265</v>
      </c>
    </row>
    <row r="22" spans="1:18" x14ac:dyDescent="0.3">
      <c r="A22" t="s">
        <v>248</v>
      </c>
      <c r="B22" t="s">
        <v>249</v>
      </c>
      <c r="C22" t="s">
        <v>8</v>
      </c>
      <c r="D22">
        <v>1</v>
      </c>
      <c r="E22">
        <v>0</v>
      </c>
      <c r="G22" s="1">
        <v>670.43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1340.86</v>
      </c>
    </row>
    <row r="23" spans="1:18" x14ac:dyDescent="0.3">
      <c r="A23" t="s">
        <v>250</v>
      </c>
      <c r="B23" t="s">
        <v>251</v>
      </c>
      <c r="C23" t="s">
        <v>8</v>
      </c>
      <c r="D23">
        <v>1</v>
      </c>
      <c r="E23">
        <v>0</v>
      </c>
      <c r="G23" s="1">
        <v>108.7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217.4</v>
      </c>
    </row>
    <row r="24" spans="1:18" x14ac:dyDescent="0.3">
      <c r="A24" t="s">
        <v>252</v>
      </c>
      <c r="B24" t="s">
        <v>253</v>
      </c>
      <c r="C24" t="s">
        <v>8</v>
      </c>
      <c r="D24">
        <v>1</v>
      </c>
      <c r="E24">
        <v>2</v>
      </c>
      <c r="F24" t="s">
        <v>247</v>
      </c>
      <c r="G24" s="1">
        <v>350</v>
      </c>
      <c r="H24">
        <v>0</v>
      </c>
      <c r="I24">
        <v>0.5</v>
      </c>
      <c r="J24">
        <v>2</v>
      </c>
      <c r="K24">
        <v>1</v>
      </c>
      <c r="L24">
        <f t="shared" si="0"/>
        <v>2</v>
      </c>
      <c r="M24">
        <v>0</v>
      </c>
      <c r="N24">
        <v>0</v>
      </c>
      <c r="O24">
        <v>5</v>
      </c>
      <c r="P24" s="1">
        <f t="shared" si="1"/>
        <v>0</v>
      </c>
      <c r="Q24">
        <f t="shared" si="2"/>
        <v>5</v>
      </c>
      <c r="R24" s="1">
        <f t="shared" si="3"/>
        <v>1750</v>
      </c>
    </row>
    <row r="25" spans="1:18" x14ac:dyDescent="0.3">
      <c r="A2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254</v>
      </c>
      <c r="B2" t="s">
        <v>255</v>
      </c>
      <c r="C2" t="s">
        <v>9</v>
      </c>
      <c r="D2">
        <v>1</v>
      </c>
      <c r="E2">
        <v>10</v>
      </c>
      <c r="F2" t="s">
        <v>256</v>
      </c>
      <c r="G2" s="1">
        <v>153</v>
      </c>
      <c r="H2">
        <v>0</v>
      </c>
      <c r="I2">
        <v>0.5</v>
      </c>
      <c r="J2">
        <v>10</v>
      </c>
      <c r="K2">
        <v>5</v>
      </c>
      <c r="L2">
        <f>ROUNDUP((J2*I2)+K2,0)</f>
        <v>10</v>
      </c>
      <c r="M2">
        <v>0</v>
      </c>
      <c r="N2">
        <v>0</v>
      </c>
      <c r="O2">
        <v>25</v>
      </c>
      <c r="P2" s="1">
        <f>IFERROR(M2*G2,0)</f>
        <v>0</v>
      </c>
      <c r="Q2">
        <f>IF(O2-M2-N2&gt;0,O2-M2-N2,0)</f>
        <v>25</v>
      </c>
      <c r="R2" s="1">
        <f>IFERROR(Q2*G2,0)</f>
        <v>3825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257</v>
      </c>
      <c r="B2" t="s">
        <v>258</v>
      </c>
      <c r="C2" t="s">
        <v>10</v>
      </c>
      <c r="D2">
        <v>1</v>
      </c>
      <c r="E2">
        <v>1</v>
      </c>
      <c r="F2" t="s">
        <v>259</v>
      </c>
      <c r="G2" s="1">
        <v>1700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3400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260</v>
      </c>
      <c r="B2" t="s">
        <v>261</v>
      </c>
      <c r="C2" t="s">
        <v>11</v>
      </c>
      <c r="D2">
        <v>2</v>
      </c>
      <c r="E2">
        <v>5</v>
      </c>
      <c r="F2" t="s">
        <v>77</v>
      </c>
      <c r="G2" s="1">
        <v>1500</v>
      </c>
      <c r="H2">
        <v>5</v>
      </c>
      <c r="I2">
        <v>0.5</v>
      </c>
      <c r="J2">
        <v>2.5</v>
      </c>
      <c r="K2">
        <v>1</v>
      </c>
      <c r="L2">
        <f>ROUNDUP((J2*I2)+K2,0)</f>
        <v>3</v>
      </c>
      <c r="M2">
        <v>0</v>
      </c>
      <c r="N2">
        <v>0</v>
      </c>
      <c r="O2">
        <v>6</v>
      </c>
      <c r="P2" s="1">
        <f>IFERROR(M2*G2,0)</f>
        <v>0</v>
      </c>
      <c r="Q2">
        <f>IF(O2-M2-N2&gt;0,O2-M2-N2,0)</f>
        <v>6</v>
      </c>
      <c r="R2" s="1">
        <f>IFERROR(Q2*G2,0)</f>
        <v>9000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1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262</v>
      </c>
      <c r="B2" t="s">
        <v>263</v>
      </c>
      <c r="C2" t="s">
        <v>12</v>
      </c>
      <c r="D2">
        <v>1</v>
      </c>
      <c r="E2">
        <v>2</v>
      </c>
      <c r="F2" t="s">
        <v>209</v>
      </c>
      <c r="G2" s="1">
        <v>1130.43</v>
      </c>
      <c r="H2">
        <v>0</v>
      </c>
      <c r="I2">
        <v>0.5</v>
      </c>
      <c r="J2">
        <v>2</v>
      </c>
      <c r="K2">
        <v>1</v>
      </c>
      <c r="L2">
        <f t="shared" ref="L2:L9" si="0">ROUNDUP((J2*I2)+K2,0)</f>
        <v>2</v>
      </c>
      <c r="M2">
        <v>0</v>
      </c>
      <c r="N2">
        <v>0</v>
      </c>
      <c r="O2">
        <v>5</v>
      </c>
      <c r="P2" s="1">
        <f t="shared" ref="P2:P9" si="1">IFERROR(M2*G2,0)</f>
        <v>0</v>
      </c>
      <c r="Q2">
        <f t="shared" ref="Q2:Q9" si="2">IF(O2-M2-N2&gt;0,O2-M2-N2,0)</f>
        <v>5</v>
      </c>
      <c r="R2" s="1">
        <f t="shared" ref="R2:R9" si="3">IFERROR(Q2*G2,0)</f>
        <v>5652.1500000000005</v>
      </c>
    </row>
    <row r="3" spans="1:18" x14ac:dyDescent="0.3">
      <c r="A3" t="s">
        <v>264</v>
      </c>
      <c r="B3" t="s">
        <v>265</v>
      </c>
      <c r="C3" t="s">
        <v>12</v>
      </c>
      <c r="D3">
        <v>1</v>
      </c>
      <c r="E3">
        <v>4</v>
      </c>
      <c r="F3" t="s">
        <v>140</v>
      </c>
      <c r="G3" s="1">
        <v>701.44</v>
      </c>
      <c r="H3">
        <v>0</v>
      </c>
      <c r="I3">
        <v>0.5</v>
      </c>
      <c r="J3">
        <v>4</v>
      </c>
      <c r="K3">
        <v>2</v>
      </c>
      <c r="L3">
        <f t="shared" si="0"/>
        <v>4</v>
      </c>
      <c r="M3">
        <v>0</v>
      </c>
      <c r="N3">
        <v>0</v>
      </c>
      <c r="O3">
        <v>10</v>
      </c>
      <c r="P3" s="1">
        <f t="shared" si="1"/>
        <v>0</v>
      </c>
      <c r="Q3">
        <f t="shared" si="2"/>
        <v>10</v>
      </c>
      <c r="R3" s="1">
        <f t="shared" si="3"/>
        <v>7014.4000000000005</v>
      </c>
    </row>
    <row r="4" spans="1:18" x14ac:dyDescent="0.3">
      <c r="A4" t="s">
        <v>266</v>
      </c>
      <c r="B4" t="s">
        <v>267</v>
      </c>
      <c r="C4" t="s">
        <v>12</v>
      </c>
      <c r="D4">
        <v>1</v>
      </c>
      <c r="E4">
        <v>1</v>
      </c>
      <c r="F4" t="s">
        <v>140</v>
      </c>
      <c r="G4" s="1">
        <v>1067.28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2134.56</v>
      </c>
    </row>
    <row r="5" spans="1:18" x14ac:dyDescent="0.3">
      <c r="A5" t="s">
        <v>268</v>
      </c>
      <c r="B5" t="s">
        <v>269</v>
      </c>
      <c r="C5" t="s">
        <v>12</v>
      </c>
      <c r="D5">
        <v>1</v>
      </c>
      <c r="E5">
        <v>1</v>
      </c>
      <c r="F5" t="s">
        <v>140</v>
      </c>
      <c r="G5" s="1">
        <v>1052.26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2104.52</v>
      </c>
    </row>
    <row r="6" spans="1:18" x14ac:dyDescent="0.3">
      <c r="A6" t="s">
        <v>270</v>
      </c>
      <c r="B6" t="s">
        <v>271</v>
      </c>
      <c r="C6" t="s">
        <v>12</v>
      </c>
      <c r="D6">
        <v>1</v>
      </c>
      <c r="E6">
        <v>1</v>
      </c>
      <c r="F6" t="s">
        <v>140</v>
      </c>
      <c r="G6" s="1">
        <v>309.39999999999998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618.79999999999995</v>
      </c>
    </row>
    <row r="7" spans="1:18" x14ac:dyDescent="0.3">
      <c r="A7" t="s">
        <v>272</v>
      </c>
      <c r="B7" t="s">
        <v>273</v>
      </c>
      <c r="C7" t="s">
        <v>12</v>
      </c>
      <c r="D7">
        <v>1</v>
      </c>
      <c r="E7">
        <v>10</v>
      </c>
      <c r="F7" t="s">
        <v>140</v>
      </c>
      <c r="G7" s="1">
        <v>133</v>
      </c>
      <c r="H7">
        <v>0</v>
      </c>
      <c r="I7">
        <v>0.5</v>
      </c>
      <c r="J7">
        <v>10</v>
      </c>
      <c r="K7">
        <v>5</v>
      </c>
      <c r="L7">
        <f t="shared" si="0"/>
        <v>10</v>
      </c>
      <c r="M7">
        <v>0</v>
      </c>
      <c r="N7">
        <v>0</v>
      </c>
      <c r="O7">
        <v>25</v>
      </c>
      <c r="P7" s="1">
        <f t="shared" si="1"/>
        <v>0</v>
      </c>
      <c r="Q7">
        <f t="shared" si="2"/>
        <v>25</v>
      </c>
      <c r="R7" s="1">
        <f t="shared" si="3"/>
        <v>3325</v>
      </c>
    </row>
    <row r="8" spans="1:18" x14ac:dyDescent="0.3">
      <c r="A8" t="s">
        <v>274</v>
      </c>
      <c r="B8" t="s">
        <v>275</v>
      </c>
      <c r="C8" t="s">
        <v>12</v>
      </c>
      <c r="D8">
        <v>1</v>
      </c>
      <c r="E8">
        <v>0</v>
      </c>
      <c r="G8" s="1">
        <v>304.55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609.1</v>
      </c>
    </row>
    <row r="9" spans="1:18" x14ac:dyDescent="0.3">
      <c r="A9" t="s">
        <v>276</v>
      </c>
      <c r="B9" t="s">
        <v>277</v>
      </c>
      <c r="C9" t="s">
        <v>12</v>
      </c>
      <c r="D9">
        <v>1</v>
      </c>
      <c r="E9">
        <v>0</v>
      </c>
      <c r="G9" s="1">
        <v>205.99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411.98</v>
      </c>
    </row>
    <row r="10" spans="1:18" x14ac:dyDescent="0.3">
      <c r="A1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5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278</v>
      </c>
      <c r="B2" t="s">
        <v>279</v>
      </c>
      <c r="C2" t="s">
        <v>13</v>
      </c>
      <c r="D2">
        <v>3</v>
      </c>
      <c r="E2">
        <v>932</v>
      </c>
      <c r="F2" t="s">
        <v>280</v>
      </c>
      <c r="G2" s="1">
        <v>0.4</v>
      </c>
      <c r="H2">
        <v>0</v>
      </c>
      <c r="I2">
        <v>0.5</v>
      </c>
      <c r="J2">
        <v>311</v>
      </c>
      <c r="K2">
        <v>156</v>
      </c>
      <c r="L2">
        <f t="shared" ref="L2:L49" si="0">ROUNDUP((J2*I2)+K2,0)</f>
        <v>312</v>
      </c>
      <c r="M2">
        <v>0</v>
      </c>
      <c r="N2">
        <v>0</v>
      </c>
      <c r="O2">
        <v>778</v>
      </c>
      <c r="P2" s="1">
        <f t="shared" ref="P2:P49" si="1">IFERROR(M2*G2,0)</f>
        <v>0</v>
      </c>
      <c r="Q2">
        <f t="shared" ref="Q2:Q49" si="2">IF(O2-M2-N2&gt;0,O2-M2-N2,0)</f>
        <v>778</v>
      </c>
      <c r="R2" s="1">
        <f t="shared" ref="R2:R49" si="3">IFERROR(Q2*G2,0)</f>
        <v>311.20000000000005</v>
      </c>
    </row>
    <row r="3" spans="1:18" x14ac:dyDescent="0.3">
      <c r="A3" t="s">
        <v>281</v>
      </c>
      <c r="B3" t="s">
        <v>282</v>
      </c>
      <c r="C3" t="s">
        <v>13</v>
      </c>
      <c r="D3">
        <v>1</v>
      </c>
      <c r="E3">
        <v>800</v>
      </c>
      <c r="F3" t="s">
        <v>280</v>
      </c>
      <c r="G3" s="1">
        <v>0.8</v>
      </c>
      <c r="H3">
        <v>0</v>
      </c>
      <c r="I3">
        <v>0.5</v>
      </c>
      <c r="J3">
        <v>800</v>
      </c>
      <c r="K3">
        <v>400</v>
      </c>
      <c r="L3">
        <f t="shared" si="0"/>
        <v>800</v>
      </c>
      <c r="M3">
        <v>0</v>
      </c>
      <c r="N3">
        <v>0</v>
      </c>
      <c r="O3">
        <v>2000</v>
      </c>
      <c r="P3" s="1">
        <f t="shared" si="1"/>
        <v>0</v>
      </c>
      <c r="Q3">
        <f t="shared" si="2"/>
        <v>2000</v>
      </c>
      <c r="R3" s="1">
        <f t="shared" si="3"/>
        <v>1600</v>
      </c>
    </row>
    <row r="4" spans="1:18" x14ac:dyDescent="0.3">
      <c r="A4" t="s">
        <v>283</v>
      </c>
      <c r="B4" t="s">
        <v>284</v>
      </c>
      <c r="C4" t="s">
        <v>13</v>
      </c>
      <c r="D4">
        <v>1</v>
      </c>
      <c r="E4">
        <v>300</v>
      </c>
      <c r="F4" t="s">
        <v>280</v>
      </c>
      <c r="G4" s="1">
        <v>0.08</v>
      </c>
      <c r="H4">
        <v>0</v>
      </c>
      <c r="I4">
        <v>0.5</v>
      </c>
      <c r="J4">
        <v>300</v>
      </c>
      <c r="K4">
        <v>150</v>
      </c>
      <c r="L4">
        <f t="shared" si="0"/>
        <v>300</v>
      </c>
      <c r="M4">
        <v>0</v>
      </c>
      <c r="N4">
        <v>0</v>
      </c>
      <c r="O4">
        <v>750</v>
      </c>
      <c r="P4" s="1">
        <f t="shared" si="1"/>
        <v>0</v>
      </c>
      <c r="Q4">
        <f t="shared" si="2"/>
        <v>750</v>
      </c>
      <c r="R4" s="1">
        <f t="shared" si="3"/>
        <v>60</v>
      </c>
    </row>
    <row r="5" spans="1:18" x14ac:dyDescent="0.3">
      <c r="A5" t="s">
        <v>285</v>
      </c>
      <c r="B5" t="s">
        <v>286</v>
      </c>
      <c r="C5" t="s">
        <v>13</v>
      </c>
      <c r="D5">
        <v>1</v>
      </c>
      <c r="E5">
        <v>0</v>
      </c>
      <c r="F5" t="s">
        <v>280</v>
      </c>
      <c r="G5" s="1">
        <v>4.8</v>
      </c>
      <c r="H5">
        <v>0</v>
      </c>
      <c r="I5">
        <v>1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3</v>
      </c>
      <c r="P5" s="1">
        <f t="shared" si="1"/>
        <v>0</v>
      </c>
      <c r="Q5">
        <f t="shared" si="2"/>
        <v>3</v>
      </c>
      <c r="R5" s="1">
        <f t="shared" si="3"/>
        <v>14.399999999999999</v>
      </c>
    </row>
    <row r="6" spans="1:18" x14ac:dyDescent="0.3">
      <c r="A6" t="s">
        <v>287</v>
      </c>
      <c r="B6" t="s">
        <v>288</v>
      </c>
      <c r="C6" t="s">
        <v>13</v>
      </c>
      <c r="D6">
        <v>1</v>
      </c>
      <c r="E6">
        <v>300</v>
      </c>
      <c r="F6" t="s">
        <v>280</v>
      </c>
      <c r="G6" s="1">
        <v>0.65</v>
      </c>
      <c r="H6">
        <v>0</v>
      </c>
      <c r="I6">
        <v>0.5</v>
      </c>
      <c r="J6">
        <v>300</v>
      </c>
      <c r="K6">
        <v>150</v>
      </c>
      <c r="L6">
        <f t="shared" si="0"/>
        <v>300</v>
      </c>
      <c r="M6">
        <v>0</v>
      </c>
      <c r="N6">
        <v>0</v>
      </c>
      <c r="O6">
        <v>750</v>
      </c>
      <c r="P6" s="1">
        <f t="shared" si="1"/>
        <v>0</v>
      </c>
      <c r="Q6">
        <f t="shared" si="2"/>
        <v>750</v>
      </c>
      <c r="R6" s="1">
        <f t="shared" si="3"/>
        <v>487.5</v>
      </c>
    </row>
    <row r="7" spans="1:18" x14ac:dyDescent="0.3">
      <c r="A7" t="s">
        <v>289</v>
      </c>
      <c r="B7" t="s">
        <v>290</v>
      </c>
      <c r="C7" t="s">
        <v>13</v>
      </c>
      <c r="D7">
        <v>1</v>
      </c>
      <c r="E7">
        <v>332</v>
      </c>
      <c r="F7" t="s">
        <v>280</v>
      </c>
      <c r="G7" s="1">
        <v>0.8</v>
      </c>
      <c r="H7">
        <v>0</v>
      </c>
      <c r="I7">
        <v>0.5</v>
      </c>
      <c r="J7">
        <v>332</v>
      </c>
      <c r="K7">
        <v>166</v>
      </c>
      <c r="L7">
        <f t="shared" si="0"/>
        <v>332</v>
      </c>
      <c r="M7">
        <v>0</v>
      </c>
      <c r="N7">
        <v>0</v>
      </c>
      <c r="O7">
        <v>830</v>
      </c>
      <c r="P7" s="1">
        <f t="shared" si="1"/>
        <v>0</v>
      </c>
      <c r="Q7">
        <f t="shared" si="2"/>
        <v>830</v>
      </c>
      <c r="R7" s="1">
        <f t="shared" si="3"/>
        <v>664</v>
      </c>
    </row>
    <row r="8" spans="1:18" x14ac:dyDescent="0.3">
      <c r="A8" t="s">
        <v>291</v>
      </c>
      <c r="B8" t="s">
        <v>292</v>
      </c>
      <c r="C8" t="s">
        <v>13</v>
      </c>
      <c r="D8">
        <v>1</v>
      </c>
      <c r="E8">
        <v>420</v>
      </c>
      <c r="F8" t="s">
        <v>280</v>
      </c>
      <c r="G8" s="1">
        <v>0.65</v>
      </c>
      <c r="H8">
        <v>0</v>
      </c>
      <c r="I8">
        <v>0.5</v>
      </c>
      <c r="J8">
        <v>420</v>
      </c>
      <c r="K8">
        <v>210</v>
      </c>
      <c r="L8">
        <f t="shared" si="0"/>
        <v>420</v>
      </c>
      <c r="M8">
        <v>0</v>
      </c>
      <c r="N8">
        <v>0</v>
      </c>
      <c r="O8">
        <v>1050</v>
      </c>
      <c r="P8" s="1">
        <f t="shared" si="1"/>
        <v>0</v>
      </c>
      <c r="Q8">
        <f t="shared" si="2"/>
        <v>1050</v>
      </c>
      <c r="R8" s="1">
        <f t="shared" si="3"/>
        <v>682.5</v>
      </c>
    </row>
    <row r="9" spans="1:18" x14ac:dyDescent="0.3">
      <c r="A9" t="s">
        <v>293</v>
      </c>
      <c r="B9" t="s">
        <v>294</v>
      </c>
      <c r="C9" t="s">
        <v>13</v>
      </c>
      <c r="D9">
        <v>1</v>
      </c>
      <c r="E9">
        <v>420</v>
      </c>
      <c r="F9" t="s">
        <v>280</v>
      </c>
      <c r="G9" s="1">
        <v>0.8</v>
      </c>
      <c r="H9">
        <v>0</v>
      </c>
      <c r="I9">
        <v>0.5</v>
      </c>
      <c r="J9">
        <v>420</v>
      </c>
      <c r="K9">
        <v>210</v>
      </c>
      <c r="L9">
        <f t="shared" si="0"/>
        <v>420</v>
      </c>
      <c r="M9">
        <v>0</v>
      </c>
      <c r="N9">
        <v>0</v>
      </c>
      <c r="O9">
        <v>1050</v>
      </c>
      <c r="P9" s="1">
        <f t="shared" si="1"/>
        <v>0</v>
      </c>
      <c r="Q9">
        <f t="shared" si="2"/>
        <v>1050</v>
      </c>
      <c r="R9" s="1">
        <f t="shared" si="3"/>
        <v>840</v>
      </c>
    </row>
    <row r="10" spans="1:18" x14ac:dyDescent="0.3">
      <c r="A10" t="s">
        <v>295</v>
      </c>
      <c r="B10" t="s">
        <v>296</v>
      </c>
      <c r="C10" t="s">
        <v>13</v>
      </c>
      <c r="D10">
        <v>1</v>
      </c>
      <c r="E10">
        <v>300</v>
      </c>
      <c r="F10" t="s">
        <v>280</v>
      </c>
      <c r="G10" s="1">
        <v>0.2</v>
      </c>
      <c r="H10">
        <v>0</v>
      </c>
      <c r="I10">
        <v>0.5</v>
      </c>
      <c r="J10">
        <v>300</v>
      </c>
      <c r="K10">
        <v>150</v>
      </c>
      <c r="L10">
        <f t="shared" si="0"/>
        <v>300</v>
      </c>
      <c r="M10">
        <v>0</v>
      </c>
      <c r="N10">
        <v>0</v>
      </c>
      <c r="O10">
        <v>750</v>
      </c>
      <c r="P10" s="1">
        <f t="shared" si="1"/>
        <v>0</v>
      </c>
      <c r="Q10">
        <f t="shared" si="2"/>
        <v>750</v>
      </c>
      <c r="R10" s="1">
        <f t="shared" si="3"/>
        <v>150</v>
      </c>
    </row>
    <row r="11" spans="1:18" x14ac:dyDescent="0.3">
      <c r="A11" t="s">
        <v>297</v>
      </c>
      <c r="B11" t="s">
        <v>284</v>
      </c>
      <c r="C11" t="s">
        <v>13</v>
      </c>
      <c r="D11">
        <v>1</v>
      </c>
      <c r="E11">
        <v>0</v>
      </c>
      <c r="G11" s="1">
        <v>0.09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0.18</v>
      </c>
    </row>
    <row r="12" spans="1:18" x14ac:dyDescent="0.3">
      <c r="A12" t="s">
        <v>298</v>
      </c>
      <c r="B12" t="s">
        <v>299</v>
      </c>
      <c r="C12" t="s">
        <v>13</v>
      </c>
      <c r="D12">
        <v>7</v>
      </c>
      <c r="E12">
        <v>1600</v>
      </c>
      <c r="F12" t="s">
        <v>280</v>
      </c>
      <c r="G12" s="1">
        <v>0.3</v>
      </c>
      <c r="H12">
        <v>0</v>
      </c>
      <c r="I12">
        <v>0.5</v>
      </c>
      <c r="J12">
        <v>229</v>
      </c>
      <c r="K12">
        <v>114</v>
      </c>
      <c r="L12">
        <f t="shared" si="0"/>
        <v>229</v>
      </c>
      <c r="M12">
        <v>0</v>
      </c>
      <c r="N12">
        <v>0</v>
      </c>
      <c r="O12">
        <v>572</v>
      </c>
      <c r="P12" s="1">
        <f t="shared" si="1"/>
        <v>0</v>
      </c>
      <c r="Q12">
        <f t="shared" si="2"/>
        <v>572</v>
      </c>
      <c r="R12" s="1">
        <f t="shared" si="3"/>
        <v>171.6</v>
      </c>
    </row>
    <row r="13" spans="1:18" x14ac:dyDescent="0.3">
      <c r="A13" t="s">
        <v>300</v>
      </c>
      <c r="B13" t="s">
        <v>301</v>
      </c>
      <c r="C13" t="s">
        <v>13</v>
      </c>
      <c r="D13">
        <v>1</v>
      </c>
      <c r="E13">
        <v>0</v>
      </c>
      <c r="G13" s="1">
        <v>0.6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1.2</v>
      </c>
    </row>
    <row r="14" spans="1:18" x14ac:dyDescent="0.3">
      <c r="A14" t="s">
        <v>302</v>
      </c>
      <c r="B14" t="s">
        <v>303</v>
      </c>
      <c r="C14" t="s">
        <v>13</v>
      </c>
      <c r="D14">
        <v>1</v>
      </c>
      <c r="E14">
        <v>250</v>
      </c>
      <c r="F14" t="s">
        <v>280</v>
      </c>
      <c r="G14" s="1">
        <v>4</v>
      </c>
      <c r="H14">
        <v>0</v>
      </c>
      <c r="I14">
        <v>0.5</v>
      </c>
      <c r="J14">
        <v>250</v>
      </c>
      <c r="K14">
        <v>125</v>
      </c>
      <c r="L14">
        <f t="shared" si="0"/>
        <v>250</v>
      </c>
      <c r="M14">
        <v>0</v>
      </c>
      <c r="N14">
        <v>0</v>
      </c>
      <c r="O14">
        <v>625</v>
      </c>
      <c r="P14" s="1">
        <f t="shared" si="1"/>
        <v>0</v>
      </c>
      <c r="Q14">
        <f t="shared" si="2"/>
        <v>625</v>
      </c>
      <c r="R14" s="1">
        <f t="shared" si="3"/>
        <v>2500</v>
      </c>
    </row>
    <row r="15" spans="1:18" x14ac:dyDescent="0.3">
      <c r="A15" t="s">
        <v>304</v>
      </c>
      <c r="B15" t="s">
        <v>305</v>
      </c>
      <c r="C15" t="s">
        <v>13</v>
      </c>
      <c r="D15">
        <v>21</v>
      </c>
      <c r="E15">
        <v>2840</v>
      </c>
      <c r="F15" t="s">
        <v>280</v>
      </c>
      <c r="G15" s="1">
        <v>0.24</v>
      </c>
      <c r="H15">
        <v>0</v>
      </c>
      <c r="I15">
        <v>0.5</v>
      </c>
      <c r="J15">
        <v>135.5</v>
      </c>
      <c r="K15">
        <v>68</v>
      </c>
      <c r="L15">
        <f t="shared" si="0"/>
        <v>136</v>
      </c>
      <c r="M15">
        <v>0</v>
      </c>
      <c r="N15">
        <v>0</v>
      </c>
      <c r="O15">
        <v>339</v>
      </c>
      <c r="P15" s="1">
        <f t="shared" si="1"/>
        <v>0</v>
      </c>
      <c r="Q15">
        <f t="shared" si="2"/>
        <v>339</v>
      </c>
      <c r="R15" s="1">
        <f t="shared" si="3"/>
        <v>81.36</v>
      </c>
    </row>
    <row r="16" spans="1:18" x14ac:dyDescent="0.3">
      <c r="A16" t="s">
        <v>306</v>
      </c>
      <c r="B16" t="s">
        <v>307</v>
      </c>
      <c r="C16" t="s">
        <v>13</v>
      </c>
      <c r="D16">
        <v>1</v>
      </c>
      <c r="E16">
        <v>150</v>
      </c>
      <c r="F16" t="s">
        <v>280</v>
      </c>
      <c r="G16" s="1">
        <v>1.5</v>
      </c>
      <c r="H16">
        <v>0</v>
      </c>
      <c r="I16">
        <v>0.5</v>
      </c>
      <c r="J16">
        <v>150</v>
      </c>
      <c r="K16">
        <v>75</v>
      </c>
      <c r="L16">
        <f t="shared" si="0"/>
        <v>150</v>
      </c>
      <c r="M16">
        <v>0</v>
      </c>
      <c r="N16">
        <v>0</v>
      </c>
      <c r="O16">
        <v>375</v>
      </c>
      <c r="P16" s="1">
        <f t="shared" si="1"/>
        <v>0</v>
      </c>
      <c r="Q16">
        <f t="shared" si="2"/>
        <v>375</v>
      </c>
      <c r="R16" s="1">
        <f t="shared" si="3"/>
        <v>562.5</v>
      </c>
    </row>
    <row r="17" spans="1:18" x14ac:dyDescent="0.3">
      <c r="A17" t="s">
        <v>308</v>
      </c>
      <c r="B17" t="s">
        <v>309</v>
      </c>
      <c r="C17" t="s">
        <v>13</v>
      </c>
      <c r="D17">
        <v>1</v>
      </c>
      <c r="E17">
        <v>150</v>
      </c>
      <c r="F17" t="s">
        <v>280</v>
      </c>
      <c r="G17" s="1">
        <v>3</v>
      </c>
      <c r="H17">
        <v>0</v>
      </c>
      <c r="I17">
        <v>0.5</v>
      </c>
      <c r="J17">
        <v>150</v>
      </c>
      <c r="K17">
        <v>75</v>
      </c>
      <c r="L17">
        <f t="shared" si="0"/>
        <v>150</v>
      </c>
      <c r="M17">
        <v>0</v>
      </c>
      <c r="N17">
        <v>0</v>
      </c>
      <c r="O17">
        <v>375</v>
      </c>
      <c r="P17" s="1">
        <f t="shared" si="1"/>
        <v>0</v>
      </c>
      <c r="Q17">
        <f t="shared" si="2"/>
        <v>375</v>
      </c>
      <c r="R17" s="1">
        <f t="shared" si="3"/>
        <v>1125</v>
      </c>
    </row>
    <row r="18" spans="1:18" x14ac:dyDescent="0.3">
      <c r="A18" t="s">
        <v>310</v>
      </c>
      <c r="B18" t="s">
        <v>311</v>
      </c>
      <c r="C18" t="s">
        <v>13</v>
      </c>
      <c r="D18">
        <v>1</v>
      </c>
      <c r="E18">
        <v>540</v>
      </c>
      <c r="F18" t="s">
        <v>280</v>
      </c>
      <c r="G18" s="1">
        <v>3.17</v>
      </c>
      <c r="H18">
        <v>0</v>
      </c>
      <c r="I18">
        <v>0.8</v>
      </c>
      <c r="J18">
        <v>540</v>
      </c>
      <c r="K18">
        <v>432</v>
      </c>
      <c r="L18">
        <f t="shared" si="0"/>
        <v>864</v>
      </c>
      <c r="M18">
        <v>0</v>
      </c>
      <c r="N18">
        <v>0</v>
      </c>
      <c r="O18">
        <v>1512</v>
      </c>
      <c r="P18" s="1">
        <f t="shared" si="1"/>
        <v>0</v>
      </c>
      <c r="Q18">
        <f t="shared" si="2"/>
        <v>1512</v>
      </c>
      <c r="R18" s="1">
        <f t="shared" si="3"/>
        <v>4793.04</v>
      </c>
    </row>
    <row r="19" spans="1:18" x14ac:dyDescent="0.3">
      <c r="A19" t="s">
        <v>312</v>
      </c>
      <c r="B19" t="s">
        <v>313</v>
      </c>
      <c r="C19" t="s">
        <v>13</v>
      </c>
      <c r="D19">
        <v>1</v>
      </c>
      <c r="E19">
        <v>250</v>
      </c>
      <c r="F19" t="s">
        <v>280</v>
      </c>
      <c r="G19" s="1">
        <v>2.5</v>
      </c>
      <c r="H19">
        <v>0</v>
      </c>
      <c r="I19">
        <v>0.5</v>
      </c>
      <c r="J19">
        <v>250</v>
      </c>
      <c r="K19">
        <v>125</v>
      </c>
      <c r="L19">
        <f t="shared" si="0"/>
        <v>250</v>
      </c>
      <c r="M19">
        <v>0</v>
      </c>
      <c r="N19">
        <v>0</v>
      </c>
      <c r="O19">
        <v>625</v>
      </c>
      <c r="P19" s="1">
        <f t="shared" si="1"/>
        <v>0</v>
      </c>
      <c r="Q19">
        <f t="shared" si="2"/>
        <v>625</v>
      </c>
      <c r="R19" s="1">
        <f t="shared" si="3"/>
        <v>1562.5</v>
      </c>
    </row>
    <row r="20" spans="1:18" x14ac:dyDescent="0.3">
      <c r="A20" t="s">
        <v>314</v>
      </c>
      <c r="B20" t="s">
        <v>315</v>
      </c>
      <c r="C20" t="s">
        <v>13</v>
      </c>
      <c r="D20">
        <v>1</v>
      </c>
      <c r="E20">
        <v>240</v>
      </c>
      <c r="F20" t="s">
        <v>280</v>
      </c>
      <c r="G20" s="1">
        <v>0.8</v>
      </c>
      <c r="H20">
        <v>0</v>
      </c>
      <c r="I20">
        <v>1.5</v>
      </c>
      <c r="J20">
        <v>240</v>
      </c>
      <c r="K20">
        <v>360</v>
      </c>
      <c r="L20">
        <f t="shared" si="0"/>
        <v>720</v>
      </c>
      <c r="M20">
        <v>0</v>
      </c>
      <c r="N20">
        <v>0</v>
      </c>
      <c r="O20">
        <v>840</v>
      </c>
      <c r="P20" s="1">
        <f t="shared" si="1"/>
        <v>0</v>
      </c>
      <c r="Q20">
        <f t="shared" si="2"/>
        <v>840</v>
      </c>
      <c r="R20" s="1">
        <f t="shared" si="3"/>
        <v>672</v>
      </c>
    </row>
    <row r="21" spans="1:18" x14ac:dyDescent="0.3">
      <c r="A21" t="s">
        <v>316</v>
      </c>
      <c r="B21" t="s">
        <v>317</v>
      </c>
      <c r="C21" t="s">
        <v>13</v>
      </c>
      <c r="D21">
        <v>1</v>
      </c>
      <c r="E21">
        <v>150</v>
      </c>
      <c r="F21" t="s">
        <v>280</v>
      </c>
      <c r="G21" s="1">
        <v>1.8</v>
      </c>
      <c r="H21">
        <v>0</v>
      </c>
      <c r="I21">
        <v>0.5</v>
      </c>
      <c r="J21">
        <v>150</v>
      </c>
      <c r="K21">
        <v>75</v>
      </c>
      <c r="L21">
        <f t="shared" si="0"/>
        <v>150</v>
      </c>
      <c r="M21">
        <v>0</v>
      </c>
      <c r="N21">
        <v>0</v>
      </c>
      <c r="O21">
        <v>375</v>
      </c>
      <c r="P21" s="1">
        <f t="shared" si="1"/>
        <v>0</v>
      </c>
      <c r="Q21">
        <f t="shared" si="2"/>
        <v>375</v>
      </c>
      <c r="R21" s="1">
        <f t="shared" si="3"/>
        <v>675</v>
      </c>
    </row>
    <row r="22" spans="1:18" x14ac:dyDescent="0.3">
      <c r="A22" t="s">
        <v>318</v>
      </c>
      <c r="B22" t="s">
        <v>319</v>
      </c>
      <c r="C22" t="s">
        <v>13</v>
      </c>
      <c r="D22">
        <v>1</v>
      </c>
      <c r="E22">
        <v>0</v>
      </c>
      <c r="F22" t="s">
        <v>280</v>
      </c>
      <c r="G22" s="1">
        <v>11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22</v>
      </c>
    </row>
    <row r="23" spans="1:18" x14ac:dyDescent="0.3">
      <c r="A23" t="s">
        <v>320</v>
      </c>
      <c r="B23" t="s">
        <v>321</v>
      </c>
      <c r="C23" t="s">
        <v>13</v>
      </c>
      <c r="D23">
        <v>1</v>
      </c>
      <c r="E23">
        <v>150</v>
      </c>
      <c r="G23" s="1">
        <v>6</v>
      </c>
      <c r="H23">
        <v>0</v>
      </c>
      <c r="I23">
        <v>0.5</v>
      </c>
      <c r="J23">
        <v>150</v>
      </c>
      <c r="K23">
        <v>75</v>
      </c>
      <c r="L23">
        <f t="shared" si="0"/>
        <v>150</v>
      </c>
      <c r="M23">
        <v>0</v>
      </c>
      <c r="N23">
        <v>0</v>
      </c>
      <c r="O23">
        <v>375</v>
      </c>
      <c r="P23" s="1">
        <f t="shared" si="1"/>
        <v>0</v>
      </c>
      <c r="Q23">
        <f t="shared" si="2"/>
        <v>375</v>
      </c>
      <c r="R23" s="1">
        <f t="shared" si="3"/>
        <v>2250</v>
      </c>
    </row>
    <row r="24" spans="1:18" x14ac:dyDescent="0.3">
      <c r="A24" t="s">
        <v>322</v>
      </c>
      <c r="B24" t="s">
        <v>322</v>
      </c>
      <c r="C24" t="s">
        <v>13</v>
      </c>
      <c r="D24">
        <v>1</v>
      </c>
      <c r="E24">
        <v>0</v>
      </c>
      <c r="F24" t="s">
        <v>280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323</v>
      </c>
      <c r="B25" t="s">
        <v>323</v>
      </c>
      <c r="C25" t="s">
        <v>13</v>
      </c>
      <c r="D25">
        <v>1</v>
      </c>
      <c r="E25">
        <v>200</v>
      </c>
      <c r="G25" s="1">
        <v>1.1499999999999999</v>
      </c>
      <c r="H25">
        <v>0</v>
      </c>
      <c r="I25">
        <v>0.5</v>
      </c>
      <c r="J25">
        <v>200</v>
      </c>
      <c r="K25">
        <v>100</v>
      </c>
      <c r="L25">
        <f t="shared" si="0"/>
        <v>200</v>
      </c>
      <c r="M25">
        <v>0</v>
      </c>
      <c r="N25">
        <v>0</v>
      </c>
      <c r="O25">
        <v>500</v>
      </c>
      <c r="P25" s="1">
        <f t="shared" si="1"/>
        <v>0</v>
      </c>
      <c r="Q25">
        <f t="shared" si="2"/>
        <v>500</v>
      </c>
      <c r="R25" s="1">
        <f t="shared" si="3"/>
        <v>575</v>
      </c>
    </row>
    <row r="26" spans="1:18" x14ac:dyDescent="0.3">
      <c r="A26" t="s">
        <v>324</v>
      </c>
      <c r="B26" t="s">
        <v>325</v>
      </c>
      <c r="C26" t="s">
        <v>13</v>
      </c>
      <c r="D26">
        <v>1</v>
      </c>
      <c r="E26">
        <v>100</v>
      </c>
      <c r="F26" t="s">
        <v>280</v>
      </c>
      <c r="G26" s="1">
        <v>0.6</v>
      </c>
      <c r="H26">
        <v>0</v>
      </c>
      <c r="I26">
        <v>0.5</v>
      </c>
      <c r="J26">
        <v>100</v>
      </c>
      <c r="K26">
        <v>50</v>
      </c>
      <c r="L26">
        <f t="shared" si="0"/>
        <v>100</v>
      </c>
      <c r="M26">
        <v>0</v>
      </c>
      <c r="N26">
        <v>0</v>
      </c>
      <c r="O26">
        <v>250</v>
      </c>
      <c r="P26" s="1">
        <f t="shared" si="1"/>
        <v>0</v>
      </c>
      <c r="Q26">
        <f t="shared" si="2"/>
        <v>250</v>
      </c>
      <c r="R26" s="1">
        <f t="shared" si="3"/>
        <v>150</v>
      </c>
    </row>
    <row r="27" spans="1:18" x14ac:dyDescent="0.3">
      <c r="A27" t="s">
        <v>326</v>
      </c>
      <c r="B27" t="s">
        <v>327</v>
      </c>
      <c r="C27" t="s">
        <v>13</v>
      </c>
      <c r="D27">
        <v>1</v>
      </c>
      <c r="E27">
        <v>100</v>
      </c>
      <c r="F27" t="s">
        <v>280</v>
      </c>
      <c r="G27" s="1">
        <v>6.5</v>
      </c>
      <c r="H27">
        <v>0</v>
      </c>
      <c r="I27">
        <v>0.5</v>
      </c>
      <c r="J27">
        <v>100</v>
      </c>
      <c r="K27">
        <v>50</v>
      </c>
      <c r="L27">
        <f t="shared" si="0"/>
        <v>100</v>
      </c>
      <c r="M27">
        <v>0</v>
      </c>
      <c r="N27">
        <v>0</v>
      </c>
      <c r="O27">
        <v>250</v>
      </c>
      <c r="P27" s="1">
        <f t="shared" si="1"/>
        <v>0</v>
      </c>
      <c r="Q27">
        <f t="shared" si="2"/>
        <v>250</v>
      </c>
      <c r="R27" s="1">
        <f t="shared" si="3"/>
        <v>1625</v>
      </c>
    </row>
    <row r="28" spans="1:18" x14ac:dyDescent="0.3">
      <c r="A28" t="s">
        <v>328</v>
      </c>
      <c r="B28" t="s">
        <v>329</v>
      </c>
      <c r="C28" t="s">
        <v>13</v>
      </c>
      <c r="D28">
        <v>20</v>
      </c>
      <c r="E28">
        <v>6682</v>
      </c>
      <c r="F28" t="s">
        <v>280</v>
      </c>
      <c r="G28" s="1">
        <v>0.8</v>
      </c>
      <c r="H28">
        <v>0</v>
      </c>
      <c r="I28">
        <v>0.5</v>
      </c>
      <c r="J28">
        <v>334.5</v>
      </c>
      <c r="K28">
        <v>167</v>
      </c>
      <c r="L28">
        <f t="shared" si="0"/>
        <v>335</v>
      </c>
      <c r="M28">
        <v>0</v>
      </c>
      <c r="N28">
        <v>0</v>
      </c>
      <c r="O28">
        <v>836</v>
      </c>
      <c r="P28" s="1">
        <f t="shared" si="1"/>
        <v>0</v>
      </c>
      <c r="Q28">
        <f t="shared" si="2"/>
        <v>836</v>
      </c>
      <c r="R28" s="1">
        <f t="shared" si="3"/>
        <v>668.80000000000007</v>
      </c>
    </row>
    <row r="29" spans="1:18" x14ac:dyDescent="0.3">
      <c r="A29" t="s">
        <v>330</v>
      </c>
      <c r="B29" t="s">
        <v>331</v>
      </c>
      <c r="C29" t="s">
        <v>13</v>
      </c>
      <c r="D29">
        <v>1</v>
      </c>
      <c r="E29">
        <v>100</v>
      </c>
      <c r="F29" t="s">
        <v>280</v>
      </c>
      <c r="G29" s="1">
        <v>1.3</v>
      </c>
      <c r="H29">
        <v>0</v>
      </c>
      <c r="I29">
        <v>0.5</v>
      </c>
      <c r="J29">
        <v>100</v>
      </c>
      <c r="K29">
        <v>50</v>
      </c>
      <c r="L29">
        <f t="shared" si="0"/>
        <v>100</v>
      </c>
      <c r="M29">
        <v>0</v>
      </c>
      <c r="N29">
        <v>0</v>
      </c>
      <c r="O29">
        <v>250</v>
      </c>
      <c r="P29" s="1">
        <f t="shared" si="1"/>
        <v>0</v>
      </c>
      <c r="Q29">
        <f t="shared" si="2"/>
        <v>250</v>
      </c>
      <c r="R29" s="1">
        <f t="shared" si="3"/>
        <v>325</v>
      </c>
    </row>
    <row r="30" spans="1:18" x14ac:dyDescent="0.3">
      <c r="A30" t="s">
        <v>332</v>
      </c>
      <c r="B30" t="s">
        <v>333</v>
      </c>
      <c r="C30" t="s">
        <v>13</v>
      </c>
      <c r="D30">
        <v>1</v>
      </c>
      <c r="E30">
        <v>200</v>
      </c>
      <c r="F30" t="s">
        <v>280</v>
      </c>
      <c r="G30" s="1">
        <v>3.5</v>
      </c>
      <c r="H30">
        <v>0</v>
      </c>
      <c r="I30">
        <v>0.5</v>
      </c>
      <c r="J30">
        <v>200</v>
      </c>
      <c r="K30">
        <v>100</v>
      </c>
      <c r="L30">
        <f t="shared" si="0"/>
        <v>200</v>
      </c>
      <c r="M30">
        <v>0</v>
      </c>
      <c r="N30">
        <v>0</v>
      </c>
      <c r="O30">
        <v>500</v>
      </c>
      <c r="P30" s="1">
        <f t="shared" si="1"/>
        <v>0</v>
      </c>
      <c r="Q30">
        <f t="shared" si="2"/>
        <v>500</v>
      </c>
      <c r="R30" s="1">
        <f t="shared" si="3"/>
        <v>1750</v>
      </c>
    </row>
    <row r="31" spans="1:18" x14ac:dyDescent="0.3">
      <c r="A31" t="s">
        <v>334</v>
      </c>
      <c r="B31" t="s">
        <v>335</v>
      </c>
      <c r="C31" t="s">
        <v>13</v>
      </c>
      <c r="D31">
        <v>1</v>
      </c>
      <c r="E31">
        <v>150</v>
      </c>
      <c r="F31" t="s">
        <v>280</v>
      </c>
      <c r="G31" s="1">
        <v>45</v>
      </c>
      <c r="H31">
        <v>0</v>
      </c>
      <c r="I31">
        <v>0.5</v>
      </c>
      <c r="J31">
        <v>150</v>
      </c>
      <c r="K31">
        <v>75</v>
      </c>
      <c r="L31">
        <f t="shared" si="0"/>
        <v>150</v>
      </c>
      <c r="M31">
        <v>0</v>
      </c>
      <c r="N31">
        <v>0</v>
      </c>
      <c r="O31">
        <v>375</v>
      </c>
      <c r="P31" s="1">
        <f t="shared" si="1"/>
        <v>0</v>
      </c>
      <c r="Q31">
        <f t="shared" si="2"/>
        <v>375</v>
      </c>
      <c r="R31" s="1">
        <f t="shared" si="3"/>
        <v>16875</v>
      </c>
    </row>
    <row r="32" spans="1:18" x14ac:dyDescent="0.3">
      <c r="A32" t="s">
        <v>336</v>
      </c>
      <c r="B32" t="s">
        <v>337</v>
      </c>
      <c r="C32" t="s">
        <v>13</v>
      </c>
      <c r="D32">
        <v>1</v>
      </c>
      <c r="E32">
        <v>0</v>
      </c>
      <c r="F32" t="s">
        <v>280</v>
      </c>
      <c r="G32" s="1">
        <v>11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22</v>
      </c>
    </row>
    <row r="33" spans="1:18" x14ac:dyDescent="0.3">
      <c r="A33" t="s">
        <v>338</v>
      </c>
      <c r="B33" t="s">
        <v>339</v>
      </c>
      <c r="C33" t="s">
        <v>13</v>
      </c>
      <c r="D33">
        <v>1</v>
      </c>
      <c r="E33">
        <v>85</v>
      </c>
      <c r="G33" s="1">
        <v>11</v>
      </c>
      <c r="H33">
        <v>0</v>
      </c>
      <c r="I33">
        <v>0.5</v>
      </c>
      <c r="J33">
        <v>85</v>
      </c>
      <c r="K33">
        <v>42</v>
      </c>
      <c r="L33">
        <f t="shared" si="0"/>
        <v>85</v>
      </c>
      <c r="M33">
        <v>0</v>
      </c>
      <c r="N33">
        <v>0</v>
      </c>
      <c r="O33">
        <v>212</v>
      </c>
      <c r="P33" s="1">
        <f t="shared" si="1"/>
        <v>0</v>
      </c>
      <c r="Q33">
        <f t="shared" si="2"/>
        <v>212</v>
      </c>
      <c r="R33" s="1">
        <f t="shared" si="3"/>
        <v>2332</v>
      </c>
    </row>
    <row r="34" spans="1:18" x14ac:dyDescent="0.3">
      <c r="A34" t="s">
        <v>340</v>
      </c>
      <c r="B34" t="s">
        <v>341</v>
      </c>
      <c r="C34" t="s">
        <v>13</v>
      </c>
      <c r="D34">
        <v>1</v>
      </c>
      <c r="E34">
        <v>65</v>
      </c>
      <c r="G34" s="1">
        <v>11</v>
      </c>
      <c r="H34">
        <v>0</v>
      </c>
      <c r="I34">
        <v>0.5</v>
      </c>
      <c r="J34">
        <v>65</v>
      </c>
      <c r="K34">
        <v>32</v>
      </c>
      <c r="L34">
        <f t="shared" si="0"/>
        <v>65</v>
      </c>
      <c r="M34">
        <v>0</v>
      </c>
      <c r="N34">
        <v>0</v>
      </c>
      <c r="O34">
        <v>162</v>
      </c>
      <c r="P34" s="1">
        <f t="shared" si="1"/>
        <v>0</v>
      </c>
      <c r="Q34">
        <f t="shared" si="2"/>
        <v>162</v>
      </c>
      <c r="R34" s="1">
        <f t="shared" si="3"/>
        <v>1782</v>
      </c>
    </row>
    <row r="35" spans="1:18" x14ac:dyDescent="0.3">
      <c r="A35" t="s">
        <v>342</v>
      </c>
      <c r="B35" t="s">
        <v>343</v>
      </c>
      <c r="C35" t="s">
        <v>13</v>
      </c>
      <c r="D35">
        <v>1</v>
      </c>
      <c r="E35">
        <v>8</v>
      </c>
      <c r="F35" t="s">
        <v>280</v>
      </c>
      <c r="G35" s="1">
        <v>43.15</v>
      </c>
      <c r="H35">
        <v>0</v>
      </c>
      <c r="I35">
        <v>0.5</v>
      </c>
      <c r="J35">
        <v>8</v>
      </c>
      <c r="K35">
        <v>4</v>
      </c>
      <c r="L35">
        <f t="shared" si="0"/>
        <v>8</v>
      </c>
      <c r="M35">
        <v>0</v>
      </c>
      <c r="N35">
        <v>0</v>
      </c>
      <c r="O35">
        <v>20</v>
      </c>
      <c r="P35" s="1">
        <f t="shared" si="1"/>
        <v>0</v>
      </c>
      <c r="Q35">
        <f t="shared" si="2"/>
        <v>20</v>
      </c>
      <c r="R35" s="1">
        <f t="shared" si="3"/>
        <v>863</v>
      </c>
    </row>
    <row r="36" spans="1:18" x14ac:dyDescent="0.3">
      <c r="A36" t="s">
        <v>344</v>
      </c>
      <c r="B36" t="s">
        <v>345</v>
      </c>
      <c r="C36" t="s">
        <v>13</v>
      </c>
      <c r="D36">
        <v>1</v>
      </c>
      <c r="E36">
        <v>1</v>
      </c>
      <c r="F36" t="s">
        <v>280</v>
      </c>
      <c r="G36" s="1">
        <v>15</v>
      </c>
      <c r="H36">
        <v>0</v>
      </c>
      <c r="I36">
        <v>0.5</v>
      </c>
      <c r="J36">
        <v>1</v>
      </c>
      <c r="K36">
        <v>1</v>
      </c>
      <c r="L36">
        <f t="shared" si="0"/>
        <v>2</v>
      </c>
      <c r="M36">
        <v>0</v>
      </c>
      <c r="N36">
        <v>0</v>
      </c>
      <c r="O36">
        <v>2</v>
      </c>
      <c r="P36" s="1">
        <f t="shared" si="1"/>
        <v>0</v>
      </c>
      <c r="Q36">
        <f t="shared" si="2"/>
        <v>2</v>
      </c>
      <c r="R36" s="1">
        <f t="shared" si="3"/>
        <v>30</v>
      </c>
    </row>
    <row r="37" spans="1:18" x14ac:dyDescent="0.3">
      <c r="A37" t="s">
        <v>346</v>
      </c>
      <c r="B37" t="s">
        <v>347</v>
      </c>
      <c r="C37" t="s">
        <v>13</v>
      </c>
      <c r="D37">
        <v>1</v>
      </c>
      <c r="E37">
        <v>0</v>
      </c>
      <c r="F37" t="s">
        <v>280</v>
      </c>
      <c r="G37" s="1">
        <v>1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0</v>
      </c>
      <c r="O37">
        <v>2</v>
      </c>
      <c r="P37" s="1">
        <f t="shared" si="1"/>
        <v>0</v>
      </c>
      <c r="Q37">
        <f t="shared" si="2"/>
        <v>2</v>
      </c>
      <c r="R37" s="1">
        <f t="shared" si="3"/>
        <v>2</v>
      </c>
    </row>
    <row r="38" spans="1:18" x14ac:dyDescent="0.3">
      <c r="A38" t="s">
        <v>348</v>
      </c>
      <c r="B38" t="s">
        <v>349</v>
      </c>
      <c r="C38" t="s">
        <v>13</v>
      </c>
      <c r="D38">
        <v>1</v>
      </c>
      <c r="E38">
        <v>0</v>
      </c>
      <c r="F38" t="s">
        <v>280</v>
      </c>
      <c r="G38" s="1">
        <v>1.1000000000000001</v>
      </c>
      <c r="H38">
        <v>0</v>
      </c>
      <c r="I38">
        <v>0.5</v>
      </c>
      <c r="J38">
        <v>1</v>
      </c>
      <c r="K38">
        <v>1</v>
      </c>
      <c r="L38">
        <f t="shared" si="0"/>
        <v>2</v>
      </c>
      <c r="M38">
        <v>0</v>
      </c>
      <c r="N38">
        <v>0</v>
      </c>
      <c r="O38">
        <v>2</v>
      </c>
      <c r="P38" s="1">
        <f t="shared" si="1"/>
        <v>0</v>
      </c>
      <c r="Q38">
        <f t="shared" si="2"/>
        <v>2</v>
      </c>
      <c r="R38" s="1">
        <f t="shared" si="3"/>
        <v>2.2000000000000002</v>
      </c>
    </row>
    <row r="39" spans="1:18" x14ac:dyDescent="0.3">
      <c r="A39" t="s">
        <v>350</v>
      </c>
      <c r="B39" t="s">
        <v>351</v>
      </c>
      <c r="C39" t="s">
        <v>13</v>
      </c>
      <c r="D39">
        <v>1</v>
      </c>
      <c r="E39">
        <v>1</v>
      </c>
      <c r="F39" t="s">
        <v>280</v>
      </c>
      <c r="G39" s="1">
        <v>16</v>
      </c>
      <c r="H39">
        <v>0</v>
      </c>
      <c r="I39">
        <v>0.5</v>
      </c>
      <c r="J39">
        <v>1</v>
      </c>
      <c r="K39">
        <v>1</v>
      </c>
      <c r="L39">
        <f t="shared" si="0"/>
        <v>2</v>
      </c>
      <c r="M39">
        <v>0</v>
      </c>
      <c r="N39">
        <v>0</v>
      </c>
      <c r="O39">
        <v>2</v>
      </c>
      <c r="P39" s="1">
        <f t="shared" si="1"/>
        <v>0</v>
      </c>
      <c r="Q39">
        <f t="shared" si="2"/>
        <v>2</v>
      </c>
      <c r="R39" s="1">
        <f t="shared" si="3"/>
        <v>32</v>
      </c>
    </row>
    <row r="40" spans="1:18" x14ac:dyDescent="0.3">
      <c r="A40" t="s">
        <v>352</v>
      </c>
      <c r="B40" t="s">
        <v>353</v>
      </c>
      <c r="C40" t="s">
        <v>13</v>
      </c>
      <c r="D40">
        <v>1</v>
      </c>
      <c r="E40">
        <v>34</v>
      </c>
      <c r="F40" t="s">
        <v>280</v>
      </c>
      <c r="G40" s="1">
        <v>0.65</v>
      </c>
      <c r="H40">
        <v>0</v>
      </c>
      <c r="I40">
        <v>0.5</v>
      </c>
      <c r="J40">
        <v>34</v>
      </c>
      <c r="K40">
        <v>17</v>
      </c>
      <c r="L40">
        <f t="shared" si="0"/>
        <v>34</v>
      </c>
      <c r="M40">
        <v>0</v>
      </c>
      <c r="N40">
        <v>0</v>
      </c>
      <c r="O40">
        <v>85</v>
      </c>
      <c r="P40" s="1">
        <f t="shared" si="1"/>
        <v>0</v>
      </c>
      <c r="Q40">
        <f t="shared" si="2"/>
        <v>85</v>
      </c>
      <c r="R40" s="1">
        <f t="shared" si="3"/>
        <v>55.25</v>
      </c>
    </row>
    <row r="41" spans="1:18" x14ac:dyDescent="0.3">
      <c r="A41" t="s">
        <v>354</v>
      </c>
      <c r="B41" t="s">
        <v>355</v>
      </c>
      <c r="C41" t="s">
        <v>13</v>
      </c>
      <c r="D41">
        <v>1</v>
      </c>
      <c r="E41">
        <v>40</v>
      </c>
      <c r="F41" t="s">
        <v>280</v>
      </c>
      <c r="G41" s="1">
        <v>1.2</v>
      </c>
      <c r="H41">
        <v>0</v>
      </c>
      <c r="I41">
        <v>0.5</v>
      </c>
      <c r="J41">
        <v>40</v>
      </c>
      <c r="K41">
        <v>20</v>
      </c>
      <c r="L41">
        <f t="shared" si="0"/>
        <v>40</v>
      </c>
      <c r="M41">
        <v>0</v>
      </c>
      <c r="N41">
        <v>0</v>
      </c>
      <c r="O41">
        <v>100</v>
      </c>
      <c r="P41" s="1">
        <f t="shared" si="1"/>
        <v>0</v>
      </c>
      <c r="Q41">
        <f t="shared" si="2"/>
        <v>100</v>
      </c>
      <c r="R41" s="1">
        <f t="shared" si="3"/>
        <v>120</v>
      </c>
    </row>
    <row r="42" spans="1:18" x14ac:dyDescent="0.3">
      <c r="A42" t="s">
        <v>356</v>
      </c>
      <c r="B42" t="s">
        <v>357</v>
      </c>
      <c r="C42" t="s">
        <v>13</v>
      </c>
      <c r="D42">
        <v>1</v>
      </c>
      <c r="E42">
        <v>40</v>
      </c>
      <c r="F42" t="s">
        <v>280</v>
      </c>
      <c r="G42" s="1">
        <v>0.15</v>
      </c>
      <c r="H42">
        <v>0</v>
      </c>
      <c r="I42">
        <v>0.5</v>
      </c>
      <c r="J42">
        <v>40</v>
      </c>
      <c r="K42">
        <v>20</v>
      </c>
      <c r="L42">
        <f t="shared" si="0"/>
        <v>40</v>
      </c>
      <c r="M42">
        <v>0</v>
      </c>
      <c r="N42">
        <v>0</v>
      </c>
      <c r="O42">
        <v>100</v>
      </c>
      <c r="P42" s="1">
        <f t="shared" si="1"/>
        <v>0</v>
      </c>
      <c r="Q42">
        <f t="shared" si="2"/>
        <v>100</v>
      </c>
      <c r="R42" s="1">
        <f t="shared" si="3"/>
        <v>15</v>
      </c>
    </row>
    <row r="43" spans="1:18" x14ac:dyDescent="0.3">
      <c r="A43" t="s">
        <v>358</v>
      </c>
      <c r="B43" t="s">
        <v>359</v>
      </c>
      <c r="C43" t="s">
        <v>13</v>
      </c>
      <c r="D43">
        <v>1</v>
      </c>
      <c r="E43">
        <v>0</v>
      </c>
      <c r="G43" s="1">
        <v>0.3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0.6</v>
      </c>
    </row>
    <row r="44" spans="1:18" x14ac:dyDescent="0.3">
      <c r="A44" t="s">
        <v>360</v>
      </c>
      <c r="B44" t="s">
        <v>361</v>
      </c>
      <c r="C44" t="s">
        <v>13</v>
      </c>
      <c r="D44">
        <v>1</v>
      </c>
      <c r="E44">
        <v>0</v>
      </c>
      <c r="G44" s="1">
        <v>0.7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1.4</v>
      </c>
    </row>
    <row r="45" spans="1:18" x14ac:dyDescent="0.3">
      <c r="A45" t="s">
        <v>362</v>
      </c>
      <c r="B45" t="s">
        <v>363</v>
      </c>
      <c r="C45" t="s">
        <v>13</v>
      </c>
      <c r="D45">
        <v>1</v>
      </c>
      <c r="E45">
        <v>0</v>
      </c>
      <c r="G45" s="1">
        <v>0.38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0.76</v>
      </c>
    </row>
    <row r="46" spans="1:18" x14ac:dyDescent="0.3">
      <c r="A46" t="s">
        <v>364</v>
      </c>
      <c r="B46" t="s">
        <v>365</v>
      </c>
      <c r="C46" t="s">
        <v>13</v>
      </c>
      <c r="D46">
        <v>1</v>
      </c>
      <c r="E46">
        <v>0</v>
      </c>
      <c r="G46" s="1">
        <v>2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4</v>
      </c>
    </row>
    <row r="47" spans="1:18" x14ac:dyDescent="0.3">
      <c r="A47" t="s">
        <v>366</v>
      </c>
      <c r="B47" t="s">
        <v>367</v>
      </c>
      <c r="C47" t="s">
        <v>13</v>
      </c>
      <c r="D47">
        <v>1</v>
      </c>
      <c r="E47">
        <v>20</v>
      </c>
      <c r="F47" t="s">
        <v>280</v>
      </c>
      <c r="G47" s="1">
        <v>0.4</v>
      </c>
      <c r="H47">
        <v>0</v>
      </c>
      <c r="I47">
        <v>0.5</v>
      </c>
      <c r="J47">
        <v>20</v>
      </c>
      <c r="K47">
        <v>10</v>
      </c>
      <c r="L47">
        <f t="shared" si="0"/>
        <v>20</v>
      </c>
      <c r="M47">
        <v>0</v>
      </c>
      <c r="N47">
        <v>0</v>
      </c>
      <c r="O47">
        <v>50</v>
      </c>
      <c r="P47" s="1">
        <f t="shared" si="1"/>
        <v>0</v>
      </c>
      <c r="Q47">
        <f t="shared" si="2"/>
        <v>50</v>
      </c>
      <c r="R47" s="1">
        <f t="shared" si="3"/>
        <v>20</v>
      </c>
    </row>
    <row r="48" spans="1:18" x14ac:dyDescent="0.3">
      <c r="A48" t="s">
        <v>368</v>
      </c>
      <c r="B48" t="s">
        <v>369</v>
      </c>
      <c r="C48" t="s">
        <v>13</v>
      </c>
      <c r="D48">
        <v>1</v>
      </c>
      <c r="E48">
        <v>2</v>
      </c>
      <c r="F48" t="s">
        <v>280</v>
      </c>
      <c r="G48" s="1">
        <v>42</v>
      </c>
      <c r="H48">
        <v>0</v>
      </c>
      <c r="I48">
        <v>1.5</v>
      </c>
      <c r="J48">
        <v>2</v>
      </c>
      <c r="K48">
        <v>3</v>
      </c>
      <c r="L48">
        <f t="shared" si="0"/>
        <v>6</v>
      </c>
      <c r="M48">
        <v>0</v>
      </c>
      <c r="N48">
        <v>0</v>
      </c>
      <c r="O48">
        <v>7</v>
      </c>
      <c r="P48" s="1">
        <f t="shared" si="1"/>
        <v>0</v>
      </c>
      <c r="Q48">
        <f t="shared" si="2"/>
        <v>7</v>
      </c>
      <c r="R48" s="1">
        <f t="shared" si="3"/>
        <v>294</v>
      </c>
    </row>
    <row r="49" spans="1:18" x14ac:dyDescent="0.3">
      <c r="A49" t="s">
        <v>370</v>
      </c>
      <c r="B49" t="s">
        <v>371</v>
      </c>
      <c r="C49" t="s">
        <v>13</v>
      </c>
      <c r="D49">
        <v>2</v>
      </c>
      <c r="E49">
        <v>10</v>
      </c>
      <c r="F49" t="s">
        <v>280</v>
      </c>
      <c r="G49" s="1">
        <v>96</v>
      </c>
      <c r="H49">
        <v>0</v>
      </c>
      <c r="I49">
        <v>0.5</v>
      </c>
      <c r="J49">
        <v>5</v>
      </c>
      <c r="K49">
        <v>2</v>
      </c>
      <c r="L49">
        <f t="shared" si="0"/>
        <v>5</v>
      </c>
      <c r="M49">
        <v>0</v>
      </c>
      <c r="N49">
        <v>0</v>
      </c>
      <c r="O49">
        <v>12</v>
      </c>
      <c r="P49" s="1">
        <f t="shared" si="1"/>
        <v>0</v>
      </c>
      <c r="Q49">
        <f t="shared" si="2"/>
        <v>12</v>
      </c>
      <c r="R49" s="1">
        <f t="shared" si="3"/>
        <v>1152</v>
      </c>
    </row>
    <row r="50" spans="1:18" x14ac:dyDescent="0.3">
      <c r="A5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5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372</v>
      </c>
      <c r="B2" t="s">
        <v>373</v>
      </c>
      <c r="C2" t="s">
        <v>14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374</v>
      </c>
      <c r="B3" t="s">
        <v>375</v>
      </c>
      <c r="C3" t="s">
        <v>14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376</v>
      </c>
      <c r="B4" t="s">
        <v>377</v>
      </c>
      <c r="C4" t="s">
        <v>14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378</v>
      </c>
      <c r="B5" t="s">
        <v>379</v>
      </c>
      <c r="C5" t="s">
        <v>14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380</v>
      </c>
      <c r="B6" t="s">
        <v>381</v>
      </c>
      <c r="C6" t="s">
        <v>14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382</v>
      </c>
      <c r="B7" t="s">
        <v>383</v>
      </c>
      <c r="C7" t="s">
        <v>14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384</v>
      </c>
      <c r="B8" t="s">
        <v>385</v>
      </c>
      <c r="C8" t="s">
        <v>14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386</v>
      </c>
      <c r="B9" t="s">
        <v>387</v>
      </c>
      <c r="C9" t="s">
        <v>14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388</v>
      </c>
      <c r="B10" t="s">
        <v>389</v>
      </c>
      <c r="C10" t="s">
        <v>14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390</v>
      </c>
      <c r="B11" t="s">
        <v>391</v>
      </c>
      <c r="C11" t="s">
        <v>14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392</v>
      </c>
      <c r="B12" t="s">
        <v>393</v>
      </c>
      <c r="C12" t="s">
        <v>14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394</v>
      </c>
      <c r="B13" t="s">
        <v>395</v>
      </c>
      <c r="C13" t="s">
        <v>14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396</v>
      </c>
      <c r="B14" t="s">
        <v>397</v>
      </c>
      <c r="C14" t="s">
        <v>14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398</v>
      </c>
      <c r="B15" t="s">
        <v>399</v>
      </c>
      <c r="C15" t="s">
        <v>14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400</v>
      </c>
      <c r="B16" t="s">
        <v>401</v>
      </c>
      <c r="C16" t="s">
        <v>14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402</v>
      </c>
      <c r="B17" t="s">
        <v>403</v>
      </c>
      <c r="C17" t="s">
        <v>14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404</v>
      </c>
      <c r="B18" t="s">
        <v>405</v>
      </c>
      <c r="C18" t="s">
        <v>14</v>
      </c>
      <c r="D18">
        <v>7</v>
      </c>
      <c r="E18">
        <v>0</v>
      </c>
      <c r="G18" s="1">
        <v>0</v>
      </c>
      <c r="H18">
        <v>1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406</v>
      </c>
      <c r="B19" t="s">
        <v>407</v>
      </c>
      <c r="C19" t="s">
        <v>14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408</v>
      </c>
      <c r="B20" t="s">
        <v>409</v>
      </c>
      <c r="C20" t="s">
        <v>14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410</v>
      </c>
      <c r="B21" t="s">
        <v>411</v>
      </c>
      <c r="C21" t="s">
        <v>14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412</v>
      </c>
      <c r="B22" t="s">
        <v>413</v>
      </c>
      <c r="C22" t="s">
        <v>14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414</v>
      </c>
      <c r="B23" t="s">
        <v>415</v>
      </c>
      <c r="C23" t="s">
        <v>14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416</v>
      </c>
      <c r="B24" t="s">
        <v>417</v>
      </c>
      <c r="C24" t="s">
        <v>14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418</v>
      </c>
      <c r="B25" t="s">
        <v>419</v>
      </c>
      <c r="C25" t="s">
        <v>14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420</v>
      </c>
      <c r="B26" t="s">
        <v>421</v>
      </c>
      <c r="C26" t="s">
        <v>14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422</v>
      </c>
      <c r="B27" t="s">
        <v>423</v>
      </c>
      <c r="C27" t="s">
        <v>14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424</v>
      </c>
      <c r="B28" t="s">
        <v>425</v>
      </c>
      <c r="C28" t="s">
        <v>14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426</v>
      </c>
      <c r="B29" t="s">
        <v>427</v>
      </c>
      <c r="C29" t="s">
        <v>14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428</v>
      </c>
      <c r="B30" t="s">
        <v>429</v>
      </c>
      <c r="C30" t="s">
        <v>14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430</v>
      </c>
      <c r="B31" t="s">
        <v>431</v>
      </c>
      <c r="C31" t="s">
        <v>14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432</v>
      </c>
      <c r="B32" t="s">
        <v>433</v>
      </c>
      <c r="C32" t="s">
        <v>14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434</v>
      </c>
      <c r="B33" t="s">
        <v>435</v>
      </c>
      <c r="C33" t="s">
        <v>14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436</v>
      </c>
      <c r="B34" t="s">
        <v>437</v>
      </c>
      <c r="C34" t="s">
        <v>14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55" si="5">IFERROR(M34*G34,0)</f>
        <v>0</v>
      </c>
      <c r="Q34">
        <f t="shared" ref="Q34:Q5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438</v>
      </c>
      <c r="B35" t="s">
        <v>439</v>
      </c>
      <c r="C35" t="s">
        <v>14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440</v>
      </c>
      <c r="B36" t="s">
        <v>441</v>
      </c>
      <c r="C36" t="s">
        <v>14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442</v>
      </c>
      <c r="B37" t="s">
        <v>443</v>
      </c>
      <c r="C37" t="s">
        <v>14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444</v>
      </c>
      <c r="B38" t="s">
        <v>445</v>
      </c>
      <c r="C38" t="s">
        <v>14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446</v>
      </c>
      <c r="B39" t="s">
        <v>447</v>
      </c>
      <c r="C39" t="s">
        <v>14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448</v>
      </c>
      <c r="B40" t="s">
        <v>449</v>
      </c>
      <c r="C40" t="s">
        <v>14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450</v>
      </c>
      <c r="B41" t="s">
        <v>451</v>
      </c>
      <c r="C41" t="s">
        <v>14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452</v>
      </c>
      <c r="B42" t="s">
        <v>453</v>
      </c>
      <c r="C42" t="s">
        <v>14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454</v>
      </c>
      <c r="B43" t="s">
        <v>455</v>
      </c>
      <c r="C43" t="s">
        <v>14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456</v>
      </c>
      <c r="B44" t="s">
        <v>457</v>
      </c>
      <c r="C44" t="s">
        <v>14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458</v>
      </c>
      <c r="B45" t="s">
        <v>459</v>
      </c>
      <c r="C45" t="s">
        <v>14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460</v>
      </c>
      <c r="B46" t="s">
        <v>461</v>
      </c>
      <c r="C46" t="s">
        <v>14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462</v>
      </c>
      <c r="B47" t="s">
        <v>463</v>
      </c>
      <c r="C47" t="s">
        <v>14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464</v>
      </c>
      <c r="B48" t="s">
        <v>465</v>
      </c>
      <c r="C48" t="s">
        <v>14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466</v>
      </c>
      <c r="B49" t="s">
        <v>467</v>
      </c>
      <c r="C49" t="s">
        <v>14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468</v>
      </c>
      <c r="B50" t="s">
        <v>469</v>
      </c>
      <c r="C50" t="s">
        <v>14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470</v>
      </c>
      <c r="B51" t="s">
        <v>471</v>
      </c>
      <c r="C51" t="s">
        <v>14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472</v>
      </c>
      <c r="B52" t="s">
        <v>473</v>
      </c>
      <c r="C52" t="s">
        <v>14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474</v>
      </c>
      <c r="B53" t="s">
        <v>475</v>
      </c>
      <c r="C53" t="s">
        <v>14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476</v>
      </c>
      <c r="B54" t="s">
        <v>477</v>
      </c>
      <c r="C54" t="s">
        <v>14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478</v>
      </c>
      <c r="B55" t="s">
        <v>479</v>
      </c>
      <c r="C55" t="s">
        <v>14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480</v>
      </c>
      <c r="B2" t="s">
        <v>481</v>
      </c>
      <c r="C2" t="s">
        <v>15</v>
      </c>
      <c r="D2">
        <v>50</v>
      </c>
      <c r="E2">
        <v>63</v>
      </c>
      <c r="F2" t="s">
        <v>482</v>
      </c>
      <c r="G2" s="1">
        <v>502.91</v>
      </c>
      <c r="H2">
        <v>51</v>
      </c>
      <c r="I2">
        <v>0.6</v>
      </c>
      <c r="J2">
        <v>1.5</v>
      </c>
      <c r="K2">
        <v>1</v>
      </c>
      <c r="L2">
        <f t="shared" ref="L2:L17" si="0">ROUNDUP((J2*I2)+K2,0)</f>
        <v>2</v>
      </c>
      <c r="M2">
        <v>0</v>
      </c>
      <c r="N2">
        <v>0</v>
      </c>
      <c r="O2">
        <v>4</v>
      </c>
      <c r="P2" s="1">
        <f t="shared" ref="P2:P17" si="1">IFERROR(M2*G2,0)</f>
        <v>0</v>
      </c>
      <c r="Q2">
        <f t="shared" ref="Q2:Q17" si="2">IF(O2-M2-N2&gt;0,O2-M2-N2,0)</f>
        <v>4</v>
      </c>
      <c r="R2" s="1">
        <f t="shared" ref="R2:R17" si="3">IFERROR(Q2*G2,0)</f>
        <v>2011.64</v>
      </c>
    </row>
    <row r="3" spans="1:18" x14ac:dyDescent="0.3">
      <c r="A3" t="s">
        <v>483</v>
      </c>
      <c r="B3" t="s">
        <v>484</v>
      </c>
      <c r="C3" t="s">
        <v>15</v>
      </c>
      <c r="D3">
        <v>1</v>
      </c>
      <c r="E3">
        <v>6</v>
      </c>
      <c r="F3" t="s">
        <v>87</v>
      </c>
      <c r="G3" s="1">
        <v>0</v>
      </c>
      <c r="H3">
        <v>0</v>
      </c>
      <c r="I3">
        <v>0.5</v>
      </c>
      <c r="J3">
        <v>6</v>
      </c>
      <c r="K3">
        <v>3</v>
      </c>
      <c r="L3">
        <f t="shared" si="0"/>
        <v>6</v>
      </c>
      <c r="M3">
        <v>0</v>
      </c>
      <c r="N3">
        <v>0</v>
      </c>
      <c r="O3">
        <v>15</v>
      </c>
      <c r="P3" s="1">
        <f t="shared" si="1"/>
        <v>0</v>
      </c>
      <c r="Q3">
        <f t="shared" si="2"/>
        <v>15</v>
      </c>
      <c r="R3" s="1">
        <f t="shared" si="3"/>
        <v>0</v>
      </c>
    </row>
    <row r="4" spans="1:18" x14ac:dyDescent="0.3">
      <c r="A4" t="s">
        <v>485</v>
      </c>
      <c r="B4" t="s">
        <v>486</v>
      </c>
      <c r="C4" t="s">
        <v>15</v>
      </c>
      <c r="D4">
        <v>34</v>
      </c>
      <c r="E4">
        <v>333</v>
      </c>
      <c r="F4" t="s">
        <v>482</v>
      </c>
      <c r="G4" s="1">
        <v>76.19</v>
      </c>
      <c r="H4">
        <v>263</v>
      </c>
      <c r="I4">
        <v>0.7</v>
      </c>
      <c r="J4">
        <v>10</v>
      </c>
      <c r="K4">
        <v>7</v>
      </c>
      <c r="L4">
        <f t="shared" si="0"/>
        <v>14</v>
      </c>
      <c r="M4">
        <v>0</v>
      </c>
      <c r="N4">
        <v>0</v>
      </c>
      <c r="O4">
        <v>27</v>
      </c>
      <c r="P4" s="1">
        <f t="shared" si="1"/>
        <v>0</v>
      </c>
      <c r="Q4">
        <f t="shared" si="2"/>
        <v>27</v>
      </c>
      <c r="R4" s="1">
        <f t="shared" si="3"/>
        <v>2057.13</v>
      </c>
    </row>
    <row r="5" spans="1:18" x14ac:dyDescent="0.3">
      <c r="A5" t="s">
        <v>487</v>
      </c>
      <c r="B5" t="s">
        <v>488</v>
      </c>
      <c r="C5" t="s">
        <v>15</v>
      </c>
      <c r="D5">
        <v>35</v>
      </c>
      <c r="E5">
        <v>331</v>
      </c>
      <c r="F5" t="s">
        <v>482</v>
      </c>
      <c r="G5" s="1">
        <v>85</v>
      </c>
      <c r="H5">
        <v>292</v>
      </c>
      <c r="I5">
        <v>0.5</v>
      </c>
      <c r="J5">
        <v>9.5</v>
      </c>
      <c r="K5">
        <v>5</v>
      </c>
      <c r="L5">
        <f t="shared" si="0"/>
        <v>10</v>
      </c>
      <c r="M5">
        <v>0</v>
      </c>
      <c r="N5">
        <v>0</v>
      </c>
      <c r="O5">
        <v>24</v>
      </c>
      <c r="P5" s="1">
        <f t="shared" si="1"/>
        <v>0</v>
      </c>
      <c r="Q5">
        <f t="shared" si="2"/>
        <v>24</v>
      </c>
      <c r="R5" s="1">
        <f t="shared" si="3"/>
        <v>2040</v>
      </c>
    </row>
    <row r="6" spans="1:18" x14ac:dyDescent="0.3">
      <c r="A6" t="s">
        <v>489</v>
      </c>
      <c r="B6" t="s">
        <v>490</v>
      </c>
      <c r="C6" t="s">
        <v>15</v>
      </c>
      <c r="D6">
        <v>34</v>
      </c>
      <c r="E6">
        <v>203</v>
      </c>
      <c r="F6" t="s">
        <v>482</v>
      </c>
      <c r="G6" s="1">
        <v>64.44</v>
      </c>
      <c r="H6">
        <v>215</v>
      </c>
      <c r="I6">
        <v>0.7</v>
      </c>
      <c r="J6">
        <v>6.5</v>
      </c>
      <c r="K6">
        <v>5</v>
      </c>
      <c r="L6">
        <f t="shared" si="0"/>
        <v>10</v>
      </c>
      <c r="M6">
        <v>0</v>
      </c>
      <c r="N6">
        <v>0</v>
      </c>
      <c r="O6">
        <v>18</v>
      </c>
      <c r="P6" s="1">
        <f t="shared" si="1"/>
        <v>0</v>
      </c>
      <c r="Q6">
        <f t="shared" si="2"/>
        <v>18</v>
      </c>
      <c r="R6" s="1">
        <f t="shared" si="3"/>
        <v>1159.92</v>
      </c>
    </row>
    <row r="7" spans="1:18" x14ac:dyDescent="0.3">
      <c r="A7" t="s">
        <v>491</v>
      </c>
      <c r="B7" t="s">
        <v>492</v>
      </c>
      <c r="C7" t="s">
        <v>15</v>
      </c>
      <c r="D7">
        <v>1</v>
      </c>
      <c r="E7">
        <v>20</v>
      </c>
      <c r="F7" t="s">
        <v>87</v>
      </c>
      <c r="G7" s="1">
        <v>0</v>
      </c>
      <c r="H7">
        <v>0</v>
      </c>
      <c r="I7">
        <v>0.5</v>
      </c>
      <c r="J7">
        <v>20</v>
      </c>
      <c r="K7">
        <v>10</v>
      </c>
      <c r="L7">
        <f t="shared" si="0"/>
        <v>20</v>
      </c>
      <c r="M7">
        <v>0</v>
      </c>
      <c r="N7">
        <v>0</v>
      </c>
      <c r="O7">
        <v>50</v>
      </c>
      <c r="P7" s="1">
        <f t="shared" si="1"/>
        <v>0</v>
      </c>
      <c r="Q7">
        <f t="shared" si="2"/>
        <v>50</v>
      </c>
      <c r="R7" s="1">
        <f t="shared" si="3"/>
        <v>0</v>
      </c>
    </row>
    <row r="8" spans="1:18" x14ac:dyDescent="0.3">
      <c r="A8" t="s">
        <v>493</v>
      </c>
      <c r="B8" t="s">
        <v>494</v>
      </c>
      <c r="C8" t="s">
        <v>15</v>
      </c>
      <c r="D8">
        <v>34</v>
      </c>
      <c r="E8">
        <v>228</v>
      </c>
      <c r="F8" t="s">
        <v>482</v>
      </c>
      <c r="G8" s="1">
        <v>0</v>
      </c>
      <c r="H8">
        <v>251</v>
      </c>
      <c r="I8">
        <v>0.6</v>
      </c>
      <c r="J8">
        <v>7.5</v>
      </c>
      <c r="K8">
        <v>4</v>
      </c>
      <c r="L8">
        <f t="shared" si="0"/>
        <v>9</v>
      </c>
      <c r="M8">
        <v>0</v>
      </c>
      <c r="N8">
        <v>0</v>
      </c>
      <c r="O8">
        <v>19</v>
      </c>
      <c r="P8" s="1">
        <f t="shared" si="1"/>
        <v>0</v>
      </c>
      <c r="Q8">
        <f t="shared" si="2"/>
        <v>19</v>
      </c>
      <c r="R8" s="1">
        <f t="shared" si="3"/>
        <v>0</v>
      </c>
    </row>
    <row r="9" spans="1:18" x14ac:dyDescent="0.3">
      <c r="A9" t="s">
        <v>495</v>
      </c>
      <c r="B9" t="s">
        <v>496</v>
      </c>
      <c r="C9" t="s">
        <v>15</v>
      </c>
      <c r="D9">
        <v>1</v>
      </c>
      <c r="E9">
        <v>18</v>
      </c>
      <c r="F9" t="s">
        <v>87</v>
      </c>
      <c r="G9" s="1">
        <v>0</v>
      </c>
      <c r="H9">
        <v>0</v>
      </c>
      <c r="I9">
        <v>0.5</v>
      </c>
      <c r="J9">
        <v>18</v>
      </c>
      <c r="K9">
        <v>9</v>
      </c>
      <c r="L9">
        <f t="shared" si="0"/>
        <v>18</v>
      </c>
      <c r="M9">
        <v>0</v>
      </c>
      <c r="N9">
        <v>0</v>
      </c>
      <c r="O9">
        <v>45</v>
      </c>
      <c r="P9" s="1">
        <f t="shared" si="1"/>
        <v>0</v>
      </c>
      <c r="Q9">
        <f t="shared" si="2"/>
        <v>45</v>
      </c>
      <c r="R9" s="1">
        <f t="shared" si="3"/>
        <v>0</v>
      </c>
    </row>
    <row r="10" spans="1:18" x14ac:dyDescent="0.3">
      <c r="A10" t="s">
        <v>497</v>
      </c>
      <c r="B10" t="s">
        <v>498</v>
      </c>
      <c r="C10" t="s">
        <v>15</v>
      </c>
      <c r="D10">
        <v>56</v>
      </c>
      <c r="E10">
        <v>236</v>
      </c>
      <c r="F10" t="s">
        <v>482</v>
      </c>
      <c r="G10" s="1">
        <v>0</v>
      </c>
      <c r="H10">
        <v>281</v>
      </c>
      <c r="I10">
        <v>0.6</v>
      </c>
      <c r="J10">
        <v>5.5</v>
      </c>
      <c r="K10">
        <v>3</v>
      </c>
      <c r="L10">
        <f t="shared" si="0"/>
        <v>7</v>
      </c>
      <c r="M10">
        <v>0</v>
      </c>
      <c r="N10">
        <v>0</v>
      </c>
      <c r="O10">
        <v>14</v>
      </c>
      <c r="P10" s="1">
        <f t="shared" si="1"/>
        <v>0</v>
      </c>
      <c r="Q10">
        <f t="shared" si="2"/>
        <v>14</v>
      </c>
      <c r="R10" s="1">
        <f t="shared" si="3"/>
        <v>0</v>
      </c>
    </row>
    <row r="11" spans="1:18" x14ac:dyDescent="0.3">
      <c r="A11" t="s">
        <v>499</v>
      </c>
      <c r="B11" t="s">
        <v>500</v>
      </c>
      <c r="C11" t="s">
        <v>15</v>
      </c>
      <c r="D11">
        <v>1</v>
      </c>
      <c r="E11">
        <v>32</v>
      </c>
      <c r="F11" t="s">
        <v>87</v>
      </c>
      <c r="G11" s="1">
        <v>0</v>
      </c>
      <c r="H11">
        <v>0</v>
      </c>
      <c r="I11">
        <v>0.5</v>
      </c>
      <c r="J11">
        <v>32</v>
      </c>
      <c r="K11">
        <v>16</v>
      </c>
      <c r="L11">
        <f t="shared" si="0"/>
        <v>32</v>
      </c>
      <c r="M11">
        <v>0</v>
      </c>
      <c r="N11">
        <v>0</v>
      </c>
      <c r="O11">
        <v>80</v>
      </c>
      <c r="P11" s="1">
        <f t="shared" si="1"/>
        <v>0</v>
      </c>
      <c r="Q11">
        <f t="shared" si="2"/>
        <v>80</v>
      </c>
      <c r="R11" s="1">
        <f t="shared" si="3"/>
        <v>0</v>
      </c>
    </row>
    <row r="12" spans="1:18" x14ac:dyDescent="0.3">
      <c r="A12" t="s">
        <v>501</v>
      </c>
      <c r="B12" t="s">
        <v>502</v>
      </c>
      <c r="C12" t="s">
        <v>15</v>
      </c>
      <c r="D12">
        <v>56</v>
      </c>
      <c r="E12">
        <v>169</v>
      </c>
      <c r="F12" t="s">
        <v>482</v>
      </c>
      <c r="G12" s="1">
        <v>50.18</v>
      </c>
      <c r="H12">
        <v>136</v>
      </c>
      <c r="I12">
        <v>0.9</v>
      </c>
      <c r="J12">
        <v>3.5</v>
      </c>
      <c r="K12">
        <v>3</v>
      </c>
      <c r="L12">
        <f t="shared" si="0"/>
        <v>7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501.8</v>
      </c>
    </row>
    <row r="13" spans="1:18" x14ac:dyDescent="0.3">
      <c r="A13" t="s">
        <v>503</v>
      </c>
      <c r="B13" t="s">
        <v>504</v>
      </c>
      <c r="C13" t="s">
        <v>15</v>
      </c>
      <c r="D13">
        <v>1</v>
      </c>
      <c r="E13">
        <v>18</v>
      </c>
      <c r="F13" t="s">
        <v>87</v>
      </c>
      <c r="G13" s="1">
        <v>0</v>
      </c>
      <c r="H13">
        <v>0</v>
      </c>
      <c r="I13">
        <v>0.5</v>
      </c>
      <c r="J13">
        <v>18</v>
      </c>
      <c r="K13">
        <v>9</v>
      </c>
      <c r="L13">
        <f t="shared" si="0"/>
        <v>18</v>
      </c>
      <c r="M13">
        <v>0</v>
      </c>
      <c r="N13">
        <v>0</v>
      </c>
      <c r="O13">
        <v>45</v>
      </c>
      <c r="P13" s="1">
        <f t="shared" si="1"/>
        <v>0</v>
      </c>
      <c r="Q13">
        <f t="shared" si="2"/>
        <v>45</v>
      </c>
      <c r="R13" s="1">
        <f t="shared" si="3"/>
        <v>0</v>
      </c>
    </row>
    <row r="14" spans="1:18" x14ac:dyDescent="0.3">
      <c r="A14" t="s">
        <v>505</v>
      </c>
      <c r="B14" t="s">
        <v>506</v>
      </c>
      <c r="C14" t="s">
        <v>15</v>
      </c>
      <c r="D14">
        <v>54</v>
      </c>
      <c r="E14">
        <v>187</v>
      </c>
      <c r="F14" t="s">
        <v>482</v>
      </c>
      <c r="G14" s="1">
        <v>212.23</v>
      </c>
      <c r="H14">
        <v>121</v>
      </c>
      <c r="I14">
        <v>0.7</v>
      </c>
      <c r="J14">
        <v>3.5</v>
      </c>
      <c r="K14">
        <v>2</v>
      </c>
      <c r="L14">
        <f t="shared" si="0"/>
        <v>5</v>
      </c>
      <c r="M14">
        <v>0</v>
      </c>
      <c r="N14">
        <v>0</v>
      </c>
      <c r="O14">
        <v>9</v>
      </c>
      <c r="P14" s="1">
        <f t="shared" si="1"/>
        <v>0</v>
      </c>
      <c r="Q14">
        <f t="shared" si="2"/>
        <v>9</v>
      </c>
      <c r="R14" s="1">
        <f t="shared" si="3"/>
        <v>1910.07</v>
      </c>
    </row>
    <row r="15" spans="1:18" x14ac:dyDescent="0.3">
      <c r="A15" t="s">
        <v>507</v>
      </c>
      <c r="B15" t="s">
        <v>508</v>
      </c>
      <c r="C15" t="s">
        <v>15</v>
      </c>
      <c r="D15">
        <v>1</v>
      </c>
      <c r="E15">
        <v>32</v>
      </c>
      <c r="F15" t="s">
        <v>87</v>
      </c>
      <c r="G15" s="1">
        <v>0</v>
      </c>
      <c r="H15">
        <v>0</v>
      </c>
      <c r="I15">
        <v>0.5</v>
      </c>
      <c r="J15">
        <v>32</v>
      </c>
      <c r="K15">
        <v>16</v>
      </c>
      <c r="L15">
        <f t="shared" si="0"/>
        <v>32</v>
      </c>
      <c r="M15">
        <v>0</v>
      </c>
      <c r="N15">
        <v>0</v>
      </c>
      <c r="O15">
        <v>80</v>
      </c>
      <c r="P15" s="1">
        <f t="shared" si="1"/>
        <v>0</v>
      </c>
      <c r="Q15">
        <f t="shared" si="2"/>
        <v>80</v>
      </c>
      <c r="R15" s="1">
        <f t="shared" si="3"/>
        <v>0</v>
      </c>
    </row>
    <row r="16" spans="1:18" x14ac:dyDescent="0.3">
      <c r="A16" t="s">
        <v>509</v>
      </c>
      <c r="B16" t="s">
        <v>510</v>
      </c>
      <c r="C16" t="s">
        <v>15</v>
      </c>
      <c r="D16">
        <v>31</v>
      </c>
      <c r="E16">
        <v>48</v>
      </c>
      <c r="F16" t="s">
        <v>482</v>
      </c>
      <c r="G16" s="1">
        <v>403</v>
      </c>
      <c r="H16">
        <v>48</v>
      </c>
      <c r="I16">
        <v>0.7</v>
      </c>
      <c r="J16">
        <v>2</v>
      </c>
      <c r="K16">
        <v>1</v>
      </c>
      <c r="L16">
        <f t="shared" si="0"/>
        <v>3</v>
      </c>
      <c r="M16">
        <v>0</v>
      </c>
      <c r="N16">
        <v>0</v>
      </c>
      <c r="O16">
        <v>5</v>
      </c>
      <c r="P16" s="1">
        <f t="shared" si="1"/>
        <v>0</v>
      </c>
      <c r="Q16">
        <f t="shared" si="2"/>
        <v>5</v>
      </c>
      <c r="R16" s="1">
        <f t="shared" si="3"/>
        <v>2015</v>
      </c>
    </row>
    <row r="17" spans="1:18" x14ac:dyDescent="0.3">
      <c r="A17" t="s">
        <v>511</v>
      </c>
      <c r="B17" t="s">
        <v>512</v>
      </c>
      <c r="C17" t="s">
        <v>15</v>
      </c>
      <c r="D17">
        <v>1</v>
      </c>
      <c r="E17">
        <v>9</v>
      </c>
      <c r="F17" t="s">
        <v>87</v>
      </c>
      <c r="G17" s="1">
        <v>0</v>
      </c>
      <c r="H17">
        <v>0</v>
      </c>
      <c r="I17">
        <v>0.5</v>
      </c>
      <c r="J17">
        <v>9</v>
      </c>
      <c r="K17">
        <v>4</v>
      </c>
      <c r="L17">
        <f t="shared" si="0"/>
        <v>9</v>
      </c>
      <c r="M17">
        <v>0</v>
      </c>
      <c r="N17">
        <v>0</v>
      </c>
      <c r="O17">
        <v>22</v>
      </c>
      <c r="P17" s="1">
        <f t="shared" si="1"/>
        <v>0</v>
      </c>
      <c r="Q17">
        <f t="shared" si="2"/>
        <v>22</v>
      </c>
      <c r="R17" s="1">
        <f t="shared" si="3"/>
        <v>0</v>
      </c>
    </row>
    <row r="18" spans="1:18" x14ac:dyDescent="0.3">
      <c r="A1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R12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513</v>
      </c>
      <c r="B2" t="s">
        <v>514</v>
      </c>
      <c r="C2" t="s">
        <v>16</v>
      </c>
      <c r="D2">
        <v>22</v>
      </c>
      <c r="E2">
        <v>13</v>
      </c>
      <c r="F2" t="s">
        <v>131</v>
      </c>
      <c r="G2" s="1">
        <v>144</v>
      </c>
      <c r="H2">
        <v>0</v>
      </c>
      <c r="I2">
        <v>0.5</v>
      </c>
      <c r="J2">
        <v>1</v>
      </c>
      <c r="K2">
        <v>1</v>
      </c>
      <c r="L2">
        <f t="shared" ref="L2:L11" si="0">ROUNDUP((J2*I2)+K2,0)</f>
        <v>2</v>
      </c>
      <c r="M2">
        <v>0</v>
      </c>
      <c r="N2">
        <v>0</v>
      </c>
      <c r="O2">
        <v>2</v>
      </c>
      <c r="P2" s="1">
        <f t="shared" ref="P2:P11" si="1">IFERROR(M2*G2,0)</f>
        <v>0</v>
      </c>
      <c r="Q2">
        <f t="shared" ref="Q2:Q11" si="2">IF(O2-M2-N2&gt;0,O2-M2-N2,0)</f>
        <v>2</v>
      </c>
      <c r="R2" s="1">
        <f t="shared" ref="R2:R11" si="3">IFERROR(Q2*G2,0)</f>
        <v>288</v>
      </c>
    </row>
    <row r="3" spans="1:18" x14ac:dyDescent="0.3">
      <c r="A3" t="s">
        <v>515</v>
      </c>
      <c r="B3" t="s">
        <v>516</v>
      </c>
      <c r="C3" t="s">
        <v>16</v>
      </c>
      <c r="D3">
        <v>22</v>
      </c>
      <c r="E3">
        <v>11</v>
      </c>
      <c r="F3" t="s">
        <v>131</v>
      </c>
      <c r="G3" s="1">
        <v>225.64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451.28</v>
      </c>
    </row>
    <row r="4" spans="1:18" x14ac:dyDescent="0.3">
      <c r="A4" t="s">
        <v>517</v>
      </c>
      <c r="B4" t="s">
        <v>518</v>
      </c>
      <c r="C4" t="s">
        <v>16</v>
      </c>
      <c r="D4">
        <v>22</v>
      </c>
      <c r="E4">
        <v>12</v>
      </c>
      <c r="F4" t="s">
        <v>131</v>
      </c>
      <c r="G4" s="1">
        <v>124.5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249</v>
      </c>
    </row>
    <row r="5" spans="1:18" x14ac:dyDescent="0.3">
      <c r="A5" t="s">
        <v>519</v>
      </c>
      <c r="B5" t="s">
        <v>520</v>
      </c>
      <c r="C5" t="s">
        <v>16</v>
      </c>
      <c r="D5">
        <v>2</v>
      </c>
      <c r="E5">
        <v>8</v>
      </c>
      <c r="F5" t="s">
        <v>131</v>
      </c>
      <c r="G5" s="1">
        <v>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0</v>
      </c>
    </row>
    <row r="6" spans="1:18" x14ac:dyDescent="0.3">
      <c r="A6" t="s">
        <v>521</v>
      </c>
      <c r="B6" t="s">
        <v>522</v>
      </c>
      <c r="C6" t="s">
        <v>16</v>
      </c>
      <c r="D6">
        <v>1</v>
      </c>
      <c r="E6">
        <v>1</v>
      </c>
      <c r="F6" t="s">
        <v>181</v>
      </c>
      <c r="G6" s="1">
        <v>1792</v>
      </c>
      <c r="H6">
        <v>0</v>
      </c>
      <c r="I6">
        <v>1.2</v>
      </c>
      <c r="J6">
        <v>1</v>
      </c>
      <c r="K6">
        <v>1</v>
      </c>
      <c r="L6">
        <f t="shared" si="0"/>
        <v>3</v>
      </c>
      <c r="M6">
        <v>0</v>
      </c>
      <c r="N6">
        <v>0</v>
      </c>
      <c r="O6">
        <v>3</v>
      </c>
      <c r="P6" s="1">
        <f t="shared" si="1"/>
        <v>0</v>
      </c>
      <c r="Q6">
        <f t="shared" si="2"/>
        <v>3</v>
      </c>
      <c r="R6" s="1">
        <f t="shared" si="3"/>
        <v>5376</v>
      </c>
    </row>
    <row r="7" spans="1:18" x14ac:dyDescent="0.3">
      <c r="A7" t="s">
        <v>523</v>
      </c>
      <c r="B7" t="s">
        <v>524</v>
      </c>
      <c r="C7" t="s">
        <v>16</v>
      </c>
      <c r="D7">
        <v>2</v>
      </c>
      <c r="E7">
        <v>8</v>
      </c>
      <c r="F7" t="s">
        <v>131</v>
      </c>
      <c r="G7" s="1">
        <v>0</v>
      </c>
      <c r="H7">
        <v>0</v>
      </c>
      <c r="I7">
        <v>0.5</v>
      </c>
      <c r="J7">
        <v>4</v>
      </c>
      <c r="K7">
        <v>2</v>
      </c>
      <c r="L7">
        <f t="shared" si="0"/>
        <v>4</v>
      </c>
      <c r="M7">
        <v>0</v>
      </c>
      <c r="N7">
        <v>0</v>
      </c>
      <c r="O7">
        <v>10</v>
      </c>
      <c r="P7" s="1">
        <f t="shared" si="1"/>
        <v>0</v>
      </c>
      <c r="Q7">
        <f t="shared" si="2"/>
        <v>10</v>
      </c>
      <c r="R7" s="1">
        <f t="shared" si="3"/>
        <v>0</v>
      </c>
    </row>
    <row r="8" spans="1:18" x14ac:dyDescent="0.3">
      <c r="A8" t="s">
        <v>525</v>
      </c>
      <c r="B8" t="s">
        <v>526</v>
      </c>
      <c r="C8" t="s">
        <v>16</v>
      </c>
      <c r="D8">
        <v>1</v>
      </c>
      <c r="E8">
        <v>10</v>
      </c>
      <c r="F8" t="s">
        <v>131</v>
      </c>
      <c r="G8" s="1">
        <v>0</v>
      </c>
      <c r="H8">
        <v>0</v>
      </c>
      <c r="I8">
        <v>0.5</v>
      </c>
      <c r="J8">
        <v>10</v>
      </c>
      <c r="K8">
        <v>5</v>
      </c>
      <c r="L8">
        <f t="shared" si="0"/>
        <v>10</v>
      </c>
      <c r="M8">
        <v>0</v>
      </c>
      <c r="N8">
        <v>0</v>
      </c>
      <c r="O8">
        <v>25</v>
      </c>
      <c r="P8" s="1">
        <f t="shared" si="1"/>
        <v>0</v>
      </c>
      <c r="Q8">
        <f t="shared" si="2"/>
        <v>25</v>
      </c>
      <c r="R8" s="1">
        <f t="shared" si="3"/>
        <v>0</v>
      </c>
    </row>
    <row r="9" spans="1:18" x14ac:dyDescent="0.3">
      <c r="A9" t="s">
        <v>527</v>
      </c>
      <c r="B9" t="s">
        <v>528</v>
      </c>
      <c r="C9" t="s">
        <v>16</v>
      </c>
      <c r="D9">
        <v>2</v>
      </c>
      <c r="E9">
        <v>11</v>
      </c>
      <c r="F9" t="s">
        <v>131</v>
      </c>
      <c r="G9" s="1">
        <v>0</v>
      </c>
      <c r="H9">
        <v>0</v>
      </c>
      <c r="I9">
        <v>0.5</v>
      </c>
      <c r="J9">
        <v>5.5</v>
      </c>
      <c r="K9">
        <v>3</v>
      </c>
      <c r="L9">
        <f t="shared" si="0"/>
        <v>6</v>
      </c>
      <c r="M9">
        <v>0</v>
      </c>
      <c r="N9">
        <v>0</v>
      </c>
      <c r="O9">
        <v>14</v>
      </c>
      <c r="P9" s="1">
        <f t="shared" si="1"/>
        <v>0</v>
      </c>
      <c r="Q9">
        <f t="shared" si="2"/>
        <v>14</v>
      </c>
      <c r="R9" s="1">
        <f t="shared" si="3"/>
        <v>0</v>
      </c>
    </row>
    <row r="10" spans="1:18" x14ac:dyDescent="0.3">
      <c r="A10" t="s">
        <v>529</v>
      </c>
      <c r="B10" t="s">
        <v>530</v>
      </c>
      <c r="C10" t="s">
        <v>16</v>
      </c>
      <c r="D10">
        <v>22</v>
      </c>
      <c r="E10">
        <v>3</v>
      </c>
      <c r="F10" t="s">
        <v>181</v>
      </c>
      <c r="G10" s="1">
        <v>1095</v>
      </c>
      <c r="H10">
        <v>0</v>
      </c>
      <c r="I10">
        <v>0.6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3</v>
      </c>
      <c r="P10" s="1">
        <f t="shared" si="1"/>
        <v>0</v>
      </c>
      <c r="Q10">
        <f t="shared" si="2"/>
        <v>3</v>
      </c>
      <c r="R10" s="1">
        <f t="shared" si="3"/>
        <v>3285</v>
      </c>
    </row>
    <row r="11" spans="1:18" x14ac:dyDescent="0.3">
      <c r="A11" t="s">
        <v>531</v>
      </c>
      <c r="B11" t="s">
        <v>532</v>
      </c>
      <c r="C11" t="s">
        <v>16</v>
      </c>
      <c r="D11">
        <v>1</v>
      </c>
      <c r="E11">
        <v>2</v>
      </c>
      <c r="F11" t="s">
        <v>131</v>
      </c>
      <c r="G11" s="1">
        <v>0</v>
      </c>
      <c r="H11">
        <v>0</v>
      </c>
      <c r="I11">
        <v>0.5</v>
      </c>
      <c r="J11">
        <v>2</v>
      </c>
      <c r="K11">
        <v>1</v>
      </c>
      <c r="L11">
        <f t="shared" si="0"/>
        <v>2</v>
      </c>
      <c r="M11">
        <v>0</v>
      </c>
      <c r="N11">
        <v>0</v>
      </c>
      <c r="O11">
        <v>5</v>
      </c>
      <c r="P11" s="1">
        <f t="shared" si="1"/>
        <v>0</v>
      </c>
      <c r="Q11">
        <f t="shared" si="2"/>
        <v>5</v>
      </c>
      <c r="R11" s="1">
        <f t="shared" si="3"/>
        <v>0</v>
      </c>
    </row>
    <row r="12" spans="1:18" x14ac:dyDescent="0.3">
      <c r="A12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533</v>
      </c>
      <c r="B2" t="s">
        <v>534</v>
      </c>
      <c r="C2" t="s">
        <v>17</v>
      </c>
      <c r="D2">
        <v>1</v>
      </c>
      <c r="E2">
        <v>1</v>
      </c>
      <c r="F2" t="s">
        <v>181</v>
      </c>
      <c r="G2" s="1">
        <v>1880</v>
      </c>
      <c r="H2">
        <v>1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3760</v>
      </c>
    </row>
    <row r="3" spans="1:18" x14ac:dyDescent="0.3">
      <c r="A3" t="s">
        <v>535</v>
      </c>
      <c r="B3" t="s">
        <v>536</v>
      </c>
      <c r="C3" t="s">
        <v>17</v>
      </c>
      <c r="D3">
        <v>1</v>
      </c>
      <c r="E3">
        <v>4</v>
      </c>
      <c r="F3" t="s">
        <v>181</v>
      </c>
      <c r="G3" s="1">
        <v>1737</v>
      </c>
      <c r="H3">
        <v>2</v>
      </c>
      <c r="I3">
        <v>0.6</v>
      </c>
      <c r="J3">
        <v>4</v>
      </c>
      <c r="K3">
        <v>2</v>
      </c>
      <c r="L3">
        <f>ROUNDUP((J3*I3)+K3,0)</f>
        <v>5</v>
      </c>
      <c r="M3">
        <v>0</v>
      </c>
      <c r="N3">
        <v>0</v>
      </c>
      <c r="O3">
        <v>10</v>
      </c>
      <c r="P3" s="1">
        <f>IFERROR(M3*G3,0)</f>
        <v>0</v>
      </c>
      <c r="Q3">
        <f>IF(O3-M3-N3&gt;0,O3-M3-N3,0)</f>
        <v>10</v>
      </c>
      <c r="R3" s="1">
        <f>IFERROR(Q3*G3,0)</f>
        <v>17370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R730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537</v>
      </c>
      <c r="B2" t="s">
        <v>538</v>
      </c>
      <c r="C2" t="s">
        <v>18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0</v>
      </c>
    </row>
    <row r="3" spans="1:18" x14ac:dyDescent="0.3">
      <c r="A3" t="s">
        <v>539</v>
      </c>
      <c r="B3" t="s">
        <v>540</v>
      </c>
      <c r="C3" t="s">
        <v>18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541</v>
      </c>
      <c r="B4" t="s">
        <v>542</v>
      </c>
      <c r="C4" t="s">
        <v>18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543</v>
      </c>
      <c r="B5" t="s">
        <v>544</v>
      </c>
      <c r="C5" t="s">
        <v>18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545</v>
      </c>
      <c r="B6" t="s">
        <v>546</v>
      </c>
      <c r="C6" t="s">
        <v>18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547</v>
      </c>
      <c r="B7" t="s">
        <v>548</v>
      </c>
      <c r="C7" t="s">
        <v>18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549</v>
      </c>
      <c r="B8" t="s">
        <v>550</v>
      </c>
      <c r="C8" t="s">
        <v>18</v>
      </c>
      <c r="D8">
        <v>16</v>
      </c>
      <c r="E8">
        <v>10</v>
      </c>
      <c r="F8" t="s">
        <v>551</v>
      </c>
      <c r="G8" s="1">
        <v>6255</v>
      </c>
      <c r="H8">
        <v>10</v>
      </c>
      <c r="I8">
        <v>1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3</v>
      </c>
      <c r="P8" s="1">
        <f t="shared" si="1"/>
        <v>0</v>
      </c>
      <c r="Q8">
        <f t="shared" si="2"/>
        <v>3</v>
      </c>
      <c r="R8" s="1">
        <f t="shared" si="3"/>
        <v>18765</v>
      </c>
    </row>
    <row r="9" spans="1:18" x14ac:dyDescent="0.3">
      <c r="A9" t="s">
        <v>552</v>
      </c>
      <c r="B9" t="s">
        <v>553</v>
      </c>
      <c r="C9" t="s">
        <v>18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554</v>
      </c>
      <c r="B10" t="s">
        <v>555</v>
      </c>
      <c r="C10" t="s">
        <v>18</v>
      </c>
      <c r="D10">
        <v>1</v>
      </c>
      <c r="E10">
        <v>4</v>
      </c>
      <c r="F10" t="s">
        <v>551</v>
      </c>
      <c r="G10" s="1">
        <v>7900</v>
      </c>
      <c r="H10">
        <v>4</v>
      </c>
      <c r="I10">
        <v>1.9</v>
      </c>
      <c r="J10">
        <v>4</v>
      </c>
      <c r="K10">
        <v>8</v>
      </c>
      <c r="L10">
        <f t="shared" si="0"/>
        <v>16</v>
      </c>
      <c r="M10">
        <v>0</v>
      </c>
      <c r="N10">
        <v>0</v>
      </c>
      <c r="O10">
        <v>16</v>
      </c>
      <c r="P10" s="1">
        <f t="shared" si="1"/>
        <v>0</v>
      </c>
      <c r="Q10">
        <f t="shared" si="2"/>
        <v>16</v>
      </c>
      <c r="R10" s="1">
        <f t="shared" si="3"/>
        <v>126400</v>
      </c>
    </row>
    <row r="11" spans="1:18" x14ac:dyDescent="0.3">
      <c r="A11" t="s">
        <v>556</v>
      </c>
      <c r="B11" t="s">
        <v>557</v>
      </c>
      <c r="C11" t="s">
        <v>18</v>
      </c>
      <c r="D11">
        <v>1</v>
      </c>
      <c r="E11">
        <v>4</v>
      </c>
      <c r="F11" t="s">
        <v>551</v>
      </c>
      <c r="G11" s="1">
        <v>4463</v>
      </c>
      <c r="H11">
        <v>0</v>
      </c>
      <c r="I11">
        <v>0.5</v>
      </c>
      <c r="J11">
        <v>4</v>
      </c>
      <c r="K11">
        <v>2</v>
      </c>
      <c r="L11">
        <f t="shared" si="0"/>
        <v>4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44630</v>
      </c>
    </row>
    <row r="12" spans="1:18" x14ac:dyDescent="0.3">
      <c r="A12" t="s">
        <v>558</v>
      </c>
      <c r="B12" t="s">
        <v>559</v>
      </c>
      <c r="C12" t="s">
        <v>18</v>
      </c>
      <c r="D12">
        <v>1</v>
      </c>
      <c r="E12">
        <v>0</v>
      </c>
      <c r="G12" s="1">
        <v>0</v>
      </c>
      <c r="H12">
        <v>4</v>
      </c>
      <c r="I12">
        <v>0.5</v>
      </c>
      <c r="J12">
        <v>4</v>
      </c>
      <c r="K12">
        <v>2</v>
      </c>
      <c r="L12">
        <f t="shared" si="0"/>
        <v>4</v>
      </c>
      <c r="M12">
        <v>0</v>
      </c>
      <c r="N12">
        <v>0</v>
      </c>
      <c r="O12">
        <v>10</v>
      </c>
      <c r="P12" s="1">
        <f t="shared" si="1"/>
        <v>0</v>
      </c>
      <c r="Q12">
        <f t="shared" si="2"/>
        <v>10</v>
      </c>
      <c r="R12" s="1">
        <f t="shared" si="3"/>
        <v>0</v>
      </c>
    </row>
    <row r="13" spans="1:18" x14ac:dyDescent="0.3">
      <c r="A13" t="s">
        <v>560</v>
      </c>
      <c r="B13" t="s">
        <v>561</v>
      </c>
      <c r="C13" t="s">
        <v>18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562</v>
      </c>
      <c r="B14" t="s">
        <v>563</v>
      </c>
      <c r="C14" t="s">
        <v>18</v>
      </c>
      <c r="D14">
        <v>1</v>
      </c>
      <c r="E14">
        <v>2</v>
      </c>
      <c r="F14" t="s">
        <v>551</v>
      </c>
      <c r="G14" s="1">
        <v>5620</v>
      </c>
      <c r="H14">
        <v>2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28100</v>
      </c>
    </row>
    <row r="15" spans="1:18" x14ac:dyDescent="0.3">
      <c r="A15" t="s">
        <v>564</v>
      </c>
      <c r="B15" t="s">
        <v>565</v>
      </c>
      <c r="C15" t="s">
        <v>18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566</v>
      </c>
      <c r="B16" t="s">
        <v>567</v>
      </c>
      <c r="C16" t="s">
        <v>18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568</v>
      </c>
      <c r="B17" t="s">
        <v>569</v>
      </c>
      <c r="C17" t="s">
        <v>18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570</v>
      </c>
      <c r="B18" t="s">
        <v>571</v>
      </c>
      <c r="C18" t="s">
        <v>18</v>
      </c>
      <c r="D18">
        <v>17</v>
      </c>
      <c r="E18">
        <v>53</v>
      </c>
      <c r="F18" t="s">
        <v>551</v>
      </c>
      <c r="G18" s="1">
        <v>360</v>
      </c>
      <c r="H18">
        <v>55</v>
      </c>
      <c r="I18">
        <v>0.5</v>
      </c>
      <c r="J18">
        <v>3.5</v>
      </c>
      <c r="K18">
        <v>2</v>
      </c>
      <c r="L18">
        <f t="shared" si="0"/>
        <v>4</v>
      </c>
      <c r="M18">
        <v>0</v>
      </c>
      <c r="N18">
        <v>0</v>
      </c>
      <c r="O18">
        <v>9</v>
      </c>
      <c r="P18" s="1">
        <f t="shared" si="1"/>
        <v>0</v>
      </c>
      <c r="Q18">
        <f t="shared" si="2"/>
        <v>9</v>
      </c>
      <c r="R18" s="1">
        <f t="shared" si="3"/>
        <v>3240</v>
      </c>
    </row>
    <row r="19" spans="1:18" x14ac:dyDescent="0.3">
      <c r="A19" t="s">
        <v>572</v>
      </c>
      <c r="B19" t="s">
        <v>573</v>
      </c>
      <c r="C19" t="s">
        <v>18</v>
      </c>
      <c r="D19">
        <v>28</v>
      </c>
      <c r="E19">
        <v>8</v>
      </c>
      <c r="F19" t="s">
        <v>482</v>
      </c>
      <c r="G19" s="1">
        <v>2147.54</v>
      </c>
      <c r="H19">
        <v>8</v>
      </c>
      <c r="I19">
        <v>1.3</v>
      </c>
      <c r="J19">
        <v>1</v>
      </c>
      <c r="K19">
        <v>1</v>
      </c>
      <c r="L19">
        <f t="shared" si="0"/>
        <v>3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6442.62</v>
      </c>
    </row>
    <row r="20" spans="1:18" x14ac:dyDescent="0.3">
      <c r="A20" t="s">
        <v>574</v>
      </c>
      <c r="B20" t="s">
        <v>575</v>
      </c>
      <c r="C20" t="s">
        <v>18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576</v>
      </c>
      <c r="B21" t="s">
        <v>577</v>
      </c>
      <c r="C21" t="s">
        <v>18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578</v>
      </c>
      <c r="B22" t="s">
        <v>579</v>
      </c>
      <c r="C22" t="s">
        <v>18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580</v>
      </c>
      <c r="B23" t="s">
        <v>581</v>
      </c>
      <c r="C23" t="s">
        <v>18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582</v>
      </c>
      <c r="B24" t="s">
        <v>583</v>
      </c>
      <c r="C24" t="s">
        <v>18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584</v>
      </c>
      <c r="B25" t="s">
        <v>585</v>
      </c>
      <c r="C25" t="s">
        <v>18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586</v>
      </c>
      <c r="B26" t="s">
        <v>587</v>
      </c>
      <c r="C26" t="s">
        <v>18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588</v>
      </c>
      <c r="B27" t="s">
        <v>589</v>
      </c>
      <c r="C27" t="s">
        <v>18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590</v>
      </c>
      <c r="B28" t="s">
        <v>591</v>
      </c>
      <c r="C28" t="s">
        <v>18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592</v>
      </c>
      <c r="B29" t="s">
        <v>593</v>
      </c>
      <c r="C29" t="s">
        <v>18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594</v>
      </c>
      <c r="B30" t="s">
        <v>595</v>
      </c>
      <c r="C30" t="s">
        <v>18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596</v>
      </c>
      <c r="B31" t="s">
        <v>597</v>
      </c>
      <c r="C31" t="s">
        <v>18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598</v>
      </c>
      <c r="B32" t="s">
        <v>599</v>
      </c>
      <c r="C32" t="s">
        <v>18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600</v>
      </c>
      <c r="B33" t="s">
        <v>601</v>
      </c>
      <c r="C33" t="s">
        <v>18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602</v>
      </c>
      <c r="B34" t="s">
        <v>603</v>
      </c>
      <c r="C34" t="s">
        <v>18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x14ac:dyDescent="0.3">
      <c r="A35" t="s">
        <v>604</v>
      </c>
      <c r="B35" t="s">
        <v>605</v>
      </c>
      <c r="C35" t="s">
        <v>18</v>
      </c>
      <c r="D35">
        <v>33</v>
      </c>
      <c r="E35">
        <v>14</v>
      </c>
      <c r="F35" t="s">
        <v>551</v>
      </c>
      <c r="G35" s="1">
        <v>440.33</v>
      </c>
      <c r="H35">
        <v>8</v>
      </c>
      <c r="I35">
        <v>0.5</v>
      </c>
      <c r="J35">
        <v>1</v>
      </c>
      <c r="K35">
        <v>1</v>
      </c>
      <c r="L35">
        <f t="shared" si="0"/>
        <v>2</v>
      </c>
      <c r="M35">
        <v>0</v>
      </c>
      <c r="N35">
        <v>0</v>
      </c>
      <c r="O35">
        <v>2</v>
      </c>
      <c r="P35" s="1">
        <f t="shared" si="1"/>
        <v>0</v>
      </c>
      <c r="Q35">
        <f t="shared" si="2"/>
        <v>2</v>
      </c>
      <c r="R35" s="1">
        <f t="shared" si="3"/>
        <v>880.66</v>
      </c>
    </row>
    <row r="36" spans="1:18" x14ac:dyDescent="0.3">
      <c r="A36" t="s">
        <v>606</v>
      </c>
      <c r="B36" t="s">
        <v>607</v>
      </c>
      <c r="C36" t="s">
        <v>18</v>
      </c>
      <c r="D36">
        <v>2</v>
      </c>
      <c r="E36">
        <v>0</v>
      </c>
      <c r="G36" s="1">
        <v>0</v>
      </c>
      <c r="H36">
        <v>50</v>
      </c>
      <c r="I36">
        <v>0.5</v>
      </c>
      <c r="J36">
        <v>25</v>
      </c>
      <c r="K36">
        <v>12</v>
      </c>
      <c r="L36">
        <f t="shared" si="0"/>
        <v>25</v>
      </c>
      <c r="M36">
        <v>0</v>
      </c>
      <c r="N36">
        <v>0</v>
      </c>
      <c r="O36">
        <v>62</v>
      </c>
      <c r="P36" s="1">
        <f t="shared" si="1"/>
        <v>0</v>
      </c>
      <c r="Q36">
        <f t="shared" si="2"/>
        <v>62</v>
      </c>
      <c r="R36" s="1">
        <f t="shared" si="3"/>
        <v>0</v>
      </c>
    </row>
    <row r="37" spans="1:18" x14ac:dyDescent="0.3">
      <c r="A37" t="s">
        <v>608</v>
      </c>
      <c r="B37" t="s">
        <v>609</v>
      </c>
      <c r="C37" t="s">
        <v>18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0"/>
        <v>2</v>
      </c>
      <c r="M37">
        <v>0</v>
      </c>
      <c r="N37">
        <v>0</v>
      </c>
      <c r="O37">
        <v>2</v>
      </c>
      <c r="P37" s="1">
        <f t="shared" si="1"/>
        <v>0</v>
      </c>
      <c r="Q37">
        <f t="shared" si="2"/>
        <v>2</v>
      </c>
      <c r="R37" s="1">
        <f t="shared" si="3"/>
        <v>0</v>
      </c>
    </row>
    <row r="38" spans="1:18" x14ac:dyDescent="0.3">
      <c r="A38" t="s">
        <v>610</v>
      </c>
      <c r="B38" t="s">
        <v>611</v>
      </c>
      <c r="C38" t="s">
        <v>18</v>
      </c>
      <c r="D38">
        <v>31</v>
      </c>
      <c r="E38">
        <v>123</v>
      </c>
      <c r="F38" t="s">
        <v>551</v>
      </c>
      <c r="G38" s="1">
        <v>474.88</v>
      </c>
      <c r="H38">
        <v>124</v>
      </c>
      <c r="I38">
        <v>0.5</v>
      </c>
      <c r="J38">
        <v>4</v>
      </c>
      <c r="K38">
        <v>2</v>
      </c>
      <c r="L38">
        <f t="shared" si="0"/>
        <v>4</v>
      </c>
      <c r="M38">
        <v>0</v>
      </c>
      <c r="N38">
        <v>0</v>
      </c>
      <c r="O38">
        <v>10</v>
      </c>
      <c r="P38" s="1">
        <f t="shared" si="1"/>
        <v>0</v>
      </c>
      <c r="Q38">
        <f t="shared" si="2"/>
        <v>10</v>
      </c>
      <c r="R38" s="1">
        <f t="shared" si="3"/>
        <v>4748.8</v>
      </c>
    </row>
    <row r="39" spans="1:18" x14ac:dyDescent="0.3">
      <c r="A39" t="s">
        <v>612</v>
      </c>
      <c r="B39" t="s">
        <v>613</v>
      </c>
      <c r="C39" t="s">
        <v>18</v>
      </c>
      <c r="D39">
        <v>5</v>
      </c>
      <c r="E39">
        <v>2</v>
      </c>
      <c r="F39" t="s">
        <v>124</v>
      </c>
      <c r="G39" s="1">
        <v>12757.61</v>
      </c>
      <c r="H39">
        <v>4</v>
      </c>
      <c r="I39">
        <v>1.7</v>
      </c>
      <c r="J39">
        <v>1</v>
      </c>
      <c r="K39">
        <v>2</v>
      </c>
      <c r="L39">
        <f t="shared" si="0"/>
        <v>4</v>
      </c>
      <c r="M39">
        <v>0</v>
      </c>
      <c r="N39">
        <v>0</v>
      </c>
      <c r="O39">
        <v>4</v>
      </c>
      <c r="P39" s="1">
        <f t="shared" si="1"/>
        <v>0</v>
      </c>
      <c r="Q39">
        <f t="shared" si="2"/>
        <v>4</v>
      </c>
      <c r="R39" s="1">
        <f t="shared" si="3"/>
        <v>51030.44</v>
      </c>
    </row>
    <row r="40" spans="1:18" x14ac:dyDescent="0.3">
      <c r="A40" t="s">
        <v>614</v>
      </c>
      <c r="B40" t="s">
        <v>615</v>
      </c>
      <c r="C40" t="s">
        <v>18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0"/>
        <v>2</v>
      </c>
      <c r="M40">
        <v>0</v>
      </c>
      <c r="N40">
        <v>0</v>
      </c>
      <c r="O40">
        <v>2</v>
      </c>
      <c r="P40" s="1">
        <f t="shared" si="1"/>
        <v>0</v>
      </c>
      <c r="Q40">
        <f t="shared" si="2"/>
        <v>2</v>
      </c>
      <c r="R40" s="1">
        <f t="shared" si="3"/>
        <v>0</v>
      </c>
    </row>
    <row r="41" spans="1:18" x14ac:dyDescent="0.3">
      <c r="A41" t="s">
        <v>616</v>
      </c>
      <c r="B41" t="s">
        <v>617</v>
      </c>
      <c r="C41" t="s">
        <v>18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x14ac:dyDescent="0.3">
      <c r="A42" t="s">
        <v>618</v>
      </c>
      <c r="B42" t="s">
        <v>619</v>
      </c>
      <c r="C42" t="s">
        <v>18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0"/>
        <v>2</v>
      </c>
      <c r="M42">
        <v>0</v>
      </c>
      <c r="N42">
        <v>0</v>
      </c>
      <c r="O42">
        <v>2</v>
      </c>
      <c r="P42" s="1">
        <f t="shared" si="1"/>
        <v>0</v>
      </c>
      <c r="Q42">
        <f t="shared" si="2"/>
        <v>2</v>
      </c>
      <c r="R42" s="1">
        <f t="shared" si="3"/>
        <v>0</v>
      </c>
    </row>
    <row r="43" spans="1:18" x14ac:dyDescent="0.3">
      <c r="A43" t="s">
        <v>620</v>
      </c>
      <c r="B43" t="s">
        <v>621</v>
      </c>
      <c r="C43" t="s">
        <v>18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x14ac:dyDescent="0.3">
      <c r="A44" t="s">
        <v>622</v>
      </c>
      <c r="B44" t="s">
        <v>623</v>
      </c>
      <c r="C44" t="s">
        <v>18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0"/>
        <v>2</v>
      </c>
      <c r="M44">
        <v>0</v>
      </c>
      <c r="N44">
        <v>0</v>
      </c>
      <c r="O44">
        <v>2</v>
      </c>
      <c r="P44" s="1">
        <f t="shared" si="1"/>
        <v>0</v>
      </c>
      <c r="Q44">
        <f t="shared" si="2"/>
        <v>2</v>
      </c>
      <c r="R44" s="1">
        <f t="shared" si="3"/>
        <v>0</v>
      </c>
    </row>
    <row r="45" spans="1:18" x14ac:dyDescent="0.3">
      <c r="A45" t="s">
        <v>624</v>
      </c>
      <c r="B45" t="s">
        <v>625</v>
      </c>
      <c r="C45" t="s">
        <v>18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x14ac:dyDescent="0.3">
      <c r="A46" t="s">
        <v>626</v>
      </c>
      <c r="B46" t="s">
        <v>627</v>
      </c>
      <c r="C46" t="s">
        <v>18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0</v>
      </c>
    </row>
    <row r="47" spans="1:18" x14ac:dyDescent="0.3">
      <c r="A47" t="s">
        <v>628</v>
      </c>
      <c r="B47" t="s">
        <v>629</v>
      </c>
      <c r="C47" t="s">
        <v>18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x14ac:dyDescent="0.3">
      <c r="A48" t="s">
        <v>630</v>
      </c>
      <c r="B48" t="s">
        <v>631</v>
      </c>
      <c r="C48" t="s">
        <v>18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x14ac:dyDescent="0.3">
      <c r="A49" t="s">
        <v>632</v>
      </c>
      <c r="B49" t="s">
        <v>633</v>
      </c>
      <c r="C49" t="s">
        <v>18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x14ac:dyDescent="0.3">
      <c r="A50" t="s">
        <v>634</v>
      </c>
      <c r="B50" t="s">
        <v>635</v>
      </c>
      <c r="C50" t="s">
        <v>18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x14ac:dyDescent="0.3">
      <c r="A51" t="s">
        <v>636</v>
      </c>
      <c r="B51" t="s">
        <v>637</v>
      </c>
      <c r="C51" t="s">
        <v>18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x14ac:dyDescent="0.3">
      <c r="A52" t="s">
        <v>638</v>
      </c>
      <c r="B52" t="s">
        <v>639</v>
      </c>
      <c r="C52" t="s">
        <v>18</v>
      </c>
      <c r="D52">
        <v>1</v>
      </c>
      <c r="E52">
        <v>0</v>
      </c>
      <c r="G52" s="1">
        <v>0</v>
      </c>
      <c r="H52">
        <v>0</v>
      </c>
      <c r="I52">
        <v>0.5</v>
      </c>
      <c r="J52">
        <v>1</v>
      </c>
      <c r="K52">
        <v>1</v>
      </c>
      <c r="L52">
        <f t="shared" si="0"/>
        <v>2</v>
      </c>
      <c r="M52">
        <v>0</v>
      </c>
      <c r="N52">
        <v>0</v>
      </c>
      <c r="O52">
        <v>2</v>
      </c>
      <c r="P52" s="1">
        <f t="shared" si="1"/>
        <v>0</v>
      </c>
      <c r="Q52">
        <f t="shared" si="2"/>
        <v>2</v>
      </c>
      <c r="R52" s="1">
        <f t="shared" si="3"/>
        <v>0</v>
      </c>
    </row>
    <row r="53" spans="1:18" x14ac:dyDescent="0.3">
      <c r="A53" t="s">
        <v>640</v>
      </c>
      <c r="B53" t="s">
        <v>641</v>
      </c>
      <c r="C53" t="s">
        <v>18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x14ac:dyDescent="0.3">
      <c r="A54" t="s">
        <v>642</v>
      </c>
      <c r="B54" t="s">
        <v>643</v>
      </c>
      <c r="C54" t="s">
        <v>18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0"/>
        <v>2</v>
      </c>
      <c r="M54">
        <v>0</v>
      </c>
      <c r="N54">
        <v>0</v>
      </c>
      <c r="O54">
        <v>2</v>
      </c>
      <c r="P54" s="1">
        <f t="shared" si="1"/>
        <v>0</v>
      </c>
      <c r="Q54">
        <f t="shared" si="2"/>
        <v>2</v>
      </c>
      <c r="R54" s="1">
        <f t="shared" si="3"/>
        <v>0</v>
      </c>
    </row>
    <row r="55" spans="1:18" x14ac:dyDescent="0.3">
      <c r="A55" t="s">
        <v>644</v>
      </c>
      <c r="B55" t="s">
        <v>645</v>
      </c>
      <c r="C55" t="s">
        <v>18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x14ac:dyDescent="0.3">
      <c r="A56" t="s">
        <v>646</v>
      </c>
      <c r="B56" t="s">
        <v>647</v>
      </c>
      <c r="C56" t="s">
        <v>18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x14ac:dyDescent="0.3">
      <c r="A57" t="s">
        <v>648</v>
      </c>
      <c r="B57" t="s">
        <v>649</v>
      </c>
      <c r="C57" t="s">
        <v>18</v>
      </c>
      <c r="D57">
        <v>33</v>
      </c>
      <c r="E57">
        <v>200</v>
      </c>
      <c r="F57" t="s">
        <v>551</v>
      </c>
      <c r="G57" s="1">
        <v>533</v>
      </c>
      <c r="H57">
        <v>217</v>
      </c>
      <c r="I57">
        <v>0.6</v>
      </c>
      <c r="J57">
        <v>7</v>
      </c>
      <c r="K57">
        <v>4</v>
      </c>
      <c r="L57">
        <f t="shared" si="0"/>
        <v>9</v>
      </c>
      <c r="M57">
        <v>0</v>
      </c>
      <c r="N57">
        <v>0</v>
      </c>
      <c r="O57">
        <v>18</v>
      </c>
      <c r="P57" s="1">
        <f t="shared" si="1"/>
        <v>0</v>
      </c>
      <c r="Q57">
        <f t="shared" si="2"/>
        <v>18</v>
      </c>
      <c r="R57" s="1">
        <f t="shared" si="3"/>
        <v>9594</v>
      </c>
    </row>
    <row r="58" spans="1:18" x14ac:dyDescent="0.3">
      <c r="A58" t="s">
        <v>650</v>
      </c>
      <c r="B58" t="s">
        <v>651</v>
      </c>
      <c r="C58" t="s">
        <v>18</v>
      </c>
      <c r="D58">
        <v>1</v>
      </c>
      <c r="E58">
        <v>4</v>
      </c>
      <c r="F58" t="s">
        <v>551</v>
      </c>
      <c r="G58" s="1">
        <v>623</v>
      </c>
      <c r="H58">
        <v>4</v>
      </c>
      <c r="I58">
        <v>0.5</v>
      </c>
      <c r="J58">
        <v>4</v>
      </c>
      <c r="K58">
        <v>2</v>
      </c>
      <c r="L58">
        <f t="shared" si="0"/>
        <v>4</v>
      </c>
      <c r="M58">
        <v>0</v>
      </c>
      <c r="N58">
        <v>0</v>
      </c>
      <c r="O58">
        <v>10</v>
      </c>
      <c r="P58" s="1">
        <f t="shared" si="1"/>
        <v>0</v>
      </c>
      <c r="Q58">
        <f t="shared" si="2"/>
        <v>10</v>
      </c>
      <c r="R58" s="1">
        <f t="shared" si="3"/>
        <v>6230</v>
      </c>
    </row>
    <row r="59" spans="1:18" x14ac:dyDescent="0.3">
      <c r="A59" t="s">
        <v>652</v>
      </c>
      <c r="B59" t="s">
        <v>653</v>
      </c>
      <c r="C59" t="s">
        <v>18</v>
      </c>
      <c r="D59">
        <v>1</v>
      </c>
      <c r="E59">
        <v>2</v>
      </c>
      <c r="F59" t="s">
        <v>654</v>
      </c>
      <c r="G59" s="1">
        <v>16260</v>
      </c>
      <c r="H59">
        <v>0</v>
      </c>
      <c r="I59">
        <v>0.9</v>
      </c>
      <c r="J59">
        <v>2</v>
      </c>
      <c r="K59">
        <v>2</v>
      </c>
      <c r="L59">
        <f t="shared" si="0"/>
        <v>4</v>
      </c>
      <c r="M59">
        <v>0</v>
      </c>
      <c r="N59">
        <v>0</v>
      </c>
      <c r="O59">
        <v>6</v>
      </c>
      <c r="P59" s="1">
        <f t="shared" si="1"/>
        <v>0</v>
      </c>
      <c r="Q59">
        <f t="shared" si="2"/>
        <v>6</v>
      </c>
      <c r="R59" s="1">
        <f t="shared" si="3"/>
        <v>97560</v>
      </c>
    </row>
    <row r="60" spans="1:18" x14ac:dyDescent="0.3">
      <c r="A60" t="s">
        <v>655</v>
      </c>
      <c r="B60" t="s">
        <v>656</v>
      </c>
      <c r="C60" t="s">
        <v>18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x14ac:dyDescent="0.3">
      <c r="A61" t="s">
        <v>657</v>
      </c>
      <c r="B61" t="s">
        <v>658</v>
      </c>
      <c r="C61" t="s">
        <v>18</v>
      </c>
      <c r="D61">
        <v>33</v>
      </c>
      <c r="E61">
        <v>149</v>
      </c>
      <c r="F61" t="s">
        <v>551</v>
      </c>
      <c r="G61" s="1">
        <v>595</v>
      </c>
      <c r="H61">
        <v>149</v>
      </c>
      <c r="I61">
        <v>0.5</v>
      </c>
      <c r="J61">
        <v>5</v>
      </c>
      <c r="K61">
        <v>2</v>
      </c>
      <c r="L61">
        <f t="shared" si="0"/>
        <v>5</v>
      </c>
      <c r="M61">
        <v>0</v>
      </c>
      <c r="N61">
        <v>0</v>
      </c>
      <c r="O61">
        <v>12</v>
      </c>
      <c r="P61" s="1">
        <f t="shared" si="1"/>
        <v>0</v>
      </c>
      <c r="Q61">
        <f t="shared" si="2"/>
        <v>12</v>
      </c>
      <c r="R61" s="1">
        <f t="shared" si="3"/>
        <v>7140</v>
      </c>
    </row>
    <row r="62" spans="1:18" x14ac:dyDescent="0.3">
      <c r="A62" t="s">
        <v>659</v>
      </c>
      <c r="B62" t="s">
        <v>660</v>
      </c>
      <c r="C62" t="s">
        <v>18</v>
      </c>
      <c r="D62">
        <v>33</v>
      </c>
      <c r="E62">
        <v>1538</v>
      </c>
      <c r="F62" t="s">
        <v>661</v>
      </c>
      <c r="G62" s="1">
        <v>42.94</v>
      </c>
      <c r="H62">
        <v>1152</v>
      </c>
      <c r="I62">
        <v>0.5</v>
      </c>
      <c r="J62">
        <v>47</v>
      </c>
      <c r="K62">
        <v>24</v>
      </c>
      <c r="L62">
        <f t="shared" si="0"/>
        <v>48</v>
      </c>
      <c r="M62">
        <v>0</v>
      </c>
      <c r="N62">
        <v>0</v>
      </c>
      <c r="O62">
        <v>118</v>
      </c>
      <c r="P62" s="1">
        <f t="shared" si="1"/>
        <v>0</v>
      </c>
      <c r="Q62">
        <f t="shared" si="2"/>
        <v>118</v>
      </c>
      <c r="R62" s="1">
        <f t="shared" si="3"/>
        <v>5066.92</v>
      </c>
    </row>
    <row r="63" spans="1:18" x14ac:dyDescent="0.3">
      <c r="A63" t="s">
        <v>662</v>
      </c>
      <c r="B63" t="s">
        <v>663</v>
      </c>
      <c r="C63" t="s">
        <v>18</v>
      </c>
      <c r="D63">
        <v>13</v>
      </c>
      <c r="E63">
        <v>6</v>
      </c>
      <c r="F63" t="s">
        <v>551</v>
      </c>
      <c r="G63" s="1">
        <v>142.96</v>
      </c>
      <c r="H63">
        <v>4</v>
      </c>
      <c r="I63">
        <v>0.5</v>
      </c>
      <c r="J63">
        <v>1</v>
      </c>
      <c r="K63">
        <v>1</v>
      </c>
      <c r="L63">
        <f t="shared" si="0"/>
        <v>2</v>
      </c>
      <c r="M63">
        <v>0</v>
      </c>
      <c r="N63">
        <v>0</v>
      </c>
      <c r="O63">
        <v>2</v>
      </c>
      <c r="P63" s="1">
        <f t="shared" si="1"/>
        <v>0</v>
      </c>
      <c r="Q63">
        <f t="shared" si="2"/>
        <v>2</v>
      </c>
      <c r="R63" s="1">
        <f t="shared" si="3"/>
        <v>285.92</v>
      </c>
    </row>
    <row r="64" spans="1:18" x14ac:dyDescent="0.3">
      <c r="A64" t="s">
        <v>664</v>
      </c>
      <c r="B64" t="s">
        <v>665</v>
      </c>
      <c r="C64" t="s">
        <v>18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x14ac:dyDescent="0.3">
      <c r="A65" t="s">
        <v>666</v>
      </c>
      <c r="B65" t="s">
        <v>667</v>
      </c>
      <c r="C65" t="s">
        <v>18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0"/>
        <v>2</v>
      </c>
      <c r="M65">
        <v>0</v>
      </c>
      <c r="N65">
        <v>0</v>
      </c>
      <c r="O65">
        <v>2</v>
      </c>
      <c r="P65" s="1">
        <f t="shared" si="1"/>
        <v>0</v>
      </c>
      <c r="Q65">
        <f t="shared" si="2"/>
        <v>2</v>
      </c>
      <c r="R65" s="1">
        <f t="shared" si="3"/>
        <v>0</v>
      </c>
    </row>
    <row r="66" spans="1:18" x14ac:dyDescent="0.3">
      <c r="A66" t="s">
        <v>668</v>
      </c>
      <c r="B66" t="s">
        <v>669</v>
      </c>
      <c r="C66" t="s">
        <v>18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x14ac:dyDescent="0.3">
      <c r="A67" t="s">
        <v>670</v>
      </c>
      <c r="B67" t="s">
        <v>671</v>
      </c>
      <c r="C67" t="s">
        <v>18</v>
      </c>
      <c r="D67">
        <v>23</v>
      </c>
      <c r="E67">
        <v>4</v>
      </c>
      <c r="F67" t="s">
        <v>551</v>
      </c>
      <c r="G67" s="1">
        <v>1425</v>
      </c>
      <c r="H67">
        <v>3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2850</v>
      </c>
    </row>
    <row r="68" spans="1:18" x14ac:dyDescent="0.3">
      <c r="A68" t="s">
        <v>672</v>
      </c>
      <c r="B68" t="s">
        <v>673</v>
      </c>
      <c r="C68" t="s">
        <v>18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x14ac:dyDescent="0.3">
      <c r="A69" t="s">
        <v>674</v>
      </c>
      <c r="B69" t="s">
        <v>675</v>
      </c>
      <c r="C69" t="s">
        <v>18</v>
      </c>
      <c r="D69">
        <v>34</v>
      </c>
      <c r="E69">
        <v>150</v>
      </c>
      <c r="F69" t="s">
        <v>551</v>
      </c>
      <c r="G69" s="1">
        <v>1340</v>
      </c>
      <c r="H69">
        <v>151</v>
      </c>
      <c r="I69">
        <v>0.7</v>
      </c>
      <c r="J69">
        <v>4.5</v>
      </c>
      <c r="K69">
        <v>3</v>
      </c>
      <c r="L69">
        <f t="shared" si="4"/>
        <v>7</v>
      </c>
      <c r="M69">
        <v>0</v>
      </c>
      <c r="N69">
        <v>0</v>
      </c>
      <c r="O69">
        <v>12</v>
      </c>
      <c r="P69" s="1">
        <f t="shared" si="5"/>
        <v>0</v>
      </c>
      <c r="Q69">
        <f t="shared" si="6"/>
        <v>12</v>
      </c>
      <c r="R69" s="1">
        <f t="shared" si="7"/>
        <v>16080</v>
      </c>
    </row>
    <row r="70" spans="1:18" x14ac:dyDescent="0.3">
      <c r="A70" t="s">
        <v>676</v>
      </c>
      <c r="B70" t="s">
        <v>677</v>
      </c>
      <c r="C70" t="s">
        <v>18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x14ac:dyDescent="0.3">
      <c r="A71" t="s">
        <v>678</v>
      </c>
      <c r="B71" t="s">
        <v>679</v>
      </c>
      <c r="C71" t="s">
        <v>18</v>
      </c>
      <c r="D71">
        <v>20</v>
      </c>
      <c r="E71">
        <v>17</v>
      </c>
      <c r="F71" t="s">
        <v>551</v>
      </c>
      <c r="G71" s="1">
        <v>1695</v>
      </c>
      <c r="H71">
        <v>19</v>
      </c>
      <c r="I71">
        <v>0.9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3</v>
      </c>
      <c r="P71" s="1">
        <f t="shared" si="5"/>
        <v>0</v>
      </c>
      <c r="Q71">
        <f t="shared" si="6"/>
        <v>3</v>
      </c>
      <c r="R71" s="1">
        <f t="shared" si="7"/>
        <v>5085</v>
      </c>
    </row>
    <row r="72" spans="1:18" x14ac:dyDescent="0.3">
      <c r="A72" t="s">
        <v>680</v>
      </c>
      <c r="B72" t="s">
        <v>681</v>
      </c>
      <c r="C72" t="s">
        <v>18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x14ac:dyDescent="0.3">
      <c r="A73" t="s">
        <v>682</v>
      </c>
      <c r="B73" t="s">
        <v>683</v>
      </c>
      <c r="C73" t="s">
        <v>18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x14ac:dyDescent="0.3">
      <c r="A74" t="s">
        <v>684</v>
      </c>
      <c r="B74" t="s">
        <v>685</v>
      </c>
      <c r="C74" t="s">
        <v>18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x14ac:dyDescent="0.3">
      <c r="A75" t="s">
        <v>686</v>
      </c>
      <c r="B75" t="s">
        <v>687</v>
      </c>
      <c r="C75" t="s">
        <v>18</v>
      </c>
      <c r="D75">
        <v>1</v>
      </c>
      <c r="E75">
        <v>2</v>
      </c>
      <c r="F75" t="s">
        <v>551</v>
      </c>
      <c r="G75" s="1">
        <v>1270</v>
      </c>
      <c r="H75">
        <v>2</v>
      </c>
      <c r="I75">
        <v>1.4</v>
      </c>
      <c r="J75">
        <v>2</v>
      </c>
      <c r="K75">
        <v>3</v>
      </c>
      <c r="L75">
        <f t="shared" si="4"/>
        <v>6</v>
      </c>
      <c r="M75">
        <v>0</v>
      </c>
      <c r="N75">
        <v>0</v>
      </c>
      <c r="O75">
        <v>7</v>
      </c>
      <c r="P75" s="1">
        <f t="shared" si="5"/>
        <v>0</v>
      </c>
      <c r="Q75">
        <f t="shared" si="6"/>
        <v>7</v>
      </c>
      <c r="R75" s="1">
        <f t="shared" si="7"/>
        <v>8890</v>
      </c>
    </row>
    <row r="76" spans="1:18" x14ac:dyDescent="0.3">
      <c r="A76" t="s">
        <v>688</v>
      </c>
      <c r="B76" t="s">
        <v>689</v>
      </c>
      <c r="C76" t="s">
        <v>18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x14ac:dyDescent="0.3">
      <c r="A77" t="s">
        <v>690</v>
      </c>
      <c r="B77" t="s">
        <v>691</v>
      </c>
      <c r="C77" t="s">
        <v>18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x14ac:dyDescent="0.3">
      <c r="A78" t="s">
        <v>692</v>
      </c>
      <c r="B78" t="s">
        <v>693</v>
      </c>
      <c r="C78" t="s">
        <v>18</v>
      </c>
      <c r="D78">
        <v>1</v>
      </c>
      <c r="E78">
        <v>10</v>
      </c>
      <c r="F78" t="s">
        <v>551</v>
      </c>
      <c r="G78" s="1">
        <v>414</v>
      </c>
      <c r="H78">
        <v>10</v>
      </c>
      <c r="I78">
        <v>0.5</v>
      </c>
      <c r="J78">
        <v>10</v>
      </c>
      <c r="K78">
        <v>5</v>
      </c>
      <c r="L78">
        <f t="shared" si="4"/>
        <v>10</v>
      </c>
      <c r="M78">
        <v>0</v>
      </c>
      <c r="N78">
        <v>0</v>
      </c>
      <c r="O78">
        <v>25</v>
      </c>
      <c r="P78" s="1">
        <f t="shared" si="5"/>
        <v>0</v>
      </c>
      <c r="Q78">
        <f t="shared" si="6"/>
        <v>25</v>
      </c>
      <c r="R78" s="1">
        <f t="shared" si="7"/>
        <v>10350</v>
      </c>
    </row>
    <row r="79" spans="1:18" x14ac:dyDescent="0.3">
      <c r="A79" t="s">
        <v>694</v>
      </c>
      <c r="B79" t="s">
        <v>695</v>
      </c>
      <c r="C79" t="s">
        <v>18</v>
      </c>
      <c r="D79">
        <v>33</v>
      </c>
      <c r="E79">
        <v>349</v>
      </c>
      <c r="F79" t="s">
        <v>551</v>
      </c>
      <c r="G79" s="1">
        <v>679</v>
      </c>
      <c r="H79">
        <v>370</v>
      </c>
      <c r="I79">
        <v>0.6</v>
      </c>
      <c r="J79">
        <v>11.5</v>
      </c>
      <c r="K79">
        <v>7</v>
      </c>
      <c r="L79">
        <f t="shared" si="4"/>
        <v>14</v>
      </c>
      <c r="M79">
        <v>0</v>
      </c>
      <c r="N79">
        <v>0</v>
      </c>
      <c r="O79">
        <v>30</v>
      </c>
      <c r="P79" s="1">
        <f t="shared" si="5"/>
        <v>0</v>
      </c>
      <c r="Q79">
        <f t="shared" si="6"/>
        <v>30</v>
      </c>
      <c r="R79" s="1">
        <f t="shared" si="7"/>
        <v>20370</v>
      </c>
    </row>
    <row r="80" spans="1:18" x14ac:dyDescent="0.3">
      <c r="A80" t="s">
        <v>696</v>
      </c>
      <c r="B80" t="s">
        <v>697</v>
      </c>
      <c r="C80" t="s">
        <v>18</v>
      </c>
      <c r="D80">
        <v>1</v>
      </c>
      <c r="E80">
        <v>1</v>
      </c>
      <c r="F80" t="s">
        <v>551</v>
      </c>
      <c r="G80" s="1">
        <v>793</v>
      </c>
      <c r="H80">
        <v>1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1586</v>
      </c>
    </row>
    <row r="81" spans="1:18" x14ac:dyDescent="0.3">
      <c r="A81" t="s">
        <v>698</v>
      </c>
      <c r="B81" t="s">
        <v>699</v>
      </c>
      <c r="C81" t="s">
        <v>18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x14ac:dyDescent="0.3">
      <c r="A82" t="s">
        <v>700</v>
      </c>
      <c r="B82" t="s">
        <v>701</v>
      </c>
      <c r="C82" t="s">
        <v>18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4"/>
        <v>2</v>
      </c>
      <c r="M82">
        <v>0</v>
      </c>
      <c r="N82">
        <v>0</v>
      </c>
      <c r="O82">
        <v>2</v>
      </c>
      <c r="P82" s="1">
        <f t="shared" si="5"/>
        <v>0</v>
      </c>
      <c r="Q82">
        <f t="shared" si="6"/>
        <v>2</v>
      </c>
      <c r="R82" s="1">
        <f t="shared" si="7"/>
        <v>0</v>
      </c>
    </row>
    <row r="83" spans="1:18" x14ac:dyDescent="0.3">
      <c r="A83" t="s">
        <v>702</v>
      </c>
      <c r="B83" t="s">
        <v>703</v>
      </c>
      <c r="C83" t="s">
        <v>18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4"/>
        <v>2</v>
      </c>
      <c r="M83">
        <v>0</v>
      </c>
      <c r="N83">
        <v>0</v>
      </c>
      <c r="O83">
        <v>2</v>
      </c>
      <c r="P83" s="1">
        <f t="shared" si="5"/>
        <v>0</v>
      </c>
      <c r="Q83">
        <f t="shared" si="6"/>
        <v>2</v>
      </c>
      <c r="R83" s="1">
        <f t="shared" si="7"/>
        <v>0</v>
      </c>
    </row>
    <row r="84" spans="1:18" x14ac:dyDescent="0.3">
      <c r="A84" t="s">
        <v>704</v>
      </c>
      <c r="B84" t="s">
        <v>705</v>
      </c>
      <c r="C84" t="s">
        <v>18</v>
      </c>
      <c r="D84">
        <v>1</v>
      </c>
      <c r="E84">
        <v>0</v>
      </c>
      <c r="G84" s="1">
        <v>0</v>
      </c>
      <c r="H84">
        <v>0</v>
      </c>
      <c r="I84">
        <v>0.5</v>
      </c>
      <c r="J84">
        <v>1</v>
      </c>
      <c r="K84">
        <v>1</v>
      </c>
      <c r="L84">
        <f t="shared" si="4"/>
        <v>2</v>
      </c>
      <c r="M84">
        <v>0</v>
      </c>
      <c r="N84">
        <v>0</v>
      </c>
      <c r="O84">
        <v>2</v>
      </c>
      <c r="P84" s="1">
        <f t="shared" si="5"/>
        <v>0</v>
      </c>
      <c r="Q84">
        <f t="shared" si="6"/>
        <v>2</v>
      </c>
      <c r="R84" s="1">
        <f t="shared" si="7"/>
        <v>0</v>
      </c>
    </row>
    <row r="85" spans="1:18" x14ac:dyDescent="0.3">
      <c r="A85" t="s">
        <v>706</v>
      </c>
      <c r="B85" t="s">
        <v>707</v>
      </c>
      <c r="C85" t="s">
        <v>18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4"/>
        <v>2</v>
      </c>
      <c r="M85">
        <v>0</v>
      </c>
      <c r="N85">
        <v>0</v>
      </c>
      <c r="O85">
        <v>2</v>
      </c>
      <c r="P85" s="1">
        <f t="shared" si="5"/>
        <v>0</v>
      </c>
      <c r="Q85">
        <f t="shared" si="6"/>
        <v>2</v>
      </c>
      <c r="R85" s="1">
        <f t="shared" si="7"/>
        <v>0</v>
      </c>
    </row>
    <row r="86" spans="1:18" x14ac:dyDescent="0.3">
      <c r="A86" t="s">
        <v>708</v>
      </c>
      <c r="B86" t="s">
        <v>709</v>
      </c>
      <c r="C86" t="s">
        <v>18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4"/>
        <v>2</v>
      </c>
      <c r="M86">
        <v>0</v>
      </c>
      <c r="N86">
        <v>0</v>
      </c>
      <c r="O86">
        <v>2</v>
      </c>
      <c r="P86" s="1">
        <f t="shared" si="5"/>
        <v>0</v>
      </c>
      <c r="Q86">
        <f t="shared" si="6"/>
        <v>2</v>
      </c>
      <c r="R86" s="1">
        <f t="shared" si="7"/>
        <v>0</v>
      </c>
    </row>
    <row r="87" spans="1:18" x14ac:dyDescent="0.3">
      <c r="A87" t="s">
        <v>710</v>
      </c>
      <c r="B87" t="s">
        <v>711</v>
      </c>
      <c r="C87" t="s">
        <v>18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x14ac:dyDescent="0.3">
      <c r="A88" t="s">
        <v>712</v>
      </c>
      <c r="B88" t="s">
        <v>713</v>
      </c>
      <c r="C88" t="s">
        <v>18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4"/>
        <v>2</v>
      </c>
      <c r="M88">
        <v>0</v>
      </c>
      <c r="N88">
        <v>0</v>
      </c>
      <c r="O88">
        <v>2</v>
      </c>
      <c r="P88" s="1">
        <f t="shared" si="5"/>
        <v>0</v>
      </c>
      <c r="Q88">
        <f t="shared" si="6"/>
        <v>2</v>
      </c>
      <c r="R88" s="1">
        <f t="shared" si="7"/>
        <v>0</v>
      </c>
    </row>
    <row r="89" spans="1:18" x14ac:dyDescent="0.3">
      <c r="A89" t="s">
        <v>714</v>
      </c>
      <c r="B89" t="s">
        <v>715</v>
      </c>
      <c r="C89" t="s">
        <v>18</v>
      </c>
      <c r="D89">
        <v>1</v>
      </c>
      <c r="E89">
        <v>0</v>
      </c>
      <c r="G89" s="1">
        <v>0</v>
      </c>
      <c r="H89">
        <v>0</v>
      </c>
      <c r="I89">
        <v>0.5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2</v>
      </c>
      <c r="P89" s="1">
        <f t="shared" si="5"/>
        <v>0</v>
      </c>
      <c r="Q89">
        <f t="shared" si="6"/>
        <v>2</v>
      </c>
      <c r="R89" s="1">
        <f t="shared" si="7"/>
        <v>0</v>
      </c>
    </row>
    <row r="90" spans="1:18" x14ac:dyDescent="0.3">
      <c r="A90" t="s">
        <v>716</v>
      </c>
      <c r="B90" t="s">
        <v>717</v>
      </c>
      <c r="C90" t="s">
        <v>18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4"/>
        <v>2</v>
      </c>
      <c r="M90">
        <v>0</v>
      </c>
      <c r="N90">
        <v>0</v>
      </c>
      <c r="O90">
        <v>2</v>
      </c>
      <c r="P90" s="1">
        <f t="shared" si="5"/>
        <v>0</v>
      </c>
      <c r="Q90">
        <f t="shared" si="6"/>
        <v>2</v>
      </c>
      <c r="R90" s="1">
        <f t="shared" si="7"/>
        <v>0</v>
      </c>
    </row>
    <row r="91" spans="1:18" x14ac:dyDescent="0.3">
      <c r="A91" t="s">
        <v>718</v>
      </c>
      <c r="B91" t="s">
        <v>719</v>
      </c>
      <c r="C91" t="s">
        <v>18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2</v>
      </c>
      <c r="P91" s="1">
        <f t="shared" si="5"/>
        <v>0</v>
      </c>
      <c r="Q91">
        <f t="shared" si="6"/>
        <v>2</v>
      </c>
      <c r="R91" s="1">
        <f t="shared" si="7"/>
        <v>0</v>
      </c>
    </row>
    <row r="92" spans="1:18" x14ac:dyDescent="0.3">
      <c r="A92" t="s">
        <v>720</v>
      </c>
      <c r="B92" t="s">
        <v>721</v>
      </c>
      <c r="C92" t="s">
        <v>18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4"/>
        <v>2</v>
      </c>
      <c r="M92">
        <v>0</v>
      </c>
      <c r="N92">
        <v>0</v>
      </c>
      <c r="O92">
        <v>2</v>
      </c>
      <c r="P92" s="1">
        <f t="shared" si="5"/>
        <v>0</v>
      </c>
      <c r="Q92">
        <f t="shared" si="6"/>
        <v>2</v>
      </c>
      <c r="R92" s="1">
        <f t="shared" si="7"/>
        <v>0</v>
      </c>
    </row>
    <row r="93" spans="1:18" x14ac:dyDescent="0.3">
      <c r="A93" t="s">
        <v>722</v>
      </c>
      <c r="B93" t="s">
        <v>723</v>
      </c>
      <c r="C93" t="s">
        <v>18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4"/>
        <v>2</v>
      </c>
      <c r="M93">
        <v>0</v>
      </c>
      <c r="N93">
        <v>0</v>
      </c>
      <c r="O93">
        <v>2</v>
      </c>
      <c r="P93" s="1">
        <f t="shared" si="5"/>
        <v>0</v>
      </c>
      <c r="Q93">
        <f t="shared" si="6"/>
        <v>2</v>
      </c>
      <c r="R93" s="1">
        <f t="shared" si="7"/>
        <v>0</v>
      </c>
    </row>
    <row r="94" spans="1:18" x14ac:dyDescent="0.3">
      <c r="A94" t="s">
        <v>724</v>
      </c>
      <c r="B94" t="s">
        <v>725</v>
      </c>
      <c r="C94" t="s">
        <v>18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x14ac:dyDescent="0.3">
      <c r="A95" t="s">
        <v>726</v>
      </c>
      <c r="B95" t="s">
        <v>727</v>
      </c>
      <c r="C95" t="s">
        <v>18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4"/>
        <v>2</v>
      </c>
      <c r="M95">
        <v>0</v>
      </c>
      <c r="N95">
        <v>0</v>
      </c>
      <c r="O95">
        <v>2</v>
      </c>
      <c r="P95" s="1">
        <f t="shared" si="5"/>
        <v>0</v>
      </c>
      <c r="Q95">
        <f t="shared" si="6"/>
        <v>2</v>
      </c>
      <c r="R95" s="1">
        <f t="shared" si="7"/>
        <v>0</v>
      </c>
    </row>
    <row r="96" spans="1:18" x14ac:dyDescent="0.3">
      <c r="A96" t="s">
        <v>728</v>
      </c>
      <c r="B96" t="s">
        <v>729</v>
      </c>
      <c r="C96" t="s">
        <v>18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x14ac:dyDescent="0.3">
      <c r="A97" t="s">
        <v>730</v>
      </c>
      <c r="B97" t="s">
        <v>731</v>
      </c>
      <c r="C97" t="s">
        <v>18</v>
      </c>
      <c r="D97">
        <v>32</v>
      </c>
      <c r="E97">
        <v>63</v>
      </c>
      <c r="F97" t="s">
        <v>551</v>
      </c>
      <c r="G97" s="1">
        <v>731</v>
      </c>
      <c r="H97">
        <v>59</v>
      </c>
      <c r="I97">
        <v>0.7</v>
      </c>
      <c r="J97">
        <v>2</v>
      </c>
      <c r="K97">
        <v>1</v>
      </c>
      <c r="L97">
        <f t="shared" si="4"/>
        <v>3</v>
      </c>
      <c r="M97">
        <v>0</v>
      </c>
      <c r="N97">
        <v>0</v>
      </c>
      <c r="O97">
        <v>5</v>
      </c>
      <c r="P97" s="1">
        <f t="shared" si="5"/>
        <v>0</v>
      </c>
      <c r="Q97">
        <f t="shared" si="6"/>
        <v>5</v>
      </c>
      <c r="R97" s="1">
        <f t="shared" si="7"/>
        <v>3655</v>
      </c>
    </row>
    <row r="98" spans="1:18" x14ac:dyDescent="0.3">
      <c r="A98" t="s">
        <v>732</v>
      </c>
      <c r="B98" t="s">
        <v>733</v>
      </c>
      <c r="C98" t="s">
        <v>18</v>
      </c>
      <c r="D98">
        <v>47</v>
      </c>
      <c r="E98">
        <v>17</v>
      </c>
      <c r="F98" t="s">
        <v>482</v>
      </c>
      <c r="G98" s="1">
        <v>325.83999999999997</v>
      </c>
      <c r="H98">
        <v>11</v>
      </c>
      <c r="I98">
        <v>0.9</v>
      </c>
      <c r="J98">
        <v>1</v>
      </c>
      <c r="K98">
        <v>1</v>
      </c>
      <c r="L98">
        <f t="shared" si="4"/>
        <v>2</v>
      </c>
      <c r="M98">
        <v>0</v>
      </c>
      <c r="N98">
        <v>0</v>
      </c>
      <c r="O98">
        <v>3</v>
      </c>
      <c r="P98" s="1">
        <f t="shared" si="5"/>
        <v>0</v>
      </c>
      <c r="Q98">
        <f t="shared" si="6"/>
        <v>3</v>
      </c>
      <c r="R98" s="1">
        <f t="shared" si="7"/>
        <v>977.52</v>
      </c>
    </row>
    <row r="99" spans="1:18" x14ac:dyDescent="0.3">
      <c r="A99" t="s">
        <v>734</v>
      </c>
      <c r="B99" t="s">
        <v>735</v>
      </c>
      <c r="C99" t="s">
        <v>18</v>
      </c>
      <c r="D99">
        <v>2</v>
      </c>
      <c r="E99">
        <v>1</v>
      </c>
      <c r="F99" t="s">
        <v>482</v>
      </c>
      <c r="G99" s="1">
        <v>840</v>
      </c>
      <c r="H99">
        <v>1</v>
      </c>
      <c r="I99">
        <v>1.1000000000000001</v>
      </c>
      <c r="J99">
        <v>1</v>
      </c>
      <c r="K99">
        <v>1</v>
      </c>
      <c r="L99">
        <f t="shared" si="4"/>
        <v>3</v>
      </c>
      <c r="M99">
        <v>0</v>
      </c>
      <c r="N99">
        <v>0</v>
      </c>
      <c r="O99">
        <v>3</v>
      </c>
      <c r="P99" s="1">
        <f t="shared" si="5"/>
        <v>0</v>
      </c>
      <c r="Q99">
        <f t="shared" si="6"/>
        <v>3</v>
      </c>
      <c r="R99" s="1">
        <f t="shared" si="7"/>
        <v>2520</v>
      </c>
    </row>
    <row r="100" spans="1:18" x14ac:dyDescent="0.3">
      <c r="A100" t="s">
        <v>736</v>
      </c>
      <c r="B100" t="s">
        <v>737</v>
      </c>
      <c r="C100" t="s">
        <v>18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x14ac:dyDescent="0.3">
      <c r="A101" t="s">
        <v>738</v>
      </c>
      <c r="B101" t="s">
        <v>739</v>
      </c>
      <c r="C101" t="s">
        <v>18</v>
      </c>
      <c r="D101">
        <v>1</v>
      </c>
      <c r="E101">
        <v>0</v>
      </c>
      <c r="G101" s="1">
        <v>0</v>
      </c>
      <c r="H101">
        <v>2</v>
      </c>
      <c r="I101">
        <v>0.5</v>
      </c>
      <c r="J101">
        <v>2</v>
      </c>
      <c r="K101">
        <v>1</v>
      </c>
      <c r="L101">
        <f t="shared" si="4"/>
        <v>2</v>
      </c>
      <c r="M101">
        <v>0</v>
      </c>
      <c r="N101">
        <v>0</v>
      </c>
      <c r="O101">
        <v>5</v>
      </c>
      <c r="P101" s="1">
        <f t="shared" si="5"/>
        <v>0</v>
      </c>
      <c r="Q101">
        <f t="shared" si="6"/>
        <v>5</v>
      </c>
      <c r="R101" s="1">
        <f t="shared" si="7"/>
        <v>0</v>
      </c>
    </row>
    <row r="102" spans="1:18" x14ac:dyDescent="0.3">
      <c r="A102" t="s">
        <v>740</v>
      </c>
      <c r="B102" t="s">
        <v>741</v>
      </c>
      <c r="C102" t="s">
        <v>18</v>
      </c>
      <c r="D102">
        <v>1</v>
      </c>
      <c r="E102">
        <v>1</v>
      </c>
      <c r="F102" t="s">
        <v>551</v>
      </c>
      <c r="G102" s="1">
        <v>1456</v>
      </c>
      <c r="H102">
        <v>1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2912</v>
      </c>
    </row>
    <row r="103" spans="1:18" x14ac:dyDescent="0.3">
      <c r="A103" t="s">
        <v>742</v>
      </c>
      <c r="B103" t="s">
        <v>743</v>
      </c>
      <c r="C103" t="s">
        <v>18</v>
      </c>
      <c r="D103">
        <v>5</v>
      </c>
      <c r="E103">
        <v>3</v>
      </c>
      <c r="F103" t="s">
        <v>551</v>
      </c>
      <c r="G103" s="1">
        <v>1164</v>
      </c>
      <c r="H103">
        <v>5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2328</v>
      </c>
    </row>
    <row r="104" spans="1:18" x14ac:dyDescent="0.3">
      <c r="A104" t="s">
        <v>744</v>
      </c>
      <c r="B104" t="s">
        <v>745</v>
      </c>
      <c r="C104" t="s">
        <v>18</v>
      </c>
      <c r="D104">
        <v>34</v>
      </c>
      <c r="E104">
        <v>127</v>
      </c>
      <c r="F104" t="s">
        <v>551</v>
      </c>
      <c r="G104" s="1">
        <v>1632</v>
      </c>
      <c r="H104">
        <v>129</v>
      </c>
      <c r="I104">
        <v>0.6</v>
      </c>
      <c r="J104">
        <v>4</v>
      </c>
      <c r="K104">
        <v>2</v>
      </c>
      <c r="L104">
        <f t="shared" si="4"/>
        <v>5</v>
      </c>
      <c r="M104">
        <v>0</v>
      </c>
      <c r="N104">
        <v>0</v>
      </c>
      <c r="O104">
        <v>10</v>
      </c>
      <c r="P104" s="1">
        <f t="shared" si="5"/>
        <v>0</v>
      </c>
      <c r="Q104">
        <f t="shared" si="6"/>
        <v>10</v>
      </c>
      <c r="R104" s="1">
        <f t="shared" si="7"/>
        <v>16320</v>
      </c>
    </row>
    <row r="105" spans="1:18" x14ac:dyDescent="0.3">
      <c r="A105" t="s">
        <v>746</v>
      </c>
      <c r="B105" t="s">
        <v>747</v>
      </c>
      <c r="C105" t="s">
        <v>18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x14ac:dyDescent="0.3">
      <c r="A106" t="s">
        <v>748</v>
      </c>
      <c r="B106" t="s">
        <v>749</v>
      </c>
      <c r="C106" t="s">
        <v>18</v>
      </c>
      <c r="D106">
        <v>28</v>
      </c>
      <c r="E106">
        <v>47</v>
      </c>
      <c r="F106" t="s">
        <v>551</v>
      </c>
      <c r="G106" s="1">
        <v>2030.72</v>
      </c>
      <c r="H106">
        <v>45</v>
      </c>
      <c r="I106">
        <v>0.6</v>
      </c>
      <c r="J106">
        <v>2</v>
      </c>
      <c r="K106">
        <v>1</v>
      </c>
      <c r="L106">
        <f t="shared" si="4"/>
        <v>3</v>
      </c>
      <c r="M106">
        <v>0</v>
      </c>
      <c r="N106">
        <v>0</v>
      </c>
      <c r="O106">
        <v>5</v>
      </c>
      <c r="P106" s="1">
        <f t="shared" si="5"/>
        <v>0</v>
      </c>
      <c r="Q106">
        <f t="shared" si="6"/>
        <v>5</v>
      </c>
      <c r="R106" s="1">
        <f t="shared" si="7"/>
        <v>10153.6</v>
      </c>
    </row>
    <row r="107" spans="1:18" x14ac:dyDescent="0.3">
      <c r="A107" t="s">
        <v>750</v>
      </c>
      <c r="B107" t="s">
        <v>751</v>
      </c>
      <c r="C107" t="s">
        <v>18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x14ac:dyDescent="0.3">
      <c r="A108" t="s">
        <v>752</v>
      </c>
      <c r="B108" t="s">
        <v>753</v>
      </c>
      <c r="C108" t="s">
        <v>18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x14ac:dyDescent="0.3">
      <c r="A109" t="s">
        <v>754</v>
      </c>
      <c r="B109" t="s">
        <v>755</v>
      </c>
      <c r="C109" t="s">
        <v>18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x14ac:dyDescent="0.3">
      <c r="A110" t="s">
        <v>756</v>
      </c>
      <c r="B110" t="s">
        <v>757</v>
      </c>
      <c r="C110" t="s">
        <v>18</v>
      </c>
      <c r="D110">
        <v>14</v>
      </c>
      <c r="E110">
        <v>14</v>
      </c>
      <c r="F110" t="s">
        <v>551</v>
      </c>
      <c r="G110" s="1">
        <v>1506.5</v>
      </c>
      <c r="H110">
        <v>12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3013</v>
      </c>
    </row>
    <row r="111" spans="1:18" x14ac:dyDescent="0.3">
      <c r="A111" t="s">
        <v>758</v>
      </c>
      <c r="B111" t="s">
        <v>759</v>
      </c>
      <c r="C111" t="s">
        <v>18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x14ac:dyDescent="0.3">
      <c r="A112" t="s">
        <v>760</v>
      </c>
      <c r="B112" t="s">
        <v>761</v>
      </c>
      <c r="C112" t="s">
        <v>18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x14ac:dyDescent="0.3">
      <c r="A113" t="s">
        <v>762</v>
      </c>
      <c r="B113" t="s">
        <v>763</v>
      </c>
      <c r="C113" t="s">
        <v>18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x14ac:dyDescent="0.3">
      <c r="A114" t="s">
        <v>764</v>
      </c>
      <c r="B114" t="s">
        <v>765</v>
      </c>
      <c r="C114" t="s">
        <v>18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x14ac:dyDescent="0.3">
      <c r="A115" t="s">
        <v>766</v>
      </c>
      <c r="B115" t="s">
        <v>767</v>
      </c>
      <c r="C115" t="s">
        <v>18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4"/>
        <v>2</v>
      </c>
      <c r="M115">
        <v>0</v>
      </c>
      <c r="N115">
        <v>0</v>
      </c>
      <c r="O115">
        <v>2</v>
      </c>
      <c r="P115" s="1">
        <f t="shared" si="5"/>
        <v>0</v>
      </c>
      <c r="Q115">
        <f t="shared" si="6"/>
        <v>2</v>
      </c>
      <c r="R115" s="1">
        <f t="shared" si="7"/>
        <v>0</v>
      </c>
    </row>
    <row r="116" spans="1:18" x14ac:dyDescent="0.3">
      <c r="A116" t="s">
        <v>768</v>
      </c>
      <c r="B116" t="s">
        <v>769</v>
      </c>
      <c r="C116" t="s">
        <v>18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x14ac:dyDescent="0.3">
      <c r="A117" t="s">
        <v>770</v>
      </c>
      <c r="B117" t="s">
        <v>771</v>
      </c>
      <c r="C117" t="s">
        <v>18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4"/>
        <v>2</v>
      </c>
      <c r="M117">
        <v>0</v>
      </c>
      <c r="N117">
        <v>0</v>
      </c>
      <c r="O117">
        <v>2</v>
      </c>
      <c r="P117" s="1">
        <f t="shared" si="5"/>
        <v>0</v>
      </c>
      <c r="Q117">
        <f t="shared" si="6"/>
        <v>2</v>
      </c>
      <c r="R117" s="1">
        <f t="shared" si="7"/>
        <v>0</v>
      </c>
    </row>
    <row r="118" spans="1:18" x14ac:dyDescent="0.3">
      <c r="A118" t="s">
        <v>772</v>
      </c>
      <c r="B118" t="s">
        <v>773</v>
      </c>
      <c r="C118" t="s">
        <v>18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x14ac:dyDescent="0.3">
      <c r="A119" t="s">
        <v>774</v>
      </c>
      <c r="B119" t="s">
        <v>775</v>
      </c>
      <c r="C119" t="s">
        <v>18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x14ac:dyDescent="0.3">
      <c r="A120" t="s">
        <v>776</v>
      </c>
      <c r="B120" t="s">
        <v>777</v>
      </c>
      <c r="C120" t="s">
        <v>18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4"/>
        <v>2</v>
      </c>
      <c r="M120">
        <v>0</v>
      </c>
      <c r="N120">
        <v>0</v>
      </c>
      <c r="O120">
        <v>2</v>
      </c>
      <c r="P120" s="1">
        <f t="shared" si="5"/>
        <v>0</v>
      </c>
      <c r="Q120">
        <f t="shared" si="6"/>
        <v>2</v>
      </c>
      <c r="R120" s="1">
        <f t="shared" si="7"/>
        <v>0</v>
      </c>
    </row>
    <row r="121" spans="1:18" x14ac:dyDescent="0.3">
      <c r="A121" t="s">
        <v>778</v>
      </c>
      <c r="B121" t="s">
        <v>779</v>
      </c>
      <c r="C121" t="s">
        <v>18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x14ac:dyDescent="0.3">
      <c r="A122" t="s">
        <v>780</v>
      </c>
      <c r="B122" t="s">
        <v>781</v>
      </c>
      <c r="C122" t="s">
        <v>18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4"/>
        <v>2</v>
      </c>
      <c r="M122">
        <v>0</v>
      </c>
      <c r="N122">
        <v>0</v>
      </c>
      <c r="O122">
        <v>2</v>
      </c>
      <c r="P122" s="1">
        <f t="shared" si="5"/>
        <v>0</v>
      </c>
      <c r="Q122">
        <f t="shared" si="6"/>
        <v>2</v>
      </c>
      <c r="R122" s="1">
        <f t="shared" si="7"/>
        <v>0</v>
      </c>
    </row>
    <row r="123" spans="1:18" x14ac:dyDescent="0.3">
      <c r="A123" t="s">
        <v>782</v>
      </c>
      <c r="B123" t="s">
        <v>783</v>
      </c>
      <c r="C123" t="s">
        <v>18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x14ac:dyDescent="0.3">
      <c r="A124" t="s">
        <v>784</v>
      </c>
      <c r="B124" t="s">
        <v>785</v>
      </c>
      <c r="C124" t="s">
        <v>18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2</v>
      </c>
      <c r="P124" s="1">
        <f t="shared" si="5"/>
        <v>0</v>
      </c>
      <c r="Q124">
        <f t="shared" si="6"/>
        <v>2</v>
      </c>
      <c r="R124" s="1">
        <f t="shared" si="7"/>
        <v>0</v>
      </c>
    </row>
    <row r="125" spans="1:18" x14ac:dyDescent="0.3">
      <c r="A125" t="s">
        <v>786</v>
      </c>
      <c r="B125" t="s">
        <v>787</v>
      </c>
      <c r="C125" t="s">
        <v>18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2</v>
      </c>
      <c r="P125" s="1">
        <f t="shared" si="5"/>
        <v>0</v>
      </c>
      <c r="Q125">
        <f t="shared" si="6"/>
        <v>2</v>
      </c>
      <c r="R125" s="1">
        <f t="shared" si="7"/>
        <v>0</v>
      </c>
    </row>
    <row r="126" spans="1:18" x14ac:dyDescent="0.3">
      <c r="A126" t="s">
        <v>788</v>
      </c>
      <c r="B126" t="s">
        <v>789</v>
      </c>
      <c r="C126" t="s">
        <v>18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x14ac:dyDescent="0.3">
      <c r="A127" t="s">
        <v>790</v>
      </c>
      <c r="B127" t="s">
        <v>791</v>
      </c>
      <c r="C127" t="s">
        <v>18</v>
      </c>
      <c r="D127">
        <v>1</v>
      </c>
      <c r="E127">
        <v>0</v>
      </c>
      <c r="G127" s="1">
        <v>0</v>
      </c>
      <c r="H127">
        <v>0</v>
      </c>
      <c r="I127">
        <v>0.5</v>
      </c>
      <c r="J127">
        <v>1</v>
      </c>
      <c r="K127">
        <v>1</v>
      </c>
      <c r="L127">
        <f t="shared" si="4"/>
        <v>2</v>
      </c>
      <c r="M127">
        <v>0</v>
      </c>
      <c r="N127">
        <v>0</v>
      </c>
      <c r="O127">
        <v>2</v>
      </c>
      <c r="P127" s="1">
        <f t="shared" si="5"/>
        <v>0</v>
      </c>
      <c r="Q127">
        <f t="shared" si="6"/>
        <v>2</v>
      </c>
      <c r="R127" s="1">
        <f t="shared" si="7"/>
        <v>0</v>
      </c>
    </row>
    <row r="128" spans="1:18" x14ac:dyDescent="0.3">
      <c r="A128" t="s">
        <v>792</v>
      </c>
      <c r="B128" t="s">
        <v>793</v>
      </c>
      <c r="C128" t="s">
        <v>18</v>
      </c>
      <c r="D128">
        <v>24</v>
      </c>
      <c r="E128">
        <v>12</v>
      </c>
      <c r="F128" t="s">
        <v>124</v>
      </c>
      <c r="G128" s="1">
        <v>537.57000000000005</v>
      </c>
      <c r="H128">
        <v>6</v>
      </c>
      <c r="I128">
        <v>1.4</v>
      </c>
      <c r="J128">
        <v>1</v>
      </c>
      <c r="K128">
        <v>1</v>
      </c>
      <c r="L128">
        <f t="shared" si="4"/>
        <v>3</v>
      </c>
      <c r="M128">
        <v>0</v>
      </c>
      <c r="N128">
        <v>0</v>
      </c>
      <c r="O128">
        <v>3</v>
      </c>
      <c r="P128" s="1">
        <f t="shared" si="5"/>
        <v>0</v>
      </c>
      <c r="Q128">
        <f t="shared" si="6"/>
        <v>3</v>
      </c>
      <c r="R128" s="1">
        <f t="shared" si="7"/>
        <v>1612.71</v>
      </c>
    </row>
    <row r="129" spans="1:18" x14ac:dyDescent="0.3">
      <c r="A129" t="s">
        <v>794</v>
      </c>
      <c r="B129" t="s">
        <v>795</v>
      </c>
      <c r="C129" t="s">
        <v>18</v>
      </c>
      <c r="D129">
        <v>2</v>
      </c>
      <c r="E129">
        <v>2</v>
      </c>
      <c r="F129" t="s">
        <v>482</v>
      </c>
      <c r="G129" s="1">
        <v>1025</v>
      </c>
      <c r="H129">
        <v>2</v>
      </c>
      <c r="I129">
        <v>1.1000000000000001</v>
      </c>
      <c r="J129">
        <v>1</v>
      </c>
      <c r="K129">
        <v>1</v>
      </c>
      <c r="L129">
        <f t="shared" si="4"/>
        <v>3</v>
      </c>
      <c r="M129">
        <v>0</v>
      </c>
      <c r="N129">
        <v>0</v>
      </c>
      <c r="O129">
        <v>3</v>
      </c>
      <c r="P129" s="1">
        <f t="shared" si="5"/>
        <v>0</v>
      </c>
      <c r="Q129">
        <f t="shared" si="6"/>
        <v>3</v>
      </c>
      <c r="R129" s="1">
        <f t="shared" si="7"/>
        <v>3075</v>
      </c>
    </row>
    <row r="130" spans="1:18" x14ac:dyDescent="0.3">
      <c r="A130" t="s">
        <v>796</v>
      </c>
      <c r="B130" t="s">
        <v>797</v>
      </c>
      <c r="C130" t="s">
        <v>18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2</v>
      </c>
      <c r="P130" s="1">
        <f t="shared" ref="P130:P193" si="9">IFERROR(M130*G130,0)</f>
        <v>0</v>
      </c>
      <c r="Q130">
        <f t="shared" ref="Q130:Q193" si="10">IF(O130-M130-N130&gt;0,O130-M130-N130,0)</f>
        <v>2</v>
      </c>
      <c r="R130" s="1">
        <f t="shared" ref="R130:R193" si="11">IFERROR(Q130*G130,0)</f>
        <v>0</v>
      </c>
    </row>
    <row r="131" spans="1:18" x14ac:dyDescent="0.3">
      <c r="A131" t="s">
        <v>798</v>
      </c>
      <c r="B131" t="s">
        <v>799</v>
      </c>
      <c r="C131" t="s">
        <v>18</v>
      </c>
      <c r="D131">
        <v>1</v>
      </c>
      <c r="E131">
        <v>0</v>
      </c>
      <c r="G131" s="1">
        <v>0</v>
      </c>
      <c r="H131">
        <v>0</v>
      </c>
      <c r="I131">
        <v>0.5</v>
      </c>
      <c r="J131">
        <v>1</v>
      </c>
      <c r="K131">
        <v>1</v>
      </c>
      <c r="L131">
        <f t="shared" si="8"/>
        <v>2</v>
      </c>
      <c r="M131">
        <v>0</v>
      </c>
      <c r="N131">
        <v>0</v>
      </c>
      <c r="O131">
        <v>2</v>
      </c>
      <c r="P131" s="1">
        <f t="shared" si="9"/>
        <v>0</v>
      </c>
      <c r="Q131">
        <f t="shared" si="10"/>
        <v>2</v>
      </c>
      <c r="R131" s="1">
        <f t="shared" si="11"/>
        <v>0</v>
      </c>
    </row>
    <row r="132" spans="1:18" x14ac:dyDescent="0.3">
      <c r="A132" t="s">
        <v>800</v>
      </c>
      <c r="B132" t="s">
        <v>801</v>
      </c>
      <c r="C132" t="s">
        <v>18</v>
      </c>
      <c r="D132">
        <v>7</v>
      </c>
      <c r="E132">
        <v>3</v>
      </c>
      <c r="F132" t="s">
        <v>551</v>
      </c>
      <c r="G132" s="1">
        <v>1575</v>
      </c>
      <c r="H132">
        <v>3</v>
      </c>
      <c r="I132">
        <v>0.5</v>
      </c>
      <c r="J132">
        <v>1</v>
      </c>
      <c r="K132">
        <v>1</v>
      </c>
      <c r="L132">
        <f t="shared" si="8"/>
        <v>2</v>
      </c>
      <c r="M132">
        <v>0</v>
      </c>
      <c r="N132">
        <v>0</v>
      </c>
      <c r="O132">
        <v>2</v>
      </c>
      <c r="P132" s="1">
        <f t="shared" si="9"/>
        <v>0</v>
      </c>
      <c r="Q132">
        <f t="shared" si="10"/>
        <v>2</v>
      </c>
      <c r="R132" s="1">
        <f t="shared" si="11"/>
        <v>3150</v>
      </c>
    </row>
    <row r="133" spans="1:18" x14ac:dyDescent="0.3">
      <c r="A133" t="s">
        <v>802</v>
      </c>
      <c r="B133" t="s">
        <v>803</v>
      </c>
      <c r="C133" t="s">
        <v>18</v>
      </c>
      <c r="D133">
        <v>1</v>
      </c>
      <c r="E133">
        <v>0</v>
      </c>
      <c r="G133" s="1">
        <v>0</v>
      </c>
      <c r="H133">
        <v>2</v>
      </c>
      <c r="I133">
        <v>0.5</v>
      </c>
      <c r="J133">
        <v>2</v>
      </c>
      <c r="K133">
        <v>1</v>
      </c>
      <c r="L133">
        <f t="shared" si="8"/>
        <v>2</v>
      </c>
      <c r="M133">
        <v>0</v>
      </c>
      <c r="N133">
        <v>0</v>
      </c>
      <c r="O133">
        <v>5</v>
      </c>
      <c r="P133" s="1">
        <f t="shared" si="9"/>
        <v>0</v>
      </c>
      <c r="Q133">
        <f t="shared" si="10"/>
        <v>5</v>
      </c>
      <c r="R133" s="1">
        <f t="shared" si="11"/>
        <v>0</v>
      </c>
    </row>
    <row r="134" spans="1:18" x14ac:dyDescent="0.3">
      <c r="A134" t="s">
        <v>804</v>
      </c>
      <c r="B134" t="s">
        <v>805</v>
      </c>
      <c r="C134" t="s">
        <v>18</v>
      </c>
      <c r="D134">
        <v>34</v>
      </c>
      <c r="E134">
        <v>87</v>
      </c>
      <c r="F134" t="s">
        <v>551</v>
      </c>
      <c r="G134" s="1">
        <v>2025</v>
      </c>
      <c r="H134">
        <v>83</v>
      </c>
      <c r="I134">
        <v>0.6</v>
      </c>
      <c r="J134">
        <v>3</v>
      </c>
      <c r="K134">
        <v>2</v>
      </c>
      <c r="L134">
        <f t="shared" si="8"/>
        <v>4</v>
      </c>
      <c r="M134">
        <v>0</v>
      </c>
      <c r="N134">
        <v>0</v>
      </c>
      <c r="O134">
        <v>8</v>
      </c>
      <c r="P134" s="1">
        <f t="shared" si="9"/>
        <v>0</v>
      </c>
      <c r="Q134">
        <f t="shared" si="10"/>
        <v>8</v>
      </c>
      <c r="R134" s="1">
        <f t="shared" si="11"/>
        <v>16200</v>
      </c>
    </row>
    <row r="135" spans="1:18" x14ac:dyDescent="0.3">
      <c r="A135" t="s">
        <v>806</v>
      </c>
      <c r="B135" t="s">
        <v>807</v>
      </c>
      <c r="C135" t="s">
        <v>18</v>
      </c>
      <c r="D135">
        <v>1</v>
      </c>
      <c r="E135">
        <v>0</v>
      </c>
      <c r="G135" s="1">
        <v>0</v>
      </c>
      <c r="H135">
        <v>0</v>
      </c>
      <c r="I135">
        <v>0.5</v>
      </c>
      <c r="J135">
        <v>1</v>
      </c>
      <c r="K135">
        <v>1</v>
      </c>
      <c r="L135">
        <f t="shared" si="8"/>
        <v>2</v>
      </c>
      <c r="M135">
        <v>0</v>
      </c>
      <c r="N135">
        <v>0</v>
      </c>
      <c r="O135">
        <v>2</v>
      </c>
      <c r="P135" s="1">
        <f t="shared" si="9"/>
        <v>0</v>
      </c>
      <c r="Q135">
        <f t="shared" si="10"/>
        <v>2</v>
      </c>
      <c r="R135" s="1">
        <f t="shared" si="11"/>
        <v>0</v>
      </c>
    </row>
    <row r="136" spans="1:18" x14ac:dyDescent="0.3">
      <c r="A136" t="s">
        <v>808</v>
      </c>
      <c r="B136" t="s">
        <v>809</v>
      </c>
      <c r="C136" t="s">
        <v>18</v>
      </c>
      <c r="D136">
        <v>15</v>
      </c>
      <c r="E136">
        <v>41</v>
      </c>
      <c r="F136" t="s">
        <v>551</v>
      </c>
      <c r="G136" s="1">
        <v>2608</v>
      </c>
      <c r="H136">
        <v>61</v>
      </c>
      <c r="I136">
        <v>1</v>
      </c>
      <c r="J136">
        <v>4.5</v>
      </c>
      <c r="K136">
        <v>4</v>
      </c>
      <c r="L136">
        <f t="shared" si="8"/>
        <v>9</v>
      </c>
      <c r="M136">
        <v>0</v>
      </c>
      <c r="N136">
        <v>0</v>
      </c>
      <c r="O136">
        <v>13</v>
      </c>
      <c r="P136" s="1">
        <f t="shared" si="9"/>
        <v>0</v>
      </c>
      <c r="Q136">
        <f t="shared" si="10"/>
        <v>13</v>
      </c>
      <c r="R136" s="1">
        <f t="shared" si="11"/>
        <v>33904</v>
      </c>
    </row>
    <row r="137" spans="1:18" x14ac:dyDescent="0.3">
      <c r="A137" t="s">
        <v>810</v>
      </c>
      <c r="B137" t="s">
        <v>811</v>
      </c>
      <c r="C137" t="s">
        <v>18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f t="shared" si="8"/>
        <v>2</v>
      </c>
      <c r="M137">
        <v>0</v>
      </c>
      <c r="N137">
        <v>0</v>
      </c>
      <c r="O137">
        <v>2</v>
      </c>
      <c r="P137" s="1">
        <f t="shared" si="9"/>
        <v>0</v>
      </c>
      <c r="Q137">
        <f t="shared" si="10"/>
        <v>2</v>
      </c>
      <c r="R137" s="1">
        <f t="shared" si="11"/>
        <v>0</v>
      </c>
    </row>
    <row r="138" spans="1:18" x14ac:dyDescent="0.3">
      <c r="A138" t="s">
        <v>812</v>
      </c>
      <c r="B138" t="s">
        <v>813</v>
      </c>
      <c r="C138" t="s">
        <v>18</v>
      </c>
      <c r="D138">
        <v>1</v>
      </c>
      <c r="E138">
        <v>0</v>
      </c>
      <c r="G138" s="1">
        <v>0</v>
      </c>
      <c r="H138">
        <v>0</v>
      </c>
      <c r="I138">
        <v>0.5</v>
      </c>
      <c r="J138">
        <v>1</v>
      </c>
      <c r="K138">
        <v>1</v>
      </c>
      <c r="L138">
        <f t="shared" si="8"/>
        <v>2</v>
      </c>
      <c r="M138">
        <v>0</v>
      </c>
      <c r="N138">
        <v>0</v>
      </c>
      <c r="O138">
        <v>2</v>
      </c>
      <c r="P138" s="1">
        <f t="shared" si="9"/>
        <v>0</v>
      </c>
      <c r="Q138">
        <f t="shared" si="10"/>
        <v>2</v>
      </c>
      <c r="R138" s="1">
        <f t="shared" si="11"/>
        <v>0</v>
      </c>
    </row>
    <row r="139" spans="1:18" x14ac:dyDescent="0.3">
      <c r="A139" t="s">
        <v>814</v>
      </c>
      <c r="B139" t="s">
        <v>815</v>
      </c>
      <c r="C139" t="s">
        <v>18</v>
      </c>
      <c r="D139">
        <v>1</v>
      </c>
      <c r="E139">
        <v>0</v>
      </c>
      <c r="G139" s="1">
        <v>0</v>
      </c>
      <c r="H139">
        <v>2</v>
      </c>
      <c r="I139">
        <v>0.5</v>
      </c>
      <c r="J139">
        <v>2</v>
      </c>
      <c r="K139">
        <v>1</v>
      </c>
      <c r="L139">
        <f t="shared" si="8"/>
        <v>2</v>
      </c>
      <c r="M139">
        <v>0</v>
      </c>
      <c r="N139">
        <v>0</v>
      </c>
      <c r="O139">
        <v>5</v>
      </c>
      <c r="P139" s="1">
        <f t="shared" si="9"/>
        <v>0</v>
      </c>
      <c r="Q139">
        <f t="shared" si="10"/>
        <v>5</v>
      </c>
      <c r="R139" s="1">
        <f t="shared" si="11"/>
        <v>0</v>
      </c>
    </row>
    <row r="140" spans="1:18" x14ac:dyDescent="0.3">
      <c r="A140" t="s">
        <v>816</v>
      </c>
      <c r="B140" t="s">
        <v>817</v>
      </c>
      <c r="C140" t="s">
        <v>18</v>
      </c>
      <c r="D140">
        <v>2</v>
      </c>
      <c r="E140">
        <v>1</v>
      </c>
      <c r="F140" t="s">
        <v>551</v>
      </c>
      <c r="G140" s="1">
        <v>1819</v>
      </c>
      <c r="H140">
        <v>2</v>
      </c>
      <c r="I140">
        <v>0.5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2</v>
      </c>
      <c r="P140" s="1">
        <f t="shared" si="9"/>
        <v>0</v>
      </c>
      <c r="Q140">
        <f t="shared" si="10"/>
        <v>2</v>
      </c>
      <c r="R140" s="1">
        <f t="shared" si="11"/>
        <v>3638</v>
      </c>
    </row>
    <row r="141" spans="1:18" x14ac:dyDescent="0.3">
      <c r="A141" t="s">
        <v>818</v>
      </c>
      <c r="B141" t="s">
        <v>819</v>
      </c>
      <c r="C141" t="s">
        <v>18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8"/>
        <v>2</v>
      </c>
      <c r="M141">
        <v>0</v>
      </c>
      <c r="N141">
        <v>0</v>
      </c>
      <c r="O141">
        <v>2</v>
      </c>
      <c r="P141" s="1">
        <f t="shared" si="9"/>
        <v>0</v>
      </c>
      <c r="Q141">
        <f t="shared" si="10"/>
        <v>2</v>
      </c>
      <c r="R141" s="1">
        <f t="shared" si="11"/>
        <v>0</v>
      </c>
    </row>
    <row r="142" spans="1:18" x14ac:dyDescent="0.3">
      <c r="A142" t="s">
        <v>820</v>
      </c>
      <c r="B142" t="s">
        <v>821</v>
      </c>
      <c r="C142" t="s">
        <v>18</v>
      </c>
      <c r="D142">
        <v>9</v>
      </c>
      <c r="E142">
        <v>3</v>
      </c>
      <c r="F142" t="s">
        <v>551</v>
      </c>
      <c r="G142" s="1">
        <v>2608</v>
      </c>
      <c r="H142">
        <v>2</v>
      </c>
      <c r="I142">
        <v>0.5</v>
      </c>
      <c r="J142">
        <v>1</v>
      </c>
      <c r="K142">
        <v>1</v>
      </c>
      <c r="L142">
        <f t="shared" si="8"/>
        <v>2</v>
      </c>
      <c r="M142">
        <v>0</v>
      </c>
      <c r="N142">
        <v>0</v>
      </c>
      <c r="O142">
        <v>2</v>
      </c>
      <c r="P142" s="1">
        <f t="shared" si="9"/>
        <v>0</v>
      </c>
      <c r="Q142">
        <f t="shared" si="10"/>
        <v>2</v>
      </c>
      <c r="R142" s="1">
        <f t="shared" si="11"/>
        <v>5216</v>
      </c>
    </row>
    <row r="143" spans="1:18" x14ac:dyDescent="0.3">
      <c r="A143" t="s">
        <v>822</v>
      </c>
      <c r="B143" t="s">
        <v>823</v>
      </c>
      <c r="C143" t="s">
        <v>18</v>
      </c>
      <c r="D143">
        <v>24</v>
      </c>
      <c r="E143">
        <v>17</v>
      </c>
      <c r="F143" t="s">
        <v>482</v>
      </c>
      <c r="G143" s="1">
        <v>733</v>
      </c>
      <c r="H143">
        <v>17</v>
      </c>
      <c r="I143">
        <v>1.7</v>
      </c>
      <c r="J143">
        <v>1</v>
      </c>
      <c r="K143">
        <v>2</v>
      </c>
      <c r="L143">
        <f t="shared" si="8"/>
        <v>4</v>
      </c>
      <c r="M143">
        <v>0</v>
      </c>
      <c r="N143">
        <v>0</v>
      </c>
      <c r="O143">
        <v>4</v>
      </c>
      <c r="P143" s="1">
        <f t="shared" si="9"/>
        <v>0</v>
      </c>
      <c r="Q143">
        <f t="shared" si="10"/>
        <v>4</v>
      </c>
      <c r="R143" s="1">
        <f t="shared" si="11"/>
        <v>2932</v>
      </c>
    </row>
    <row r="144" spans="1:18" x14ac:dyDescent="0.3">
      <c r="A144" t="s">
        <v>824</v>
      </c>
      <c r="B144" t="s">
        <v>825</v>
      </c>
      <c r="C144" t="s">
        <v>18</v>
      </c>
      <c r="D144">
        <v>15</v>
      </c>
      <c r="E144">
        <v>11</v>
      </c>
      <c r="F144" t="s">
        <v>482</v>
      </c>
      <c r="G144" s="1">
        <v>1201.8599999999999</v>
      </c>
      <c r="H144">
        <v>7</v>
      </c>
      <c r="I144">
        <v>1</v>
      </c>
      <c r="J144">
        <v>1</v>
      </c>
      <c r="K144">
        <v>1</v>
      </c>
      <c r="L144">
        <f t="shared" si="8"/>
        <v>2</v>
      </c>
      <c r="M144">
        <v>0</v>
      </c>
      <c r="N144">
        <v>0</v>
      </c>
      <c r="O144">
        <v>3</v>
      </c>
      <c r="P144" s="1">
        <f t="shared" si="9"/>
        <v>0</v>
      </c>
      <c r="Q144">
        <f t="shared" si="10"/>
        <v>3</v>
      </c>
      <c r="R144" s="1">
        <f t="shared" si="11"/>
        <v>3605.58</v>
      </c>
    </row>
    <row r="145" spans="1:18" x14ac:dyDescent="0.3">
      <c r="A145" t="s">
        <v>826</v>
      </c>
      <c r="B145" t="s">
        <v>827</v>
      </c>
      <c r="C145" t="s">
        <v>18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8"/>
        <v>2</v>
      </c>
      <c r="M145">
        <v>0</v>
      </c>
      <c r="N145">
        <v>0</v>
      </c>
      <c r="O145">
        <v>2</v>
      </c>
      <c r="P145" s="1">
        <f t="shared" si="9"/>
        <v>0</v>
      </c>
      <c r="Q145">
        <f t="shared" si="10"/>
        <v>2</v>
      </c>
      <c r="R145" s="1">
        <f t="shared" si="11"/>
        <v>0</v>
      </c>
    </row>
    <row r="146" spans="1:18" x14ac:dyDescent="0.3">
      <c r="A146" t="s">
        <v>828</v>
      </c>
      <c r="B146" t="s">
        <v>829</v>
      </c>
      <c r="C146" t="s">
        <v>18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8"/>
        <v>2</v>
      </c>
      <c r="M146">
        <v>0</v>
      </c>
      <c r="N146">
        <v>0</v>
      </c>
      <c r="O146">
        <v>2</v>
      </c>
      <c r="P146" s="1">
        <f t="shared" si="9"/>
        <v>0</v>
      </c>
      <c r="Q146">
        <f t="shared" si="10"/>
        <v>2</v>
      </c>
      <c r="R146" s="1">
        <f t="shared" si="11"/>
        <v>0</v>
      </c>
    </row>
    <row r="147" spans="1:18" x14ac:dyDescent="0.3">
      <c r="A147" t="s">
        <v>830</v>
      </c>
      <c r="B147" t="s">
        <v>831</v>
      </c>
      <c r="C147" t="s">
        <v>18</v>
      </c>
      <c r="D147">
        <v>1</v>
      </c>
      <c r="E147">
        <v>0</v>
      </c>
      <c r="G147" s="1">
        <v>0</v>
      </c>
      <c r="H147">
        <v>0</v>
      </c>
      <c r="I147">
        <v>0.5</v>
      </c>
      <c r="J147">
        <v>1</v>
      </c>
      <c r="K147">
        <v>1</v>
      </c>
      <c r="L147">
        <f t="shared" si="8"/>
        <v>2</v>
      </c>
      <c r="M147">
        <v>0</v>
      </c>
      <c r="N147">
        <v>0</v>
      </c>
      <c r="O147">
        <v>2</v>
      </c>
      <c r="P147" s="1">
        <f t="shared" si="9"/>
        <v>0</v>
      </c>
      <c r="Q147">
        <f t="shared" si="10"/>
        <v>2</v>
      </c>
      <c r="R147" s="1">
        <f t="shared" si="11"/>
        <v>0</v>
      </c>
    </row>
    <row r="148" spans="1:18" x14ac:dyDescent="0.3">
      <c r="A148" t="s">
        <v>832</v>
      </c>
      <c r="B148" t="s">
        <v>833</v>
      </c>
      <c r="C148" t="s">
        <v>18</v>
      </c>
      <c r="D148">
        <v>1</v>
      </c>
      <c r="E148">
        <v>2</v>
      </c>
      <c r="F148" t="s">
        <v>551</v>
      </c>
      <c r="G148" s="1">
        <v>2352</v>
      </c>
      <c r="H148">
        <v>0</v>
      </c>
      <c r="I148">
        <v>0.5</v>
      </c>
      <c r="J148">
        <v>2</v>
      </c>
      <c r="K148">
        <v>1</v>
      </c>
      <c r="L148">
        <f t="shared" si="8"/>
        <v>2</v>
      </c>
      <c r="M148">
        <v>0</v>
      </c>
      <c r="N148">
        <v>0</v>
      </c>
      <c r="O148">
        <v>5</v>
      </c>
      <c r="P148" s="1">
        <f t="shared" si="9"/>
        <v>0</v>
      </c>
      <c r="Q148">
        <f t="shared" si="10"/>
        <v>5</v>
      </c>
      <c r="R148" s="1">
        <f t="shared" si="11"/>
        <v>11760</v>
      </c>
    </row>
    <row r="149" spans="1:18" x14ac:dyDescent="0.3">
      <c r="A149" t="s">
        <v>834</v>
      </c>
      <c r="B149" t="s">
        <v>835</v>
      </c>
      <c r="C149" t="s">
        <v>18</v>
      </c>
      <c r="D149">
        <v>34</v>
      </c>
      <c r="E149">
        <v>104</v>
      </c>
      <c r="F149" t="s">
        <v>551</v>
      </c>
      <c r="G149" s="1">
        <v>2617</v>
      </c>
      <c r="H149">
        <v>115</v>
      </c>
      <c r="I149">
        <v>0.8</v>
      </c>
      <c r="J149">
        <v>3.5</v>
      </c>
      <c r="K149">
        <v>3</v>
      </c>
      <c r="L149">
        <f t="shared" si="8"/>
        <v>6</v>
      </c>
      <c r="M149">
        <v>0</v>
      </c>
      <c r="N149">
        <v>0</v>
      </c>
      <c r="O149">
        <v>10</v>
      </c>
      <c r="P149" s="1">
        <f t="shared" si="9"/>
        <v>0</v>
      </c>
      <c r="Q149">
        <f t="shared" si="10"/>
        <v>10</v>
      </c>
      <c r="R149" s="1">
        <f t="shared" si="11"/>
        <v>26170</v>
      </c>
    </row>
    <row r="150" spans="1:18" x14ac:dyDescent="0.3">
      <c r="A150" t="s">
        <v>836</v>
      </c>
      <c r="B150" t="s">
        <v>837</v>
      </c>
      <c r="C150" t="s">
        <v>18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f t="shared" si="8"/>
        <v>2</v>
      </c>
      <c r="M150">
        <v>0</v>
      </c>
      <c r="N150">
        <v>0</v>
      </c>
      <c r="O150">
        <v>2</v>
      </c>
      <c r="P150" s="1">
        <f t="shared" si="9"/>
        <v>0</v>
      </c>
      <c r="Q150">
        <f t="shared" si="10"/>
        <v>2</v>
      </c>
      <c r="R150" s="1">
        <f t="shared" si="11"/>
        <v>0</v>
      </c>
    </row>
    <row r="151" spans="1:18" x14ac:dyDescent="0.3">
      <c r="A151" t="s">
        <v>838</v>
      </c>
      <c r="B151" t="s">
        <v>839</v>
      </c>
      <c r="C151" t="s">
        <v>18</v>
      </c>
      <c r="D151">
        <v>30</v>
      </c>
      <c r="E151">
        <v>32</v>
      </c>
      <c r="F151" t="s">
        <v>551</v>
      </c>
      <c r="G151" s="1">
        <v>3435</v>
      </c>
      <c r="H151">
        <v>40</v>
      </c>
      <c r="I151">
        <v>1</v>
      </c>
      <c r="J151">
        <v>1.5</v>
      </c>
      <c r="K151">
        <v>2</v>
      </c>
      <c r="L151">
        <f t="shared" si="8"/>
        <v>4</v>
      </c>
      <c r="M151">
        <v>0</v>
      </c>
      <c r="N151">
        <v>0</v>
      </c>
      <c r="O151">
        <v>5</v>
      </c>
      <c r="P151" s="1">
        <f t="shared" si="9"/>
        <v>0</v>
      </c>
      <c r="Q151">
        <f t="shared" si="10"/>
        <v>5</v>
      </c>
      <c r="R151" s="1">
        <f t="shared" si="11"/>
        <v>17175</v>
      </c>
    </row>
    <row r="152" spans="1:18" x14ac:dyDescent="0.3">
      <c r="A152" t="s">
        <v>840</v>
      </c>
      <c r="B152" t="s">
        <v>841</v>
      </c>
      <c r="C152" t="s">
        <v>18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8"/>
        <v>2</v>
      </c>
      <c r="M152">
        <v>0</v>
      </c>
      <c r="N152">
        <v>0</v>
      </c>
      <c r="O152">
        <v>2</v>
      </c>
      <c r="P152" s="1">
        <f t="shared" si="9"/>
        <v>0</v>
      </c>
      <c r="Q152">
        <f t="shared" si="10"/>
        <v>2</v>
      </c>
      <c r="R152" s="1">
        <f t="shared" si="11"/>
        <v>0</v>
      </c>
    </row>
    <row r="153" spans="1:18" x14ac:dyDescent="0.3">
      <c r="A153" t="s">
        <v>842</v>
      </c>
      <c r="B153" t="s">
        <v>843</v>
      </c>
      <c r="C153" t="s">
        <v>18</v>
      </c>
      <c r="D153">
        <v>1</v>
      </c>
      <c r="E153">
        <v>1</v>
      </c>
      <c r="F153" t="s">
        <v>551</v>
      </c>
      <c r="G153" s="1">
        <v>2138</v>
      </c>
      <c r="H153">
        <v>1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4276</v>
      </c>
    </row>
    <row r="154" spans="1:18" x14ac:dyDescent="0.3">
      <c r="A154" t="s">
        <v>844</v>
      </c>
      <c r="B154" t="s">
        <v>845</v>
      </c>
      <c r="C154" t="s">
        <v>18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8"/>
        <v>2</v>
      </c>
      <c r="M154">
        <v>0</v>
      </c>
      <c r="N154">
        <v>0</v>
      </c>
      <c r="O154">
        <v>2</v>
      </c>
      <c r="P154" s="1">
        <f t="shared" si="9"/>
        <v>0</v>
      </c>
      <c r="Q154">
        <f t="shared" si="10"/>
        <v>2</v>
      </c>
      <c r="R154" s="1">
        <f t="shared" si="11"/>
        <v>0</v>
      </c>
    </row>
    <row r="155" spans="1:18" x14ac:dyDescent="0.3">
      <c r="A155" t="s">
        <v>846</v>
      </c>
      <c r="B155" t="s">
        <v>847</v>
      </c>
      <c r="C155" t="s">
        <v>18</v>
      </c>
      <c r="D155">
        <v>28</v>
      </c>
      <c r="E155">
        <v>16</v>
      </c>
      <c r="F155" t="s">
        <v>551</v>
      </c>
      <c r="G155" s="1">
        <v>2486.15</v>
      </c>
      <c r="H155">
        <v>16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4972.3</v>
      </c>
    </row>
    <row r="156" spans="1:18" x14ac:dyDescent="0.3">
      <c r="A156" t="s">
        <v>848</v>
      </c>
      <c r="B156" t="s">
        <v>849</v>
      </c>
      <c r="C156" t="s">
        <v>18</v>
      </c>
      <c r="D156">
        <v>1</v>
      </c>
      <c r="E156">
        <v>0</v>
      </c>
      <c r="G156" s="1">
        <v>0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0</v>
      </c>
    </row>
    <row r="157" spans="1:18" x14ac:dyDescent="0.3">
      <c r="A157" t="s">
        <v>850</v>
      </c>
      <c r="B157" t="s">
        <v>851</v>
      </c>
      <c r="C157" t="s">
        <v>18</v>
      </c>
      <c r="D157">
        <v>1</v>
      </c>
      <c r="E157">
        <v>4</v>
      </c>
      <c r="F157" t="s">
        <v>551</v>
      </c>
      <c r="G157" s="1">
        <v>3435</v>
      </c>
      <c r="H157">
        <v>0</v>
      </c>
      <c r="I157">
        <v>1.8</v>
      </c>
      <c r="J157">
        <v>4</v>
      </c>
      <c r="K157">
        <v>7</v>
      </c>
      <c r="L157">
        <f t="shared" si="8"/>
        <v>15</v>
      </c>
      <c r="M157">
        <v>0</v>
      </c>
      <c r="N157">
        <v>0</v>
      </c>
      <c r="O157">
        <v>15</v>
      </c>
      <c r="P157" s="1">
        <f t="shared" si="9"/>
        <v>0</v>
      </c>
      <c r="Q157">
        <f t="shared" si="10"/>
        <v>15</v>
      </c>
      <c r="R157" s="1">
        <f t="shared" si="11"/>
        <v>51525</v>
      </c>
    </row>
    <row r="158" spans="1:18" x14ac:dyDescent="0.3">
      <c r="A158" t="s">
        <v>852</v>
      </c>
      <c r="B158" t="s">
        <v>853</v>
      </c>
      <c r="C158" t="s">
        <v>18</v>
      </c>
      <c r="D158">
        <v>34</v>
      </c>
      <c r="E158">
        <v>1344</v>
      </c>
      <c r="F158" t="s">
        <v>661</v>
      </c>
      <c r="G158" s="1">
        <v>57.48</v>
      </c>
      <c r="H158">
        <v>956</v>
      </c>
      <c r="I158">
        <v>0.5</v>
      </c>
      <c r="J158">
        <v>40</v>
      </c>
      <c r="K158">
        <v>20</v>
      </c>
      <c r="L158">
        <f t="shared" si="8"/>
        <v>40</v>
      </c>
      <c r="M158">
        <v>0</v>
      </c>
      <c r="N158">
        <v>0</v>
      </c>
      <c r="O158">
        <v>100</v>
      </c>
      <c r="P158" s="1">
        <f t="shared" si="9"/>
        <v>0</v>
      </c>
      <c r="Q158">
        <f t="shared" si="10"/>
        <v>100</v>
      </c>
      <c r="R158" s="1">
        <f t="shared" si="11"/>
        <v>5748</v>
      </c>
    </row>
    <row r="159" spans="1:18" x14ac:dyDescent="0.3">
      <c r="A159" t="s">
        <v>854</v>
      </c>
      <c r="B159" t="s">
        <v>855</v>
      </c>
      <c r="C159" t="s">
        <v>18</v>
      </c>
      <c r="D159">
        <v>41</v>
      </c>
      <c r="E159">
        <v>20</v>
      </c>
      <c r="F159" t="s">
        <v>482</v>
      </c>
      <c r="G159" s="1">
        <v>663.63</v>
      </c>
      <c r="H159">
        <v>18</v>
      </c>
      <c r="I159">
        <v>0.8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3</v>
      </c>
      <c r="P159" s="1">
        <f t="shared" si="9"/>
        <v>0</v>
      </c>
      <c r="Q159">
        <f t="shared" si="10"/>
        <v>3</v>
      </c>
      <c r="R159" s="1">
        <f t="shared" si="11"/>
        <v>1990.8899999999999</v>
      </c>
    </row>
    <row r="160" spans="1:18" x14ac:dyDescent="0.3">
      <c r="A160" t="s">
        <v>856</v>
      </c>
      <c r="B160" t="s">
        <v>857</v>
      </c>
      <c r="C160" t="s">
        <v>18</v>
      </c>
      <c r="D160">
        <v>19</v>
      </c>
      <c r="E160">
        <v>16</v>
      </c>
      <c r="F160" t="s">
        <v>482</v>
      </c>
      <c r="G160" s="1">
        <v>1437</v>
      </c>
      <c r="H160">
        <v>16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2874</v>
      </c>
    </row>
    <row r="161" spans="1:18" x14ac:dyDescent="0.3">
      <c r="A161" t="s">
        <v>858</v>
      </c>
      <c r="B161" t="s">
        <v>859</v>
      </c>
      <c r="C161" t="s">
        <v>18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x14ac:dyDescent="0.3">
      <c r="A162" t="s">
        <v>860</v>
      </c>
      <c r="B162" t="s">
        <v>861</v>
      </c>
      <c r="C162" t="s">
        <v>18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x14ac:dyDescent="0.3">
      <c r="A163" t="s">
        <v>862</v>
      </c>
      <c r="B163" t="s">
        <v>863</v>
      </c>
      <c r="C163" t="s">
        <v>18</v>
      </c>
      <c r="D163">
        <v>1</v>
      </c>
      <c r="E163">
        <v>0</v>
      </c>
      <c r="G163" s="1">
        <v>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0</v>
      </c>
    </row>
    <row r="164" spans="1:18" x14ac:dyDescent="0.3">
      <c r="A164" t="s">
        <v>864</v>
      </c>
      <c r="B164" t="s">
        <v>865</v>
      </c>
      <c r="C164" t="s">
        <v>18</v>
      </c>
      <c r="D164">
        <v>1</v>
      </c>
      <c r="E164">
        <v>0</v>
      </c>
      <c r="G164" s="1">
        <v>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0</v>
      </c>
    </row>
    <row r="165" spans="1:18" x14ac:dyDescent="0.3">
      <c r="A165" t="s">
        <v>866</v>
      </c>
      <c r="B165" t="s">
        <v>867</v>
      </c>
      <c r="C165" t="s">
        <v>18</v>
      </c>
      <c r="D165">
        <v>34</v>
      </c>
      <c r="E165">
        <v>90</v>
      </c>
      <c r="F165" t="s">
        <v>551</v>
      </c>
      <c r="G165" s="1">
        <v>3010</v>
      </c>
      <c r="H165">
        <v>99</v>
      </c>
      <c r="I165">
        <v>0.8</v>
      </c>
      <c r="J165">
        <v>3</v>
      </c>
      <c r="K165">
        <v>2</v>
      </c>
      <c r="L165">
        <f t="shared" si="8"/>
        <v>5</v>
      </c>
      <c r="M165">
        <v>0</v>
      </c>
      <c r="N165">
        <v>0</v>
      </c>
      <c r="O165">
        <v>8</v>
      </c>
      <c r="P165" s="1">
        <f t="shared" si="9"/>
        <v>0</v>
      </c>
      <c r="Q165">
        <f t="shared" si="10"/>
        <v>8</v>
      </c>
      <c r="R165" s="1">
        <f t="shared" si="11"/>
        <v>24080</v>
      </c>
    </row>
    <row r="166" spans="1:18" x14ac:dyDescent="0.3">
      <c r="A166" t="s">
        <v>868</v>
      </c>
      <c r="B166" t="s">
        <v>869</v>
      </c>
      <c r="C166" t="s">
        <v>18</v>
      </c>
      <c r="D166">
        <v>1</v>
      </c>
      <c r="E166">
        <v>1</v>
      </c>
      <c r="F166" t="s">
        <v>551</v>
      </c>
      <c r="G166" s="1">
        <v>3075</v>
      </c>
      <c r="H166">
        <v>1</v>
      </c>
      <c r="I166">
        <v>1.1000000000000001</v>
      </c>
      <c r="J166">
        <v>1</v>
      </c>
      <c r="K166">
        <v>1</v>
      </c>
      <c r="L166">
        <f t="shared" si="8"/>
        <v>3</v>
      </c>
      <c r="M166">
        <v>0</v>
      </c>
      <c r="N166">
        <v>0</v>
      </c>
      <c r="O166">
        <v>3</v>
      </c>
      <c r="P166" s="1">
        <f t="shared" si="9"/>
        <v>0</v>
      </c>
      <c r="Q166">
        <f t="shared" si="10"/>
        <v>3</v>
      </c>
      <c r="R166" s="1">
        <f t="shared" si="11"/>
        <v>9225</v>
      </c>
    </row>
    <row r="167" spans="1:18" x14ac:dyDescent="0.3">
      <c r="A167" t="s">
        <v>870</v>
      </c>
      <c r="B167" t="s">
        <v>871</v>
      </c>
      <c r="C167" t="s">
        <v>18</v>
      </c>
      <c r="D167">
        <v>21</v>
      </c>
      <c r="E167">
        <v>23</v>
      </c>
      <c r="F167" t="s">
        <v>551</v>
      </c>
      <c r="G167" s="1">
        <v>3896</v>
      </c>
      <c r="H167">
        <v>34</v>
      </c>
      <c r="I167">
        <v>1</v>
      </c>
      <c r="J167">
        <v>2</v>
      </c>
      <c r="K167">
        <v>2</v>
      </c>
      <c r="L167">
        <f t="shared" si="8"/>
        <v>4</v>
      </c>
      <c r="M167">
        <v>0</v>
      </c>
      <c r="N167">
        <v>0</v>
      </c>
      <c r="O167">
        <v>6</v>
      </c>
      <c r="P167" s="1">
        <f t="shared" si="9"/>
        <v>0</v>
      </c>
      <c r="Q167">
        <f t="shared" si="10"/>
        <v>6</v>
      </c>
      <c r="R167" s="1">
        <f t="shared" si="11"/>
        <v>23376</v>
      </c>
    </row>
    <row r="168" spans="1:18" x14ac:dyDescent="0.3">
      <c r="A168" t="s">
        <v>872</v>
      </c>
      <c r="B168" t="s">
        <v>873</v>
      </c>
      <c r="C168" t="s">
        <v>18</v>
      </c>
      <c r="D168">
        <v>1</v>
      </c>
      <c r="E168">
        <v>0</v>
      </c>
      <c r="G168" s="1">
        <v>0</v>
      </c>
      <c r="H168">
        <v>0</v>
      </c>
      <c r="I168">
        <v>0.5</v>
      </c>
      <c r="J168">
        <v>1</v>
      </c>
      <c r="K168">
        <v>1</v>
      </c>
      <c r="L168">
        <f t="shared" si="8"/>
        <v>2</v>
      </c>
      <c r="M168">
        <v>0</v>
      </c>
      <c r="N168">
        <v>0</v>
      </c>
      <c r="O168">
        <v>2</v>
      </c>
      <c r="P168" s="1">
        <f t="shared" si="9"/>
        <v>0</v>
      </c>
      <c r="Q168">
        <f t="shared" si="10"/>
        <v>2</v>
      </c>
      <c r="R168" s="1">
        <f t="shared" si="11"/>
        <v>0</v>
      </c>
    </row>
    <row r="169" spans="1:18" x14ac:dyDescent="0.3">
      <c r="A169" t="s">
        <v>874</v>
      </c>
      <c r="B169" t="s">
        <v>875</v>
      </c>
      <c r="C169" t="s">
        <v>18</v>
      </c>
      <c r="D169">
        <v>1</v>
      </c>
      <c r="E169">
        <v>2</v>
      </c>
      <c r="F169" t="s">
        <v>551</v>
      </c>
      <c r="G169" s="1">
        <v>2400</v>
      </c>
      <c r="H169">
        <v>2</v>
      </c>
      <c r="I169">
        <v>0.5</v>
      </c>
      <c r="J169">
        <v>2</v>
      </c>
      <c r="K169">
        <v>1</v>
      </c>
      <c r="L169">
        <f t="shared" si="8"/>
        <v>2</v>
      </c>
      <c r="M169">
        <v>0</v>
      </c>
      <c r="N169">
        <v>0</v>
      </c>
      <c r="O169">
        <v>5</v>
      </c>
      <c r="P169" s="1">
        <f t="shared" si="9"/>
        <v>0</v>
      </c>
      <c r="Q169">
        <f t="shared" si="10"/>
        <v>5</v>
      </c>
      <c r="R169" s="1">
        <f t="shared" si="11"/>
        <v>12000</v>
      </c>
    </row>
    <row r="170" spans="1:18" x14ac:dyDescent="0.3">
      <c r="A170" t="s">
        <v>876</v>
      </c>
      <c r="B170" t="s">
        <v>877</v>
      </c>
      <c r="C170" t="s">
        <v>18</v>
      </c>
      <c r="D170">
        <v>1</v>
      </c>
      <c r="E170">
        <v>2</v>
      </c>
      <c r="F170" t="s">
        <v>551</v>
      </c>
      <c r="G170" s="1">
        <v>2175</v>
      </c>
      <c r="H170">
        <v>0</v>
      </c>
      <c r="I170">
        <v>0.5</v>
      </c>
      <c r="J170">
        <v>2</v>
      </c>
      <c r="K170">
        <v>1</v>
      </c>
      <c r="L170">
        <f t="shared" si="8"/>
        <v>2</v>
      </c>
      <c r="M170">
        <v>0</v>
      </c>
      <c r="N170">
        <v>0</v>
      </c>
      <c r="O170">
        <v>5</v>
      </c>
      <c r="P170" s="1">
        <f t="shared" si="9"/>
        <v>0</v>
      </c>
      <c r="Q170">
        <f t="shared" si="10"/>
        <v>5</v>
      </c>
      <c r="R170" s="1">
        <f t="shared" si="11"/>
        <v>10875</v>
      </c>
    </row>
    <row r="171" spans="1:18" x14ac:dyDescent="0.3">
      <c r="A171" t="s">
        <v>878</v>
      </c>
      <c r="B171" t="s">
        <v>879</v>
      </c>
      <c r="C171" t="s">
        <v>18</v>
      </c>
      <c r="D171">
        <v>32</v>
      </c>
      <c r="E171">
        <v>36</v>
      </c>
      <c r="F171" t="s">
        <v>551</v>
      </c>
      <c r="G171" s="1">
        <v>2916.38</v>
      </c>
      <c r="H171">
        <v>33</v>
      </c>
      <c r="I171">
        <v>0.7</v>
      </c>
      <c r="J171">
        <v>1.5</v>
      </c>
      <c r="K171">
        <v>1</v>
      </c>
      <c r="L171">
        <f t="shared" si="8"/>
        <v>3</v>
      </c>
      <c r="M171">
        <v>0</v>
      </c>
      <c r="N171">
        <v>0</v>
      </c>
      <c r="O171">
        <v>4</v>
      </c>
      <c r="P171" s="1">
        <f t="shared" si="9"/>
        <v>0</v>
      </c>
      <c r="Q171">
        <f t="shared" si="10"/>
        <v>4</v>
      </c>
      <c r="R171" s="1">
        <f t="shared" si="11"/>
        <v>11665.52</v>
      </c>
    </row>
    <row r="172" spans="1:18" x14ac:dyDescent="0.3">
      <c r="A172" t="s">
        <v>880</v>
      </c>
      <c r="B172" t="s">
        <v>881</v>
      </c>
      <c r="C172" t="s">
        <v>18</v>
      </c>
      <c r="D172">
        <v>1</v>
      </c>
      <c r="E172">
        <v>0</v>
      </c>
      <c r="G172" s="1">
        <v>0</v>
      </c>
      <c r="H172">
        <v>0</v>
      </c>
      <c r="I172">
        <v>0.5</v>
      </c>
      <c r="J172">
        <v>1</v>
      </c>
      <c r="K172">
        <v>1</v>
      </c>
      <c r="L172">
        <f t="shared" si="8"/>
        <v>2</v>
      </c>
      <c r="M172">
        <v>0</v>
      </c>
      <c r="N172">
        <v>0</v>
      </c>
      <c r="O172">
        <v>2</v>
      </c>
      <c r="P172" s="1">
        <f t="shared" si="9"/>
        <v>0</v>
      </c>
      <c r="Q172">
        <f t="shared" si="10"/>
        <v>2</v>
      </c>
      <c r="R172" s="1">
        <f t="shared" si="11"/>
        <v>0</v>
      </c>
    </row>
    <row r="173" spans="1:18" x14ac:dyDescent="0.3">
      <c r="A173" t="s">
        <v>882</v>
      </c>
      <c r="B173" t="s">
        <v>883</v>
      </c>
      <c r="C173" t="s">
        <v>18</v>
      </c>
      <c r="D173">
        <v>1</v>
      </c>
      <c r="E173">
        <v>4</v>
      </c>
      <c r="F173" t="s">
        <v>551</v>
      </c>
      <c r="G173" s="1">
        <v>3693</v>
      </c>
      <c r="H173">
        <v>0</v>
      </c>
      <c r="I173">
        <v>1.5</v>
      </c>
      <c r="J173">
        <v>4</v>
      </c>
      <c r="K173">
        <v>6</v>
      </c>
      <c r="L173">
        <f t="shared" si="8"/>
        <v>12</v>
      </c>
      <c r="M173">
        <v>0</v>
      </c>
      <c r="N173">
        <v>0</v>
      </c>
      <c r="O173">
        <v>14</v>
      </c>
      <c r="P173" s="1">
        <f t="shared" si="9"/>
        <v>0</v>
      </c>
      <c r="Q173">
        <f t="shared" si="10"/>
        <v>14</v>
      </c>
      <c r="R173" s="1">
        <f t="shared" si="11"/>
        <v>51702</v>
      </c>
    </row>
    <row r="174" spans="1:18" x14ac:dyDescent="0.3">
      <c r="A174" t="s">
        <v>884</v>
      </c>
      <c r="B174" t="s">
        <v>885</v>
      </c>
      <c r="C174" t="s">
        <v>18</v>
      </c>
      <c r="D174">
        <v>24</v>
      </c>
      <c r="E174">
        <v>10</v>
      </c>
      <c r="F174" t="s">
        <v>482</v>
      </c>
      <c r="G174" s="1">
        <v>860</v>
      </c>
      <c r="H174">
        <v>10</v>
      </c>
      <c r="I174">
        <v>1.7</v>
      </c>
      <c r="J174">
        <v>1</v>
      </c>
      <c r="K174">
        <v>2</v>
      </c>
      <c r="L174">
        <f t="shared" si="8"/>
        <v>4</v>
      </c>
      <c r="M174">
        <v>0</v>
      </c>
      <c r="N174">
        <v>0</v>
      </c>
      <c r="O174">
        <v>4</v>
      </c>
      <c r="P174" s="1">
        <f t="shared" si="9"/>
        <v>0</v>
      </c>
      <c r="Q174">
        <f t="shared" si="10"/>
        <v>4</v>
      </c>
      <c r="R174" s="1">
        <f t="shared" si="11"/>
        <v>3440</v>
      </c>
    </row>
    <row r="175" spans="1:18" x14ac:dyDescent="0.3">
      <c r="A175" t="s">
        <v>886</v>
      </c>
      <c r="B175" t="s">
        <v>887</v>
      </c>
      <c r="C175" t="s">
        <v>18</v>
      </c>
      <c r="D175">
        <v>6</v>
      </c>
      <c r="E175">
        <v>3</v>
      </c>
      <c r="F175" t="s">
        <v>482</v>
      </c>
      <c r="G175" s="1">
        <v>1592</v>
      </c>
      <c r="H175">
        <v>4</v>
      </c>
      <c r="I175">
        <v>1.1000000000000001</v>
      </c>
      <c r="J175">
        <v>1</v>
      </c>
      <c r="K175">
        <v>1</v>
      </c>
      <c r="L175">
        <f t="shared" si="8"/>
        <v>3</v>
      </c>
      <c r="M175">
        <v>0</v>
      </c>
      <c r="N175">
        <v>0</v>
      </c>
      <c r="O175">
        <v>3</v>
      </c>
      <c r="P175" s="1">
        <f t="shared" si="9"/>
        <v>0</v>
      </c>
      <c r="Q175">
        <f t="shared" si="10"/>
        <v>3</v>
      </c>
      <c r="R175" s="1">
        <f t="shared" si="11"/>
        <v>4776</v>
      </c>
    </row>
    <row r="176" spans="1:18" x14ac:dyDescent="0.3">
      <c r="A176" t="s">
        <v>888</v>
      </c>
      <c r="B176" t="s">
        <v>889</v>
      </c>
      <c r="C176" t="s">
        <v>18</v>
      </c>
      <c r="D176">
        <v>1</v>
      </c>
      <c r="E176">
        <v>0</v>
      </c>
      <c r="G176" s="1">
        <v>0</v>
      </c>
      <c r="H176">
        <v>0</v>
      </c>
      <c r="I176">
        <v>0.5</v>
      </c>
      <c r="J176">
        <v>1</v>
      </c>
      <c r="K176">
        <v>1</v>
      </c>
      <c r="L176">
        <f t="shared" si="8"/>
        <v>2</v>
      </c>
      <c r="M176">
        <v>0</v>
      </c>
      <c r="N176">
        <v>0</v>
      </c>
      <c r="O176">
        <v>2</v>
      </c>
      <c r="P176" s="1">
        <f t="shared" si="9"/>
        <v>0</v>
      </c>
      <c r="Q176">
        <f t="shared" si="10"/>
        <v>2</v>
      </c>
      <c r="R176" s="1">
        <f t="shared" si="11"/>
        <v>0</v>
      </c>
    </row>
    <row r="177" spans="1:18" x14ac:dyDescent="0.3">
      <c r="A177" t="s">
        <v>890</v>
      </c>
      <c r="B177" t="s">
        <v>891</v>
      </c>
      <c r="C177" t="s">
        <v>18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x14ac:dyDescent="0.3">
      <c r="A178" t="s">
        <v>892</v>
      </c>
      <c r="B178" t="s">
        <v>893</v>
      </c>
      <c r="C178" t="s">
        <v>18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8"/>
        <v>2</v>
      </c>
      <c r="M178">
        <v>0</v>
      </c>
      <c r="N178">
        <v>0</v>
      </c>
      <c r="O178">
        <v>2</v>
      </c>
      <c r="P178" s="1">
        <f t="shared" si="9"/>
        <v>0</v>
      </c>
      <c r="Q178">
        <f t="shared" si="10"/>
        <v>2</v>
      </c>
      <c r="R178" s="1">
        <f t="shared" si="11"/>
        <v>0</v>
      </c>
    </row>
    <row r="179" spans="1:18" x14ac:dyDescent="0.3">
      <c r="A179" t="s">
        <v>894</v>
      </c>
      <c r="B179" t="s">
        <v>895</v>
      </c>
      <c r="C179" t="s">
        <v>18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8"/>
        <v>2</v>
      </c>
      <c r="M179">
        <v>0</v>
      </c>
      <c r="N179">
        <v>0</v>
      </c>
      <c r="O179">
        <v>2</v>
      </c>
      <c r="P179" s="1">
        <f t="shared" si="9"/>
        <v>0</v>
      </c>
      <c r="Q179">
        <f t="shared" si="10"/>
        <v>2</v>
      </c>
      <c r="R179" s="1">
        <f t="shared" si="11"/>
        <v>0</v>
      </c>
    </row>
    <row r="180" spans="1:18" x14ac:dyDescent="0.3">
      <c r="A180" t="s">
        <v>896</v>
      </c>
      <c r="B180" t="s">
        <v>897</v>
      </c>
      <c r="C180" t="s">
        <v>18</v>
      </c>
      <c r="D180">
        <v>30</v>
      </c>
      <c r="E180">
        <v>45</v>
      </c>
      <c r="F180" t="s">
        <v>551</v>
      </c>
      <c r="G180" s="1">
        <v>3685</v>
      </c>
      <c r="H180">
        <v>56</v>
      </c>
      <c r="I180">
        <v>0.7</v>
      </c>
      <c r="J180">
        <v>2</v>
      </c>
      <c r="K180">
        <v>1</v>
      </c>
      <c r="L180">
        <f t="shared" si="8"/>
        <v>3</v>
      </c>
      <c r="M180">
        <v>0</v>
      </c>
      <c r="N180">
        <v>0</v>
      </c>
      <c r="O180">
        <v>5</v>
      </c>
      <c r="P180" s="1">
        <f t="shared" si="9"/>
        <v>0</v>
      </c>
      <c r="Q180">
        <f t="shared" si="10"/>
        <v>5</v>
      </c>
      <c r="R180" s="1">
        <f t="shared" si="11"/>
        <v>18425</v>
      </c>
    </row>
    <row r="181" spans="1:18" x14ac:dyDescent="0.3">
      <c r="A181" t="s">
        <v>898</v>
      </c>
      <c r="B181" t="s">
        <v>899</v>
      </c>
      <c r="C181" t="s">
        <v>18</v>
      </c>
      <c r="D181">
        <v>1</v>
      </c>
      <c r="E181">
        <v>0</v>
      </c>
      <c r="G181" s="1">
        <v>0</v>
      </c>
      <c r="H181">
        <v>0</v>
      </c>
      <c r="I181">
        <v>0.5</v>
      </c>
      <c r="J181">
        <v>1</v>
      </c>
      <c r="K181">
        <v>1</v>
      </c>
      <c r="L181">
        <f t="shared" si="8"/>
        <v>2</v>
      </c>
      <c r="M181">
        <v>0</v>
      </c>
      <c r="N181">
        <v>0</v>
      </c>
      <c r="O181">
        <v>2</v>
      </c>
      <c r="P181" s="1">
        <f t="shared" si="9"/>
        <v>0</v>
      </c>
      <c r="Q181">
        <f t="shared" si="10"/>
        <v>2</v>
      </c>
      <c r="R181" s="1">
        <f t="shared" si="11"/>
        <v>0</v>
      </c>
    </row>
    <row r="182" spans="1:18" x14ac:dyDescent="0.3">
      <c r="A182" t="s">
        <v>900</v>
      </c>
      <c r="B182" t="s">
        <v>901</v>
      </c>
      <c r="C182" t="s">
        <v>18</v>
      </c>
      <c r="D182">
        <v>29</v>
      </c>
      <c r="E182">
        <v>22</v>
      </c>
      <c r="F182" t="s">
        <v>551</v>
      </c>
      <c r="G182" s="1">
        <v>4720</v>
      </c>
      <c r="H182">
        <v>28</v>
      </c>
      <c r="I182">
        <v>0.9</v>
      </c>
      <c r="J182">
        <v>1</v>
      </c>
      <c r="K182">
        <v>1</v>
      </c>
      <c r="L182">
        <f t="shared" si="8"/>
        <v>2</v>
      </c>
      <c r="M182">
        <v>0</v>
      </c>
      <c r="N182">
        <v>0</v>
      </c>
      <c r="O182">
        <v>3</v>
      </c>
      <c r="P182" s="1">
        <f t="shared" si="9"/>
        <v>0</v>
      </c>
      <c r="Q182">
        <f t="shared" si="10"/>
        <v>3</v>
      </c>
      <c r="R182" s="1">
        <f t="shared" si="11"/>
        <v>14160</v>
      </c>
    </row>
    <row r="183" spans="1:18" x14ac:dyDescent="0.3">
      <c r="A183" t="s">
        <v>902</v>
      </c>
      <c r="B183" t="s">
        <v>903</v>
      </c>
      <c r="C183" t="s">
        <v>18</v>
      </c>
      <c r="D183">
        <v>1</v>
      </c>
      <c r="E183">
        <v>0</v>
      </c>
      <c r="G183" s="1">
        <v>0</v>
      </c>
      <c r="H183">
        <v>0</v>
      </c>
      <c r="I183">
        <v>0.5</v>
      </c>
      <c r="J183">
        <v>1</v>
      </c>
      <c r="K183">
        <v>1</v>
      </c>
      <c r="L183">
        <f t="shared" si="8"/>
        <v>2</v>
      </c>
      <c r="M183">
        <v>0</v>
      </c>
      <c r="N183">
        <v>0</v>
      </c>
      <c r="O183">
        <v>2</v>
      </c>
      <c r="P183" s="1">
        <f t="shared" si="9"/>
        <v>0</v>
      </c>
      <c r="Q183">
        <f t="shared" si="10"/>
        <v>2</v>
      </c>
      <c r="R183" s="1">
        <f t="shared" si="11"/>
        <v>0</v>
      </c>
    </row>
    <row r="184" spans="1:18" x14ac:dyDescent="0.3">
      <c r="A184" t="s">
        <v>904</v>
      </c>
      <c r="B184" t="s">
        <v>905</v>
      </c>
      <c r="C184" t="s">
        <v>18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8"/>
        <v>2</v>
      </c>
      <c r="M184">
        <v>0</v>
      </c>
      <c r="N184">
        <v>0</v>
      </c>
      <c r="O184">
        <v>2</v>
      </c>
      <c r="P184" s="1">
        <f t="shared" si="9"/>
        <v>0</v>
      </c>
      <c r="Q184">
        <f t="shared" si="10"/>
        <v>2</v>
      </c>
      <c r="R184" s="1">
        <f t="shared" si="11"/>
        <v>0</v>
      </c>
    </row>
    <row r="185" spans="1:18" x14ac:dyDescent="0.3">
      <c r="A185" t="s">
        <v>906</v>
      </c>
      <c r="B185" t="s">
        <v>907</v>
      </c>
      <c r="C185" t="s">
        <v>18</v>
      </c>
      <c r="D185">
        <v>11</v>
      </c>
      <c r="E185">
        <v>2</v>
      </c>
      <c r="F185" t="s">
        <v>551</v>
      </c>
      <c r="G185" s="1">
        <v>3331</v>
      </c>
      <c r="H185">
        <v>7</v>
      </c>
      <c r="I185">
        <v>0.5</v>
      </c>
      <c r="J185">
        <v>1</v>
      </c>
      <c r="K185">
        <v>1</v>
      </c>
      <c r="L185">
        <f t="shared" si="8"/>
        <v>2</v>
      </c>
      <c r="M185">
        <v>0</v>
      </c>
      <c r="N185">
        <v>0</v>
      </c>
      <c r="O185">
        <v>2</v>
      </c>
      <c r="P185" s="1">
        <f t="shared" si="9"/>
        <v>0</v>
      </c>
      <c r="Q185">
        <f t="shared" si="10"/>
        <v>2</v>
      </c>
      <c r="R185" s="1">
        <f t="shared" si="11"/>
        <v>6662</v>
      </c>
    </row>
    <row r="186" spans="1:18" x14ac:dyDescent="0.3">
      <c r="A186" t="s">
        <v>908</v>
      </c>
      <c r="B186" t="s">
        <v>909</v>
      </c>
      <c r="C186" t="s">
        <v>18</v>
      </c>
      <c r="D186">
        <v>31</v>
      </c>
      <c r="E186">
        <v>34</v>
      </c>
      <c r="F186" t="s">
        <v>551</v>
      </c>
      <c r="G186" s="1">
        <v>3485.72</v>
      </c>
      <c r="H186">
        <v>19</v>
      </c>
      <c r="I186">
        <v>0.7</v>
      </c>
      <c r="J186">
        <v>1.5</v>
      </c>
      <c r="K186">
        <v>1</v>
      </c>
      <c r="L186">
        <f t="shared" si="8"/>
        <v>3</v>
      </c>
      <c r="M186">
        <v>0</v>
      </c>
      <c r="N186">
        <v>0</v>
      </c>
      <c r="O186">
        <v>4</v>
      </c>
      <c r="P186" s="1">
        <f t="shared" si="9"/>
        <v>0</v>
      </c>
      <c r="Q186">
        <f t="shared" si="10"/>
        <v>4</v>
      </c>
      <c r="R186" s="1">
        <f t="shared" si="11"/>
        <v>13942.88</v>
      </c>
    </row>
    <row r="187" spans="1:18" x14ac:dyDescent="0.3">
      <c r="A187" t="s">
        <v>910</v>
      </c>
      <c r="B187" t="s">
        <v>911</v>
      </c>
      <c r="C187" t="s">
        <v>18</v>
      </c>
      <c r="D187">
        <v>1</v>
      </c>
      <c r="E187">
        <v>0</v>
      </c>
      <c r="G187" s="1">
        <v>0</v>
      </c>
      <c r="H187">
        <v>0</v>
      </c>
      <c r="I187">
        <v>0.5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2</v>
      </c>
      <c r="P187" s="1">
        <f t="shared" si="9"/>
        <v>0</v>
      </c>
      <c r="Q187">
        <f t="shared" si="10"/>
        <v>2</v>
      </c>
      <c r="R187" s="1">
        <f t="shared" si="11"/>
        <v>0</v>
      </c>
    </row>
    <row r="188" spans="1:18" x14ac:dyDescent="0.3">
      <c r="A188" t="s">
        <v>912</v>
      </c>
      <c r="B188" t="s">
        <v>913</v>
      </c>
      <c r="C188" t="s">
        <v>18</v>
      </c>
      <c r="D188">
        <v>1</v>
      </c>
      <c r="E188">
        <v>0</v>
      </c>
      <c r="G188" s="1">
        <v>0</v>
      </c>
      <c r="H188">
        <v>0</v>
      </c>
      <c r="I188">
        <v>0.5</v>
      </c>
      <c r="J188">
        <v>1</v>
      </c>
      <c r="K188">
        <v>1</v>
      </c>
      <c r="L188">
        <f t="shared" si="8"/>
        <v>2</v>
      </c>
      <c r="M188">
        <v>0</v>
      </c>
      <c r="N188">
        <v>0</v>
      </c>
      <c r="O188">
        <v>2</v>
      </c>
      <c r="P188" s="1">
        <f t="shared" si="9"/>
        <v>0</v>
      </c>
      <c r="Q188">
        <f t="shared" si="10"/>
        <v>2</v>
      </c>
      <c r="R188" s="1">
        <f t="shared" si="11"/>
        <v>0</v>
      </c>
    </row>
    <row r="189" spans="1:18" x14ac:dyDescent="0.3">
      <c r="A189" t="s">
        <v>914</v>
      </c>
      <c r="B189" t="s">
        <v>915</v>
      </c>
      <c r="C189" t="s">
        <v>18</v>
      </c>
      <c r="D189">
        <v>1</v>
      </c>
      <c r="E189">
        <v>0</v>
      </c>
      <c r="G189" s="1">
        <v>0</v>
      </c>
      <c r="H189">
        <v>5</v>
      </c>
      <c r="I189">
        <v>0.5</v>
      </c>
      <c r="J189">
        <v>5</v>
      </c>
      <c r="K189">
        <v>2</v>
      </c>
      <c r="L189">
        <f t="shared" si="8"/>
        <v>5</v>
      </c>
      <c r="M189">
        <v>0</v>
      </c>
      <c r="N189">
        <v>0</v>
      </c>
      <c r="O189">
        <v>12</v>
      </c>
      <c r="P189" s="1">
        <f t="shared" si="9"/>
        <v>0</v>
      </c>
      <c r="Q189">
        <f t="shared" si="10"/>
        <v>12</v>
      </c>
      <c r="R189" s="1">
        <f t="shared" si="11"/>
        <v>0</v>
      </c>
    </row>
    <row r="190" spans="1:18" x14ac:dyDescent="0.3">
      <c r="A190" t="s">
        <v>916</v>
      </c>
      <c r="B190" t="s">
        <v>917</v>
      </c>
      <c r="C190" t="s">
        <v>18</v>
      </c>
      <c r="D190">
        <v>3</v>
      </c>
      <c r="E190">
        <v>3</v>
      </c>
      <c r="F190" t="s">
        <v>482</v>
      </c>
      <c r="G190" s="1">
        <v>1699</v>
      </c>
      <c r="H190">
        <v>1</v>
      </c>
      <c r="I190">
        <v>1</v>
      </c>
      <c r="J190">
        <v>1</v>
      </c>
      <c r="K190">
        <v>1</v>
      </c>
      <c r="L190">
        <f t="shared" si="8"/>
        <v>2</v>
      </c>
      <c r="M190">
        <v>0</v>
      </c>
      <c r="N190">
        <v>0</v>
      </c>
      <c r="O190">
        <v>3</v>
      </c>
      <c r="P190" s="1">
        <f t="shared" si="9"/>
        <v>0</v>
      </c>
      <c r="Q190">
        <f t="shared" si="10"/>
        <v>3</v>
      </c>
      <c r="R190" s="1">
        <f t="shared" si="11"/>
        <v>5097</v>
      </c>
    </row>
    <row r="191" spans="1:18" x14ac:dyDescent="0.3">
      <c r="A191" t="s">
        <v>918</v>
      </c>
      <c r="B191" t="s">
        <v>919</v>
      </c>
      <c r="C191" t="s">
        <v>18</v>
      </c>
      <c r="D191">
        <v>1</v>
      </c>
      <c r="E191">
        <v>0</v>
      </c>
      <c r="G191" s="1">
        <v>0</v>
      </c>
      <c r="H191">
        <v>0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0</v>
      </c>
    </row>
    <row r="192" spans="1:18" x14ac:dyDescent="0.3">
      <c r="A192" t="s">
        <v>920</v>
      </c>
      <c r="B192" t="s">
        <v>921</v>
      </c>
      <c r="C192" t="s">
        <v>18</v>
      </c>
      <c r="D192">
        <v>1</v>
      </c>
      <c r="E192">
        <v>0</v>
      </c>
      <c r="G192" s="1">
        <v>0</v>
      </c>
      <c r="H192">
        <v>0</v>
      </c>
      <c r="I192">
        <v>0.5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2</v>
      </c>
      <c r="P192" s="1">
        <f t="shared" si="9"/>
        <v>0</v>
      </c>
      <c r="Q192">
        <f t="shared" si="10"/>
        <v>2</v>
      </c>
      <c r="R192" s="1">
        <f t="shared" si="11"/>
        <v>0</v>
      </c>
    </row>
    <row r="193" spans="1:18" x14ac:dyDescent="0.3">
      <c r="A193" t="s">
        <v>922</v>
      </c>
      <c r="B193" t="s">
        <v>923</v>
      </c>
      <c r="C193" t="s">
        <v>18</v>
      </c>
      <c r="D193">
        <v>1</v>
      </c>
      <c r="E193">
        <v>16</v>
      </c>
      <c r="F193" t="s">
        <v>551</v>
      </c>
      <c r="G193" s="1">
        <v>3395</v>
      </c>
      <c r="H193">
        <v>0</v>
      </c>
      <c r="I193">
        <v>1.8</v>
      </c>
      <c r="J193">
        <v>16</v>
      </c>
      <c r="K193">
        <v>29</v>
      </c>
      <c r="L193">
        <f t="shared" si="8"/>
        <v>58</v>
      </c>
      <c r="M193">
        <v>0</v>
      </c>
      <c r="N193">
        <v>0</v>
      </c>
      <c r="O193">
        <v>61</v>
      </c>
      <c r="P193" s="1">
        <f t="shared" si="9"/>
        <v>0</v>
      </c>
      <c r="Q193">
        <f t="shared" si="10"/>
        <v>61</v>
      </c>
      <c r="R193" s="1">
        <f t="shared" si="11"/>
        <v>207095</v>
      </c>
    </row>
    <row r="194" spans="1:18" x14ac:dyDescent="0.3">
      <c r="A194" t="s">
        <v>924</v>
      </c>
      <c r="B194" t="s">
        <v>925</v>
      </c>
      <c r="C194" t="s">
        <v>18</v>
      </c>
      <c r="D194">
        <v>1</v>
      </c>
      <c r="E194">
        <v>0</v>
      </c>
      <c r="G194" s="1">
        <v>0</v>
      </c>
      <c r="H194">
        <v>1</v>
      </c>
      <c r="I194">
        <v>0.5</v>
      </c>
      <c r="J194">
        <v>1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2</v>
      </c>
      <c r="P194" s="1">
        <f t="shared" ref="P194:P257" si="13">IFERROR(M194*G194,0)</f>
        <v>0</v>
      </c>
      <c r="Q194">
        <f t="shared" ref="Q194:Q257" si="14">IF(O194-M194-N194&gt;0,O194-M194-N194,0)</f>
        <v>2</v>
      </c>
      <c r="R194" s="1">
        <f t="shared" ref="R194:R257" si="15">IFERROR(Q194*G194,0)</f>
        <v>0</v>
      </c>
    </row>
    <row r="195" spans="1:18" x14ac:dyDescent="0.3">
      <c r="A195" t="s">
        <v>926</v>
      </c>
      <c r="B195" t="s">
        <v>927</v>
      </c>
      <c r="C195" t="s">
        <v>18</v>
      </c>
      <c r="D195">
        <v>32</v>
      </c>
      <c r="E195">
        <v>34</v>
      </c>
      <c r="F195" t="s">
        <v>551</v>
      </c>
      <c r="G195" s="1">
        <v>4423</v>
      </c>
      <c r="H195">
        <v>38</v>
      </c>
      <c r="I195">
        <v>0.7</v>
      </c>
      <c r="J195">
        <v>1.5</v>
      </c>
      <c r="K195">
        <v>1</v>
      </c>
      <c r="L195">
        <f t="shared" si="12"/>
        <v>3</v>
      </c>
      <c r="M195">
        <v>0</v>
      </c>
      <c r="N195">
        <v>0</v>
      </c>
      <c r="O195">
        <v>4</v>
      </c>
      <c r="P195" s="1">
        <f t="shared" si="13"/>
        <v>0</v>
      </c>
      <c r="Q195">
        <f t="shared" si="14"/>
        <v>4</v>
      </c>
      <c r="R195" s="1">
        <f t="shared" si="15"/>
        <v>17692</v>
      </c>
    </row>
    <row r="196" spans="1:18" x14ac:dyDescent="0.3">
      <c r="A196" t="s">
        <v>928</v>
      </c>
      <c r="B196" t="s">
        <v>929</v>
      </c>
      <c r="C196" t="s">
        <v>18</v>
      </c>
      <c r="D196">
        <v>1</v>
      </c>
      <c r="E196">
        <v>0</v>
      </c>
      <c r="G196" s="1">
        <v>0</v>
      </c>
      <c r="H196">
        <v>0</v>
      </c>
      <c r="I196">
        <v>0.5</v>
      </c>
      <c r="J196">
        <v>1</v>
      </c>
      <c r="K196">
        <v>1</v>
      </c>
      <c r="L196">
        <f t="shared" si="12"/>
        <v>2</v>
      </c>
      <c r="M196">
        <v>0</v>
      </c>
      <c r="N196">
        <v>0</v>
      </c>
      <c r="O196">
        <v>2</v>
      </c>
      <c r="P196" s="1">
        <f t="shared" si="13"/>
        <v>0</v>
      </c>
      <c r="Q196">
        <f t="shared" si="14"/>
        <v>2</v>
      </c>
      <c r="R196" s="1">
        <f t="shared" si="15"/>
        <v>0</v>
      </c>
    </row>
    <row r="197" spans="1:18" x14ac:dyDescent="0.3">
      <c r="A197" t="s">
        <v>930</v>
      </c>
      <c r="B197" t="s">
        <v>931</v>
      </c>
      <c r="C197" t="s">
        <v>18</v>
      </c>
      <c r="D197">
        <v>19</v>
      </c>
      <c r="E197">
        <v>14</v>
      </c>
      <c r="F197" t="s">
        <v>551</v>
      </c>
      <c r="G197" s="1">
        <v>5738</v>
      </c>
      <c r="H197">
        <v>14</v>
      </c>
      <c r="I197">
        <v>0.9</v>
      </c>
      <c r="J197">
        <v>1</v>
      </c>
      <c r="K197">
        <v>1</v>
      </c>
      <c r="L197">
        <f t="shared" si="12"/>
        <v>2</v>
      </c>
      <c r="M197">
        <v>0</v>
      </c>
      <c r="N197">
        <v>0</v>
      </c>
      <c r="O197">
        <v>3</v>
      </c>
      <c r="P197" s="1">
        <f t="shared" si="13"/>
        <v>0</v>
      </c>
      <c r="Q197">
        <f t="shared" si="14"/>
        <v>3</v>
      </c>
      <c r="R197" s="1">
        <f t="shared" si="15"/>
        <v>17214</v>
      </c>
    </row>
    <row r="198" spans="1:18" x14ac:dyDescent="0.3">
      <c r="A198" t="s">
        <v>932</v>
      </c>
      <c r="B198" t="s">
        <v>933</v>
      </c>
      <c r="C198" t="s">
        <v>18</v>
      </c>
      <c r="D198">
        <v>1</v>
      </c>
      <c r="E198">
        <v>0</v>
      </c>
      <c r="G198" s="1">
        <v>0</v>
      </c>
      <c r="H198">
        <v>0</v>
      </c>
      <c r="I198">
        <v>0.5</v>
      </c>
      <c r="J198">
        <v>1</v>
      </c>
      <c r="K198">
        <v>1</v>
      </c>
      <c r="L198">
        <f t="shared" si="12"/>
        <v>2</v>
      </c>
      <c r="M198">
        <v>0</v>
      </c>
      <c r="N198">
        <v>0</v>
      </c>
      <c r="O198">
        <v>2</v>
      </c>
      <c r="P198" s="1">
        <f t="shared" si="13"/>
        <v>0</v>
      </c>
      <c r="Q198">
        <f t="shared" si="14"/>
        <v>2</v>
      </c>
      <c r="R198" s="1">
        <f t="shared" si="15"/>
        <v>0</v>
      </c>
    </row>
    <row r="199" spans="1:18" x14ac:dyDescent="0.3">
      <c r="A199" t="s">
        <v>934</v>
      </c>
      <c r="B199" t="s">
        <v>935</v>
      </c>
      <c r="C199" t="s">
        <v>18</v>
      </c>
      <c r="D199">
        <v>1</v>
      </c>
      <c r="E199">
        <v>0</v>
      </c>
      <c r="G199" s="1">
        <v>0</v>
      </c>
      <c r="H199">
        <v>16</v>
      </c>
      <c r="I199">
        <v>0.5</v>
      </c>
      <c r="J199">
        <v>16</v>
      </c>
      <c r="K199">
        <v>8</v>
      </c>
      <c r="L199">
        <f t="shared" si="12"/>
        <v>16</v>
      </c>
      <c r="M199">
        <v>0</v>
      </c>
      <c r="N199">
        <v>0</v>
      </c>
      <c r="O199">
        <v>40</v>
      </c>
      <c r="P199" s="1">
        <f t="shared" si="13"/>
        <v>0</v>
      </c>
      <c r="Q199">
        <f t="shared" si="14"/>
        <v>40</v>
      </c>
      <c r="R199" s="1">
        <f t="shared" si="15"/>
        <v>0</v>
      </c>
    </row>
    <row r="200" spans="1:18" x14ac:dyDescent="0.3">
      <c r="A200" t="s">
        <v>936</v>
      </c>
      <c r="B200" t="s">
        <v>937</v>
      </c>
      <c r="C200" t="s">
        <v>18</v>
      </c>
      <c r="D200">
        <v>1</v>
      </c>
      <c r="E200">
        <v>1</v>
      </c>
      <c r="F200" t="s">
        <v>551</v>
      </c>
      <c r="G200" s="1">
        <v>3582</v>
      </c>
      <c r="H200">
        <v>0</v>
      </c>
      <c r="I200">
        <v>0.5</v>
      </c>
      <c r="J200">
        <v>1</v>
      </c>
      <c r="K200">
        <v>1</v>
      </c>
      <c r="L200">
        <f t="shared" si="12"/>
        <v>2</v>
      </c>
      <c r="M200">
        <v>0</v>
      </c>
      <c r="N200">
        <v>0</v>
      </c>
      <c r="O200">
        <v>2</v>
      </c>
      <c r="P200" s="1">
        <f t="shared" si="13"/>
        <v>0</v>
      </c>
      <c r="Q200">
        <f t="shared" si="14"/>
        <v>2</v>
      </c>
      <c r="R200" s="1">
        <f t="shared" si="15"/>
        <v>7164</v>
      </c>
    </row>
    <row r="201" spans="1:18" x14ac:dyDescent="0.3">
      <c r="A201" t="s">
        <v>938</v>
      </c>
      <c r="B201" t="s">
        <v>939</v>
      </c>
      <c r="C201" t="s">
        <v>18</v>
      </c>
      <c r="D201">
        <v>13</v>
      </c>
      <c r="E201">
        <v>11</v>
      </c>
      <c r="F201" t="s">
        <v>551</v>
      </c>
      <c r="G201" s="1">
        <v>4192</v>
      </c>
      <c r="H201">
        <v>9</v>
      </c>
      <c r="I201">
        <v>1.5</v>
      </c>
      <c r="J201">
        <v>1</v>
      </c>
      <c r="K201">
        <v>2</v>
      </c>
      <c r="L201">
        <f t="shared" si="12"/>
        <v>4</v>
      </c>
      <c r="M201">
        <v>0</v>
      </c>
      <c r="N201">
        <v>0</v>
      </c>
      <c r="O201">
        <v>4</v>
      </c>
      <c r="P201" s="1">
        <f t="shared" si="13"/>
        <v>0</v>
      </c>
      <c r="Q201">
        <f t="shared" si="14"/>
        <v>4</v>
      </c>
      <c r="R201" s="1">
        <f t="shared" si="15"/>
        <v>16768</v>
      </c>
    </row>
    <row r="202" spans="1:18" x14ac:dyDescent="0.3">
      <c r="A202" t="s">
        <v>940</v>
      </c>
      <c r="B202" t="s">
        <v>941</v>
      </c>
      <c r="C202" t="s">
        <v>18</v>
      </c>
      <c r="D202">
        <v>1</v>
      </c>
      <c r="E202">
        <v>0</v>
      </c>
      <c r="G202" s="1">
        <v>0</v>
      </c>
      <c r="H202">
        <v>0</v>
      </c>
      <c r="I202">
        <v>0.5</v>
      </c>
      <c r="J202">
        <v>1</v>
      </c>
      <c r="K202">
        <v>1</v>
      </c>
      <c r="L202">
        <f t="shared" si="12"/>
        <v>2</v>
      </c>
      <c r="M202">
        <v>0</v>
      </c>
      <c r="N202">
        <v>0</v>
      </c>
      <c r="O202">
        <v>2</v>
      </c>
      <c r="P202" s="1">
        <f t="shared" si="13"/>
        <v>0</v>
      </c>
      <c r="Q202">
        <f t="shared" si="14"/>
        <v>2</v>
      </c>
      <c r="R202" s="1">
        <f t="shared" si="15"/>
        <v>0</v>
      </c>
    </row>
    <row r="203" spans="1:18" x14ac:dyDescent="0.3">
      <c r="A203" t="s">
        <v>942</v>
      </c>
      <c r="B203" t="s">
        <v>943</v>
      </c>
      <c r="C203" t="s">
        <v>18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f t="shared" si="12"/>
        <v>2</v>
      </c>
      <c r="M203">
        <v>0</v>
      </c>
      <c r="N203">
        <v>0</v>
      </c>
      <c r="O203">
        <v>2</v>
      </c>
      <c r="P203" s="1">
        <f t="shared" si="13"/>
        <v>0</v>
      </c>
      <c r="Q203">
        <f t="shared" si="14"/>
        <v>2</v>
      </c>
      <c r="R203" s="1">
        <f t="shared" si="15"/>
        <v>0</v>
      </c>
    </row>
    <row r="204" spans="1:18" x14ac:dyDescent="0.3">
      <c r="A204" t="s">
        <v>944</v>
      </c>
      <c r="B204" t="s">
        <v>945</v>
      </c>
      <c r="C204" t="s">
        <v>18</v>
      </c>
      <c r="D204">
        <v>1</v>
      </c>
      <c r="E204">
        <v>0</v>
      </c>
      <c r="G204" s="1">
        <v>0</v>
      </c>
      <c r="H204">
        <v>0</v>
      </c>
      <c r="I204">
        <v>0.5</v>
      </c>
      <c r="J204">
        <v>1</v>
      </c>
      <c r="K204">
        <v>1</v>
      </c>
      <c r="L204">
        <f t="shared" si="12"/>
        <v>2</v>
      </c>
      <c r="M204">
        <v>0</v>
      </c>
      <c r="N204">
        <v>0</v>
      </c>
      <c r="O204">
        <v>2</v>
      </c>
      <c r="P204" s="1">
        <f t="shared" si="13"/>
        <v>0</v>
      </c>
      <c r="Q204">
        <f t="shared" si="14"/>
        <v>2</v>
      </c>
      <c r="R204" s="1">
        <f t="shared" si="15"/>
        <v>0</v>
      </c>
    </row>
    <row r="205" spans="1:18" x14ac:dyDescent="0.3">
      <c r="A205" t="s">
        <v>946</v>
      </c>
      <c r="B205" t="s">
        <v>947</v>
      </c>
      <c r="C205" t="s">
        <v>18</v>
      </c>
      <c r="D205">
        <v>3</v>
      </c>
      <c r="E205">
        <v>10</v>
      </c>
      <c r="F205" t="s">
        <v>124</v>
      </c>
      <c r="G205" s="1">
        <v>4053.73</v>
      </c>
      <c r="H205">
        <v>10</v>
      </c>
      <c r="I205">
        <v>0.5</v>
      </c>
      <c r="J205">
        <v>3.5</v>
      </c>
      <c r="K205">
        <v>2</v>
      </c>
      <c r="L205">
        <f t="shared" si="12"/>
        <v>4</v>
      </c>
      <c r="M205">
        <v>0</v>
      </c>
      <c r="N205">
        <v>0</v>
      </c>
      <c r="O205">
        <v>9</v>
      </c>
      <c r="P205" s="1">
        <f t="shared" si="13"/>
        <v>0</v>
      </c>
      <c r="Q205">
        <f t="shared" si="14"/>
        <v>9</v>
      </c>
      <c r="R205" s="1">
        <f t="shared" si="15"/>
        <v>36483.57</v>
      </c>
    </row>
    <row r="206" spans="1:18" x14ac:dyDescent="0.3">
      <c r="A206" t="s">
        <v>948</v>
      </c>
      <c r="B206" t="s">
        <v>949</v>
      </c>
      <c r="C206" t="s">
        <v>18</v>
      </c>
      <c r="D206">
        <v>1</v>
      </c>
      <c r="E206">
        <v>0</v>
      </c>
      <c r="G206" s="1">
        <v>0</v>
      </c>
      <c r="H206">
        <v>0</v>
      </c>
      <c r="I206">
        <v>0.5</v>
      </c>
      <c r="J206">
        <v>1</v>
      </c>
      <c r="K206">
        <v>1</v>
      </c>
      <c r="L206">
        <f t="shared" si="12"/>
        <v>2</v>
      </c>
      <c r="M206">
        <v>0</v>
      </c>
      <c r="N206">
        <v>0</v>
      </c>
      <c r="O206">
        <v>2</v>
      </c>
      <c r="P206" s="1">
        <f t="shared" si="13"/>
        <v>0</v>
      </c>
      <c r="Q206">
        <f t="shared" si="14"/>
        <v>2</v>
      </c>
      <c r="R206" s="1">
        <f t="shared" si="15"/>
        <v>0</v>
      </c>
    </row>
    <row r="207" spans="1:18" x14ac:dyDescent="0.3">
      <c r="A207" t="s">
        <v>950</v>
      </c>
      <c r="B207" t="s">
        <v>951</v>
      </c>
      <c r="C207" t="s">
        <v>18</v>
      </c>
      <c r="D207">
        <v>1</v>
      </c>
      <c r="E207">
        <v>0</v>
      </c>
      <c r="G207" s="1">
        <v>0</v>
      </c>
      <c r="H207">
        <v>0</v>
      </c>
      <c r="I207">
        <v>0.5</v>
      </c>
      <c r="J207">
        <v>1</v>
      </c>
      <c r="K207">
        <v>1</v>
      </c>
      <c r="L207">
        <f t="shared" si="12"/>
        <v>2</v>
      </c>
      <c r="M207">
        <v>0</v>
      </c>
      <c r="N207">
        <v>0</v>
      </c>
      <c r="O207">
        <v>2</v>
      </c>
      <c r="P207" s="1">
        <f t="shared" si="13"/>
        <v>0</v>
      </c>
      <c r="Q207">
        <f t="shared" si="14"/>
        <v>2</v>
      </c>
      <c r="R207" s="1">
        <f t="shared" si="15"/>
        <v>0</v>
      </c>
    </row>
    <row r="208" spans="1:18" x14ac:dyDescent="0.3">
      <c r="A208" t="s">
        <v>952</v>
      </c>
      <c r="B208" t="s">
        <v>953</v>
      </c>
      <c r="C208" t="s">
        <v>18</v>
      </c>
      <c r="D208">
        <v>1</v>
      </c>
      <c r="E208">
        <v>0</v>
      </c>
      <c r="G208" s="1">
        <v>0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0</v>
      </c>
    </row>
    <row r="209" spans="1:18" x14ac:dyDescent="0.3">
      <c r="A209" t="s">
        <v>954</v>
      </c>
      <c r="B209" t="s">
        <v>955</v>
      </c>
      <c r="C209" t="s">
        <v>18</v>
      </c>
      <c r="D209">
        <v>1</v>
      </c>
      <c r="E209">
        <v>4</v>
      </c>
      <c r="F209" t="s">
        <v>551</v>
      </c>
      <c r="G209" s="1">
        <v>4272</v>
      </c>
      <c r="H209">
        <v>4</v>
      </c>
      <c r="I209">
        <v>0.5</v>
      </c>
      <c r="J209">
        <v>4</v>
      </c>
      <c r="K209">
        <v>2</v>
      </c>
      <c r="L209">
        <f t="shared" si="12"/>
        <v>4</v>
      </c>
      <c r="M209">
        <v>0</v>
      </c>
      <c r="N209">
        <v>0</v>
      </c>
      <c r="O209">
        <v>10</v>
      </c>
      <c r="P209" s="1">
        <f t="shared" si="13"/>
        <v>0</v>
      </c>
      <c r="Q209">
        <f t="shared" si="14"/>
        <v>10</v>
      </c>
      <c r="R209" s="1">
        <f t="shared" si="15"/>
        <v>42720</v>
      </c>
    </row>
    <row r="210" spans="1:18" x14ac:dyDescent="0.3">
      <c r="A210" t="s">
        <v>956</v>
      </c>
      <c r="B210" t="s">
        <v>957</v>
      </c>
      <c r="C210" t="s">
        <v>18</v>
      </c>
      <c r="D210">
        <v>1</v>
      </c>
      <c r="E210">
        <v>0</v>
      </c>
      <c r="G210" s="1">
        <v>0</v>
      </c>
      <c r="H210">
        <v>2</v>
      </c>
      <c r="I210">
        <v>0.5</v>
      </c>
      <c r="J210">
        <v>2</v>
      </c>
      <c r="K210">
        <v>1</v>
      </c>
      <c r="L210">
        <f t="shared" si="12"/>
        <v>2</v>
      </c>
      <c r="M210">
        <v>0</v>
      </c>
      <c r="N210">
        <v>0</v>
      </c>
      <c r="O210">
        <v>5</v>
      </c>
      <c r="P210" s="1">
        <f t="shared" si="13"/>
        <v>0</v>
      </c>
      <c r="Q210">
        <f t="shared" si="14"/>
        <v>5</v>
      </c>
      <c r="R210" s="1">
        <f t="shared" si="15"/>
        <v>0</v>
      </c>
    </row>
    <row r="211" spans="1:18" x14ac:dyDescent="0.3">
      <c r="A211" t="s">
        <v>958</v>
      </c>
      <c r="B211" t="s">
        <v>959</v>
      </c>
      <c r="C211" t="s">
        <v>18</v>
      </c>
      <c r="D211">
        <v>3</v>
      </c>
      <c r="E211">
        <v>3</v>
      </c>
      <c r="F211" t="s">
        <v>551</v>
      </c>
      <c r="G211" s="1">
        <v>5661.5</v>
      </c>
      <c r="H211">
        <v>1</v>
      </c>
      <c r="I211">
        <v>1.4</v>
      </c>
      <c r="J211">
        <v>1</v>
      </c>
      <c r="K211">
        <v>1</v>
      </c>
      <c r="L211">
        <f t="shared" si="12"/>
        <v>3</v>
      </c>
      <c r="M211">
        <v>0</v>
      </c>
      <c r="N211">
        <v>0</v>
      </c>
      <c r="O211">
        <v>3</v>
      </c>
      <c r="P211" s="1">
        <f t="shared" si="13"/>
        <v>0</v>
      </c>
      <c r="Q211">
        <f t="shared" si="14"/>
        <v>3</v>
      </c>
      <c r="R211" s="1">
        <f t="shared" si="15"/>
        <v>16984.5</v>
      </c>
    </row>
    <row r="212" spans="1:18" x14ac:dyDescent="0.3">
      <c r="A212" t="s">
        <v>960</v>
      </c>
      <c r="B212" t="s">
        <v>961</v>
      </c>
      <c r="C212" t="s">
        <v>18</v>
      </c>
      <c r="D212">
        <v>9</v>
      </c>
      <c r="E212">
        <v>6</v>
      </c>
      <c r="F212" t="s">
        <v>551</v>
      </c>
      <c r="G212" s="1">
        <v>6224</v>
      </c>
      <c r="H212">
        <v>9</v>
      </c>
      <c r="I212">
        <v>1.4</v>
      </c>
      <c r="J212">
        <v>1</v>
      </c>
      <c r="K212">
        <v>1</v>
      </c>
      <c r="L212">
        <f t="shared" si="12"/>
        <v>3</v>
      </c>
      <c r="M212">
        <v>0</v>
      </c>
      <c r="N212">
        <v>0</v>
      </c>
      <c r="O212">
        <v>3</v>
      </c>
      <c r="P212" s="1">
        <f t="shared" si="13"/>
        <v>0</v>
      </c>
      <c r="Q212">
        <f t="shared" si="14"/>
        <v>3</v>
      </c>
      <c r="R212" s="1">
        <f t="shared" si="15"/>
        <v>18672</v>
      </c>
    </row>
    <row r="213" spans="1:18" x14ac:dyDescent="0.3">
      <c r="A213" t="s">
        <v>962</v>
      </c>
      <c r="B213" t="s">
        <v>963</v>
      </c>
      <c r="C213" t="s">
        <v>18</v>
      </c>
      <c r="D213">
        <v>1</v>
      </c>
      <c r="E213">
        <v>0</v>
      </c>
      <c r="G213" s="1">
        <v>0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0</v>
      </c>
    </row>
    <row r="214" spans="1:18" x14ac:dyDescent="0.3">
      <c r="A214" t="s">
        <v>964</v>
      </c>
      <c r="B214" t="s">
        <v>965</v>
      </c>
      <c r="C214" t="s">
        <v>18</v>
      </c>
      <c r="D214">
        <v>1</v>
      </c>
      <c r="E214">
        <v>0</v>
      </c>
      <c r="G214" s="1">
        <v>0</v>
      </c>
      <c r="H214">
        <v>0</v>
      </c>
      <c r="I214">
        <v>0.5</v>
      </c>
      <c r="J214">
        <v>1</v>
      </c>
      <c r="K214">
        <v>1</v>
      </c>
      <c r="L214">
        <f t="shared" si="12"/>
        <v>2</v>
      </c>
      <c r="M214">
        <v>0</v>
      </c>
      <c r="N214">
        <v>0</v>
      </c>
      <c r="O214">
        <v>2</v>
      </c>
      <c r="P214" s="1">
        <f t="shared" si="13"/>
        <v>0</v>
      </c>
      <c r="Q214">
        <f t="shared" si="14"/>
        <v>2</v>
      </c>
      <c r="R214" s="1">
        <f t="shared" si="15"/>
        <v>0</v>
      </c>
    </row>
    <row r="215" spans="1:18" x14ac:dyDescent="0.3">
      <c r="A215" t="s">
        <v>966</v>
      </c>
      <c r="B215" t="s">
        <v>967</v>
      </c>
      <c r="C215" t="s">
        <v>18</v>
      </c>
      <c r="D215">
        <v>1</v>
      </c>
      <c r="E215">
        <v>0</v>
      </c>
      <c r="G215" s="1">
        <v>0</v>
      </c>
      <c r="H215">
        <v>0</v>
      </c>
      <c r="I215">
        <v>0.5</v>
      </c>
      <c r="J215">
        <v>1</v>
      </c>
      <c r="K215">
        <v>1</v>
      </c>
      <c r="L215">
        <f t="shared" si="12"/>
        <v>2</v>
      </c>
      <c r="M215">
        <v>0</v>
      </c>
      <c r="N215">
        <v>0</v>
      </c>
      <c r="O215">
        <v>2</v>
      </c>
      <c r="P215" s="1">
        <f t="shared" si="13"/>
        <v>0</v>
      </c>
      <c r="Q215">
        <f t="shared" si="14"/>
        <v>2</v>
      </c>
      <c r="R215" s="1">
        <f t="shared" si="15"/>
        <v>0</v>
      </c>
    </row>
    <row r="216" spans="1:18" x14ac:dyDescent="0.3">
      <c r="A216" t="s">
        <v>968</v>
      </c>
      <c r="B216" t="s">
        <v>969</v>
      </c>
      <c r="C216" t="s">
        <v>18</v>
      </c>
      <c r="D216">
        <v>1</v>
      </c>
      <c r="E216">
        <v>2</v>
      </c>
      <c r="F216" t="s">
        <v>551</v>
      </c>
      <c r="G216" s="1">
        <v>4804</v>
      </c>
      <c r="H216">
        <v>0</v>
      </c>
      <c r="I216">
        <v>0.5</v>
      </c>
      <c r="J216">
        <v>2</v>
      </c>
      <c r="K216">
        <v>1</v>
      </c>
      <c r="L216">
        <f t="shared" si="12"/>
        <v>2</v>
      </c>
      <c r="M216">
        <v>0</v>
      </c>
      <c r="N216">
        <v>0</v>
      </c>
      <c r="O216">
        <v>5</v>
      </c>
      <c r="P216" s="1">
        <f t="shared" si="13"/>
        <v>0</v>
      </c>
      <c r="Q216">
        <f t="shared" si="14"/>
        <v>5</v>
      </c>
      <c r="R216" s="1">
        <f t="shared" si="15"/>
        <v>24020</v>
      </c>
    </row>
    <row r="217" spans="1:18" x14ac:dyDescent="0.3">
      <c r="A217" t="s">
        <v>970</v>
      </c>
      <c r="B217" t="s">
        <v>971</v>
      </c>
      <c r="C217" t="s">
        <v>18</v>
      </c>
      <c r="D217">
        <v>1</v>
      </c>
      <c r="E217">
        <v>0</v>
      </c>
      <c r="G217" s="1">
        <v>0</v>
      </c>
      <c r="H217">
        <v>0</v>
      </c>
      <c r="I217">
        <v>0.5</v>
      </c>
      <c r="J217">
        <v>1</v>
      </c>
      <c r="K217">
        <v>1</v>
      </c>
      <c r="L217">
        <f t="shared" si="12"/>
        <v>2</v>
      </c>
      <c r="M217">
        <v>0</v>
      </c>
      <c r="N217">
        <v>0</v>
      </c>
      <c r="O217">
        <v>2</v>
      </c>
      <c r="P217" s="1">
        <f t="shared" si="13"/>
        <v>0</v>
      </c>
      <c r="Q217">
        <f t="shared" si="14"/>
        <v>2</v>
      </c>
      <c r="R217" s="1">
        <f t="shared" si="15"/>
        <v>0</v>
      </c>
    </row>
    <row r="218" spans="1:18" x14ac:dyDescent="0.3">
      <c r="A218" t="s">
        <v>972</v>
      </c>
      <c r="B218" t="s">
        <v>973</v>
      </c>
      <c r="C218" t="s">
        <v>18</v>
      </c>
      <c r="D218">
        <v>19</v>
      </c>
      <c r="E218">
        <v>2</v>
      </c>
      <c r="F218" t="s">
        <v>551</v>
      </c>
      <c r="G218" s="1">
        <v>6224</v>
      </c>
      <c r="H218">
        <v>7</v>
      </c>
      <c r="I218">
        <v>0.5</v>
      </c>
      <c r="J218">
        <v>1</v>
      </c>
      <c r="K218">
        <v>1</v>
      </c>
      <c r="L218">
        <f t="shared" si="12"/>
        <v>2</v>
      </c>
      <c r="M218">
        <v>0</v>
      </c>
      <c r="N218">
        <v>0</v>
      </c>
      <c r="O218">
        <v>2</v>
      </c>
      <c r="P218" s="1">
        <f t="shared" si="13"/>
        <v>0</v>
      </c>
      <c r="Q218">
        <f t="shared" si="14"/>
        <v>2</v>
      </c>
      <c r="R218" s="1">
        <f t="shared" si="15"/>
        <v>12448</v>
      </c>
    </row>
    <row r="219" spans="1:18" x14ac:dyDescent="0.3">
      <c r="A219" t="s">
        <v>974</v>
      </c>
      <c r="B219" t="s">
        <v>975</v>
      </c>
      <c r="C219" t="s">
        <v>18</v>
      </c>
      <c r="D219">
        <v>23</v>
      </c>
      <c r="E219">
        <v>0</v>
      </c>
      <c r="G219" s="1">
        <v>0</v>
      </c>
      <c r="H219">
        <v>2</v>
      </c>
      <c r="I219">
        <v>0.5</v>
      </c>
      <c r="J219">
        <v>1</v>
      </c>
      <c r="K219">
        <v>1</v>
      </c>
      <c r="L219">
        <f t="shared" si="12"/>
        <v>2</v>
      </c>
      <c r="M219">
        <v>0</v>
      </c>
      <c r="N219">
        <v>0</v>
      </c>
      <c r="O219">
        <v>2</v>
      </c>
      <c r="P219" s="1">
        <f t="shared" si="13"/>
        <v>0</v>
      </c>
      <c r="Q219">
        <f t="shared" si="14"/>
        <v>2</v>
      </c>
      <c r="R219" s="1">
        <f t="shared" si="15"/>
        <v>0</v>
      </c>
    </row>
    <row r="220" spans="1:18" x14ac:dyDescent="0.3">
      <c r="A220" t="s">
        <v>976</v>
      </c>
      <c r="B220" t="s">
        <v>977</v>
      </c>
      <c r="C220" t="s">
        <v>18</v>
      </c>
      <c r="D220">
        <v>9</v>
      </c>
      <c r="E220">
        <v>0</v>
      </c>
      <c r="G220" s="1">
        <v>0</v>
      </c>
      <c r="H220">
        <v>4</v>
      </c>
      <c r="I220">
        <v>0.5</v>
      </c>
      <c r="J220">
        <v>1</v>
      </c>
      <c r="K220">
        <v>1</v>
      </c>
      <c r="L220">
        <f t="shared" si="12"/>
        <v>2</v>
      </c>
      <c r="M220">
        <v>0</v>
      </c>
      <c r="N220">
        <v>0</v>
      </c>
      <c r="O220">
        <v>2</v>
      </c>
      <c r="P220" s="1">
        <f t="shared" si="13"/>
        <v>0</v>
      </c>
      <c r="Q220">
        <f t="shared" si="14"/>
        <v>2</v>
      </c>
      <c r="R220" s="1">
        <f t="shared" si="15"/>
        <v>0</v>
      </c>
    </row>
    <row r="221" spans="1:18" x14ac:dyDescent="0.3">
      <c r="A221" t="s">
        <v>978</v>
      </c>
      <c r="B221" t="s">
        <v>979</v>
      </c>
      <c r="C221" t="s">
        <v>18</v>
      </c>
      <c r="D221">
        <v>24</v>
      </c>
      <c r="E221">
        <v>0</v>
      </c>
      <c r="G221" s="1">
        <v>0</v>
      </c>
      <c r="H221">
        <v>34</v>
      </c>
      <c r="I221">
        <v>0.5</v>
      </c>
      <c r="J221">
        <v>1.5</v>
      </c>
      <c r="K221">
        <v>1</v>
      </c>
      <c r="L221">
        <f t="shared" si="12"/>
        <v>2</v>
      </c>
      <c r="M221">
        <v>0</v>
      </c>
      <c r="N221">
        <v>0</v>
      </c>
      <c r="O221">
        <v>4</v>
      </c>
      <c r="P221" s="1">
        <f t="shared" si="13"/>
        <v>0</v>
      </c>
      <c r="Q221">
        <f t="shared" si="14"/>
        <v>4</v>
      </c>
      <c r="R221" s="1">
        <f t="shared" si="15"/>
        <v>0</v>
      </c>
    </row>
    <row r="222" spans="1:18" x14ac:dyDescent="0.3">
      <c r="A222" t="s">
        <v>980</v>
      </c>
      <c r="B222" t="s">
        <v>981</v>
      </c>
      <c r="C222" t="s">
        <v>18</v>
      </c>
      <c r="D222">
        <v>1</v>
      </c>
      <c r="E222">
        <v>0</v>
      </c>
      <c r="G222" s="1">
        <v>0</v>
      </c>
      <c r="H222">
        <v>1</v>
      </c>
      <c r="I222">
        <v>0.5</v>
      </c>
      <c r="J222">
        <v>1</v>
      </c>
      <c r="K222">
        <v>1</v>
      </c>
      <c r="L222">
        <f t="shared" si="12"/>
        <v>2</v>
      </c>
      <c r="M222">
        <v>0</v>
      </c>
      <c r="N222">
        <v>0</v>
      </c>
      <c r="O222">
        <v>2</v>
      </c>
      <c r="P222" s="1">
        <f t="shared" si="13"/>
        <v>0</v>
      </c>
      <c r="Q222">
        <f t="shared" si="14"/>
        <v>2</v>
      </c>
      <c r="R222" s="1">
        <f t="shared" si="15"/>
        <v>0</v>
      </c>
    </row>
    <row r="223" spans="1:18" x14ac:dyDescent="0.3">
      <c r="A223" t="s">
        <v>982</v>
      </c>
      <c r="B223" t="s">
        <v>983</v>
      </c>
      <c r="C223" t="s">
        <v>18</v>
      </c>
      <c r="D223">
        <v>1</v>
      </c>
      <c r="E223">
        <v>0</v>
      </c>
      <c r="G223" s="1">
        <v>0</v>
      </c>
      <c r="H223">
        <v>1</v>
      </c>
      <c r="I223">
        <v>0.5</v>
      </c>
      <c r="J223">
        <v>1</v>
      </c>
      <c r="K223">
        <v>1</v>
      </c>
      <c r="L223">
        <f t="shared" si="12"/>
        <v>2</v>
      </c>
      <c r="M223">
        <v>0</v>
      </c>
      <c r="N223">
        <v>0</v>
      </c>
      <c r="O223">
        <v>2</v>
      </c>
      <c r="P223" s="1">
        <f t="shared" si="13"/>
        <v>0</v>
      </c>
      <c r="Q223">
        <f t="shared" si="14"/>
        <v>2</v>
      </c>
      <c r="R223" s="1">
        <f t="shared" si="15"/>
        <v>0</v>
      </c>
    </row>
    <row r="224" spans="1:18" x14ac:dyDescent="0.3">
      <c r="A224" t="s">
        <v>984</v>
      </c>
      <c r="B224" t="s">
        <v>985</v>
      </c>
      <c r="C224" t="s">
        <v>18</v>
      </c>
      <c r="D224">
        <v>24</v>
      </c>
      <c r="E224">
        <v>0</v>
      </c>
      <c r="G224" s="1">
        <v>0</v>
      </c>
      <c r="H224">
        <v>10</v>
      </c>
      <c r="I224">
        <v>0.5</v>
      </c>
      <c r="J224">
        <v>1</v>
      </c>
      <c r="K224">
        <v>1</v>
      </c>
      <c r="L224">
        <f t="shared" si="12"/>
        <v>2</v>
      </c>
      <c r="M224">
        <v>0</v>
      </c>
      <c r="N224">
        <v>0</v>
      </c>
      <c r="O224">
        <v>2</v>
      </c>
      <c r="P224" s="1">
        <f t="shared" si="13"/>
        <v>0</v>
      </c>
      <c r="Q224">
        <f t="shared" si="14"/>
        <v>2</v>
      </c>
      <c r="R224" s="1">
        <f t="shared" si="15"/>
        <v>0</v>
      </c>
    </row>
    <row r="225" spans="1:18" x14ac:dyDescent="0.3">
      <c r="A225" t="s">
        <v>986</v>
      </c>
      <c r="B225" t="s">
        <v>987</v>
      </c>
      <c r="C225" t="s">
        <v>18</v>
      </c>
      <c r="D225">
        <v>14</v>
      </c>
      <c r="E225">
        <v>0</v>
      </c>
      <c r="G225" s="1">
        <v>0</v>
      </c>
      <c r="H225">
        <v>3</v>
      </c>
      <c r="I225">
        <v>0.5</v>
      </c>
      <c r="J225">
        <v>1</v>
      </c>
      <c r="K225">
        <v>1</v>
      </c>
      <c r="L225">
        <f t="shared" si="12"/>
        <v>2</v>
      </c>
      <c r="M225">
        <v>0</v>
      </c>
      <c r="N225">
        <v>0</v>
      </c>
      <c r="O225">
        <v>2</v>
      </c>
      <c r="P225" s="1">
        <f t="shared" si="13"/>
        <v>0</v>
      </c>
      <c r="Q225">
        <f t="shared" si="14"/>
        <v>2</v>
      </c>
      <c r="R225" s="1">
        <f t="shared" si="15"/>
        <v>0</v>
      </c>
    </row>
    <row r="226" spans="1:18" x14ac:dyDescent="0.3">
      <c r="A226" t="s">
        <v>988</v>
      </c>
      <c r="B226" t="s">
        <v>989</v>
      </c>
      <c r="C226" t="s">
        <v>18</v>
      </c>
      <c r="D226">
        <v>1</v>
      </c>
      <c r="E226">
        <v>0</v>
      </c>
      <c r="G226" s="1">
        <v>0</v>
      </c>
      <c r="H226">
        <v>0</v>
      </c>
      <c r="I226">
        <v>0.5</v>
      </c>
      <c r="J226">
        <v>1</v>
      </c>
      <c r="K226">
        <v>1</v>
      </c>
      <c r="L226">
        <f t="shared" si="12"/>
        <v>2</v>
      </c>
      <c r="M226">
        <v>0</v>
      </c>
      <c r="N226">
        <v>0</v>
      </c>
      <c r="O226">
        <v>2</v>
      </c>
      <c r="P226" s="1">
        <f t="shared" si="13"/>
        <v>0</v>
      </c>
      <c r="Q226">
        <f t="shared" si="14"/>
        <v>2</v>
      </c>
      <c r="R226" s="1">
        <f t="shared" si="15"/>
        <v>0</v>
      </c>
    </row>
    <row r="227" spans="1:18" x14ac:dyDescent="0.3">
      <c r="A227" t="s">
        <v>990</v>
      </c>
      <c r="B227" t="s">
        <v>991</v>
      </c>
      <c r="C227" t="s">
        <v>18</v>
      </c>
      <c r="D227">
        <v>1</v>
      </c>
      <c r="E227">
        <v>0</v>
      </c>
      <c r="G227" s="1">
        <v>0</v>
      </c>
      <c r="H227">
        <v>0</v>
      </c>
      <c r="I227">
        <v>0.5</v>
      </c>
      <c r="J227">
        <v>1</v>
      </c>
      <c r="K227">
        <v>1</v>
      </c>
      <c r="L227">
        <f t="shared" si="12"/>
        <v>2</v>
      </c>
      <c r="M227">
        <v>0</v>
      </c>
      <c r="N227">
        <v>0</v>
      </c>
      <c r="O227">
        <v>2</v>
      </c>
      <c r="P227" s="1">
        <f t="shared" si="13"/>
        <v>0</v>
      </c>
      <c r="Q227">
        <f t="shared" si="14"/>
        <v>2</v>
      </c>
      <c r="R227" s="1">
        <f t="shared" si="15"/>
        <v>0</v>
      </c>
    </row>
    <row r="228" spans="1:18" x14ac:dyDescent="0.3">
      <c r="A228" t="s">
        <v>992</v>
      </c>
      <c r="B228" t="s">
        <v>993</v>
      </c>
      <c r="C228" t="s">
        <v>18</v>
      </c>
      <c r="D228">
        <v>1</v>
      </c>
      <c r="E228">
        <v>0</v>
      </c>
      <c r="G228" s="1">
        <v>0</v>
      </c>
      <c r="H228">
        <v>0</v>
      </c>
      <c r="I228">
        <v>0.5</v>
      </c>
      <c r="J228">
        <v>1</v>
      </c>
      <c r="K228">
        <v>1</v>
      </c>
      <c r="L228">
        <f t="shared" si="12"/>
        <v>2</v>
      </c>
      <c r="M228">
        <v>0</v>
      </c>
      <c r="N228">
        <v>0</v>
      </c>
      <c r="O228">
        <v>2</v>
      </c>
      <c r="P228" s="1">
        <f t="shared" si="13"/>
        <v>0</v>
      </c>
      <c r="Q228">
        <f t="shared" si="14"/>
        <v>2</v>
      </c>
      <c r="R228" s="1">
        <f t="shared" si="15"/>
        <v>0</v>
      </c>
    </row>
    <row r="229" spans="1:18" x14ac:dyDescent="0.3">
      <c r="A229" t="s">
        <v>994</v>
      </c>
      <c r="B229" t="s">
        <v>995</v>
      </c>
      <c r="C229" t="s">
        <v>18</v>
      </c>
      <c r="D229">
        <v>5</v>
      </c>
      <c r="E229">
        <v>0</v>
      </c>
      <c r="G229" s="1">
        <v>0</v>
      </c>
      <c r="H229">
        <v>10</v>
      </c>
      <c r="I229">
        <v>0.5</v>
      </c>
      <c r="J229">
        <v>2</v>
      </c>
      <c r="K229">
        <v>1</v>
      </c>
      <c r="L229">
        <f t="shared" si="12"/>
        <v>2</v>
      </c>
      <c r="M229">
        <v>0</v>
      </c>
      <c r="N229">
        <v>0</v>
      </c>
      <c r="O229">
        <v>5</v>
      </c>
      <c r="P229" s="1">
        <f t="shared" si="13"/>
        <v>0</v>
      </c>
      <c r="Q229">
        <f t="shared" si="14"/>
        <v>5</v>
      </c>
      <c r="R229" s="1">
        <f t="shared" si="15"/>
        <v>0</v>
      </c>
    </row>
    <row r="230" spans="1:18" x14ac:dyDescent="0.3">
      <c r="A230" t="s">
        <v>996</v>
      </c>
      <c r="B230" t="s">
        <v>997</v>
      </c>
      <c r="C230" t="s">
        <v>18</v>
      </c>
      <c r="D230">
        <v>1</v>
      </c>
      <c r="E230">
        <v>0</v>
      </c>
      <c r="G230" s="1">
        <v>0</v>
      </c>
      <c r="H230">
        <v>0</v>
      </c>
      <c r="I230">
        <v>0.5</v>
      </c>
      <c r="J230">
        <v>1</v>
      </c>
      <c r="K230">
        <v>1</v>
      </c>
      <c r="L230">
        <f t="shared" si="12"/>
        <v>2</v>
      </c>
      <c r="M230">
        <v>0</v>
      </c>
      <c r="N230">
        <v>0</v>
      </c>
      <c r="O230">
        <v>2</v>
      </c>
      <c r="P230" s="1">
        <f t="shared" si="13"/>
        <v>0</v>
      </c>
      <c r="Q230">
        <f t="shared" si="14"/>
        <v>2</v>
      </c>
      <c r="R230" s="1">
        <f t="shared" si="15"/>
        <v>0</v>
      </c>
    </row>
    <row r="231" spans="1:18" x14ac:dyDescent="0.3">
      <c r="A231" t="s">
        <v>998</v>
      </c>
      <c r="B231" t="s">
        <v>999</v>
      </c>
      <c r="C231" t="s">
        <v>18</v>
      </c>
      <c r="D231">
        <v>1</v>
      </c>
      <c r="E231">
        <v>2</v>
      </c>
      <c r="F231" t="s">
        <v>131</v>
      </c>
      <c r="G231" s="1">
        <v>0</v>
      </c>
      <c r="H231">
        <v>0</v>
      </c>
      <c r="I231">
        <v>0.5</v>
      </c>
      <c r="J231">
        <v>2</v>
      </c>
      <c r="K231">
        <v>1</v>
      </c>
      <c r="L231">
        <f t="shared" si="12"/>
        <v>2</v>
      </c>
      <c r="M231">
        <v>0</v>
      </c>
      <c r="N231">
        <v>0</v>
      </c>
      <c r="O231">
        <v>5</v>
      </c>
      <c r="P231" s="1">
        <f t="shared" si="13"/>
        <v>0</v>
      </c>
      <c r="Q231">
        <f t="shared" si="14"/>
        <v>5</v>
      </c>
      <c r="R231" s="1">
        <f t="shared" si="15"/>
        <v>0</v>
      </c>
    </row>
    <row r="232" spans="1:18" x14ac:dyDescent="0.3">
      <c r="A232" t="s">
        <v>1000</v>
      </c>
      <c r="B232" t="s">
        <v>1001</v>
      </c>
      <c r="C232" t="s">
        <v>18</v>
      </c>
      <c r="D232">
        <v>1</v>
      </c>
      <c r="E232">
        <v>2</v>
      </c>
      <c r="F232" t="s">
        <v>178</v>
      </c>
      <c r="G232" s="1">
        <v>1491.01</v>
      </c>
      <c r="H232">
        <v>0</v>
      </c>
      <c r="I232">
        <v>0.5</v>
      </c>
      <c r="J232">
        <v>2</v>
      </c>
      <c r="K232">
        <v>1</v>
      </c>
      <c r="L232">
        <f t="shared" si="12"/>
        <v>2</v>
      </c>
      <c r="M232">
        <v>0</v>
      </c>
      <c r="N232">
        <v>0</v>
      </c>
      <c r="O232">
        <v>5</v>
      </c>
      <c r="P232" s="1">
        <f t="shared" si="13"/>
        <v>0</v>
      </c>
      <c r="Q232">
        <f t="shared" si="14"/>
        <v>5</v>
      </c>
      <c r="R232" s="1">
        <f t="shared" si="15"/>
        <v>7455.05</v>
      </c>
    </row>
    <row r="233" spans="1:18" x14ac:dyDescent="0.3">
      <c r="A233" t="s">
        <v>1002</v>
      </c>
      <c r="B233" t="s">
        <v>1003</v>
      </c>
      <c r="C233" t="s">
        <v>18</v>
      </c>
      <c r="D233">
        <v>1</v>
      </c>
      <c r="E233">
        <v>21</v>
      </c>
      <c r="F233" t="s">
        <v>131</v>
      </c>
      <c r="G233" s="1">
        <v>0</v>
      </c>
      <c r="H233">
        <v>0</v>
      </c>
      <c r="I233">
        <v>0.5</v>
      </c>
      <c r="J233">
        <v>21</v>
      </c>
      <c r="K233">
        <v>10</v>
      </c>
      <c r="L233">
        <f t="shared" si="12"/>
        <v>21</v>
      </c>
      <c r="M233">
        <v>0</v>
      </c>
      <c r="N233">
        <v>0</v>
      </c>
      <c r="O233">
        <v>52</v>
      </c>
      <c r="P233" s="1">
        <f t="shared" si="13"/>
        <v>0</v>
      </c>
      <c r="Q233">
        <f t="shared" si="14"/>
        <v>52</v>
      </c>
      <c r="R233" s="1">
        <f t="shared" si="15"/>
        <v>0</v>
      </c>
    </row>
    <row r="234" spans="1:18" x14ac:dyDescent="0.3">
      <c r="A234" t="s">
        <v>1004</v>
      </c>
      <c r="B234" t="s">
        <v>1005</v>
      </c>
      <c r="C234" t="s">
        <v>18</v>
      </c>
      <c r="D234">
        <v>1</v>
      </c>
      <c r="E234">
        <v>0</v>
      </c>
      <c r="G234" s="1">
        <v>0</v>
      </c>
      <c r="H234">
        <v>0</v>
      </c>
      <c r="I234">
        <v>0.5</v>
      </c>
      <c r="J234">
        <v>1</v>
      </c>
      <c r="K234">
        <v>1</v>
      </c>
      <c r="L234">
        <f t="shared" si="12"/>
        <v>2</v>
      </c>
      <c r="M234">
        <v>0</v>
      </c>
      <c r="N234">
        <v>0</v>
      </c>
      <c r="O234">
        <v>2</v>
      </c>
      <c r="P234" s="1">
        <f t="shared" si="13"/>
        <v>0</v>
      </c>
      <c r="Q234">
        <f t="shared" si="14"/>
        <v>2</v>
      </c>
      <c r="R234" s="1">
        <f t="shared" si="15"/>
        <v>0</v>
      </c>
    </row>
    <row r="235" spans="1:18" x14ac:dyDescent="0.3">
      <c r="A235" t="s">
        <v>1006</v>
      </c>
      <c r="B235" t="s">
        <v>1007</v>
      </c>
      <c r="C235" t="s">
        <v>18</v>
      </c>
      <c r="D235">
        <v>1</v>
      </c>
      <c r="E235">
        <v>0</v>
      </c>
      <c r="G235" s="1">
        <v>0</v>
      </c>
      <c r="H235">
        <v>0</v>
      </c>
      <c r="I235">
        <v>0.5</v>
      </c>
      <c r="J235">
        <v>1</v>
      </c>
      <c r="K235">
        <v>1</v>
      </c>
      <c r="L235">
        <f t="shared" si="12"/>
        <v>2</v>
      </c>
      <c r="M235">
        <v>0</v>
      </c>
      <c r="N235">
        <v>0</v>
      </c>
      <c r="O235">
        <v>2</v>
      </c>
      <c r="P235" s="1">
        <f t="shared" si="13"/>
        <v>0</v>
      </c>
      <c r="Q235">
        <f t="shared" si="14"/>
        <v>2</v>
      </c>
      <c r="R235" s="1">
        <f t="shared" si="15"/>
        <v>0</v>
      </c>
    </row>
    <row r="236" spans="1:18" x14ac:dyDescent="0.3">
      <c r="A236" t="s">
        <v>1008</v>
      </c>
      <c r="B236" t="s">
        <v>1009</v>
      </c>
      <c r="C236" t="s">
        <v>18</v>
      </c>
      <c r="D236">
        <v>1</v>
      </c>
      <c r="E236">
        <v>0</v>
      </c>
      <c r="G236" s="1">
        <v>0</v>
      </c>
      <c r="H236">
        <v>0</v>
      </c>
      <c r="I236">
        <v>0.5</v>
      </c>
      <c r="J236">
        <v>1</v>
      </c>
      <c r="K236">
        <v>1</v>
      </c>
      <c r="L236">
        <f t="shared" si="12"/>
        <v>2</v>
      </c>
      <c r="M236">
        <v>0</v>
      </c>
      <c r="N236">
        <v>0</v>
      </c>
      <c r="O236">
        <v>2</v>
      </c>
      <c r="P236" s="1">
        <f t="shared" si="13"/>
        <v>0</v>
      </c>
      <c r="Q236">
        <f t="shared" si="14"/>
        <v>2</v>
      </c>
      <c r="R236" s="1">
        <f t="shared" si="15"/>
        <v>0</v>
      </c>
    </row>
    <row r="237" spans="1:18" x14ac:dyDescent="0.3">
      <c r="A237" t="s">
        <v>1010</v>
      </c>
      <c r="B237" t="s">
        <v>1011</v>
      </c>
      <c r="C237" t="s">
        <v>18</v>
      </c>
      <c r="D237">
        <v>1</v>
      </c>
      <c r="E237">
        <v>0</v>
      </c>
      <c r="G237" s="1">
        <v>0</v>
      </c>
      <c r="H237">
        <v>0</v>
      </c>
      <c r="I237">
        <v>0.5</v>
      </c>
      <c r="J237">
        <v>1</v>
      </c>
      <c r="K237">
        <v>1</v>
      </c>
      <c r="L237">
        <f t="shared" si="12"/>
        <v>2</v>
      </c>
      <c r="M237">
        <v>0</v>
      </c>
      <c r="N237">
        <v>0</v>
      </c>
      <c r="O237">
        <v>2</v>
      </c>
      <c r="P237" s="1">
        <f t="shared" si="13"/>
        <v>0</v>
      </c>
      <c r="Q237">
        <f t="shared" si="14"/>
        <v>2</v>
      </c>
      <c r="R237" s="1">
        <f t="shared" si="15"/>
        <v>0</v>
      </c>
    </row>
    <row r="238" spans="1:18" x14ac:dyDescent="0.3">
      <c r="A238" t="s">
        <v>1012</v>
      </c>
      <c r="B238" t="s">
        <v>1013</v>
      </c>
      <c r="C238" t="s">
        <v>18</v>
      </c>
      <c r="D238">
        <v>1</v>
      </c>
      <c r="E238">
        <v>0</v>
      </c>
      <c r="G238" s="1">
        <v>0</v>
      </c>
      <c r="H238">
        <v>0</v>
      </c>
      <c r="I238">
        <v>0.5</v>
      </c>
      <c r="J238">
        <v>1</v>
      </c>
      <c r="K238">
        <v>1</v>
      </c>
      <c r="L238">
        <f t="shared" si="12"/>
        <v>2</v>
      </c>
      <c r="M238">
        <v>0</v>
      </c>
      <c r="N238">
        <v>0</v>
      </c>
      <c r="O238">
        <v>2</v>
      </c>
      <c r="P238" s="1">
        <f t="shared" si="13"/>
        <v>0</v>
      </c>
      <c r="Q238">
        <f t="shared" si="14"/>
        <v>2</v>
      </c>
      <c r="R238" s="1">
        <f t="shared" si="15"/>
        <v>0</v>
      </c>
    </row>
    <row r="239" spans="1:18" x14ac:dyDescent="0.3">
      <c r="A239" t="s">
        <v>1014</v>
      </c>
      <c r="B239" t="s">
        <v>1015</v>
      </c>
      <c r="C239" t="s">
        <v>18</v>
      </c>
      <c r="D239">
        <v>1</v>
      </c>
      <c r="E239">
        <v>0</v>
      </c>
      <c r="G239" s="1">
        <v>0</v>
      </c>
      <c r="H239">
        <v>0</v>
      </c>
      <c r="I239">
        <v>0.5</v>
      </c>
      <c r="J239">
        <v>1</v>
      </c>
      <c r="K239">
        <v>1</v>
      </c>
      <c r="L239">
        <f t="shared" si="12"/>
        <v>2</v>
      </c>
      <c r="M239">
        <v>0</v>
      </c>
      <c r="N239">
        <v>0</v>
      </c>
      <c r="O239">
        <v>2</v>
      </c>
      <c r="P239" s="1">
        <f t="shared" si="13"/>
        <v>0</v>
      </c>
      <c r="Q239">
        <f t="shared" si="14"/>
        <v>2</v>
      </c>
      <c r="R239" s="1">
        <f t="shared" si="15"/>
        <v>0</v>
      </c>
    </row>
    <row r="240" spans="1:18" x14ac:dyDescent="0.3">
      <c r="A240" t="s">
        <v>1016</v>
      </c>
      <c r="B240" t="s">
        <v>1017</v>
      </c>
      <c r="C240" t="s">
        <v>18</v>
      </c>
      <c r="D240">
        <v>1</v>
      </c>
      <c r="E240">
        <v>0</v>
      </c>
      <c r="G240" s="1">
        <v>0</v>
      </c>
      <c r="H240">
        <v>0</v>
      </c>
      <c r="I240">
        <v>0.5</v>
      </c>
      <c r="J240">
        <v>1</v>
      </c>
      <c r="K240">
        <v>1</v>
      </c>
      <c r="L240">
        <f t="shared" si="12"/>
        <v>2</v>
      </c>
      <c r="M240">
        <v>0</v>
      </c>
      <c r="N240">
        <v>0</v>
      </c>
      <c r="O240">
        <v>2</v>
      </c>
      <c r="P240" s="1">
        <f t="shared" si="13"/>
        <v>0</v>
      </c>
      <c r="Q240">
        <f t="shared" si="14"/>
        <v>2</v>
      </c>
      <c r="R240" s="1">
        <f t="shared" si="15"/>
        <v>0</v>
      </c>
    </row>
    <row r="241" spans="1:18" x14ac:dyDescent="0.3">
      <c r="A241" t="s">
        <v>1018</v>
      </c>
      <c r="B241" t="s">
        <v>1019</v>
      </c>
      <c r="C241" t="s">
        <v>18</v>
      </c>
      <c r="D241">
        <v>1</v>
      </c>
      <c r="E241">
        <v>0</v>
      </c>
      <c r="G241" s="1">
        <v>0</v>
      </c>
      <c r="H241">
        <v>0</v>
      </c>
      <c r="I241">
        <v>0.5</v>
      </c>
      <c r="J241">
        <v>1</v>
      </c>
      <c r="K241">
        <v>1</v>
      </c>
      <c r="L241">
        <f t="shared" si="12"/>
        <v>2</v>
      </c>
      <c r="M241">
        <v>0</v>
      </c>
      <c r="N241">
        <v>0</v>
      </c>
      <c r="O241">
        <v>2</v>
      </c>
      <c r="P241" s="1">
        <f t="shared" si="13"/>
        <v>0</v>
      </c>
      <c r="Q241">
        <f t="shared" si="14"/>
        <v>2</v>
      </c>
      <c r="R241" s="1">
        <f t="shared" si="15"/>
        <v>0</v>
      </c>
    </row>
    <row r="242" spans="1:18" x14ac:dyDescent="0.3">
      <c r="A242" t="s">
        <v>1020</v>
      </c>
      <c r="B242" t="s">
        <v>1021</v>
      </c>
      <c r="C242" t="s">
        <v>18</v>
      </c>
      <c r="D242">
        <v>1</v>
      </c>
      <c r="E242">
        <v>0</v>
      </c>
      <c r="G242" s="1">
        <v>0</v>
      </c>
      <c r="H242">
        <v>0</v>
      </c>
      <c r="I242">
        <v>0.5</v>
      </c>
      <c r="J242">
        <v>1</v>
      </c>
      <c r="K242">
        <v>1</v>
      </c>
      <c r="L242">
        <f t="shared" si="12"/>
        <v>2</v>
      </c>
      <c r="M242">
        <v>0</v>
      </c>
      <c r="N242">
        <v>0</v>
      </c>
      <c r="O242">
        <v>2</v>
      </c>
      <c r="P242" s="1">
        <f t="shared" si="13"/>
        <v>0</v>
      </c>
      <c r="Q242">
        <f t="shared" si="14"/>
        <v>2</v>
      </c>
      <c r="R242" s="1">
        <f t="shared" si="15"/>
        <v>0</v>
      </c>
    </row>
    <row r="243" spans="1:18" x14ac:dyDescent="0.3">
      <c r="A243" t="s">
        <v>1022</v>
      </c>
      <c r="B243" t="s">
        <v>1023</v>
      </c>
      <c r="C243" t="s">
        <v>18</v>
      </c>
      <c r="D243">
        <v>1</v>
      </c>
      <c r="E243">
        <v>0</v>
      </c>
      <c r="G243" s="1">
        <v>0</v>
      </c>
      <c r="H243">
        <v>0</v>
      </c>
      <c r="I243">
        <v>0.5</v>
      </c>
      <c r="J243">
        <v>1</v>
      </c>
      <c r="K243">
        <v>1</v>
      </c>
      <c r="L243">
        <f t="shared" si="12"/>
        <v>2</v>
      </c>
      <c r="M243">
        <v>0</v>
      </c>
      <c r="N243">
        <v>0</v>
      </c>
      <c r="O243">
        <v>2</v>
      </c>
      <c r="P243" s="1">
        <f t="shared" si="13"/>
        <v>0</v>
      </c>
      <c r="Q243">
        <f t="shared" si="14"/>
        <v>2</v>
      </c>
      <c r="R243" s="1">
        <f t="shared" si="15"/>
        <v>0</v>
      </c>
    </row>
    <row r="244" spans="1:18" x14ac:dyDescent="0.3">
      <c r="A244" t="s">
        <v>1024</v>
      </c>
      <c r="B244" t="s">
        <v>1025</v>
      </c>
      <c r="C244" t="s">
        <v>18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f t="shared" si="12"/>
        <v>2</v>
      </c>
      <c r="M244">
        <v>0</v>
      </c>
      <c r="N244">
        <v>0</v>
      </c>
      <c r="O244">
        <v>2</v>
      </c>
      <c r="P244" s="1">
        <f t="shared" si="13"/>
        <v>0</v>
      </c>
      <c r="Q244">
        <f t="shared" si="14"/>
        <v>2</v>
      </c>
      <c r="R244" s="1">
        <f t="shared" si="15"/>
        <v>0</v>
      </c>
    </row>
    <row r="245" spans="1:18" x14ac:dyDescent="0.3">
      <c r="A245" t="s">
        <v>1026</v>
      </c>
      <c r="B245" t="s">
        <v>1027</v>
      </c>
      <c r="C245" t="s">
        <v>18</v>
      </c>
      <c r="D245">
        <v>1</v>
      </c>
      <c r="E245">
        <v>0</v>
      </c>
      <c r="G245" s="1">
        <v>0</v>
      </c>
      <c r="H245">
        <v>0</v>
      </c>
      <c r="I245">
        <v>0.5</v>
      </c>
      <c r="J245">
        <v>1</v>
      </c>
      <c r="K245">
        <v>1</v>
      </c>
      <c r="L245">
        <f t="shared" si="12"/>
        <v>2</v>
      </c>
      <c r="M245">
        <v>0</v>
      </c>
      <c r="N245">
        <v>0</v>
      </c>
      <c r="O245">
        <v>2</v>
      </c>
      <c r="P245" s="1">
        <f t="shared" si="13"/>
        <v>0</v>
      </c>
      <c r="Q245">
        <f t="shared" si="14"/>
        <v>2</v>
      </c>
      <c r="R245" s="1">
        <f t="shared" si="15"/>
        <v>0</v>
      </c>
    </row>
    <row r="246" spans="1:18" x14ac:dyDescent="0.3">
      <c r="A246" t="s">
        <v>1028</v>
      </c>
      <c r="B246" t="s">
        <v>1029</v>
      </c>
      <c r="C246" t="s">
        <v>18</v>
      </c>
      <c r="D246">
        <v>1</v>
      </c>
      <c r="E246">
        <v>0</v>
      </c>
      <c r="G246" s="1">
        <v>0</v>
      </c>
      <c r="H246">
        <v>0</v>
      </c>
      <c r="I246">
        <v>0.5</v>
      </c>
      <c r="J246">
        <v>1</v>
      </c>
      <c r="K246">
        <v>1</v>
      </c>
      <c r="L246">
        <f t="shared" si="12"/>
        <v>2</v>
      </c>
      <c r="M246">
        <v>0</v>
      </c>
      <c r="N246">
        <v>0</v>
      </c>
      <c r="O246">
        <v>2</v>
      </c>
      <c r="P246" s="1">
        <f t="shared" si="13"/>
        <v>0</v>
      </c>
      <c r="Q246">
        <f t="shared" si="14"/>
        <v>2</v>
      </c>
      <c r="R246" s="1">
        <f t="shared" si="15"/>
        <v>0</v>
      </c>
    </row>
    <row r="247" spans="1:18" x14ac:dyDescent="0.3">
      <c r="A247" t="s">
        <v>1030</v>
      </c>
      <c r="B247" t="s">
        <v>1031</v>
      </c>
      <c r="C247" t="s">
        <v>18</v>
      </c>
      <c r="D247">
        <v>1</v>
      </c>
      <c r="E247">
        <v>0</v>
      </c>
      <c r="G247" s="1">
        <v>0</v>
      </c>
      <c r="H247">
        <v>0</v>
      </c>
      <c r="I247">
        <v>0.5</v>
      </c>
      <c r="J247">
        <v>1</v>
      </c>
      <c r="K247">
        <v>1</v>
      </c>
      <c r="L247">
        <f t="shared" si="12"/>
        <v>2</v>
      </c>
      <c r="M247">
        <v>0</v>
      </c>
      <c r="N247">
        <v>0</v>
      </c>
      <c r="O247">
        <v>2</v>
      </c>
      <c r="P247" s="1">
        <f t="shared" si="13"/>
        <v>0</v>
      </c>
      <c r="Q247">
        <f t="shared" si="14"/>
        <v>2</v>
      </c>
      <c r="R247" s="1">
        <f t="shared" si="15"/>
        <v>0</v>
      </c>
    </row>
    <row r="248" spans="1:18" x14ac:dyDescent="0.3">
      <c r="A248" t="s">
        <v>1032</v>
      </c>
      <c r="B248" t="s">
        <v>1031</v>
      </c>
      <c r="C248" t="s">
        <v>18</v>
      </c>
      <c r="D248">
        <v>1</v>
      </c>
      <c r="E248">
        <v>0</v>
      </c>
      <c r="G248" s="1">
        <v>0</v>
      </c>
      <c r="H248">
        <v>0</v>
      </c>
      <c r="I248">
        <v>0.5</v>
      </c>
      <c r="J248">
        <v>1</v>
      </c>
      <c r="K248">
        <v>1</v>
      </c>
      <c r="L248">
        <f t="shared" si="12"/>
        <v>2</v>
      </c>
      <c r="M248">
        <v>0</v>
      </c>
      <c r="N248">
        <v>0</v>
      </c>
      <c r="O248">
        <v>2</v>
      </c>
      <c r="P248" s="1">
        <f t="shared" si="13"/>
        <v>0</v>
      </c>
      <c r="Q248">
        <f t="shared" si="14"/>
        <v>2</v>
      </c>
      <c r="R248" s="1">
        <f t="shared" si="15"/>
        <v>0</v>
      </c>
    </row>
    <row r="249" spans="1:18" x14ac:dyDescent="0.3">
      <c r="A249" t="s">
        <v>1033</v>
      </c>
      <c r="B249" t="s">
        <v>1034</v>
      </c>
      <c r="C249" t="s">
        <v>18</v>
      </c>
      <c r="D249">
        <v>1</v>
      </c>
      <c r="E249">
        <v>0</v>
      </c>
      <c r="G249" s="1">
        <v>0</v>
      </c>
      <c r="H249">
        <v>0</v>
      </c>
      <c r="I249">
        <v>0.5</v>
      </c>
      <c r="J249">
        <v>1</v>
      </c>
      <c r="K249">
        <v>1</v>
      </c>
      <c r="L249">
        <f t="shared" si="12"/>
        <v>2</v>
      </c>
      <c r="M249">
        <v>0</v>
      </c>
      <c r="N249">
        <v>0</v>
      </c>
      <c r="O249">
        <v>2</v>
      </c>
      <c r="P249" s="1">
        <f t="shared" si="13"/>
        <v>0</v>
      </c>
      <c r="Q249">
        <f t="shared" si="14"/>
        <v>2</v>
      </c>
      <c r="R249" s="1">
        <f t="shared" si="15"/>
        <v>0</v>
      </c>
    </row>
    <row r="250" spans="1:18" x14ac:dyDescent="0.3">
      <c r="A250" t="s">
        <v>1035</v>
      </c>
      <c r="B250" t="s">
        <v>1036</v>
      </c>
      <c r="C250" t="s">
        <v>18</v>
      </c>
      <c r="D250">
        <v>13</v>
      </c>
      <c r="E250">
        <v>0</v>
      </c>
      <c r="G250" s="1">
        <v>0</v>
      </c>
      <c r="H250">
        <v>14</v>
      </c>
      <c r="I250">
        <v>0.5</v>
      </c>
      <c r="J250">
        <v>1.5</v>
      </c>
      <c r="K250">
        <v>1</v>
      </c>
      <c r="L250">
        <f t="shared" si="12"/>
        <v>2</v>
      </c>
      <c r="M250">
        <v>0</v>
      </c>
      <c r="N250">
        <v>0</v>
      </c>
      <c r="O250">
        <v>4</v>
      </c>
      <c r="P250" s="1">
        <f t="shared" si="13"/>
        <v>0</v>
      </c>
      <c r="Q250">
        <f t="shared" si="14"/>
        <v>4</v>
      </c>
      <c r="R250" s="1">
        <f t="shared" si="15"/>
        <v>0</v>
      </c>
    </row>
    <row r="251" spans="1:18" x14ac:dyDescent="0.3">
      <c r="A251" t="s">
        <v>1037</v>
      </c>
      <c r="B251" t="s">
        <v>1038</v>
      </c>
      <c r="C251" t="s">
        <v>18</v>
      </c>
      <c r="D251">
        <v>1</v>
      </c>
      <c r="E251">
        <v>0</v>
      </c>
      <c r="G251" s="1">
        <v>0</v>
      </c>
      <c r="H251">
        <v>0</v>
      </c>
      <c r="I251">
        <v>0.5</v>
      </c>
      <c r="J251">
        <v>1</v>
      </c>
      <c r="K251">
        <v>1</v>
      </c>
      <c r="L251">
        <f t="shared" si="12"/>
        <v>2</v>
      </c>
      <c r="M251">
        <v>0</v>
      </c>
      <c r="N251">
        <v>0</v>
      </c>
      <c r="O251">
        <v>2</v>
      </c>
      <c r="P251" s="1">
        <f t="shared" si="13"/>
        <v>0</v>
      </c>
      <c r="Q251">
        <f t="shared" si="14"/>
        <v>2</v>
      </c>
      <c r="R251" s="1">
        <f t="shared" si="15"/>
        <v>0</v>
      </c>
    </row>
    <row r="252" spans="1:18" x14ac:dyDescent="0.3">
      <c r="A252" t="s">
        <v>1039</v>
      </c>
      <c r="B252" t="s">
        <v>1040</v>
      </c>
      <c r="C252" t="s">
        <v>18</v>
      </c>
      <c r="D252">
        <v>2</v>
      </c>
      <c r="E252">
        <v>0</v>
      </c>
      <c r="G252" s="1">
        <v>0</v>
      </c>
      <c r="H252">
        <v>2</v>
      </c>
      <c r="I252">
        <v>0.5</v>
      </c>
      <c r="J252">
        <v>1</v>
      </c>
      <c r="K252">
        <v>1</v>
      </c>
      <c r="L252">
        <f t="shared" si="12"/>
        <v>2</v>
      </c>
      <c r="M252">
        <v>0</v>
      </c>
      <c r="N252">
        <v>0</v>
      </c>
      <c r="O252">
        <v>2</v>
      </c>
      <c r="P252" s="1">
        <f t="shared" si="13"/>
        <v>0</v>
      </c>
      <c r="Q252">
        <f t="shared" si="14"/>
        <v>2</v>
      </c>
      <c r="R252" s="1">
        <f t="shared" si="15"/>
        <v>0</v>
      </c>
    </row>
    <row r="253" spans="1:18" x14ac:dyDescent="0.3">
      <c r="A253" t="s">
        <v>1041</v>
      </c>
      <c r="B253" t="s">
        <v>1042</v>
      </c>
      <c r="C253" t="s">
        <v>18</v>
      </c>
      <c r="D253">
        <v>2</v>
      </c>
      <c r="E253">
        <v>0</v>
      </c>
      <c r="G253" s="1">
        <v>0</v>
      </c>
      <c r="H253">
        <v>4</v>
      </c>
      <c r="I253">
        <v>0.5</v>
      </c>
      <c r="J253">
        <v>2</v>
      </c>
      <c r="K253">
        <v>1</v>
      </c>
      <c r="L253">
        <f t="shared" si="12"/>
        <v>2</v>
      </c>
      <c r="M253">
        <v>0</v>
      </c>
      <c r="N253">
        <v>0</v>
      </c>
      <c r="O253">
        <v>5</v>
      </c>
      <c r="P253" s="1">
        <f t="shared" si="13"/>
        <v>0</v>
      </c>
      <c r="Q253">
        <f t="shared" si="14"/>
        <v>5</v>
      </c>
      <c r="R253" s="1">
        <f t="shared" si="15"/>
        <v>0</v>
      </c>
    </row>
    <row r="254" spans="1:18" x14ac:dyDescent="0.3">
      <c r="A254" t="s">
        <v>1043</v>
      </c>
      <c r="B254" t="s">
        <v>1044</v>
      </c>
      <c r="C254" t="s">
        <v>18</v>
      </c>
      <c r="D254">
        <v>1</v>
      </c>
      <c r="E254">
        <v>0</v>
      </c>
      <c r="G254" s="1">
        <v>0</v>
      </c>
      <c r="H254">
        <v>0</v>
      </c>
      <c r="I254">
        <v>0.5</v>
      </c>
      <c r="J254">
        <v>1</v>
      </c>
      <c r="K254">
        <v>1</v>
      </c>
      <c r="L254">
        <f t="shared" si="12"/>
        <v>2</v>
      </c>
      <c r="M254">
        <v>0</v>
      </c>
      <c r="N254">
        <v>0</v>
      </c>
      <c r="O254">
        <v>2</v>
      </c>
      <c r="P254" s="1">
        <f t="shared" si="13"/>
        <v>0</v>
      </c>
      <c r="Q254">
        <f t="shared" si="14"/>
        <v>2</v>
      </c>
      <c r="R254" s="1">
        <f t="shared" si="15"/>
        <v>0</v>
      </c>
    </row>
    <row r="255" spans="1:18" x14ac:dyDescent="0.3">
      <c r="A255" t="s">
        <v>1045</v>
      </c>
      <c r="B255" t="s">
        <v>1046</v>
      </c>
      <c r="C255" t="s">
        <v>18</v>
      </c>
      <c r="D255">
        <v>1</v>
      </c>
      <c r="E255">
        <v>0</v>
      </c>
      <c r="G255" s="1">
        <v>0</v>
      </c>
      <c r="H255">
        <v>0</v>
      </c>
      <c r="I255">
        <v>0.5</v>
      </c>
      <c r="J255">
        <v>1</v>
      </c>
      <c r="K255">
        <v>1</v>
      </c>
      <c r="L255">
        <f t="shared" si="12"/>
        <v>2</v>
      </c>
      <c r="M255">
        <v>0</v>
      </c>
      <c r="N255">
        <v>0</v>
      </c>
      <c r="O255">
        <v>2</v>
      </c>
      <c r="P255" s="1">
        <f t="shared" si="13"/>
        <v>0</v>
      </c>
      <c r="Q255">
        <f t="shared" si="14"/>
        <v>2</v>
      </c>
      <c r="R255" s="1">
        <f t="shared" si="15"/>
        <v>0</v>
      </c>
    </row>
    <row r="256" spans="1:18" x14ac:dyDescent="0.3">
      <c r="A256" t="s">
        <v>1047</v>
      </c>
      <c r="B256" t="s">
        <v>1048</v>
      </c>
      <c r="C256" t="s">
        <v>18</v>
      </c>
      <c r="D256">
        <v>1</v>
      </c>
      <c r="E256">
        <v>0</v>
      </c>
      <c r="G256" s="1">
        <v>0</v>
      </c>
      <c r="H256">
        <v>0</v>
      </c>
      <c r="I256">
        <v>0.5</v>
      </c>
      <c r="J256">
        <v>1</v>
      </c>
      <c r="K256">
        <v>1</v>
      </c>
      <c r="L256">
        <f t="shared" si="12"/>
        <v>2</v>
      </c>
      <c r="M256">
        <v>0</v>
      </c>
      <c r="N256">
        <v>0</v>
      </c>
      <c r="O256">
        <v>2</v>
      </c>
      <c r="P256" s="1">
        <f t="shared" si="13"/>
        <v>0</v>
      </c>
      <c r="Q256">
        <f t="shared" si="14"/>
        <v>2</v>
      </c>
      <c r="R256" s="1">
        <f t="shared" si="15"/>
        <v>0</v>
      </c>
    </row>
    <row r="257" spans="1:18" x14ac:dyDescent="0.3">
      <c r="A257" t="s">
        <v>1049</v>
      </c>
      <c r="B257" t="s">
        <v>1050</v>
      </c>
      <c r="C257" t="s">
        <v>18</v>
      </c>
      <c r="D257">
        <v>1</v>
      </c>
      <c r="E257">
        <v>0</v>
      </c>
      <c r="G257" s="1">
        <v>0</v>
      </c>
      <c r="H257">
        <v>0</v>
      </c>
      <c r="I257">
        <v>0.5</v>
      </c>
      <c r="J257">
        <v>1</v>
      </c>
      <c r="K257">
        <v>1</v>
      </c>
      <c r="L257">
        <f t="shared" si="12"/>
        <v>2</v>
      </c>
      <c r="M257">
        <v>0</v>
      </c>
      <c r="N257">
        <v>0</v>
      </c>
      <c r="O257">
        <v>2</v>
      </c>
      <c r="P257" s="1">
        <f t="shared" si="13"/>
        <v>0</v>
      </c>
      <c r="Q257">
        <f t="shared" si="14"/>
        <v>2</v>
      </c>
      <c r="R257" s="1">
        <f t="shared" si="15"/>
        <v>0</v>
      </c>
    </row>
    <row r="258" spans="1:18" x14ac:dyDescent="0.3">
      <c r="A258" t="s">
        <v>1051</v>
      </c>
      <c r="B258" t="s">
        <v>1052</v>
      </c>
      <c r="C258" t="s">
        <v>18</v>
      </c>
      <c r="D258">
        <v>1</v>
      </c>
      <c r="E258">
        <v>0</v>
      </c>
      <c r="G258" s="1">
        <v>0</v>
      </c>
      <c r="H258">
        <v>0</v>
      </c>
      <c r="I258">
        <v>0.5</v>
      </c>
      <c r="J258">
        <v>1</v>
      </c>
      <c r="K258">
        <v>1</v>
      </c>
      <c r="L258">
        <f t="shared" ref="L258:L321" si="16">ROUNDUP((J258*I258)+K258,0)</f>
        <v>2</v>
      </c>
      <c r="M258">
        <v>0</v>
      </c>
      <c r="N258">
        <v>0</v>
      </c>
      <c r="O258">
        <v>2</v>
      </c>
      <c r="P258" s="1">
        <f t="shared" ref="P258:P321" si="17">IFERROR(M258*G258,0)</f>
        <v>0</v>
      </c>
      <c r="Q258">
        <f t="shared" ref="Q258:Q321" si="18">IF(O258-M258-N258&gt;0,O258-M258-N258,0)</f>
        <v>2</v>
      </c>
      <c r="R258" s="1">
        <f t="shared" ref="R258:R321" si="19">IFERROR(Q258*G258,0)</f>
        <v>0</v>
      </c>
    </row>
    <row r="259" spans="1:18" x14ac:dyDescent="0.3">
      <c r="A259" t="s">
        <v>1053</v>
      </c>
      <c r="B259" t="s">
        <v>1054</v>
      </c>
      <c r="C259" t="s">
        <v>18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f t="shared" si="16"/>
        <v>2</v>
      </c>
      <c r="M259">
        <v>0</v>
      </c>
      <c r="N259">
        <v>0</v>
      </c>
      <c r="O259">
        <v>2</v>
      </c>
      <c r="P259" s="1">
        <f t="shared" si="17"/>
        <v>0</v>
      </c>
      <c r="Q259">
        <f t="shared" si="18"/>
        <v>2</v>
      </c>
      <c r="R259" s="1">
        <f t="shared" si="19"/>
        <v>0</v>
      </c>
    </row>
    <row r="260" spans="1:18" x14ac:dyDescent="0.3">
      <c r="A260" t="s">
        <v>1055</v>
      </c>
      <c r="B260" t="s">
        <v>1056</v>
      </c>
      <c r="C260" t="s">
        <v>18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x14ac:dyDescent="0.3">
      <c r="A261" t="s">
        <v>1057</v>
      </c>
      <c r="B261" t="s">
        <v>1058</v>
      </c>
      <c r="C261" t="s">
        <v>18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x14ac:dyDescent="0.3">
      <c r="A262" t="s">
        <v>1059</v>
      </c>
      <c r="B262" t="s">
        <v>1060</v>
      </c>
      <c r="C262" t="s">
        <v>18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x14ac:dyDescent="0.3">
      <c r="A263" t="s">
        <v>1061</v>
      </c>
      <c r="B263" t="s">
        <v>1062</v>
      </c>
      <c r="C263" t="s">
        <v>18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x14ac:dyDescent="0.3">
      <c r="A264" t="s">
        <v>1063</v>
      </c>
      <c r="B264" t="s">
        <v>1064</v>
      </c>
      <c r="C264" t="s">
        <v>18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x14ac:dyDescent="0.3">
      <c r="A265" t="s">
        <v>1065</v>
      </c>
      <c r="B265" t="s">
        <v>1066</v>
      </c>
      <c r="C265" t="s">
        <v>18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x14ac:dyDescent="0.3">
      <c r="A266" t="s">
        <v>1067</v>
      </c>
      <c r="B266" t="s">
        <v>1068</v>
      </c>
      <c r="C266" t="s">
        <v>18</v>
      </c>
      <c r="D266">
        <v>1</v>
      </c>
      <c r="E266">
        <v>0</v>
      </c>
      <c r="G266" s="1">
        <v>0</v>
      </c>
      <c r="H266">
        <v>2</v>
      </c>
      <c r="I266">
        <v>0.5</v>
      </c>
      <c r="J266">
        <v>2</v>
      </c>
      <c r="K266">
        <v>1</v>
      </c>
      <c r="L266">
        <f t="shared" si="16"/>
        <v>2</v>
      </c>
      <c r="M266">
        <v>0</v>
      </c>
      <c r="N266">
        <v>0</v>
      </c>
      <c r="O266">
        <v>5</v>
      </c>
      <c r="P266" s="1">
        <f t="shared" si="17"/>
        <v>0</v>
      </c>
      <c r="Q266">
        <f t="shared" si="18"/>
        <v>5</v>
      </c>
      <c r="R266" s="1">
        <f t="shared" si="19"/>
        <v>0</v>
      </c>
    </row>
    <row r="267" spans="1:18" x14ac:dyDescent="0.3">
      <c r="A267" t="s">
        <v>1069</v>
      </c>
      <c r="B267" t="s">
        <v>1070</v>
      </c>
      <c r="C267" t="s">
        <v>18</v>
      </c>
      <c r="D267">
        <v>1</v>
      </c>
      <c r="E267">
        <v>0</v>
      </c>
      <c r="G267" s="1">
        <v>0</v>
      </c>
      <c r="H267">
        <v>1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x14ac:dyDescent="0.3">
      <c r="A268" t="s">
        <v>1071</v>
      </c>
      <c r="B268" t="s">
        <v>1072</v>
      </c>
      <c r="C268" t="s">
        <v>18</v>
      </c>
      <c r="D268">
        <v>9</v>
      </c>
      <c r="E268">
        <v>8</v>
      </c>
      <c r="F268" t="s">
        <v>1073</v>
      </c>
      <c r="G268" s="1">
        <v>13600</v>
      </c>
      <c r="H268">
        <v>2</v>
      </c>
      <c r="I268">
        <v>1.8</v>
      </c>
      <c r="J268">
        <v>1</v>
      </c>
      <c r="K268">
        <v>2</v>
      </c>
      <c r="L268">
        <f t="shared" si="16"/>
        <v>4</v>
      </c>
      <c r="M268">
        <v>0</v>
      </c>
      <c r="N268">
        <v>0</v>
      </c>
      <c r="O268">
        <v>4</v>
      </c>
      <c r="P268" s="1">
        <f t="shared" si="17"/>
        <v>0</v>
      </c>
      <c r="Q268">
        <f t="shared" si="18"/>
        <v>4</v>
      </c>
      <c r="R268" s="1">
        <f t="shared" si="19"/>
        <v>54400</v>
      </c>
    </row>
    <row r="269" spans="1:18" x14ac:dyDescent="0.3">
      <c r="A269" t="s">
        <v>1074</v>
      </c>
      <c r="B269" t="s">
        <v>1075</v>
      </c>
      <c r="C269" t="s">
        <v>18</v>
      </c>
      <c r="D269">
        <v>54</v>
      </c>
      <c r="E269">
        <v>0</v>
      </c>
      <c r="G269" s="1">
        <v>518.48</v>
      </c>
      <c r="H269">
        <v>25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1036.96</v>
      </c>
    </row>
    <row r="270" spans="1:18" x14ac:dyDescent="0.3">
      <c r="A270" t="s">
        <v>1076</v>
      </c>
      <c r="B270" t="s">
        <v>1077</v>
      </c>
      <c r="C270" t="s">
        <v>18</v>
      </c>
      <c r="D270">
        <v>29</v>
      </c>
      <c r="E270">
        <v>0</v>
      </c>
      <c r="G270" s="1">
        <v>437.68</v>
      </c>
      <c r="H270">
        <v>11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875.36</v>
      </c>
    </row>
    <row r="271" spans="1:18" x14ac:dyDescent="0.3">
      <c r="A271" t="s">
        <v>1078</v>
      </c>
      <c r="B271" t="s">
        <v>1079</v>
      </c>
      <c r="C271" t="s">
        <v>18</v>
      </c>
      <c r="D271">
        <v>49</v>
      </c>
      <c r="E271">
        <v>0</v>
      </c>
      <c r="G271" s="1">
        <v>555.74</v>
      </c>
      <c r="H271">
        <v>5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1111.48</v>
      </c>
    </row>
    <row r="272" spans="1:18" x14ac:dyDescent="0.3">
      <c r="A272" t="s">
        <v>1080</v>
      </c>
      <c r="B272" t="s">
        <v>1081</v>
      </c>
      <c r="C272" t="s">
        <v>18</v>
      </c>
      <c r="D272">
        <v>49</v>
      </c>
      <c r="E272">
        <v>0</v>
      </c>
      <c r="G272" s="1">
        <v>724.5</v>
      </c>
      <c r="H272">
        <v>14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1449</v>
      </c>
    </row>
    <row r="273" spans="1:18" x14ac:dyDescent="0.3">
      <c r="A273" t="s">
        <v>1082</v>
      </c>
      <c r="B273" t="s">
        <v>1083</v>
      </c>
      <c r="C273" t="s">
        <v>18</v>
      </c>
      <c r="D273">
        <v>50</v>
      </c>
      <c r="E273">
        <v>0</v>
      </c>
      <c r="G273" s="1">
        <v>974.05</v>
      </c>
      <c r="H273">
        <v>1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1948.1</v>
      </c>
    </row>
    <row r="274" spans="1:18" x14ac:dyDescent="0.3">
      <c r="A274" t="s">
        <v>1084</v>
      </c>
      <c r="B274" t="s">
        <v>1085</v>
      </c>
      <c r="C274" t="s">
        <v>18</v>
      </c>
      <c r="D274">
        <v>1</v>
      </c>
      <c r="E274">
        <v>12</v>
      </c>
      <c r="F274" t="s">
        <v>87</v>
      </c>
      <c r="G274" s="1">
        <v>0</v>
      </c>
      <c r="H274">
        <v>0</v>
      </c>
      <c r="I274">
        <v>0.5</v>
      </c>
      <c r="J274">
        <v>12</v>
      </c>
      <c r="K274">
        <v>6</v>
      </c>
      <c r="L274">
        <f t="shared" si="16"/>
        <v>12</v>
      </c>
      <c r="M274">
        <v>0</v>
      </c>
      <c r="N274">
        <v>0</v>
      </c>
      <c r="O274">
        <v>30</v>
      </c>
      <c r="P274" s="1">
        <f t="shared" si="17"/>
        <v>0</v>
      </c>
      <c r="Q274">
        <f t="shared" si="18"/>
        <v>30</v>
      </c>
      <c r="R274" s="1">
        <f t="shared" si="19"/>
        <v>0</v>
      </c>
    </row>
    <row r="275" spans="1:18" x14ac:dyDescent="0.3">
      <c r="A275" t="s">
        <v>1086</v>
      </c>
      <c r="B275" t="s">
        <v>1087</v>
      </c>
      <c r="C275" t="s">
        <v>18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0</v>
      </c>
    </row>
    <row r="276" spans="1:18" x14ac:dyDescent="0.3">
      <c r="A276" t="s">
        <v>1088</v>
      </c>
      <c r="B276" t="s">
        <v>1089</v>
      </c>
      <c r="C276" t="s">
        <v>18</v>
      </c>
      <c r="D276">
        <v>1</v>
      </c>
      <c r="E276">
        <v>10</v>
      </c>
      <c r="F276" t="s">
        <v>131</v>
      </c>
      <c r="G276" s="1">
        <v>0</v>
      </c>
      <c r="H276">
        <v>0</v>
      </c>
      <c r="I276">
        <v>0.5</v>
      </c>
      <c r="J276">
        <v>10</v>
      </c>
      <c r="K276">
        <v>5</v>
      </c>
      <c r="L276">
        <f t="shared" si="16"/>
        <v>10</v>
      </c>
      <c r="M276">
        <v>0</v>
      </c>
      <c r="N276">
        <v>0</v>
      </c>
      <c r="O276">
        <v>25</v>
      </c>
      <c r="P276" s="1">
        <f t="shared" si="17"/>
        <v>0</v>
      </c>
      <c r="Q276">
        <f t="shared" si="18"/>
        <v>25</v>
      </c>
      <c r="R276" s="1">
        <f t="shared" si="19"/>
        <v>0</v>
      </c>
    </row>
    <row r="277" spans="1:18" x14ac:dyDescent="0.3">
      <c r="A277" t="s">
        <v>1090</v>
      </c>
      <c r="B277" t="s">
        <v>1091</v>
      </c>
      <c r="C277" t="s">
        <v>18</v>
      </c>
      <c r="D277">
        <v>1</v>
      </c>
      <c r="E277">
        <v>35</v>
      </c>
      <c r="F277" t="s">
        <v>87</v>
      </c>
      <c r="G277" s="1">
        <v>0</v>
      </c>
      <c r="H277">
        <v>0</v>
      </c>
      <c r="I277">
        <v>0.5</v>
      </c>
      <c r="J277">
        <v>35</v>
      </c>
      <c r="K277">
        <v>18</v>
      </c>
      <c r="L277">
        <f t="shared" si="16"/>
        <v>36</v>
      </c>
      <c r="M277">
        <v>0</v>
      </c>
      <c r="N277">
        <v>0</v>
      </c>
      <c r="O277">
        <v>88</v>
      </c>
      <c r="P277" s="1">
        <f t="shared" si="17"/>
        <v>0</v>
      </c>
      <c r="Q277">
        <f t="shared" si="18"/>
        <v>88</v>
      </c>
      <c r="R277" s="1">
        <f t="shared" si="19"/>
        <v>0</v>
      </c>
    </row>
    <row r="278" spans="1:18" x14ac:dyDescent="0.3">
      <c r="A278" t="s">
        <v>1092</v>
      </c>
      <c r="B278" t="s">
        <v>1093</v>
      </c>
      <c r="C278" t="s">
        <v>18</v>
      </c>
      <c r="D278">
        <v>1</v>
      </c>
      <c r="E278">
        <v>9</v>
      </c>
      <c r="F278" t="s">
        <v>131</v>
      </c>
      <c r="G278" s="1">
        <v>0</v>
      </c>
      <c r="H278">
        <v>0</v>
      </c>
      <c r="I278">
        <v>0.5</v>
      </c>
      <c r="J278">
        <v>9</v>
      </c>
      <c r="K278">
        <v>4</v>
      </c>
      <c r="L278">
        <f t="shared" si="16"/>
        <v>9</v>
      </c>
      <c r="M278">
        <v>0</v>
      </c>
      <c r="N278">
        <v>0</v>
      </c>
      <c r="O278">
        <v>22</v>
      </c>
      <c r="P278" s="1">
        <f t="shared" si="17"/>
        <v>0</v>
      </c>
      <c r="Q278">
        <f t="shared" si="18"/>
        <v>22</v>
      </c>
      <c r="R278" s="1">
        <f t="shared" si="19"/>
        <v>0</v>
      </c>
    </row>
    <row r="279" spans="1:18" x14ac:dyDescent="0.3">
      <c r="A279" t="s">
        <v>1094</v>
      </c>
      <c r="B279" t="s">
        <v>1095</v>
      </c>
      <c r="C279" t="s">
        <v>18</v>
      </c>
      <c r="D279">
        <v>1</v>
      </c>
      <c r="E279">
        <v>32</v>
      </c>
      <c r="F279" t="s">
        <v>87</v>
      </c>
      <c r="G279" s="1">
        <v>0</v>
      </c>
      <c r="H279">
        <v>0</v>
      </c>
      <c r="I279">
        <v>0.5</v>
      </c>
      <c r="J279">
        <v>32</v>
      </c>
      <c r="K279">
        <v>16</v>
      </c>
      <c r="L279">
        <f t="shared" si="16"/>
        <v>32</v>
      </c>
      <c r="M279">
        <v>0</v>
      </c>
      <c r="N279">
        <v>0</v>
      </c>
      <c r="O279">
        <v>80</v>
      </c>
      <c r="P279" s="1">
        <f t="shared" si="17"/>
        <v>0</v>
      </c>
      <c r="Q279">
        <f t="shared" si="18"/>
        <v>80</v>
      </c>
      <c r="R279" s="1">
        <f t="shared" si="19"/>
        <v>0</v>
      </c>
    </row>
    <row r="280" spans="1:18" x14ac:dyDescent="0.3">
      <c r="A280" t="s">
        <v>1096</v>
      </c>
      <c r="B280" t="s">
        <v>1097</v>
      </c>
      <c r="C280" t="s">
        <v>18</v>
      </c>
      <c r="D280">
        <v>2</v>
      </c>
      <c r="E280">
        <v>44</v>
      </c>
      <c r="F280" t="s">
        <v>87</v>
      </c>
      <c r="G280" s="1">
        <v>0</v>
      </c>
      <c r="H280">
        <v>0</v>
      </c>
      <c r="I280">
        <v>0.5</v>
      </c>
      <c r="J280">
        <v>22</v>
      </c>
      <c r="K280">
        <v>11</v>
      </c>
      <c r="L280">
        <f t="shared" si="16"/>
        <v>22</v>
      </c>
      <c r="M280">
        <v>0</v>
      </c>
      <c r="N280">
        <v>0</v>
      </c>
      <c r="O280">
        <v>55</v>
      </c>
      <c r="P280" s="1">
        <f t="shared" si="17"/>
        <v>0</v>
      </c>
      <c r="Q280">
        <f t="shared" si="18"/>
        <v>55</v>
      </c>
      <c r="R280" s="1">
        <f t="shared" si="19"/>
        <v>0</v>
      </c>
    </row>
    <row r="281" spans="1:18" x14ac:dyDescent="0.3">
      <c r="A281" t="s">
        <v>1098</v>
      </c>
      <c r="B281" t="s">
        <v>1099</v>
      </c>
      <c r="C281" t="s">
        <v>18</v>
      </c>
      <c r="D281">
        <v>1</v>
      </c>
      <c r="E281">
        <v>24</v>
      </c>
      <c r="F281" t="s">
        <v>87</v>
      </c>
      <c r="G281" s="1">
        <v>0</v>
      </c>
      <c r="H281">
        <v>0</v>
      </c>
      <c r="I281">
        <v>0.5</v>
      </c>
      <c r="J281">
        <v>24</v>
      </c>
      <c r="K281">
        <v>12</v>
      </c>
      <c r="L281">
        <f t="shared" si="16"/>
        <v>24</v>
      </c>
      <c r="M281">
        <v>0</v>
      </c>
      <c r="N281">
        <v>0</v>
      </c>
      <c r="O281">
        <v>60</v>
      </c>
      <c r="P281" s="1">
        <f t="shared" si="17"/>
        <v>0</v>
      </c>
      <c r="Q281">
        <f t="shared" si="18"/>
        <v>60</v>
      </c>
      <c r="R281" s="1">
        <f t="shared" si="19"/>
        <v>0</v>
      </c>
    </row>
    <row r="282" spans="1:18" x14ac:dyDescent="0.3">
      <c r="A282" t="s">
        <v>1100</v>
      </c>
      <c r="B282" t="s">
        <v>1101</v>
      </c>
      <c r="C282" t="s">
        <v>18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f t="shared" si="16"/>
        <v>2</v>
      </c>
      <c r="M282">
        <v>0</v>
      </c>
      <c r="N282">
        <v>0</v>
      </c>
      <c r="O282">
        <v>2</v>
      </c>
      <c r="P282" s="1">
        <f t="shared" si="17"/>
        <v>0</v>
      </c>
      <c r="Q282">
        <f t="shared" si="18"/>
        <v>2</v>
      </c>
      <c r="R282" s="1">
        <f t="shared" si="19"/>
        <v>0</v>
      </c>
    </row>
    <row r="283" spans="1:18" x14ac:dyDescent="0.3">
      <c r="A283" t="s">
        <v>1102</v>
      </c>
      <c r="B283" t="s">
        <v>1103</v>
      </c>
      <c r="C283" t="s">
        <v>18</v>
      </c>
      <c r="D283">
        <v>1</v>
      </c>
      <c r="E283">
        <v>0</v>
      </c>
      <c r="G283" s="1">
        <v>0</v>
      </c>
      <c r="H283">
        <v>0</v>
      </c>
      <c r="I283">
        <v>0.5</v>
      </c>
      <c r="J283">
        <v>1</v>
      </c>
      <c r="K283">
        <v>1</v>
      </c>
      <c r="L283">
        <f t="shared" si="16"/>
        <v>2</v>
      </c>
      <c r="M283">
        <v>0</v>
      </c>
      <c r="N283">
        <v>0</v>
      </c>
      <c r="O283">
        <v>2</v>
      </c>
      <c r="P283" s="1">
        <f t="shared" si="17"/>
        <v>0</v>
      </c>
      <c r="Q283">
        <f t="shared" si="18"/>
        <v>2</v>
      </c>
      <c r="R283" s="1">
        <f t="shared" si="19"/>
        <v>0</v>
      </c>
    </row>
    <row r="284" spans="1:18" x14ac:dyDescent="0.3">
      <c r="A284" t="s">
        <v>1104</v>
      </c>
      <c r="B284" t="s">
        <v>1105</v>
      </c>
      <c r="C284" t="s">
        <v>18</v>
      </c>
      <c r="D284">
        <v>1</v>
      </c>
      <c r="E284">
        <v>0</v>
      </c>
      <c r="G284" s="1">
        <v>0</v>
      </c>
      <c r="H284">
        <v>0</v>
      </c>
      <c r="I284">
        <v>0.5</v>
      </c>
      <c r="J284">
        <v>1</v>
      </c>
      <c r="K284">
        <v>1</v>
      </c>
      <c r="L284">
        <f t="shared" si="16"/>
        <v>2</v>
      </c>
      <c r="M284">
        <v>0</v>
      </c>
      <c r="N284">
        <v>0</v>
      </c>
      <c r="O284">
        <v>2</v>
      </c>
      <c r="P284" s="1">
        <f t="shared" si="17"/>
        <v>0</v>
      </c>
      <c r="Q284">
        <f t="shared" si="18"/>
        <v>2</v>
      </c>
      <c r="R284" s="1">
        <f t="shared" si="19"/>
        <v>0</v>
      </c>
    </row>
    <row r="285" spans="1:18" x14ac:dyDescent="0.3">
      <c r="A285" t="s">
        <v>1106</v>
      </c>
      <c r="B285" t="s">
        <v>1107</v>
      </c>
      <c r="C285" t="s">
        <v>18</v>
      </c>
      <c r="D285">
        <v>1</v>
      </c>
      <c r="E285">
        <v>0</v>
      </c>
      <c r="G285" s="1">
        <v>0</v>
      </c>
      <c r="H285">
        <v>0</v>
      </c>
      <c r="I285">
        <v>0.5</v>
      </c>
      <c r="J285">
        <v>1</v>
      </c>
      <c r="K285">
        <v>1</v>
      </c>
      <c r="L285">
        <f t="shared" si="16"/>
        <v>2</v>
      </c>
      <c r="M285">
        <v>0</v>
      </c>
      <c r="N285">
        <v>0</v>
      </c>
      <c r="O285">
        <v>2</v>
      </c>
      <c r="P285" s="1">
        <f t="shared" si="17"/>
        <v>0</v>
      </c>
      <c r="Q285">
        <f t="shared" si="18"/>
        <v>2</v>
      </c>
      <c r="R285" s="1">
        <f t="shared" si="19"/>
        <v>0</v>
      </c>
    </row>
    <row r="286" spans="1:18" x14ac:dyDescent="0.3">
      <c r="A286" t="s">
        <v>1108</v>
      </c>
      <c r="B286" t="s">
        <v>1109</v>
      </c>
      <c r="C286" t="s">
        <v>18</v>
      </c>
      <c r="D286">
        <v>1</v>
      </c>
      <c r="E286">
        <v>0</v>
      </c>
      <c r="G286" s="1">
        <v>0</v>
      </c>
      <c r="H286">
        <v>0</v>
      </c>
      <c r="I286">
        <v>0.5</v>
      </c>
      <c r="J286">
        <v>1</v>
      </c>
      <c r="K286">
        <v>1</v>
      </c>
      <c r="L286">
        <f t="shared" si="16"/>
        <v>2</v>
      </c>
      <c r="M286">
        <v>0</v>
      </c>
      <c r="N286">
        <v>0</v>
      </c>
      <c r="O286">
        <v>2</v>
      </c>
      <c r="P286" s="1">
        <f t="shared" si="17"/>
        <v>0</v>
      </c>
      <c r="Q286">
        <f t="shared" si="18"/>
        <v>2</v>
      </c>
      <c r="R286" s="1">
        <f t="shared" si="19"/>
        <v>0</v>
      </c>
    </row>
    <row r="287" spans="1:18" x14ac:dyDescent="0.3">
      <c r="A287" t="s">
        <v>1110</v>
      </c>
      <c r="B287" t="s">
        <v>1111</v>
      </c>
      <c r="C287" t="s">
        <v>18</v>
      </c>
      <c r="D287">
        <v>1</v>
      </c>
      <c r="E287">
        <v>0</v>
      </c>
      <c r="G287" s="1">
        <v>0</v>
      </c>
      <c r="H287">
        <v>0</v>
      </c>
      <c r="I287">
        <v>0.5</v>
      </c>
      <c r="J287">
        <v>1</v>
      </c>
      <c r="K287">
        <v>1</v>
      </c>
      <c r="L287">
        <f t="shared" si="16"/>
        <v>2</v>
      </c>
      <c r="M287">
        <v>0</v>
      </c>
      <c r="N287">
        <v>0</v>
      </c>
      <c r="O287">
        <v>2</v>
      </c>
      <c r="P287" s="1">
        <f t="shared" si="17"/>
        <v>0</v>
      </c>
      <c r="Q287">
        <f t="shared" si="18"/>
        <v>2</v>
      </c>
      <c r="R287" s="1">
        <f t="shared" si="19"/>
        <v>0</v>
      </c>
    </row>
    <row r="288" spans="1:18" x14ac:dyDescent="0.3">
      <c r="A288" t="s">
        <v>1112</v>
      </c>
      <c r="B288" t="s">
        <v>1113</v>
      </c>
      <c r="C288" t="s">
        <v>18</v>
      </c>
      <c r="D288">
        <v>3</v>
      </c>
      <c r="E288">
        <v>0</v>
      </c>
      <c r="G288" s="1">
        <v>0</v>
      </c>
      <c r="H288">
        <v>2</v>
      </c>
      <c r="I288">
        <v>0.5</v>
      </c>
      <c r="J288">
        <v>1</v>
      </c>
      <c r="K288">
        <v>1</v>
      </c>
      <c r="L288">
        <f t="shared" si="16"/>
        <v>2</v>
      </c>
      <c r="M288">
        <v>0</v>
      </c>
      <c r="N288">
        <v>0</v>
      </c>
      <c r="O288">
        <v>2</v>
      </c>
      <c r="P288" s="1">
        <f t="shared" si="17"/>
        <v>0</v>
      </c>
      <c r="Q288">
        <f t="shared" si="18"/>
        <v>2</v>
      </c>
      <c r="R288" s="1">
        <f t="shared" si="19"/>
        <v>0</v>
      </c>
    </row>
    <row r="289" spans="1:18" x14ac:dyDescent="0.3">
      <c r="A289" t="s">
        <v>1114</v>
      </c>
      <c r="B289" t="s">
        <v>1115</v>
      </c>
      <c r="C289" t="s">
        <v>18</v>
      </c>
      <c r="D289">
        <v>1</v>
      </c>
      <c r="E289">
        <v>0</v>
      </c>
      <c r="G289" s="1">
        <v>0</v>
      </c>
      <c r="H289">
        <v>0</v>
      </c>
      <c r="I289">
        <v>0.5</v>
      </c>
      <c r="J289">
        <v>1</v>
      </c>
      <c r="K289">
        <v>1</v>
      </c>
      <c r="L289">
        <f t="shared" si="16"/>
        <v>2</v>
      </c>
      <c r="M289">
        <v>0</v>
      </c>
      <c r="N289">
        <v>0</v>
      </c>
      <c r="O289">
        <v>2</v>
      </c>
      <c r="P289" s="1">
        <f t="shared" si="17"/>
        <v>0</v>
      </c>
      <c r="Q289">
        <f t="shared" si="18"/>
        <v>2</v>
      </c>
      <c r="R289" s="1">
        <f t="shared" si="19"/>
        <v>0</v>
      </c>
    </row>
    <row r="290" spans="1:18" x14ac:dyDescent="0.3">
      <c r="A290" t="s">
        <v>1116</v>
      </c>
      <c r="B290" t="s">
        <v>1117</v>
      </c>
      <c r="C290" t="s">
        <v>18</v>
      </c>
      <c r="D290">
        <v>1</v>
      </c>
      <c r="E290">
        <v>0</v>
      </c>
      <c r="G290" s="1">
        <v>0</v>
      </c>
      <c r="H290">
        <v>0</v>
      </c>
      <c r="I290">
        <v>0.5</v>
      </c>
      <c r="J290">
        <v>1</v>
      </c>
      <c r="K290">
        <v>1</v>
      </c>
      <c r="L290">
        <f t="shared" si="16"/>
        <v>2</v>
      </c>
      <c r="M290">
        <v>0</v>
      </c>
      <c r="N290">
        <v>0</v>
      </c>
      <c r="O290">
        <v>2</v>
      </c>
      <c r="P290" s="1">
        <f t="shared" si="17"/>
        <v>0</v>
      </c>
      <c r="Q290">
        <f t="shared" si="18"/>
        <v>2</v>
      </c>
      <c r="R290" s="1">
        <f t="shared" si="19"/>
        <v>0</v>
      </c>
    </row>
    <row r="291" spans="1:18" x14ac:dyDescent="0.3">
      <c r="A291" t="s">
        <v>1118</v>
      </c>
      <c r="B291" t="s">
        <v>1119</v>
      </c>
      <c r="C291" t="s">
        <v>18</v>
      </c>
      <c r="D291">
        <v>1</v>
      </c>
      <c r="E291">
        <v>0</v>
      </c>
      <c r="G291" s="1">
        <v>0</v>
      </c>
      <c r="H291">
        <v>0</v>
      </c>
      <c r="I291">
        <v>0.5</v>
      </c>
      <c r="J291">
        <v>1</v>
      </c>
      <c r="K291">
        <v>1</v>
      </c>
      <c r="L291">
        <f t="shared" si="16"/>
        <v>2</v>
      </c>
      <c r="M291">
        <v>0</v>
      </c>
      <c r="N291">
        <v>0</v>
      </c>
      <c r="O291">
        <v>2</v>
      </c>
      <c r="P291" s="1">
        <f t="shared" si="17"/>
        <v>0</v>
      </c>
      <c r="Q291">
        <f t="shared" si="18"/>
        <v>2</v>
      </c>
      <c r="R291" s="1">
        <f t="shared" si="19"/>
        <v>0</v>
      </c>
    </row>
    <row r="292" spans="1:18" x14ac:dyDescent="0.3">
      <c r="A292" t="s">
        <v>1120</v>
      </c>
      <c r="B292" t="s">
        <v>1121</v>
      </c>
      <c r="C292" t="s">
        <v>18</v>
      </c>
      <c r="D292">
        <v>1</v>
      </c>
      <c r="E292">
        <v>0</v>
      </c>
      <c r="G292" s="1">
        <v>0</v>
      </c>
      <c r="H292">
        <v>0</v>
      </c>
      <c r="I292">
        <v>0.5</v>
      </c>
      <c r="J292">
        <v>1</v>
      </c>
      <c r="K292">
        <v>1</v>
      </c>
      <c r="L292">
        <f t="shared" si="16"/>
        <v>2</v>
      </c>
      <c r="M292">
        <v>0</v>
      </c>
      <c r="N292">
        <v>0</v>
      </c>
      <c r="O292">
        <v>2</v>
      </c>
      <c r="P292" s="1">
        <f t="shared" si="17"/>
        <v>0</v>
      </c>
      <c r="Q292">
        <f t="shared" si="18"/>
        <v>2</v>
      </c>
      <c r="R292" s="1">
        <f t="shared" si="19"/>
        <v>0</v>
      </c>
    </row>
    <row r="293" spans="1:18" x14ac:dyDescent="0.3">
      <c r="A293" t="s">
        <v>1122</v>
      </c>
      <c r="B293" t="s">
        <v>1123</v>
      </c>
      <c r="C293" t="s">
        <v>18</v>
      </c>
      <c r="D293">
        <v>32</v>
      </c>
      <c r="E293">
        <v>5</v>
      </c>
      <c r="F293" t="s">
        <v>1073</v>
      </c>
      <c r="G293" s="1">
        <v>3774</v>
      </c>
      <c r="H293">
        <v>2</v>
      </c>
      <c r="I293">
        <v>0.8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3</v>
      </c>
      <c r="P293" s="1">
        <f t="shared" si="17"/>
        <v>0</v>
      </c>
      <c r="Q293">
        <f t="shared" si="18"/>
        <v>3</v>
      </c>
      <c r="R293" s="1">
        <f t="shared" si="19"/>
        <v>11322</v>
      </c>
    </row>
    <row r="294" spans="1:18" x14ac:dyDescent="0.3">
      <c r="A294" t="s">
        <v>1124</v>
      </c>
      <c r="B294" t="s">
        <v>1125</v>
      </c>
      <c r="C294" t="s">
        <v>18</v>
      </c>
      <c r="D294">
        <v>1</v>
      </c>
      <c r="E294">
        <v>0</v>
      </c>
      <c r="G294" s="1">
        <v>0</v>
      </c>
      <c r="H294">
        <v>0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x14ac:dyDescent="0.3">
      <c r="A295" t="s">
        <v>1126</v>
      </c>
      <c r="B295" t="s">
        <v>1127</v>
      </c>
      <c r="C295" t="s">
        <v>18</v>
      </c>
      <c r="D295">
        <v>1</v>
      </c>
      <c r="E295">
        <v>0</v>
      </c>
      <c r="G295" s="1">
        <v>0</v>
      </c>
      <c r="H295">
        <v>0</v>
      </c>
      <c r="I295">
        <v>0.5</v>
      </c>
      <c r="J295">
        <v>1</v>
      </c>
      <c r="K295">
        <v>1</v>
      </c>
      <c r="L295">
        <f t="shared" si="16"/>
        <v>2</v>
      </c>
      <c r="M295">
        <v>0</v>
      </c>
      <c r="N295">
        <v>0</v>
      </c>
      <c r="O295">
        <v>2</v>
      </c>
      <c r="P295" s="1">
        <f t="shared" si="17"/>
        <v>0</v>
      </c>
      <c r="Q295">
        <f t="shared" si="18"/>
        <v>2</v>
      </c>
      <c r="R295" s="1">
        <f t="shared" si="19"/>
        <v>0</v>
      </c>
    </row>
    <row r="296" spans="1:18" x14ac:dyDescent="0.3">
      <c r="A296" t="s">
        <v>1128</v>
      </c>
      <c r="B296" t="s">
        <v>1129</v>
      </c>
      <c r="C296" t="s">
        <v>18</v>
      </c>
      <c r="D296">
        <v>1</v>
      </c>
      <c r="E296">
        <v>0</v>
      </c>
      <c r="G296" s="1">
        <v>0</v>
      </c>
      <c r="H296">
        <v>0</v>
      </c>
      <c r="I296">
        <v>0.5</v>
      </c>
      <c r="J296">
        <v>1</v>
      </c>
      <c r="K296">
        <v>1</v>
      </c>
      <c r="L296">
        <f t="shared" si="16"/>
        <v>2</v>
      </c>
      <c r="M296">
        <v>0</v>
      </c>
      <c r="N296">
        <v>0</v>
      </c>
      <c r="O296">
        <v>2</v>
      </c>
      <c r="P296" s="1">
        <f t="shared" si="17"/>
        <v>0</v>
      </c>
      <c r="Q296">
        <f t="shared" si="18"/>
        <v>2</v>
      </c>
      <c r="R296" s="1">
        <f t="shared" si="19"/>
        <v>0</v>
      </c>
    </row>
    <row r="297" spans="1:18" x14ac:dyDescent="0.3">
      <c r="A297" t="s">
        <v>1130</v>
      </c>
      <c r="B297" t="s">
        <v>1131</v>
      </c>
      <c r="C297" t="s">
        <v>18</v>
      </c>
      <c r="D297">
        <v>1</v>
      </c>
      <c r="E297">
        <v>0</v>
      </c>
      <c r="G297" s="1">
        <v>0</v>
      </c>
      <c r="H297">
        <v>0</v>
      </c>
      <c r="I297">
        <v>0.5</v>
      </c>
      <c r="J297">
        <v>1</v>
      </c>
      <c r="K297">
        <v>1</v>
      </c>
      <c r="L297">
        <f t="shared" si="16"/>
        <v>2</v>
      </c>
      <c r="M297">
        <v>0</v>
      </c>
      <c r="N297">
        <v>0</v>
      </c>
      <c r="O297">
        <v>2</v>
      </c>
      <c r="P297" s="1">
        <f t="shared" si="17"/>
        <v>0</v>
      </c>
      <c r="Q297">
        <f t="shared" si="18"/>
        <v>2</v>
      </c>
      <c r="R297" s="1">
        <f t="shared" si="19"/>
        <v>0</v>
      </c>
    </row>
    <row r="298" spans="1:18" x14ac:dyDescent="0.3">
      <c r="A298" t="s">
        <v>1132</v>
      </c>
      <c r="B298" t="s">
        <v>1133</v>
      </c>
      <c r="C298" t="s">
        <v>18</v>
      </c>
      <c r="D298">
        <v>1</v>
      </c>
      <c r="E298">
        <v>1</v>
      </c>
      <c r="F298" t="s">
        <v>1073</v>
      </c>
      <c r="G298" s="1">
        <v>11554.27</v>
      </c>
      <c r="H298">
        <v>0</v>
      </c>
      <c r="I298">
        <v>0.5</v>
      </c>
      <c r="J298">
        <v>1</v>
      </c>
      <c r="K298">
        <v>1</v>
      </c>
      <c r="L298">
        <f t="shared" si="16"/>
        <v>2</v>
      </c>
      <c r="M298">
        <v>0</v>
      </c>
      <c r="N298">
        <v>0</v>
      </c>
      <c r="O298">
        <v>2</v>
      </c>
      <c r="P298" s="1">
        <f t="shared" si="17"/>
        <v>0</v>
      </c>
      <c r="Q298">
        <f t="shared" si="18"/>
        <v>2</v>
      </c>
      <c r="R298" s="1">
        <f t="shared" si="19"/>
        <v>23108.54</v>
      </c>
    </row>
    <row r="299" spans="1:18" x14ac:dyDescent="0.3">
      <c r="A299" t="s">
        <v>1134</v>
      </c>
      <c r="B299" t="s">
        <v>1135</v>
      </c>
      <c r="C299" t="s">
        <v>18</v>
      </c>
      <c r="D299">
        <v>1</v>
      </c>
      <c r="E299">
        <v>0</v>
      </c>
      <c r="G299" s="1">
        <v>0</v>
      </c>
      <c r="H299">
        <v>0</v>
      </c>
      <c r="I299">
        <v>0.5</v>
      </c>
      <c r="J299">
        <v>1</v>
      </c>
      <c r="K299">
        <v>1</v>
      </c>
      <c r="L299">
        <f t="shared" si="16"/>
        <v>2</v>
      </c>
      <c r="M299">
        <v>0</v>
      </c>
      <c r="N299">
        <v>0</v>
      </c>
      <c r="O299">
        <v>2</v>
      </c>
      <c r="P299" s="1">
        <f t="shared" si="17"/>
        <v>0</v>
      </c>
      <c r="Q299">
        <f t="shared" si="18"/>
        <v>2</v>
      </c>
      <c r="R299" s="1">
        <f t="shared" si="19"/>
        <v>0</v>
      </c>
    </row>
    <row r="300" spans="1:18" x14ac:dyDescent="0.3">
      <c r="A300" t="s">
        <v>1136</v>
      </c>
      <c r="B300" t="s">
        <v>1137</v>
      </c>
      <c r="C300" t="s">
        <v>18</v>
      </c>
      <c r="D300">
        <v>11</v>
      </c>
      <c r="E300">
        <v>0</v>
      </c>
      <c r="G300" s="1">
        <v>0</v>
      </c>
      <c r="H300">
        <v>2</v>
      </c>
      <c r="I300">
        <v>0.5</v>
      </c>
      <c r="J300">
        <v>1</v>
      </c>
      <c r="K300">
        <v>1</v>
      </c>
      <c r="L300">
        <f t="shared" si="16"/>
        <v>2</v>
      </c>
      <c r="M300">
        <v>0</v>
      </c>
      <c r="N300">
        <v>0</v>
      </c>
      <c r="O300">
        <v>2</v>
      </c>
      <c r="P300" s="1">
        <f t="shared" si="17"/>
        <v>0</v>
      </c>
      <c r="Q300">
        <f t="shared" si="18"/>
        <v>2</v>
      </c>
      <c r="R300" s="1">
        <f t="shared" si="19"/>
        <v>0</v>
      </c>
    </row>
    <row r="301" spans="1:18" x14ac:dyDescent="0.3">
      <c r="A301" t="s">
        <v>1138</v>
      </c>
      <c r="B301" t="s">
        <v>1139</v>
      </c>
      <c r="C301" t="s">
        <v>18</v>
      </c>
      <c r="D301">
        <v>1</v>
      </c>
      <c r="E301">
        <v>0</v>
      </c>
      <c r="G301" s="1">
        <v>0</v>
      </c>
      <c r="H301">
        <v>0</v>
      </c>
      <c r="I301">
        <v>0.5</v>
      </c>
      <c r="J301">
        <v>1</v>
      </c>
      <c r="K301">
        <v>1</v>
      </c>
      <c r="L301">
        <f t="shared" si="16"/>
        <v>2</v>
      </c>
      <c r="M301">
        <v>0</v>
      </c>
      <c r="N301">
        <v>0</v>
      </c>
      <c r="O301">
        <v>2</v>
      </c>
      <c r="P301" s="1">
        <f t="shared" si="17"/>
        <v>0</v>
      </c>
      <c r="Q301">
        <f t="shared" si="18"/>
        <v>2</v>
      </c>
      <c r="R301" s="1">
        <f t="shared" si="19"/>
        <v>0</v>
      </c>
    </row>
    <row r="302" spans="1:18" x14ac:dyDescent="0.3">
      <c r="A302" t="s">
        <v>1140</v>
      </c>
      <c r="B302" t="s">
        <v>1141</v>
      </c>
      <c r="C302" t="s">
        <v>18</v>
      </c>
      <c r="D302">
        <v>1</v>
      </c>
      <c r="E302">
        <v>0</v>
      </c>
      <c r="G302" s="1">
        <v>0</v>
      </c>
      <c r="H302">
        <v>0</v>
      </c>
      <c r="I302">
        <v>0.5</v>
      </c>
      <c r="J302">
        <v>1</v>
      </c>
      <c r="K302">
        <v>1</v>
      </c>
      <c r="L302">
        <f t="shared" si="16"/>
        <v>2</v>
      </c>
      <c r="M302">
        <v>0</v>
      </c>
      <c r="N302">
        <v>0</v>
      </c>
      <c r="O302">
        <v>2</v>
      </c>
      <c r="P302" s="1">
        <f t="shared" si="17"/>
        <v>0</v>
      </c>
      <c r="Q302">
        <f t="shared" si="18"/>
        <v>2</v>
      </c>
      <c r="R302" s="1">
        <f t="shared" si="19"/>
        <v>0</v>
      </c>
    </row>
    <row r="303" spans="1:18" x14ac:dyDescent="0.3">
      <c r="A303" t="s">
        <v>1142</v>
      </c>
      <c r="B303" t="s">
        <v>1143</v>
      </c>
      <c r="C303" t="s">
        <v>18</v>
      </c>
      <c r="D303">
        <v>1</v>
      </c>
      <c r="E303">
        <v>0</v>
      </c>
      <c r="G303" s="1">
        <v>0</v>
      </c>
      <c r="H303">
        <v>0</v>
      </c>
      <c r="I303">
        <v>0.5</v>
      </c>
      <c r="J303">
        <v>1</v>
      </c>
      <c r="K303">
        <v>1</v>
      </c>
      <c r="L303">
        <f t="shared" si="16"/>
        <v>2</v>
      </c>
      <c r="M303">
        <v>0</v>
      </c>
      <c r="N303">
        <v>0</v>
      </c>
      <c r="O303">
        <v>2</v>
      </c>
      <c r="P303" s="1">
        <f t="shared" si="17"/>
        <v>0</v>
      </c>
      <c r="Q303">
        <f t="shared" si="18"/>
        <v>2</v>
      </c>
      <c r="R303" s="1">
        <f t="shared" si="19"/>
        <v>0</v>
      </c>
    </row>
    <row r="304" spans="1:18" x14ac:dyDescent="0.3">
      <c r="A304" t="s">
        <v>1144</v>
      </c>
      <c r="B304" t="s">
        <v>1145</v>
      </c>
      <c r="C304" t="s">
        <v>18</v>
      </c>
      <c r="D304">
        <v>1</v>
      </c>
      <c r="E304">
        <v>0</v>
      </c>
      <c r="G304" s="1">
        <v>0</v>
      </c>
      <c r="H304">
        <v>1</v>
      </c>
      <c r="I304">
        <v>0.5</v>
      </c>
      <c r="J304">
        <v>1</v>
      </c>
      <c r="K304">
        <v>1</v>
      </c>
      <c r="L304">
        <f t="shared" si="16"/>
        <v>2</v>
      </c>
      <c r="M304">
        <v>0</v>
      </c>
      <c r="N304">
        <v>0</v>
      </c>
      <c r="O304">
        <v>2</v>
      </c>
      <c r="P304" s="1">
        <f t="shared" si="17"/>
        <v>0</v>
      </c>
      <c r="Q304">
        <f t="shared" si="18"/>
        <v>2</v>
      </c>
      <c r="R304" s="1">
        <f t="shared" si="19"/>
        <v>0</v>
      </c>
    </row>
    <row r="305" spans="1:18" x14ac:dyDescent="0.3">
      <c r="A305" t="s">
        <v>1146</v>
      </c>
      <c r="B305" t="s">
        <v>1147</v>
      </c>
      <c r="C305" t="s">
        <v>18</v>
      </c>
      <c r="D305">
        <v>22</v>
      </c>
      <c r="E305">
        <v>0</v>
      </c>
      <c r="G305" s="1">
        <v>0</v>
      </c>
      <c r="H305">
        <v>19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0</v>
      </c>
    </row>
    <row r="306" spans="1:18" x14ac:dyDescent="0.3">
      <c r="A306" t="s">
        <v>1148</v>
      </c>
      <c r="B306" t="s">
        <v>1149</v>
      </c>
      <c r="C306" t="s">
        <v>18</v>
      </c>
      <c r="D306">
        <v>18</v>
      </c>
      <c r="E306">
        <v>0</v>
      </c>
      <c r="G306" s="1">
        <v>0</v>
      </c>
      <c r="H306">
        <v>10</v>
      </c>
      <c r="I306">
        <v>0.5</v>
      </c>
      <c r="J306">
        <v>1</v>
      </c>
      <c r="K306">
        <v>1</v>
      </c>
      <c r="L306">
        <f t="shared" si="16"/>
        <v>2</v>
      </c>
      <c r="M306">
        <v>0</v>
      </c>
      <c r="N306">
        <v>0</v>
      </c>
      <c r="O306">
        <v>2</v>
      </c>
      <c r="P306" s="1">
        <f t="shared" si="17"/>
        <v>0</v>
      </c>
      <c r="Q306">
        <f t="shared" si="18"/>
        <v>2</v>
      </c>
      <c r="R306" s="1">
        <f t="shared" si="19"/>
        <v>0</v>
      </c>
    </row>
    <row r="307" spans="1:18" x14ac:dyDescent="0.3">
      <c r="A307" t="s">
        <v>1150</v>
      </c>
      <c r="B307" t="s">
        <v>1151</v>
      </c>
      <c r="C307" t="s">
        <v>18</v>
      </c>
      <c r="D307">
        <v>16</v>
      </c>
      <c r="E307">
        <v>0</v>
      </c>
      <c r="G307" s="1">
        <v>0</v>
      </c>
      <c r="H307">
        <v>7</v>
      </c>
      <c r="I307">
        <v>0.5</v>
      </c>
      <c r="J307">
        <v>1</v>
      </c>
      <c r="K307">
        <v>1</v>
      </c>
      <c r="L307">
        <f t="shared" si="16"/>
        <v>2</v>
      </c>
      <c r="M307">
        <v>0</v>
      </c>
      <c r="N307">
        <v>0</v>
      </c>
      <c r="O307">
        <v>2</v>
      </c>
      <c r="P307" s="1">
        <f t="shared" si="17"/>
        <v>0</v>
      </c>
      <c r="Q307">
        <f t="shared" si="18"/>
        <v>2</v>
      </c>
      <c r="R307" s="1">
        <f t="shared" si="19"/>
        <v>0</v>
      </c>
    </row>
    <row r="308" spans="1:18" x14ac:dyDescent="0.3">
      <c r="A308" t="s">
        <v>1152</v>
      </c>
      <c r="B308" t="s">
        <v>1153</v>
      </c>
      <c r="C308" t="s">
        <v>18</v>
      </c>
      <c r="D308">
        <v>1</v>
      </c>
      <c r="E308">
        <v>0</v>
      </c>
      <c r="G308" s="1">
        <v>0</v>
      </c>
      <c r="H308">
        <v>1</v>
      </c>
      <c r="I308">
        <v>0.5</v>
      </c>
      <c r="J308">
        <v>1</v>
      </c>
      <c r="K308">
        <v>1</v>
      </c>
      <c r="L308">
        <f t="shared" si="16"/>
        <v>2</v>
      </c>
      <c r="M308">
        <v>0</v>
      </c>
      <c r="N308">
        <v>0</v>
      </c>
      <c r="O308">
        <v>2</v>
      </c>
      <c r="P308" s="1">
        <f t="shared" si="17"/>
        <v>0</v>
      </c>
      <c r="Q308">
        <f t="shared" si="18"/>
        <v>2</v>
      </c>
      <c r="R308" s="1">
        <f t="shared" si="19"/>
        <v>0</v>
      </c>
    </row>
    <row r="309" spans="1:18" x14ac:dyDescent="0.3">
      <c r="A309" t="s">
        <v>1154</v>
      </c>
      <c r="B309" t="s">
        <v>1155</v>
      </c>
      <c r="C309" t="s">
        <v>18</v>
      </c>
      <c r="D309">
        <v>1</v>
      </c>
      <c r="E309">
        <v>0</v>
      </c>
      <c r="G309" s="1">
        <v>0</v>
      </c>
      <c r="H309">
        <v>0</v>
      </c>
      <c r="I309">
        <v>0.5</v>
      </c>
      <c r="J309">
        <v>1</v>
      </c>
      <c r="K309">
        <v>1</v>
      </c>
      <c r="L309">
        <f t="shared" si="16"/>
        <v>2</v>
      </c>
      <c r="M309">
        <v>0</v>
      </c>
      <c r="N309">
        <v>0</v>
      </c>
      <c r="O309">
        <v>2</v>
      </c>
      <c r="P309" s="1">
        <f t="shared" si="17"/>
        <v>0</v>
      </c>
      <c r="Q309">
        <f t="shared" si="18"/>
        <v>2</v>
      </c>
      <c r="R309" s="1">
        <f t="shared" si="19"/>
        <v>0</v>
      </c>
    </row>
    <row r="310" spans="1:18" x14ac:dyDescent="0.3">
      <c r="A310" t="s">
        <v>1156</v>
      </c>
      <c r="B310" t="s">
        <v>1157</v>
      </c>
      <c r="C310" t="s">
        <v>18</v>
      </c>
      <c r="D310">
        <v>1</v>
      </c>
      <c r="E310">
        <v>0</v>
      </c>
      <c r="G310" s="1">
        <v>0</v>
      </c>
      <c r="H310">
        <v>0</v>
      </c>
      <c r="I310">
        <v>0.5</v>
      </c>
      <c r="J310">
        <v>1</v>
      </c>
      <c r="K310">
        <v>1</v>
      </c>
      <c r="L310">
        <f t="shared" si="16"/>
        <v>2</v>
      </c>
      <c r="M310">
        <v>0</v>
      </c>
      <c r="N310">
        <v>0</v>
      </c>
      <c r="O310">
        <v>2</v>
      </c>
      <c r="P310" s="1">
        <f t="shared" si="17"/>
        <v>0</v>
      </c>
      <c r="Q310">
        <f t="shared" si="18"/>
        <v>2</v>
      </c>
      <c r="R310" s="1">
        <f t="shared" si="19"/>
        <v>0</v>
      </c>
    </row>
    <row r="311" spans="1:18" x14ac:dyDescent="0.3">
      <c r="A311" t="s">
        <v>1158</v>
      </c>
      <c r="B311" t="s">
        <v>1159</v>
      </c>
      <c r="C311" t="s">
        <v>18</v>
      </c>
      <c r="D311">
        <v>10</v>
      </c>
      <c r="E311">
        <v>0</v>
      </c>
      <c r="G311" s="1">
        <v>0</v>
      </c>
      <c r="H311">
        <v>4</v>
      </c>
      <c r="I311">
        <v>0.5</v>
      </c>
      <c r="J311">
        <v>1</v>
      </c>
      <c r="K311">
        <v>1</v>
      </c>
      <c r="L311">
        <f t="shared" si="16"/>
        <v>2</v>
      </c>
      <c r="M311">
        <v>0</v>
      </c>
      <c r="N311">
        <v>0</v>
      </c>
      <c r="O311">
        <v>2</v>
      </c>
      <c r="P311" s="1">
        <f t="shared" si="17"/>
        <v>0</v>
      </c>
      <c r="Q311">
        <f t="shared" si="18"/>
        <v>2</v>
      </c>
      <c r="R311" s="1">
        <f t="shared" si="19"/>
        <v>0</v>
      </c>
    </row>
    <row r="312" spans="1:18" x14ac:dyDescent="0.3">
      <c r="A312" t="s">
        <v>1160</v>
      </c>
      <c r="B312" t="s">
        <v>1161</v>
      </c>
      <c r="C312" t="s">
        <v>18</v>
      </c>
      <c r="D312">
        <v>1</v>
      </c>
      <c r="E312">
        <v>0</v>
      </c>
      <c r="G312" s="1">
        <v>0</v>
      </c>
      <c r="H312">
        <v>0</v>
      </c>
      <c r="I312">
        <v>0.5</v>
      </c>
      <c r="J312">
        <v>1</v>
      </c>
      <c r="K312">
        <v>1</v>
      </c>
      <c r="L312">
        <f t="shared" si="16"/>
        <v>2</v>
      </c>
      <c r="M312">
        <v>0</v>
      </c>
      <c r="N312">
        <v>0</v>
      </c>
      <c r="O312">
        <v>2</v>
      </c>
      <c r="P312" s="1">
        <f t="shared" si="17"/>
        <v>0</v>
      </c>
      <c r="Q312">
        <f t="shared" si="18"/>
        <v>2</v>
      </c>
      <c r="R312" s="1">
        <f t="shared" si="19"/>
        <v>0</v>
      </c>
    </row>
    <row r="313" spans="1:18" x14ac:dyDescent="0.3">
      <c r="A313" t="s">
        <v>1162</v>
      </c>
      <c r="B313" t="s">
        <v>1163</v>
      </c>
      <c r="C313" t="s">
        <v>18</v>
      </c>
      <c r="D313">
        <v>27</v>
      </c>
      <c r="E313">
        <v>4</v>
      </c>
      <c r="F313" t="s">
        <v>1073</v>
      </c>
      <c r="G313" s="1">
        <v>7100</v>
      </c>
      <c r="H313">
        <v>20</v>
      </c>
      <c r="I313">
        <v>0.5</v>
      </c>
      <c r="J313">
        <v>1</v>
      </c>
      <c r="K313">
        <v>1</v>
      </c>
      <c r="L313">
        <f t="shared" si="16"/>
        <v>2</v>
      </c>
      <c r="M313">
        <v>0</v>
      </c>
      <c r="N313">
        <v>0</v>
      </c>
      <c r="O313">
        <v>2</v>
      </c>
      <c r="P313" s="1">
        <f t="shared" si="17"/>
        <v>0</v>
      </c>
      <c r="Q313">
        <f t="shared" si="18"/>
        <v>2</v>
      </c>
      <c r="R313" s="1">
        <f t="shared" si="19"/>
        <v>14200</v>
      </c>
    </row>
    <row r="314" spans="1:18" x14ac:dyDescent="0.3">
      <c r="A314" t="s">
        <v>1164</v>
      </c>
      <c r="B314" t="s">
        <v>1165</v>
      </c>
      <c r="C314" t="s">
        <v>18</v>
      </c>
      <c r="D314">
        <v>1</v>
      </c>
      <c r="E314">
        <v>0</v>
      </c>
      <c r="G314" s="1">
        <v>0</v>
      </c>
      <c r="H314">
        <v>1</v>
      </c>
      <c r="I314">
        <v>0.5</v>
      </c>
      <c r="J314">
        <v>1</v>
      </c>
      <c r="K314">
        <v>1</v>
      </c>
      <c r="L314">
        <f t="shared" si="16"/>
        <v>2</v>
      </c>
      <c r="M314">
        <v>0</v>
      </c>
      <c r="N314">
        <v>0</v>
      </c>
      <c r="O314">
        <v>2</v>
      </c>
      <c r="P314" s="1">
        <f t="shared" si="17"/>
        <v>0</v>
      </c>
      <c r="Q314">
        <f t="shared" si="18"/>
        <v>2</v>
      </c>
      <c r="R314" s="1">
        <f t="shared" si="19"/>
        <v>0</v>
      </c>
    </row>
    <row r="315" spans="1:18" x14ac:dyDescent="0.3">
      <c r="A315" t="s">
        <v>1166</v>
      </c>
      <c r="B315" t="s">
        <v>1167</v>
      </c>
      <c r="C315" t="s">
        <v>18</v>
      </c>
      <c r="D315">
        <v>1</v>
      </c>
      <c r="E315">
        <v>0</v>
      </c>
      <c r="G315" s="1">
        <v>0</v>
      </c>
      <c r="H315">
        <v>0</v>
      </c>
      <c r="I315">
        <v>0.5</v>
      </c>
      <c r="J315">
        <v>1</v>
      </c>
      <c r="K315">
        <v>1</v>
      </c>
      <c r="L315">
        <f t="shared" si="16"/>
        <v>2</v>
      </c>
      <c r="M315">
        <v>0</v>
      </c>
      <c r="N315">
        <v>0</v>
      </c>
      <c r="O315">
        <v>2</v>
      </c>
      <c r="P315" s="1">
        <f t="shared" si="17"/>
        <v>0</v>
      </c>
      <c r="Q315">
        <f t="shared" si="18"/>
        <v>2</v>
      </c>
      <c r="R315" s="1">
        <f t="shared" si="19"/>
        <v>0</v>
      </c>
    </row>
    <row r="316" spans="1:18" x14ac:dyDescent="0.3">
      <c r="A316" t="s">
        <v>1168</v>
      </c>
      <c r="B316" t="s">
        <v>1169</v>
      </c>
      <c r="C316" t="s">
        <v>18</v>
      </c>
      <c r="D316">
        <v>1</v>
      </c>
      <c r="E316">
        <v>0</v>
      </c>
      <c r="G316" s="1">
        <v>0</v>
      </c>
      <c r="H316">
        <v>0</v>
      </c>
      <c r="I316">
        <v>0.5</v>
      </c>
      <c r="J316">
        <v>1</v>
      </c>
      <c r="K316">
        <v>1</v>
      </c>
      <c r="L316">
        <f t="shared" si="16"/>
        <v>2</v>
      </c>
      <c r="M316">
        <v>0</v>
      </c>
      <c r="N316">
        <v>0</v>
      </c>
      <c r="O316">
        <v>2</v>
      </c>
      <c r="P316" s="1">
        <f t="shared" si="17"/>
        <v>0</v>
      </c>
      <c r="Q316">
        <f t="shared" si="18"/>
        <v>2</v>
      </c>
      <c r="R316" s="1">
        <f t="shared" si="19"/>
        <v>0</v>
      </c>
    </row>
    <row r="317" spans="1:18" x14ac:dyDescent="0.3">
      <c r="A317" t="s">
        <v>1170</v>
      </c>
      <c r="B317" t="s">
        <v>1171</v>
      </c>
      <c r="C317" t="s">
        <v>18</v>
      </c>
      <c r="D317">
        <v>1</v>
      </c>
      <c r="E317">
        <v>0</v>
      </c>
      <c r="G317" s="1">
        <v>0</v>
      </c>
      <c r="H317">
        <v>0</v>
      </c>
      <c r="I317">
        <v>0.5</v>
      </c>
      <c r="J317">
        <v>1</v>
      </c>
      <c r="K317">
        <v>1</v>
      </c>
      <c r="L317">
        <f t="shared" si="16"/>
        <v>2</v>
      </c>
      <c r="M317">
        <v>0</v>
      </c>
      <c r="N317">
        <v>0</v>
      </c>
      <c r="O317">
        <v>2</v>
      </c>
      <c r="P317" s="1">
        <f t="shared" si="17"/>
        <v>0</v>
      </c>
      <c r="Q317">
        <f t="shared" si="18"/>
        <v>2</v>
      </c>
      <c r="R317" s="1">
        <f t="shared" si="19"/>
        <v>0</v>
      </c>
    </row>
    <row r="318" spans="1:18" x14ac:dyDescent="0.3">
      <c r="A318" t="s">
        <v>1172</v>
      </c>
      <c r="B318" t="s">
        <v>1173</v>
      </c>
      <c r="C318" t="s">
        <v>18</v>
      </c>
      <c r="D318">
        <v>30</v>
      </c>
      <c r="E318">
        <v>1</v>
      </c>
      <c r="F318" t="s">
        <v>124</v>
      </c>
      <c r="G318" s="1">
        <v>5824.76</v>
      </c>
      <c r="H318">
        <v>9</v>
      </c>
      <c r="I318">
        <v>0.5</v>
      </c>
      <c r="J318">
        <v>1</v>
      </c>
      <c r="K318">
        <v>1</v>
      </c>
      <c r="L318">
        <f t="shared" si="16"/>
        <v>2</v>
      </c>
      <c r="M318">
        <v>0</v>
      </c>
      <c r="N318">
        <v>0</v>
      </c>
      <c r="O318">
        <v>2</v>
      </c>
      <c r="P318" s="1">
        <f t="shared" si="17"/>
        <v>0</v>
      </c>
      <c r="Q318">
        <f t="shared" si="18"/>
        <v>2</v>
      </c>
      <c r="R318" s="1">
        <f t="shared" si="19"/>
        <v>11649.52</v>
      </c>
    </row>
    <row r="319" spans="1:18" x14ac:dyDescent="0.3">
      <c r="A319" t="s">
        <v>1174</v>
      </c>
      <c r="B319" t="s">
        <v>1175</v>
      </c>
      <c r="C319" t="s">
        <v>18</v>
      </c>
      <c r="D319">
        <v>1</v>
      </c>
      <c r="E319">
        <v>0</v>
      </c>
      <c r="G319" s="1">
        <v>0</v>
      </c>
      <c r="H319">
        <v>0</v>
      </c>
      <c r="I319">
        <v>0.5</v>
      </c>
      <c r="J319">
        <v>1</v>
      </c>
      <c r="K319">
        <v>1</v>
      </c>
      <c r="L319">
        <f t="shared" si="16"/>
        <v>2</v>
      </c>
      <c r="M319">
        <v>0</v>
      </c>
      <c r="N319">
        <v>0</v>
      </c>
      <c r="O319">
        <v>2</v>
      </c>
      <c r="P319" s="1">
        <f t="shared" si="17"/>
        <v>0</v>
      </c>
      <c r="Q319">
        <f t="shared" si="18"/>
        <v>2</v>
      </c>
      <c r="R319" s="1">
        <f t="shared" si="19"/>
        <v>0</v>
      </c>
    </row>
    <row r="320" spans="1:18" x14ac:dyDescent="0.3">
      <c r="A320" t="s">
        <v>1176</v>
      </c>
      <c r="B320" t="s">
        <v>1177</v>
      </c>
      <c r="C320" t="s">
        <v>18</v>
      </c>
      <c r="D320">
        <v>6</v>
      </c>
      <c r="E320">
        <v>0</v>
      </c>
      <c r="G320" s="1">
        <v>0</v>
      </c>
      <c r="H320">
        <v>5</v>
      </c>
      <c r="I320">
        <v>0.5</v>
      </c>
      <c r="J320">
        <v>1</v>
      </c>
      <c r="K320">
        <v>1</v>
      </c>
      <c r="L320">
        <f t="shared" si="16"/>
        <v>2</v>
      </c>
      <c r="M320">
        <v>0</v>
      </c>
      <c r="N320">
        <v>0</v>
      </c>
      <c r="O320">
        <v>2</v>
      </c>
      <c r="P320" s="1">
        <f t="shared" si="17"/>
        <v>0</v>
      </c>
      <c r="Q320">
        <f t="shared" si="18"/>
        <v>2</v>
      </c>
      <c r="R320" s="1">
        <f t="shared" si="19"/>
        <v>0</v>
      </c>
    </row>
    <row r="321" spans="1:18" x14ac:dyDescent="0.3">
      <c r="A321" t="s">
        <v>1178</v>
      </c>
      <c r="B321" t="s">
        <v>1179</v>
      </c>
      <c r="C321" t="s">
        <v>18</v>
      </c>
      <c r="D321">
        <v>13</v>
      </c>
      <c r="E321">
        <v>0</v>
      </c>
      <c r="G321" s="1">
        <v>0</v>
      </c>
      <c r="H321">
        <v>8</v>
      </c>
      <c r="I321">
        <v>0.5</v>
      </c>
      <c r="J321">
        <v>1</v>
      </c>
      <c r="K321">
        <v>1</v>
      </c>
      <c r="L321">
        <f t="shared" si="16"/>
        <v>2</v>
      </c>
      <c r="M321">
        <v>0</v>
      </c>
      <c r="N321">
        <v>0</v>
      </c>
      <c r="O321">
        <v>2</v>
      </c>
      <c r="P321" s="1">
        <f t="shared" si="17"/>
        <v>0</v>
      </c>
      <c r="Q321">
        <f t="shared" si="18"/>
        <v>2</v>
      </c>
      <c r="R321" s="1">
        <f t="shared" si="19"/>
        <v>0</v>
      </c>
    </row>
    <row r="322" spans="1:18" x14ac:dyDescent="0.3">
      <c r="A322" t="s">
        <v>1180</v>
      </c>
      <c r="B322" t="s">
        <v>1181</v>
      </c>
      <c r="C322" t="s">
        <v>18</v>
      </c>
      <c r="D322">
        <v>22</v>
      </c>
      <c r="E322">
        <v>0</v>
      </c>
      <c r="G322" s="1">
        <v>0</v>
      </c>
      <c r="H322">
        <v>8</v>
      </c>
      <c r="I322">
        <v>0.5</v>
      </c>
      <c r="J322">
        <v>1</v>
      </c>
      <c r="K322">
        <v>1</v>
      </c>
      <c r="L322">
        <f t="shared" ref="L322:L385" si="20">ROUNDUP((J322*I322)+K322,0)</f>
        <v>2</v>
      </c>
      <c r="M322">
        <v>0</v>
      </c>
      <c r="N322">
        <v>0</v>
      </c>
      <c r="O322">
        <v>2</v>
      </c>
      <c r="P322" s="1">
        <f t="shared" ref="P322:P385" si="21">IFERROR(M322*G322,0)</f>
        <v>0</v>
      </c>
      <c r="Q322">
        <f t="shared" ref="Q322:Q385" si="22">IF(O322-M322-N322&gt;0,O322-M322-N322,0)</f>
        <v>2</v>
      </c>
      <c r="R322" s="1">
        <f t="shared" ref="R322:R385" si="23">IFERROR(Q322*G322,0)</f>
        <v>0</v>
      </c>
    </row>
    <row r="323" spans="1:18" x14ac:dyDescent="0.3">
      <c r="A323" t="s">
        <v>1182</v>
      </c>
      <c r="B323" t="s">
        <v>1183</v>
      </c>
      <c r="C323" t="s">
        <v>18</v>
      </c>
      <c r="D323">
        <v>1</v>
      </c>
      <c r="E323">
        <v>0</v>
      </c>
      <c r="G323" s="1">
        <v>0</v>
      </c>
      <c r="H323">
        <v>0</v>
      </c>
      <c r="I323">
        <v>0.5</v>
      </c>
      <c r="J323">
        <v>1</v>
      </c>
      <c r="K323">
        <v>1</v>
      </c>
      <c r="L323">
        <f t="shared" si="20"/>
        <v>2</v>
      </c>
      <c r="M323">
        <v>0</v>
      </c>
      <c r="N323">
        <v>0</v>
      </c>
      <c r="O323">
        <v>2</v>
      </c>
      <c r="P323" s="1">
        <f t="shared" si="21"/>
        <v>0</v>
      </c>
      <c r="Q323">
        <f t="shared" si="22"/>
        <v>2</v>
      </c>
      <c r="R323" s="1">
        <f t="shared" si="23"/>
        <v>0</v>
      </c>
    </row>
    <row r="324" spans="1:18" x14ac:dyDescent="0.3">
      <c r="A324" t="s">
        <v>1184</v>
      </c>
      <c r="B324" t="s">
        <v>1185</v>
      </c>
      <c r="C324" t="s">
        <v>18</v>
      </c>
      <c r="D324">
        <v>30</v>
      </c>
      <c r="E324">
        <v>2</v>
      </c>
      <c r="F324" t="s">
        <v>124</v>
      </c>
      <c r="G324" s="1">
        <v>8942.15</v>
      </c>
      <c r="H324">
        <v>2</v>
      </c>
      <c r="I324">
        <v>0.9</v>
      </c>
      <c r="J324">
        <v>1</v>
      </c>
      <c r="K324">
        <v>1</v>
      </c>
      <c r="L324">
        <f t="shared" si="20"/>
        <v>2</v>
      </c>
      <c r="M324">
        <v>0</v>
      </c>
      <c r="N324">
        <v>0</v>
      </c>
      <c r="O324">
        <v>3</v>
      </c>
      <c r="P324" s="1">
        <f t="shared" si="21"/>
        <v>0</v>
      </c>
      <c r="Q324">
        <f t="shared" si="22"/>
        <v>3</v>
      </c>
      <c r="R324" s="1">
        <f t="shared" si="23"/>
        <v>26826.449999999997</v>
      </c>
    </row>
    <row r="325" spans="1:18" x14ac:dyDescent="0.3">
      <c r="A325" t="s">
        <v>1186</v>
      </c>
      <c r="B325" t="s">
        <v>1187</v>
      </c>
      <c r="C325" t="s">
        <v>18</v>
      </c>
      <c r="D325">
        <v>1</v>
      </c>
      <c r="E325">
        <v>0</v>
      </c>
      <c r="G325" s="1">
        <v>0</v>
      </c>
      <c r="H325">
        <v>1</v>
      </c>
      <c r="I325">
        <v>0.5</v>
      </c>
      <c r="J325">
        <v>1</v>
      </c>
      <c r="K325">
        <v>1</v>
      </c>
      <c r="L325">
        <f t="shared" si="20"/>
        <v>2</v>
      </c>
      <c r="M325">
        <v>0</v>
      </c>
      <c r="N325">
        <v>0</v>
      </c>
      <c r="O325">
        <v>2</v>
      </c>
      <c r="P325" s="1">
        <f t="shared" si="21"/>
        <v>0</v>
      </c>
      <c r="Q325">
        <f t="shared" si="22"/>
        <v>2</v>
      </c>
      <c r="R325" s="1">
        <f t="shared" si="23"/>
        <v>0</v>
      </c>
    </row>
    <row r="326" spans="1:18" x14ac:dyDescent="0.3">
      <c r="A326" t="s">
        <v>1188</v>
      </c>
      <c r="B326" t="s">
        <v>1189</v>
      </c>
      <c r="C326" t="s">
        <v>18</v>
      </c>
      <c r="D326">
        <v>30</v>
      </c>
      <c r="E326">
        <v>0</v>
      </c>
      <c r="G326" s="1">
        <v>0</v>
      </c>
      <c r="H326">
        <v>11</v>
      </c>
      <c r="I326">
        <v>0.5</v>
      </c>
      <c r="J326">
        <v>1</v>
      </c>
      <c r="K326">
        <v>1</v>
      </c>
      <c r="L326">
        <f t="shared" si="20"/>
        <v>2</v>
      </c>
      <c r="M326">
        <v>0</v>
      </c>
      <c r="N326">
        <v>0</v>
      </c>
      <c r="O326">
        <v>2</v>
      </c>
      <c r="P326" s="1">
        <f t="shared" si="21"/>
        <v>0</v>
      </c>
      <c r="Q326">
        <f t="shared" si="22"/>
        <v>2</v>
      </c>
      <c r="R326" s="1">
        <f t="shared" si="23"/>
        <v>0</v>
      </c>
    </row>
    <row r="327" spans="1:18" x14ac:dyDescent="0.3">
      <c r="A327" t="s">
        <v>1190</v>
      </c>
      <c r="B327" t="s">
        <v>1191</v>
      </c>
      <c r="C327" t="s">
        <v>18</v>
      </c>
      <c r="D327">
        <v>1</v>
      </c>
      <c r="E327">
        <v>1</v>
      </c>
      <c r="F327" t="s">
        <v>124</v>
      </c>
      <c r="G327" s="1">
        <v>8127.2</v>
      </c>
      <c r="H327">
        <v>0</v>
      </c>
      <c r="I327">
        <v>0.5</v>
      </c>
      <c r="J327">
        <v>1</v>
      </c>
      <c r="K327">
        <v>1</v>
      </c>
      <c r="L327">
        <f t="shared" si="20"/>
        <v>2</v>
      </c>
      <c r="M327">
        <v>0</v>
      </c>
      <c r="N327">
        <v>0</v>
      </c>
      <c r="O327">
        <v>2</v>
      </c>
      <c r="P327" s="1">
        <f t="shared" si="21"/>
        <v>0</v>
      </c>
      <c r="Q327">
        <f t="shared" si="22"/>
        <v>2</v>
      </c>
      <c r="R327" s="1">
        <f t="shared" si="23"/>
        <v>16254.4</v>
      </c>
    </row>
    <row r="328" spans="1:18" x14ac:dyDescent="0.3">
      <c r="A328" t="s">
        <v>1192</v>
      </c>
      <c r="B328" t="s">
        <v>1193</v>
      </c>
      <c r="C328" t="s">
        <v>18</v>
      </c>
      <c r="D328">
        <v>1</v>
      </c>
      <c r="E328">
        <v>0</v>
      </c>
      <c r="G328" s="1">
        <v>0</v>
      </c>
      <c r="H328">
        <v>1</v>
      </c>
      <c r="I328">
        <v>0.5</v>
      </c>
      <c r="J328">
        <v>1</v>
      </c>
      <c r="K328">
        <v>1</v>
      </c>
      <c r="L328">
        <f t="shared" si="20"/>
        <v>2</v>
      </c>
      <c r="M328">
        <v>0</v>
      </c>
      <c r="N328">
        <v>0</v>
      </c>
      <c r="O328">
        <v>2</v>
      </c>
      <c r="P328" s="1">
        <f t="shared" si="21"/>
        <v>0</v>
      </c>
      <c r="Q328">
        <f t="shared" si="22"/>
        <v>2</v>
      </c>
      <c r="R328" s="1">
        <f t="shared" si="23"/>
        <v>0</v>
      </c>
    </row>
    <row r="329" spans="1:18" x14ac:dyDescent="0.3">
      <c r="A329" t="s">
        <v>1194</v>
      </c>
      <c r="B329" t="s">
        <v>1195</v>
      </c>
      <c r="C329" t="s">
        <v>18</v>
      </c>
      <c r="D329">
        <v>1</v>
      </c>
      <c r="E329">
        <v>1</v>
      </c>
      <c r="F329" t="s">
        <v>1073</v>
      </c>
      <c r="G329" s="1">
        <v>8127.2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16254.4</v>
      </c>
    </row>
    <row r="330" spans="1:18" x14ac:dyDescent="0.3">
      <c r="A330" t="s">
        <v>1196</v>
      </c>
      <c r="B330" t="s">
        <v>1197</v>
      </c>
      <c r="C330" t="s">
        <v>18</v>
      </c>
      <c r="D330">
        <v>5</v>
      </c>
      <c r="E330">
        <v>0</v>
      </c>
      <c r="G330" s="1">
        <v>0</v>
      </c>
      <c r="H330">
        <v>2</v>
      </c>
      <c r="I330">
        <v>0.5</v>
      </c>
      <c r="J330">
        <v>1</v>
      </c>
      <c r="K330">
        <v>1</v>
      </c>
      <c r="L330">
        <f t="shared" si="20"/>
        <v>2</v>
      </c>
      <c r="M330">
        <v>0</v>
      </c>
      <c r="N330">
        <v>0</v>
      </c>
      <c r="O330">
        <v>2</v>
      </c>
      <c r="P330" s="1">
        <f t="shared" si="21"/>
        <v>0</v>
      </c>
      <c r="Q330">
        <f t="shared" si="22"/>
        <v>2</v>
      </c>
      <c r="R330" s="1">
        <f t="shared" si="23"/>
        <v>0</v>
      </c>
    </row>
    <row r="331" spans="1:18" x14ac:dyDescent="0.3">
      <c r="A331" t="s">
        <v>1198</v>
      </c>
      <c r="B331" t="s">
        <v>1199</v>
      </c>
      <c r="C331" t="s">
        <v>18</v>
      </c>
      <c r="D331">
        <v>1</v>
      </c>
      <c r="E331">
        <v>0</v>
      </c>
      <c r="G331" s="1">
        <v>0</v>
      </c>
      <c r="H331">
        <v>0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0</v>
      </c>
    </row>
    <row r="332" spans="1:18" x14ac:dyDescent="0.3">
      <c r="A332" t="s">
        <v>1200</v>
      </c>
      <c r="B332" t="s">
        <v>1201</v>
      </c>
      <c r="C332" t="s">
        <v>18</v>
      </c>
      <c r="D332">
        <v>1</v>
      </c>
      <c r="E332">
        <v>0</v>
      </c>
      <c r="G332" s="1">
        <v>0</v>
      </c>
      <c r="H332">
        <v>1</v>
      </c>
      <c r="I332">
        <v>0.5</v>
      </c>
      <c r="J332">
        <v>1</v>
      </c>
      <c r="K332">
        <v>1</v>
      </c>
      <c r="L332">
        <f t="shared" si="20"/>
        <v>2</v>
      </c>
      <c r="M332">
        <v>0</v>
      </c>
      <c r="N332">
        <v>0</v>
      </c>
      <c r="O332">
        <v>2</v>
      </c>
      <c r="P332" s="1">
        <f t="shared" si="21"/>
        <v>0</v>
      </c>
      <c r="Q332">
        <f t="shared" si="22"/>
        <v>2</v>
      </c>
      <c r="R332" s="1">
        <f t="shared" si="23"/>
        <v>0</v>
      </c>
    </row>
    <row r="333" spans="1:18" x14ac:dyDescent="0.3">
      <c r="A333" t="s">
        <v>1202</v>
      </c>
      <c r="B333" t="s">
        <v>1203</v>
      </c>
      <c r="C333" t="s">
        <v>18</v>
      </c>
      <c r="D333">
        <v>1</v>
      </c>
      <c r="E333">
        <v>0</v>
      </c>
      <c r="G333" s="1">
        <v>0</v>
      </c>
      <c r="H333">
        <v>0</v>
      </c>
      <c r="I333">
        <v>0.5</v>
      </c>
      <c r="J333">
        <v>1</v>
      </c>
      <c r="K333">
        <v>1</v>
      </c>
      <c r="L333">
        <f t="shared" si="20"/>
        <v>2</v>
      </c>
      <c r="M333">
        <v>0</v>
      </c>
      <c r="N333">
        <v>0</v>
      </c>
      <c r="O333">
        <v>2</v>
      </c>
      <c r="P333" s="1">
        <f t="shared" si="21"/>
        <v>0</v>
      </c>
      <c r="Q333">
        <f t="shared" si="22"/>
        <v>2</v>
      </c>
      <c r="R333" s="1">
        <f t="shared" si="23"/>
        <v>0</v>
      </c>
    </row>
    <row r="334" spans="1:18" x14ac:dyDescent="0.3">
      <c r="A334" t="s">
        <v>1204</v>
      </c>
      <c r="B334" t="s">
        <v>1205</v>
      </c>
      <c r="C334" t="s">
        <v>18</v>
      </c>
      <c r="D334">
        <v>8</v>
      </c>
      <c r="E334">
        <v>0</v>
      </c>
      <c r="G334" s="1">
        <v>0</v>
      </c>
      <c r="H334">
        <v>5</v>
      </c>
      <c r="I334">
        <v>0.5</v>
      </c>
      <c r="J334">
        <v>1</v>
      </c>
      <c r="K334">
        <v>1</v>
      </c>
      <c r="L334">
        <f t="shared" si="20"/>
        <v>2</v>
      </c>
      <c r="M334">
        <v>0</v>
      </c>
      <c r="N334">
        <v>0</v>
      </c>
      <c r="O334">
        <v>2</v>
      </c>
      <c r="P334" s="1">
        <f t="shared" si="21"/>
        <v>0</v>
      </c>
      <c r="Q334">
        <f t="shared" si="22"/>
        <v>2</v>
      </c>
      <c r="R334" s="1">
        <f t="shared" si="23"/>
        <v>0</v>
      </c>
    </row>
    <row r="335" spans="1:18" x14ac:dyDescent="0.3">
      <c r="A335" t="s">
        <v>1206</v>
      </c>
      <c r="B335" t="s">
        <v>1207</v>
      </c>
      <c r="C335" t="s">
        <v>18</v>
      </c>
      <c r="D335">
        <v>1</v>
      </c>
      <c r="E335">
        <v>0</v>
      </c>
      <c r="G335" s="1">
        <v>0</v>
      </c>
      <c r="H335">
        <v>1</v>
      </c>
      <c r="I335">
        <v>0.5</v>
      </c>
      <c r="J335">
        <v>1</v>
      </c>
      <c r="K335">
        <v>1</v>
      </c>
      <c r="L335">
        <f t="shared" si="20"/>
        <v>2</v>
      </c>
      <c r="M335">
        <v>0</v>
      </c>
      <c r="N335">
        <v>0</v>
      </c>
      <c r="O335">
        <v>2</v>
      </c>
      <c r="P335" s="1">
        <f t="shared" si="21"/>
        <v>0</v>
      </c>
      <c r="Q335">
        <f t="shared" si="22"/>
        <v>2</v>
      </c>
      <c r="R335" s="1">
        <f t="shared" si="23"/>
        <v>0</v>
      </c>
    </row>
    <row r="336" spans="1:18" x14ac:dyDescent="0.3">
      <c r="A336" t="s">
        <v>1208</v>
      </c>
      <c r="B336" t="s">
        <v>1209</v>
      </c>
      <c r="C336" t="s">
        <v>18</v>
      </c>
      <c r="D336">
        <v>1</v>
      </c>
      <c r="E336">
        <v>0</v>
      </c>
      <c r="G336" s="1">
        <v>0</v>
      </c>
      <c r="H336">
        <v>0</v>
      </c>
      <c r="I336">
        <v>0.5</v>
      </c>
      <c r="J336">
        <v>1</v>
      </c>
      <c r="K336">
        <v>1</v>
      </c>
      <c r="L336">
        <f t="shared" si="20"/>
        <v>2</v>
      </c>
      <c r="M336">
        <v>0</v>
      </c>
      <c r="N336">
        <v>0</v>
      </c>
      <c r="O336">
        <v>2</v>
      </c>
      <c r="P336" s="1">
        <f t="shared" si="21"/>
        <v>0</v>
      </c>
      <c r="Q336">
        <f t="shared" si="22"/>
        <v>2</v>
      </c>
      <c r="R336" s="1">
        <f t="shared" si="23"/>
        <v>0</v>
      </c>
    </row>
    <row r="337" spans="1:18" x14ac:dyDescent="0.3">
      <c r="A337" t="s">
        <v>1210</v>
      </c>
      <c r="B337" t="s">
        <v>1211</v>
      </c>
      <c r="C337" t="s">
        <v>18</v>
      </c>
      <c r="D337">
        <v>1</v>
      </c>
      <c r="E337">
        <v>0</v>
      </c>
      <c r="G337" s="1">
        <v>0</v>
      </c>
      <c r="H337">
        <v>1</v>
      </c>
      <c r="I337">
        <v>0.5</v>
      </c>
      <c r="J337">
        <v>1</v>
      </c>
      <c r="K337">
        <v>1</v>
      </c>
      <c r="L337">
        <f t="shared" si="20"/>
        <v>2</v>
      </c>
      <c r="M337">
        <v>0</v>
      </c>
      <c r="N337">
        <v>0</v>
      </c>
      <c r="O337">
        <v>2</v>
      </c>
      <c r="P337" s="1">
        <f t="shared" si="21"/>
        <v>0</v>
      </c>
      <c r="Q337">
        <f t="shared" si="22"/>
        <v>2</v>
      </c>
      <c r="R337" s="1">
        <f t="shared" si="23"/>
        <v>0</v>
      </c>
    </row>
    <row r="338" spans="1:18" x14ac:dyDescent="0.3">
      <c r="A338" t="s">
        <v>1212</v>
      </c>
      <c r="B338" t="s">
        <v>1213</v>
      </c>
      <c r="C338" t="s">
        <v>18</v>
      </c>
      <c r="D338">
        <v>34</v>
      </c>
      <c r="E338">
        <v>1</v>
      </c>
      <c r="F338" t="s">
        <v>124</v>
      </c>
      <c r="G338" s="1">
        <v>5685.45</v>
      </c>
      <c r="H338">
        <v>9</v>
      </c>
      <c r="I338">
        <v>0.5</v>
      </c>
      <c r="J338">
        <v>1</v>
      </c>
      <c r="K338">
        <v>1</v>
      </c>
      <c r="L338">
        <f t="shared" si="20"/>
        <v>2</v>
      </c>
      <c r="M338">
        <v>0</v>
      </c>
      <c r="N338">
        <v>0</v>
      </c>
      <c r="O338">
        <v>2</v>
      </c>
      <c r="P338" s="1">
        <f t="shared" si="21"/>
        <v>0</v>
      </c>
      <c r="Q338">
        <f t="shared" si="22"/>
        <v>2</v>
      </c>
      <c r="R338" s="1">
        <f t="shared" si="23"/>
        <v>11370.9</v>
      </c>
    </row>
    <row r="339" spans="1:18" x14ac:dyDescent="0.3">
      <c r="A339" t="s">
        <v>1214</v>
      </c>
      <c r="B339" t="s">
        <v>1215</v>
      </c>
      <c r="C339" t="s">
        <v>18</v>
      </c>
      <c r="D339">
        <v>1</v>
      </c>
      <c r="E339">
        <v>0</v>
      </c>
      <c r="G339" s="1">
        <v>0</v>
      </c>
      <c r="H339">
        <v>0</v>
      </c>
      <c r="I339">
        <v>0.5</v>
      </c>
      <c r="J339">
        <v>1</v>
      </c>
      <c r="K339">
        <v>1</v>
      </c>
      <c r="L339">
        <f t="shared" si="20"/>
        <v>2</v>
      </c>
      <c r="M339">
        <v>0</v>
      </c>
      <c r="N339">
        <v>0</v>
      </c>
      <c r="O339">
        <v>2</v>
      </c>
      <c r="P339" s="1">
        <f t="shared" si="21"/>
        <v>0</v>
      </c>
      <c r="Q339">
        <f t="shared" si="22"/>
        <v>2</v>
      </c>
      <c r="R339" s="1">
        <f t="shared" si="23"/>
        <v>0</v>
      </c>
    </row>
    <row r="340" spans="1:18" x14ac:dyDescent="0.3">
      <c r="A340" t="s">
        <v>1216</v>
      </c>
      <c r="B340" t="s">
        <v>1217</v>
      </c>
      <c r="C340" t="s">
        <v>18</v>
      </c>
      <c r="D340">
        <v>16</v>
      </c>
      <c r="E340">
        <v>0</v>
      </c>
      <c r="G340" s="1">
        <v>0</v>
      </c>
      <c r="H340">
        <v>10</v>
      </c>
      <c r="I340">
        <v>0.5</v>
      </c>
      <c r="J340">
        <v>1</v>
      </c>
      <c r="K340">
        <v>1</v>
      </c>
      <c r="L340">
        <f t="shared" si="20"/>
        <v>2</v>
      </c>
      <c r="M340">
        <v>0</v>
      </c>
      <c r="N340">
        <v>0</v>
      </c>
      <c r="O340">
        <v>2</v>
      </c>
      <c r="P340" s="1">
        <f t="shared" si="21"/>
        <v>0</v>
      </c>
      <c r="Q340">
        <f t="shared" si="22"/>
        <v>2</v>
      </c>
      <c r="R340" s="1">
        <f t="shared" si="23"/>
        <v>0</v>
      </c>
    </row>
    <row r="341" spans="1:18" x14ac:dyDescent="0.3">
      <c r="A341" t="s">
        <v>1218</v>
      </c>
      <c r="B341" t="s">
        <v>1219</v>
      </c>
      <c r="C341" t="s">
        <v>18</v>
      </c>
      <c r="D341">
        <v>34</v>
      </c>
      <c r="E341">
        <v>0</v>
      </c>
      <c r="G341" s="1">
        <v>0</v>
      </c>
      <c r="H341">
        <v>13</v>
      </c>
      <c r="I341">
        <v>0.5</v>
      </c>
      <c r="J341">
        <v>1</v>
      </c>
      <c r="K341">
        <v>1</v>
      </c>
      <c r="L341">
        <f t="shared" si="20"/>
        <v>2</v>
      </c>
      <c r="M341">
        <v>0</v>
      </c>
      <c r="N341">
        <v>0</v>
      </c>
      <c r="O341">
        <v>2</v>
      </c>
      <c r="P341" s="1">
        <f t="shared" si="21"/>
        <v>0</v>
      </c>
      <c r="Q341">
        <f t="shared" si="22"/>
        <v>2</v>
      </c>
      <c r="R341" s="1">
        <f t="shared" si="23"/>
        <v>0</v>
      </c>
    </row>
    <row r="342" spans="1:18" x14ac:dyDescent="0.3">
      <c r="A342" t="s">
        <v>1220</v>
      </c>
      <c r="B342" t="s">
        <v>1221</v>
      </c>
      <c r="C342" t="s">
        <v>18</v>
      </c>
      <c r="D342">
        <v>4</v>
      </c>
      <c r="E342">
        <v>0</v>
      </c>
      <c r="G342" s="1">
        <v>0</v>
      </c>
      <c r="H342">
        <v>3</v>
      </c>
      <c r="I342">
        <v>0.5</v>
      </c>
      <c r="J342">
        <v>1</v>
      </c>
      <c r="K342">
        <v>1</v>
      </c>
      <c r="L342">
        <f t="shared" si="20"/>
        <v>2</v>
      </c>
      <c r="M342">
        <v>0</v>
      </c>
      <c r="N342">
        <v>0</v>
      </c>
      <c r="O342">
        <v>2</v>
      </c>
      <c r="P342" s="1">
        <f t="shared" si="21"/>
        <v>0</v>
      </c>
      <c r="Q342">
        <f t="shared" si="22"/>
        <v>2</v>
      </c>
      <c r="R342" s="1">
        <f t="shared" si="23"/>
        <v>0</v>
      </c>
    </row>
    <row r="343" spans="1:18" x14ac:dyDescent="0.3">
      <c r="A343" t="s">
        <v>1222</v>
      </c>
      <c r="B343" t="s">
        <v>1223</v>
      </c>
      <c r="C343" t="s">
        <v>18</v>
      </c>
      <c r="D343">
        <v>1</v>
      </c>
      <c r="E343">
        <v>0</v>
      </c>
      <c r="G343" s="1">
        <v>0</v>
      </c>
      <c r="H343">
        <v>2</v>
      </c>
      <c r="I343">
        <v>0.5</v>
      </c>
      <c r="J343">
        <v>2</v>
      </c>
      <c r="K343">
        <v>1</v>
      </c>
      <c r="L343">
        <f t="shared" si="20"/>
        <v>2</v>
      </c>
      <c r="M343">
        <v>0</v>
      </c>
      <c r="N343">
        <v>0</v>
      </c>
      <c r="O343">
        <v>5</v>
      </c>
      <c r="P343" s="1">
        <f t="shared" si="21"/>
        <v>0</v>
      </c>
      <c r="Q343">
        <f t="shared" si="22"/>
        <v>5</v>
      </c>
      <c r="R343" s="1">
        <f t="shared" si="23"/>
        <v>0</v>
      </c>
    </row>
    <row r="344" spans="1:18" x14ac:dyDescent="0.3">
      <c r="A344" t="s">
        <v>1224</v>
      </c>
      <c r="B344" t="s">
        <v>1225</v>
      </c>
      <c r="C344" t="s">
        <v>18</v>
      </c>
      <c r="D344">
        <v>1</v>
      </c>
      <c r="E344">
        <v>0</v>
      </c>
      <c r="G344" s="1">
        <v>0</v>
      </c>
      <c r="H344">
        <v>2</v>
      </c>
      <c r="I344">
        <v>0.5</v>
      </c>
      <c r="J344">
        <v>2</v>
      </c>
      <c r="K344">
        <v>1</v>
      </c>
      <c r="L344">
        <f t="shared" si="20"/>
        <v>2</v>
      </c>
      <c r="M344">
        <v>0</v>
      </c>
      <c r="N344">
        <v>0</v>
      </c>
      <c r="O344">
        <v>5</v>
      </c>
      <c r="P344" s="1">
        <f t="shared" si="21"/>
        <v>0</v>
      </c>
      <c r="Q344">
        <f t="shared" si="22"/>
        <v>5</v>
      </c>
      <c r="R344" s="1">
        <f t="shared" si="23"/>
        <v>0</v>
      </c>
    </row>
    <row r="345" spans="1:18" x14ac:dyDescent="0.3">
      <c r="A345" t="s">
        <v>1226</v>
      </c>
      <c r="B345" t="s">
        <v>1227</v>
      </c>
      <c r="C345" t="s">
        <v>18</v>
      </c>
      <c r="D345">
        <v>1</v>
      </c>
      <c r="E345">
        <v>0</v>
      </c>
      <c r="G345" s="1">
        <v>0</v>
      </c>
      <c r="H345">
        <v>1</v>
      </c>
      <c r="I345">
        <v>0.5</v>
      </c>
      <c r="J345">
        <v>1</v>
      </c>
      <c r="K345">
        <v>1</v>
      </c>
      <c r="L345">
        <f t="shared" si="20"/>
        <v>2</v>
      </c>
      <c r="M345">
        <v>0</v>
      </c>
      <c r="N345">
        <v>0</v>
      </c>
      <c r="O345">
        <v>2</v>
      </c>
      <c r="P345" s="1">
        <f t="shared" si="21"/>
        <v>0</v>
      </c>
      <c r="Q345">
        <f t="shared" si="22"/>
        <v>2</v>
      </c>
      <c r="R345" s="1">
        <f t="shared" si="23"/>
        <v>0</v>
      </c>
    </row>
    <row r="346" spans="1:18" x14ac:dyDescent="0.3">
      <c r="A346" t="s">
        <v>1228</v>
      </c>
      <c r="B346" t="s">
        <v>1229</v>
      </c>
      <c r="C346" t="s">
        <v>18</v>
      </c>
      <c r="D346">
        <v>1</v>
      </c>
      <c r="E346">
        <v>2</v>
      </c>
      <c r="F346" t="s">
        <v>1073</v>
      </c>
      <c r="G346" s="1">
        <v>2700</v>
      </c>
      <c r="H346">
        <v>0</v>
      </c>
      <c r="I346">
        <v>0.5</v>
      </c>
      <c r="J346">
        <v>2</v>
      </c>
      <c r="K346">
        <v>1</v>
      </c>
      <c r="L346">
        <f t="shared" si="20"/>
        <v>2</v>
      </c>
      <c r="M346">
        <v>0</v>
      </c>
      <c r="N346">
        <v>0</v>
      </c>
      <c r="O346">
        <v>5</v>
      </c>
      <c r="P346" s="1">
        <f t="shared" si="21"/>
        <v>0</v>
      </c>
      <c r="Q346">
        <f t="shared" si="22"/>
        <v>5</v>
      </c>
      <c r="R346" s="1">
        <f t="shared" si="23"/>
        <v>13500</v>
      </c>
    </row>
    <row r="347" spans="1:18" x14ac:dyDescent="0.3">
      <c r="A347" t="s">
        <v>1230</v>
      </c>
      <c r="B347" t="s">
        <v>1231</v>
      </c>
      <c r="C347" t="s">
        <v>18</v>
      </c>
      <c r="D347">
        <v>1</v>
      </c>
      <c r="E347">
        <v>0</v>
      </c>
      <c r="G347" s="1">
        <v>0</v>
      </c>
      <c r="H347">
        <v>1</v>
      </c>
      <c r="I347">
        <v>0.5</v>
      </c>
      <c r="J347">
        <v>1</v>
      </c>
      <c r="K347">
        <v>1</v>
      </c>
      <c r="L347">
        <f t="shared" si="20"/>
        <v>2</v>
      </c>
      <c r="M347">
        <v>0</v>
      </c>
      <c r="N347">
        <v>0</v>
      </c>
      <c r="O347">
        <v>2</v>
      </c>
      <c r="P347" s="1">
        <f t="shared" si="21"/>
        <v>0</v>
      </c>
      <c r="Q347">
        <f t="shared" si="22"/>
        <v>2</v>
      </c>
      <c r="R347" s="1">
        <f t="shared" si="23"/>
        <v>0</v>
      </c>
    </row>
    <row r="348" spans="1:18" x14ac:dyDescent="0.3">
      <c r="A348" t="s">
        <v>1232</v>
      </c>
      <c r="B348" t="s">
        <v>1233</v>
      </c>
      <c r="C348" t="s">
        <v>18</v>
      </c>
      <c r="D348">
        <v>1</v>
      </c>
      <c r="E348">
        <v>0</v>
      </c>
      <c r="G348" s="1">
        <v>0</v>
      </c>
      <c r="H348">
        <v>4</v>
      </c>
      <c r="I348">
        <v>0.5</v>
      </c>
      <c r="J348">
        <v>4</v>
      </c>
      <c r="K348">
        <v>2</v>
      </c>
      <c r="L348">
        <f t="shared" si="20"/>
        <v>4</v>
      </c>
      <c r="M348">
        <v>0</v>
      </c>
      <c r="N348">
        <v>0</v>
      </c>
      <c r="O348">
        <v>10</v>
      </c>
      <c r="P348" s="1">
        <f t="shared" si="21"/>
        <v>0</v>
      </c>
      <c r="Q348">
        <f t="shared" si="22"/>
        <v>10</v>
      </c>
      <c r="R348" s="1">
        <f t="shared" si="23"/>
        <v>0</v>
      </c>
    </row>
    <row r="349" spans="1:18" x14ac:dyDescent="0.3">
      <c r="A349" t="s">
        <v>1234</v>
      </c>
      <c r="B349" t="s">
        <v>1235</v>
      </c>
      <c r="C349" t="s">
        <v>18</v>
      </c>
      <c r="D349">
        <v>1</v>
      </c>
      <c r="E349">
        <v>0</v>
      </c>
      <c r="G349" s="1">
        <v>0</v>
      </c>
      <c r="H349">
        <v>0</v>
      </c>
      <c r="I349">
        <v>0.5</v>
      </c>
      <c r="J349">
        <v>1</v>
      </c>
      <c r="K349">
        <v>1</v>
      </c>
      <c r="L349">
        <f t="shared" si="20"/>
        <v>2</v>
      </c>
      <c r="M349">
        <v>0</v>
      </c>
      <c r="N349">
        <v>0</v>
      </c>
      <c r="O349">
        <v>2</v>
      </c>
      <c r="P349" s="1">
        <f t="shared" si="21"/>
        <v>0</v>
      </c>
      <c r="Q349">
        <f t="shared" si="22"/>
        <v>2</v>
      </c>
      <c r="R349" s="1">
        <f t="shared" si="23"/>
        <v>0</v>
      </c>
    </row>
    <row r="350" spans="1:18" x14ac:dyDescent="0.3">
      <c r="A350" t="s">
        <v>1236</v>
      </c>
      <c r="B350" t="s">
        <v>1237</v>
      </c>
      <c r="C350" t="s">
        <v>18</v>
      </c>
      <c r="D350">
        <v>4</v>
      </c>
      <c r="E350">
        <v>0</v>
      </c>
      <c r="G350" s="1">
        <v>0</v>
      </c>
      <c r="H350">
        <v>3</v>
      </c>
      <c r="I350">
        <v>0.5</v>
      </c>
      <c r="J350">
        <v>1</v>
      </c>
      <c r="K350">
        <v>1</v>
      </c>
      <c r="L350">
        <f t="shared" si="20"/>
        <v>2</v>
      </c>
      <c r="M350">
        <v>0</v>
      </c>
      <c r="N350">
        <v>0</v>
      </c>
      <c r="O350">
        <v>2</v>
      </c>
      <c r="P350" s="1">
        <f t="shared" si="21"/>
        <v>0</v>
      </c>
      <c r="Q350">
        <f t="shared" si="22"/>
        <v>2</v>
      </c>
      <c r="R350" s="1">
        <f t="shared" si="23"/>
        <v>0</v>
      </c>
    </row>
    <row r="351" spans="1:18" x14ac:dyDescent="0.3">
      <c r="A351" t="s">
        <v>1238</v>
      </c>
      <c r="B351" t="s">
        <v>1239</v>
      </c>
      <c r="C351" t="s">
        <v>18</v>
      </c>
      <c r="D351">
        <v>1</v>
      </c>
      <c r="E351">
        <v>0</v>
      </c>
      <c r="G351" s="1">
        <v>0</v>
      </c>
      <c r="H351">
        <v>0</v>
      </c>
      <c r="I351">
        <v>0.5</v>
      </c>
      <c r="J351">
        <v>1</v>
      </c>
      <c r="K351">
        <v>1</v>
      </c>
      <c r="L351">
        <f t="shared" si="20"/>
        <v>2</v>
      </c>
      <c r="M351">
        <v>0</v>
      </c>
      <c r="N351">
        <v>0</v>
      </c>
      <c r="O351">
        <v>2</v>
      </c>
      <c r="P351" s="1">
        <f t="shared" si="21"/>
        <v>0</v>
      </c>
      <c r="Q351">
        <f t="shared" si="22"/>
        <v>2</v>
      </c>
      <c r="R351" s="1">
        <f t="shared" si="23"/>
        <v>0</v>
      </c>
    </row>
    <row r="352" spans="1:18" x14ac:dyDescent="0.3">
      <c r="A352" t="s">
        <v>1240</v>
      </c>
      <c r="B352" t="s">
        <v>1241</v>
      </c>
      <c r="C352" t="s">
        <v>18</v>
      </c>
      <c r="D352">
        <v>12</v>
      </c>
      <c r="E352">
        <v>0</v>
      </c>
      <c r="G352" s="1">
        <v>0</v>
      </c>
      <c r="H352">
        <v>8</v>
      </c>
      <c r="I352">
        <v>0.5</v>
      </c>
      <c r="J352">
        <v>1</v>
      </c>
      <c r="K352">
        <v>1</v>
      </c>
      <c r="L352">
        <f t="shared" si="20"/>
        <v>2</v>
      </c>
      <c r="M352">
        <v>0</v>
      </c>
      <c r="N352">
        <v>0</v>
      </c>
      <c r="O352">
        <v>2</v>
      </c>
      <c r="P352" s="1">
        <f t="shared" si="21"/>
        <v>0</v>
      </c>
      <c r="Q352">
        <f t="shared" si="22"/>
        <v>2</v>
      </c>
      <c r="R352" s="1">
        <f t="shared" si="23"/>
        <v>0</v>
      </c>
    </row>
    <row r="353" spans="1:18" x14ac:dyDescent="0.3">
      <c r="A353" t="s">
        <v>1242</v>
      </c>
      <c r="B353" t="s">
        <v>1243</v>
      </c>
      <c r="C353" t="s">
        <v>18</v>
      </c>
      <c r="D353">
        <v>11</v>
      </c>
      <c r="E353">
        <v>0</v>
      </c>
      <c r="G353" s="1">
        <v>0</v>
      </c>
      <c r="H353">
        <v>8</v>
      </c>
      <c r="I353">
        <v>0.5</v>
      </c>
      <c r="J353">
        <v>1</v>
      </c>
      <c r="K353">
        <v>1</v>
      </c>
      <c r="L353">
        <f t="shared" si="20"/>
        <v>2</v>
      </c>
      <c r="M353">
        <v>0</v>
      </c>
      <c r="N353">
        <v>0</v>
      </c>
      <c r="O353">
        <v>2</v>
      </c>
      <c r="P353" s="1">
        <f t="shared" si="21"/>
        <v>0</v>
      </c>
      <c r="Q353">
        <f t="shared" si="22"/>
        <v>2</v>
      </c>
      <c r="R353" s="1">
        <f t="shared" si="23"/>
        <v>0</v>
      </c>
    </row>
    <row r="354" spans="1:18" x14ac:dyDescent="0.3">
      <c r="A354" t="s">
        <v>1244</v>
      </c>
      <c r="B354" t="s">
        <v>1245</v>
      </c>
      <c r="C354" t="s">
        <v>18</v>
      </c>
      <c r="D354">
        <v>1</v>
      </c>
      <c r="E354">
        <v>0</v>
      </c>
      <c r="G354" s="1">
        <v>0</v>
      </c>
      <c r="H354">
        <v>1</v>
      </c>
      <c r="I354">
        <v>0.5</v>
      </c>
      <c r="J354">
        <v>1</v>
      </c>
      <c r="K354">
        <v>1</v>
      </c>
      <c r="L354">
        <f t="shared" si="20"/>
        <v>2</v>
      </c>
      <c r="M354">
        <v>0</v>
      </c>
      <c r="N354">
        <v>0</v>
      </c>
      <c r="O354">
        <v>2</v>
      </c>
      <c r="P354" s="1">
        <f t="shared" si="21"/>
        <v>0</v>
      </c>
      <c r="Q354">
        <f t="shared" si="22"/>
        <v>2</v>
      </c>
      <c r="R354" s="1">
        <f t="shared" si="23"/>
        <v>0</v>
      </c>
    </row>
    <row r="355" spans="1:18" x14ac:dyDescent="0.3">
      <c r="A355" t="s">
        <v>1246</v>
      </c>
      <c r="B355" t="s">
        <v>1247</v>
      </c>
      <c r="C355" t="s">
        <v>18</v>
      </c>
      <c r="D355">
        <v>1</v>
      </c>
      <c r="E355">
        <v>0</v>
      </c>
      <c r="G355" s="1">
        <v>0</v>
      </c>
      <c r="H355">
        <v>0</v>
      </c>
      <c r="I355">
        <v>0.5</v>
      </c>
      <c r="J355">
        <v>1</v>
      </c>
      <c r="K355">
        <v>1</v>
      </c>
      <c r="L355">
        <f t="shared" si="20"/>
        <v>2</v>
      </c>
      <c r="M355">
        <v>0</v>
      </c>
      <c r="N355">
        <v>0</v>
      </c>
      <c r="O355">
        <v>2</v>
      </c>
      <c r="P355" s="1">
        <f t="shared" si="21"/>
        <v>0</v>
      </c>
      <c r="Q355">
        <f t="shared" si="22"/>
        <v>2</v>
      </c>
      <c r="R355" s="1">
        <f t="shared" si="23"/>
        <v>0</v>
      </c>
    </row>
    <row r="356" spans="1:18" x14ac:dyDescent="0.3">
      <c r="A356" t="s">
        <v>1248</v>
      </c>
      <c r="B356" t="s">
        <v>1249</v>
      </c>
      <c r="C356" t="s">
        <v>18</v>
      </c>
      <c r="D356">
        <v>1</v>
      </c>
      <c r="E356">
        <v>0</v>
      </c>
      <c r="G356" s="1">
        <v>0</v>
      </c>
      <c r="H356">
        <v>0</v>
      </c>
      <c r="I356">
        <v>0.5</v>
      </c>
      <c r="J356">
        <v>1</v>
      </c>
      <c r="K356">
        <v>1</v>
      </c>
      <c r="L356">
        <f t="shared" si="20"/>
        <v>2</v>
      </c>
      <c r="M356">
        <v>0</v>
      </c>
      <c r="N356">
        <v>0</v>
      </c>
      <c r="O356">
        <v>2</v>
      </c>
      <c r="P356" s="1">
        <f t="shared" si="21"/>
        <v>0</v>
      </c>
      <c r="Q356">
        <f t="shared" si="22"/>
        <v>2</v>
      </c>
      <c r="R356" s="1">
        <f t="shared" si="23"/>
        <v>0</v>
      </c>
    </row>
    <row r="357" spans="1:18" x14ac:dyDescent="0.3">
      <c r="A357" t="s">
        <v>1250</v>
      </c>
      <c r="B357" t="s">
        <v>1251</v>
      </c>
      <c r="C357" t="s">
        <v>18</v>
      </c>
      <c r="D357">
        <v>1</v>
      </c>
      <c r="E357">
        <v>0</v>
      </c>
      <c r="G357" s="1">
        <v>0</v>
      </c>
      <c r="H357">
        <v>0</v>
      </c>
      <c r="I357">
        <v>0.5</v>
      </c>
      <c r="J357">
        <v>1</v>
      </c>
      <c r="K357">
        <v>1</v>
      </c>
      <c r="L357">
        <f t="shared" si="20"/>
        <v>2</v>
      </c>
      <c r="M357">
        <v>0</v>
      </c>
      <c r="N357">
        <v>0</v>
      </c>
      <c r="O357">
        <v>2</v>
      </c>
      <c r="P357" s="1">
        <f t="shared" si="21"/>
        <v>0</v>
      </c>
      <c r="Q357">
        <f t="shared" si="22"/>
        <v>2</v>
      </c>
      <c r="R357" s="1">
        <f t="shared" si="23"/>
        <v>0</v>
      </c>
    </row>
    <row r="358" spans="1:18" x14ac:dyDescent="0.3">
      <c r="A358" t="s">
        <v>1252</v>
      </c>
      <c r="B358" t="s">
        <v>1253</v>
      </c>
      <c r="C358" t="s">
        <v>18</v>
      </c>
      <c r="D358">
        <v>1</v>
      </c>
      <c r="E358">
        <v>0</v>
      </c>
      <c r="G358" s="1">
        <v>0</v>
      </c>
      <c r="H358">
        <v>0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0</v>
      </c>
    </row>
    <row r="359" spans="1:18" x14ac:dyDescent="0.3">
      <c r="A359" t="s">
        <v>1254</v>
      </c>
      <c r="B359" t="s">
        <v>1255</v>
      </c>
      <c r="C359" t="s">
        <v>18</v>
      </c>
      <c r="D359">
        <v>24</v>
      </c>
      <c r="E359">
        <v>12</v>
      </c>
      <c r="F359" t="s">
        <v>1073</v>
      </c>
      <c r="G359" s="1">
        <v>8558.02</v>
      </c>
      <c r="H359">
        <v>3</v>
      </c>
      <c r="I359">
        <v>0.8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3</v>
      </c>
      <c r="P359" s="1">
        <f t="shared" si="21"/>
        <v>0</v>
      </c>
      <c r="Q359">
        <f t="shared" si="22"/>
        <v>3</v>
      </c>
      <c r="R359" s="1">
        <f t="shared" si="23"/>
        <v>25674.06</v>
      </c>
    </row>
    <row r="360" spans="1:18" x14ac:dyDescent="0.3">
      <c r="A360" t="s">
        <v>1256</v>
      </c>
      <c r="B360" t="s">
        <v>1257</v>
      </c>
      <c r="C360" t="s">
        <v>18</v>
      </c>
      <c r="D360">
        <v>1</v>
      </c>
      <c r="E360">
        <v>0</v>
      </c>
      <c r="G360" s="1">
        <v>0</v>
      </c>
      <c r="H360">
        <v>0</v>
      </c>
      <c r="I360">
        <v>0.5</v>
      </c>
      <c r="J360">
        <v>1</v>
      </c>
      <c r="K360">
        <v>1</v>
      </c>
      <c r="L360">
        <f t="shared" si="20"/>
        <v>2</v>
      </c>
      <c r="M360">
        <v>0</v>
      </c>
      <c r="N360">
        <v>0</v>
      </c>
      <c r="O360">
        <v>2</v>
      </c>
      <c r="P360" s="1">
        <f t="shared" si="21"/>
        <v>0</v>
      </c>
      <c r="Q360">
        <f t="shared" si="22"/>
        <v>2</v>
      </c>
      <c r="R360" s="1">
        <f t="shared" si="23"/>
        <v>0</v>
      </c>
    </row>
    <row r="361" spans="1:18" x14ac:dyDescent="0.3">
      <c r="A361" t="s">
        <v>1258</v>
      </c>
      <c r="B361" t="s">
        <v>1259</v>
      </c>
      <c r="C361" t="s">
        <v>18</v>
      </c>
      <c r="D361">
        <v>4</v>
      </c>
      <c r="E361">
        <v>0</v>
      </c>
      <c r="G361" s="1">
        <v>0</v>
      </c>
      <c r="H361">
        <v>8</v>
      </c>
      <c r="I361">
        <v>0.5</v>
      </c>
      <c r="J361">
        <v>2</v>
      </c>
      <c r="K361">
        <v>1</v>
      </c>
      <c r="L361">
        <f t="shared" si="20"/>
        <v>2</v>
      </c>
      <c r="M361">
        <v>0</v>
      </c>
      <c r="N361">
        <v>0</v>
      </c>
      <c r="O361">
        <v>5</v>
      </c>
      <c r="P361" s="1">
        <f t="shared" si="21"/>
        <v>0</v>
      </c>
      <c r="Q361">
        <f t="shared" si="22"/>
        <v>5</v>
      </c>
      <c r="R361" s="1">
        <f t="shared" si="23"/>
        <v>0</v>
      </c>
    </row>
    <row r="362" spans="1:18" x14ac:dyDescent="0.3">
      <c r="A362" t="s">
        <v>1260</v>
      </c>
      <c r="B362" t="s">
        <v>1261</v>
      </c>
      <c r="C362" t="s">
        <v>18</v>
      </c>
      <c r="D362">
        <v>1</v>
      </c>
      <c r="E362">
        <v>0</v>
      </c>
      <c r="G362" s="1">
        <v>0</v>
      </c>
      <c r="H362">
        <v>0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0</v>
      </c>
    </row>
    <row r="363" spans="1:18" x14ac:dyDescent="0.3">
      <c r="A363" t="s">
        <v>1262</v>
      </c>
      <c r="B363" t="s">
        <v>1263</v>
      </c>
      <c r="C363" t="s">
        <v>18</v>
      </c>
      <c r="D363">
        <v>1</v>
      </c>
      <c r="E363">
        <v>0</v>
      </c>
      <c r="G363" s="1">
        <v>0</v>
      </c>
      <c r="H363">
        <v>1</v>
      </c>
      <c r="I363">
        <v>0.5</v>
      </c>
      <c r="J363">
        <v>1</v>
      </c>
      <c r="K363">
        <v>1</v>
      </c>
      <c r="L363">
        <f t="shared" si="20"/>
        <v>2</v>
      </c>
      <c r="M363">
        <v>0</v>
      </c>
      <c r="N363">
        <v>0</v>
      </c>
      <c r="O363">
        <v>2</v>
      </c>
      <c r="P363" s="1">
        <f t="shared" si="21"/>
        <v>0</v>
      </c>
      <c r="Q363">
        <f t="shared" si="22"/>
        <v>2</v>
      </c>
      <c r="R363" s="1">
        <f t="shared" si="23"/>
        <v>0</v>
      </c>
    </row>
    <row r="364" spans="1:18" x14ac:dyDescent="0.3">
      <c r="A364" t="s">
        <v>1264</v>
      </c>
      <c r="B364" t="s">
        <v>1265</v>
      </c>
      <c r="C364" t="s">
        <v>18</v>
      </c>
      <c r="D364">
        <v>1</v>
      </c>
      <c r="E364">
        <v>0</v>
      </c>
      <c r="G364" s="1">
        <v>0</v>
      </c>
      <c r="H364">
        <v>0</v>
      </c>
      <c r="I364">
        <v>0.5</v>
      </c>
      <c r="J364">
        <v>1</v>
      </c>
      <c r="K364">
        <v>1</v>
      </c>
      <c r="L364">
        <f t="shared" si="20"/>
        <v>2</v>
      </c>
      <c r="M364">
        <v>0</v>
      </c>
      <c r="N364">
        <v>0</v>
      </c>
      <c r="O364">
        <v>2</v>
      </c>
      <c r="P364" s="1">
        <f t="shared" si="21"/>
        <v>0</v>
      </c>
      <c r="Q364">
        <f t="shared" si="22"/>
        <v>2</v>
      </c>
      <c r="R364" s="1">
        <f t="shared" si="23"/>
        <v>0</v>
      </c>
    </row>
    <row r="365" spans="1:18" x14ac:dyDescent="0.3">
      <c r="A365" t="s">
        <v>1266</v>
      </c>
      <c r="B365" t="s">
        <v>1267</v>
      </c>
      <c r="C365" t="s">
        <v>18</v>
      </c>
      <c r="D365">
        <v>26</v>
      </c>
      <c r="E365">
        <v>1</v>
      </c>
      <c r="F365" t="s">
        <v>124</v>
      </c>
      <c r="G365" s="1">
        <v>9521.1</v>
      </c>
      <c r="H365">
        <v>8</v>
      </c>
      <c r="I365">
        <v>1.7</v>
      </c>
      <c r="J365">
        <v>1</v>
      </c>
      <c r="K365">
        <v>2</v>
      </c>
      <c r="L365">
        <f t="shared" si="20"/>
        <v>4</v>
      </c>
      <c r="M365">
        <v>0</v>
      </c>
      <c r="N365">
        <v>0</v>
      </c>
      <c r="O365">
        <v>4</v>
      </c>
      <c r="P365" s="1">
        <f t="shared" si="21"/>
        <v>0</v>
      </c>
      <c r="Q365">
        <f t="shared" si="22"/>
        <v>4</v>
      </c>
      <c r="R365" s="1">
        <f t="shared" si="23"/>
        <v>38084.400000000001</v>
      </c>
    </row>
    <row r="366" spans="1:18" x14ac:dyDescent="0.3">
      <c r="A366" t="s">
        <v>1268</v>
      </c>
      <c r="B366" t="s">
        <v>1269</v>
      </c>
      <c r="C366" t="s">
        <v>18</v>
      </c>
      <c r="D366">
        <v>1</v>
      </c>
      <c r="E366">
        <v>0</v>
      </c>
      <c r="G366" s="1">
        <v>0</v>
      </c>
      <c r="H366">
        <v>0</v>
      </c>
      <c r="I366">
        <v>0.5</v>
      </c>
      <c r="J366">
        <v>1</v>
      </c>
      <c r="K366">
        <v>1</v>
      </c>
      <c r="L366">
        <f t="shared" si="20"/>
        <v>2</v>
      </c>
      <c r="M366">
        <v>0</v>
      </c>
      <c r="N366">
        <v>0</v>
      </c>
      <c r="O366">
        <v>2</v>
      </c>
      <c r="P366" s="1">
        <f t="shared" si="21"/>
        <v>0</v>
      </c>
      <c r="Q366">
        <f t="shared" si="22"/>
        <v>2</v>
      </c>
      <c r="R366" s="1">
        <f t="shared" si="23"/>
        <v>0</v>
      </c>
    </row>
    <row r="367" spans="1:18" x14ac:dyDescent="0.3">
      <c r="A367" t="s">
        <v>1270</v>
      </c>
      <c r="B367" t="s">
        <v>1271</v>
      </c>
      <c r="C367" t="s">
        <v>18</v>
      </c>
      <c r="D367">
        <v>1</v>
      </c>
      <c r="E367">
        <v>0</v>
      </c>
      <c r="G367" s="1">
        <v>0</v>
      </c>
      <c r="H367">
        <v>0</v>
      </c>
      <c r="I367">
        <v>0.5</v>
      </c>
      <c r="J367">
        <v>1</v>
      </c>
      <c r="K367">
        <v>1</v>
      </c>
      <c r="L367">
        <f t="shared" si="20"/>
        <v>2</v>
      </c>
      <c r="M367">
        <v>0</v>
      </c>
      <c r="N367">
        <v>0</v>
      </c>
      <c r="O367">
        <v>2</v>
      </c>
      <c r="P367" s="1">
        <f t="shared" si="21"/>
        <v>0</v>
      </c>
      <c r="Q367">
        <f t="shared" si="22"/>
        <v>2</v>
      </c>
      <c r="R367" s="1">
        <f t="shared" si="23"/>
        <v>0</v>
      </c>
    </row>
    <row r="368" spans="1:18" x14ac:dyDescent="0.3">
      <c r="A368" t="s">
        <v>1272</v>
      </c>
      <c r="B368" t="s">
        <v>1273</v>
      </c>
      <c r="C368" t="s">
        <v>18</v>
      </c>
      <c r="D368">
        <v>1</v>
      </c>
      <c r="E368">
        <v>0</v>
      </c>
      <c r="F368" t="s">
        <v>1073</v>
      </c>
      <c r="G368" s="1">
        <v>0</v>
      </c>
      <c r="H368">
        <v>0</v>
      </c>
      <c r="I368">
        <v>1.2</v>
      </c>
      <c r="J368">
        <v>1</v>
      </c>
      <c r="K368">
        <v>1</v>
      </c>
      <c r="L368">
        <f t="shared" si="20"/>
        <v>3</v>
      </c>
      <c r="M368">
        <v>0</v>
      </c>
      <c r="N368">
        <v>0</v>
      </c>
      <c r="O368">
        <v>3</v>
      </c>
      <c r="P368" s="1">
        <f t="shared" si="21"/>
        <v>0</v>
      </c>
      <c r="Q368">
        <f t="shared" si="22"/>
        <v>3</v>
      </c>
      <c r="R368" s="1">
        <f t="shared" si="23"/>
        <v>0</v>
      </c>
    </row>
    <row r="369" spans="1:18" x14ac:dyDescent="0.3">
      <c r="A369" t="s">
        <v>1274</v>
      </c>
      <c r="B369" t="s">
        <v>1275</v>
      </c>
      <c r="C369" t="s">
        <v>18</v>
      </c>
      <c r="D369">
        <v>1</v>
      </c>
      <c r="E369">
        <v>0</v>
      </c>
      <c r="G369" s="1">
        <v>0</v>
      </c>
      <c r="H369">
        <v>0</v>
      </c>
      <c r="I369">
        <v>0.5</v>
      </c>
      <c r="J369">
        <v>1</v>
      </c>
      <c r="K369">
        <v>1</v>
      </c>
      <c r="L369">
        <f t="shared" si="20"/>
        <v>2</v>
      </c>
      <c r="M369">
        <v>0</v>
      </c>
      <c r="N369">
        <v>0</v>
      </c>
      <c r="O369">
        <v>2</v>
      </c>
      <c r="P369" s="1">
        <f t="shared" si="21"/>
        <v>0</v>
      </c>
      <c r="Q369">
        <f t="shared" si="22"/>
        <v>2</v>
      </c>
      <c r="R369" s="1">
        <f t="shared" si="23"/>
        <v>0</v>
      </c>
    </row>
    <row r="370" spans="1:18" x14ac:dyDescent="0.3">
      <c r="A370" t="s">
        <v>1276</v>
      </c>
      <c r="B370" t="s">
        <v>1277</v>
      </c>
      <c r="C370" t="s">
        <v>18</v>
      </c>
      <c r="D370">
        <v>1</v>
      </c>
      <c r="E370">
        <v>0</v>
      </c>
      <c r="G370" s="1">
        <v>0</v>
      </c>
      <c r="H370">
        <v>0</v>
      </c>
      <c r="I370">
        <v>0.5</v>
      </c>
      <c r="J370">
        <v>1</v>
      </c>
      <c r="K370">
        <v>1</v>
      </c>
      <c r="L370">
        <f t="shared" si="20"/>
        <v>2</v>
      </c>
      <c r="M370">
        <v>0</v>
      </c>
      <c r="N370">
        <v>0</v>
      </c>
      <c r="O370">
        <v>2</v>
      </c>
      <c r="P370" s="1">
        <f t="shared" si="21"/>
        <v>0</v>
      </c>
      <c r="Q370">
        <f t="shared" si="22"/>
        <v>2</v>
      </c>
      <c r="R370" s="1">
        <f t="shared" si="23"/>
        <v>0</v>
      </c>
    </row>
    <row r="371" spans="1:18" x14ac:dyDescent="0.3">
      <c r="A371" t="s">
        <v>1278</v>
      </c>
      <c r="B371" t="s">
        <v>1279</v>
      </c>
      <c r="C371" t="s">
        <v>18</v>
      </c>
      <c r="D371">
        <v>1</v>
      </c>
      <c r="E371">
        <v>0</v>
      </c>
      <c r="G371" s="1">
        <v>0</v>
      </c>
      <c r="H371">
        <v>1</v>
      </c>
      <c r="I371">
        <v>0.5</v>
      </c>
      <c r="J371">
        <v>1</v>
      </c>
      <c r="K371">
        <v>1</v>
      </c>
      <c r="L371">
        <f t="shared" si="20"/>
        <v>2</v>
      </c>
      <c r="M371">
        <v>0</v>
      </c>
      <c r="N371">
        <v>0</v>
      </c>
      <c r="O371">
        <v>2</v>
      </c>
      <c r="P371" s="1">
        <f t="shared" si="21"/>
        <v>0</v>
      </c>
      <c r="Q371">
        <f t="shared" si="22"/>
        <v>2</v>
      </c>
      <c r="R371" s="1">
        <f t="shared" si="23"/>
        <v>0</v>
      </c>
    </row>
    <row r="372" spans="1:18" x14ac:dyDescent="0.3">
      <c r="A372" t="s">
        <v>1280</v>
      </c>
      <c r="B372" t="s">
        <v>1281</v>
      </c>
      <c r="C372" t="s">
        <v>18</v>
      </c>
      <c r="D372">
        <v>1</v>
      </c>
      <c r="E372">
        <v>0</v>
      </c>
      <c r="G372" s="1">
        <v>0</v>
      </c>
      <c r="H372">
        <v>0</v>
      </c>
      <c r="I372">
        <v>0.5</v>
      </c>
      <c r="J372">
        <v>1</v>
      </c>
      <c r="K372">
        <v>1</v>
      </c>
      <c r="L372">
        <f t="shared" si="20"/>
        <v>2</v>
      </c>
      <c r="M372">
        <v>0</v>
      </c>
      <c r="N372">
        <v>0</v>
      </c>
      <c r="O372">
        <v>2</v>
      </c>
      <c r="P372" s="1">
        <f t="shared" si="21"/>
        <v>0</v>
      </c>
      <c r="Q372">
        <f t="shared" si="22"/>
        <v>2</v>
      </c>
      <c r="R372" s="1">
        <f t="shared" si="23"/>
        <v>0</v>
      </c>
    </row>
    <row r="373" spans="1:18" x14ac:dyDescent="0.3">
      <c r="A373" t="s">
        <v>1282</v>
      </c>
      <c r="B373" t="s">
        <v>1283</v>
      </c>
      <c r="C373" t="s">
        <v>18</v>
      </c>
      <c r="D373">
        <v>1</v>
      </c>
      <c r="E373">
        <v>0</v>
      </c>
      <c r="G373" s="1">
        <v>0</v>
      </c>
      <c r="H373">
        <v>3</v>
      </c>
      <c r="I373">
        <v>0.5</v>
      </c>
      <c r="J373">
        <v>3</v>
      </c>
      <c r="K373">
        <v>2</v>
      </c>
      <c r="L373">
        <f t="shared" si="20"/>
        <v>4</v>
      </c>
      <c r="M373">
        <v>0</v>
      </c>
      <c r="N373">
        <v>0</v>
      </c>
      <c r="O373">
        <v>8</v>
      </c>
      <c r="P373" s="1">
        <f t="shared" si="21"/>
        <v>0</v>
      </c>
      <c r="Q373">
        <f t="shared" si="22"/>
        <v>8</v>
      </c>
      <c r="R373" s="1">
        <f t="shared" si="23"/>
        <v>0</v>
      </c>
    </row>
    <row r="374" spans="1:18" x14ac:dyDescent="0.3">
      <c r="A374" t="s">
        <v>1284</v>
      </c>
      <c r="B374" t="s">
        <v>1285</v>
      </c>
      <c r="C374" t="s">
        <v>18</v>
      </c>
      <c r="D374">
        <v>1</v>
      </c>
      <c r="E374">
        <v>0</v>
      </c>
      <c r="G374" s="1">
        <v>0</v>
      </c>
      <c r="H374">
        <v>0</v>
      </c>
      <c r="I374">
        <v>0.5</v>
      </c>
      <c r="J374">
        <v>1</v>
      </c>
      <c r="K374">
        <v>1</v>
      </c>
      <c r="L374">
        <f t="shared" si="20"/>
        <v>2</v>
      </c>
      <c r="M374">
        <v>0</v>
      </c>
      <c r="N374">
        <v>0</v>
      </c>
      <c r="O374">
        <v>2</v>
      </c>
      <c r="P374" s="1">
        <f t="shared" si="21"/>
        <v>0</v>
      </c>
      <c r="Q374">
        <f t="shared" si="22"/>
        <v>2</v>
      </c>
      <c r="R374" s="1">
        <f t="shared" si="23"/>
        <v>0</v>
      </c>
    </row>
    <row r="375" spans="1:18" x14ac:dyDescent="0.3">
      <c r="A375" t="s">
        <v>1286</v>
      </c>
      <c r="B375" t="s">
        <v>1287</v>
      </c>
      <c r="C375" t="s">
        <v>18</v>
      </c>
      <c r="D375">
        <v>6</v>
      </c>
      <c r="E375">
        <v>0</v>
      </c>
      <c r="G375" s="1">
        <v>0</v>
      </c>
      <c r="H375">
        <v>3</v>
      </c>
      <c r="I375">
        <v>0.5</v>
      </c>
      <c r="J375">
        <v>1</v>
      </c>
      <c r="K375">
        <v>1</v>
      </c>
      <c r="L375">
        <f t="shared" si="20"/>
        <v>2</v>
      </c>
      <c r="M375">
        <v>0</v>
      </c>
      <c r="N375">
        <v>0</v>
      </c>
      <c r="O375">
        <v>2</v>
      </c>
      <c r="P375" s="1">
        <f t="shared" si="21"/>
        <v>0</v>
      </c>
      <c r="Q375">
        <f t="shared" si="22"/>
        <v>2</v>
      </c>
      <c r="R375" s="1">
        <f t="shared" si="23"/>
        <v>0</v>
      </c>
    </row>
    <row r="376" spans="1:18" x14ac:dyDescent="0.3">
      <c r="A376" t="s">
        <v>1288</v>
      </c>
      <c r="B376" t="s">
        <v>1289</v>
      </c>
      <c r="C376" t="s">
        <v>18</v>
      </c>
      <c r="D376">
        <v>1</v>
      </c>
      <c r="E376">
        <v>0</v>
      </c>
      <c r="G376" s="1">
        <v>0</v>
      </c>
      <c r="H376">
        <v>0</v>
      </c>
      <c r="I376">
        <v>0.5</v>
      </c>
      <c r="J376">
        <v>1</v>
      </c>
      <c r="K376">
        <v>1</v>
      </c>
      <c r="L376">
        <f t="shared" si="20"/>
        <v>2</v>
      </c>
      <c r="M376">
        <v>0</v>
      </c>
      <c r="N376">
        <v>0</v>
      </c>
      <c r="O376">
        <v>2</v>
      </c>
      <c r="P376" s="1">
        <f t="shared" si="21"/>
        <v>0</v>
      </c>
      <c r="Q376">
        <f t="shared" si="22"/>
        <v>2</v>
      </c>
      <c r="R376" s="1">
        <f t="shared" si="23"/>
        <v>0</v>
      </c>
    </row>
    <row r="377" spans="1:18" x14ac:dyDescent="0.3">
      <c r="A377" t="s">
        <v>1290</v>
      </c>
      <c r="B377" t="s">
        <v>1291</v>
      </c>
      <c r="C377" t="s">
        <v>18</v>
      </c>
      <c r="D377">
        <v>16</v>
      </c>
      <c r="E377">
        <v>0</v>
      </c>
      <c r="G377" s="1">
        <v>0</v>
      </c>
      <c r="H377">
        <v>3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0</v>
      </c>
    </row>
    <row r="378" spans="1:18" x14ac:dyDescent="0.3">
      <c r="A378" t="s">
        <v>1292</v>
      </c>
      <c r="B378" t="s">
        <v>1293</v>
      </c>
      <c r="C378" t="s">
        <v>18</v>
      </c>
      <c r="D378">
        <v>1</v>
      </c>
      <c r="E378">
        <v>0</v>
      </c>
      <c r="G378" s="1">
        <v>0</v>
      </c>
      <c r="H378">
        <v>0</v>
      </c>
      <c r="I378">
        <v>0.5</v>
      </c>
      <c r="J378">
        <v>1</v>
      </c>
      <c r="K378">
        <v>1</v>
      </c>
      <c r="L378">
        <f t="shared" si="20"/>
        <v>2</v>
      </c>
      <c r="M378">
        <v>0</v>
      </c>
      <c r="N378">
        <v>0</v>
      </c>
      <c r="O378">
        <v>2</v>
      </c>
      <c r="P378" s="1">
        <f t="shared" si="21"/>
        <v>0</v>
      </c>
      <c r="Q378">
        <f t="shared" si="22"/>
        <v>2</v>
      </c>
      <c r="R378" s="1">
        <f t="shared" si="23"/>
        <v>0</v>
      </c>
    </row>
    <row r="379" spans="1:18" x14ac:dyDescent="0.3">
      <c r="A379" t="s">
        <v>1294</v>
      </c>
      <c r="B379" t="s">
        <v>1295</v>
      </c>
      <c r="C379" t="s">
        <v>18</v>
      </c>
      <c r="D379">
        <v>1</v>
      </c>
      <c r="E379">
        <v>0</v>
      </c>
      <c r="G379" s="1">
        <v>0</v>
      </c>
      <c r="H379">
        <v>1</v>
      </c>
      <c r="I379">
        <v>0.5</v>
      </c>
      <c r="J379">
        <v>1</v>
      </c>
      <c r="K379">
        <v>1</v>
      </c>
      <c r="L379">
        <f t="shared" si="20"/>
        <v>2</v>
      </c>
      <c r="M379">
        <v>0</v>
      </c>
      <c r="N379">
        <v>0</v>
      </c>
      <c r="O379">
        <v>2</v>
      </c>
      <c r="P379" s="1">
        <f t="shared" si="21"/>
        <v>0</v>
      </c>
      <c r="Q379">
        <f t="shared" si="22"/>
        <v>2</v>
      </c>
      <c r="R379" s="1">
        <f t="shared" si="23"/>
        <v>0</v>
      </c>
    </row>
    <row r="380" spans="1:18" x14ac:dyDescent="0.3">
      <c r="A380" t="s">
        <v>1296</v>
      </c>
      <c r="B380" t="s">
        <v>1297</v>
      </c>
      <c r="C380" t="s">
        <v>18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0</v>
      </c>
    </row>
    <row r="381" spans="1:18" x14ac:dyDescent="0.3">
      <c r="A381" t="s">
        <v>1298</v>
      </c>
      <c r="B381" t="s">
        <v>1299</v>
      </c>
      <c r="C381" t="s">
        <v>18</v>
      </c>
      <c r="D381">
        <v>17</v>
      </c>
      <c r="E381">
        <v>0</v>
      </c>
      <c r="G381" s="1">
        <v>0</v>
      </c>
      <c r="H381">
        <v>6</v>
      </c>
      <c r="I381">
        <v>0.5</v>
      </c>
      <c r="J381">
        <v>1</v>
      </c>
      <c r="K381">
        <v>1</v>
      </c>
      <c r="L381">
        <f t="shared" si="20"/>
        <v>2</v>
      </c>
      <c r="M381">
        <v>0</v>
      </c>
      <c r="N381">
        <v>0</v>
      </c>
      <c r="O381">
        <v>2</v>
      </c>
      <c r="P381" s="1">
        <f t="shared" si="21"/>
        <v>0</v>
      </c>
      <c r="Q381">
        <f t="shared" si="22"/>
        <v>2</v>
      </c>
      <c r="R381" s="1">
        <f t="shared" si="23"/>
        <v>0</v>
      </c>
    </row>
    <row r="382" spans="1:18" x14ac:dyDescent="0.3">
      <c r="A382" t="s">
        <v>1300</v>
      </c>
      <c r="B382" t="s">
        <v>1301</v>
      </c>
      <c r="C382" t="s">
        <v>18</v>
      </c>
      <c r="D382">
        <v>1</v>
      </c>
      <c r="E382">
        <v>0</v>
      </c>
      <c r="G382" s="1">
        <v>0</v>
      </c>
      <c r="H382">
        <v>0</v>
      </c>
      <c r="I382">
        <v>0.5</v>
      </c>
      <c r="J382">
        <v>1</v>
      </c>
      <c r="K382">
        <v>1</v>
      </c>
      <c r="L382">
        <f t="shared" si="20"/>
        <v>2</v>
      </c>
      <c r="M382">
        <v>0</v>
      </c>
      <c r="N382">
        <v>0</v>
      </c>
      <c r="O382">
        <v>2</v>
      </c>
      <c r="P382" s="1">
        <f t="shared" si="21"/>
        <v>0</v>
      </c>
      <c r="Q382">
        <f t="shared" si="22"/>
        <v>2</v>
      </c>
      <c r="R382" s="1">
        <f t="shared" si="23"/>
        <v>0</v>
      </c>
    </row>
    <row r="383" spans="1:18" x14ac:dyDescent="0.3">
      <c r="A383" t="s">
        <v>1302</v>
      </c>
      <c r="B383" t="s">
        <v>1303</v>
      </c>
      <c r="C383" t="s">
        <v>18</v>
      </c>
      <c r="D383">
        <v>12</v>
      </c>
      <c r="E383">
        <v>0</v>
      </c>
      <c r="G383" s="1">
        <v>0</v>
      </c>
      <c r="H383">
        <v>15</v>
      </c>
      <c r="I383">
        <v>0.5</v>
      </c>
      <c r="J383">
        <v>1.5</v>
      </c>
      <c r="K383">
        <v>1</v>
      </c>
      <c r="L383">
        <f t="shared" si="20"/>
        <v>2</v>
      </c>
      <c r="M383">
        <v>0</v>
      </c>
      <c r="N383">
        <v>0</v>
      </c>
      <c r="O383">
        <v>4</v>
      </c>
      <c r="P383" s="1">
        <f t="shared" si="21"/>
        <v>0</v>
      </c>
      <c r="Q383">
        <f t="shared" si="22"/>
        <v>4</v>
      </c>
      <c r="R383" s="1">
        <f t="shared" si="23"/>
        <v>0</v>
      </c>
    </row>
    <row r="384" spans="1:18" x14ac:dyDescent="0.3">
      <c r="A384" t="s">
        <v>1304</v>
      </c>
      <c r="B384" t="s">
        <v>1305</v>
      </c>
      <c r="C384" t="s">
        <v>18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x14ac:dyDescent="0.3">
      <c r="A385" t="s">
        <v>1306</v>
      </c>
      <c r="B385" t="s">
        <v>1307</v>
      </c>
      <c r="C385" t="s">
        <v>18</v>
      </c>
      <c r="D385">
        <v>13</v>
      </c>
      <c r="E385">
        <v>0</v>
      </c>
      <c r="G385" s="1">
        <v>0</v>
      </c>
      <c r="H385">
        <v>5</v>
      </c>
      <c r="I385">
        <v>0.5</v>
      </c>
      <c r="J385">
        <v>1</v>
      </c>
      <c r="K385">
        <v>1</v>
      </c>
      <c r="L385">
        <f t="shared" si="20"/>
        <v>2</v>
      </c>
      <c r="M385">
        <v>0</v>
      </c>
      <c r="N385">
        <v>0</v>
      </c>
      <c r="O385">
        <v>2</v>
      </c>
      <c r="P385" s="1">
        <f t="shared" si="21"/>
        <v>0</v>
      </c>
      <c r="Q385">
        <f t="shared" si="22"/>
        <v>2</v>
      </c>
      <c r="R385" s="1">
        <f t="shared" si="23"/>
        <v>0</v>
      </c>
    </row>
    <row r="386" spans="1:18" x14ac:dyDescent="0.3">
      <c r="A386" t="s">
        <v>1308</v>
      </c>
      <c r="B386" t="s">
        <v>1309</v>
      </c>
      <c r="C386" t="s">
        <v>18</v>
      </c>
      <c r="D386">
        <v>1</v>
      </c>
      <c r="E386">
        <v>0</v>
      </c>
      <c r="G386" s="1">
        <v>0</v>
      </c>
      <c r="H386">
        <v>3</v>
      </c>
      <c r="I386">
        <v>0.5</v>
      </c>
      <c r="J386">
        <v>3</v>
      </c>
      <c r="K386">
        <v>2</v>
      </c>
      <c r="L386">
        <f t="shared" ref="L386:L449" si="24">ROUNDUP((J386*I386)+K386,0)</f>
        <v>4</v>
      </c>
      <c r="M386">
        <v>0</v>
      </c>
      <c r="N386">
        <v>0</v>
      </c>
      <c r="O386">
        <v>8</v>
      </c>
      <c r="P386" s="1">
        <f t="shared" ref="P386:P449" si="25">IFERROR(M386*G386,0)</f>
        <v>0</v>
      </c>
      <c r="Q386">
        <f t="shared" ref="Q386:Q449" si="26">IF(O386-M386-N386&gt;0,O386-M386-N386,0)</f>
        <v>8</v>
      </c>
      <c r="R386" s="1">
        <f t="shared" ref="R386:R449" si="27">IFERROR(Q386*G386,0)</f>
        <v>0</v>
      </c>
    </row>
    <row r="387" spans="1:18" x14ac:dyDescent="0.3">
      <c r="A387" t="s">
        <v>1310</v>
      </c>
      <c r="B387" t="s">
        <v>1311</v>
      </c>
      <c r="C387" t="s">
        <v>18</v>
      </c>
      <c r="D387">
        <v>10</v>
      </c>
      <c r="E387">
        <v>0</v>
      </c>
      <c r="G387" s="1">
        <v>0</v>
      </c>
      <c r="H387">
        <v>3</v>
      </c>
      <c r="I387">
        <v>0.5</v>
      </c>
      <c r="J387">
        <v>1</v>
      </c>
      <c r="K387">
        <v>1</v>
      </c>
      <c r="L387">
        <f t="shared" si="24"/>
        <v>2</v>
      </c>
      <c r="M387">
        <v>0</v>
      </c>
      <c r="N387">
        <v>0</v>
      </c>
      <c r="O387">
        <v>2</v>
      </c>
      <c r="P387" s="1">
        <f t="shared" si="25"/>
        <v>0</v>
      </c>
      <c r="Q387">
        <f t="shared" si="26"/>
        <v>2</v>
      </c>
      <c r="R387" s="1">
        <f t="shared" si="27"/>
        <v>0</v>
      </c>
    </row>
    <row r="388" spans="1:18" x14ac:dyDescent="0.3">
      <c r="A388" t="s">
        <v>1312</v>
      </c>
      <c r="B388" t="s">
        <v>1313</v>
      </c>
      <c r="C388" t="s">
        <v>18</v>
      </c>
      <c r="D388">
        <v>31</v>
      </c>
      <c r="E388">
        <v>1</v>
      </c>
      <c r="F388" t="s">
        <v>124</v>
      </c>
      <c r="G388" s="1">
        <v>9281.52</v>
      </c>
      <c r="H388">
        <v>2</v>
      </c>
      <c r="I388">
        <v>0.5</v>
      </c>
      <c r="J388">
        <v>1</v>
      </c>
      <c r="K388">
        <v>1</v>
      </c>
      <c r="L388">
        <f t="shared" si="24"/>
        <v>2</v>
      </c>
      <c r="M388">
        <v>0</v>
      </c>
      <c r="N388">
        <v>0</v>
      </c>
      <c r="O388">
        <v>2</v>
      </c>
      <c r="P388" s="1">
        <f t="shared" si="25"/>
        <v>0</v>
      </c>
      <c r="Q388">
        <f t="shared" si="26"/>
        <v>2</v>
      </c>
      <c r="R388" s="1">
        <f t="shared" si="27"/>
        <v>18563.04</v>
      </c>
    </row>
    <row r="389" spans="1:18" x14ac:dyDescent="0.3">
      <c r="A389" t="s">
        <v>1314</v>
      </c>
      <c r="B389" t="s">
        <v>1315</v>
      </c>
      <c r="C389" t="s">
        <v>18</v>
      </c>
      <c r="D389">
        <v>1</v>
      </c>
      <c r="E389">
        <v>1</v>
      </c>
      <c r="F389" t="s">
        <v>1073</v>
      </c>
      <c r="G389" s="1">
        <v>3511.53</v>
      </c>
      <c r="H389">
        <v>0</v>
      </c>
      <c r="I389">
        <v>1.4</v>
      </c>
      <c r="J389">
        <v>1</v>
      </c>
      <c r="K389">
        <v>1</v>
      </c>
      <c r="L389">
        <f t="shared" si="24"/>
        <v>3</v>
      </c>
      <c r="M389">
        <v>0</v>
      </c>
      <c r="N389">
        <v>0</v>
      </c>
      <c r="O389">
        <v>3</v>
      </c>
      <c r="P389" s="1">
        <f t="shared" si="25"/>
        <v>0</v>
      </c>
      <c r="Q389">
        <f t="shared" si="26"/>
        <v>3</v>
      </c>
      <c r="R389" s="1">
        <f t="shared" si="27"/>
        <v>10534.59</v>
      </c>
    </row>
    <row r="390" spans="1:18" x14ac:dyDescent="0.3">
      <c r="A390" t="s">
        <v>1316</v>
      </c>
      <c r="B390" t="s">
        <v>1317</v>
      </c>
      <c r="C390" t="s">
        <v>18</v>
      </c>
      <c r="D390">
        <v>1</v>
      </c>
      <c r="E390">
        <v>0</v>
      </c>
      <c r="G390" s="1">
        <v>0</v>
      </c>
      <c r="H390">
        <v>1</v>
      </c>
      <c r="I390">
        <v>0.5</v>
      </c>
      <c r="J390">
        <v>1</v>
      </c>
      <c r="K390">
        <v>1</v>
      </c>
      <c r="L390">
        <f t="shared" si="24"/>
        <v>2</v>
      </c>
      <c r="M390">
        <v>0</v>
      </c>
      <c r="N390">
        <v>0</v>
      </c>
      <c r="O390">
        <v>2</v>
      </c>
      <c r="P390" s="1">
        <f t="shared" si="25"/>
        <v>0</v>
      </c>
      <c r="Q390">
        <f t="shared" si="26"/>
        <v>2</v>
      </c>
      <c r="R390" s="1">
        <f t="shared" si="27"/>
        <v>0</v>
      </c>
    </row>
    <row r="391" spans="1:18" x14ac:dyDescent="0.3">
      <c r="A391" t="s">
        <v>1318</v>
      </c>
      <c r="B391" t="s">
        <v>1319</v>
      </c>
      <c r="C391" t="s">
        <v>18</v>
      </c>
      <c r="D391">
        <v>1</v>
      </c>
      <c r="E391">
        <v>0</v>
      </c>
      <c r="G391" s="1">
        <v>0</v>
      </c>
      <c r="H391">
        <v>1</v>
      </c>
      <c r="I391">
        <v>0.5</v>
      </c>
      <c r="J391">
        <v>1</v>
      </c>
      <c r="K391">
        <v>1</v>
      </c>
      <c r="L391">
        <f t="shared" si="24"/>
        <v>2</v>
      </c>
      <c r="M391">
        <v>0</v>
      </c>
      <c r="N391">
        <v>0</v>
      </c>
      <c r="O391">
        <v>2</v>
      </c>
      <c r="P391" s="1">
        <f t="shared" si="25"/>
        <v>0</v>
      </c>
      <c r="Q391">
        <f t="shared" si="26"/>
        <v>2</v>
      </c>
      <c r="R391" s="1">
        <f t="shared" si="27"/>
        <v>0</v>
      </c>
    </row>
    <row r="392" spans="1:18" x14ac:dyDescent="0.3">
      <c r="A392" t="s">
        <v>1320</v>
      </c>
      <c r="B392" t="s">
        <v>1321</v>
      </c>
      <c r="C392" t="s">
        <v>18</v>
      </c>
      <c r="D392">
        <v>26</v>
      </c>
      <c r="E392">
        <v>3</v>
      </c>
      <c r="F392" t="s">
        <v>124</v>
      </c>
      <c r="G392" s="1">
        <v>8775</v>
      </c>
      <c r="H392">
        <v>5</v>
      </c>
      <c r="I392">
        <v>0.7</v>
      </c>
      <c r="J392">
        <v>1</v>
      </c>
      <c r="K392">
        <v>1</v>
      </c>
      <c r="L392">
        <f t="shared" si="24"/>
        <v>2</v>
      </c>
      <c r="M392">
        <v>0</v>
      </c>
      <c r="N392">
        <v>0</v>
      </c>
      <c r="O392">
        <v>3</v>
      </c>
      <c r="P392" s="1">
        <f t="shared" si="25"/>
        <v>0</v>
      </c>
      <c r="Q392">
        <f t="shared" si="26"/>
        <v>3</v>
      </c>
      <c r="R392" s="1">
        <f t="shared" si="27"/>
        <v>26325</v>
      </c>
    </row>
    <row r="393" spans="1:18" x14ac:dyDescent="0.3">
      <c r="A393" t="s">
        <v>1322</v>
      </c>
      <c r="B393" t="s">
        <v>1323</v>
      </c>
      <c r="C393" t="s">
        <v>18</v>
      </c>
      <c r="D393">
        <v>25</v>
      </c>
      <c r="E393">
        <v>1</v>
      </c>
      <c r="F393" t="s">
        <v>1073</v>
      </c>
      <c r="G393" s="1">
        <v>8058</v>
      </c>
      <c r="H393">
        <v>9</v>
      </c>
      <c r="I393">
        <v>0.5</v>
      </c>
      <c r="J393">
        <v>1</v>
      </c>
      <c r="K393">
        <v>1</v>
      </c>
      <c r="L393">
        <f t="shared" si="24"/>
        <v>2</v>
      </c>
      <c r="M393">
        <v>0</v>
      </c>
      <c r="N393">
        <v>0</v>
      </c>
      <c r="O393">
        <v>2</v>
      </c>
      <c r="P393" s="1">
        <f t="shared" si="25"/>
        <v>0</v>
      </c>
      <c r="Q393">
        <f t="shared" si="26"/>
        <v>2</v>
      </c>
      <c r="R393" s="1">
        <f t="shared" si="27"/>
        <v>16116</v>
      </c>
    </row>
    <row r="394" spans="1:18" x14ac:dyDescent="0.3">
      <c r="A394" t="s">
        <v>1324</v>
      </c>
      <c r="B394" t="s">
        <v>1325</v>
      </c>
      <c r="C394" t="s">
        <v>18</v>
      </c>
      <c r="D394">
        <v>19</v>
      </c>
      <c r="E394">
        <v>0</v>
      </c>
      <c r="G394" s="1">
        <v>0</v>
      </c>
      <c r="H394">
        <v>17</v>
      </c>
      <c r="I394">
        <v>0.5</v>
      </c>
      <c r="J394">
        <v>1</v>
      </c>
      <c r="K394">
        <v>1</v>
      </c>
      <c r="L394">
        <f t="shared" si="24"/>
        <v>2</v>
      </c>
      <c r="M394">
        <v>0</v>
      </c>
      <c r="N394">
        <v>0</v>
      </c>
      <c r="O394">
        <v>2</v>
      </c>
      <c r="P394" s="1">
        <f t="shared" si="25"/>
        <v>0</v>
      </c>
      <c r="Q394">
        <f t="shared" si="26"/>
        <v>2</v>
      </c>
      <c r="R394" s="1">
        <f t="shared" si="27"/>
        <v>0</v>
      </c>
    </row>
    <row r="395" spans="1:18" x14ac:dyDescent="0.3">
      <c r="A395" t="s">
        <v>1326</v>
      </c>
      <c r="B395" t="s">
        <v>1327</v>
      </c>
      <c r="C395" t="s">
        <v>18</v>
      </c>
      <c r="D395">
        <v>20</v>
      </c>
      <c r="E395">
        <v>0</v>
      </c>
      <c r="G395" s="1">
        <v>0</v>
      </c>
      <c r="H395">
        <v>3</v>
      </c>
      <c r="I395">
        <v>0.5</v>
      </c>
      <c r="J395">
        <v>1</v>
      </c>
      <c r="K395">
        <v>1</v>
      </c>
      <c r="L395">
        <f t="shared" si="24"/>
        <v>2</v>
      </c>
      <c r="M395">
        <v>0</v>
      </c>
      <c r="N395">
        <v>0</v>
      </c>
      <c r="O395">
        <v>2</v>
      </c>
      <c r="P395" s="1">
        <f t="shared" si="25"/>
        <v>0</v>
      </c>
      <c r="Q395">
        <f t="shared" si="26"/>
        <v>2</v>
      </c>
      <c r="R395" s="1">
        <f t="shared" si="27"/>
        <v>0</v>
      </c>
    </row>
    <row r="396" spans="1:18" x14ac:dyDescent="0.3">
      <c r="A396" t="s">
        <v>1328</v>
      </c>
      <c r="B396" t="s">
        <v>1329</v>
      </c>
      <c r="C396" t="s">
        <v>18</v>
      </c>
      <c r="D396">
        <v>1</v>
      </c>
      <c r="E396">
        <v>0</v>
      </c>
      <c r="G396" s="1">
        <v>0</v>
      </c>
      <c r="H396">
        <v>0</v>
      </c>
      <c r="I396">
        <v>0.5</v>
      </c>
      <c r="J396">
        <v>1</v>
      </c>
      <c r="K396">
        <v>1</v>
      </c>
      <c r="L396">
        <f t="shared" si="24"/>
        <v>2</v>
      </c>
      <c r="M396">
        <v>0</v>
      </c>
      <c r="N396">
        <v>0</v>
      </c>
      <c r="O396">
        <v>2</v>
      </c>
      <c r="P396" s="1">
        <f t="shared" si="25"/>
        <v>0</v>
      </c>
      <c r="Q396">
        <f t="shared" si="26"/>
        <v>2</v>
      </c>
      <c r="R396" s="1">
        <f t="shared" si="27"/>
        <v>0</v>
      </c>
    </row>
    <row r="397" spans="1:18" x14ac:dyDescent="0.3">
      <c r="A397" t="s">
        <v>1330</v>
      </c>
      <c r="B397" t="s">
        <v>1331</v>
      </c>
      <c r="C397" t="s">
        <v>18</v>
      </c>
      <c r="D397">
        <v>1</v>
      </c>
      <c r="E397">
        <v>0</v>
      </c>
      <c r="G397" s="1">
        <v>0</v>
      </c>
      <c r="H397">
        <v>2</v>
      </c>
      <c r="I397">
        <v>0.5</v>
      </c>
      <c r="J397">
        <v>2</v>
      </c>
      <c r="K397">
        <v>1</v>
      </c>
      <c r="L397">
        <f t="shared" si="24"/>
        <v>2</v>
      </c>
      <c r="M397">
        <v>0</v>
      </c>
      <c r="N397">
        <v>0</v>
      </c>
      <c r="O397">
        <v>5</v>
      </c>
      <c r="P397" s="1">
        <f t="shared" si="25"/>
        <v>0</v>
      </c>
      <c r="Q397">
        <f t="shared" si="26"/>
        <v>5</v>
      </c>
      <c r="R397" s="1">
        <f t="shared" si="27"/>
        <v>0</v>
      </c>
    </row>
    <row r="398" spans="1:18" x14ac:dyDescent="0.3">
      <c r="A398" t="s">
        <v>1332</v>
      </c>
      <c r="B398" t="s">
        <v>1333</v>
      </c>
      <c r="C398" t="s">
        <v>18</v>
      </c>
      <c r="D398">
        <v>1</v>
      </c>
      <c r="E398">
        <v>0</v>
      </c>
      <c r="G398" s="1">
        <v>0</v>
      </c>
      <c r="H398">
        <v>0</v>
      </c>
      <c r="I398">
        <v>0.5</v>
      </c>
      <c r="J398">
        <v>1</v>
      </c>
      <c r="K398">
        <v>1</v>
      </c>
      <c r="L398">
        <f t="shared" si="24"/>
        <v>2</v>
      </c>
      <c r="M398">
        <v>0</v>
      </c>
      <c r="N398">
        <v>0</v>
      </c>
      <c r="O398">
        <v>2</v>
      </c>
      <c r="P398" s="1">
        <f t="shared" si="25"/>
        <v>0</v>
      </c>
      <c r="Q398">
        <f t="shared" si="26"/>
        <v>2</v>
      </c>
      <c r="R398" s="1">
        <f t="shared" si="27"/>
        <v>0</v>
      </c>
    </row>
    <row r="399" spans="1:18" x14ac:dyDescent="0.3">
      <c r="A399" t="s">
        <v>1334</v>
      </c>
      <c r="B399" t="s">
        <v>1335</v>
      </c>
      <c r="C399" t="s">
        <v>18</v>
      </c>
      <c r="D399">
        <v>1</v>
      </c>
      <c r="E399">
        <v>0</v>
      </c>
      <c r="G399" s="1">
        <v>0</v>
      </c>
      <c r="H399">
        <v>0</v>
      </c>
      <c r="I399">
        <v>0.5</v>
      </c>
      <c r="J399">
        <v>1</v>
      </c>
      <c r="K399">
        <v>1</v>
      </c>
      <c r="L399">
        <f t="shared" si="24"/>
        <v>2</v>
      </c>
      <c r="M399">
        <v>0</v>
      </c>
      <c r="N399">
        <v>0</v>
      </c>
      <c r="O399">
        <v>2</v>
      </c>
      <c r="P399" s="1">
        <f t="shared" si="25"/>
        <v>0</v>
      </c>
      <c r="Q399">
        <f t="shared" si="26"/>
        <v>2</v>
      </c>
      <c r="R399" s="1">
        <f t="shared" si="27"/>
        <v>0</v>
      </c>
    </row>
    <row r="400" spans="1:18" x14ac:dyDescent="0.3">
      <c r="A400" t="s">
        <v>1336</v>
      </c>
      <c r="B400" t="s">
        <v>1337</v>
      </c>
      <c r="C400" t="s">
        <v>18</v>
      </c>
      <c r="D400">
        <v>31</v>
      </c>
      <c r="E400">
        <v>2</v>
      </c>
      <c r="F400" t="s">
        <v>124</v>
      </c>
      <c r="G400" s="1">
        <v>10080</v>
      </c>
      <c r="H400">
        <v>15</v>
      </c>
      <c r="I400">
        <v>1.1000000000000001</v>
      </c>
      <c r="J400">
        <v>1</v>
      </c>
      <c r="K400">
        <v>1</v>
      </c>
      <c r="L400">
        <f t="shared" si="24"/>
        <v>3</v>
      </c>
      <c r="M400">
        <v>0</v>
      </c>
      <c r="N400">
        <v>0</v>
      </c>
      <c r="O400">
        <v>3</v>
      </c>
      <c r="P400" s="1">
        <f t="shared" si="25"/>
        <v>0</v>
      </c>
      <c r="Q400">
        <f t="shared" si="26"/>
        <v>3</v>
      </c>
      <c r="R400" s="1">
        <f t="shared" si="27"/>
        <v>30240</v>
      </c>
    </row>
    <row r="401" spans="1:18" x14ac:dyDescent="0.3">
      <c r="A401" t="s">
        <v>1338</v>
      </c>
      <c r="B401" t="s">
        <v>1339</v>
      </c>
      <c r="C401" t="s">
        <v>18</v>
      </c>
      <c r="D401">
        <v>1</v>
      </c>
      <c r="E401">
        <v>0</v>
      </c>
      <c r="G401" s="1">
        <v>0</v>
      </c>
      <c r="H401">
        <v>0</v>
      </c>
      <c r="I401">
        <v>0.5</v>
      </c>
      <c r="J401">
        <v>1</v>
      </c>
      <c r="K401">
        <v>1</v>
      </c>
      <c r="L401">
        <f t="shared" si="24"/>
        <v>2</v>
      </c>
      <c r="M401">
        <v>0</v>
      </c>
      <c r="N401">
        <v>0</v>
      </c>
      <c r="O401">
        <v>2</v>
      </c>
      <c r="P401" s="1">
        <f t="shared" si="25"/>
        <v>0</v>
      </c>
      <c r="Q401">
        <f t="shared" si="26"/>
        <v>2</v>
      </c>
      <c r="R401" s="1">
        <f t="shared" si="27"/>
        <v>0</v>
      </c>
    </row>
    <row r="402" spans="1:18" x14ac:dyDescent="0.3">
      <c r="A402" t="s">
        <v>1340</v>
      </c>
      <c r="B402" t="s">
        <v>1341</v>
      </c>
      <c r="C402" t="s">
        <v>18</v>
      </c>
      <c r="D402">
        <v>5</v>
      </c>
      <c r="E402">
        <v>0</v>
      </c>
      <c r="G402" s="1">
        <v>0</v>
      </c>
      <c r="H402">
        <v>2</v>
      </c>
      <c r="I402">
        <v>0.5</v>
      </c>
      <c r="J402">
        <v>1</v>
      </c>
      <c r="K402">
        <v>1</v>
      </c>
      <c r="L402">
        <f t="shared" si="24"/>
        <v>2</v>
      </c>
      <c r="M402">
        <v>0</v>
      </c>
      <c r="N402">
        <v>0</v>
      </c>
      <c r="O402">
        <v>2</v>
      </c>
      <c r="P402" s="1">
        <f t="shared" si="25"/>
        <v>0</v>
      </c>
      <c r="Q402">
        <f t="shared" si="26"/>
        <v>2</v>
      </c>
      <c r="R402" s="1">
        <f t="shared" si="27"/>
        <v>0</v>
      </c>
    </row>
    <row r="403" spans="1:18" x14ac:dyDescent="0.3">
      <c r="A403" t="s">
        <v>1342</v>
      </c>
      <c r="B403" t="s">
        <v>1343</v>
      </c>
      <c r="C403" t="s">
        <v>18</v>
      </c>
      <c r="D403">
        <v>1</v>
      </c>
      <c r="E403">
        <v>0</v>
      </c>
      <c r="G403" s="1">
        <v>0</v>
      </c>
      <c r="H403">
        <v>0</v>
      </c>
      <c r="I403">
        <v>0.5</v>
      </c>
      <c r="J403">
        <v>1</v>
      </c>
      <c r="K403">
        <v>1</v>
      </c>
      <c r="L403">
        <f t="shared" si="24"/>
        <v>2</v>
      </c>
      <c r="M403">
        <v>0</v>
      </c>
      <c r="N403">
        <v>0</v>
      </c>
      <c r="O403">
        <v>2</v>
      </c>
      <c r="P403" s="1">
        <f t="shared" si="25"/>
        <v>0</v>
      </c>
      <c r="Q403">
        <f t="shared" si="26"/>
        <v>2</v>
      </c>
      <c r="R403" s="1">
        <f t="shared" si="27"/>
        <v>0</v>
      </c>
    </row>
    <row r="404" spans="1:18" x14ac:dyDescent="0.3">
      <c r="A404" t="s">
        <v>1344</v>
      </c>
      <c r="B404" t="s">
        <v>1345</v>
      </c>
      <c r="C404" t="s">
        <v>18</v>
      </c>
      <c r="D404">
        <v>12</v>
      </c>
      <c r="E404">
        <v>0</v>
      </c>
      <c r="G404" s="1">
        <v>0</v>
      </c>
      <c r="H404">
        <v>3</v>
      </c>
      <c r="I404">
        <v>0.5</v>
      </c>
      <c r="J404">
        <v>1</v>
      </c>
      <c r="K404">
        <v>1</v>
      </c>
      <c r="L404">
        <f t="shared" si="24"/>
        <v>2</v>
      </c>
      <c r="M404">
        <v>0</v>
      </c>
      <c r="N404">
        <v>0</v>
      </c>
      <c r="O404">
        <v>2</v>
      </c>
      <c r="P404" s="1">
        <f t="shared" si="25"/>
        <v>0</v>
      </c>
      <c r="Q404">
        <f t="shared" si="26"/>
        <v>2</v>
      </c>
      <c r="R404" s="1">
        <f t="shared" si="27"/>
        <v>0</v>
      </c>
    </row>
    <row r="405" spans="1:18" x14ac:dyDescent="0.3">
      <c r="A405" t="s">
        <v>1346</v>
      </c>
      <c r="B405" t="s">
        <v>1347</v>
      </c>
      <c r="C405" t="s">
        <v>18</v>
      </c>
      <c r="D405">
        <v>1</v>
      </c>
      <c r="E405">
        <v>0</v>
      </c>
      <c r="G405" s="1">
        <v>0</v>
      </c>
      <c r="H405">
        <v>0</v>
      </c>
      <c r="I405">
        <v>0.5</v>
      </c>
      <c r="J405">
        <v>1</v>
      </c>
      <c r="K405">
        <v>1</v>
      </c>
      <c r="L405">
        <f t="shared" si="24"/>
        <v>2</v>
      </c>
      <c r="M405">
        <v>0</v>
      </c>
      <c r="N405">
        <v>0</v>
      </c>
      <c r="O405">
        <v>2</v>
      </c>
      <c r="P405" s="1">
        <f t="shared" si="25"/>
        <v>0</v>
      </c>
      <c r="Q405">
        <f t="shared" si="26"/>
        <v>2</v>
      </c>
      <c r="R405" s="1">
        <f t="shared" si="27"/>
        <v>0</v>
      </c>
    </row>
    <row r="406" spans="1:18" x14ac:dyDescent="0.3">
      <c r="A406" t="s">
        <v>1348</v>
      </c>
      <c r="B406" t="s">
        <v>1349</v>
      </c>
      <c r="C406" t="s">
        <v>18</v>
      </c>
      <c r="D406">
        <v>11</v>
      </c>
      <c r="E406">
        <v>0</v>
      </c>
      <c r="G406" s="1">
        <v>0</v>
      </c>
      <c r="H406">
        <v>7</v>
      </c>
      <c r="I406">
        <v>0.5</v>
      </c>
      <c r="J406">
        <v>1</v>
      </c>
      <c r="K406">
        <v>1</v>
      </c>
      <c r="L406">
        <f t="shared" si="24"/>
        <v>2</v>
      </c>
      <c r="M406">
        <v>0</v>
      </c>
      <c r="N406">
        <v>0</v>
      </c>
      <c r="O406">
        <v>2</v>
      </c>
      <c r="P406" s="1">
        <f t="shared" si="25"/>
        <v>0</v>
      </c>
      <c r="Q406">
        <f t="shared" si="26"/>
        <v>2</v>
      </c>
      <c r="R406" s="1">
        <f t="shared" si="27"/>
        <v>0</v>
      </c>
    </row>
    <row r="407" spans="1:18" x14ac:dyDescent="0.3">
      <c r="A407" t="s">
        <v>1350</v>
      </c>
      <c r="B407" t="s">
        <v>1351</v>
      </c>
      <c r="C407" t="s">
        <v>18</v>
      </c>
      <c r="D407">
        <v>22</v>
      </c>
      <c r="E407">
        <v>2</v>
      </c>
      <c r="F407" t="s">
        <v>124</v>
      </c>
      <c r="G407" s="1">
        <v>9912</v>
      </c>
      <c r="H407">
        <v>3</v>
      </c>
      <c r="I407">
        <v>0.5</v>
      </c>
      <c r="J407">
        <v>1</v>
      </c>
      <c r="K407">
        <v>1</v>
      </c>
      <c r="L407">
        <f t="shared" si="24"/>
        <v>2</v>
      </c>
      <c r="M407">
        <v>0</v>
      </c>
      <c r="N407">
        <v>0</v>
      </c>
      <c r="O407">
        <v>2</v>
      </c>
      <c r="P407" s="1">
        <f t="shared" si="25"/>
        <v>0</v>
      </c>
      <c r="Q407">
        <f t="shared" si="26"/>
        <v>2</v>
      </c>
      <c r="R407" s="1">
        <f t="shared" si="27"/>
        <v>19824</v>
      </c>
    </row>
    <row r="408" spans="1:18" x14ac:dyDescent="0.3">
      <c r="A408" t="s">
        <v>1352</v>
      </c>
      <c r="B408" t="s">
        <v>1353</v>
      </c>
      <c r="C408" t="s">
        <v>18</v>
      </c>
      <c r="D408">
        <v>1</v>
      </c>
      <c r="E408">
        <v>0</v>
      </c>
      <c r="G408" s="1">
        <v>0</v>
      </c>
      <c r="H408">
        <v>0</v>
      </c>
      <c r="I408">
        <v>0.5</v>
      </c>
      <c r="J408">
        <v>1</v>
      </c>
      <c r="K408">
        <v>1</v>
      </c>
      <c r="L408">
        <f t="shared" si="24"/>
        <v>2</v>
      </c>
      <c r="M408">
        <v>0</v>
      </c>
      <c r="N408">
        <v>0</v>
      </c>
      <c r="O408">
        <v>2</v>
      </c>
      <c r="P408" s="1">
        <f t="shared" si="25"/>
        <v>0</v>
      </c>
      <c r="Q408">
        <f t="shared" si="26"/>
        <v>2</v>
      </c>
      <c r="R408" s="1">
        <f t="shared" si="27"/>
        <v>0</v>
      </c>
    </row>
    <row r="409" spans="1:18" x14ac:dyDescent="0.3">
      <c r="A409" t="s">
        <v>1354</v>
      </c>
      <c r="B409" t="s">
        <v>1355</v>
      </c>
      <c r="C409" t="s">
        <v>18</v>
      </c>
      <c r="D409">
        <v>1</v>
      </c>
      <c r="E409">
        <v>0</v>
      </c>
      <c r="G409" s="1">
        <v>0</v>
      </c>
      <c r="H409">
        <v>0</v>
      </c>
      <c r="I409">
        <v>0.5</v>
      </c>
      <c r="J409">
        <v>1</v>
      </c>
      <c r="K409">
        <v>1</v>
      </c>
      <c r="L409">
        <f t="shared" si="24"/>
        <v>2</v>
      </c>
      <c r="M409">
        <v>0</v>
      </c>
      <c r="N409">
        <v>0</v>
      </c>
      <c r="O409">
        <v>2</v>
      </c>
      <c r="P409" s="1">
        <f t="shared" si="25"/>
        <v>0</v>
      </c>
      <c r="Q409">
        <f t="shared" si="26"/>
        <v>2</v>
      </c>
      <c r="R409" s="1">
        <f t="shared" si="27"/>
        <v>0</v>
      </c>
    </row>
    <row r="410" spans="1:18" x14ac:dyDescent="0.3">
      <c r="A410" t="s">
        <v>1356</v>
      </c>
      <c r="B410" t="s">
        <v>1357</v>
      </c>
      <c r="C410" t="s">
        <v>18</v>
      </c>
      <c r="D410">
        <v>1</v>
      </c>
      <c r="E410">
        <v>0</v>
      </c>
      <c r="G410" s="1">
        <v>0</v>
      </c>
      <c r="H410">
        <v>0</v>
      </c>
      <c r="I410">
        <v>0.5</v>
      </c>
      <c r="J410">
        <v>1</v>
      </c>
      <c r="K410">
        <v>1</v>
      </c>
      <c r="L410">
        <f t="shared" si="24"/>
        <v>2</v>
      </c>
      <c r="M410">
        <v>0</v>
      </c>
      <c r="N410">
        <v>0</v>
      </c>
      <c r="O410">
        <v>2</v>
      </c>
      <c r="P410" s="1">
        <f t="shared" si="25"/>
        <v>0</v>
      </c>
      <c r="Q410">
        <f t="shared" si="26"/>
        <v>2</v>
      </c>
      <c r="R410" s="1">
        <f t="shared" si="27"/>
        <v>0</v>
      </c>
    </row>
    <row r="411" spans="1:18" x14ac:dyDescent="0.3">
      <c r="A411" t="s">
        <v>1358</v>
      </c>
      <c r="B411" t="s">
        <v>1359</v>
      </c>
      <c r="C411" t="s">
        <v>18</v>
      </c>
      <c r="D411">
        <v>1</v>
      </c>
      <c r="E411">
        <v>0</v>
      </c>
      <c r="G411" s="1">
        <v>0</v>
      </c>
      <c r="H411">
        <v>0</v>
      </c>
      <c r="I411">
        <v>0.5</v>
      </c>
      <c r="J411">
        <v>1</v>
      </c>
      <c r="K411">
        <v>1</v>
      </c>
      <c r="L411">
        <f t="shared" si="24"/>
        <v>2</v>
      </c>
      <c r="M411">
        <v>0</v>
      </c>
      <c r="N411">
        <v>0</v>
      </c>
      <c r="O411">
        <v>2</v>
      </c>
      <c r="P411" s="1">
        <f t="shared" si="25"/>
        <v>0</v>
      </c>
      <c r="Q411">
        <f t="shared" si="26"/>
        <v>2</v>
      </c>
      <c r="R411" s="1">
        <f t="shared" si="27"/>
        <v>0</v>
      </c>
    </row>
    <row r="412" spans="1:18" x14ac:dyDescent="0.3">
      <c r="A412" t="s">
        <v>1360</v>
      </c>
      <c r="B412" t="s">
        <v>1361</v>
      </c>
      <c r="C412" t="s">
        <v>18</v>
      </c>
      <c r="D412">
        <v>1</v>
      </c>
      <c r="E412">
        <v>0</v>
      </c>
      <c r="G412" s="1">
        <v>0</v>
      </c>
      <c r="H412">
        <v>0</v>
      </c>
      <c r="I412">
        <v>0.5</v>
      </c>
      <c r="J412">
        <v>1</v>
      </c>
      <c r="K412">
        <v>1</v>
      </c>
      <c r="L412">
        <f t="shared" si="24"/>
        <v>2</v>
      </c>
      <c r="M412">
        <v>0</v>
      </c>
      <c r="N412">
        <v>0</v>
      </c>
      <c r="O412">
        <v>2</v>
      </c>
      <c r="P412" s="1">
        <f t="shared" si="25"/>
        <v>0</v>
      </c>
      <c r="Q412">
        <f t="shared" si="26"/>
        <v>2</v>
      </c>
      <c r="R412" s="1">
        <f t="shared" si="27"/>
        <v>0</v>
      </c>
    </row>
    <row r="413" spans="1:18" x14ac:dyDescent="0.3">
      <c r="A413" t="s">
        <v>1362</v>
      </c>
      <c r="B413" t="s">
        <v>1363</v>
      </c>
      <c r="C413" t="s">
        <v>18</v>
      </c>
      <c r="D413">
        <v>1</v>
      </c>
      <c r="E413">
        <v>0</v>
      </c>
      <c r="G413" s="1">
        <v>0</v>
      </c>
      <c r="H413">
        <v>0</v>
      </c>
      <c r="I413">
        <v>0.5</v>
      </c>
      <c r="J413">
        <v>1</v>
      </c>
      <c r="K413">
        <v>1</v>
      </c>
      <c r="L413">
        <f t="shared" si="24"/>
        <v>2</v>
      </c>
      <c r="M413">
        <v>0</v>
      </c>
      <c r="N413">
        <v>0</v>
      </c>
      <c r="O413">
        <v>2</v>
      </c>
      <c r="P413" s="1">
        <f t="shared" si="25"/>
        <v>0</v>
      </c>
      <c r="Q413">
        <f t="shared" si="26"/>
        <v>2</v>
      </c>
      <c r="R413" s="1">
        <f t="shared" si="27"/>
        <v>0</v>
      </c>
    </row>
    <row r="414" spans="1:18" x14ac:dyDescent="0.3">
      <c r="A414" t="s">
        <v>1364</v>
      </c>
      <c r="B414" t="s">
        <v>1365</v>
      </c>
      <c r="C414" t="s">
        <v>18</v>
      </c>
      <c r="D414">
        <v>16</v>
      </c>
      <c r="E414">
        <v>1</v>
      </c>
      <c r="F414" t="s">
        <v>124</v>
      </c>
      <c r="G414" s="1">
        <v>8492.74</v>
      </c>
      <c r="H414">
        <v>2</v>
      </c>
      <c r="I414">
        <v>0.5</v>
      </c>
      <c r="J414">
        <v>1</v>
      </c>
      <c r="K414">
        <v>1</v>
      </c>
      <c r="L414">
        <f t="shared" si="24"/>
        <v>2</v>
      </c>
      <c r="M414">
        <v>0</v>
      </c>
      <c r="N414">
        <v>0</v>
      </c>
      <c r="O414">
        <v>2</v>
      </c>
      <c r="P414" s="1">
        <f t="shared" si="25"/>
        <v>0</v>
      </c>
      <c r="Q414">
        <f t="shared" si="26"/>
        <v>2</v>
      </c>
      <c r="R414" s="1">
        <f t="shared" si="27"/>
        <v>16985.48</v>
      </c>
    </row>
    <row r="415" spans="1:18" x14ac:dyDescent="0.3">
      <c r="A415" t="s">
        <v>1366</v>
      </c>
      <c r="B415" t="s">
        <v>1367</v>
      </c>
      <c r="C415" t="s">
        <v>18</v>
      </c>
      <c r="D415">
        <v>1</v>
      </c>
      <c r="E415">
        <v>0</v>
      </c>
      <c r="G415" s="1">
        <v>0</v>
      </c>
      <c r="H415">
        <v>0</v>
      </c>
      <c r="I415">
        <v>0.5</v>
      </c>
      <c r="J415">
        <v>1</v>
      </c>
      <c r="K415">
        <v>1</v>
      </c>
      <c r="L415">
        <f t="shared" si="24"/>
        <v>2</v>
      </c>
      <c r="M415">
        <v>0</v>
      </c>
      <c r="N415">
        <v>0</v>
      </c>
      <c r="O415">
        <v>2</v>
      </c>
      <c r="P415" s="1">
        <f t="shared" si="25"/>
        <v>0</v>
      </c>
      <c r="Q415">
        <f t="shared" si="26"/>
        <v>2</v>
      </c>
      <c r="R415" s="1">
        <f t="shared" si="27"/>
        <v>0</v>
      </c>
    </row>
    <row r="416" spans="1:18" x14ac:dyDescent="0.3">
      <c r="A416" t="s">
        <v>1368</v>
      </c>
      <c r="B416" t="s">
        <v>1369</v>
      </c>
      <c r="C416" t="s">
        <v>18</v>
      </c>
      <c r="D416">
        <v>4</v>
      </c>
      <c r="E416">
        <v>0</v>
      </c>
      <c r="G416" s="1">
        <v>0</v>
      </c>
      <c r="H416">
        <v>3</v>
      </c>
      <c r="I416">
        <v>0.5</v>
      </c>
      <c r="J416">
        <v>1</v>
      </c>
      <c r="K416">
        <v>1</v>
      </c>
      <c r="L416">
        <f t="shared" si="24"/>
        <v>2</v>
      </c>
      <c r="M416">
        <v>0</v>
      </c>
      <c r="N416">
        <v>0</v>
      </c>
      <c r="O416">
        <v>2</v>
      </c>
      <c r="P416" s="1">
        <f t="shared" si="25"/>
        <v>0</v>
      </c>
      <c r="Q416">
        <f t="shared" si="26"/>
        <v>2</v>
      </c>
      <c r="R416" s="1">
        <f t="shared" si="27"/>
        <v>0</v>
      </c>
    </row>
    <row r="417" spans="1:18" x14ac:dyDescent="0.3">
      <c r="A417" t="s">
        <v>1370</v>
      </c>
      <c r="B417" t="s">
        <v>1371</v>
      </c>
      <c r="C417" t="s">
        <v>18</v>
      </c>
      <c r="D417">
        <v>1</v>
      </c>
      <c r="E417">
        <v>0</v>
      </c>
      <c r="G417" s="1">
        <v>0</v>
      </c>
      <c r="H417">
        <v>0</v>
      </c>
      <c r="I417">
        <v>0.5</v>
      </c>
      <c r="J417">
        <v>1</v>
      </c>
      <c r="K417">
        <v>1</v>
      </c>
      <c r="L417">
        <f t="shared" si="24"/>
        <v>2</v>
      </c>
      <c r="M417">
        <v>0</v>
      </c>
      <c r="N417">
        <v>0</v>
      </c>
      <c r="O417">
        <v>2</v>
      </c>
      <c r="P417" s="1">
        <f t="shared" si="25"/>
        <v>0</v>
      </c>
      <c r="Q417">
        <f t="shared" si="26"/>
        <v>2</v>
      </c>
      <c r="R417" s="1">
        <f t="shared" si="27"/>
        <v>0</v>
      </c>
    </row>
    <row r="418" spans="1:18" x14ac:dyDescent="0.3">
      <c r="A418" t="s">
        <v>1372</v>
      </c>
      <c r="B418" t="s">
        <v>1373</v>
      </c>
      <c r="C418" t="s">
        <v>18</v>
      </c>
      <c r="D418">
        <v>1</v>
      </c>
      <c r="E418">
        <v>0</v>
      </c>
      <c r="G418" s="1">
        <v>0</v>
      </c>
      <c r="H418">
        <v>3</v>
      </c>
      <c r="I418">
        <v>0.5</v>
      </c>
      <c r="J418">
        <v>3</v>
      </c>
      <c r="K418">
        <v>2</v>
      </c>
      <c r="L418">
        <f t="shared" si="24"/>
        <v>4</v>
      </c>
      <c r="M418">
        <v>0</v>
      </c>
      <c r="N418">
        <v>0</v>
      </c>
      <c r="O418">
        <v>8</v>
      </c>
      <c r="P418" s="1">
        <f t="shared" si="25"/>
        <v>0</v>
      </c>
      <c r="Q418">
        <f t="shared" si="26"/>
        <v>8</v>
      </c>
      <c r="R418" s="1">
        <f t="shared" si="27"/>
        <v>0</v>
      </c>
    </row>
    <row r="419" spans="1:18" x14ac:dyDescent="0.3">
      <c r="A419" t="s">
        <v>1374</v>
      </c>
      <c r="B419" t="s">
        <v>1375</v>
      </c>
      <c r="C419" t="s">
        <v>18</v>
      </c>
      <c r="D419">
        <v>1</v>
      </c>
      <c r="E419">
        <v>0</v>
      </c>
      <c r="G419" s="1">
        <v>0</v>
      </c>
      <c r="H419">
        <v>5</v>
      </c>
      <c r="I419">
        <v>0.5</v>
      </c>
      <c r="J419">
        <v>5</v>
      </c>
      <c r="K419">
        <v>2</v>
      </c>
      <c r="L419">
        <f t="shared" si="24"/>
        <v>5</v>
      </c>
      <c r="M419">
        <v>0</v>
      </c>
      <c r="N419">
        <v>0</v>
      </c>
      <c r="O419">
        <v>12</v>
      </c>
      <c r="P419" s="1">
        <f t="shared" si="25"/>
        <v>0</v>
      </c>
      <c r="Q419">
        <f t="shared" si="26"/>
        <v>12</v>
      </c>
      <c r="R419" s="1">
        <f t="shared" si="27"/>
        <v>0</v>
      </c>
    </row>
    <row r="420" spans="1:18" x14ac:dyDescent="0.3">
      <c r="A420" t="s">
        <v>1376</v>
      </c>
      <c r="B420" t="s">
        <v>1377</v>
      </c>
      <c r="C420" t="s">
        <v>18</v>
      </c>
      <c r="D420">
        <v>1</v>
      </c>
      <c r="E420">
        <v>0</v>
      </c>
      <c r="G420" s="1">
        <v>0</v>
      </c>
      <c r="H420">
        <v>0</v>
      </c>
      <c r="I420">
        <v>0.5</v>
      </c>
      <c r="J420">
        <v>1</v>
      </c>
      <c r="K420">
        <v>1</v>
      </c>
      <c r="L420">
        <f t="shared" si="24"/>
        <v>2</v>
      </c>
      <c r="M420">
        <v>0</v>
      </c>
      <c r="N420">
        <v>0</v>
      </c>
      <c r="O420">
        <v>2</v>
      </c>
      <c r="P420" s="1">
        <f t="shared" si="25"/>
        <v>0</v>
      </c>
      <c r="Q420">
        <f t="shared" si="26"/>
        <v>2</v>
      </c>
      <c r="R420" s="1">
        <f t="shared" si="27"/>
        <v>0</v>
      </c>
    </row>
    <row r="421" spans="1:18" x14ac:dyDescent="0.3">
      <c r="A421" t="s">
        <v>1378</v>
      </c>
      <c r="B421" t="s">
        <v>1379</v>
      </c>
      <c r="C421" t="s">
        <v>18</v>
      </c>
      <c r="D421">
        <v>1</v>
      </c>
      <c r="E421">
        <v>0</v>
      </c>
      <c r="G421" s="1">
        <v>0</v>
      </c>
      <c r="H421">
        <v>0</v>
      </c>
      <c r="I421">
        <v>0.5</v>
      </c>
      <c r="J421">
        <v>1</v>
      </c>
      <c r="K421">
        <v>1</v>
      </c>
      <c r="L421">
        <f t="shared" si="24"/>
        <v>2</v>
      </c>
      <c r="M421">
        <v>0</v>
      </c>
      <c r="N421">
        <v>0</v>
      </c>
      <c r="O421">
        <v>2</v>
      </c>
      <c r="P421" s="1">
        <f t="shared" si="25"/>
        <v>0</v>
      </c>
      <c r="Q421">
        <f t="shared" si="26"/>
        <v>2</v>
      </c>
      <c r="R421" s="1">
        <f t="shared" si="27"/>
        <v>0</v>
      </c>
    </row>
    <row r="422" spans="1:18" x14ac:dyDescent="0.3">
      <c r="A422" t="s">
        <v>1380</v>
      </c>
      <c r="B422" t="s">
        <v>1381</v>
      </c>
      <c r="C422" t="s">
        <v>18</v>
      </c>
      <c r="D422">
        <v>1</v>
      </c>
      <c r="E422">
        <v>0</v>
      </c>
      <c r="G422" s="1">
        <v>0</v>
      </c>
      <c r="H422">
        <v>0</v>
      </c>
      <c r="I422">
        <v>0.5</v>
      </c>
      <c r="J422">
        <v>1</v>
      </c>
      <c r="K422">
        <v>1</v>
      </c>
      <c r="L422">
        <f t="shared" si="24"/>
        <v>2</v>
      </c>
      <c r="M422">
        <v>0</v>
      </c>
      <c r="N422">
        <v>0</v>
      </c>
      <c r="O422">
        <v>2</v>
      </c>
      <c r="P422" s="1">
        <f t="shared" si="25"/>
        <v>0</v>
      </c>
      <c r="Q422">
        <f t="shared" si="26"/>
        <v>2</v>
      </c>
      <c r="R422" s="1">
        <f t="shared" si="27"/>
        <v>0</v>
      </c>
    </row>
    <row r="423" spans="1:18" x14ac:dyDescent="0.3">
      <c r="A423" t="s">
        <v>1382</v>
      </c>
      <c r="B423" t="s">
        <v>1383</v>
      </c>
      <c r="C423" t="s">
        <v>18</v>
      </c>
      <c r="D423">
        <v>1</v>
      </c>
      <c r="E423">
        <v>0</v>
      </c>
      <c r="G423" s="1">
        <v>0</v>
      </c>
      <c r="H423">
        <v>0</v>
      </c>
      <c r="I423">
        <v>0.5</v>
      </c>
      <c r="J423">
        <v>1</v>
      </c>
      <c r="K423">
        <v>1</v>
      </c>
      <c r="L423">
        <f t="shared" si="24"/>
        <v>2</v>
      </c>
      <c r="M423">
        <v>0</v>
      </c>
      <c r="N423">
        <v>0</v>
      </c>
      <c r="O423">
        <v>2</v>
      </c>
      <c r="P423" s="1">
        <f t="shared" si="25"/>
        <v>0</v>
      </c>
      <c r="Q423">
        <f t="shared" si="26"/>
        <v>2</v>
      </c>
      <c r="R423" s="1">
        <f t="shared" si="27"/>
        <v>0</v>
      </c>
    </row>
    <row r="424" spans="1:18" x14ac:dyDescent="0.3">
      <c r="A424" t="s">
        <v>1384</v>
      </c>
      <c r="B424" t="s">
        <v>1385</v>
      </c>
      <c r="C424" t="s">
        <v>18</v>
      </c>
      <c r="D424">
        <v>1</v>
      </c>
      <c r="E424">
        <v>0</v>
      </c>
      <c r="G424" s="1">
        <v>0</v>
      </c>
      <c r="H424">
        <v>0</v>
      </c>
      <c r="I424">
        <v>0.5</v>
      </c>
      <c r="J424">
        <v>1</v>
      </c>
      <c r="K424">
        <v>1</v>
      </c>
      <c r="L424">
        <f t="shared" si="24"/>
        <v>2</v>
      </c>
      <c r="M424">
        <v>0</v>
      </c>
      <c r="N424">
        <v>0</v>
      </c>
      <c r="O424">
        <v>2</v>
      </c>
      <c r="P424" s="1">
        <f t="shared" si="25"/>
        <v>0</v>
      </c>
      <c r="Q424">
        <f t="shared" si="26"/>
        <v>2</v>
      </c>
      <c r="R424" s="1">
        <f t="shared" si="27"/>
        <v>0</v>
      </c>
    </row>
    <row r="425" spans="1:18" x14ac:dyDescent="0.3">
      <c r="A425" t="s">
        <v>1386</v>
      </c>
      <c r="B425" t="s">
        <v>1387</v>
      </c>
      <c r="C425" t="s">
        <v>18</v>
      </c>
      <c r="D425">
        <v>1</v>
      </c>
      <c r="E425">
        <v>0</v>
      </c>
      <c r="G425" s="1">
        <v>0</v>
      </c>
      <c r="H425">
        <v>0</v>
      </c>
      <c r="I425">
        <v>0.5</v>
      </c>
      <c r="J425">
        <v>1</v>
      </c>
      <c r="K425">
        <v>1</v>
      </c>
      <c r="L425">
        <f t="shared" si="24"/>
        <v>2</v>
      </c>
      <c r="M425">
        <v>0</v>
      </c>
      <c r="N425">
        <v>0</v>
      </c>
      <c r="O425">
        <v>2</v>
      </c>
      <c r="P425" s="1">
        <f t="shared" si="25"/>
        <v>0</v>
      </c>
      <c r="Q425">
        <f t="shared" si="26"/>
        <v>2</v>
      </c>
      <c r="R425" s="1">
        <f t="shared" si="27"/>
        <v>0</v>
      </c>
    </row>
    <row r="426" spans="1:18" x14ac:dyDescent="0.3">
      <c r="A426" t="s">
        <v>1388</v>
      </c>
      <c r="B426" t="s">
        <v>1389</v>
      </c>
      <c r="C426" t="s">
        <v>18</v>
      </c>
      <c r="D426">
        <v>1</v>
      </c>
      <c r="E426">
        <v>0</v>
      </c>
      <c r="G426" s="1">
        <v>0</v>
      </c>
      <c r="H426">
        <v>0</v>
      </c>
      <c r="I426">
        <v>0.5</v>
      </c>
      <c r="J426">
        <v>1</v>
      </c>
      <c r="K426">
        <v>1</v>
      </c>
      <c r="L426">
        <f t="shared" si="24"/>
        <v>2</v>
      </c>
      <c r="M426">
        <v>0</v>
      </c>
      <c r="N426">
        <v>0</v>
      </c>
      <c r="O426">
        <v>2</v>
      </c>
      <c r="P426" s="1">
        <f t="shared" si="25"/>
        <v>0</v>
      </c>
      <c r="Q426">
        <f t="shared" si="26"/>
        <v>2</v>
      </c>
      <c r="R426" s="1">
        <f t="shared" si="27"/>
        <v>0</v>
      </c>
    </row>
    <row r="427" spans="1:18" x14ac:dyDescent="0.3">
      <c r="A427" t="s">
        <v>1390</v>
      </c>
      <c r="B427" t="s">
        <v>1391</v>
      </c>
      <c r="C427" t="s">
        <v>18</v>
      </c>
      <c r="D427">
        <v>1</v>
      </c>
      <c r="E427">
        <v>0</v>
      </c>
      <c r="G427" s="1">
        <v>0</v>
      </c>
      <c r="H427">
        <v>0</v>
      </c>
      <c r="I427">
        <v>0.5</v>
      </c>
      <c r="J427">
        <v>1</v>
      </c>
      <c r="K427">
        <v>1</v>
      </c>
      <c r="L427">
        <f t="shared" si="24"/>
        <v>2</v>
      </c>
      <c r="M427">
        <v>0</v>
      </c>
      <c r="N427">
        <v>0</v>
      </c>
      <c r="O427">
        <v>2</v>
      </c>
      <c r="P427" s="1">
        <f t="shared" si="25"/>
        <v>0</v>
      </c>
      <c r="Q427">
        <f t="shared" si="26"/>
        <v>2</v>
      </c>
      <c r="R427" s="1">
        <f t="shared" si="27"/>
        <v>0</v>
      </c>
    </row>
    <row r="428" spans="1:18" x14ac:dyDescent="0.3">
      <c r="A428" t="s">
        <v>1392</v>
      </c>
      <c r="B428" t="s">
        <v>1393</v>
      </c>
      <c r="C428" t="s">
        <v>18</v>
      </c>
      <c r="D428">
        <v>17</v>
      </c>
      <c r="E428">
        <v>0</v>
      </c>
      <c r="G428" s="1">
        <v>0</v>
      </c>
      <c r="H428">
        <v>2</v>
      </c>
      <c r="I428">
        <v>0.5</v>
      </c>
      <c r="J428">
        <v>1</v>
      </c>
      <c r="K428">
        <v>1</v>
      </c>
      <c r="L428">
        <f t="shared" si="24"/>
        <v>2</v>
      </c>
      <c r="M428">
        <v>0</v>
      </c>
      <c r="N428">
        <v>0</v>
      </c>
      <c r="O428">
        <v>2</v>
      </c>
      <c r="P428" s="1">
        <f t="shared" si="25"/>
        <v>0</v>
      </c>
      <c r="Q428">
        <f t="shared" si="26"/>
        <v>2</v>
      </c>
      <c r="R428" s="1">
        <f t="shared" si="27"/>
        <v>0</v>
      </c>
    </row>
    <row r="429" spans="1:18" x14ac:dyDescent="0.3">
      <c r="A429" t="s">
        <v>1394</v>
      </c>
      <c r="B429" t="s">
        <v>1395</v>
      </c>
      <c r="C429" t="s">
        <v>18</v>
      </c>
      <c r="D429">
        <v>1</v>
      </c>
      <c r="E429">
        <v>0</v>
      </c>
      <c r="G429" s="1">
        <v>0</v>
      </c>
      <c r="H429">
        <v>0</v>
      </c>
      <c r="I429">
        <v>0.5</v>
      </c>
      <c r="J429">
        <v>1</v>
      </c>
      <c r="K429">
        <v>1</v>
      </c>
      <c r="L429">
        <f t="shared" si="24"/>
        <v>2</v>
      </c>
      <c r="M429">
        <v>0</v>
      </c>
      <c r="N429">
        <v>0</v>
      </c>
      <c r="O429">
        <v>2</v>
      </c>
      <c r="P429" s="1">
        <f t="shared" si="25"/>
        <v>0</v>
      </c>
      <c r="Q429">
        <f t="shared" si="26"/>
        <v>2</v>
      </c>
      <c r="R429" s="1">
        <f t="shared" si="27"/>
        <v>0</v>
      </c>
    </row>
    <row r="430" spans="1:18" x14ac:dyDescent="0.3">
      <c r="A430" t="s">
        <v>1396</v>
      </c>
      <c r="B430" t="s">
        <v>1397</v>
      </c>
      <c r="C430" t="s">
        <v>18</v>
      </c>
      <c r="D430">
        <v>4</v>
      </c>
      <c r="E430">
        <v>0</v>
      </c>
      <c r="G430" s="1">
        <v>0</v>
      </c>
      <c r="H430">
        <v>2</v>
      </c>
      <c r="I430">
        <v>0.5</v>
      </c>
      <c r="J430">
        <v>1</v>
      </c>
      <c r="K430">
        <v>1</v>
      </c>
      <c r="L430">
        <f t="shared" si="24"/>
        <v>2</v>
      </c>
      <c r="M430">
        <v>0</v>
      </c>
      <c r="N430">
        <v>0</v>
      </c>
      <c r="O430">
        <v>2</v>
      </c>
      <c r="P430" s="1">
        <f t="shared" si="25"/>
        <v>0</v>
      </c>
      <c r="Q430">
        <f t="shared" si="26"/>
        <v>2</v>
      </c>
      <c r="R430" s="1">
        <f t="shared" si="27"/>
        <v>0</v>
      </c>
    </row>
    <row r="431" spans="1:18" x14ac:dyDescent="0.3">
      <c r="A431" t="s">
        <v>1398</v>
      </c>
      <c r="B431" t="s">
        <v>1399</v>
      </c>
      <c r="C431" t="s">
        <v>18</v>
      </c>
      <c r="D431">
        <v>1</v>
      </c>
      <c r="E431">
        <v>0</v>
      </c>
      <c r="G431" s="1">
        <v>0</v>
      </c>
      <c r="H431">
        <v>0</v>
      </c>
      <c r="I431">
        <v>0.5</v>
      </c>
      <c r="J431">
        <v>1</v>
      </c>
      <c r="K431">
        <v>1</v>
      </c>
      <c r="L431">
        <f t="shared" si="24"/>
        <v>2</v>
      </c>
      <c r="M431">
        <v>0</v>
      </c>
      <c r="N431">
        <v>0</v>
      </c>
      <c r="O431">
        <v>2</v>
      </c>
      <c r="P431" s="1">
        <f t="shared" si="25"/>
        <v>0</v>
      </c>
      <c r="Q431">
        <f t="shared" si="26"/>
        <v>2</v>
      </c>
      <c r="R431" s="1">
        <f t="shared" si="27"/>
        <v>0</v>
      </c>
    </row>
    <row r="432" spans="1:18" x14ac:dyDescent="0.3">
      <c r="A432" t="s">
        <v>1400</v>
      </c>
      <c r="B432" t="s">
        <v>1401</v>
      </c>
      <c r="C432" t="s">
        <v>18</v>
      </c>
      <c r="D432">
        <v>27</v>
      </c>
      <c r="E432">
        <v>4</v>
      </c>
      <c r="F432" t="s">
        <v>124</v>
      </c>
      <c r="G432" s="1">
        <v>4150.17</v>
      </c>
      <c r="H432">
        <v>10</v>
      </c>
      <c r="I432">
        <v>0.5</v>
      </c>
      <c r="J432">
        <v>1</v>
      </c>
      <c r="K432">
        <v>1</v>
      </c>
      <c r="L432">
        <f t="shared" si="24"/>
        <v>2</v>
      </c>
      <c r="M432">
        <v>0</v>
      </c>
      <c r="N432">
        <v>0</v>
      </c>
      <c r="O432">
        <v>2</v>
      </c>
      <c r="P432" s="1">
        <f t="shared" si="25"/>
        <v>0</v>
      </c>
      <c r="Q432">
        <f t="shared" si="26"/>
        <v>2</v>
      </c>
      <c r="R432" s="1">
        <f t="shared" si="27"/>
        <v>8300.34</v>
      </c>
    </row>
    <row r="433" spans="1:18" x14ac:dyDescent="0.3">
      <c r="A433" t="s">
        <v>1402</v>
      </c>
      <c r="B433" t="s">
        <v>1403</v>
      </c>
      <c r="C433" t="s">
        <v>18</v>
      </c>
      <c r="D433">
        <v>19</v>
      </c>
      <c r="E433">
        <v>0</v>
      </c>
      <c r="G433" s="1">
        <v>0</v>
      </c>
      <c r="H433">
        <v>5</v>
      </c>
      <c r="I433">
        <v>0.5</v>
      </c>
      <c r="J433">
        <v>1</v>
      </c>
      <c r="K433">
        <v>1</v>
      </c>
      <c r="L433">
        <f t="shared" si="24"/>
        <v>2</v>
      </c>
      <c r="M433">
        <v>0</v>
      </c>
      <c r="N433">
        <v>0</v>
      </c>
      <c r="O433">
        <v>2</v>
      </c>
      <c r="P433" s="1">
        <f t="shared" si="25"/>
        <v>0</v>
      </c>
      <c r="Q433">
        <f t="shared" si="26"/>
        <v>2</v>
      </c>
      <c r="R433" s="1">
        <f t="shared" si="27"/>
        <v>0</v>
      </c>
    </row>
    <row r="434" spans="1:18" x14ac:dyDescent="0.3">
      <c r="A434" t="s">
        <v>1404</v>
      </c>
      <c r="B434" t="s">
        <v>1405</v>
      </c>
      <c r="C434" t="s">
        <v>18</v>
      </c>
      <c r="D434">
        <v>25</v>
      </c>
      <c r="E434">
        <v>4</v>
      </c>
      <c r="F434" t="s">
        <v>124</v>
      </c>
      <c r="G434" s="1">
        <v>4157</v>
      </c>
      <c r="H434">
        <v>30</v>
      </c>
      <c r="I434">
        <v>0.6</v>
      </c>
      <c r="J434">
        <v>1.5</v>
      </c>
      <c r="K434">
        <v>1</v>
      </c>
      <c r="L434">
        <f t="shared" si="24"/>
        <v>2</v>
      </c>
      <c r="M434">
        <v>0</v>
      </c>
      <c r="N434">
        <v>0</v>
      </c>
      <c r="O434">
        <v>4</v>
      </c>
      <c r="P434" s="1">
        <f t="shared" si="25"/>
        <v>0</v>
      </c>
      <c r="Q434">
        <f t="shared" si="26"/>
        <v>4</v>
      </c>
      <c r="R434" s="1">
        <f t="shared" si="27"/>
        <v>16628</v>
      </c>
    </row>
    <row r="435" spans="1:18" x14ac:dyDescent="0.3">
      <c r="A435" t="s">
        <v>1406</v>
      </c>
      <c r="B435" t="s">
        <v>1407</v>
      </c>
      <c r="C435" t="s">
        <v>18</v>
      </c>
      <c r="D435">
        <v>19</v>
      </c>
      <c r="E435">
        <v>1</v>
      </c>
      <c r="F435" t="s">
        <v>124</v>
      </c>
      <c r="G435" s="1">
        <v>4633</v>
      </c>
      <c r="H435">
        <v>2</v>
      </c>
      <c r="I435">
        <v>0.5</v>
      </c>
      <c r="J435">
        <v>1</v>
      </c>
      <c r="K435">
        <v>1</v>
      </c>
      <c r="L435">
        <f t="shared" si="24"/>
        <v>2</v>
      </c>
      <c r="M435">
        <v>0</v>
      </c>
      <c r="N435">
        <v>0</v>
      </c>
      <c r="O435">
        <v>2</v>
      </c>
      <c r="P435" s="1">
        <f t="shared" si="25"/>
        <v>0</v>
      </c>
      <c r="Q435">
        <f t="shared" si="26"/>
        <v>2</v>
      </c>
      <c r="R435" s="1">
        <f t="shared" si="27"/>
        <v>9266</v>
      </c>
    </row>
    <row r="436" spans="1:18" x14ac:dyDescent="0.3">
      <c r="A436" t="s">
        <v>1408</v>
      </c>
      <c r="B436" t="s">
        <v>1409</v>
      </c>
      <c r="C436" t="s">
        <v>18</v>
      </c>
      <c r="D436">
        <v>12</v>
      </c>
      <c r="E436">
        <v>7</v>
      </c>
      <c r="F436" t="s">
        <v>1073</v>
      </c>
      <c r="G436" s="1">
        <v>4402.8</v>
      </c>
      <c r="H436">
        <v>9</v>
      </c>
      <c r="I436">
        <v>0.5</v>
      </c>
      <c r="J436">
        <v>1</v>
      </c>
      <c r="K436">
        <v>1</v>
      </c>
      <c r="L436">
        <f t="shared" si="24"/>
        <v>2</v>
      </c>
      <c r="M436">
        <v>0</v>
      </c>
      <c r="N436">
        <v>0</v>
      </c>
      <c r="O436">
        <v>2</v>
      </c>
      <c r="P436" s="1">
        <f t="shared" si="25"/>
        <v>0</v>
      </c>
      <c r="Q436">
        <f t="shared" si="26"/>
        <v>2</v>
      </c>
      <c r="R436" s="1">
        <f t="shared" si="27"/>
        <v>8805.6</v>
      </c>
    </row>
    <row r="437" spans="1:18" x14ac:dyDescent="0.3">
      <c r="A437" t="s">
        <v>1410</v>
      </c>
      <c r="B437" t="s">
        <v>1411</v>
      </c>
      <c r="C437" t="s">
        <v>18</v>
      </c>
      <c r="D437">
        <v>7</v>
      </c>
      <c r="E437">
        <v>3</v>
      </c>
      <c r="F437" t="s">
        <v>1073</v>
      </c>
      <c r="G437" s="1">
        <v>4559.13</v>
      </c>
      <c r="H437">
        <v>5</v>
      </c>
      <c r="I437">
        <v>0.5</v>
      </c>
      <c r="J437">
        <v>1</v>
      </c>
      <c r="K437">
        <v>1</v>
      </c>
      <c r="L437">
        <f t="shared" si="24"/>
        <v>2</v>
      </c>
      <c r="M437">
        <v>0</v>
      </c>
      <c r="N437">
        <v>0</v>
      </c>
      <c r="O437">
        <v>2</v>
      </c>
      <c r="P437" s="1">
        <f t="shared" si="25"/>
        <v>0</v>
      </c>
      <c r="Q437">
        <f t="shared" si="26"/>
        <v>2</v>
      </c>
      <c r="R437" s="1">
        <f t="shared" si="27"/>
        <v>9118.26</v>
      </c>
    </row>
    <row r="438" spans="1:18" x14ac:dyDescent="0.3">
      <c r="A438" t="s">
        <v>1412</v>
      </c>
      <c r="B438" t="s">
        <v>1413</v>
      </c>
      <c r="C438" t="s">
        <v>18</v>
      </c>
      <c r="D438">
        <v>15</v>
      </c>
      <c r="E438">
        <v>0</v>
      </c>
      <c r="G438" s="1">
        <v>0</v>
      </c>
      <c r="H438">
        <v>2</v>
      </c>
      <c r="I438">
        <v>0.5</v>
      </c>
      <c r="J438">
        <v>1</v>
      </c>
      <c r="K438">
        <v>1</v>
      </c>
      <c r="L438">
        <f t="shared" si="24"/>
        <v>2</v>
      </c>
      <c r="M438">
        <v>0</v>
      </c>
      <c r="N438">
        <v>0</v>
      </c>
      <c r="O438">
        <v>2</v>
      </c>
      <c r="P438" s="1">
        <f t="shared" si="25"/>
        <v>0</v>
      </c>
      <c r="Q438">
        <f t="shared" si="26"/>
        <v>2</v>
      </c>
      <c r="R438" s="1">
        <f t="shared" si="27"/>
        <v>0</v>
      </c>
    </row>
    <row r="439" spans="1:18" x14ac:dyDescent="0.3">
      <c r="A439" t="s">
        <v>1414</v>
      </c>
      <c r="B439" t="s">
        <v>1415</v>
      </c>
      <c r="C439" t="s">
        <v>18</v>
      </c>
      <c r="D439">
        <v>4</v>
      </c>
      <c r="E439">
        <v>0</v>
      </c>
      <c r="G439" s="1">
        <v>0</v>
      </c>
      <c r="H439">
        <v>4</v>
      </c>
      <c r="I439">
        <v>0.5</v>
      </c>
      <c r="J439">
        <v>1</v>
      </c>
      <c r="K439">
        <v>1</v>
      </c>
      <c r="L439">
        <f t="shared" si="24"/>
        <v>2</v>
      </c>
      <c r="M439">
        <v>0</v>
      </c>
      <c r="N439">
        <v>0</v>
      </c>
      <c r="O439">
        <v>2</v>
      </c>
      <c r="P439" s="1">
        <f t="shared" si="25"/>
        <v>0</v>
      </c>
      <c r="Q439">
        <f t="shared" si="26"/>
        <v>2</v>
      </c>
      <c r="R439" s="1">
        <f t="shared" si="27"/>
        <v>0</v>
      </c>
    </row>
    <row r="440" spans="1:18" x14ac:dyDescent="0.3">
      <c r="A440" t="s">
        <v>1416</v>
      </c>
      <c r="B440" t="s">
        <v>1417</v>
      </c>
      <c r="C440" t="s">
        <v>18</v>
      </c>
      <c r="D440">
        <v>1</v>
      </c>
      <c r="E440">
        <v>0</v>
      </c>
      <c r="G440" s="1">
        <v>0</v>
      </c>
      <c r="H440">
        <v>0</v>
      </c>
      <c r="I440">
        <v>0.5</v>
      </c>
      <c r="J440">
        <v>1</v>
      </c>
      <c r="K440">
        <v>1</v>
      </c>
      <c r="L440">
        <f t="shared" si="24"/>
        <v>2</v>
      </c>
      <c r="M440">
        <v>0</v>
      </c>
      <c r="N440">
        <v>0</v>
      </c>
      <c r="O440">
        <v>2</v>
      </c>
      <c r="P440" s="1">
        <f t="shared" si="25"/>
        <v>0</v>
      </c>
      <c r="Q440">
        <f t="shared" si="26"/>
        <v>2</v>
      </c>
      <c r="R440" s="1">
        <f t="shared" si="27"/>
        <v>0</v>
      </c>
    </row>
    <row r="441" spans="1:18" x14ac:dyDescent="0.3">
      <c r="A441" t="s">
        <v>1418</v>
      </c>
      <c r="B441" t="s">
        <v>1419</v>
      </c>
      <c r="C441" t="s">
        <v>18</v>
      </c>
      <c r="D441">
        <v>9</v>
      </c>
      <c r="E441">
        <v>0</v>
      </c>
      <c r="G441" s="1">
        <v>0</v>
      </c>
      <c r="H441">
        <v>3</v>
      </c>
      <c r="I441">
        <v>0.5</v>
      </c>
      <c r="J441">
        <v>1</v>
      </c>
      <c r="K441">
        <v>1</v>
      </c>
      <c r="L441">
        <f t="shared" si="24"/>
        <v>2</v>
      </c>
      <c r="M441">
        <v>0</v>
      </c>
      <c r="N441">
        <v>0</v>
      </c>
      <c r="O441">
        <v>2</v>
      </c>
      <c r="P441" s="1">
        <f t="shared" si="25"/>
        <v>0</v>
      </c>
      <c r="Q441">
        <f t="shared" si="26"/>
        <v>2</v>
      </c>
      <c r="R441" s="1">
        <f t="shared" si="27"/>
        <v>0</v>
      </c>
    </row>
    <row r="442" spans="1:18" x14ac:dyDescent="0.3">
      <c r="A442" t="s">
        <v>1420</v>
      </c>
      <c r="B442" t="s">
        <v>1421</v>
      </c>
      <c r="C442" t="s">
        <v>18</v>
      </c>
      <c r="D442">
        <v>27</v>
      </c>
      <c r="E442">
        <v>2</v>
      </c>
      <c r="F442" t="s">
        <v>124</v>
      </c>
      <c r="G442" s="1">
        <v>4935.88</v>
      </c>
      <c r="H442">
        <v>26</v>
      </c>
      <c r="I442">
        <v>1.1000000000000001</v>
      </c>
      <c r="J442">
        <v>1</v>
      </c>
      <c r="K442">
        <v>1</v>
      </c>
      <c r="L442">
        <f t="shared" si="24"/>
        <v>3</v>
      </c>
      <c r="M442">
        <v>0</v>
      </c>
      <c r="N442">
        <v>0</v>
      </c>
      <c r="O442">
        <v>3</v>
      </c>
      <c r="P442" s="1">
        <f t="shared" si="25"/>
        <v>0</v>
      </c>
      <c r="Q442">
        <f t="shared" si="26"/>
        <v>3</v>
      </c>
      <c r="R442" s="1">
        <f t="shared" si="27"/>
        <v>14807.64</v>
      </c>
    </row>
    <row r="443" spans="1:18" x14ac:dyDescent="0.3">
      <c r="A443" t="s">
        <v>1422</v>
      </c>
      <c r="B443" t="s">
        <v>1423</v>
      </c>
      <c r="C443" t="s">
        <v>18</v>
      </c>
      <c r="D443">
        <v>1</v>
      </c>
      <c r="E443">
        <v>0</v>
      </c>
      <c r="G443" s="1">
        <v>0</v>
      </c>
      <c r="H443">
        <v>0</v>
      </c>
      <c r="I443">
        <v>0.5</v>
      </c>
      <c r="J443">
        <v>1</v>
      </c>
      <c r="K443">
        <v>1</v>
      </c>
      <c r="L443">
        <f t="shared" si="24"/>
        <v>2</v>
      </c>
      <c r="M443">
        <v>0</v>
      </c>
      <c r="N443">
        <v>0</v>
      </c>
      <c r="O443">
        <v>2</v>
      </c>
      <c r="P443" s="1">
        <f t="shared" si="25"/>
        <v>0</v>
      </c>
      <c r="Q443">
        <f t="shared" si="26"/>
        <v>2</v>
      </c>
      <c r="R443" s="1">
        <f t="shared" si="27"/>
        <v>0</v>
      </c>
    </row>
    <row r="444" spans="1:18" x14ac:dyDescent="0.3">
      <c r="A444" t="s">
        <v>1424</v>
      </c>
      <c r="B444" t="s">
        <v>1425</v>
      </c>
      <c r="C444" t="s">
        <v>18</v>
      </c>
      <c r="D444">
        <v>31</v>
      </c>
      <c r="E444">
        <v>3</v>
      </c>
      <c r="F444" t="s">
        <v>124</v>
      </c>
      <c r="G444" s="1">
        <v>4138</v>
      </c>
      <c r="H444">
        <v>16</v>
      </c>
      <c r="I444">
        <v>0.5</v>
      </c>
      <c r="J444">
        <v>1</v>
      </c>
      <c r="K444">
        <v>1</v>
      </c>
      <c r="L444">
        <f t="shared" si="24"/>
        <v>2</v>
      </c>
      <c r="M444">
        <v>0</v>
      </c>
      <c r="N444">
        <v>0</v>
      </c>
      <c r="O444">
        <v>2</v>
      </c>
      <c r="P444" s="1">
        <f t="shared" si="25"/>
        <v>0</v>
      </c>
      <c r="Q444">
        <f t="shared" si="26"/>
        <v>2</v>
      </c>
      <c r="R444" s="1">
        <f t="shared" si="27"/>
        <v>8276</v>
      </c>
    </row>
    <row r="445" spans="1:18" x14ac:dyDescent="0.3">
      <c r="A445" t="s">
        <v>1426</v>
      </c>
      <c r="B445" t="s">
        <v>1427</v>
      </c>
      <c r="C445" t="s">
        <v>18</v>
      </c>
      <c r="D445">
        <v>19</v>
      </c>
      <c r="E445">
        <v>1</v>
      </c>
      <c r="F445" t="s">
        <v>124</v>
      </c>
      <c r="G445" s="1">
        <v>5284.43</v>
      </c>
      <c r="H445">
        <v>7</v>
      </c>
      <c r="I445">
        <v>0.5</v>
      </c>
      <c r="J445">
        <v>1</v>
      </c>
      <c r="K445">
        <v>1</v>
      </c>
      <c r="L445">
        <f t="shared" si="24"/>
        <v>2</v>
      </c>
      <c r="M445">
        <v>0</v>
      </c>
      <c r="N445">
        <v>0</v>
      </c>
      <c r="O445">
        <v>2</v>
      </c>
      <c r="P445" s="1">
        <f t="shared" si="25"/>
        <v>0</v>
      </c>
      <c r="Q445">
        <f t="shared" si="26"/>
        <v>2</v>
      </c>
      <c r="R445" s="1">
        <f t="shared" si="27"/>
        <v>10568.86</v>
      </c>
    </row>
    <row r="446" spans="1:18" x14ac:dyDescent="0.3">
      <c r="A446" t="s">
        <v>1428</v>
      </c>
      <c r="B446" t="s">
        <v>1429</v>
      </c>
      <c r="C446" t="s">
        <v>18</v>
      </c>
      <c r="D446">
        <v>1</v>
      </c>
      <c r="E446">
        <v>0</v>
      </c>
      <c r="G446" s="1">
        <v>0</v>
      </c>
      <c r="H446">
        <v>0</v>
      </c>
      <c r="I446">
        <v>0.5</v>
      </c>
      <c r="J446">
        <v>1</v>
      </c>
      <c r="K446">
        <v>1</v>
      </c>
      <c r="L446">
        <f t="shared" si="24"/>
        <v>2</v>
      </c>
      <c r="M446">
        <v>0</v>
      </c>
      <c r="N446">
        <v>0</v>
      </c>
      <c r="O446">
        <v>2</v>
      </c>
      <c r="P446" s="1">
        <f t="shared" si="25"/>
        <v>0</v>
      </c>
      <c r="Q446">
        <f t="shared" si="26"/>
        <v>2</v>
      </c>
      <c r="R446" s="1">
        <f t="shared" si="27"/>
        <v>0</v>
      </c>
    </row>
    <row r="447" spans="1:18" x14ac:dyDescent="0.3">
      <c r="A447" t="s">
        <v>1430</v>
      </c>
      <c r="B447" t="s">
        <v>1431</v>
      </c>
      <c r="C447" t="s">
        <v>18</v>
      </c>
      <c r="D447">
        <v>16</v>
      </c>
      <c r="E447">
        <v>0</v>
      </c>
      <c r="G447" s="1">
        <v>0</v>
      </c>
      <c r="H447">
        <v>2</v>
      </c>
      <c r="I447">
        <v>0.5</v>
      </c>
      <c r="J447">
        <v>1</v>
      </c>
      <c r="K447">
        <v>1</v>
      </c>
      <c r="L447">
        <f t="shared" si="24"/>
        <v>2</v>
      </c>
      <c r="M447">
        <v>0</v>
      </c>
      <c r="N447">
        <v>0</v>
      </c>
      <c r="O447">
        <v>2</v>
      </c>
      <c r="P447" s="1">
        <f t="shared" si="25"/>
        <v>0</v>
      </c>
      <c r="Q447">
        <f t="shared" si="26"/>
        <v>2</v>
      </c>
      <c r="R447" s="1">
        <f t="shared" si="27"/>
        <v>0</v>
      </c>
    </row>
    <row r="448" spans="1:18" x14ac:dyDescent="0.3">
      <c r="A448" t="s">
        <v>1432</v>
      </c>
      <c r="B448" t="s">
        <v>1433</v>
      </c>
      <c r="C448" t="s">
        <v>18</v>
      </c>
      <c r="D448">
        <v>1</v>
      </c>
      <c r="E448">
        <v>0</v>
      </c>
      <c r="G448" s="1">
        <v>0</v>
      </c>
      <c r="H448">
        <v>1</v>
      </c>
      <c r="I448">
        <v>0.5</v>
      </c>
      <c r="J448">
        <v>1</v>
      </c>
      <c r="K448">
        <v>1</v>
      </c>
      <c r="L448">
        <f t="shared" si="24"/>
        <v>2</v>
      </c>
      <c r="M448">
        <v>0</v>
      </c>
      <c r="N448">
        <v>0</v>
      </c>
      <c r="O448">
        <v>2</v>
      </c>
      <c r="P448" s="1">
        <f t="shared" si="25"/>
        <v>0</v>
      </c>
      <c r="Q448">
        <f t="shared" si="26"/>
        <v>2</v>
      </c>
      <c r="R448" s="1">
        <f t="shared" si="27"/>
        <v>0</v>
      </c>
    </row>
    <row r="449" spans="1:18" x14ac:dyDescent="0.3">
      <c r="A449" t="s">
        <v>1434</v>
      </c>
      <c r="B449" t="s">
        <v>1435</v>
      </c>
      <c r="C449" t="s">
        <v>18</v>
      </c>
      <c r="D449">
        <v>1</v>
      </c>
      <c r="E449">
        <v>0</v>
      </c>
      <c r="G449" s="1">
        <v>0</v>
      </c>
      <c r="H449">
        <v>1</v>
      </c>
      <c r="I449">
        <v>0.5</v>
      </c>
      <c r="J449">
        <v>1</v>
      </c>
      <c r="K449">
        <v>1</v>
      </c>
      <c r="L449">
        <f t="shared" si="24"/>
        <v>2</v>
      </c>
      <c r="M449">
        <v>0</v>
      </c>
      <c r="N449">
        <v>0</v>
      </c>
      <c r="O449">
        <v>2</v>
      </c>
      <c r="P449" s="1">
        <f t="shared" si="25"/>
        <v>0</v>
      </c>
      <c r="Q449">
        <f t="shared" si="26"/>
        <v>2</v>
      </c>
      <c r="R449" s="1">
        <f t="shared" si="27"/>
        <v>0</v>
      </c>
    </row>
    <row r="450" spans="1:18" x14ac:dyDescent="0.3">
      <c r="A450" t="s">
        <v>1436</v>
      </c>
      <c r="B450" t="s">
        <v>1437</v>
      </c>
      <c r="C450" t="s">
        <v>18</v>
      </c>
      <c r="D450">
        <v>1</v>
      </c>
      <c r="E450">
        <v>0</v>
      </c>
      <c r="G450" s="1">
        <v>0</v>
      </c>
      <c r="H450">
        <v>1</v>
      </c>
      <c r="I450">
        <v>0.5</v>
      </c>
      <c r="J450">
        <v>1</v>
      </c>
      <c r="K450">
        <v>1</v>
      </c>
      <c r="L450">
        <f t="shared" ref="L450:L513" si="28">ROUNDUP((J450*I450)+K450,0)</f>
        <v>2</v>
      </c>
      <c r="M450">
        <v>0</v>
      </c>
      <c r="N450">
        <v>0</v>
      </c>
      <c r="O450">
        <v>2</v>
      </c>
      <c r="P450" s="1">
        <f t="shared" ref="P450:P513" si="29">IFERROR(M450*G450,0)</f>
        <v>0</v>
      </c>
      <c r="Q450">
        <f t="shared" ref="Q450:Q513" si="30">IF(O450-M450-N450&gt;0,O450-M450-N450,0)</f>
        <v>2</v>
      </c>
      <c r="R450" s="1">
        <f t="shared" ref="R450:R513" si="31">IFERROR(Q450*G450,0)</f>
        <v>0</v>
      </c>
    </row>
    <row r="451" spans="1:18" x14ac:dyDescent="0.3">
      <c r="A451" t="s">
        <v>1438</v>
      </c>
      <c r="B451" t="s">
        <v>1439</v>
      </c>
      <c r="C451" t="s">
        <v>18</v>
      </c>
      <c r="D451">
        <v>1</v>
      </c>
      <c r="E451">
        <v>1</v>
      </c>
      <c r="F451" t="s">
        <v>124</v>
      </c>
      <c r="G451" s="1">
        <v>6487.29</v>
      </c>
      <c r="H451">
        <v>1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12974.58</v>
      </c>
    </row>
    <row r="452" spans="1:18" x14ac:dyDescent="0.3">
      <c r="A452" t="s">
        <v>1440</v>
      </c>
      <c r="B452" t="s">
        <v>1441</v>
      </c>
      <c r="C452" t="s">
        <v>18</v>
      </c>
      <c r="D452">
        <v>1</v>
      </c>
      <c r="E452">
        <v>4</v>
      </c>
      <c r="F452" t="s">
        <v>1073</v>
      </c>
      <c r="G452" s="1">
        <v>8039</v>
      </c>
      <c r="H452">
        <v>0</v>
      </c>
      <c r="I452">
        <v>0.5</v>
      </c>
      <c r="J452">
        <v>4</v>
      </c>
      <c r="K452">
        <v>2</v>
      </c>
      <c r="L452">
        <f t="shared" si="28"/>
        <v>4</v>
      </c>
      <c r="M452">
        <v>0</v>
      </c>
      <c r="N452">
        <v>0</v>
      </c>
      <c r="O452">
        <v>10</v>
      </c>
      <c r="P452" s="1">
        <f t="shared" si="29"/>
        <v>0</v>
      </c>
      <c r="Q452">
        <f t="shared" si="30"/>
        <v>10</v>
      </c>
      <c r="R452" s="1">
        <f t="shared" si="31"/>
        <v>80390</v>
      </c>
    </row>
    <row r="453" spans="1:18" x14ac:dyDescent="0.3">
      <c r="A453" t="s">
        <v>1442</v>
      </c>
      <c r="B453" t="s">
        <v>1443</v>
      </c>
      <c r="C453" t="s">
        <v>18</v>
      </c>
      <c r="D453">
        <v>1</v>
      </c>
      <c r="E453">
        <v>0</v>
      </c>
      <c r="G453" s="1">
        <v>0</v>
      </c>
      <c r="H453">
        <v>0</v>
      </c>
      <c r="I453">
        <v>0.5</v>
      </c>
      <c r="J453">
        <v>1</v>
      </c>
      <c r="K453">
        <v>1</v>
      </c>
      <c r="L453">
        <f t="shared" si="28"/>
        <v>2</v>
      </c>
      <c r="M453">
        <v>0</v>
      </c>
      <c r="N453">
        <v>0</v>
      </c>
      <c r="O453">
        <v>2</v>
      </c>
      <c r="P453" s="1">
        <f t="shared" si="29"/>
        <v>0</v>
      </c>
      <c r="Q453">
        <f t="shared" si="30"/>
        <v>2</v>
      </c>
      <c r="R453" s="1">
        <f t="shared" si="31"/>
        <v>0</v>
      </c>
    </row>
    <row r="454" spans="1:18" x14ac:dyDescent="0.3">
      <c r="A454" t="s">
        <v>1444</v>
      </c>
      <c r="B454" t="s">
        <v>1445</v>
      </c>
      <c r="C454" t="s">
        <v>18</v>
      </c>
      <c r="D454">
        <v>1</v>
      </c>
      <c r="E454">
        <v>0</v>
      </c>
      <c r="G454" s="1">
        <v>0</v>
      </c>
      <c r="H454">
        <v>0</v>
      </c>
      <c r="I454">
        <v>0.5</v>
      </c>
      <c r="J454">
        <v>1</v>
      </c>
      <c r="K454">
        <v>1</v>
      </c>
      <c r="L454">
        <f t="shared" si="28"/>
        <v>2</v>
      </c>
      <c r="M454">
        <v>0</v>
      </c>
      <c r="N454">
        <v>0</v>
      </c>
      <c r="O454">
        <v>2</v>
      </c>
      <c r="P454" s="1">
        <f t="shared" si="29"/>
        <v>0</v>
      </c>
      <c r="Q454">
        <f t="shared" si="30"/>
        <v>2</v>
      </c>
      <c r="R454" s="1">
        <f t="shared" si="31"/>
        <v>0</v>
      </c>
    </row>
    <row r="455" spans="1:18" x14ac:dyDescent="0.3">
      <c r="A455" t="s">
        <v>1446</v>
      </c>
      <c r="B455" t="s">
        <v>1447</v>
      </c>
      <c r="C455" t="s">
        <v>18</v>
      </c>
      <c r="D455">
        <v>1</v>
      </c>
      <c r="E455">
        <v>0</v>
      </c>
      <c r="G455" s="1">
        <v>0</v>
      </c>
      <c r="H455">
        <v>1</v>
      </c>
      <c r="I455">
        <v>0.5</v>
      </c>
      <c r="J455">
        <v>1</v>
      </c>
      <c r="K455">
        <v>1</v>
      </c>
      <c r="L455">
        <f t="shared" si="28"/>
        <v>2</v>
      </c>
      <c r="M455">
        <v>0</v>
      </c>
      <c r="N455">
        <v>0</v>
      </c>
      <c r="O455">
        <v>2</v>
      </c>
      <c r="P455" s="1">
        <f t="shared" si="29"/>
        <v>0</v>
      </c>
      <c r="Q455">
        <f t="shared" si="30"/>
        <v>2</v>
      </c>
      <c r="R455" s="1">
        <f t="shared" si="31"/>
        <v>0</v>
      </c>
    </row>
    <row r="456" spans="1:18" x14ac:dyDescent="0.3">
      <c r="A456" t="s">
        <v>1448</v>
      </c>
      <c r="B456" t="s">
        <v>1449</v>
      </c>
      <c r="C456" t="s">
        <v>18</v>
      </c>
      <c r="D456">
        <v>1</v>
      </c>
      <c r="E456">
        <v>0</v>
      </c>
      <c r="G456" s="1">
        <v>0</v>
      </c>
      <c r="H456">
        <v>0</v>
      </c>
      <c r="I456">
        <v>0.5</v>
      </c>
      <c r="J456">
        <v>1</v>
      </c>
      <c r="K456">
        <v>1</v>
      </c>
      <c r="L456">
        <f t="shared" si="28"/>
        <v>2</v>
      </c>
      <c r="M456">
        <v>0</v>
      </c>
      <c r="N456">
        <v>0</v>
      </c>
      <c r="O456">
        <v>2</v>
      </c>
      <c r="P456" s="1">
        <f t="shared" si="29"/>
        <v>0</v>
      </c>
      <c r="Q456">
        <f t="shared" si="30"/>
        <v>2</v>
      </c>
      <c r="R456" s="1">
        <f t="shared" si="31"/>
        <v>0</v>
      </c>
    </row>
    <row r="457" spans="1:18" x14ac:dyDescent="0.3">
      <c r="A457" t="s">
        <v>1450</v>
      </c>
      <c r="B457" t="s">
        <v>1451</v>
      </c>
      <c r="C457" t="s">
        <v>18</v>
      </c>
      <c r="D457">
        <v>1</v>
      </c>
      <c r="E457">
        <v>0</v>
      </c>
      <c r="G457" s="1">
        <v>0</v>
      </c>
      <c r="H457">
        <v>0</v>
      </c>
      <c r="I457">
        <v>0.5</v>
      </c>
      <c r="J457">
        <v>1</v>
      </c>
      <c r="K457">
        <v>1</v>
      </c>
      <c r="L457">
        <f t="shared" si="28"/>
        <v>2</v>
      </c>
      <c r="M457">
        <v>0</v>
      </c>
      <c r="N457">
        <v>0</v>
      </c>
      <c r="O457">
        <v>2</v>
      </c>
      <c r="P457" s="1">
        <f t="shared" si="29"/>
        <v>0</v>
      </c>
      <c r="Q457">
        <f t="shared" si="30"/>
        <v>2</v>
      </c>
      <c r="R457" s="1">
        <f t="shared" si="31"/>
        <v>0</v>
      </c>
    </row>
    <row r="458" spans="1:18" x14ac:dyDescent="0.3">
      <c r="A458" t="s">
        <v>1452</v>
      </c>
      <c r="B458" t="s">
        <v>1453</v>
      </c>
      <c r="C458" t="s">
        <v>18</v>
      </c>
      <c r="D458">
        <v>1</v>
      </c>
      <c r="E458">
        <v>0</v>
      </c>
      <c r="G458" s="1">
        <v>0</v>
      </c>
      <c r="H458">
        <v>1</v>
      </c>
      <c r="I458">
        <v>0.5</v>
      </c>
      <c r="J458">
        <v>1</v>
      </c>
      <c r="K458">
        <v>1</v>
      </c>
      <c r="L458">
        <f t="shared" si="28"/>
        <v>2</v>
      </c>
      <c r="M458">
        <v>0</v>
      </c>
      <c r="N458">
        <v>0</v>
      </c>
      <c r="O458">
        <v>2</v>
      </c>
      <c r="P458" s="1">
        <f t="shared" si="29"/>
        <v>0</v>
      </c>
      <c r="Q458">
        <f t="shared" si="30"/>
        <v>2</v>
      </c>
      <c r="R458" s="1">
        <f t="shared" si="31"/>
        <v>0</v>
      </c>
    </row>
    <row r="459" spans="1:18" x14ac:dyDescent="0.3">
      <c r="A459" t="s">
        <v>1454</v>
      </c>
      <c r="B459" t="s">
        <v>1455</v>
      </c>
      <c r="C459" t="s">
        <v>18</v>
      </c>
      <c r="D459">
        <v>1</v>
      </c>
      <c r="E459">
        <v>0</v>
      </c>
      <c r="G459" s="1">
        <v>0</v>
      </c>
      <c r="H459">
        <v>0</v>
      </c>
      <c r="I459">
        <v>0.5</v>
      </c>
      <c r="J459">
        <v>1</v>
      </c>
      <c r="K459">
        <v>1</v>
      </c>
      <c r="L459">
        <f t="shared" si="28"/>
        <v>2</v>
      </c>
      <c r="M459">
        <v>0</v>
      </c>
      <c r="N459">
        <v>0</v>
      </c>
      <c r="O459">
        <v>2</v>
      </c>
      <c r="P459" s="1">
        <f t="shared" si="29"/>
        <v>0</v>
      </c>
      <c r="Q459">
        <f t="shared" si="30"/>
        <v>2</v>
      </c>
      <c r="R459" s="1">
        <f t="shared" si="31"/>
        <v>0</v>
      </c>
    </row>
    <row r="460" spans="1:18" x14ac:dyDescent="0.3">
      <c r="A460" t="s">
        <v>1456</v>
      </c>
      <c r="B460" t="s">
        <v>1457</v>
      </c>
      <c r="C460" t="s">
        <v>18</v>
      </c>
      <c r="D460">
        <v>1</v>
      </c>
      <c r="E460">
        <v>0</v>
      </c>
      <c r="G460" s="1">
        <v>0</v>
      </c>
      <c r="H460">
        <v>1</v>
      </c>
      <c r="I460">
        <v>0.5</v>
      </c>
      <c r="J460">
        <v>1</v>
      </c>
      <c r="K460">
        <v>1</v>
      </c>
      <c r="L460">
        <f t="shared" si="28"/>
        <v>2</v>
      </c>
      <c r="M460">
        <v>0</v>
      </c>
      <c r="N460">
        <v>0</v>
      </c>
      <c r="O460">
        <v>2</v>
      </c>
      <c r="P460" s="1">
        <f t="shared" si="29"/>
        <v>0</v>
      </c>
      <c r="Q460">
        <f t="shared" si="30"/>
        <v>2</v>
      </c>
      <c r="R460" s="1">
        <f t="shared" si="31"/>
        <v>0</v>
      </c>
    </row>
    <row r="461" spans="1:18" x14ac:dyDescent="0.3">
      <c r="A461" t="s">
        <v>1458</v>
      </c>
      <c r="B461" t="s">
        <v>1459</v>
      </c>
      <c r="C461" t="s">
        <v>18</v>
      </c>
      <c r="D461">
        <v>1</v>
      </c>
      <c r="E461">
        <v>0</v>
      </c>
      <c r="G461" s="1">
        <v>0</v>
      </c>
      <c r="H461">
        <v>0</v>
      </c>
      <c r="I461">
        <v>0.5</v>
      </c>
      <c r="J461">
        <v>1</v>
      </c>
      <c r="K461">
        <v>1</v>
      </c>
      <c r="L461">
        <f t="shared" si="28"/>
        <v>2</v>
      </c>
      <c r="M461">
        <v>0</v>
      </c>
      <c r="N461">
        <v>0</v>
      </c>
      <c r="O461">
        <v>2</v>
      </c>
      <c r="P461" s="1">
        <f t="shared" si="29"/>
        <v>0</v>
      </c>
      <c r="Q461">
        <f t="shared" si="30"/>
        <v>2</v>
      </c>
      <c r="R461" s="1">
        <f t="shared" si="31"/>
        <v>0</v>
      </c>
    </row>
    <row r="462" spans="1:18" x14ac:dyDescent="0.3">
      <c r="A462" t="s">
        <v>1460</v>
      </c>
      <c r="B462" t="s">
        <v>1461</v>
      </c>
      <c r="C462" t="s">
        <v>18</v>
      </c>
      <c r="D462">
        <v>1</v>
      </c>
      <c r="E462">
        <v>0</v>
      </c>
      <c r="G462" s="1">
        <v>0</v>
      </c>
      <c r="H462">
        <v>0</v>
      </c>
      <c r="I462">
        <v>0.5</v>
      </c>
      <c r="J462">
        <v>1</v>
      </c>
      <c r="K462">
        <v>1</v>
      </c>
      <c r="L462">
        <f t="shared" si="28"/>
        <v>2</v>
      </c>
      <c r="M462">
        <v>0</v>
      </c>
      <c r="N462">
        <v>0</v>
      </c>
      <c r="O462">
        <v>2</v>
      </c>
      <c r="P462" s="1">
        <f t="shared" si="29"/>
        <v>0</v>
      </c>
      <c r="Q462">
        <f t="shared" si="30"/>
        <v>2</v>
      </c>
      <c r="R462" s="1">
        <f t="shared" si="31"/>
        <v>0</v>
      </c>
    </row>
    <row r="463" spans="1:18" x14ac:dyDescent="0.3">
      <c r="A463" t="s">
        <v>1462</v>
      </c>
      <c r="B463" t="s">
        <v>1463</v>
      </c>
      <c r="C463" t="s">
        <v>18</v>
      </c>
      <c r="D463">
        <v>1</v>
      </c>
      <c r="E463">
        <v>0</v>
      </c>
      <c r="G463" s="1">
        <v>0</v>
      </c>
      <c r="H463">
        <v>1</v>
      </c>
      <c r="I463">
        <v>0.5</v>
      </c>
      <c r="J463">
        <v>1</v>
      </c>
      <c r="K463">
        <v>1</v>
      </c>
      <c r="L463">
        <f t="shared" si="28"/>
        <v>2</v>
      </c>
      <c r="M463">
        <v>0</v>
      </c>
      <c r="N463">
        <v>0</v>
      </c>
      <c r="O463">
        <v>2</v>
      </c>
      <c r="P463" s="1">
        <f t="shared" si="29"/>
        <v>0</v>
      </c>
      <c r="Q463">
        <f t="shared" si="30"/>
        <v>2</v>
      </c>
      <c r="R463" s="1">
        <f t="shared" si="31"/>
        <v>0</v>
      </c>
    </row>
    <row r="464" spans="1:18" x14ac:dyDescent="0.3">
      <c r="A464" t="s">
        <v>1464</v>
      </c>
      <c r="B464" t="s">
        <v>1465</v>
      </c>
      <c r="C464" t="s">
        <v>18</v>
      </c>
      <c r="D464">
        <v>33</v>
      </c>
      <c r="E464">
        <v>5</v>
      </c>
      <c r="F464" t="s">
        <v>124</v>
      </c>
      <c r="G464" s="1">
        <v>5138.6899999999996</v>
      </c>
      <c r="H464">
        <v>9</v>
      </c>
      <c r="I464">
        <v>0.5</v>
      </c>
      <c r="J464">
        <v>1</v>
      </c>
      <c r="K464">
        <v>1</v>
      </c>
      <c r="L464">
        <f t="shared" si="28"/>
        <v>2</v>
      </c>
      <c r="M464">
        <v>0</v>
      </c>
      <c r="N464">
        <v>0</v>
      </c>
      <c r="O464">
        <v>2</v>
      </c>
      <c r="P464" s="1">
        <f t="shared" si="29"/>
        <v>0</v>
      </c>
      <c r="Q464">
        <f t="shared" si="30"/>
        <v>2</v>
      </c>
      <c r="R464" s="1">
        <f t="shared" si="31"/>
        <v>10277.379999999999</v>
      </c>
    </row>
    <row r="465" spans="1:18" x14ac:dyDescent="0.3">
      <c r="A465" t="s">
        <v>1466</v>
      </c>
      <c r="B465" t="s">
        <v>1467</v>
      </c>
      <c r="C465" t="s">
        <v>18</v>
      </c>
      <c r="D465">
        <v>1</v>
      </c>
      <c r="E465">
        <v>0</v>
      </c>
      <c r="G465" s="1">
        <v>0</v>
      </c>
      <c r="H465">
        <v>0</v>
      </c>
      <c r="I465">
        <v>0.5</v>
      </c>
      <c r="J465">
        <v>1</v>
      </c>
      <c r="K465">
        <v>1</v>
      </c>
      <c r="L465">
        <f t="shared" si="28"/>
        <v>2</v>
      </c>
      <c r="M465">
        <v>0</v>
      </c>
      <c r="N465">
        <v>0</v>
      </c>
      <c r="O465">
        <v>2</v>
      </c>
      <c r="P465" s="1">
        <f t="shared" si="29"/>
        <v>0</v>
      </c>
      <c r="Q465">
        <f t="shared" si="30"/>
        <v>2</v>
      </c>
      <c r="R465" s="1">
        <f t="shared" si="31"/>
        <v>0</v>
      </c>
    </row>
    <row r="466" spans="1:18" x14ac:dyDescent="0.3">
      <c r="A466" t="s">
        <v>1468</v>
      </c>
      <c r="B466" t="s">
        <v>1469</v>
      </c>
      <c r="C466" t="s">
        <v>18</v>
      </c>
      <c r="D466">
        <v>25</v>
      </c>
      <c r="E466">
        <v>3</v>
      </c>
      <c r="F466" t="s">
        <v>1073</v>
      </c>
      <c r="G466" s="1">
        <v>3606.45</v>
      </c>
      <c r="H466">
        <v>8</v>
      </c>
      <c r="I466">
        <v>0.5</v>
      </c>
      <c r="J466">
        <v>1</v>
      </c>
      <c r="K466">
        <v>1</v>
      </c>
      <c r="L466">
        <f t="shared" si="28"/>
        <v>2</v>
      </c>
      <c r="M466">
        <v>0</v>
      </c>
      <c r="N466">
        <v>0</v>
      </c>
      <c r="O466">
        <v>2</v>
      </c>
      <c r="P466" s="1">
        <f t="shared" si="29"/>
        <v>0</v>
      </c>
      <c r="Q466">
        <f t="shared" si="30"/>
        <v>2</v>
      </c>
      <c r="R466" s="1">
        <f t="shared" si="31"/>
        <v>7212.9</v>
      </c>
    </row>
    <row r="467" spans="1:18" x14ac:dyDescent="0.3">
      <c r="A467" t="s">
        <v>1470</v>
      </c>
      <c r="B467" t="s">
        <v>1471</v>
      </c>
      <c r="C467" t="s">
        <v>18</v>
      </c>
      <c r="D467">
        <v>16</v>
      </c>
      <c r="E467">
        <v>2</v>
      </c>
      <c r="F467" t="s">
        <v>124</v>
      </c>
      <c r="G467" s="1">
        <v>5419</v>
      </c>
      <c r="H467">
        <v>5</v>
      </c>
      <c r="I467">
        <v>0.9</v>
      </c>
      <c r="J467">
        <v>1</v>
      </c>
      <c r="K467">
        <v>1</v>
      </c>
      <c r="L467">
        <f t="shared" si="28"/>
        <v>2</v>
      </c>
      <c r="M467">
        <v>0</v>
      </c>
      <c r="N467">
        <v>0</v>
      </c>
      <c r="O467">
        <v>3</v>
      </c>
      <c r="P467" s="1">
        <f t="shared" si="29"/>
        <v>0</v>
      </c>
      <c r="Q467">
        <f t="shared" si="30"/>
        <v>3</v>
      </c>
      <c r="R467" s="1">
        <f t="shared" si="31"/>
        <v>16257</v>
      </c>
    </row>
    <row r="468" spans="1:18" x14ac:dyDescent="0.3">
      <c r="A468" t="s">
        <v>1472</v>
      </c>
      <c r="B468" t="s">
        <v>1473</v>
      </c>
      <c r="C468" t="s">
        <v>18</v>
      </c>
      <c r="D468">
        <v>1</v>
      </c>
      <c r="E468">
        <v>0</v>
      </c>
      <c r="G468" s="1">
        <v>0</v>
      </c>
      <c r="H468">
        <v>0</v>
      </c>
      <c r="I468">
        <v>0.5</v>
      </c>
      <c r="J468">
        <v>1</v>
      </c>
      <c r="K468">
        <v>1</v>
      </c>
      <c r="L468">
        <f t="shared" si="28"/>
        <v>2</v>
      </c>
      <c r="M468">
        <v>0</v>
      </c>
      <c r="N468">
        <v>0</v>
      </c>
      <c r="O468">
        <v>2</v>
      </c>
      <c r="P468" s="1">
        <f t="shared" si="29"/>
        <v>0</v>
      </c>
      <c r="Q468">
        <f t="shared" si="30"/>
        <v>2</v>
      </c>
      <c r="R468" s="1">
        <f t="shared" si="31"/>
        <v>0</v>
      </c>
    </row>
    <row r="469" spans="1:18" x14ac:dyDescent="0.3">
      <c r="A469" t="s">
        <v>1474</v>
      </c>
      <c r="B469" t="s">
        <v>1475</v>
      </c>
      <c r="C469" t="s">
        <v>18</v>
      </c>
      <c r="D469">
        <v>1</v>
      </c>
      <c r="E469">
        <v>0</v>
      </c>
      <c r="G469" s="1">
        <v>0</v>
      </c>
      <c r="H469">
        <v>0</v>
      </c>
      <c r="I469">
        <v>0.5</v>
      </c>
      <c r="J469">
        <v>1</v>
      </c>
      <c r="K469">
        <v>1</v>
      </c>
      <c r="L469">
        <f t="shared" si="28"/>
        <v>2</v>
      </c>
      <c r="M469">
        <v>0</v>
      </c>
      <c r="N469">
        <v>0</v>
      </c>
      <c r="O469">
        <v>2</v>
      </c>
      <c r="P469" s="1">
        <f t="shared" si="29"/>
        <v>0</v>
      </c>
      <c r="Q469">
        <f t="shared" si="30"/>
        <v>2</v>
      </c>
      <c r="R469" s="1">
        <f t="shared" si="31"/>
        <v>0</v>
      </c>
    </row>
    <row r="470" spans="1:18" x14ac:dyDescent="0.3">
      <c r="A470" t="s">
        <v>1476</v>
      </c>
      <c r="B470" t="s">
        <v>1477</v>
      </c>
      <c r="C470" t="s">
        <v>18</v>
      </c>
      <c r="D470">
        <v>1</v>
      </c>
      <c r="E470">
        <v>0</v>
      </c>
      <c r="G470" s="1">
        <v>0</v>
      </c>
      <c r="H470">
        <v>0</v>
      </c>
      <c r="I470">
        <v>0.5</v>
      </c>
      <c r="J470">
        <v>1</v>
      </c>
      <c r="K470">
        <v>1</v>
      </c>
      <c r="L470">
        <f t="shared" si="28"/>
        <v>2</v>
      </c>
      <c r="M470">
        <v>0</v>
      </c>
      <c r="N470">
        <v>0</v>
      </c>
      <c r="O470">
        <v>2</v>
      </c>
      <c r="P470" s="1">
        <f t="shared" si="29"/>
        <v>0</v>
      </c>
      <c r="Q470">
        <f t="shared" si="30"/>
        <v>2</v>
      </c>
      <c r="R470" s="1">
        <f t="shared" si="31"/>
        <v>0</v>
      </c>
    </row>
    <row r="471" spans="1:18" x14ac:dyDescent="0.3">
      <c r="A471" t="s">
        <v>1478</v>
      </c>
      <c r="B471" t="s">
        <v>1479</v>
      </c>
      <c r="C471" t="s">
        <v>18</v>
      </c>
      <c r="D471">
        <v>1</v>
      </c>
      <c r="E471">
        <v>0</v>
      </c>
      <c r="G471" s="1">
        <v>0</v>
      </c>
      <c r="H471">
        <v>0</v>
      </c>
      <c r="I471">
        <v>0.5</v>
      </c>
      <c r="J471">
        <v>1</v>
      </c>
      <c r="K471">
        <v>1</v>
      </c>
      <c r="L471">
        <f t="shared" si="28"/>
        <v>2</v>
      </c>
      <c r="M471">
        <v>0</v>
      </c>
      <c r="N471">
        <v>0</v>
      </c>
      <c r="O471">
        <v>2</v>
      </c>
      <c r="P471" s="1">
        <f t="shared" si="29"/>
        <v>0</v>
      </c>
      <c r="Q471">
        <f t="shared" si="30"/>
        <v>2</v>
      </c>
      <c r="R471" s="1">
        <f t="shared" si="31"/>
        <v>0</v>
      </c>
    </row>
    <row r="472" spans="1:18" x14ac:dyDescent="0.3">
      <c r="A472" t="s">
        <v>1480</v>
      </c>
      <c r="B472" t="s">
        <v>1481</v>
      </c>
      <c r="C472" t="s">
        <v>18</v>
      </c>
      <c r="D472">
        <v>1</v>
      </c>
      <c r="E472">
        <v>0</v>
      </c>
      <c r="G472" s="1">
        <v>0</v>
      </c>
      <c r="H472">
        <v>2</v>
      </c>
      <c r="I472">
        <v>0.5</v>
      </c>
      <c r="J472">
        <v>2</v>
      </c>
      <c r="K472">
        <v>1</v>
      </c>
      <c r="L472">
        <f t="shared" si="28"/>
        <v>2</v>
      </c>
      <c r="M472">
        <v>0</v>
      </c>
      <c r="N472">
        <v>0</v>
      </c>
      <c r="O472">
        <v>5</v>
      </c>
      <c r="P472" s="1">
        <f t="shared" si="29"/>
        <v>0</v>
      </c>
      <c r="Q472">
        <f t="shared" si="30"/>
        <v>5</v>
      </c>
      <c r="R472" s="1">
        <f t="shared" si="31"/>
        <v>0</v>
      </c>
    </row>
    <row r="473" spans="1:18" x14ac:dyDescent="0.3">
      <c r="A473" t="s">
        <v>1482</v>
      </c>
      <c r="B473" t="s">
        <v>1483</v>
      </c>
      <c r="C473" t="s">
        <v>18</v>
      </c>
      <c r="D473">
        <v>1</v>
      </c>
      <c r="E473">
        <v>0</v>
      </c>
      <c r="G473" s="1">
        <v>0</v>
      </c>
      <c r="H473">
        <v>0</v>
      </c>
      <c r="I473">
        <v>0.5</v>
      </c>
      <c r="J473">
        <v>1</v>
      </c>
      <c r="K473">
        <v>1</v>
      </c>
      <c r="L473">
        <f t="shared" si="28"/>
        <v>2</v>
      </c>
      <c r="M473">
        <v>0</v>
      </c>
      <c r="N473">
        <v>0</v>
      </c>
      <c r="O473">
        <v>2</v>
      </c>
      <c r="P473" s="1">
        <f t="shared" si="29"/>
        <v>0</v>
      </c>
      <c r="Q473">
        <f t="shared" si="30"/>
        <v>2</v>
      </c>
      <c r="R473" s="1">
        <f t="shared" si="31"/>
        <v>0</v>
      </c>
    </row>
    <row r="474" spans="1:18" x14ac:dyDescent="0.3">
      <c r="A474" t="s">
        <v>1484</v>
      </c>
      <c r="B474" t="s">
        <v>1485</v>
      </c>
      <c r="C474" t="s">
        <v>18</v>
      </c>
      <c r="D474">
        <v>30</v>
      </c>
      <c r="E474">
        <v>4</v>
      </c>
      <c r="F474" t="s">
        <v>124</v>
      </c>
      <c r="G474" s="1">
        <v>5978.54</v>
      </c>
      <c r="H474">
        <v>1</v>
      </c>
      <c r="I474">
        <v>1.6</v>
      </c>
      <c r="J474">
        <v>1</v>
      </c>
      <c r="K474">
        <v>2</v>
      </c>
      <c r="L474">
        <f t="shared" si="28"/>
        <v>4</v>
      </c>
      <c r="M474">
        <v>0</v>
      </c>
      <c r="N474">
        <v>0</v>
      </c>
      <c r="O474">
        <v>4</v>
      </c>
      <c r="P474" s="1">
        <f t="shared" si="29"/>
        <v>0</v>
      </c>
      <c r="Q474">
        <f t="shared" si="30"/>
        <v>4</v>
      </c>
      <c r="R474" s="1">
        <f t="shared" si="31"/>
        <v>23914.16</v>
      </c>
    </row>
    <row r="475" spans="1:18" x14ac:dyDescent="0.3">
      <c r="A475" t="s">
        <v>1486</v>
      </c>
      <c r="B475" t="s">
        <v>1487</v>
      </c>
      <c r="C475" t="s">
        <v>18</v>
      </c>
      <c r="D475">
        <v>1</v>
      </c>
      <c r="E475">
        <v>0</v>
      </c>
      <c r="G475" s="1">
        <v>0</v>
      </c>
      <c r="H475">
        <v>0</v>
      </c>
      <c r="I475">
        <v>0.5</v>
      </c>
      <c r="J475">
        <v>1</v>
      </c>
      <c r="K475">
        <v>1</v>
      </c>
      <c r="L475">
        <f t="shared" si="28"/>
        <v>2</v>
      </c>
      <c r="M475">
        <v>0</v>
      </c>
      <c r="N475">
        <v>0</v>
      </c>
      <c r="O475">
        <v>2</v>
      </c>
      <c r="P475" s="1">
        <f t="shared" si="29"/>
        <v>0</v>
      </c>
      <c r="Q475">
        <f t="shared" si="30"/>
        <v>2</v>
      </c>
      <c r="R475" s="1">
        <f t="shared" si="31"/>
        <v>0</v>
      </c>
    </row>
    <row r="476" spans="1:18" x14ac:dyDescent="0.3">
      <c r="A476" t="s">
        <v>1488</v>
      </c>
      <c r="B476" t="s">
        <v>1489</v>
      </c>
      <c r="C476" t="s">
        <v>18</v>
      </c>
      <c r="D476">
        <v>1</v>
      </c>
      <c r="E476">
        <v>1</v>
      </c>
      <c r="F476" t="s">
        <v>1073</v>
      </c>
      <c r="G476" s="1">
        <v>5809.2</v>
      </c>
      <c r="H476">
        <v>2</v>
      </c>
      <c r="I476">
        <v>0.5</v>
      </c>
      <c r="J476">
        <v>2</v>
      </c>
      <c r="K476">
        <v>1</v>
      </c>
      <c r="L476">
        <f t="shared" si="28"/>
        <v>2</v>
      </c>
      <c r="M476">
        <v>0</v>
      </c>
      <c r="N476">
        <v>0</v>
      </c>
      <c r="O476">
        <v>5</v>
      </c>
      <c r="P476" s="1">
        <f t="shared" si="29"/>
        <v>0</v>
      </c>
      <c r="Q476">
        <f t="shared" si="30"/>
        <v>5</v>
      </c>
      <c r="R476" s="1">
        <f t="shared" si="31"/>
        <v>29046</v>
      </c>
    </row>
    <row r="477" spans="1:18" x14ac:dyDescent="0.3">
      <c r="A477" t="s">
        <v>1490</v>
      </c>
      <c r="B477" t="s">
        <v>1491</v>
      </c>
      <c r="C477" t="s">
        <v>18</v>
      </c>
      <c r="D477">
        <v>1</v>
      </c>
      <c r="E477">
        <v>0</v>
      </c>
      <c r="G477" s="1">
        <v>0</v>
      </c>
      <c r="H477">
        <v>0</v>
      </c>
      <c r="I477">
        <v>0.5</v>
      </c>
      <c r="J477">
        <v>1</v>
      </c>
      <c r="K477">
        <v>1</v>
      </c>
      <c r="L477">
        <f t="shared" si="28"/>
        <v>2</v>
      </c>
      <c r="M477">
        <v>0</v>
      </c>
      <c r="N477">
        <v>0</v>
      </c>
      <c r="O477">
        <v>2</v>
      </c>
      <c r="P477" s="1">
        <f t="shared" si="29"/>
        <v>0</v>
      </c>
      <c r="Q477">
        <f t="shared" si="30"/>
        <v>2</v>
      </c>
      <c r="R477" s="1">
        <f t="shared" si="31"/>
        <v>0</v>
      </c>
    </row>
    <row r="478" spans="1:18" x14ac:dyDescent="0.3">
      <c r="A478" t="s">
        <v>1492</v>
      </c>
      <c r="B478" t="s">
        <v>1493</v>
      </c>
      <c r="C478" t="s">
        <v>18</v>
      </c>
      <c r="D478">
        <v>1</v>
      </c>
      <c r="E478">
        <v>0</v>
      </c>
      <c r="G478" s="1">
        <v>0</v>
      </c>
      <c r="H478">
        <v>0</v>
      </c>
      <c r="I478">
        <v>0.5</v>
      </c>
      <c r="J478">
        <v>1</v>
      </c>
      <c r="K478">
        <v>1</v>
      </c>
      <c r="L478">
        <f t="shared" si="28"/>
        <v>2</v>
      </c>
      <c r="M478">
        <v>0</v>
      </c>
      <c r="N478">
        <v>0</v>
      </c>
      <c r="O478">
        <v>2</v>
      </c>
      <c r="P478" s="1">
        <f t="shared" si="29"/>
        <v>0</v>
      </c>
      <c r="Q478">
        <f t="shared" si="30"/>
        <v>2</v>
      </c>
      <c r="R478" s="1">
        <f t="shared" si="31"/>
        <v>0</v>
      </c>
    </row>
    <row r="479" spans="1:18" x14ac:dyDescent="0.3">
      <c r="A479" t="s">
        <v>1494</v>
      </c>
      <c r="B479" t="s">
        <v>1495</v>
      </c>
      <c r="C479" t="s">
        <v>18</v>
      </c>
      <c r="D479">
        <v>1</v>
      </c>
      <c r="E479">
        <v>0</v>
      </c>
      <c r="G479" s="1">
        <v>0</v>
      </c>
      <c r="H479">
        <v>3</v>
      </c>
      <c r="I479">
        <v>0.5</v>
      </c>
      <c r="J479">
        <v>3</v>
      </c>
      <c r="K479">
        <v>2</v>
      </c>
      <c r="L479">
        <f t="shared" si="28"/>
        <v>4</v>
      </c>
      <c r="M479">
        <v>0</v>
      </c>
      <c r="N479">
        <v>0</v>
      </c>
      <c r="O479">
        <v>8</v>
      </c>
      <c r="P479" s="1">
        <f t="shared" si="29"/>
        <v>0</v>
      </c>
      <c r="Q479">
        <f t="shared" si="30"/>
        <v>8</v>
      </c>
      <c r="R479" s="1">
        <f t="shared" si="31"/>
        <v>0</v>
      </c>
    </row>
    <row r="480" spans="1:18" x14ac:dyDescent="0.3">
      <c r="A480" t="s">
        <v>1496</v>
      </c>
      <c r="B480" t="s">
        <v>1497</v>
      </c>
      <c r="C480" t="s">
        <v>18</v>
      </c>
      <c r="D480">
        <v>12</v>
      </c>
      <c r="E480">
        <v>0</v>
      </c>
      <c r="G480" s="1">
        <v>0</v>
      </c>
      <c r="H480">
        <v>2</v>
      </c>
      <c r="I480">
        <v>0.5</v>
      </c>
      <c r="J480">
        <v>1</v>
      </c>
      <c r="K480">
        <v>1</v>
      </c>
      <c r="L480">
        <f t="shared" si="28"/>
        <v>2</v>
      </c>
      <c r="M480">
        <v>0</v>
      </c>
      <c r="N480">
        <v>0</v>
      </c>
      <c r="O480">
        <v>2</v>
      </c>
      <c r="P480" s="1">
        <f t="shared" si="29"/>
        <v>0</v>
      </c>
      <c r="Q480">
        <f t="shared" si="30"/>
        <v>2</v>
      </c>
      <c r="R480" s="1">
        <f t="shared" si="31"/>
        <v>0</v>
      </c>
    </row>
    <row r="481" spans="1:18" x14ac:dyDescent="0.3">
      <c r="A481" t="s">
        <v>1498</v>
      </c>
      <c r="B481" t="s">
        <v>1499</v>
      </c>
      <c r="C481" t="s">
        <v>18</v>
      </c>
      <c r="D481">
        <v>1</v>
      </c>
      <c r="E481">
        <v>0</v>
      </c>
      <c r="G481" s="1">
        <v>0</v>
      </c>
      <c r="H481">
        <v>0</v>
      </c>
      <c r="I481">
        <v>0.5</v>
      </c>
      <c r="J481">
        <v>1</v>
      </c>
      <c r="K481">
        <v>1</v>
      </c>
      <c r="L481">
        <f t="shared" si="28"/>
        <v>2</v>
      </c>
      <c r="M481">
        <v>0</v>
      </c>
      <c r="N481">
        <v>0</v>
      </c>
      <c r="O481">
        <v>2</v>
      </c>
      <c r="P481" s="1">
        <f t="shared" si="29"/>
        <v>0</v>
      </c>
      <c r="Q481">
        <f t="shared" si="30"/>
        <v>2</v>
      </c>
      <c r="R481" s="1">
        <f t="shared" si="31"/>
        <v>0</v>
      </c>
    </row>
    <row r="482" spans="1:18" x14ac:dyDescent="0.3">
      <c r="A482" t="s">
        <v>1500</v>
      </c>
      <c r="B482" t="s">
        <v>1501</v>
      </c>
      <c r="C482" t="s">
        <v>18</v>
      </c>
      <c r="D482">
        <v>1</v>
      </c>
      <c r="E482">
        <v>0</v>
      </c>
      <c r="G482" s="1">
        <v>0</v>
      </c>
      <c r="H482">
        <v>0</v>
      </c>
      <c r="I482">
        <v>0.5</v>
      </c>
      <c r="J482">
        <v>1</v>
      </c>
      <c r="K482">
        <v>1</v>
      </c>
      <c r="L482">
        <f t="shared" si="28"/>
        <v>2</v>
      </c>
      <c r="M482">
        <v>0</v>
      </c>
      <c r="N482">
        <v>0</v>
      </c>
      <c r="O482">
        <v>2</v>
      </c>
      <c r="P482" s="1">
        <f t="shared" si="29"/>
        <v>0</v>
      </c>
      <c r="Q482">
        <f t="shared" si="30"/>
        <v>2</v>
      </c>
      <c r="R482" s="1">
        <f t="shared" si="31"/>
        <v>0</v>
      </c>
    </row>
    <row r="483" spans="1:18" x14ac:dyDescent="0.3">
      <c r="A483" t="s">
        <v>1502</v>
      </c>
      <c r="B483" t="s">
        <v>1503</v>
      </c>
      <c r="C483" t="s">
        <v>18</v>
      </c>
      <c r="D483">
        <v>1</v>
      </c>
      <c r="E483">
        <v>0</v>
      </c>
      <c r="G483" s="1">
        <v>0</v>
      </c>
      <c r="H483">
        <v>0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x14ac:dyDescent="0.3">
      <c r="A484" t="s">
        <v>1504</v>
      </c>
      <c r="B484" t="s">
        <v>1505</v>
      </c>
      <c r="C484" t="s">
        <v>18</v>
      </c>
      <c r="D484">
        <v>1</v>
      </c>
      <c r="E484">
        <v>0</v>
      </c>
      <c r="G484" s="1">
        <v>0</v>
      </c>
      <c r="H484">
        <v>0</v>
      </c>
      <c r="I484">
        <v>0.5</v>
      </c>
      <c r="J484">
        <v>1</v>
      </c>
      <c r="K484">
        <v>1</v>
      </c>
      <c r="L484">
        <f t="shared" si="28"/>
        <v>2</v>
      </c>
      <c r="M484">
        <v>0</v>
      </c>
      <c r="N484">
        <v>0</v>
      </c>
      <c r="O484">
        <v>2</v>
      </c>
      <c r="P484" s="1">
        <f t="shared" si="29"/>
        <v>0</v>
      </c>
      <c r="Q484">
        <f t="shared" si="30"/>
        <v>2</v>
      </c>
      <c r="R484" s="1">
        <f t="shared" si="31"/>
        <v>0</v>
      </c>
    </row>
    <row r="485" spans="1:18" x14ac:dyDescent="0.3">
      <c r="A485" t="s">
        <v>1506</v>
      </c>
      <c r="B485" t="s">
        <v>1507</v>
      </c>
      <c r="C485" t="s">
        <v>18</v>
      </c>
      <c r="D485">
        <v>1</v>
      </c>
      <c r="E485">
        <v>0</v>
      </c>
      <c r="G485" s="1">
        <v>0</v>
      </c>
      <c r="H485">
        <v>2</v>
      </c>
      <c r="I485">
        <v>0.5</v>
      </c>
      <c r="J485">
        <v>2</v>
      </c>
      <c r="K485">
        <v>1</v>
      </c>
      <c r="L485">
        <f t="shared" si="28"/>
        <v>2</v>
      </c>
      <c r="M485">
        <v>0</v>
      </c>
      <c r="N485">
        <v>0</v>
      </c>
      <c r="O485">
        <v>5</v>
      </c>
      <c r="P485" s="1">
        <f t="shared" si="29"/>
        <v>0</v>
      </c>
      <c r="Q485">
        <f t="shared" si="30"/>
        <v>5</v>
      </c>
      <c r="R485" s="1">
        <f t="shared" si="31"/>
        <v>0</v>
      </c>
    </row>
    <row r="486" spans="1:18" x14ac:dyDescent="0.3">
      <c r="A486" t="s">
        <v>1508</v>
      </c>
      <c r="B486" t="s">
        <v>1509</v>
      </c>
      <c r="C486" t="s">
        <v>18</v>
      </c>
      <c r="D486">
        <v>1</v>
      </c>
      <c r="E486">
        <v>0</v>
      </c>
      <c r="G486" s="1">
        <v>0</v>
      </c>
      <c r="H486">
        <v>0</v>
      </c>
      <c r="I486">
        <v>0.5</v>
      </c>
      <c r="J486">
        <v>1</v>
      </c>
      <c r="K486">
        <v>1</v>
      </c>
      <c r="L486">
        <f t="shared" si="28"/>
        <v>2</v>
      </c>
      <c r="M486">
        <v>0</v>
      </c>
      <c r="N486">
        <v>0</v>
      </c>
      <c r="O486">
        <v>2</v>
      </c>
      <c r="P486" s="1">
        <f t="shared" si="29"/>
        <v>0</v>
      </c>
      <c r="Q486">
        <f t="shared" si="30"/>
        <v>2</v>
      </c>
      <c r="R486" s="1">
        <f t="shared" si="31"/>
        <v>0</v>
      </c>
    </row>
    <row r="487" spans="1:18" x14ac:dyDescent="0.3">
      <c r="A487" t="s">
        <v>1510</v>
      </c>
      <c r="B487" t="s">
        <v>1511</v>
      </c>
      <c r="C487" t="s">
        <v>18</v>
      </c>
      <c r="D487">
        <v>1</v>
      </c>
      <c r="E487">
        <v>0</v>
      </c>
      <c r="G487" s="1">
        <v>0</v>
      </c>
      <c r="H487">
        <v>0</v>
      </c>
      <c r="I487">
        <v>0.5</v>
      </c>
      <c r="J487">
        <v>1</v>
      </c>
      <c r="K487">
        <v>1</v>
      </c>
      <c r="L487">
        <f t="shared" si="28"/>
        <v>2</v>
      </c>
      <c r="M487">
        <v>0</v>
      </c>
      <c r="N487">
        <v>0</v>
      </c>
      <c r="O487">
        <v>2</v>
      </c>
      <c r="P487" s="1">
        <f t="shared" si="29"/>
        <v>0</v>
      </c>
      <c r="Q487">
        <f t="shared" si="30"/>
        <v>2</v>
      </c>
      <c r="R487" s="1">
        <f t="shared" si="31"/>
        <v>0</v>
      </c>
    </row>
    <row r="488" spans="1:18" x14ac:dyDescent="0.3">
      <c r="A488" t="s">
        <v>1512</v>
      </c>
      <c r="B488" t="s">
        <v>1513</v>
      </c>
      <c r="C488" t="s">
        <v>18</v>
      </c>
      <c r="D488">
        <v>1</v>
      </c>
      <c r="E488">
        <v>0</v>
      </c>
      <c r="G488" s="1">
        <v>0</v>
      </c>
      <c r="H488">
        <v>0</v>
      </c>
      <c r="I488">
        <v>0.5</v>
      </c>
      <c r="J488">
        <v>1</v>
      </c>
      <c r="K488">
        <v>1</v>
      </c>
      <c r="L488">
        <f t="shared" si="28"/>
        <v>2</v>
      </c>
      <c r="M488">
        <v>0</v>
      </c>
      <c r="N488">
        <v>0</v>
      </c>
      <c r="O488">
        <v>2</v>
      </c>
      <c r="P488" s="1">
        <f t="shared" si="29"/>
        <v>0</v>
      </c>
      <c r="Q488">
        <f t="shared" si="30"/>
        <v>2</v>
      </c>
      <c r="R488" s="1">
        <f t="shared" si="31"/>
        <v>0</v>
      </c>
    </row>
    <row r="489" spans="1:18" x14ac:dyDescent="0.3">
      <c r="A489" t="s">
        <v>1514</v>
      </c>
      <c r="B489" t="s">
        <v>1515</v>
      </c>
      <c r="C489" t="s">
        <v>18</v>
      </c>
      <c r="D489">
        <v>1</v>
      </c>
      <c r="E489">
        <v>0</v>
      </c>
      <c r="G489" s="1">
        <v>0</v>
      </c>
      <c r="H489">
        <v>1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0</v>
      </c>
    </row>
    <row r="490" spans="1:18" x14ac:dyDescent="0.3">
      <c r="A490" t="s">
        <v>1516</v>
      </c>
      <c r="B490" t="s">
        <v>1517</v>
      </c>
      <c r="C490" t="s">
        <v>18</v>
      </c>
      <c r="D490">
        <v>1</v>
      </c>
      <c r="E490">
        <v>0</v>
      </c>
      <c r="G490" s="1">
        <v>0</v>
      </c>
      <c r="H490">
        <v>0</v>
      </c>
      <c r="I490">
        <v>0.5</v>
      </c>
      <c r="J490">
        <v>1</v>
      </c>
      <c r="K490">
        <v>1</v>
      </c>
      <c r="L490">
        <f t="shared" si="28"/>
        <v>2</v>
      </c>
      <c r="M490">
        <v>0</v>
      </c>
      <c r="N490">
        <v>0</v>
      </c>
      <c r="O490">
        <v>2</v>
      </c>
      <c r="P490" s="1">
        <f t="shared" si="29"/>
        <v>0</v>
      </c>
      <c r="Q490">
        <f t="shared" si="30"/>
        <v>2</v>
      </c>
      <c r="R490" s="1">
        <f t="shared" si="31"/>
        <v>0</v>
      </c>
    </row>
    <row r="491" spans="1:18" x14ac:dyDescent="0.3">
      <c r="A491" t="s">
        <v>1518</v>
      </c>
      <c r="B491" t="s">
        <v>1519</v>
      </c>
      <c r="C491" t="s">
        <v>18</v>
      </c>
      <c r="D491">
        <v>1</v>
      </c>
      <c r="E491">
        <v>0</v>
      </c>
      <c r="G491" s="1">
        <v>0</v>
      </c>
      <c r="H491">
        <v>1</v>
      </c>
      <c r="I491">
        <v>0.5</v>
      </c>
      <c r="J491">
        <v>1</v>
      </c>
      <c r="K491">
        <v>1</v>
      </c>
      <c r="L491">
        <f t="shared" si="28"/>
        <v>2</v>
      </c>
      <c r="M491">
        <v>0</v>
      </c>
      <c r="N491">
        <v>0</v>
      </c>
      <c r="O491">
        <v>2</v>
      </c>
      <c r="P491" s="1">
        <f t="shared" si="29"/>
        <v>0</v>
      </c>
      <c r="Q491">
        <f t="shared" si="30"/>
        <v>2</v>
      </c>
      <c r="R491" s="1">
        <f t="shared" si="31"/>
        <v>0</v>
      </c>
    </row>
    <row r="492" spans="1:18" x14ac:dyDescent="0.3">
      <c r="A492" t="s">
        <v>1520</v>
      </c>
      <c r="B492" t="s">
        <v>1521</v>
      </c>
      <c r="C492" t="s">
        <v>18</v>
      </c>
      <c r="D492">
        <v>1</v>
      </c>
      <c r="E492">
        <v>0</v>
      </c>
      <c r="G492" s="1">
        <v>0</v>
      </c>
      <c r="H492">
        <v>0</v>
      </c>
      <c r="I492">
        <v>0.5</v>
      </c>
      <c r="J492">
        <v>1</v>
      </c>
      <c r="K492">
        <v>1</v>
      </c>
      <c r="L492">
        <f t="shared" si="28"/>
        <v>2</v>
      </c>
      <c r="M492">
        <v>0</v>
      </c>
      <c r="N492">
        <v>0</v>
      </c>
      <c r="O492">
        <v>2</v>
      </c>
      <c r="P492" s="1">
        <f t="shared" si="29"/>
        <v>0</v>
      </c>
      <c r="Q492">
        <f t="shared" si="30"/>
        <v>2</v>
      </c>
      <c r="R492" s="1">
        <f t="shared" si="31"/>
        <v>0</v>
      </c>
    </row>
    <row r="493" spans="1:18" x14ac:dyDescent="0.3">
      <c r="A493" t="s">
        <v>1522</v>
      </c>
      <c r="B493" t="s">
        <v>1523</v>
      </c>
      <c r="C493" t="s">
        <v>18</v>
      </c>
      <c r="D493">
        <v>1</v>
      </c>
      <c r="E493">
        <v>0</v>
      </c>
      <c r="G493" s="1">
        <v>0</v>
      </c>
      <c r="H493">
        <v>0</v>
      </c>
      <c r="I493">
        <v>0.5</v>
      </c>
      <c r="J493">
        <v>1</v>
      </c>
      <c r="K493">
        <v>1</v>
      </c>
      <c r="L493">
        <f t="shared" si="28"/>
        <v>2</v>
      </c>
      <c r="M493">
        <v>0</v>
      </c>
      <c r="N493">
        <v>0</v>
      </c>
      <c r="O493">
        <v>2</v>
      </c>
      <c r="P493" s="1">
        <f t="shared" si="29"/>
        <v>0</v>
      </c>
      <c r="Q493">
        <f t="shared" si="30"/>
        <v>2</v>
      </c>
      <c r="R493" s="1">
        <f t="shared" si="31"/>
        <v>0</v>
      </c>
    </row>
    <row r="494" spans="1:18" x14ac:dyDescent="0.3">
      <c r="A494" t="s">
        <v>1524</v>
      </c>
      <c r="B494" t="s">
        <v>1525</v>
      </c>
      <c r="C494" t="s">
        <v>18</v>
      </c>
      <c r="D494">
        <v>1</v>
      </c>
      <c r="E494">
        <v>0</v>
      </c>
      <c r="G494" s="1">
        <v>0</v>
      </c>
      <c r="H494">
        <v>0</v>
      </c>
      <c r="I494">
        <v>0.5</v>
      </c>
      <c r="J494">
        <v>1</v>
      </c>
      <c r="K494">
        <v>1</v>
      </c>
      <c r="L494">
        <f t="shared" si="28"/>
        <v>2</v>
      </c>
      <c r="M494">
        <v>0</v>
      </c>
      <c r="N494">
        <v>0</v>
      </c>
      <c r="O494">
        <v>2</v>
      </c>
      <c r="P494" s="1">
        <f t="shared" si="29"/>
        <v>0</v>
      </c>
      <c r="Q494">
        <f t="shared" si="30"/>
        <v>2</v>
      </c>
      <c r="R494" s="1">
        <f t="shared" si="31"/>
        <v>0</v>
      </c>
    </row>
    <row r="495" spans="1:18" x14ac:dyDescent="0.3">
      <c r="A495" t="s">
        <v>1526</v>
      </c>
      <c r="B495" t="s">
        <v>1527</v>
      </c>
      <c r="C495" t="s">
        <v>18</v>
      </c>
      <c r="D495">
        <v>1</v>
      </c>
      <c r="E495">
        <v>0</v>
      </c>
      <c r="G495" s="1">
        <v>0</v>
      </c>
      <c r="H495">
        <v>0</v>
      </c>
      <c r="I495">
        <v>0.5</v>
      </c>
      <c r="J495">
        <v>1</v>
      </c>
      <c r="K495">
        <v>1</v>
      </c>
      <c r="L495">
        <f t="shared" si="28"/>
        <v>2</v>
      </c>
      <c r="M495">
        <v>0</v>
      </c>
      <c r="N495">
        <v>0</v>
      </c>
      <c r="O495">
        <v>2</v>
      </c>
      <c r="P495" s="1">
        <f t="shared" si="29"/>
        <v>0</v>
      </c>
      <c r="Q495">
        <f t="shared" si="30"/>
        <v>2</v>
      </c>
      <c r="R495" s="1">
        <f t="shared" si="31"/>
        <v>0</v>
      </c>
    </row>
    <row r="496" spans="1:18" x14ac:dyDescent="0.3">
      <c r="A496" t="s">
        <v>1528</v>
      </c>
      <c r="B496" t="s">
        <v>1529</v>
      </c>
      <c r="C496" t="s">
        <v>18</v>
      </c>
      <c r="D496">
        <v>1</v>
      </c>
      <c r="E496">
        <v>0</v>
      </c>
      <c r="G496" s="1">
        <v>0</v>
      </c>
      <c r="H496">
        <v>0</v>
      </c>
      <c r="I496">
        <v>0.5</v>
      </c>
      <c r="J496">
        <v>1</v>
      </c>
      <c r="K496">
        <v>1</v>
      </c>
      <c r="L496">
        <f t="shared" si="28"/>
        <v>2</v>
      </c>
      <c r="M496">
        <v>0</v>
      </c>
      <c r="N496">
        <v>0</v>
      </c>
      <c r="O496">
        <v>2</v>
      </c>
      <c r="P496" s="1">
        <f t="shared" si="29"/>
        <v>0</v>
      </c>
      <c r="Q496">
        <f t="shared" si="30"/>
        <v>2</v>
      </c>
      <c r="R496" s="1">
        <f t="shared" si="31"/>
        <v>0</v>
      </c>
    </row>
    <row r="497" spans="1:18" x14ac:dyDescent="0.3">
      <c r="A497" t="s">
        <v>1530</v>
      </c>
      <c r="B497" t="s">
        <v>1531</v>
      </c>
      <c r="C497" t="s">
        <v>18</v>
      </c>
      <c r="D497">
        <v>1</v>
      </c>
      <c r="E497">
        <v>0</v>
      </c>
      <c r="G497" s="1">
        <v>0</v>
      </c>
      <c r="H497">
        <v>0</v>
      </c>
      <c r="I497">
        <v>0.5</v>
      </c>
      <c r="J497">
        <v>1</v>
      </c>
      <c r="K497">
        <v>1</v>
      </c>
      <c r="L497">
        <f t="shared" si="28"/>
        <v>2</v>
      </c>
      <c r="M497">
        <v>0</v>
      </c>
      <c r="N497">
        <v>0</v>
      </c>
      <c r="O497">
        <v>2</v>
      </c>
      <c r="P497" s="1">
        <f t="shared" si="29"/>
        <v>0</v>
      </c>
      <c r="Q497">
        <f t="shared" si="30"/>
        <v>2</v>
      </c>
      <c r="R497" s="1">
        <f t="shared" si="31"/>
        <v>0</v>
      </c>
    </row>
    <row r="498" spans="1:18" x14ac:dyDescent="0.3">
      <c r="A498" t="s">
        <v>1532</v>
      </c>
      <c r="B498" t="s">
        <v>1533</v>
      </c>
      <c r="C498" t="s">
        <v>18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f t="shared" si="28"/>
        <v>2</v>
      </c>
      <c r="M498">
        <v>0</v>
      </c>
      <c r="N498">
        <v>0</v>
      </c>
      <c r="O498">
        <v>2</v>
      </c>
      <c r="P498" s="1">
        <f t="shared" si="29"/>
        <v>0</v>
      </c>
      <c r="Q498">
        <f t="shared" si="30"/>
        <v>2</v>
      </c>
      <c r="R498" s="1">
        <f t="shared" si="31"/>
        <v>0</v>
      </c>
    </row>
    <row r="499" spans="1:18" x14ac:dyDescent="0.3">
      <c r="A499" t="s">
        <v>1534</v>
      </c>
      <c r="B499" t="s">
        <v>1535</v>
      </c>
      <c r="C499" t="s">
        <v>18</v>
      </c>
      <c r="D499">
        <v>1</v>
      </c>
      <c r="E499">
        <v>0</v>
      </c>
      <c r="G499" s="1">
        <v>0</v>
      </c>
      <c r="H499">
        <v>0</v>
      </c>
      <c r="I499">
        <v>0.5</v>
      </c>
      <c r="J499">
        <v>1</v>
      </c>
      <c r="K499">
        <v>1</v>
      </c>
      <c r="L499">
        <f t="shared" si="28"/>
        <v>2</v>
      </c>
      <c r="M499">
        <v>0</v>
      </c>
      <c r="N499">
        <v>0</v>
      </c>
      <c r="O499">
        <v>2</v>
      </c>
      <c r="P499" s="1">
        <f t="shared" si="29"/>
        <v>0</v>
      </c>
      <c r="Q499">
        <f t="shared" si="30"/>
        <v>2</v>
      </c>
      <c r="R499" s="1">
        <f t="shared" si="31"/>
        <v>0</v>
      </c>
    </row>
    <row r="500" spans="1:18" x14ac:dyDescent="0.3">
      <c r="A500" t="s">
        <v>1536</v>
      </c>
      <c r="B500" t="s">
        <v>1537</v>
      </c>
      <c r="C500" t="s">
        <v>18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x14ac:dyDescent="0.3">
      <c r="A501" t="s">
        <v>1538</v>
      </c>
      <c r="B501" t="s">
        <v>1539</v>
      </c>
      <c r="C501" t="s">
        <v>18</v>
      </c>
      <c r="D501">
        <v>1</v>
      </c>
      <c r="E501">
        <v>0</v>
      </c>
      <c r="G501" s="1">
        <v>0</v>
      </c>
      <c r="H501">
        <v>1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x14ac:dyDescent="0.3">
      <c r="A502" t="s">
        <v>1540</v>
      </c>
      <c r="B502" t="s">
        <v>1541</v>
      </c>
      <c r="C502" t="s">
        <v>18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2</v>
      </c>
      <c r="P502" s="1">
        <f t="shared" si="29"/>
        <v>0</v>
      </c>
      <c r="Q502">
        <f t="shared" si="30"/>
        <v>2</v>
      </c>
      <c r="R502" s="1">
        <f t="shared" si="31"/>
        <v>0</v>
      </c>
    </row>
    <row r="503" spans="1:18" x14ac:dyDescent="0.3">
      <c r="A503" t="s">
        <v>1542</v>
      </c>
      <c r="B503" t="s">
        <v>1543</v>
      </c>
      <c r="C503" t="s">
        <v>18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x14ac:dyDescent="0.3">
      <c r="A504" t="s">
        <v>1544</v>
      </c>
      <c r="B504" t="s">
        <v>1545</v>
      </c>
      <c r="C504" t="s">
        <v>18</v>
      </c>
      <c r="D504">
        <v>1</v>
      </c>
      <c r="E504">
        <v>0</v>
      </c>
      <c r="G504" s="1">
        <v>0</v>
      </c>
      <c r="H504">
        <v>1</v>
      </c>
      <c r="I504">
        <v>0.5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2</v>
      </c>
      <c r="P504" s="1">
        <f t="shared" si="29"/>
        <v>0</v>
      </c>
      <c r="Q504">
        <f t="shared" si="30"/>
        <v>2</v>
      </c>
      <c r="R504" s="1">
        <f t="shared" si="31"/>
        <v>0</v>
      </c>
    </row>
    <row r="505" spans="1:18" x14ac:dyDescent="0.3">
      <c r="A505" t="s">
        <v>1546</v>
      </c>
      <c r="B505" t="s">
        <v>1547</v>
      </c>
      <c r="C505" t="s">
        <v>18</v>
      </c>
      <c r="D505">
        <v>1</v>
      </c>
      <c r="E505">
        <v>0</v>
      </c>
      <c r="G505" s="1">
        <v>0</v>
      </c>
      <c r="H505">
        <v>0</v>
      </c>
      <c r="I505">
        <v>0.5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2</v>
      </c>
      <c r="P505" s="1">
        <f t="shared" si="29"/>
        <v>0</v>
      </c>
      <c r="Q505">
        <f t="shared" si="30"/>
        <v>2</v>
      </c>
      <c r="R505" s="1">
        <f t="shared" si="31"/>
        <v>0</v>
      </c>
    </row>
    <row r="506" spans="1:18" x14ac:dyDescent="0.3">
      <c r="A506" t="s">
        <v>1548</v>
      </c>
      <c r="B506" t="s">
        <v>1549</v>
      </c>
      <c r="C506" t="s">
        <v>18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x14ac:dyDescent="0.3">
      <c r="A507" t="s">
        <v>1550</v>
      </c>
      <c r="B507" t="s">
        <v>1551</v>
      </c>
      <c r="C507" t="s">
        <v>18</v>
      </c>
      <c r="D507">
        <v>25</v>
      </c>
      <c r="E507">
        <v>5</v>
      </c>
      <c r="F507" t="s">
        <v>124</v>
      </c>
      <c r="G507" s="1">
        <v>5219.33</v>
      </c>
      <c r="H507">
        <v>3</v>
      </c>
      <c r="I507">
        <v>0.9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3</v>
      </c>
      <c r="P507" s="1">
        <f t="shared" si="29"/>
        <v>0</v>
      </c>
      <c r="Q507">
        <f t="shared" si="30"/>
        <v>3</v>
      </c>
      <c r="R507" s="1">
        <f t="shared" si="31"/>
        <v>15657.99</v>
      </c>
    </row>
    <row r="508" spans="1:18" x14ac:dyDescent="0.3">
      <c r="A508" t="s">
        <v>1552</v>
      </c>
      <c r="B508" t="s">
        <v>1553</v>
      </c>
      <c r="C508" t="s">
        <v>18</v>
      </c>
      <c r="D508">
        <v>1</v>
      </c>
      <c r="E508">
        <v>0</v>
      </c>
      <c r="G508" s="1">
        <v>0</v>
      </c>
      <c r="H508">
        <v>1</v>
      </c>
      <c r="I508">
        <v>0.5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2</v>
      </c>
      <c r="P508" s="1">
        <f t="shared" si="29"/>
        <v>0</v>
      </c>
      <c r="Q508">
        <f t="shared" si="30"/>
        <v>2</v>
      </c>
      <c r="R508" s="1">
        <f t="shared" si="31"/>
        <v>0</v>
      </c>
    </row>
    <row r="509" spans="1:18" x14ac:dyDescent="0.3">
      <c r="A509" t="s">
        <v>1554</v>
      </c>
      <c r="B509" t="s">
        <v>1555</v>
      </c>
      <c r="C509" t="s">
        <v>18</v>
      </c>
      <c r="D509">
        <v>25</v>
      </c>
      <c r="E509">
        <v>1</v>
      </c>
      <c r="F509" t="s">
        <v>124</v>
      </c>
      <c r="G509" s="1">
        <v>5355.45</v>
      </c>
      <c r="H509">
        <v>5</v>
      </c>
      <c r="I509">
        <v>1.2</v>
      </c>
      <c r="J509">
        <v>1</v>
      </c>
      <c r="K509">
        <v>1</v>
      </c>
      <c r="L509">
        <f t="shared" si="28"/>
        <v>3</v>
      </c>
      <c r="M509">
        <v>0</v>
      </c>
      <c r="N509">
        <v>0</v>
      </c>
      <c r="O509">
        <v>3</v>
      </c>
      <c r="P509" s="1">
        <f t="shared" si="29"/>
        <v>0</v>
      </c>
      <c r="Q509">
        <f t="shared" si="30"/>
        <v>3</v>
      </c>
      <c r="R509" s="1">
        <f t="shared" si="31"/>
        <v>16066.349999999999</v>
      </c>
    </row>
    <row r="510" spans="1:18" x14ac:dyDescent="0.3">
      <c r="A510" t="s">
        <v>1556</v>
      </c>
      <c r="B510" t="s">
        <v>1557</v>
      </c>
      <c r="C510" t="s">
        <v>18</v>
      </c>
      <c r="D510">
        <v>1</v>
      </c>
      <c r="E510">
        <v>0</v>
      </c>
      <c r="G510" s="1">
        <v>0</v>
      </c>
      <c r="H510">
        <v>0</v>
      </c>
      <c r="I510">
        <v>0.5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2</v>
      </c>
      <c r="P510" s="1">
        <f t="shared" si="29"/>
        <v>0</v>
      </c>
      <c r="Q510">
        <f t="shared" si="30"/>
        <v>2</v>
      </c>
      <c r="R510" s="1">
        <f t="shared" si="31"/>
        <v>0</v>
      </c>
    </row>
    <row r="511" spans="1:18" x14ac:dyDescent="0.3">
      <c r="A511" t="s">
        <v>1558</v>
      </c>
      <c r="B511" t="s">
        <v>1559</v>
      </c>
      <c r="C511" t="s">
        <v>18</v>
      </c>
      <c r="D511">
        <v>25</v>
      </c>
      <c r="E511">
        <v>1</v>
      </c>
      <c r="F511" t="s">
        <v>124</v>
      </c>
      <c r="G511" s="1">
        <v>5601</v>
      </c>
      <c r="H511">
        <v>2</v>
      </c>
      <c r="I511">
        <v>1.7</v>
      </c>
      <c r="J511">
        <v>1</v>
      </c>
      <c r="K511">
        <v>2</v>
      </c>
      <c r="L511">
        <f t="shared" si="28"/>
        <v>4</v>
      </c>
      <c r="M511">
        <v>0</v>
      </c>
      <c r="N511">
        <v>0</v>
      </c>
      <c r="O511">
        <v>4</v>
      </c>
      <c r="P511" s="1">
        <f t="shared" si="29"/>
        <v>0</v>
      </c>
      <c r="Q511">
        <f t="shared" si="30"/>
        <v>4</v>
      </c>
      <c r="R511" s="1">
        <f t="shared" si="31"/>
        <v>22404</v>
      </c>
    </row>
    <row r="512" spans="1:18" x14ac:dyDescent="0.3">
      <c r="A512" t="s">
        <v>1560</v>
      </c>
      <c r="B512" t="s">
        <v>1561</v>
      </c>
      <c r="C512" t="s">
        <v>18</v>
      </c>
      <c r="D512">
        <v>2</v>
      </c>
      <c r="E512">
        <v>0</v>
      </c>
      <c r="G512" s="1">
        <v>0</v>
      </c>
      <c r="H512">
        <v>2</v>
      </c>
      <c r="I512">
        <v>0.5</v>
      </c>
      <c r="J512">
        <v>1</v>
      </c>
      <c r="K512">
        <v>1</v>
      </c>
      <c r="L512">
        <f t="shared" si="28"/>
        <v>2</v>
      </c>
      <c r="M512">
        <v>0</v>
      </c>
      <c r="N512">
        <v>0</v>
      </c>
      <c r="O512">
        <v>2</v>
      </c>
      <c r="P512" s="1">
        <f t="shared" si="29"/>
        <v>0</v>
      </c>
      <c r="Q512">
        <f t="shared" si="30"/>
        <v>2</v>
      </c>
      <c r="R512" s="1">
        <f t="shared" si="31"/>
        <v>0</v>
      </c>
    </row>
    <row r="513" spans="1:18" x14ac:dyDescent="0.3">
      <c r="A513" t="s">
        <v>1562</v>
      </c>
      <c r="B513" t="s">
        <v>1563</v>
      </c>
      <c r="C513" t="s">
        <v>18</v>
      </c>
      <c r="D513">
        <v>1</v>
      </c>
      <c r="E513">
        <v>0</v>
      </c>
      <c r="G513" s="1">
        <v>0</v>
      </c>
      <c r="H513">
        <v>1</v>
      </c>
      <c r="I513">
        <v>0.5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2</v>
      </c>
      <c r="P513" s="1">
        <f t="shared" si="29"/>
        <v>0</v>
      </c>
      <c r="Q513">
        <f t="shared" si="30"/>
        <v>2</v>
      </c>
      <c r="R513" s="1">
        <f t="shared" si="31"/>
        <v>0</v>
      </c>
    </row>
    <row r="514" spans="1:18" x14ac:dyDescent="0.3">
      <c r="A514" t="s">
        <v>1564</v>
      </c>
      <c r="B514" t="s">
        <v>1565</v>
      </c>
      <c r="C514" t="s">
        <v>18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x14ac:dyDescent="0.3">
      <c r="A515" t="s">
        <v>1566</v>
      </c>
      <c r="B515" t="s">
        <v>1567</v>
      </c>
      <c r="C515" t="s">
        <v>18</v>
      </c>
      <c r="D515">
        <v>1</v>
      </c>
      <c r="E515">
        <v>0</v>
      </c>
      <c r="G515" s="1">
        <v>0</v>
      </c>
      <c r="H515">
        <v>0</v>
      </c>
      <c r="I515">
        <v>0.5</v>
      </c>
      <c r="J515">
        <v>1</v>
      </c>
      <c r="K515">
        <v>1</v>
      </c>
      <c r="L515">
        <f t="shared" si="32"/>
        <v>2</v>
      </c>
      <c r="M515">
        <v>0</v>
      </c>
      <c r="N515">
        <v>0</v>
      </c>
      <c r="O515">
        <v>2</v>
      </c>
      <c r="P515" s="1">
        <f t="shared" si="33"/>
        <v>0</v>
      </c>
      <c r="Q515">
        <f t="shared" si="34"/>
        <v>2</v>
      </c>
      <c r="R515" s="1">
        <f t="shared" si="35"/>
        <v>0</v>
      </c>
    </row>
    <row r="516" spans="1:18" x14ac:dyDescent="0.3">
      <c r="A516" t="s">
        <v>1568</v>
      </c>
      <c r="B516" t="s">
        <v>1569</v>
      </c>
      <c r="C516" t="s">
        <v>18</v>
      </c>
      <c r="D516">
        <v>16</v>
      </c>
      <c r="E516">
        <v>1</v>
      </c>
      <c r="F516" t="s">
        <v>1073</v>
      </c>
      <c r="G516" s="1">
        <v>2032.3</v>
      </c>
      <c r="H516">
        <v>1</v>
      </c>
      <c r="I516">
        <v>1.4</v>
      </c>
      <c r="J516">
        <v>1</v>
      </c>
      <c r="K516">
        <v>1</v>
      </c>
      <c r="L516">
        <f t="shared" si="32"/>
        <v>3</v>
      </c>
      <c r="M516">
        <v>0</v>
      </c>
      <c r="N516">
        <v>0</v>
      </c>
      <c r="O516">
        <v>3</v>
      </c>
      <c r="P516" s="1">
        <f t="shared" si="33"/>
        <v>0</v>
      </c>
      <c r="Q516">
        <f t="shared" si="34"/>
        <v>3</v>
      </c>
      <c r="R516" s="1">
        <f t="shared" si="35"/>
        <v>6096.9</v>
      </c>
    </row>
    <row r="517" spans="1:18" x14ac:dyDescent="0.3">
      <c r="A517" t="s">
        <v>1570</v>
      </c>
      <c r="B517" t="s">
        <v>1571</v>
      </c>
      <c r="C517" t="s">
        <v>18</v>
      </c>
      <c r="D517">
        <v>1</v>
      </c>
      <c r="E517">
        <v>0</v>
      </c>
      <c r="G517" s="1">
        <v>0</v>
      </c>
      <c r="H517">
        <v>4</v>
      </c>
      <c r="I517">
        <v>0.5</v>
      </c>
      <c r="J517">
        <v>4</v>
      </c>
      <c r="K517">
        <v>2</v>
      </c>
      <c r="L517">
        <f t="shared" si="32"/>
        <v>4</v>
      </c>
      <c r="M517">
        <v>0</v>
      </c>
      <c r="N517">
        <v>0</v>
      </c>
      <c r="O517">
        <v>10</v>
      </c>
      <c r="P517" s="1">
        <f t="shared" si="33"/>
        <v>0</v>
      </c>
      <c r="Q517">
        <f t="shared" si="34"/>
        <v>10</v>
      </c>
      <c r="R517" s="1">
        <f t="shared" si="35"/>
        <v>0</v>
      </c>
    </row>
    <row r="518" spans="1:18" x14ac:dyDescent="0.3">
      <c r="A518" t="s">
        <v>1572</v>
      </c>
      <c r="B518" t="s">
        <v>1573</v>
      </c>
      <c r="C518" t="s">
        <v>18</v>
      </c>
      <c r="D518">
        <v>20</v>
      </c>
      <c r="E518">
        <v>2</v>
      </c>
      <c r="F518" t="s">
        <v>124</v>
      </c>
      <c r="G518" s="1">
        <v>2032.3</v>
      </c>
      <c r="H518">
        <v>3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4064.6</v>
      </c>
    </row>
    <row r="519" spans="1:18" x14ac:dyDescent="0.3">
      <c r="A519" t="s">
        <v>1574</v>
      </c>
      <c r="B519" t="s">
        <v>1575</v>
      </c>
      <c r="C519" t="s">
        <v>18</v>
      </c>
      <c r="D519">
        <v>1</v>
      </c>
      <c r="E519">
        <v>0</v>
      </c>
      <c r="G519" s="1">
        <v>0</v>
      </c>
      <c r="H519">
        <v>2</v>
      </c>
      <c r="I519">
        <v>0.5</v>
      </c>
      <c r="J519">
        <v>2</v>
      </c>
      <c r="K519">
        <v>1</v>
      </c>
      <c r="L519">
        <f t="shared" si="32"/>
        <v>2</v>
      </c>
      <c r="M519">
        <v>0</v>
      </c>
      <c r="N519">
        <v>0</v>
      </c>
      <c r="O519">
        <v>5</v>
      </c>
      <c r="P519" s="1">
        <f t="shared" si="33"/>
        <v>0</v>
      </c>
      <c r="Q519">
        <f t="shared" si="34"/>
        <v>5</v>
      </c>
      <c r="R519" s="1">
        <f t="shared" si="35"/>
        <v>0</v>
      </c>
    </row>
    <row r="520" spans="1:18" x14ac:dyDescent="0.3">
      <c r="A520" t="s">
        <v>1576</v>
      </c>
      <c r="B520" t="s">
        <v>1577</v>
      </c>
      <c r="C520" t="s">
        <v>18</v>
      </c>
      <c r="D520">
        <v>1</v>
      </c>
      <c r="E520">
        <v>0</v>
      </c>
      <c r="G520" s="1">
        <v>0</v>
      </c>
      <c r="H520">
        <v>1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x14ac:dyDescent="0.3">
      <c r="A521" t="s">
        <v>1578</v>
      </c>
      <c r="B521" t="s">
        <v>1579</v>
      </c>
      <c r="C521" t="s">
        <v>18</v>
      </c>
      <c r="D521">
        <v>17</v>
      </c>
      <c r="E521">
        <v>1</v>
      </c>
      <c r="F521" t="s">
        <v>1073</v>
      </c>
      <c r="G521" s="1">
        <v>6348.78</v>
      </c>
      <c r="H521">
        <v>4</v>
      </c>
      <c r="I521">
        <v>1.6</v>
      </c>
      <c r="J521">
        <v>1</v>
      </c>
      <c r="K521">
        <v>2</v>
      </c>
      <c r="L521">
        <f t="shared" si="32"/>
        <v>4</v>
      </c>
      <c r="M521">
        <v>0</v>
      </c>
      <c r="N521">
        <v>0</v>
      </c>
      <c r="O521">
        <v>4</v>
      </c>
      <c r="P521" s="1">
        <f t="shared" si="33"/>
        <v>0</v>
      </c>
      <c r="Q521">
        <f t="shared" si="34"/>
        <v>4</v>
      </c>
      <c r="R521" s="1">
        <f t="shared" si="35"/>
        <v>25395.119999999999</v>
      </c>
    </row>
    <row r="522" spans="1:18" x14ac:dyDescent="0.3">
      <c r="A522" t="s">
        <v>1580</v>
      </c>
      <c r="B522" t="s">
        <v>1581</v>
      </c>
      <c r="C522" t="s">
        <v>18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f t="shared" si="32"/>
        <v>2</v>
      </c>
      <c r="M522">
        <v>0</v>
      </c>
      <c r="N522">
        <v>0</v>
      </c>
      <c r="O522">
        <v>2</v>
      </c>
      <c r="P522" s="1">
        <f t="shared" si="33"/>
        <v>0</v>
      </c>
      <c r="Q522">
        <f t="shared" si="34"/>
        <v>2</v>
      </c>
      <c r="R522" s="1">
        <f t="shared" si="35"/>
        <v>0</v>
      </c>
    </row>
    <row r="523" spans="1:18" x14ac:dyDescent="0.3">
      <c r="A523" t="s">
        <v>1582</v>
      </c>
      <c r="B523" t="s">
        <v>1583</v>
      </c>
      <c r="C523" t="s">
        <v>18</v>
      </c>
      <c r="D523">
        <v>1</v>
      </c>
      <c r="E523">
        <v>0</v>
      </c>
      <c r="G523" s="1">
        <v>0</v>
      </c>
      <c r="H523">
        <v>0</v>
      </c>
      <c r="I523">
        <v>0.5</v>
      </c>
      <c r="J523">
        <v>1</v>
      </c>
      <c r="K523">
        <v>1</v>
      </c>
      <c r="L523">
        <f t="shared" si="32"/>
        <v>2</v>
      </c>
      <c r="M523">
        <v>0</v>
      </c>
      <c r="N523">
        <v>0</v>
      </c>
      <c r="O523">
        <v>2</v>
      </c>
      <c r="P523" s="1">
        <f t="shared" si="33"/>
        <v>0</v>
      </c>
      <c r="Q523">
        <f t="shared" si="34"/>
        <v>2</v>
      </c>
      <c r="R523" s="1">
        <f t="shared" si="35"/>
        <v>0</v>
      </c>
    </row>
    <row r="524" spans="1:18" x14ac:dyDescent="0.3">
      <c r="A524" t="s">
        <v>1584</v>
      </c>
      <c r="B524" t="s">
        <v>1585</v>
      </c>
      <c r="C524" t="s">
        <v>18</v>
      </c>
      <c r="D524">
        <v>1</v>
      </c>
      <c r="E524">
        <v>0</v>
      </c>
      <c r="G524" s="1">
        <v>0</v>
      </c>
      <c r="H524">
        <v>0</v>
      </c>
      <c r="I524">
        <v>0.5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2</v>
      </c>
      <c r="P524" s="1">
        <f t="shared" si="33"/>
        <v>0</v>
      </c>
      <c r="Q524">
        <f t="shared" si="34"/>
        <v>2</v>
      </c>
      <c r="R524" s="1">
        <f t="shared" si="35"/>
        <v>0</v>
      </c>
    </row>
    <row r="525" spans="1:18" x14ac:dyDescent="0.3">
      <c r="A525" t="s">
        <v>1586</v>
      </c>
      <c r="B525" t="s">
        <v>1587</v>
      </c>
      <c r="C525" t="s">
        <v>18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f t="shared" si="32"/>
        <v>2</v>
      </c>
      <c r="M525">
        <v>0</v>
      </c>
      <c r="N525">
        <v>0</v>
      </c>
      <c r="O525">
        <v>2</v>
      </c>
      <c r="P525" s="1">
        <f t="shared" si="33"/>
        <v>0</v>
      </c>
      <c r="Q525">
        <f t="shared" si="34"/>
        <v>2</v>
      </c>
      <c r="R525" s="1">
        <f t="shared" si="35"/>
        <v>0</v>
      </c>
    </row>
    <row r="526" spans="1:18" x14ac:dyDescent="0.3">
      <c r="A526" t="s">
        <v>1588</v>
      </c>
      <c r="B526" t="s">
        <v>1589</v>
      </c>
      <c r="C526" t="s">
        <v>18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x14ac:dyDescent="0.3">
      <c r="A527" t="s">
        <v>1590</v>
      </c>
      <c r="B527" t="s">
        <v>1591</v>
      </c>
      <c r="C527" t="s">
        <v>18</v>
      </c>
      <c r="D527">
        <v>1</v>
      </c>
      <c r="E527">
        <v>0</v>
      </c>
      <c r="G527" s="1">
        <v>0</v>
      </c>
      <c r="H527">
        <v>0</v>
      </c>
      <c r="I527">
        <v>0.5</v>
      </c>
      <c r="J527">
        <v>1</v>
      </c>
      <c r="K527">
        <v>1</v>
      </c>
      <c r="L527">
        <f t="shared" si="32"/>
        <v>2</v>
      </c>
      <c r="M527">
        <v>0</v>
      </c>
      <c r="N527">
        <v>0</v>
      </c>
      <c r="O527">
        <v>2</v>
      </c>
      <c r="P527" s="1">
        <f t="shared" si="33"/>
        <v>0</v>
      </c>
      <c r="Q527">
        <f t="shared" si="34"/>
        <v>2</v>
      </c>
      <c r="R527" s="1">
        <f t="shared" si="35"/>
        <v>0</v>
      </c>
    </row>
    <row r="528" spans="1:18" x14ac:dyDescent="0.3">
      <c r="A528" t="s">
        <v>1592</v>
      </c>
      <c r="B528" t="s">
        <v>1593</v>
      </c>
      <c r="C528" t="s">
        <v>18</v>
      </c>
      <c r="D528">
        <v>21</v>
      </c>
      <c r="E528">
        <v>1</v>
      </c>
      <c r="F528" t="s">
        <v>124</v>
      </c>
      <c r="G528" s="1">
        <v>6479.3</v>
      </c>
      <c r="H528">
        <v>7</v>
      </c>
      <c r="I528">
        <v>0.5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2</v>
      </c>
      <c r="P528" s="1">
        <f t="shared" si="33"/>
        <v>0</v>
      </c>
      <c r="Q528">
        <f t="shared" si="34"/>
        <v>2</v>
      </c>
      <c r="R528" s="1">
        <f t="shared" si="35"/>
        <v>12958.6</v>
      </c>
    </row>
    <row r="529" spans="1:18" x14ac:dyDescent="0.3">
      <c r="A529" t="s">
        <v>1594</v>
      </c>
      <c r="B529" t="s">
        <v>1595</v>
      </c>
      <c r="C529" t="s">
        <v>18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2</v>
      </c>
      <c r="P529" s="1">
        <f t="shared" si="33"/>
        <v>0</v>
      </c>
      <c r="Q529">
        <f t="shared" si="34"/>
        <v>2</v>
      </c>
      <c r="R529" s="1">
        <f t="shared" si="35"/>
        <v>0</v>
      </c>
    </row>
    <row r="530" spans="1:18" x14ac:dyDescent="0.3">
      <c r="A530" t="s">
        <v>1596</v>
      </c>
      <c r="B530" t="s">
        <v>1597</v>
      </c>
      <c r="C530" t="s">
        <v>18</v>
      </c>
      <c r="D530">
        <v>1</v>
      </c>
      <c r="E530">
        <v>0</v>
      </c>
      <c r="G530" s="1">
        <v>0</v>
      </c>
      <c r="H530">
        <v>0</v>
      </c>
      <c r="I530">
        <v>0.5</v>
      </c>
      <c r="J530">
        <v>1</v>
      </c>
      <c r="K530">
        <v>1</v>
      </c>
      <c r="L530">
        <f t="shared" si="32"/>
        <v>2</v>
      </c>
      <c r="M530">
        <v>0</v>
      </c>
      <c r="N530">
        <v>0</v>
      </c>
      <c r="O530">
        <v>2</v>
      </c>
      <c r="P530" s="1">
        <f t="shared" si="33"/>
        <v>0</v>
      </c>
      <c r="Q530">
        <f t="shared" si="34"/>
        <v>2</v>
      </c>
      <c r="R530" s="1">
        <f t="shared" si="35"/>
        <v>0</v>
      </c>
    </row>
    <row r="531" spans="1:18" x14ac:dyDescent="0.3">
      <c r="A531" t="s">
        <v>1598</v>
      </c>
      <c r="B531" t="s">
        <v>1599</v>
      </c>
      <c r="C531" t="s">
        <v>18</v>
      </c>
      <c r="D531">
        <v>12</v>
      </c>
      <c r="E531">
        <v>0</v>
      </c>
      <c r="G531" s="1">
        <v>0</v>
      </c>
      <c r="H531">
        <v>3</v>
      </c>
      <c r="I531">
        <v>0.5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2</v>
      </c>
      <c r="P531" s="1">
        <f t="shared" si="33"/>
        <v>0</v>
      </c>
      <c r="Q531">
        <f t="shared" si="34"/>
        <v>2</v>
      </c>
      <c r="R531" s="1">
        <f t="shared" si="35"/>
        <v>0</v>
      </c>
    </row>
    <row r="532" spans="1:18" x14ac:dyDescent="0.3">
      <c r="A532" t="s">
        <v>1600</v>
      </c>
      <c r="B532" t="s">
        <v>1601</v>
      </c>
      <c r="C532" t="s">
        <v>18</v>
      </c>
      <c r="D532">
        <v>1</v>
      </c>
      <c r="E532">
        <v>0</v>
      </c>
      <c r="G532" s="1">
        <v>0</v>
      </c>
      <c r="H532">
        <v>1</v>
      </c>
      <c r="I532">
        <v>0.5</v>
      </c>
      <c r="J532">
        <v>1</v>
      </c>
      <c r="K532">
        <v>1</v>
      </c>
      <c r="L532">
        <f t="shared" si="32"/>
        <v>2</v>
      </c>
      <c r="M532">
        <v>0</v>
      </c>
      <c r="N532">
        <v>0</v>
      </c>
      <c r="O532">
        <v>2</v>
      </c>
      <c r="P532" s="1">
        <f t="shared" si="33"/>
        <v>0</v>
      </c>
      <c r="Q532">
        <f t="shared" si="34"/>
        <v>2</v>
      </c>
      <c r="R532" s="1">
        <f t="shared" si="35"/>
        <v>0</v>
      </c>
    </row>
    <row r="533" spans="1:18" x14ac:dyDescent="0.3">
      <c r="A533" t="s">
        <v>1602</v>
      </c>
      <c r="B533" t="s">
        <v>1603</v>
      </c>
      <c r="C533" t="s">
        <v>18</v>
      </c>
      <c r="D533">
        <v>1</v>
      </c>
      <c r="E533">
        <v>0</v>
      </c>
      <c r="G533" s="1">
        <v>0</v>
      </c>
      <c r="H533">
        <v>0</v>
      </c>
      <c r="I533">
        <v>0.5</v>
      </c>
      <c r="J533">
        <v>1</v>
      </c>
      <c r="K533">
        <v>1</v>
      </c>
      <c r="L533">
        <f t="shared" si="32"/>
        <v>2</v>
      </c>
      <c r="M533">
        <v>0</v>
      </c>
      <c r="N533">
        <v>0</v>
      </c>
      <c r="O533">
        <v>2</v>
      </c>
      <c r="P533" s="1">
        <f t="shared" si="33"/>
        <v>0</v>
      </c>
      <c r="Q533">
        <f t="shared" si="34"/>
        <v>2</v>
      </c>
      <c r="R533" s="1">
        <f t="shared" si="35"/>
        <v>0</v>
      </c>
    </row>
    <row r="534" spans="1:18" x14ac:dyDescent="0.3">
      <c r="A534" t="s">
        <v>1604</v>
      </c>
      <c r="B534" t="s">
        <v>1605</v>
      </c>
      <c r="C534" t="s">
        <v>18</v>
      </c>
      <c r="D534">
        <v>1</v>
      </c>
      <c r="E534">
        <v>0</v>
      </c>
      <c r="G534" s="1">
        <v>0</v>
      </c>
      <c r="H534">
        <v>0</v>
      </c>
      <c r="I534">
        <v>0.5</v>
      </c>
      <c r="J534">
        <v>1</v>
      </c>
      <c r="K534">
        <v>1</v>
      </c>
      <c r="L534">
        <f t="shared" si="32"/>
        <v>2</v>
      </c>
      <c r="M534">
        <v>0</v>
      </c>
      <c r="N534">
        <v>0</v>
      </c>
      <c r="O534">
        <v>2</v>
      </c>
      <c r="P534" s="1">
        <f t="shared" si="33"/>
        <v>0</v>
      </c>
      <c r="Q534">
        <f t="shared" si="34"/>
        <v>2</v>
      </c>
      <c r="R534" s="1">
        <f t="shared" si="35"/>
        <v>0</v>
      </c>
    </row>
    <row r="535" spans="1:18" x14ac:dyDescent="0.3">
      <c r="A535" t="s">
        <v>1606</v>
      </c>
      <c r="B535" t="s">
        <v>1607</v>
      </c>
      <c r="C535" t="s">
        <v>18</v>
      </c>
      <c r="D535">
        <v>1</v>
      </c>
      <c r="E535">
        <v>0</v>
      </c>
      <c r="G535" s="1">
        <v>0</v>
      </c>
      <c r="H535">
        <v>0</v>
      </c>
      <c r="I535">
        <v>0.5</v>
      </c>
      <c r="J535">
        <v>1</v>
      </c>
      <c r="K535">
        <v>1</v>
      </c>
      <c r="L535">
        <f t="shared" si="32"/>
        <v>2</v>
      </c>
      <c r="M535">
        <v>0</v>
      </c>
      <c r="N535">
        <v>0</v>
      </c>
      <c r="O535">
        <v>2</v>
      </c>
      <c r="P535" s="1">
        <f t="shared" si="33"/>
        <v>0</v>
      </c>
      <c r="Q535">
        <f t="shared" si="34"/>
        <v>2</v>
      </c>
      <c r="R535" s="1">
        <f t="shared" si="35"/>
        <v>0</v>
      </c>
    </row>
    <row r="536" spans="1:18" x14ac:dyDescent="0.3">
      <c r="A536" t="s">
        <v>1608</v>
      </c>
      <c r="B536" t="s">
        <v>1609</v>
      </c>
      <c r="C536" t="s">
        <v>18</v>
      </c>
      <c r="D536">
        <v>1</v>
      </c>
      <c r="E536">
        <v>0</v>
      </c>
      <c r="G536" s="1">
        <v>0</v>
      </c>
      <c r="H536">
        <v>0</v>
      </c>
      <c r="I536">
        <v>0.5</v>
      </c>
      <c r="J536">
        <v>1</v>
      </c>
      <c r="K536">
        <v>1</v>
      </c>
      <c r="L536">
        <f t="shared" si="32"/>
        <v>2</v>
      </c>
      <c r="M536">
        <v>0</v>
      </c>
      <c r="N536">
        <v>0</v>
      </c>
      <c r="O536">
        <v>2</v>
      </c>
      <c r="P536" s="1">
        <f t="shared" si="33"/>
        <v>0</v>
      </c>
      <c r="Q536">
        <f t="shared" si="34"/>
        <v>2</v>
      </c>
      <c r="R536" s="1">
        <f t="shared" si="35"/>
        <v>0</v>
      </c>
    </row>
    <row r="537" spans="1:18" x14ac:dyDescent="0.3">
      <c r="A537" t="s">
        <v>1610</v>
      </c>
      <c r="B537" t="s">
        <v>1611</v>
      </c>
      <c r="C537" t="s">
        <v>18</v>
      </c>
      <c r="D537">
        <v>1</v>
      </c>
      <c r="E537">
        <v>0</v>
      </c>
      <c r="G537" s="1">
        <v>0</v>
      </c>
      <c r="H537">
        <v>0</v>
      </c>
      <c r="I537">
        <v>0.5</v>
      </c>
      <c r="J537">
        <v>1</v>
      </c>
      <c r="K537">
        <v>1</v>
      </c>
      <c r="L537">
        <f t="shared" si="32"/>
        <v>2</v>
      </c>
      <c r="M537">
        <v>0</v>
      </c>
      <c r="N537">
        <v>0</v>
      </c>
      <c r="O537">
        <v>2</v>
      </c>
      <c r="P537" s="1">
        <f t="shared" si="33"/>
        <v>0</v>
      </c>
      <c r="Q537">
        <f t="shared" si="34"/>
        <v>2</v>
      </c>
      <c r="R537" s="1">
        <f t="shared" si="35"/>
        <v>0</v>
      </c>
    </row>
    <row r="538" spans="1:18" x14ac:dyDescent="0.3">
      <c r="A538" t="s">
        <v>1612</v>
      </c>
      <c r="B538" t="s">
        <v>1613</v>
      </c>
      <c r="C538" t="s">
        <v>18</v>
      </c>
      <c r="D538">
        <v>1</v>
      </c>
      <c r="E538">
        <v>0</v>
      </c>
      <c r="G538" s="1">
        <v>0</v>
      </c>
      <c r="H538">
        <v>0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0</v>
      </c>
    </row>
    <row r="539" spans="1:18" x14ac:dyDescent="0.3">
      <c r="A539" t="s">
        <v>1614</v>
      </c>
      <c r="B539" t="s">
        <v>1615</v>
      </c>
      <c r="C539" t="s">
        <v>18</v>
      </c>
      <c r="D539">
        <v>1</v>
      </c>
      <c r="E539">
        <v>0</v>
      </c>
      <c r="G539" s="1">
        <v>0</v>
      </c>
      <c r="H539">
        <v>0</v>
      </c>
      <c r="I539">
        <v>0.5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2</v>
      </c>
      <c r="P539" s="1">
        <f t="shared" si="33"/>
        <v>0</v>
      </c>
      <c r="Q539">
        <f t="shared" si="34"/>
        <v>2</v>
      </c>
      <c r="R539" s="1">
        <f t="shared" si="35"/>
        <v>0</v>
      </c>
    </row>
    <row r="540" spans="1:18" x14ac:dyDescent="0.3">
      <c r="A540" t="s">
        <v>1616</v>
      </c>
      <c r="B540" t="s">
        <v>1617</v>
      </c>
      <c r="C540" t="s">
        <v>18</v>
      </c>
      <c r="D540">
        <v>1</v>
      </c>
      <c r="E540">
        <v>1</v>
      </c>
      <c r="F540" t="s">
        <v>124</v>
      </c>
      <c r="G540" s="1">
        <v>8203</v>
      </c>
      <c r="H540">
        <v>1</v>
      </c>
      <c r="I540">
        <v>0.5</v>
      </c>
      <c r="J540">
        <v>1</v>
      </c>
      <c r="K540">
        <v>1</v>
      </c>
      <c r="L540">
        <f t="shared" si="32"/>
        <v>2</v>
      </c>
      <c r="M540">
        <v>0</v>
      </c>
      <c r="N540">
        <v>0</v>
      </c>
      <c r="O540">
        <v>2</v>
      </c>
      <c r="P540" s="1">
        <f t="shared" si="33"/>
        <v>0</v>
      </c>
      <c r="Q540">
        <f t="shared" si="34"/>
        <v>2</v>
      </c>
      <c r="R540" s="1">
        <f t="shared" si="35"/>
        <v>16406</v>
      </c>
    </row>
    <row r="541" spans="1:18" x14ac:dyDescent="0.3">
      <c r="A541" t="s">
        <v>1618</v>
      </c>
      <c r="B541" t="s">
        <v>1619</v>
      </c>
      <c r="C541" t="s">
        <v>18</v>
      </c>
      <c r="D541">
        <v>1</v>
      </c>
      <c r="E541">
        <v>0</v>
      </c>
      <c r="G541" s="1">
        <v>0</v>
      </c>
      <c r="H541">
        <v>0</v>
      </c>
      <c r="I541">
        <v>0.5</v>
      </c>
      <c r="J541">
        <v>1</v>
      </c>
      <c r="K541">
        <v>1</v>
      </c>
      <c r="L541">
        <f t="shared" si="32"/>
        <v>2</v>
      </c>
      <c r="M541">
        <v>0</v>
      </c>
      <c r="N541">
        <v>0</v>
      </c>
      <c r="O541">
        <v>2</v>
      </c>
      <c r="P541" s="1">
        <f t="shared" si="33"/>
        <v>0</v>
      </c>
      <c r="Q541">
        <f t="shared" si="34"/>
        <v>2</v>
      </c>
      <c r="R541" s="1">
        <f t="shared" si="35"/>
        <v>0</v>
      </c>
    </row>
    <row r="542" spans="1:18" x14ac:dyDescent="0.3">
      <c r="A542" t="s">
        <v>1620</v>
      </c>
      <c r="B542" t="s">
        <v>1621</v>
      </c>
      <c r="C542" t="s">
        <v>18</v>
      </c>
      <c r="D542">
        <v>10</v>
      </c>
      <c r="E542">
        <v>0</v>
      </c>
      <c r="G542" s="1">
        <v>0</v>
      </c>
      <c r="H542">
        <v>4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0</v>
      </c>
    </row>
    <row r="543" spans="1:18" x14ac:dyDescent="0.3">
      <c r="A543" t="s">
        <v>1622</v>
      </c>
      <c r="B543" t="s">
        <v>1623</v>
      </c>
      <c r="C543" t="s">
        <v>18</v>
      </c>
      <c r="D543">
        <v>1</v>
      </c>
      <c r="E543">
        <v>0</v>
      </c>
      <c r="G543" s="1">
        <v>0</v>
      </c>
      <c r="H543">
        <v>0</v>
      </c>
      <c r="I543">
        <v>0.5</v>
      </c>
      <c r="J543">
        <v>1</v>
      </c>
      <c r="K543">
        <v>1</v>
      </c>
      <c r="L543">
        <f t="shared" si="32"/>
        <v>2</v>
      </c>
      <c r="M543">
        <v>0</v>
      </c>
      <c r="N543">
        <v>0</v>
      </c>
      <c r="O543">
        <v>2</v>
      </c>
      <c r="P543" s="1">
        <f t="shared" si="33"/>
        <v>0</v>
      </c>
      <c r="Q543">
        <f t="shared" si="34"/>
        <v>2</v>
      </c>
      <c r="R543" s="1">
        <f t="shared" si="35"/>
        <v>0</v>
      </c>
    </row>
    <row r="544" spans="1:18" x14ac:dyDescent="0.3">
      <c r="A544" t="s">
        <v>1624</v>
      </c>
      <c r="B544" t="s">
        <v>1625</v>
      </c>
      <c r="C544" t="s">
        <v>18</v>
      </c>
      <c r="D544">
        <v>1</v>
      </c>
      <c r="E544">
        <v>0</v>
      </c>
      <c r="G544" s="1">
        <v>0</v>
      </c>
      <c r="H544">
        <v>2</v>
      </c>
      <c r="I544">
        <v>0.5</v>
      </c>
      <c r="J544">
        <v>2</v>
      </c>
      <c r="K544">
        <v>1</v>
      </c>
      <c r="L544">
        <f t="shared" si="32"/>
        <v>2</v>
      </c>
      <c r="M544">
        <v>0</v>
      </c>
      <c r="N544">
        <v>0</v>
      </c>
      <c r="O544">
        <v>5</v>
      </c>
      <c r="P544" s="1">
        <f t="shared" si="33"/>
        <v>0</v>
      </c>
      <c r="Q544">
        <f t="shared" si="34"/>
        <v>5</v>
      </c>
      <c r="R544" s="1">
        <f t="shared" si="35"/>
        <v>0</v>
      </c>
    </row>
    <row r="545" spans="1:18" x14ac:dyDescent="0.3">
      <c r="A545" t="s">
        <v>1626</v>
      </c>
      <c r="B545" t="s">
        <v>1627</v>
      </c>
      <c r="C545" t="s">
        <v>18</v>
      </c>
      <c r="D545">
        <v>1</v>
      </c>
      <c r="E545">
        <v>0</v>
      </c>
      <c r="G545" s="1">
        <v>0</v>
      </c>
      <c r="H545">
        <v>1</v>
      </c>
      <c r="I545">
        <v>0.5</v>
      </c>
      <c r="J545">
        <v>1</v>
      </c>
      <c r="K545">
        <v>1</v>
      </c>
      <c r="L545">
        <f t="shared" si="32"/>
        <v>2</v>
      </c>
      <c r="M545">
        <v>0</v>
      </c>
      <c r="N545">
        <v>0</v>
      </c>
      <c r="O545">
        <v>2</v>
      </c>
      <c r="P545" s="1">
        <f t="shared" si="33"/>
        <v>0</v>
      </c>
      <c r="Q545">
        <f t="shared" si="34"/>
        <v>2</v>
      </c>
      <c r="R545" s="1">
        <f t="shared" si="35"/>
        <v>0</v>
      </c>
    </row>
    <row r="546" spans="1:18" x14ac:dyDescent="0.3">
      <c r="A546" t="s">
        <v>1628</v>
      </c>
      <c r="B546" t="s">
        <v>1629</v>
      </c>
      <c r="C546" t="s">
        <v>18</v>
      </c>
      <c r="D546">
        <v>1</v>
      </c>
      <c r="E546">
        <v>0</v>
      </c>
      <c r="G546" s="1">
        <v>0</v>
      </c>
      <c r="H546">
        <v>0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0</v>
      </c>
    </row>
    <row r="547" spans="1:18" x14ac:dyDescent="0.3">
      <c r="A547" t="s">
        <v>1630</v>
      </c>
      <c r="B547" t="s">
        <v>1631</v>
      </c>
      <c r="C547" t="s">
        <v>18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x14ac:dyDescent="0.3">
      <c r="A548" t="s">
        <v>1632</v>
      </c>
      <c r="B548" t="s">
        <v>1101</v>
      </c>
      <c r="C548" t="s">
        <v>18</v>
      </c>
      <c r="D548">
        <v>1</v>
      </c>
      <c r="E548">
        <v>0</v>
      </c>
      <c r="G548" s="1">
        <v>0</v>
      </c>
      <c r="H548">
        <v>0</v>
      </c>
      <c r="I548">
        <v>0.5</v>
      </c>
      <c r="J548">
        <v>1</v>
      </c>
      <c r="K548">
        <v>1</v>
      </c>
      <c r="L548">
        <f t="shared" si="32"/>
        <v>2</v>
      </c>
      <c r="M548">
        <v>0</v>
      </c>
      <c r="N548">
        <v>0</v>
      </c>
      <c r="O548">
        <v>2</v>
      </c>
      <c r="P548" s="1">
        <f t="shared" si="33"/>
        <v>0</v>
      </c>
      <c r="Q548">
        <f t="shared" si="34"/>
        <v>2</v>
      </c>
      <c r="R548" s="1">
        <f t="shared" si="35"/>
        <v>0</v>
      </c>
    </row>
    <row r="549" spans="1:18" x14ac:dyDescent="0.3">
      <c r="A549" t="s">
        <v>1633</v>
      </c>
      <c r="B549" t="s">
        <v>1634</v>
      </c>
      <c r="C549" t="s">
        <v>18</v>
      </c>
      <c r="D549">
        <v>1</v>
      </c>
      <c r="E549">
        <v>0</v>
      </c>
      <c r="G549" s="1">
        <v>0</v>
      </c>
      <c r="H549">
        <v>0</v>
      </c>
      <c r="I549">
        <v>0.5</v>
      </c>
      <c r="J549">
        <v>1</v>
      </c>
      <c r="K549">
        <v>1</v>
      </c>
      <c r="L549">
        <f t="shared" si="32"/>
        <v>2</v>
      </c>
      <c r="M549">
        <v>0</v>
      </c>
      <c r="N549">
        <v>0</v>
      </c>
      <c r="O549">
        <v>2</v>
      </c>
      <c r="P549" s="1">
        <f t="shared" si="33"/>
        <v>0</v>
      </c>
      <c r="Q549">
        <f t="shared" si="34"/>
        <v>2</v>
      </c>
      <c r="R549" s="1">
        <f t="shared" si="35"/>
        <v>0</v>
      </c>
    </row>
    <row r="550" spans="1:18" x14ac:dyDescent="0.3">
      <c r="A550" t="s">
        <v>1635</v>
      </c>
      <c r="B550" t="s">
        <v>1636</v>
      </c>
      <c r="C550" t="s">
        <v>18</v>
      </c>
      <c r="D550">
        <v>1</v>
      </c>
      <c r="E550">
        <v>0</v>
      </c>
      <c r="G550" s="1">
        <v>0</v>
      </c>
      <c r="H550">
        <v>0</v>
      </c>
      <c r="I550">
        <v>0.5</v>
      </c>
      <c r="J550">
        <v>1</v>
      </c>
      <c r="K550">
        <v>1</v>
      </c>
      <c r="L550">
        <f t="shared" si="32"/>
        <v>2</v>
      </c>
      <c r="M550">
        <v>0</v>
      </c>
      <c r="N550">
        <v>0</v>
      </c>
      <c r="O550">
        <v>2</v>
      </c>
      <c r="P550" s="1">
        <f t="shared" si="33"/>
        <v>0</v>
      </c>
      <c r="Q550">
        <f t="shared" si="34"/>
        <v>2</v>
      </c>
      <c r="R550" s="1">
        <f t="shared" si="35"/>
        <v>0</v>
      </c>
    </row>
    <row r="551" spans="1:18" x14ac:dyDescent="0.3">
      <c r="A551" t="s">
        <v>1637</v>
      </c>
      <c r="B551" t="s">
        <v>1103</v>
      </c>
      <c r="C551" t="s">
        <v>18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x14ac:dyDescent="0.3">
      <c r="A552" t="s">
        <v>1638</v>
      </c>
      <c r="B552" t="s">
        <v>1639</v>
      </c>
      <c r="C552" t="s">
        <v>18</v>
      </c>
      <c r="D552">
        <v>1</v>
      </c>
      <c r="E552">
        <v>0</v>
      </c>
      <c r="G552" s="1">
        <v>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0</v>
      </c>
    </row>
    <row r="553" spans="1:18" x14ac:dyDescent="0.3">
      <c r="A553" t="s">
        <v>1640</v>
      </c>
      <c r="B553" t="s">
        <v>1641</v>
      </c>
      <c r="C553" t="s">
        <v>18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x14ac:dyDescent="0.3">
      <c r="A554" t="s">
        <v>1642</v>
      </c>
      <c r="B554" t="s">
        <v>1105</v>
      </c>
      <c r="C554" t="s">
        <v>18</v>
      </c>
      <c r="D554">
        <v>1</v>
      </c>
      <c r="E554">
        <v>0</v>
      </c>
      <c r="G554" s="1">
        <v>0</v>
      </c>
      <c r="H554">
        <v>0</v>
      </c>
      <c r="I554">
        <v>0.5</v>
      </c>
      <c r="J554">
        <v>1</v>
      </c>
      <c r="K554">
        <v>1</v>
      </c>
      <c r="L554">
        <f t="shared" si="32"/>
        <v>2</v>
      </c>
      <c r="M554">
        <v>0</v>
      </c>
      <c r="N554">
        <v>0</v>
      </c>
      <c r="O554">
        <v>2</v>
      </c>
      <c r="P554" s="1">
        <f t="shared" si="33"/>
        <v>0</v>
      </c>
      <c r="Q554">
        <f t="shared" si="34"/>
        <v>2</v>
      </c>
      <c r="R554" s="1">
        <f t="shared" si="35"/>
        <v>0</v>
      </c>
    </row>
    <row r="555" spans="1:18" x14ac:dyDescent="0.3">
      <c r="A555" t="s">
        <v>1643</v>
      </c>
      <c r="B555" t="s">
        <v>1644</v>
      </c>
      <c r="C555" t="s">
        <v>18</v>
      </c>
      <c r="D555">
        <v>1</v>
      </c>
      <c r="E555">
        <v>0</v>
      </c>
      <c r="G555" s="1">
        <v>0</v>
      </c>
      <c r="H555">
        <v>0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0</v>
      </c>
    </row>
    <row r="556" spans="1:18" x14ac:dyDescent="0.3">
      <c r="A556" t="s">
        <v>1645</v>
      </c>
      <c r="B556" t="s">
        <v>1646</v>
      </c>
      <c r="C556" t="s">
        <v>18</v>
      </c>
      <c r="D556">
        <v>1</v>
      </c>
      <c r="E556">
        <v>1</v>
      </c>
      <c r="F556" t="s">
        <v>1073</v>
      </c>
      <c r="G556" s="1">
        <v>71700</v>
      </c>
      <c r="H556">
        <v>1</v>
      </c>
      <c r="I556">
        <v>1.8</v>
      </c>
      <c r="J556">
        <v>1</v>
      </c>
      <c r="K556">
        <v>2</v>
      </c>
      <c r="L556">
        <f t="shared" si="32"/>
        <v>4</v>
      </c>
      <c r="M556">
        <v>0</v>
      </c>
      <c r="N556">
        <v>0</v>
      </c>
      <c r="O556">
        <v>4</v>
      </c>
      <c r="P556" s="1">
        <f t="shared" si="33"/>
        <v>0</v>
      </c>
      <c r="Q556">
        <f t="shared" si="34"/>
        <v>4</v>
      </c>
      <c r="R556" s="1">
        <f t="shared" si="35"/>
        <v>286800</v>
      </c>
    </row>
    <row r="557" spans="1:18" x14ac:dyDescent="0.3">
      <c r="A557" t="s">
        <v>1647</v>
      </c>
      <c r="B557" t="s">
        <v>1648</v>
      </c>
      <c r="C557" t="s">
        <v>18</v>
      </c>
      <c r="D557">
        <v>1</v>
      </c>
      <c r="E557">
        <v>0</v>
      </c>
      <c r="G557" s="1">
        <v>0</v>
      </c>
      <c r="H557">
        <v>0</v>
      </c>
      <c r="I557">
        <v>0.5</v>
      </c>
      <c r="J557">
        <v>1</v>
      </c>
      <c r="K557">
        <v>1</v>
      </c>
      <c r="L557">
        <f t="shared" si="32"/>
        <v>2</v>
      </c>
      <c r="M557">
        <v>0</v>
      </c>
      <c r="N557">
        <v>0</v>
      </c>
      <c r="O557">
        <v>2</v>
      </c>
      <c r="P557" s="1">
        <f t="shared" si="33"/>
        <v>0</v>
      </c>
      <c r="Q557">
        <f t="shared" si="34"/>
        <v>2</v>
      </c>
      <c r="R557" s="1">
        <f t="shared" si="35"/>
        <v>0</v>
      </c>
    </row>
    <row r="558" spans="1:18" x14ac:dyDescent="0.3">
      <c r="A558" t="s">
        <v>1649</v>
      </c>
      <c r="B558" t="s">
        <v>1650</v>
      </c>
      <c r="C558" t="s">
        <v>18</v>
      </c>
      <c r="D558">
        <v>1</v>
      </c>
      <c r="E558">
        <v>0</v>
      </c>
      <c r="G558" s="1">
        <v>0</v>
      </c>
      <c r="H558">
        <v>0</v>
      </c>
      <c r="I558">
        <v>0.5</v>
      </c>
      <c r="J558">
        <v>1</v>
      </c>
      <c r="K558">
        <v>1</v>
      </c>
      <c r="L558">
        <f t="shared" si="32"/>
        <v>2</v>
      </c>
      <c r="M558">
        <v>0</v>
      </c>
      <c r="N558">
        <v>0</v>
      </c>
      <c r="O558">
        <v>2</v>
      </c>
      <c r="P558" s="1">
        <f t="shared" si="33"/>
        <v>0</v>
      </c>
      <c r="Q558">
        <f t="shared" si="34"/>
        <v>2</v>
      </c>
      <c r="R558" s="1">
        <f t="shared" si="35"/>
        <v>0</v>
      </c>
    </row>
    <row r="559" spans="1:18" x14ac:dyDescent="0.3">
      <c r="A559" t="s">
        <v>1651</v>
      </c>
      <c r="B559" t="s">
        <v>1652</v>
      </c>
      <c r="C559" t="s">
        <v>18</v>
      </c>
      <c r="D559">
        <v>1</v>
      </c>
      <c r="E559">
        <v>0</v>
      </c>
      <c r="G559" s="1">
        <v>0</v>
      </c>
      <c r="H559">
        <v>0</v>
      </c>
      <c r="I559">
        <v>0.5</v>
      </c>
      <c r="J559">
        <v>1</v>
      </c>
      <c r="K559">
        <v>1</v>
      </c>
      <c r="L559">
        <f t="shared" si="32"/>
        <v>2</v>
      </c>
      <c r="M559">
        <v>0</v>
      </c>
      <c r="N559">
        <v>0</v>
      </c>
      <c r="O559">
        <v>2</v>
      </c>
      <c r="P559" s="1">
        <f t="shared" si="33"/>
        <v>0</v>
      </c>
      <c r="Q559">
        <f t="shared" si="34"/>
        <v>2</v>
      </c>
      <c r="R559" s="1">
        <f t="shared" si="35"/>
        <v>0</v>
      </c>
    </row>
    <row r="560" spans="1:18" x14ac:dyDescent="0.3">
      <c r="A560" t="s">
        <v>1653</v>
      </c>
      <c r="B560" t="s">
        <v>1654</v>
      </c>
      <c r="C560" t="s">
        <v>18</v>
      </c>
      <c r="D560">
        <v>1</v>
      </c>
      <c r="E560">
        <v>0</v>
      </c>
      <c r="G560" s="1">
        <v>0</v>
      </c>
      <c r="H560">
        <v>0</v>
      </c>
      <c r="I560">
        <v>0.5</v>
      </c>
      <c r="J560">
        <v>1</v>
      </c>
      <c r="K560">
        <v>1</v>
      </c>
      <c r="L560">
        <f t="shared" si="32"/>
        <v>2</v>
      </c>
      <c r="M560">
        <v>0</v>
      </c>
      <c r="N560">
        <v>0</v>
      </c>
      <c r="O560">
        <v>2</v>
      </c>
      <c r="P560" s="1">
        <f t="shared" si="33"/>
        <v>0</v>
      </c>
      <c r="Q560">
        <f t="shared" si="34"/>
        <v>2</v>
      </c>
      <c r="R560" s="1">
        <f t="shared" si="35"/>
        <v>0</v>
      </c>
    </row>
    <row r="561" spans="1:18" x14ac:dyDescent="0.3">
      <c r="A561" t="s">
        <v>1655</v>
      </c>
      <c r="B561" t="s">
        <v>1656</v>
      </c>
      <c r="C561" t="s">
        <v>18</v>
      </c>
      <c r="D561">
        <v>1</v>
      </c>
      <c r="E561">
        <v>0</v>
      </c>
      <c r="G561" s="1">
        <v>0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0</v>
      </c>
    </row>
    <row r="562" spans="1:18" x14ac:dyDescent="0.3">
      <c r="A562" t="s">
        <v>1657</v>
      </c>
      <c r="B562" t="s">
        <v>1109</v>
      </c>
      <c r="C562" t="s">
        <v>18</v>
      </c>
      <c r="D562">
        <v>1</v>
      </c>
      <c r="E562">
        <v>0</v>
      </c>
      <c r="G562" s="1">
        <v>0</v>
      </c>
      <c r="H562">
        <v>0</v>
      </c>
      <c r="I562">
        <v>0.5</v>
      </c>
      <c r="J562">
        <v>1</v>
      </c>
      <c r="K562">
        <v>1</v>
      </c>
      <c r="L562">
        <f t="shared" si="32"/>
        <v>2</v>
      </c>
      <c r="M562">
        <v>0</v>
      </c>
      <c r="N562">
        <v>0</v>
      </c>
      <c r="O562">
        <v>2</v>
      </c>
      <c r="P562" s="1">
        <f t="shared" si="33"/>
        <v>0</v>
      </c>
      <c r="Q562">
        <f t="shared" si="34"/>
        <v>2</v>
      </c>
      <c r="R562" s="1">
        <f t="shared" si="35"/>
        <v>0</v>
      </c>
    </row>
    <row r="563" spans="1:18" x14ac:dyDescent="0.3">
      <c r="A563" t="s">
        <v>1658</v>
      </c>
      <c r="B563" t="s">
        <v>1659</v>
      </c>
      <c r="C563" t="s">
        <v>18</v>
      </c>
      <c r="D563">
        <v>1</v>
      </c>
      <c r="E563">
        <v>0</v>
      </c>
      <c r="G563" s="1">
        <v>0</v>
      </c>
      <c r="H563">
        <v>0</v>
      </c>
      <c r="I563">
        <v>0.5</v>
      </c>
      <c r="J563">
        <v>1</v>
      </c>
      <c r="K563">
        <v>1</v>
      </c>
      <c r="L563">
        <f t="shared" si="32"/>
        <v>2</v>
      </c>
      <c r="M563">
        <v>0</v>
      </c>
      <c r="N563">
        <v>0</v>
      </c>
      <c r="O563">
        <v>2</v>
      </c>
      <c r="P563" s="1">
        <f t="shared" si="33"/>
        <v>0</v>
      </c>
      <c r="Q563">
        <f t="shared" si="34"/>
        <v>2</v>
      </c>
      <c r="R563" s="1">
        <f t="shared" si="35"/>
        <v>0</v>
      </c>
    </row>
    <row r="564" spans="1:18" x14ac:dyDescent="0.3">
      <c r="A564" t="s">
        <v>1660</v>
      </c>
      <c r="B564" t="s">
        <v>1661</v>
      </c>
      <c r="C564" t="s">
        <v>18</v>
      </c>
      <c r="D564">
        <v>1</v>
      </c>
      <c r="E564">
        <v>0</v>
      </c>
      <c r="G564" s="1">
        <v>0</v>
      </c>
      <c r="H564">
        <v>0</v>
      </c>
      <c r="I564">
        <v>0.5</v>
      </c>
      <c r="J564">
        <v>1</v>
      </c>
      <c r="K564">
        <v>1</v>
      </c>
      <c r="L564">
        <f t="shared" si="32"/>
        <v>2</v>
      </c>
      <c r="M564">
        <v>0</v>
      </c>
      <c r="N564">
        <v>0</v>
      </c>
      <c r="O564">
        <v>2</v>
      </c>
      <c r="P564" s="1">
        <f t="shared" si="33"/>
        <v>0</v>
      </c>
      <c r="Q564">
        <f t="shared" si="34"/>
        <v>2</v>
      </c>
      <c r="R564" s="1">
        <f t="shared" si="35"/>
        <v>0</v>
      </c>
    </row>
    <row r="565" spans="1:18" x14ac:dyDescent="0.3">
      <c r="A565" t="s">
        <v>1662</v>
      </c>
      <c r="B565" t="s">
        <v>1663</v>
      </c>
      <c r="C565" t="s">
        <v>18</v>
      </c>
      <c r="D565">
        <v>1</v>
      </c>
      <c r="E565">
        <v>0</v>
      </c>
      <c r="G565" s="1">
        <v>0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0</v>
      </c>
    </row>
    <row r="566" spans="1:18" x14ac:dyDescent="0.3">
      <c r="A566" t="s">
        <v>1664</v>
      </c>
      <c r="B566" t="s">
        <v>1111</v>
      </c>
      <c r="C566" t="s">
        <v>18</v>
      </c>
      <c r="D566">
        <v>1</v>
      </c>
      <c r="E566">
        <v>0</v>
      </c>
      <c r="G566" s="1">
        <v>0</v>
      </c>
      <c r="H566">
        <v>0</v>
      </c>
      <c r="I566">
        <v>0.5</v>
      </c>
      <c r="J566">
        <v>1</v>
      </c>
      <c r="K566">
        <v>1</v>
      </c>
      <c r="L566">
        <f t="shared" si="32"/>
        <v>2</v>
      </c>
      <c r="M566">
        <v>0</v>
      </c>
      <c r="N566">
        <v>0</v>
      </c>
      <c r="O566">
        <v>2</v>
      </c>
      <c r="P566" s="1">
        <f t="shared" si="33"/>
        <v>0</v>
      </c>
      <c r="Q566">
        <f t="shared" si="34"/>
        <v>2</v>
      </c>
      <c r="R566" s="1">
        <f t="shared" si="35"/>
        <v>0</v>
      </c>
    </row>
    <row r="567" spans="1:18" x14ac:dyDescent="0.3">
      <c r="A567" t="s">
        <v>1665</v>
      </c>
      <c r="B567" t="s">
        <v>1113</v>
      </c>
      <c r="C567" t="s">
        <v>18</v>
      </c>
      <c r="D567">
        <v>1</v>
      </c>
      <c r="E567">
        <v>0</v>
      </c>
      <c r="G567" s="1">
        <v>0</v>
      </c>
      <c r="H567">
        <v>0</v>
      </c>
      <c r="I567">
        <v>0.5</v>
      </c>
      <c r="J567">
        <v>1</v>
      </c>
      <c r="K567">
        <v>1</v>
      </c>
      <c r="L567">
        <f t="shared" si="32"/>
        <v>2</v>
      </c>
      <c r="M567">
        <v>0</v>
      </c>
      <c r="N567">
        <v>0</v>
      </c>
      <c r="O567">
        <v>2</v>
      </c>
      <c r="P567" s="1">
        <f t="shared" si="33"/>
        <v>0</v>
      </c>
      <c r="Q567">
        <f t="shared" si="34"/>
        <v>2</v>
      </c>
      <c r="R567" s="1">
        <f t="shared" si="35"/>
        <v>0</v>
      </c>
    </row>
    <row r="568" spans="1:18" x14ac:dyDescent="0.3">
      <c r="A568" t="s">
        <v>1666</v>
      </c>
      <c r="B568" t="s">
        <v>1667</v>
      </c>
      <c r="C568" t="s">
        <v>18</v>
      </c>
      <c r="D568">
        <v>1</v>
      </c>
      <c r="E568">
        <v>2</v>
      </c>
      <c r="F568" t="s">
        <v>124</v>
      </c>
      <c r="G568" s="1">
        <v>61563.24</v>
      </c>
      <c r="H568">
        <v>2</v>
      </c>
      <c r="I568">
        <v>0.6</v>
      </c>
      <c r="J568">
        <v>2</v>
      </c>
      <c r="K568">
        <v>1</v>
      </c>
      <c r="L568">
        <f t="shared" si="32"/>
        <v>3</v>
      </c>
      <c r="M568">
        <v>0</v>
      </c>
      <c r="N568">
        <v>0</v>
      </c>
      <c r="O568">
        <v>5</v>
      </c>
      <c r="P568" s="1">
        <f t="shared" si="33"/>
        <v>0</v>
      </c>
      <c r="Q568">
        <f t="shared" si="34"/>
        <v>5</v>
      </c>
      <c r="R568" s="1">
        <f t="shared" si="35"/>
        <v>307816.2</v>
      </c>
    </row>
    <row r="569" spans="1:18" x14ac:dyDescent="0.3">
      <c r="A569" t="s">
        <v>1668</v>
      </c>
      <c r="B569" t="s">
        <v>1669</v>
      </c>
      <c r="C569" t="s">
        <v>18</v>
      </c>
      <c r="D569">
        <v>1</v>
      </c>
      <c r="E569">
        <v>0</v>
      </c>
      <c r="G569" s="1">
        <v>0</v>
      </c>
      <c r="H569">
        <v>0</v>
      </c>
      <c r="I569">
        <v>0.5</v>
      </c>
      <c r="J569">
        <v>1</v>
      </c>
      <c r="K569">
        <v>1</v>
      </c>
      <c r="L569">
        <f t="shared" si="32"/>
        <v>2</v>
      </c>
      <c r="M569">
        <v>0</v>
      </c>
      <c r="N569">
        <v>0</v>
      </c>
      <c r="O569">
        <v>2</v>
      </c>
      <c r="P569" s="1">
        <f t="shared" si="33"/>
        <v>0</v>
      </c>
      <c r="Q569">
        <f t="shared" si="34"/>
        <v>2</v>
      </c>
      <c r="R569" s="1">
        <f t="shared" si="35"/>
        <v>0</v>
      </c>
    </row>
    <row r="570" spans="1:18" x14ac:dyDescent="0.3">
      <c r="A570" t="s">
        <v>1670</v>
      </c>
      <c r="B570" t="s">
        <v>1671</v>
      </c>
      <c r="C570" t="s">
        <v>18</v>
      </c>
      <c r="D570">
        <v>1</v>
      </c>
      <c r="E570">
        <v>0</v>
      </c>
      <c r="G570" s="1">
        <v>0</v>
      </c>
      <c r="H570">
        <v>0</v>
      </c>
      <c r="I570">
        <v>0.5</v>
      </c>
      <c r="J570">
        <v>1</v>
      </c>
      <c r="K570">
        <v>1</v>
      </c>
      <c r="L570">
        <f t="shared" si="32"/>
        <v>2</v>
      </c>
      <c r="M570">
        <v>0</v>
      </c>
      <c r="N570">
        <v>0</v>
      </c>
      <c r="O570">
        <v>2</v>
      </c>
      <c r="P570" s="1">
        <f t="shared" si="33"/>
        <v>0</v>
      </c>
      <c r="Q570">
        <f t="shared" si="34"/>
        <v>2</v>
      </c>
      <c r="R570" s="1">
        <f t="shared" si="35"/>
        <v>0</v>
      </c>
    </row>
    <row r="571" spans="1:18" x14ac:dyDescent="0.3">
      <c r="A571" t="s">
        <v>1672</v>
      </c>
      <c r="B571" t="s">
        <v>1115</v>
      </c>
      <c r="C571" t="s">
        <v>18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x14ac:dyDescent="0.3">
      <c r="A572" t="s">
        <v>1673</v>
      </c>
      <c r="B572" t="s">
        <v>1117</v>
      </c>
      <c r="C572" t="s">
        <v>18</v>
      </c>
      <c r="D572">
        <v>1</v>
      </c>
      <c r="E572">
        <v>0</v>
      </c>
      <c r="G572" s="1">
        <v>0</v>
      </c>
      <c r="H572">
        <v>0</v>
      </c>
      <c r="I572">
        <v>0.5</v>
      </c>
      <c r="J572">
        <v>1</v>
      </c>
      <c r="K572">
        <v>1</v>
      </c>
      <c r="L572">
        <f t="shared" si="32"/>
        <v>2</v>
      </c>
      <c r="M572">
        <v>0</v>
      </c>
      <c r="N572">
        <v>0</v>
      </c>
      <c r="O572">
        <v>2</v>
      </c>
      <c r="P572" s="1">
        <f t="shared" si="33"/>
        <v>0</v>
      </c>
      <c r="Q572">
        <f t="shared" si="34"/>
        <v>2</v>
      </c>
      <c r="R572" s="1">
        <f t="shared" si="35"/>
        <v>0</v>
      </c>
    </row>
    <row r="573" spans="1:18" x14ac:dyDescent="0.3">
      <c r="A573" t="s">
        <v>1674</v>
      </c>
      <c r="B573" t="s">
        <v>1675</v>
      </c>
      <c r="C573" t="s">
        <v>18</v>
      </c>
      <c r="D573">
        <v>1</v>
      </c>
      <c r="E573">
        <v>0</v>
      </c>
      <c r="G573" s="1">
        <v>0</v>
      </c>
      <c r="H573">
        <v>0</v>
      </c>
      <c r="I573">
        <v>0.5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2</v>
      </c>
      <c r="P573" s="1">
        <f t="shared" si="33"/>
        <v>0</v>
      </c>
      <c r="Q573">
        <f t="shared" si="34"/>
        <v>2</v>
      </c>
      <c r="R573" s="1">
        <f t="shared" si="35"/>
        <v>0</v>
      </c>
    </row>
    <row r="574" spans="1:18" x14ac:dyDescent="0.3">
      <c r="A574" t="s">
        <v>1676</v>
      </c>
      <c r="B574" t="s">
        <v>1119</v>
      </c>
      <c r="C574" t="s">
        <v>18</v>
      </c>
      <c r="D574">
        <v>1</v>
      </c>
      <c r="E574">
        <v>0</v>
      </c>
      <c r="G574" s="1">
        <v>0</v>
      </c>
      <c r="H574">
        <v>0</v>
      </c>
      <c r="I574">
        <v>0.5</v>
      </c>
      <c r="J574">
        <v>1</v>
      </c>
      <c r="K574">
        <v>1</v>
      </c>
      <c r="L574">
        <f t="shared" si="32"/>
        <v>2</v>
      </c>
      <c r="M574">
        <v>0</v>
      </c>
      <c r="N574">
        <v>0</v>
      </c>
      <c r="O574">
        <v>2</v>
      </c>
      <c r="P574" s="1">
        <f t="shared" si="33"/>
        <v>0</v>
      </c>
      <c r="Q574">
        <f t="shared" si="34"/>
        <v>2</v>
      </c>
      <c r="R574" s="1">
        <f t="shared" si="35"/>
        <v>0</v>
      </c>
    </row>
    <row r="575" spans="1:18" x14ac:dyDescent="0.3">
      <c r="A575" t="s">
        <v>1677</v>
      </c>
      <c r="B575" t="s">
        <v>1121</v>
      </c>
      <c r="C575" t="s">
        <v>18</v>
      </c>
      <c r="D575">
        <v>1</v>
      </c>
      <c r="E575">
        <v>0</v>
      </c>
      <c r="G575" s="1">
        <v>0</v>
      </c>
      <c r="H575">
        <v>0</v>
      </c>
      <c r="I575">
        <v>0.5</v>
      </c>
      <c r="J575">
        <v>1</v>
      </c>
      <c r="K575">
        <v>1</v>
      </c>
      <c r="L575">
        <f t="shared" si="32"/>
        <v>2</v>
      </c>
      <c r="M575">
        <v>0</v>
      </c>
      <c r="N575">
        <v>0</v>
      </c>
      <c r="O575">
        <v>2</v>
      </c>
      <c r="P575" s="1">
        <f t="shared" si="33"/>
        <v>0</v>
      </c>
      <c r="Q575">
        <f t="shared" si="34"/>
        <v>2</v>
      </c>
      <c r="R575" s="1">
        <f t="shared" si="35"/>
        <v>0</v>
      </c>
    </row>
    <row r="576" spans="1:18" x14ac:dyDescent="0.3">
      <c r="A576" t="s">
        <v>1678</v>
      </c>
      <c r="B576" t="s">
        <v>1679</v>
      </c>
      <c r="C576" t="s">
        <v>18</v>
      </c>
      <c r="D576">
        <v>1</v>
      </c>
      <c r="E576">
        <v>0</v>
      </c>
      <c r="G576" s="1">
        <v>0</v>
      </c>
      <c r="H576">
        <v>1</v>
      </c>
      <c r="I576">
        <v>0.5</v>
      </c>
      <c r="J576">
        <v>1</v>
      </c>
      <c r="K576">
        <v>1</v>
      </c>
      <c r="L576">
        <f t="shared" si="32"/>
        <v>2</v>
      </c>
      <c r="M576">
        <v>0</v>
      </c>
      <c r="N576">
        <v>0</v>
      </c>
      <c r="O576">
        <v>2</v>
      </c>
      <c r="P576" s="1">
        <f t="shared" si="33"/>
        <v>0</v>
      </c>
      <c r="Q576">
        <f t="shared" si="34"/>
        <v>2</v>
      </c>
      <c r="R576" s="1">
        <f t="shared" si="35"/>
        <v>0</v>
      </c>
    </row>
    <row r="577" spans="1:18" x14ac:dyDescent="0.3">
      <c r="A577" t="s">
        <v>1680</v>
      </c>
      <c r="B577" t="s">
        <v>1681</v>
      </c>
      <c r="C577" t="s">
        <v>18</v>
      </c>
      <c r="D577">
        <v>1</v>
      </c>
      <c r="E577">
        <v>0</v>
      </c>
      <c r="G577" s="1">
        <v>0</v>
      </c>
      <c r="H577">
        <v>0</v>
      </c>
      <c r="I577">
        <v>0.5</v>
      </c>
      <c r="J577">
        <v>1</v>
      </c>
      <c r="K577">
        <v>1</v>
      </c>
      <c r="L577">
        <f t="shared" si="32"/>
        <v>2</v>
      </c>
      <c r="M577">
        <v>0</v>
      </c>
      <c r="N577">
        <v>0</v>
      </c>
      <c r="O577">
        <v>2</v>
      </c>
      <c r="P577" s="1">
        <f t="shared" si="33"/>
        <v>0</v>
      </c>
      <c r="Q577">
        <f t="shared" si="34"/>
        <v>2</v>
      </c>
      <c r="R577" s="1">
        <f t="shared" si="35"/>
        <v>0</v>
      </c>
    </row>
    <row r="578" spans="1:18" x14ac:dyDescent="0.3">
      <c r="A578" t="s">
        <v>1682</v>
      </c>
      <c r="B578" t="s">
        <v>1683</v>
      </c>
      <c r="C578" t="s">
        <v>18</v>
      </c>
      <c r="D578">
        <v>1</v>
      </c>
      <c r="E578">
        <v>0</v>
      </c>
      <c r="G578" s="1">
        <v>0</v>
      </c>
      <c r="H578">
        <v>0</v>
      </c>
      <c r="I578">
        <v>0.5</v>
      </c>
      <c r="J578">
        <v>1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2</v>
      </c>
      <c r="P578" s="1">
        <f t="shared" ref="P578:P641" si="37">IFERROR(M578*G578,0)</f>
        <v>0</v>
      </c>
      <c r="Q578">
        <f t="shared" ref="Q578:Q641" si="38">IF(O578-M578-N578&gt;0,O578-M578-N578,0)</f>
        <v>2</v>
      </c>
      <c r="R578" s="1">
        <f t="shared" ref="R578:R641" si="39">IFERROR(Q578*G578,0)</f>
        <v>0</v>
      </c>
    </row>
    <row r="579" spans="1:18" x14ac:dyDescent="0.3">
      <c r="A579" t="s">
        <v>1684</v>
      </c>
      <c r="B579" t="s">
        <v>1685</v>
      </c>
      <c r="C579" t="s">
        <v>18</v>
      </c>
      <c r="D579">
        <v>1</v>
      </c>
      <c r="E579">
        <v>0</v>
      </c>
      <c r="G579" s="1">
        <v>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0</v>
      </c>
    </row>
    <row r="580" spans="1:18" x14ac:dyDescent="0.3">
      <c r="A580" t="s">
        <v>1686</v>
      </c>
      <c r="B580" t="s">
        <v>1687</v>
      </c>
      <c r="C580" t="s">
        <v>18</v>
      </c>
      <c r="D580">
        <v>1</v>
      </c>
      <c r="E580">
        <v>0</v>
      </c>
      <c r="G580" s="1">
        <v>0</v>
      </c>
      <c r="H580">
        <v>0</v>
      </c>
      <c r="I580">
        <v>0.5</v>
      </c>
      <c r="J580">
        <v>1</v>
      </c>
      <c r="K580">
        <v>1</v>
      </c>
      <c r="L580">
        <f t="shared" si="36"/>
        <v>2</v>
      </c>
      <c r="M580">
        <v>0</v>
      </c>
      <c r="N580">
        <v>0</v>
      </c>
      <c r="O580">
        <v>2</v>
      </c>
      <c r="P580" s="1">
        <f t="shared" si="37"/>
        <v>0</v>
      </c>
      <c r="Q580">
        <f t="shared" si="38"/>
        <v>2</v>
      </c>
      <c r="R580" s="1">
        <f t="shared" si="39"/>
        <v>0</v>
      </c>
    </row>
    <row r="581" spans="1:18" x14ac:dyDescent="0.3">
      <c r="A581" t="s">
        <v>1688</v>
      </c>
      <c r="B581" t="s">
        <v>1689</v>
      </c>
      <c r="C581" t="s">
        <v>18</v>
      </c>
      <c r="D581">
        <v>1</v>
      </c>
      <c r="E581">
        <v>0</v>
      </c>
      <c r="G581" s="1">
        <v>0</v>
      </c>
      <c r="H581">
        <v>0</v>
      </c>
      <c r="I581">
        <v>0.5</v>
      </c>
      <c r="J581">
        <v>1</v>
      </c>
      <c r="K581">
        <v>1</v>
      </c>
      <c r="L581">
        <f t="shared" si="36"/>
        <v>2</v>
      </c>
      <c r="M581">
        <v>0</v>
      </c>
      <c r="N581">
        <v>0</v>
      </c>
      <c r="O581">
        <v>2</v>
      </c>
      <c r="P581" s="1">
        <f t="shared" si="37"/>
        <v>0</v>
      </c>
      <c r="Q581">
        <f t="shared" si="38"/>
        <v>2</v>
      </c>
      <c r="R581" s="1">
        <f t="shared" si="39"/>
        <v>0</v>
      </c>
    </row>
    <row r="582" spans="1:18" x14ac:dyDescent="0.3">
      <c r="A582" t="s">
        <v>1690</v>
      </c>
      <c r="B582" t="s">
        <v>1691</v>
      </c>
      <c r="C582" t="s">
        <v>18</v>
      </c>
      <c r="D582">
        <v>1</v>
      </c>
      <c r="E582">
        <v>0</v>
      </c>
      <c r="G582" s="1">
        <v>0</v>
      </c>
      <c r="H582">
        <v>0</v>
      </c>
      <c r="I582">
        <v>0.5</v>
      </c>
      <c r="J582">
        <v>1</v>
      </c>
      <c r="K582">
        <v>1</v>
      </c>
      <c r="L582">
        <f t="shared" si="36"/>
        <v>2</v>
      </c>
      <c r="M582">
        <v>0</v>
      </c>
      <c r="N582">
        <v>0</v>
      </c>
      <c r="O582">
        <v>2</v>
      </c>
      <c r="P582" s="1">
        <f t="shared" si="37"/>
        <v>0</v>
      </c>
      <c r="Q582">
        <f t="shared" si="38"/>
        <v>2</v>
      </c>
      <c r="R582" s="1">
        <f t="shared" si="39"/>
        <v>0</v>
      </c>
    </row>
    <row r="583" spans="1:18" x14ac:dyDescent="0.3">
      <c r="A583" t="s">
        <v>1692</v>
      </c>
      <c r="B583" t="s">
        <v>1693</v>
      </c>
      <c r="C583" t="s">
        <v>18</v>
      </c>
      <c r="D583">
        <v>1</v>
      </c>
      <c r="E583">
        <v>0</v>
      </c>
      <c r="G583" s="1">
        <v>0</v>
      </c>
      <c r="H583">
        <v>0</v>
      </c>
      <c r="I583">
        <v>0.5</v>
      </c>
      <c r="J583">
        <v>1</v>
      </c>
      <c r="K583">
        <v>1</v>
      </c>
      <c r="L583">
        <f t="shared" si="36"/>
        <v>2</v>
      </c>
      <c r="M583">
        <v>0</v>
      </c>
      <c r="N583">
        <v>0</v>
      </c>
      <c r="O583">
        <v>2</v>
      </c>
      <c r="P583" s="1">
        <f t="shared" si="37"/>
        <v>0</v>
      </c>
      <c r="Q583">
        <f t="shared" si="38"/>
        <v>2</v>
      </c>
      <c r="R583" s="1">
        <f t="shared" si="39"/>
        <v>0</v>
      </c>
    </row>
    <row r="584" spans="1:18" x14ac:dyDescent="0.3">
      <c r="A584" t="s">
        <v>1694</v>
      </c>
      <c r="B584" t="s">
        <v>1695</v>
      </c>
      <c r="C584" t="s">
        <v>18</v>
      </c>
      <c r="D584">
        <v>1</v>
      </c>
      <c r="E584">
        <v>0</v>
      </c>
      <c r="G584" s="1">
        <v>0</v>
      </c>
      <c r="H584">
        <v>0</v>
      </c>
      <c r="I584">
        <v>0.5</v>
      </c>
      <c r="J584">
        <v>1</v>
      </c>
      <c r="K584">
        <v>1</v>
      </c>
      <c r="L584">
        <f t="shared" si="36"/>
        <v>2</v>
      </c>
      <c r="M584">
        <v>0</v>
      </c>
      <c r="N584">
        <v>0</v>
      </c>
      <c r="O584">
        <v>2</v>
      </c>
      <c r="P584" s="1">
        <f t="shared" si="37"/>
        <v>0</v>
      </c>
      <c r="Q584">
        <f t="shared" si="38"/>
        <v>2</v>
      </c>
      <c r="R584" s="1">
        <f t="shared" si="39"/>
        <v>0</v>
      </c>
    </row>
    <row r="585" spans="1:18" x14ac:dyDescent="0.3">
      <c r="A585" t="s">
        <v>1696</v>
      </c>
      <c r="B585" t="s">
        <v>1697</v>
      </c>
      <c r="C585" t="s">
        <v>18</v>
      </c>
      <c r="D585">
        <v>1</v>
      </c>
      <c r="E585">
        <v>0</v>
      </c>
      <c r="G585" s="1">
        <v>0</v>
      </c>
      <c r="H585">
        <v>0</v>
      </c>
      <c r="I585">
        <v>0.5</v>
      </c>
      <c r="J585">
        <v>1</v>
      </c>
      <c r="K585">
        <v>1</v>
      </c>
      <c r="L585">
        <f t="shared" si="36"/>
        <v>2</v>
      </c>
      <c r="M585">
        <v>0</v>
      </c>
      <c r="N585">
        <v>0</v>
      </c>
      <c r="O585">
        <v>2</v>
      </c>
      <c r="P585" s="1">
        <f t="shared" si="37"/>
        <v>0</v>
      </c>
      <c r="Q585">
        <f t="shared" si="38"/>
        <v>2</v>
      </c>
      <c r="R585" s="1">
        <f t="shared" si="39"/>
        <v>0</v>
      </c>
    </row>
    <row r="586" spans="1:18" x14ac:dyDescent="0.3">
      <c r="A586" t="s">
        <v>1698</v>
      </c>
      <c r="B586" t="s">
        <v>1699</v>
      </c>
      <c r="C586" t="s">
        <v>18</v>
      </c>
      <c r="D586">
        <v>1</v>
      </c>
      <c r="E586">
        <v>0</v>
      </c>
      <c r="G586" s="1">
        <v>0</v>
      </c>
      <c r="H586">
        <v>0</v>
      </c>
      <c r="I586">
        <v>0.5</v>
      </c>
      <c r="J586">
        <v>1</v>
      </c>
      <c r="K586">
        <v>1</v>
      </c>
      <c r="L586">
        <f t="shared" si="36"/>
        <v>2</v>
      </c>
      <c r="M586">
        <v>0</v>
      </c>
      <c r="N586">
        <v>0</v>
      </c>
      <c r="O586">
        <v>2</v>
      </c>
      <c r="P586" s="1">
        <f t="shared" si="37"/>
        <v>0</v>
      </c>
      <c r="Q586">
        <f t="shared" si="38"/>
        <v>2</v>
      </c>
      <c r="R586" s="1">
        <f t="shared" si="39"/>
        <v>0</v>
      </c>
    </row>
    <row r="587" spans="1:18" x14ac:dyDescent="0.3">
      <c r="A587" t="s">
        <v>1700</v>
      </c>
      <c r="B587" t="s">
        <v>1701</v>
      </c>
      <c r="C587" t="s">
        <v>18</v>
      </c>
      <c r="D587">
        <v>1</v>
      </c>
      <c r="E587">
        <v>0</v>
      </c>
      <c r="G587" s="1">
        <v>0</v>
      </c>
      <c r="H587">
        <v>0</v>
      </c>
      <c r="I587">
        <v>0.5</v>
      </c>
      <c r="J587">
        <v>1</v>
      </c>
      <c r="K587">
        <v>1</v>
      </c>
      <c r="L587">
        <f t="shared" si="36"/>
        <v>2</v>
      </c>
      <c r="M587">
        <v>0</v>
      </c>
      <c r="N587">
        <v>0</v>
      </c>
      <c r="O587">
        <v>2</v>
      </c>
      <c r="P587" s="1">
        <f t="shared" si="37"/>
        <v>0</v>
      </c>
      <c r="Q587">
        <f t="shared" si="38"/>
        <v>2</v>
      </c>
      <c r="R587" s="1">
        <f t="shared" si="39"/>
        <v>0</v>
      </c>
    </row>
    <row r="588" spans="1:18" x14ac:dyDescent="0.3">
      <c r="A588" t="s">
        <v>1702</v>
      </c>
      <c r="B588" t="s">
        <v>1703</v>
      </c>
      <c r="C588" t="s">
        <v>18</v>
      </c>
      <c r="D588">
        <v>1</v>
      </c>
      <c r="E588">
        <v>0</v>
      </c>
      <c r="G588" s="1">
        <v>0</v>
      </c>
      <c r="H588">
        <v>0</v>
      </c>
      <c r="I588">
        <v>0.5</v>
      </c>
      <c r="J588">
        <v>1</v>
      </c>
      <c r="K588">
        <v>1</v>
      </c>
      <c r="L588">
        <f t="shared" si="36"/>
        <v>2</v>
      </c>
      <c r="M588">
        <v>0</v>
      </c>
      <c r="N588">
        <v>0</v>
      </c>
      <c r="O588">
        <v>2</v>
      </c>
      <c r="P588" s="1">
        <f t="shared" si="37"/>
        <v>0</v>
      </c>
      <c r="Q588">
        <f t="shared" si="38"/>
        <v>2</v>
      </c>
      <c r="R588" s="1">
        <f t="shared" si="39"/>
        <v>0</v>
      </c>
    </row>
    <row r="589" spans="1:18" x14ac:dyDescent="0.3">
      <c r="A589" t="s">
        <v>1704</v>
      </c>
      <c r="B589" t="s">
        <v>1705</v>
      </c>
      <c r="C589" t="s">
        <v>18</v>
      </c>
      <c r="D589">
        <v>1</v>
      </c>
      <c r="E589">
        <v>0</v>
      </c>
      <c r="G589" s="1">
        <v>0</v>
      </c>
      <c r="H589">
        <v>0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x14ac:dyDescent="0.3">
      <c r="A590" t="s">
        <v>1706</v>
      </c>
      <c r="B590" t="s">
        <v>1707</v>
      </c>
      <c r="C590" t="s">
        <v>18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x14ac:dyDescent="0.3">
      <c r="A591" t="s">
        <v>1708</v>
      </c>
      <c r="B591" t="s">
        <v>1709</v>
      </c>
      <c r="C591" t="s">
        <v>18</v>
      </c>
      <c r="D591">
        <v>1</v>
      </c>
      <c r="E591">
        <v>0</v>
      </c>
      <c r="G591" s="1">
        <v>0</v>
      </c>
      <c r="H591">
        <v>0</v>
      </c>
      <c r="I591">
        <v>0.5</v>
      </c>
      <c r="J591">
        <v>1</v>
      </c>
      <c r="K591">
        <v>1</v>
      </c>
      <c r="L591">
        <f t="shared" si="36"/>
        <v>2</v>
      </c>
      <c r="M591">
        <v>0</v>
      </c>
      <c r="N591">
        <v>0</v>
      </c>
      <c r="O591">
        <v>2</v>
      </c>
      <c r="P591" s="1">
        <f t="shared" si="37"/>
        <v>0</v>
      </c>
      <c r="Q591">
        <f t="shared" si="38"/>
        <v>2</v>
      </c>
      <c r="R591" s="1">
        <f t="shared" si="39"/>
        <v>0</v>
      </c>
    </row>
    <row r="592" spans="1:18" x14ac:dyDescent="0.3">
      <c r="A592" t="s">
        <v>1710</v>
      </c>
      <c r="B592" t="s">
        <v>1711</v>
      </c>
      <c r="C592" t="s">
        <v>18</v>
      </c>
      <c r="D592">
        <v>1</v>
      </c>
      <c r="E592">
        <v>0</v>
      </c>
      <c r="G592" s="1">
        <v>0</v>
      </c>
      <c r="H592">
        <v>0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x14ac:dyDescent="0.3">
      <c r="A593" t="s">
        <v>1712</v>
      </c>
      <c r="B593" t="s">
        <v>1713</v>
      </c>
      <c r="C593" t="s">
        <v>18</v>
      </c>
      <c r="D593">
        <v>1</v>
      </c>
      <c r="E593">
        <v>0</v>
      </c>
      <c r="G593" s="1">
        <v>0</v>
      </c>
      <c r="H593">
        <v>0</v>
      </c>
      <c r="I593">
        <v>0.5</v>
      </c>
      <c r="J593">
        <v>1</v>
      </c>
      <c r="K593">
        <v>1</v>
      </c>
      <c r="L593">
        <f t="shared" si="36"/>
        <v>2</v>
      </c>
      <c r="M593">
        <v>0</v>
      </c>
      <c r="N593">
        <v>0</v>
      </c>
      <c r="O593">
        <v>2</v>
      </c>
      <c r="P593" s="1">
        <f t="shared" si="37"/>
        <v>0</v>
      </c>
      <c r="Q593">
        <f t="shared" si="38"/>
        <v>2</v>
      </c>
      <c r="R593" s="1">
        <f t="shared" si="39"/>
        <v>0</v>
      </c>
    </row>
    <row r="594" spans="1:18" x14ac:dyDescent="0.3">
      <c r="A594" t="s">
        <v>1714</v>
      </c>
      <c r="B594" t="s">
        <v>1715</v>
      </c>
      <c r="C594" t="s">
        <v>18</v>
      </c>
      <c r="D594">
        <v>1</v>
      </c>
      <c r="E594">
        <v>0</v>
      </c>
      <c r="G594" s="1">
        <v>0</v>
      </c>
      <c r="H594">
        <v>0</v>
      </c>
      <c r="I594">
        <v>0.5</v>
      </c>
      <c r="J594">
        <v>1</v>
      </c>
      <c r="K594">
        <v>1</v>
      </c>
      <c r="L594">
        <f t="shared" si="36"/>
        <v>2</v>
      </c>
      <c r="M594">
        <v>0</v>
      </c>
      <c r="N594">
        <v>0</v>
      </c>
      <c r="O594">
        <v>2</v>
      </c>
      <c r="P594" s="1">
        <f t="shared" si="37"/>
        <v>0</v>
      </c>
      <c r="Q594">
        <f t="shared" si="38"/>
        <v>2</v>
      </c>
      <c r="R594" s="1">
        <f t="shared" si="39"/>
        <v>0</v>
      </c>
    </row>
    <row r="595" spans="1:18" x14ac:dyDescent="0.3">
      <c r="A595" t="s">
        <v>1716</v>
      </c>
      <c r="B595" t="s">
        <v>1717</v>
      </c>
      <c r="C595" t="s">
        <v>18</v>
      </c>
      <c r="D595">
        <v>1</v>
      </c>
      <c r="E595">
        <v>0</v>
      </c>
      <c r="G595" s="1">
        <v>0</v>
      </c>
      <c r="H595">
        <v>0</v>
      </c>
      <c r="I595">
        <v>0.5</v>
      </c>
      <c r="J595">
        <v>1</v>
      </c>
      <c r="K595">
        <v>1</v>
      </c>
      <c r="L595">
        <f t="shared" si="36"/>
        <v>2</v>
      </c>
      <c r="M595">
        <v>0</v>
      </c>
      <c r="N595">
        <v>0</v>
      </c>
      <c r="O595">
        <v>2</v>
      </c>
      <c r="P595" s="1">
        <f t="shared" si="37"/>
        <v>0</v>
      </c>
      <c r="Q595">
        <f t="shared" si="38"/>
        <v>2</v>
      </c>
      <c r="R595" s="1">
        <f t="shared" si="39"/>
        <v>0</v>
      </c>
    </row>
    <row r="596" spans="1:18" x14ac:dyDescent="0.3">
      <c r="A596" t="s">
        <v>1718</v>
      </c>
      <c r="B596" t="s">
        <v>1719</v>
      </c>
      <c r="C596" t="s">
        <v>18</v>
      </c>
      <c r="D596">
        <v>1</v>
      </c>
      <c r="E596">
        <v>0</v>
      </c>
      <c r="G596" s="1">
        <v>0</v>
      </c>
      <c r="H596">
        <v>0</v>
      </c>
      <c r="I596">
        <v>0.5</v>
      </c>
      <c r="J596">
        <v>1</v>
      </c>
      <c r="K596">
        <v>1</v>
      </c>
      <c r="L596">
        <f t="shared" si="36"/>
        <v>2</v>
      </c>
      <c r="M596">
        <v>0</v>
      </c>
      <c r="N596">
        <v>0</v>
      </c>
      <c r="O596">
        <v>2</v>
      </c>
      <c r="P596" s="1">
        <f t="shared" si="37"/>
        <v>0</v>
      </c>
      <c r="Q596">
        <f t="shared" si="38"/>
        <v>2</v>
      </c>
      <c r="R596" s="1">
        <f t="shared" si="39"/>
        <v>0</v>
      </c>
    </row>
    <row r="597" spans="1:18" x14ac:dyDescent="0.3">
      <c r="A597" t="s">
        <v>1720</v>
      </c>
      <c r="B597" t="s">
        <v>1721</v>
      </c>
      <c r="C597" t="s">
        <v>18</v>
      </c>
      <c r="D597">
        <v>1</v>
      </c>
      <c r="E597">
        <v>0</v>
      </c>
      <c r="G597" s="1">
        <v>0</v>
      </c>
      <c r="H597">
        <v>0</v>
      </c>
      <c r="I597">
        <v>0.5</v>
      </c>
      <c r="J597">
        <v>1</v>
      </c>
      <c r="K597">
        <v>1</v>
      </c>
      <c r="L597">
        <f t="shared" si="36"/>
        <v>2</v>
      </c>
      <c r="M597">
        <v>0</v>
      </c>
      <c r="N597">
        <v>0</v>
      </c>
      <c r="O597">
        <v>2</v>
      </c>
      <c r="P597" s="1">
        <f t="shared" si="37"/>
        <v>0</v>
      </c>
      <c r="Q597">
        <f t="shared" si="38"/>
        <v>2</v>
      </c>
      <c r="R597" s="1">
        <f t="shared" si="39"/>
        <v>0</v>
      </c>
    </row>
    <row r="598" spans="1:18" x14ac:dyDescent="0.3">
      <c r="A598" t="s">
        <v>1722</v>
      </c>
      <c r="B598" t="s">
        <v>1723</v>
      </c>
      <c r="C598" t="s">
        <v>18</v>
      </c>
      <c r="D598">
        <v>1</v>
      </c>
      <c r="E598">
        <v>0</v>
      </c>
      <c r="G598" s="1">
        <v>0</v>
      </c>
      <c r="H598">
        <v>0</v>
      </c>
      <c r="I598">
        <v>0.5</v>
      </c>
      <c r="J598">
        <v>1</v>
      </c>
      <c r="K598">
        <v>1</v>
      </c>
      <c r="L598">
        <f t="shared" si="36"/>
        <v>2</v>
      </c>
      <c r="M598">
        <v>0</v>
      </c>
      <c r="N598">
        <v>0</v>
      </c>
      <c r="O598">
        <v>2</v>
      </c>
      <c r="P598" s="1">
        <f t="shared" si="37"/>
        <v>0</v>
      </c>
      <c r="Q598">
        <f t="shared" si="38"/>
        <v>2</v>
      </c>
      <c r="R598" s="1">
        <f t="shared" si="39"/>
        <v>0</v>
      </c>
    </row>
    <row r="599" spans="1:18" x14ac:dyDescent="0.3">
      <c r="A599" t="s">
        <v>1724</v>
      </c>
      <c r="B599" t="s">
        <v>1725</v>
      </c>
      <c r="C599" t="s">
        <v>18</v>
      </c>
      <c r="D599">
        <v>1</v>
      </c>
      <c r="E599">
        <v>0</v>
      </c>
      <c r="G599" s="1">
        <v>0</v>
      </c>
      <c r="H599">
        <v>0</v>
      </c>
      <c r="I599">
        <v>0.5</v>
      </c>
      <c r="J599">
        <v>1</v>
      </c>
      <c r="K599">
        <v>1</v>
      </c>
      <c r="L599">
        <f t="shared" si="36"/>
        <v>2</v>
      </c>
      <c r="M599">
        <v>0</v>
      </c>
      <c r="N599">
        <v>0</v>
      </c>
      <c r="O599">
        <v>2</v>
      </c>
      <c r="P599" s="1">
        <f t="shared" si="37"/>
        <v>0</v>
      </c>
      <c r="Q599">
        <f t="shared" si="38"/>
        <v>2</v>
      </c>
      <c r="R599" s="1">
        <f t="shared" si="39"/>
        <v>0</v>
      </c>
    </row>
    <row r="600" spans="1:18" x14ac:dyDescent="0.3">
      <c r="A600" t="s">
        <v>1726</v>
      </c>
      <c r="B600" t="s">
        <v>1727</v>
      </c>
      <c r="C600" t="s">
        <v>18</v>
      </c>
      <c r="D600">
        <v>1</v>
      </c>
      <c r="E600">
        <v>0</v>
      </c>
      <c r="G600" s="1">
        <v>0</v>
      </c>
      <c r="H600">
        <v>0</v>
      </c>
      <c r="I600">
        <v>0.5</v>
      </c>
      <c r="J600">
        <v>1</v>
      </c>
      <c r="K600">
        <v>1</v>
      </c>
      <c r="L600">
        <f t="shared" si="36"/>
        <v>2</v>
      </c>
      <c r="M600">
        <v>0</v>
      </c>
      <c r="N600">
        <v>0</v>
      </c>
      <c r="O600">
        <v>2</v>
      </c>
      <c r="P600" s="1">
        <f t="shared" si="37"/>
        <v>0</v>
      </c>
      <c r="Q600">
        <f t="shared" si="38"/>
        <v>2</v>
      </c>
      <c r="R600" s="1">
        <f t="shared" si="39"/>
        <v>0</v>
      </c>
    </row>
    <row r="601" spans="1:18" x14ac:dyDescent="0.3">
      <c r="A601" t="s">
        <v>1728</v>
      </c>
      <c r="B601" t="s">
        <v>1729</v>
      </c>
      <c r="C601" t="s">
        <v>18</v>
      </c>
      <c r="D601">
        <v>1</v>
      </c>
      <c r="E601">
        <v>0</v>
      </c>
      <c r="G601" s="1">
        <v>0</v>
      </c>
      <c r="H601">
        <v>0</v>
      </c>
      <c r="I601">
        <v>0.5</v>
      </c>
      <c r="J601">
        <v>1</v>
      </c>
      <c r="K601">
        <v>1</v>
      </c>
      <c r="L601">
        <f t="shared" si="36"/>
        <v>2</v>
      </c>
      <c r="M601">
        <v>0</v>
      </c>
      <c r="N601">
        <v>0</v>
      </c>
      <c r="O601">
        <v>2</v>
      </c>
      <c r="P601" s="1">
        <f t="shared" si="37"/>
        <v>0</v>
      </c>
      <c r="Q601">
        <f t="shared" si="38"/>
        <v>2</v>
      </c>
      <c r="R601" s="1">
        <f t="shared" si="39"/>
        <v>0</v>
      </c>
    </row>
    <row r="602" spans="1:18" x14ac:dyDescent="0.3">
      <c r="A602" t="s">
        <v>1730</v>
      </c>
      <c r="B602" t="s">
        <v>1731</v>
      </c>
      <c r="C602" t="s">
        <v>18</v>
      </c>
      <c r="D602">
        <v>1</v>
      </c>
      <c r="E602">
        <v>0</v>
      </c>
      <c r="G602" s="1">
        <v>0</v>
      </c>
      <c r="H602">
        <v>0</v>
      </c>
      <c r="I602">
        <v>0.5</v>
      </c>
      <c r="J602">
        <v>1</v>
      </c>
      <c r="K602">
        <v>1</v>
      </c>
      <c r="L602">
        <f t="shared" si="36"/>
        <v>2</v>
      </c>
      <c r="M602">
        <v>0</v>
      </c>
      <c r="N602">
        <v>0</v>
      </c>
      <c r="O602">
        <v>2</v>
      </c>
      <c r="P602" s="1">
        <f t="shared" si="37"/>
        <v>0</v>
      </c>
      <c r="Q602">
        <f t="shared" si="38"/>
        <v>2</v>
      </c>
      <c r="R602" s="1">
        <f t="shared" si="39"/>
        <v>0</v>
      </c>
    </row>
    <row r="603" spans="1:18" x14ac:dyDescent="0.3">
      <c r="A603" t="s">
        <v>1732</v>
      </c>
      <c r="B603" t="s">
        <v>1733</v>
      </c>
      <c r="C603" t="s">
        <v>18</v>
      </c>
      <c r="D603">
        <v>1</v>
      </c>
      <c r="E603">
        <v>0</v>
      </c>
      <c r="G603" s="1">
        <v>0</v>
      </c>
      <c r="H603">
        <v>0</v>
      </c>
      <c r="I603">
        <v>0.5</v>
      </c>
      <c r="J603">
        <v>1</v>
      </c>
      <c r="K603">
        <v>1</v>
      </c>
      <c r="L603">
        <f t="shared" si="36"/>
        <v>2</v>
      </c>
      <c r="M603">
        <v>0</v>
      </c>
      <c r="N603">
        <v>0</v>
      </c>
      <c r="O603">
        <v>2</v>
      </c>
      <c r="P603" s="1">
        <f t="shared" si="37"/>
        <v>0</v>
      </c>
      <c r="Q603">
        <f t="shared" si="38"/>
        <v>2</v>
      </c>
      <c r="R603" s="1">
        <f t="shared" si="39"/>
        <v>0</v>
      </c>
    </row>
    <row r="604" spans="1:18" x14ac:dyDescent="0.3">
      <c r="A604" t="s">
        <v>1734</v>
      </c>
      <c r="B604" t="s">
        <v>1735</v>
      </c>
      <c r="C604" t="s">
        <v>18</v>
      </c>
      <c r="D604">
        <v>1</v>
      </c>
      <c r="E604">
        <v>0</v>
      </c>
      <c r="G604" s="1">
        <v>0</v>
      </c>
      <c r="H604">
        <v>0</v>
      </c>
      <c r="I604">
        <v>0.5</v>
      </c>
      <c r="J604">
        <v>1</v>
      </c>
      <c r="K604">
        <v>1</v>
      </c>
      <c r="L604">
        <f t="shared" si="36"/>
        <v>2</v>
      </c>
      <c r="M604">
        <v>0</v>
      </c>
      <c r="N604">
        <v>0</v>
      </c>
      <c r="O604">
        <v>2</v>
      </c>
      <c r="P604" s="1">
        <f t="shared" si="37"/>
        <v>0</v>
      </c>
      <c r="Q604">
        <f t="shared" si="38"/>
        <v>2</v>
      </c>
      <c r="R604" s="1">
        <f t="shared" si="39"/>
        <v>0</v>
      </c>
    </row>
    <row r="605" spans="1:18" x14ac:dyDescent="0.3">
      <c r="A605" t="s">
        <v>1736</v>
      </c>
      <c r="B605" t="s">
        <v>1737</v>
      </c>
      <c r="C605" t="s">
        <v>18</v>
      </c>
      <c r="D605">
        <v>1</v>
      </c>
      <c r="E605">
        <v>0</v>
      </c>
      <c r="G605" s="1">
        <v>0</v>
      </c>
      <c r="H605">
        <v>0</v>
      </c>
      <c r="I605">
        <v>0.5</v>
      </c>
      <c r="J605">
        <v>1</v>
      </c>
      <c r="K605">
        <v>1</v>
      </c>
      <c r="L605">
        <f t="shared" si="36"/>
        <v>2</v>
      </c>
      <c r="M605">
        <v>0</v>
      </c>
      <c r="N605">
        <v>0</v>
      </c>
      <c r="O605">
        <v>2</v>
      </c>
      <c r="P605" s="1">
        <f t="shared" si="37"/>
        <v>0</v>
      </c>
      <c r="Q605">
        <f t="shared" si="38"/>
        <v>2</v>
      </c>
      <c r="R605" s="1">
        <f t="shared" si="39"/>
        <v>0</v>
      </c>
    </row>
    <row r="606" spans="1:18" x14ac:dyDescent="0.3">
      <c r="A606" t="s">
        <v>1738</v>
      </c>
      <c r="B606" t="s">
        <v>1739</v>
      </c>
      <c r="C606" t="s">
        <v>18</v>
      </c>
      <c r="D606">
        <v>1</v>
      </c>
      <c r="E606">
        <v>0</v>
      </c>
      <c r="G606" s="1">
        <v>0</v>
      </c>
      <c r="H606">
        <v>0</v>
      </c>
      <c r="I606">
        <v>0.5</v>
      </c>
      <c r="J606">
        <v>1</v>
      </c>
      <c r="K606">
        <v>1</v>
      </c>
      <c r="L606">
        <f t="shared" si="36"/>
        <v>2</v>
      </c>
      <c r="M606">
        <v>0</v>
      </c>
      <c r="N606">
        <v>0</v>
      </c>
      <c r="O606">
        <v>2</v>
      </c>
      <c r="P606" s="1">
        <f t="shared" si="37"/>
        <v>0</v>
      </c>
      <c r="Q606">
        <f t="shared" si="38"/>
        <v>2</v>
      </c>
      <c r="R606" s="1">
        <f t="shared" si="39"/>
        <v>0</v>
      </c>
    </row>
    <row r="607" spans="1:18" x14ac:dyDescent="0.3">
      <c r="A607" t="s">
        <v>1740</v>
      </c>
      <c r="B607" t="s">
        <v>1741</v>
      </c>
      <c r="C607" t="s">
        <v>18</v>
      </c>
      <c r="D607">
        <v>1</v>
      </c>
      <c r="E607">
        <v>0</v>
      </c>
      <c r="G607" s="1">
        <v>0</v>
      </c>
      <c r="H607">
        <v>0</v>
      </c>
      <c r="I607">
        <v>0.5</v>
      </c>
      <c r="J607">
        <v>1</v>
      </c>
      <c r="K607">
        <v>1</v>
      </c>
      <c r="L607">
        <f t="shared" si="36"/>
        <v>2</v>
      </c>
      <c r="M607">
        <v>0</v>
      </c>
      <c r="N607">
        <v>0</v>
      </c>
      <c r="O607">
        <v>2</v>
      </c>
      <c r="P607" s="1">
        <f t="shared" si="37"/>
        <v>0</v>
      </c>
      <c r="Q607">
        <f t="shared" si="38"/>
        <v>2</v>
      </c>
      <c r="R607" s="1">
        <f t="shared" si="39"/>
        <v>0</v>
      </c>
    </row>
    <row r="608" spans="1:18" x14ac:dyDescent="0.3">
      <c r="A608" t="s">
        <v>1742</v>
      </c>
      <c r="B608" t="s">
        <v>1743</v>
      </c>
      <c r="C608" t="s">
        <v>18</v>
      </c>
      <c r="D608">
        <v>1</v>
      </c>
      <c r="E608">
        <v>0</v>
      </c>
      <c r="G608" s="1">
        <v>0</v>
      </c>
      <c r="H608">
        <v>0</v>
      </c>
      <c r="I608">
        <v>0.5</v>
      </c>
      <c r="J608">
        <v>1</v>
      </c>
      <c r="K608">
        <v>1</v>
      </c>
      <c r="L608">
        <f t="shared" si="36"/>
        <v>2</v>
      </c>
      <c r="M608">
        <v>0</v>
      </c>
      <c r="N608">
        <v>0</v>
      </c>
      <c r="O608">
        <v>2</v>
      </c>
      <c r="P608" s="1">
        <f t="shared" si="37"/>
        <v>0</v>
      </c>
      <c r="Q608">
        <f t="shared" si="38"/>
        <v>2</v>
      </c>
      <c r="R608" s="1">
        <f t="shared" si="39"/>
        <v>0</v>
      </c>
    </row>
    <row r="609" spans="1:18" x14ac:dyDescent="0.3">
      <c r="A609" t="s">
        <v>1744</v>
      </c>
      <c r="B609" t="s">
        <v>1745</v>
      </c>
      <c r="C609" t="s">
        <v>18</v>
      </c>
      <c r="D609">
        <v>1</v>
      </c>
      <c r="E609">
        <v>1</v>
      </c>
      <c r="F609" t="s">
        <v>124</v>
      </c>
      <c r="G609" s="1">
        <v>10432.26</v>
      </c>
      <c r="H609">
        <v>1</v>
      </c>
      <c r="I609">
        <v>0.5</v>
      </c>
      <c r="J609">
        <v>1</v>
      </c>
      <c r="K609">
        <v>1</v>
      </c>
      <c r="L609">
        <f t="shared" si="36"/>
        <v>2</v>
      </c>
      <c r="M609">
        <v>0</v>
      </c>
      <c r="N609">
        <v>0</v>
      </c>
      <c r="O609">
        <v>2</v>
      </c>
      <c r="P609" s="1">
        <f t="shared" si="37"/>
        <v>0</v>
      </c>
      <c r="Q609">
        <f t="shared" si="38"/>
        <v>2</v>
      </c>
      <c r="R609" s="1">
        <f t="shared" si="39"/>
        <v>20864.52</v>
      </c>
    </row>
    <row r="610" spans="1:18" x14ac:dyDescent="0.3">
      <c r="A610" t="s">
        <v>1746</v>
      </c>
      <c r="B610" t="s">
        <v>1747</v>
      </c>
      <c r="C610" t="s">
        <v>18</v>
      </c>
      <c r="D610">
        <v>1</v>
      </c>
      <c r="E610">
        <v>0</v>
      </c>
      <c r="G610" s="1">
        <v>0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0</v>
      </c>
    </row>
    <row r="611" spans="1:18" x14ac:dyDescent="0.3">
      <c r="A611" t="s">
        <v>1748</v>
      </c>
      <c r="B611" t="s">
        <v>1749</v>
      </c>
      <c r="C611" t="s">
        <v>18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x14ac:dyDescent="0.3">
      <c r="A612" t="s">
        <v>1750</v>
      </c>
      <c r="B612" t="s">
        <v>1751</v>
      </c>
      <c r="C612" t="s">
        <v>18</v>
      </c>
      <c r="D612">
        <v>1</v>
      </c>
      <c r="E612">
        <v>0</v>
      </c>
      <c r="G612" s="1">
        <v>0</v>
      </c>
      <c r="H612">
        <v>0</v>
      </c>
      <c r="I612">
        <v>0.5</v>
      </c>
      <c r="J612">
        <v>1</v>
      </c>
      <c r="K612">
        <v>1</v>
      </c>
      <c r="L612">
        <f t="shared" si="36"/>
        <v>2</v>
      </c>
      <c r="M612">
        <v>0</v>
      </c>
      <c r="N612">
        <v>0</v>
      </c>
      <c r="O612">
        <v>2</v>
      </c>
      <c r="P612" s="1">
        <f t="shared" si="37"/>
        <v>0</v>
      </c>
      <c r="Q612">
        <f t="shared" si="38"/>
        <v>2</v>
      </c>
      <c r="R612" s="1">
        <f t="shared" si="39"/>
        <v>0</v>
      </c>
    </row>
    <row r="613" spans="1:18" x14ac:dyDescent="0.3">
      <c r="A613" t="s">
        <v>1752</v>
      </c>
      <c r="B613" t="s">
        <v>1753</v>
      </c>
      <c r="C613" t="s">
        <v>18</v>
      </c>
      <c r="D613">
        <v>1</v>
      </c>
      <c r="E613">
        <v>0</v>
      </c>
      <c r="G613" s="1">
        <v>0</v>
      </c>
      <c r="H613">
        <v>0</v>
      </c>
      <c r="I613">
        <v>0.5</v>
      </c>
      <c r="J613">
        <v>1</v>
      </c>
      <c r="K613">
        <v>1</v>
      </c>
      <c r="L613">
        <f t="shared" si="36"/>
        <v>2</v>
      </c>
      <c r="M613">
        <v>0</v>
      </c>
      <c r="N613">
        <v>0</v>
      </c>
      <c r="O613">
        <v>2</v>
      </c>
      <c r="P613" s="1">
        <f t="shared" si="37"/>
        <v>0</v>
      </c>
      <c r="Q613">
        <f t="shared" si="38"/>
        <v>2</v>
      </c>
      <c r="R613" s="1">
        <f t="shared" si="39"/>
        <v>0</v>
      </c>
    </row>
    <row r="614" spans="1:18" x14ac:dyDescent="0.3">
      <c r="A614" t="s">
        <v>1754</v>
      </c>
      <c r="B614" t="s">
        <v>1755</v>
      </c>
      <c r="C614" t="s">
        <v>18</v>
      </c>
      <c r="D614">
        <v>1</v>
      </c>
      <c r="E614">
        <v>0</v>
      </c>
      <c r="G614" s="1">
        <v>0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0</v>
      </c>
    </row>
    <row r="615" spans="1:18" x14ac:dyDescent="0.3">
      <c r="A615" t="s">
        <v>1756</v>
      </c>
      <c r="B615" t="s">
        <v>1757</v>
      </c>
      <c r="C615" t="s">
        <v>18</v>
      </c>
      <c r="D615">
        <v>1</v>
      </c>
      <c r="E615">
        <v>0</v>
      </c>
      <c r="G615" s="1">
        <v>0</v>
      </c>
      <c r="H615">
        <v>0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0</v>
      </c>
    </row>
    <row r="616" spans="1:18" x14ac:dyDescent="0.3">
      <c r="A616" t="s">
        <v>1758</v>
      </c>
      <c r="B616" t="s">
        <v>1759</v>
      </c>
      <c r="C616" t="s">
        <v>18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x14ac:dyDescent="0.3">
      <c r="A617" t="s">
        <v>1760</v>
      </c>
      <c r="B617" t="s">
        <v>1761</v>
      </c>
      <c r="C617" t="s">
        <v>18</v>
      </c>
      <c r="D617">
        <v>1</v>
      </c>
      <c r="E617">
        <v>0</v>
      </c>
      <c r="G617" s="1">
        <v>0</v>
      </c>
      <c r="H617">
        <v>0</v>
      </c>
      <c r="I617">
        <v>0.5</v>
      </c>
      <c r="J617">
        <v>1</v>
      </c>
      <c r="K617">
        <v>1</v>
      </c>
      <c r="L617">
        <f t="shared" si="36"/>
        <v>2</v>
      </c>
      <c r="M617">
        <v>0</v>
      </c>
      <c r="N617">
        <v>0</v>
      </c>
      <c r="O617">
        <v>2</v>
      </c>
      <c r="P617" s="1">
        <f t="shared" si="37"/>
        <v>0</v>
      </c>
      <c r="Q617">
        <f t="shared" si="38"/>
        <v>2</v>
      </c>
      <c r="R617" s="1">
        <f t="shared" si="39"/>
        <v>0</v>
      </c>
    </row>
    <row r="618" spans="1:18" x14ac:dyDescent="0.3">
      <c r="A618" t="s">
        <v>1762</v>
      </c>
      <c r="B618" t="s">
        <v>1763</v>
      </c>
      <c r="C618" t="s">
        <v>18</v>
      </c>
      <c r="D618">
        <v>23</v>
      </c>
      <c r="E618">
        <v>2</v>
      </c>
      <c r="F618" t="s">
        <v>1073</v>
      </c>
      <c r="G618" s="1">
        <v>3940.5</v>
      </c>
      <c r="H618">
        <v>7</v>
      </c>
      <c r="I618">
        <v>0.5</v>
      </c>
      <c r="J618">
        <v>1</v>
      </c>
      <c r="K618">
        <v>1</v>
      </c>
      <c r="L618">
        <f t="shared" si="36"/>
        <v>2</v>
      </c>
      <c r="M618">
        <v>0</v>
      </c>
      <c r="N618">
        <v>0</v>
      </c>
      <c r="O618">
        <v>2</v>
      </c>
      <c r="P618" s="1">
        <f t="shared" si="37"/>
        <v>0</v>
      </c>
      <c r="Q618">
        <f t="shared" si="38"/>
        <v>2</v>
      </c>
      <c r="R618" s="1">
        <f t="shared" si="39"/>
        <v>7881</v>
      </c>
    </row>
    <row r="619" spans="1:18" x14ac:dyDescent="0.3">
      <c r="A619" t="s">
        <v>1764</v>
      </c>
      <c r="B619" t="s">
        <v>1765</v>
      </c>
      <c r="C619" t="s">
        <v>18</v>
      </c>
      <c r="D619">
        <v>1</v>
      </c>
      <c r="E619">
        <v>1</v>
      </c>
      <c r="F619" t="s">
        <v>1073</v>
      </c>
      <c r="G619" s="1">
        <v>3940.5</v>
      </c>
      <c r="H619">
        <v>0</v>
      </c>
      <c r="I619">
        <v>1.6</v>
      </c>
      <c r="J619">
        <v>1</v>
      </c>
      <c r="K619">
        <v>2</v>
      </c>
      <c r="L619">
        <f t="shared" si="36"/>
        <v>4</v>
      </c>
      <c r="M619">
        <v>0</v>
      </c>
      <c r="N619">
        <v>0</v>
      </c>
      <c r="O619">
        <v>4</v>
      </c>
      <c r="P619" s="1">
        <f t="shared" si="37"/>
        <v>0</v>
      </c>
      <c r="Q619">
        <f t="shared" si="38"/>
        <v>4</v>
      </c>
      <c r="R619" s="1">
        <f t="shared" si="39"/>
        <v>15762</v>
      </c>
    </row>
    <row r="620" spans="1:18" x14ac:dyDescent="0.3">
      <c r="A620" t="s">
        <v>1766</v>
      </c>
      <c r="B620" t="s">
        <v>1767</v>
      </c>
      <c r="C620" t="s">
        <v>18</v>
      </c>
      <c r="D620">
        <v>1</v>
      </c>
      <c r="E620">
        <v>0</v>
      </c>
      <c r="G620" s="1">
        <v>0</v>
      </c>
      <c r="H620">
        <v>0</v>
      </c>
      <c r="I620">
        <v>0.5</v>
      </c>
      <c r="J620">
        <v>1</v>
      </c>
      <c r="K620">
        <v>1</v>
      </c>
      <c r="L620">
        <f t="shared" si="36"/>
        <v>2</v>
      </c>
      <c r="M620">
        <v>0</v>
      </c>
      <c r="N620">
        <v>0</v>
      </c>
      <c r="O620">
        <v>2</v>
      </c>
      <c r="P620" s="1">
        <f t="shared" si="37"/>
        <v>0</v>
      </c>
      <c r="Q620">
        <f t="shared" si="38"/>
        <v>2</v>
      </c>
      <c r="R620" s="1">
        <f t="shared" si="39"/>
        <v>0</v>
      </c>
    </row>
    <row r="621" spans="1:18" x14ac:dyDescent="0.3">
      <c r="A621" t="s">
        <v>1768</v>
      </c>
      <c r="B621" t="s">
        <v>1769</v>
      </c>
      <c r="C621" t="s">
        <v>18</v>
      </c>
      <c r="D621">
        <v>7</v>
      </c>
      <c r="E621">
        <v>6</v>
      </c>
      <c r="F621" t="s">
        <v>1073</v>
      </c>
      <c r="G621" s="1">
        <v>3940.5</v>
      </c>
      <c r="H621">
        <v>3</v>
      </c>
      <c r="I621">
        <v>0.5</v>
      </c>
      <c r="J621">
        <v>1</v>
      </c>
      <c r="K621">
        <v>1</v>
      </c>
      <c r="L621">
        <f t="shared" si="36"/>
        <v>2</v>
      </c>
      <c r="M621">
        <v>0</v>
      </c>
      <c r="N621">
        <v>0</v>
      </c>
      <c r="O621">
        <v>2</v>
      </c>
      <c r="P621" s="1">
        <f t="shared" si="37"/>
        <v>0</v>
      </c>
      <c r="Q621">
        <f t="shared" si="38"/>
        <v>2</v>
      </c>
      <c r="R621" s="1">
        <f t="shared" si="39"/>
        <v>7881</v>
      </c>
    </row>
    <row r="622" spans="1:18" x14ac:dyDescent="0.3">
      <c r="A622" t="s">
        <v>1770</v>
      </c>
      <c r="B622" t="s">
        <v>1771</v>
      </c>
      <c r="C622" t="s">
        <v>18</v>
      </c>
      <c r="D622">
        <v>1</v>
      </c>
      <c r="E622">
        <v>0</v>
      </c>
      <c r="G622" s="1">
        <v>0</v>
      </c>
      <c r="H622">
        <v>0</v>
      </c>
      <c r="I622">
        <v>0.5</v>
      </c>
      <c r="J622">
        <v>1</v>
      </c>
      <c r="K622">
        <v>1</v>
      </c>
      <c r="L622">
        <f t="shared" si="36"/>
        <v>2</v>
      </c>
      <c r="M622">
        <v>0</v>
      </c>
      <c r="N622">
        <v>0</v>
      </c>
      <c r="O622">
        <v>2</v>
      </c>
      <c r="P622" s="1">
        <f t="shared" si="37"/>
        <v>0</v>
      </c>
      <c r="Q622">
        <f t="shared" si="38"/>
        <v>2</v>
      </c>
      <c r="R622" s="1">
        <f t="shared" si="39"/>
        <v>0</v>
      </c>
    </row>
    <row r="623" spans="1:18" x14ac:dyDescent="0.3">
      <c r="A623" t="s">
        <v>1772</v>
      </c>
      <c r="B623" t="s">
        <v>1773</v>
      </c>
      <c r="C623" t="s">
        <v>18</v>
      </c>
      <c r="D623">
        <v>1</v>
      </c>
      <c r="E623">
        <v>2</v>
      </c>
      <c r="F623" t="s">
        <v>124</v>
      </c>
      <c r="G623" s="1">
        <v>49784.83</v>
      </c>
      <c r="H623">
        <v>2</v>
      </c>
      <c r="I623">
        <v>0.5</v>
      </c>
      <c r="J623">
        <v>2</v>
      </c>
      <c r="K623">
        <v>1</v>
      </c>
      <c r="L623">
        <f t="shared" si="36"/>
        <v>2</v>
      </c>
      <c r="M623">
        <v>0</v>
      </c>
      <c r="N623">
        <v>0</v>
      </c>
      <c r="O623">
        <v>5</v>
      </c>
      <c r="P623" s="1">
        <f t="shared" si="37"/>
        <v>0</v>
      </c>
      <c r="Q623">
        <f t="shared" si="38"/>
        <v>5</v>
      </c>
      <c r="R623" s="1">
        <f t="shared" si="39"/>
        <v>248924.15000000002</v>
      </c>
    </row>
    <row r="624" spans="1:18" x14ac:dyDescent="0.3">
      <c r="A624" t="s">
        <v>1774</v>
      </c>
      <c r="B624" t="s">
        <v>1775</v>
      </c>
      <c r="C624" t="s">
        <v>18</v>
      </c>
      <c r="D624">
        <v>8</v>
      </c>
      <c r="E624">
        <v>0</v>
      </c>
      <c r="G624" s="1">
        <v>0</v>
      </c>
      <c r="H624">
        <v>3</v>
      </c>
      <c r="I624">
        <v>0.5</v>
      </c>
      <c r="J624">
        <v>1</v>
      </c>
      <c r="K624">
        <v>1</v>
      </c>
      <c r="L624">
        <f t="shared" si="36"/>
        <v>2</v>
      </c>
      <c r="M624">
        <v>0</v>
      </c>
      <c r="N624">
        <v>0</v>
      </c>
      <c r="O624">
        <v>2</v>
      </c>
      <c r="P624" s="1">
        <f t="shared" si="37"/>
        <v>0</v>
      </c>
      <c r="Q624">
        <f t="shared" si="38"/>
        <v>2</v>
      </c>
      <c r="R624" s="1">
        <f t="shared" si="39"/>
        <v>0</v>
      </c>
    </row>
    <row r="625" spans="1:18" x14ac:dyDescent="0.3">
      <c r="A625" t="s">
        <v>1776</v>
      </c>
      <c r="B625" t="s">
        <v>1777</v>
      </c>
      <c r="C625" t="s">
        <v>18</v>
      </c>
      <c r="D625">
        <v>1</v>
      </c>
      <c r="E625">
        <v>0</v>
      </c>
      <c r="G625" s="1">
        <v>0</v>
      </c>
      <c r="H625">
        <v>0</v>
      </c>
      <c r="I625">
        <v>0.5</v>
      </c>
      <c r="J625">
        <v>1</v>
      </c>
      <c r="K625">
        <v>1</v>
      </c>
      <c r="L625">
        <f t="shared" si="36"/>
        <v>2</v>
      </c>
      <c r="M625">
        <v>0</v>
      </c>
      <c r="N625">
        <v>0</v>
      </c>
      <c r="O625">
        <v>2</v>
      </c>
      <c r="P625" s="1">
        <f t="shared" si="37"/>
        <v>0</v>
      </c>
      <c r="Q625">
        <f t="shared" si="38"/>
        <v>2</v>
      </c>
      <c r="R625" s="1">
        <f t="shared" si="39"/>
        <v>0</v>
      </c>
    </row>
    <row r="626" spans="1:18" x14ac:dyDescent="0.3">
      <c r="A626" t="s">
        <v>1778</v>
      </c>
      <c r="B626" t="s">
        <v>1779</v>
      </c>
      <c r="C626" t="s">
        <v>18</v>
      </c>
      <c r="D626">
        <v>1</v>
      </c>
      <c r="E626">
        <v>0</v>
      </c>
      <c r="G626" s="1">
        <v>0</v>
      </c>
      <c r="H626">
        <v>0</v>
      </c>
      <c r="I626">
        <v>0.5</v>
      </c>
      <c r="J626">
        <v>1</v>
      </c>
      <c r="K626">
        <v>1</v>
      </c>
      <c r="L626">
        <f t="shared" si="36"/>
        <v>2</v>
      </c>
      <c r="M626">
        <v>0</v>
      </c>
      <c r="N626">
        <v>0</v>
      </c>
      <c r="O626">
        <v>2</v>
      </c>
      <c r="P626" s="1">
        <f t="shared" si="37"/>
        <v>0</v>
      </c>
      <c r="Q626">
        <f t="shared" si="38"/>
        <v>2</v>
      </c>
      <c r="R626" s="1">
        <f t="shared" si="39"/>
        <v>0</v>
      </c>
    </row>
    <row r="627" spans="1:18" x14ac:dyDescent="0.3">
      <c r="A627" t="s">
        <v>1780</v>
      </c>
      <c r="B627" t="s">
        <v>1781</v>
      </c>
      <c r="C627" t="s">
        <v>18</v>
      </c>
      <c r="D627">
        <v>1</v>
      </c>
      <c r="E627">
        <v>0</v>
      </c>
      <c r="G627" s="1">
        <v>0</v>
      </c>
      <c r="H627">
        <v>0</v>
      </c>
      <c r="I627">
        <v>0.5</v>
      </c>
      <c r="J627">
        <v>1</v>
      </c>
      <c r="K627">
        <v>1</v>
      </c>
      <c r="L627">
        <f t="shared" si="36"/>
        <v>2</v>
      </c>
      <c r="M627">
        <v>0</v>
      </c>
      <c r="N627">
        <v>0</v>
      </c>
      <c r="O627">
        <v>2</v>
      </c>
      <c r="P627" s="1">
        <f t="shared" si="37"/>
        <v>0</v>
      </c>
      <c r="Q627">
        <f t="shared" si="38"/>
        <v>2</v>
      </c>
      <c r="R627" s="1">
        <f t="shared" si="39"/>
        <v>0</v>
      </c>
    </row>
    <row r="628" spans="1:18" x14ac:dyDescent="0.3">
      <c r="A628" t="s">
        <v>1782</v>
      </c>
      <c r="B628" t="s">
        <v>1783</v>
      </c>
      <c r="C628" t="s">
        <v>18</v>
      </c>
      <c r="D628">
        <v>1</v>
      </c>
      <c r="E628">
        <v>0</v>
      </c>
      <c r="G628" s="1">
        <v>0</v>
      </c>
      <c r="H628">
        <v>0</v>
      </c>
      <c r="I628">
        <v>0.5</v>
      </c>
      <c r="J628">
        <v>1</v>
      </c>
      <c r="K628">
        <v>1</v>
      </c>
      <c r="L628">
        <f t="shared" si="36"/>
        <v>2</v>
      </c>
      <c r="M628">
        <v>0</v>
      </c>
      <c r="N628">
        <v>0</v>
      </c>
      <c r="O628">
        <v>2</v>
      </c>
      <c r="P628" s="1">
        <f t="shared" si="37"/>
        <v>0</v>
      </c>
      <c r="Q628">
        <f t="shared" si="38"/>
        <v>2</v>
      </c>
      <c r="R628" s="1">
        <f t="shared" si="39"/>
        <v>0</v>
      </c>
    </row>
    <row r="629" spans="1:18" x14ac:dyDescent="0.3">
      <c r="A629" t="s">
        <v>1784</v>
      </c>
      <c r="B629" t="s">
        <v>1785</v>
      </c>
      <c r="C629" t="s">
        <v>18</v>
      </c>
      <c r="D629">
        <v>8</v>
      </c>
      <c r="E629">
        <v>1</v>
      </c>
      <c r="F629" t="s">
        <v>1073</v>
      </c>
      <c r="G629" s="1">
        <v>9552.19</v>
      </c>
      <c r="H629">
        <v>1</v>
      </c>
      <c r="I629">
        <v>1.8</v>
      </c>
      <c r="J629">
        <v>1</v>
      </c>
      <c r="K629">
        <v>2</v>
      </c>
      <c r="L629">
        <f t="shared" si="36"/>
        <v>4</v>
      </c>
      <c r="M629">
        <v>0</v>
      </c>
      <c r="N629">
        <v>0</v>
      </c>
      <c r="O629">
        <v>4</v>
      </c>
      <c r="P629" s="1">
        <f t="shared" si="37"/>
        <v>0</v>
      </c>
      <c r="Q629">
        <f t="shared" si="38"/>
        <v>4</v>
      </c>
      <c r="R629" s="1">
        <f t="shared" si="39"/>
        <v>38208.76</v>
      </c>
    </row>
    <row r="630" spans="1:18" x14ac:dyDescent="0.3">
      <c r="A630" t="s">
        <v>1786</v>
      </c>
      <c r="B630" t="s">
        <v>1787</v>
      </c>
      <c r="C630" t="s">
        <v>18</v>
      </c>
      <c r="D630">
        <v>1</v>
      </c>
      <c r="E630">
        <v>0</v>
      </c>
      <c r="G630" s="1">
        <v>0</v>
      </c>
      <c r="H630">
        <v>0</v>
      </c>
      <c r="I630">
        <v>0.5</v>
      </c>
      <c r="J630">
        <v>1</v>
      </c>
      <c r="K630">
        <v>1</v>
      </c>
      <c r="L630">
        <f t="shared" si="36"/>
        <v>2</v>
      </c>
      <c r="M630">
        <v>0</v>
      </c>
      <c r="N630">
        <v>0</v>
      </c>
      <c r="O630">
        <v>2</v>
      </c>
      <c r="P630" s="1">
        <f t="shared" si="37"/>
        <v>0</v>
      </c>
      <c r="Q630">
        <f t="shared" si="38"/>
        <v>2</v>
      </c>
      <c r="R630" s="1">
        <f t="shared" si="39"/>
        <v>0</v>
      </c>
    </row>
    <row r="631" spans="1:18" x14ac:dyDescent="0.3">
      <c r="A631" t="s">
        <v>1788</v>
      </c>
      <c r="B631" t="s">
        <v>1789</v>
      </c>
      <c r="C631" t="s">
        <v>18</v>
      </c>
      <c r="D631">
        <v>1</v>
      </c>
      <c r="E631">
        <v>0</v>
      </c>
      <c r="G631" s="1">
        <v>0</v>
      </c>
      <c r="H631">
        <v>0</v>
      </c>
      <c r="I631">
        <v>0.5</v>
      </c>
      <c r="J631">
        <v>1</v>
      </c>
      <c r="K631">
        <v>1</v>
      </c>
      <c r="L631">
        <f t="shared" si="36"/>
        <v>2</v>
      </c>
      <c r="M631">
        <v>0</v>
      </c>
      <c r="N631">
        <v>0</v>
      </c>
      <c r="O631">
        <v>2</v>
      </c>
      <c r="P631" s="1">
        <f t="shared" si="37"/>
        <v>0</v>
      </c>
      <c r="Q631">
        <f t="shared" si="38"/>
        <v>2</v>
      </c>
      <c r="R631" s="1">
        <f t="shared" si="39"/>
        <v>0</v>
      </c>
    </row>
    <row r="632" spans="1:18" x14ac:dyDescent="0.3">
      <c r="A632" t="s">
        <v>1790</v>
      </c>
      <c r="B632" t="s">
        <v>1791</v>
      </c>
      <c r="C632" t="s">
        <v>18</v>
      </c>
      <c r="D632">
        <v>1</v>
      </c>
      <c r="E632">
        <v>1</v>
      </c>
      <c r="F632" t="s">
        <v>124</v>
      </c>
      <c r="G632" s="1">
        <v>13279.03</v>
      </c>
      <c r="H632">
        <v>1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26558.06</v>
      </c>
    </row>
    <row r="633" spans="1:18" x14ac:dyDescent="0.3">
      <c r="A633" t="s">
        <v>1792</v>
      </c>
      <c r="B633" t="s">
        <v>1793</v>
      </c>
      <c r="C633" t="s">
        <v>18</v>
      </c>
      <c r="D633">
        <v>1</v>
      </c>
      <c r="E633">
        <v>1</v>
      </c>
      <c r="F633" t="s">
        <v>1073</v>
      </c>
      <c r="G633" s="1">
        <v>16136.44</v>
      </c>
      <c r="H633">
        <v>1</v>
      </c>
      <c r="I633">
        <v>1.6</v>
      </c>
      <c r="J633">
        <v>1</v>
      </c>
      <c r="K633">
        <v>2</v>
      </c>
      <c r="L633">
        <f t="shared" si="36"/>
        <v>4</v>
      </c>
      <c r="M633">
        <v>0</v>
      </c>
      <c r="N633">
        <v>0</v>
      </c>
      <c r="O633">
        <v>4</v>
      </c>
      <c r="P633" s="1">
        <f t="shared" si="37"/>
        <v>0</v>
      </c>
      <c r="Q633">
        <f t="shared" si="38"/>
        <v>4</v>
      </c>
      <c r="R633" s="1">
        <f t="shared" si="39"/>
        <v>64545.760000000002</v>
      </c>
    </row>
    <row r="634" spans="1:18" x14ac:dyDescent="0.3">
      <c r="A634" t="s">
        <v>1794</v>
      </c>
      <c r="B634" t="s">
        <v>1795</v>
      </c>
      <c r="C634" t="s">
        <v>18</v>
      </c>
      <c r="D634">
        <v>6</v>
      </c>
      <c r="E634">
        <v>0</v>
      </c>
      <c r="G634" s="1">
        <v>0</v>
      </c>
      <c r="H634">
        <v>4</v>
      </c>
      <c r="I634">
        <v>0.5</v>
      </c>
      <c r="J634">
        <v>1</v>
      </c>
      <c r="K634">
        <v>1</v>
      </c>
      <c r="L634">
        <f t="shared" si="36"/>
        <v>2</v>
      </c>
      <c r="M634">
        <v>0</v>
      </c>
      <c r="N634">
        <v>0</v>
      </c>
      <c r="O634">
        <v>2</v>
      </c>
      <c r="P634" s="1">
        <f t="shared" si="37"/>
        <v>0</v>
      </c>
      <c r="Q634">
        <f t="shared" si="38"/>
        <v>2</v>
      </c>
      <c r="R634" s="1">
        <f t="shared" si="39"/>
        <v>0</v>
      </c>
    </row>
    <row r="635" spans="1:18" x14ac:dyDescent="0.3">
      <c r="A635" t="s">
        <v>1796</v>
      </c>
      <c r="B635" t="s">
        <v>1797</v>
      </c>
      <c r="C635" t="s">
        <v>18</v>
      </c>
      <c r="D635">
        <v>1</v>
      </c>
      <c r="E635">
        <v>1</v>
      </c>
      <c r="F635" t="s">
        <v>1073</v>
      </c>
      <c r="G635" s="1">
        <v>26555</v>
      </c>
      <c r="H635">
        <v>1</v>
      </c>
      <c r="I635">
        <v>0.5</v>
      </c>
      <c r="J635">
        <v>1</v>
      </c>
      <c r="K635">
        <v>1</v>
      </c>
      <c r="L635">
        <f t="shared" si="36"/>
        <v>2</v>
      </c>
      <c r="M635">
        <v>0</v>
      </c>
      <c r="N635">
        <v>0</v>
      </c>
      <c r="O635">
        <v>2</v>
      </c>
      <c r="P635" s="1">
        <f t="shared" si="37"/>
        <v>0</v>
      </c>
      <c r="Q635">
        <f t="shared" si="38"/>
        <v>2</v>
      </c>
      <c r="R635" s="1">
        <f t="shared" si="39"/>
        <v>53110</v>
      </c>
    </row>
    <row r="636" spans="1:18" x14ac:dyDescent="0.3">
      <c r="A636" t="s">
        <v>1798</v>
      </c>
      <c r="B636" t="s">
        <v>1799</v>
      </c>
      <c r="C636" t="s">
        <v>18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x14ac:dyDescent="0.3">
      <c r="A637" t="s">
        <v>1800</v>
      </c>
      <c r="B637" t="s">
        <v>1801</v>
      </c>
      <c r="C637" t="s">
        <v>18</v>
      </c>
      <c r="D637">
        <v>29</v>
      </c>
      <c r="E637">
        <v>3</v>
      </c>
      <c r="F637" t="s">
        <v>124</v>
      </c>
      <c r="G637" s="1">
        <v>4018.68</v>
      </c>
      <c r="H637">
        <v>21</v>
      </c>
      <c r="I637">
        <v>0.5</v>
      </c>
      <c r="J637">
        <v>1</v>
      </c>
      <c r="K637">
        <v>1</v>
      </c>
      <c r="L637">
        <f t="shared" si="36"/>
        <v>2</v>
      </c>
      <c r="M637">
        <v>0</v>
      </c>
      <c r="N637">
        <v>0</v>
      </c>
      <c r="O637">
        <v>2</v>
      </c>
      <c r="P637" s="1">
        <f t="shared" si="37"/>
        <v>0</v>
      </c>
      <c r="Q637">
        <f t="shared" si="38"/>
        <v>2</v>
      </c>
      <c r="R637" s="1">
        <f t="shared" si="39"/>
        <v>8037.36</v>
      </c>
    </row>
    <row r="638" spans="1:18" x14ac:dyDescent="0.3">
      <c r="A638" t="s">
        <v>1802</v>
      </c>
      <c r="B638" t="s">
        <v>1803</v>
      </c>
      <c r="C638" t="s">
        <v>18</v>
      </c>
      <c r="D638">
        <v>32</v>
      </c>
      <c r="E638">
        <v>13</v>
      </c>
      <c r="F638" t="s">
        <v>124</v>
      </c>
      <c r="G638" s="1">
        <v>4018.68</v>
      </c>
      <c r="H638">
        <v>36</v>
      </c>
      <c r="I638">
        <v>0.9</v>
      </c>
      <c r="J638">
        <v>1.5</v>
      </c>
      <c r="K638">
        <v>1</v>
      </c>
      <c r="L638">
        <f t="shared" si="36"/>
        <v>3</v>
      </c>
      <c r="M638">
        <v>0</v>
      </c>
      <c r="N638">
        <v>0</v>
      </c>
      <c r="O638">
        <v>4</v>
      </c>
      <c r="P638" s="1">
        <f t="shared" si="37"/>
        <v>0</v>
      </c>
      <c r="Q638">
        <f t="shared" si="38"/>
        <v>4</v>
      </c>
      <c r="R638" s="1">
        <f t="shared" si="39"/>
        <v>16074.72</v>
      </c>
    </row>
    <row r="639" spans="1:18" x14ac:dyDescent="0.3">
      <c r="A639" t="s">
        <v>1804</v>
      </c>
      <c r="B639" t="s">
        <v>1805</v>
      </c>
      <c r="C639" t="s">
        <v>18</v>
      </c>
      <c r="D639">
        <v>1</v>
      </c>
      <c r="E639">
        <v>0</v>
      </c>
      <c r="G639" s="1">
        <v>0</v>
      </c>
      <c r="H639">
        <v>0</v>
      </c>
      <c r="I639">
        <v>0.5</v>
      </c>
      <c r="J639">
        <v>1</v>
      </c>
      <c r="K639">
        <v>1</v>
      </c>
      <c r="L639">
        <f t="shared" si="36"/>
        <v>2</v>
      </c>
      <c r="M639">
        <v>0</v>
      </c>
      <c r="N639">
        <v>0</v>
      </c>
      <c r="O639">
        <v>2</v>
      </c>
      <c r="P639" s="1">
        <f t="shared" si="37"/>
        <v>0</v>
      </c>
      <c r="Q639">
        <f t="shared" si="38"/>
        <v>2</v>
      </c>
      <c r="R639" s="1">
        <f t="shared" si="39"/>
        <v>0</v>
      </c>
    </row>
    <row r="640" spans="1:18" x14ac:dyDescent="0.3">
      <c r="A640" t="s">
        <v>1806</v>
      </c>
      <c r="B640" t="s">
        <v>1807</v>
      </c>
      <c r="C640" t="s">
        <v>18</v>
      </c>
      <c r="D640">
        <v>1</v>
      </c>
      <c r="E640">
        <v>2</v>
      </c>
      <c r="F640" t="s">
        <v>1073</v>
      </c>
      <c r="G640" s="1">
        <v>2180</v>
      </c>
      <c r="H640">
        <v>0</v>
      </c>
      <c r="I640">
        <v>0.9</v>
      </c>
      <c r="J640">
        <v>2</v>
      </c>
      <c r="K640">
        <v>2</v>
      </c>
      <c r="L640">
        <f t="shared" si="36"/>
        <v>4</v>
      </c>
      <c r="M640">
        <v>0</v>
      </c>
      <c r="N640">
        <v>0</v>
      </c>
      <c r="O640">
        <v>6</v>
      </c>
      <c r="P640" s="1">
        <f t="shared" si="37"/>
        <v>0</v>
      </c>
      <c r="Q640">
        <f t="shared" si="38"/>
        <v>6</v>
      </c>
      <c r="R640" s="1">
        <f t="shared" si="39"/>
        <v>13080</v>
      </c>
    </row>
    <row r="641" spans="1:18" x14ac:dyDescent="0.3">
      <c r="A641" t="s">
        <v>1808</v>
      </c>
      <c r="B641" t="s">
        <v>1809</v>
      </c>
      <c r="C641" t="s">
        <v>18</v>
      </c>
      <c r="D641">
        <v>25</v>
      </c>
      <c r="E641">
        <v>1</v>
      </c>
      <c r="F641" t="s">
        <v>124</v>
      </c>
      <c r="G641" s="1">
        <v>4808.7</v>
      </c>
      <c r="H641">
        <v>3</v>
      </c>
      <c r="I641">
        <v>0.5</v>
      </c>
      <c r="J641">
        <v>1</v>
      </c>
      <c r="K641">
        <v>1</v>
      </c>
      <c r="L641">
        <f t="shared" si="36"/>
        <v>2</v>
      </c>
      <c r="M641">
        <v>0</v>
      </c>
      <c r="N641">
        <v>0</v>
      </c>
      <c r="O641">
        <v>2</v>
      </c>
      <c r="P641" s="1">
        <f t="shared" si="37"/>
        <v>0</v>
      </c>
      <c r="Q641">
        <f t="shared" si="38"/>
        <v>2</v>
      </c>
      <c r="R641" s="1">
        <f t="shared" si="39"/>
        <v>9617.4</v>
      </c>
    </row>
    <row r="642" spans="1:18" x14ac:dyDescent="0.3">
      <c r="A642" t="s">
        <v>1810</v>
      </c>
      <c r="B642" t="s">
        <v>1811</v>
      </c>
      <c r="C642" t="s">
        <v>18</v>
      </c>
      <c r="D642">
        <v>3</v>
      </c>
      <c r="E642">
        <v>3</v>
      </c>
      <c r="F642" t="s">
        <v>124</v>
      </c>
      <c r="G642" s="1">
        <v>3174.33</v>
      </c>
      <c r="H642">
        <v>1</v>
      </c>
      <c r="I642">
        <v>0.5</v>
      </c>
      <c r="J642">
        <v>1</v>
      </c>
      <c r="K642">
        <v>1</v>
      </c>
      <c r="L642">
        <f t="shared" ref="L642:L705" si="40">ROUNDUP((J642*I642)+K642,0)</f>
        <v>2</v>
      </c>
      <c r="M642">
        <v>0</v>
      </c>
      <c r="N642">
        <v>0</v>
      </c>
      <c r="O642">
        <v>2</v>
      </c>
      <c r="P642" s="1">
        <f t="shared" ref="P642:P705" si="41">IFERROR(M642*G642,0)</f>
        <v>0</v>
      </c>
      <c r="Q642">
        <f t="shared" ref="Q642:Q705" si="42">IF(O642-M642-N642&gt;0,O642-M642-N642,0)</f>
        <v>2</v>
      </c>
      <c r="R642" s="1">
        <f t="shared" ref="R642:R705" si="43">IFERROR(Q642*G642,0)</f>
        <v>6348.66</v>
      </c>
    </row>
    <row r="643" spans="1:18" x14ac:dyDescent="0.3">
      <c r="A643" t="s">
        <v>1812</v>
      </c>
      <c r="B643" t="s">
        <v>1813</v>
      </c>
      <c r="C643" t="s">
        <v>18</v>
      </c>
      <c r="D643">
        <v>30</v>
      </c>
      <c r="E643">
        <v>16</v>
      </c>
      <c r="F643" t="s">
        <v>124</v>
      </c>
      <c r="G643" s="1">
        <v>4676.3100000000004</v>
      </c>
      <c r="H643">
        <v>33</v>
      </c>
      <c r="I643">
        <v>0.5</v>
      </c>
      <c r="J643">
        <v>1.5</v>
      </c>
      <c r="K643">
        <v>1</v>
      </c>
      <c r="L643">
        <f t="shared" si="40"/>
        <v>2</v>
      </c>
      <c r="M643">
        <v>0</v>
      </c>
      <c r="N643">
        <v>0</v>
      </c>
      <c r="O643">
        <v>4</v>
      </c>
      <c r="P643" s="1">
        <f t="shared" si="41"/>
        <v>0</v>
      </c>
      <c r="Q643">
        <f t="shared" si="42"/>
        <v>4</v>
      </c>
      <c r="R643" s="1">
        <f t="shared" si="43"/>
        <v>18705.240000000002</v>
      </c>
    </row>
    <row r="644" spans="1:18" x14ac:dyDescent="0.3">
      <c r="A644" t="s">
        <v>1814</v>
      </c>
      <c r="B644" t="s">
        <v>1815</v>
      </c>
      <c r="C644" t="s">
        <v>18</v>
      </c>
      <c r="D644">
        <v>33</v>
      </c>
      <c r="E644">
        <v>6</v>
      </c>
      <c r="F644" t="s">
        <v>124</v>
      </c>
      <c r="G644" s="1">
        <v>3834.39</v>
      </c>
      <c r="H644">
        <v>14</v>
      </c>
      <c r="I644">
        <v>0.7</v>
      </c>
      <c r="J644">
        <v>1</v>
      </c>
      <c r="K644">
        <v>1</v>
      </c>
      <c r="L644">
        <f t="shared" si="40"/>
        <v>2</v>
      </c>
      <c r="M644">
        <v>0</v>
      </c>
      <c r="N644">
        <v>0</v>
      </c>
      <c r="O644">
        <v>3</v>
      </c>
      <c r="P644" s="1">
        <f t="shared" si="41"/>
        <v>0</v>
      </c>
      <c r="Q644">
        <f t="shared" si="42"/>
        <v>3</v>
      </c>
      <c r="R644" s="1">
        <f t="shared" si="43"/>
        <v>11503.17</v>
      </c>
    </row>
    <row r="645" spans="1:18" x14ac:dyDescent="0.3">
      <c r="A645" t="s">
        <v>1816</v>
      </c>
      <c r="B645" t="s">
        <v>1817</v>
      </c>
      <c r="C645" t="s">
        <v>18</v>
      </c>
      <c r="D645">
        <v>14</v>
      </c>
      <c r="E645">
        <v>2</v>
      </c>
      <c r="F645" t="s">
        <v>124</v>
      </c>
      <c r="G645" s="1">
        <v>5108.3500000000004</v>
      </c>
      <c r="H645">
        <v>4</v>
      </c>
      <c r="I645">
        <v>0.5</v>
      </c>
      <c r="J645">
        <v>1</v>
      </c>
      <c r="K645">
        <v>1</v>
      </c>
      <c r="L645">
        <f t="shared" si="40"/>
        <v>2</v>
      </c>
      <c r="M645">
        <v>0</v>
      </c>
      <c r="N645">
        <v>0</v>
      </c>
      <c r="O645">
        <v>2</v>
      </c>
      <c r="P645" s="1">
        <f t="shared" si="41"/>
        <v>0</v>
      </c>
      <c r="Q645">
        <f t="shared" si="42"/>
        <v>2</v>
      </c>
      <c r="R645" s="1">
        <f t="shared" si="43"/>
        <v>10216.700000000001</v>
      </c>
    </row>
    <row r="646" spans="1:18" x14ac:dyDescent="0.3">
      <c r="A646" t="s">
        <v>1818</v>
      </c>
      <c r="B646" t="s">
        <v>1819</v>
      </c>
      <c r="C646" t="s">
        <v>18</v>
      </c>
      <c r="D646">
        <v>1</v>
      </c>
      <c r="E646">
        <v>2</v>
      </c>
      <c r="F646" t="s">
        <v>124</v>
      </c>
      <c r="G646" s="1">
        <v>5580.89</v>
      </c>
      <c r="H646">
        <v>2</v>
      </c>
      <c r="I646">
        <v>0.5</v>
      </c>
      <c r="J646">
        <v>2</v>
      </c>
      <c r="K646">
        <v>1</v>
      </c>
      <c r="L646">
        <f t="shared" si="40"/>
        <v>2</v>
      </c>
      <c r="M646">
        <v>0</v>
      </c>
      <c r="N646">
        <v>0</v>
      </c>
      <c r="O646">
        <v>5</v>
      </c>
      <c r="P646" s="1">
        <f t="shared" si="41"/>
        <v>0</v>
      </c>
      <c r="Q646">
        <f t="shared" si="42"/>
        <v>5</v>
      </c>
      <c r="R646" s="1">
        <f t="shared" si="43"/>
        <v>27904.45</v>
      </c>
    </row>
    <row r="647" spans="1:18" x14ac:dyDescent="0.3">
      <c r="A647" t="s">
        <v>1820</v>
      </c>
      <c r="B647" t="s">
        <v>1821</v>
      </c>
      <c r="C647" t="s">
        <v>18</v>
      </c>
      <c r="D647">
        <v>1</v>
      </c>
      <c r="E647">
        <v>1</v>
      </c>
      <c r="F647" t="s">
        <v>1073</v>
      </c>
      <c r="G647" s="1">
        <v>2180</v>
      </c>
      <c r="H647">
        <v>0</v>
      </c>
      <c r="I647">
        <v>1.7</v>
      </c>
      <c r="J647">
        <v>1</v>
      </c>
      <c r="K647">
        <v>2</v>
      </c>
      <c r="L647">
        <f t="shared" si="40"/>
        <v>4</v>
      </c>
      <c r="M647">
        <v>0</v>
      </c>
      <c r="N647">
        <v>0</v>
      </c>
      <c r="O647">
        <v>4</v>
      </c>
      <c r="P647" s="1">
        <f t="shared" si="41"/>
        <v>0</v>
      </c>
      <c r="Q647">
        <f t="shared" si="42"/>
        <v>4</v>
      </c>
      <c r="R647" s="1">
        <f t="shared" si="43"/>
        <v>8720</v>
      </c>
    </row>
    <row r="648" spans="1:18" x14ac:dyDescent="0.3">
      <c r="A648" t="s">
        <v>1822</v>
      </c>
      <c r="B648" t="s">
        <v>1823</v>
      </c>
      <c r="C648" t="s">
        <v>18</v>
      </c>
      <c r="D648">
        <v>1</v>
      </c>
      <c r="E648">
        <v>1</v>
      </c>
      <c r="F648" t="s">
        <v>124</v>
      </c>
      <c r="G648" s="1">
        <v>10392</v>
      </c>
      <c r="H648">
        <v>1</v>
      </c>
      <c r="I648">
        <v>0.5</v>
      </c>
      <c r="J648">
        <v>1</v>
      </c>
      <c r="K648">
        <v>1</v>
      </c>
      <c r="L648">
        <f t="shared" si="40"/>
        <v>2</v>
      </c>
      <c r="M648">
        <v>0</v>
      </c>
      <c r="N648">
        <v>0</v>
      </c>
      <c r="O648">
        <v>2</v>
      </c>
      <c r="P648" s="1">
        <f t="shared" si="41"/>
        <v>0</v>
      </c>
      <c r="Q648">
        <f t="shared" si="42"/>
        <v>2</v>
      </c>
      <c r="R648" s="1">
        <f t="shared" si="43"/>
        <v>20784</v>
      </c>
    </row>
    <row r="649" spans="1:18" x14ac:dyDescent="0.3">
      <c r="A649" t="s">
        <v>1824</v>
      </c>
      <c r="B649" t="s">
        <v>1825</v>
      </c>
      <c r="C649" t="s">
        <v>18</v>
      </c>
      <c r="D649">
        <v>31</v>
      </c>
      <c r="E649">
        <v>1</v>
      </c>
      <c r="F649" t="s">
        <v>124</v>
      </c>
      <c r="G649" s="1">
        <v>4963.5</v>
      </c>
      <c r="H649">
        <v>6</v>
      </c>
      <c r="I649">
        <v>1.7</v>
      </c>
      <c r="J649">
        <v>1</v>
      </c>
      <c r="K649">
        <v>2</v>
      </c>
      <c r="L649">
        <f t="shared" si="40"/>
        <v>4</v>
      </c>
      <c r="M649">
        <v>0</v>
      </c>
      <c r="N649">
        <v>0</v>
      </c>
      <c r="O649">
        <v>4</v>
      </c>
      <c r="P649" s="1">
        <f t="shared" si="41"/>
        <v>0</v>
      </c>
      <c r="Q649">
        <f t="shared" si="42"/>
        <v>4</v>
      </c>
      <c r="R649" s="1">
        <f t="shared" si="43"/>
        <v>19854</v>
      </c>
    </row>
    <row r="650" spans="1:18" x14ac:dyDescent="0.3">
      <c r="A650" t="s">
        <v>1826</v>
      </c>
      <c r="B650" t="s">
        <v>1827</v>
      </c>
      <c r="C650" t="s">
        <v>18</v>
      </c>
      <c r="D650">
        <v>16</v>
      </c>
      <c r="E650">
        <v>0</v>
      </c>
      <c r="G650" s="1">
        <v>0</v>
      </c>
      <c r="H650">
        <v>2</v>
      </c>
      <c r="I650">
        <v>0.5</v>
      </c>
      <c r="J650">
        <v>1</v>
      </c>
      <c r="K650">
        <v>1</v>
      </c>
      <c r="L650">
        <f t="shared" si="40"/>
        <v>2</v>
      </c>
      <c r="M650">
        <v>0</v>
      </c>
      <c r="N650">
        <v>0</v>
      </c>
      <c r="O650">
        <v>2</v>
      </c>
      <c r="P650" s="1">
        <f t="shared" si="41"/>
        <v>0</v>
      </c>
      <c r="Q650">
        <f t="shared" si="42"/>
        <v>2</v>
      </c>
      <c r="R650" s="1">
        <f t="shared" si="43"/>
        <v>0</v>
      </c>
    </row>
    <row r="651" spans="1:18" x14ac:dyDescent="0.3">
      <c r="A651" t="s">
        <v>1828</v>
      </c>
      <c r="B651" t="s">
        <v>1829</v>
      </c>
      <c r="C651" t="s">
        <v>18</v>
      </c>
      <c r="D651">
        <v>1</v>
      </c>
      <c r="E651">
        <v>1</v>
      </c>
      <c r="F651" t="s">
        <v>124</v>
      </c>
      <c r="G651" s="1">
        <v>6221.34</v>
      </c>
      <c r="H651">
        <v>1</v>
      </c>
      <c r="I651">
        <v>0.5</v>
      </c>
      <c r="J651">
        <v>1</v>
      </c>
      <c r="K651">
        <v>1</v>
      </c>
      <c r="L651">
        <f t="shared" si="40"/>
        <v>2</v>
      </c>
      <c r="M651">
        <v>0</v>
      </c>
      <c r="N651">
        <v>0</v>
      </c>
      <c r="O651">
        <v>2</v>
      </c>
      <c r="P651" s="1">
        <f t="shared" si="41"/>
        <v>0</v>
      </c>
      <c r="Q651">
        <f t="shared" si="42"/>
        <v>2</v>
      </c>
      <c r="R651" s="1">
        <f t="shared" si="43"/>
        <v>12442.68</v>
      </c>
    </row>
    <row r="652" spans="1:18" x14ac:dyDescent="0.3">
      <c r="A652" t="s">
        <v>1830</v>
      </c>
      <c r="B652" t="s">
        <v>1831</v>
      </c>
      <c r="C652" t="s">
        <v>18</v>
      </c>
      <c r="D652">
        <v>31</v>
      </c>
      <c r="E652">
        <v>0</v>
      </c>
      <c r="G652" s="1">
        <v>0</v>
      </c>
      <c r="H652">
        <v>6</v>
      </c>
      <c r="I652">
        <v>0.5</v>
      </c>
      <c r="J652">
        <v>1</v>
      </c>
      <c r="K652">
        <v>1</v>
      </c>
      <c r="L652">
        <f t="shared" si="40"/>
        <v>2</v>
      </c>
      <c r="M652">
        <v>0</v>
      </c>
      <c r="N652">
        <v>0</v>
      </c>
      <c r="O652">
        <v>2</v>
      </c>
      <c r="P652" s="1">
        <f t="shared" si="41"/>
        <v>0</v>
      </c>
      <c r="Q652">
        <f t="shared" si="42"/>
        <v>2</v>
      </c>
      <c r="R652" s="1">
        <f t="shared" si="43"/>
        <v>0</v>
      </c>
    </row>
    <row r="653" spans="1:18" x14ac:dyDescent="0.3">
      <c r="A653" t="s">
        <v>1832</v>
      </c>
      <c r="B653" t="s">
        <v>1833</v>
      </c>
      <c r="C653" t="s">
        <v>18</v>
      </c>
      <c r="D653">
        <v>19</v>
      </c>
      <c r="E653">
        <v>6</v>
      </c>
      <c r="F653" t="s">
        <v>124</v>
      </c>
      <c r="G653" s="1">
        <v>11773.24</v>
      </c>
      <c r="H653">
        <v>14</v>
      </c>
      <c r="I653">
        <v>0.5</v>
      </c>
      <c r="J653">
        <v>1</v>
      </c>
      <c r="K653">
        <v>1</v>
      </c>
      <c r="L653">
        <f t="shared" si="40"/>
        <v>2</v>
      </c>
      <c r="M653">
        <v>0</v>
      </c>
      <c r="N653">
        <v>0</v>
      </c>
      <c r="O653">
        <v>2</v>
      </c>
      <c r="P653" s="1">
        <f t="shared" si="41"/>
        <v>0</v>
      </c>
      <c r="Q653">
        <f t="shared" si="42"/>
        <v>2</v>
      </c>
      <c r="R653" s="1">
        <f t="shared" si="43"/>
        <v>23546.48</v>
      </c>
    </row>
    <row r="654" spans="1:18" x14ac:dyDescent="0.3">
      <c r="A654" t="s">
        <v>1834</v>
      </c>
      <c r="B654" t="s">
        <v>1835</v>
      </c>
      <c r="C654" t="s">
        <v>18</v>
      </c>
      <c r="D654">
        <v>1</v>
      </c>
      <c r="E654">
        <v>0</v>
      </c>
      <c r="G654" s="1">
        <v>0</v>
      </c>
      <c r="H654">
        <v>3</v>
      </c>
      <c r="I654">
        <v>0.5</v>
      </c>
      <c r="J654">
        <v>3</v>
      </c>
      <c r="K654">
        <v>2</v>
      </c>
      <c r="L654">
        <f t="shared" si="40"/>
        <v>4</v>
      </c>
      <c r="M654">
        <v>0</v>
      </c>
      <c r="N654">
        <v>0</v>
      </c>
      <c r="O654">
        <v>8</v>
      </c>
      <c r="P654" s="1">
        <f t="shared" si="41"/>
        <v>0</v>
      </c>
      <c r="Q654">
        <f t="shared" si="42"/>
        <v>8</v>
      </c>
      <c r="R654" s="1">
        <f t="shared" si="43"/>
        <v>0</v>
      </c>
    </row>
    <row r="655" spans="1:18" x14ac:dyDescent="0.3">
      <c r="A655" t="s">
        <v>1836</v>
      </c>
      <c r="B655" t="s">
        <v>1837</v>
      </c>
      <c r="C655" t="s">
        <v>18</v>
      </c>
      <c r="D655">
        <v>25</v>
      </c>
      <c r="E655">
        <v>2</v>
      </c>
      <c r="F655" t="s">
        <v>124</v>
      </c>
      <c r="G655" s="1">
        <v>10969</v>
      </c>
      <c r="H655">
        <v>6</v>
      </c>
      <c r="I655">
        <v>0.5</v>
      </c>
      <c r="J655">
        <v>1</v>
      </c>
      <c r="K655">
        <v>1</v>
      </c>
      <c r="L655">
        <f t="shared" si="40"/>
        <v>2</v>
      </c>
      <c r="M655">
        <v>0</v>
      </c>
      <c r="N655">
        <v>0</v>
      </c>
      <c r="O655">
        <v>2</v>
      </c>
      <c r="P655" s="1">
        <f t="shared" si="41"/>
        <v>0</v>
      </c>
      <c r="Q655">
        <f t="shared" si="42"/>
        <v>2</v>
      </c>
      <c r="R655" s="1">
        <f t="shared" si="43"/>
        <v>21938</v>
      </c>
    </row>
    <row r="656" spans="1:18" x14ac:dyDescent="0.3">
      <c r="A656" t="s">
        <v>1838</v>
      </c>
      <c r="B656" t="s">
        <v>1839</v>
      </c>
      <c r="C656" t="s">
        <v>18</v>
      </c>
      <c r="D656">
        <v>1</v>
      </c>
      <c r="E656">
        <v>0</v>
      </c>
      <c r="G656" s="1">
        <v>0</v>
      </c>
      <c r="H656">
        <v>0</v>
      </c>
      <c r="I656">
        <v>0.5</v>
      </c>
      <c r="J656">
        <v>1</v>
      </c>
      <c r="K656">
        <v>1</v>
      </c>
      <c r="L656">
        <f t="shared" si="40"/>
        <v>2</v>
      </c>
      <c r="M656">
        <v>0</v>
      </c>
      <c r="N656">
        <v>0</v>
      </c>
      <c r="O656">
        <v>2</v>
      </c>
      <c r="P656" s="1">
        <f t="shared" si="41"/>
        <v>0</v>
      </c>
      <c r="Q656">
        <f t="shared" si="42"/>
        <v>2</v>
      </c>
      <c r="R656" s="1">
        <f t="shared" si="43"/>
        <v>0</v>
      </c>
    </row>
    <row r="657" spans="1:18" x14ac:dyDescent="0.3">
      <c r="A657" t="s">
        <v>1840</v>
      </c>
      <c r="B657" t="s">
        <v>1841</v>
      </c>
      <c r="C657" t="s">
        <v>18</v>
      </c>
      <c r="D657">
        <v>24</v>
      </c>
      <c r="E657">
        <v>4</v>
      </c>
      <c r="F657" t="s">
        <v>124</v>
      </c>
      <c r="G657" s="1">
        <v>10607.34</v>
      </c>
      <c r="H657">
        <v>6</v>
      </c>
      <c r="I657">
        <v>0.6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3</v>
      </c>
      <c r="P657" s="1">
        <f t="shared" si="41"/>
        <v>0</v>
      </c>
      <c r="Q657">
        <f t="shared" si="42"/>
        <v>3</v>
      </c>
      <c r="R657" s="1">
        <f t="shared" si="43"/>
        <v>31822.02</v>
      </c>
    </row>
    <row r="658" spans="1:18" x14ac:dyDescent="0.3">
      <c r="A658" t="s">
        <v>1842</v>
      </c>
      <c r="B658" t="s">
        <v>1843</v>
      </c>
      <c r="C658" t="s">
        <v>18</v>
      </c>
      <c r="D658">
        <v>27</v>
      </c>
      <c r="E658">
        <v>2</v>
      </c>
      <c r="F658" t="s">
        <v>124</v>
      </c>
      <c r="G658" s="1">
        <v>7366</v>
      </c>
      <c r="H658">
        <v>7</v>
      </c>
      <c r="I658">
        <v>0.5</v>
      </c>
      <c r="J658">
        <v>1</v>
      </c>
      <c r="K658">
        <v>1</v>
      </c>
      <c r="L658">
        <f t="shared" si="40"/>
        <v>2</v>
      </c>
      <c r="M658">
        <v>0</v>
      </c>
      <c r="N658">
        <v>0</v>
      </c>
      <c r="O658">
        <v>2</v>
      </c>
      <c r="P658" s="1">
        <f t="shared" si="41"/>
        <v>0</v>
      </c>
      <c r="Q658">
        <f t="shared" si="42"/>
        <v>2</v>
      </c>
      <c r="R658" s="1">
        <f t="shared" si="43"/>
        <v>14732</v>
      </c>
    </row>
    <row r="659" spans="1:18" x14ac:dyDescent="0.3">
      <c r="A659" t="s">
        <v>1844</v>
      </c>
      <c r="B659" t="s">
        <v>1845</v>
      </c>
      <c r="C659" t="s">
        <v>18</v>
      </c>
      <c r="D659">
        <v>1</v>
      </c>
      <c r="E659">
        <v>0</v>
      </c>
      <c r="G659" s="1">
        <v>0</v>
      </c>
      <c r="H659">
        <v>0</v>
      </c>
      <c r="I659">
        <v>0.5</v>
      </c>
      <c r="J659">
        <v>1</v>
      </c>
      <c r="K659">
        <v>1</v>
      </c>
      <c r="L659">
        <f t="shared" si="40"/>
        <v>2</v>
      </c>
      <c r="M659">
        <v>0</v>
      </c>
      <c r="N659">
        <v>0</v>
      </c>
      <c r="O659">
        <v>2</v>
      </c>
      <c r="P659" s="1">
        <f t="shared" si="41"/>
        <v>0</v>
      </c>
      <c r="Q659">
        <f t="shared" si="42"/>
        <v>2</v>
      </c>
      <c r="R659" s="1">
        <f t="shared" si="43"/>
        <v>0</v>
      </c>
    </row>
    <row r="660" spans="1:18" x14ac:dyDescent="0.3">
      <c r="A660" t="s">
        <v>1846</v>
      </c>
      <c r="B660" t="s">
        <v>1847</v>
      </c>
      <c r="C660" t="s">
        <v>18</v>
      </c>
      <c r="D660">
        <v>16</v>
      </c>
      <c r="E660">
        <v>0</v>
      </c>
      <c r="G660" s="1">
        <v>0</v>
      </c>
      <c r="H660">
        <v>8</v>
      </c>
      <c r="I660">
        <v>0.5</v>
      </c>
      <c r="J660">
        <v>1</v>
      </c>
      <c r="K660">
        <v>1</v>
      </c>
      <c r="L660">
        <f t="shared" si="40"/>
        <v>2</v>
      </c>
      <c r="M660">
        <v>0</v>
      </c>
      <c r="N660">
        <v>0</v>
      </c>
      <c r="O660">
        <v>2</v>
      </c>
      <c r="P660" s="1">
        <f t="shared" si="41"/>
        <v>0</v>
      </c>
      <c r="Q660">
        <f t="shared" si="42"/>
        <v>2</v>
      </c>
      <c r="R660" s="1">
        <f t="shared" si="43"/>
        <v>0</v>
      </c>
    </row>
    <row r="661" spans="1:18" x14ac:dyDescent="0.3">
      <c r="A661" t="s">
        <v>1848</v>
      </c>
      <c r="B661" t="s">
        <v>1849</v>
      </c>
      <c r="C661" t="s">
        <v>18</v>
      </c>
      <c r="D661">
        <v>25</v>
      </c>
      <c r="E661">
        <v>4</v>
      </c>
      <c r="F661" t="s">
        <v>124</v>
      </c>
      <c r="G661" s="1">
        <v>6057.42</v>
      </c>
      <c r="H661">
        <v>5</v>
      </c>
      <c r="I661">
        <v>0.5</v>
      </c>
      <c r="J661">
        <v>1</v>
      </c>
      <c r="K661">
        <v>1</v>
      </c>
      <c r="L661">
        <f t="shared" si="40"/>
        <v>2</v>
      </c>
      <c r="M661">
        <v>0</v>
      </c>
      <c r="N661">
        <v>0</v>
      </c>
      <c r="O661">
        <v>2</v>
      </c>
      <c r="P661" s="1">
        <f t="shared" si="41"/>
        <v>0</v>
      </c>
      <c r="Q661">
        <f t="shared" si="42"/>
        <v>2</v>
      </c>
      <c r="R661" s="1">
        <f t="shared" si="43"/>
        <v>12114.84</v>
      </c>
    </row>
    <row r="662" spans="1:18" x14ac:dyDescent="0.3">
      <c r="A662" t="s">
        <v>1850</v>
      </c>
      <c r="B662" t="s">
        <v>1851</v>
      </c>
      <c r="C662" t="s">
        <v>18</v>
      </c>
      <c r="D662">
        <v>1</v>
      </c>
      <c r="E662">
        <v>1</v>
      </c>
      <c r="F662" t="s">
        <v>124</v>
      </c>
      <c r="G662" s="1">
        <v>518.94000000000005</v>
      </c>
      <c r="H662">
        <v>0</v>
      </c>
      <c r="I662">
        <v>0.5</v>
      </c>
      <c r="J662">
        <v>1</v>
      </c>
      <c r="K662">
        <v>1</v>
      </c>
      <c r="L662">
        <f t="shared" si="40"/>
        <v>2</v>
      </c>
      <c r="M662">
        <v>0</v>
      </c>
      <c r="N662">
        <v>0</v>
      </c>
      <c r="O662">
        <v>2</v>
      </c>
      <c r="P662" s="1">
        <f t="shared" si="41"/>
        <v>0</v>
      </c>
      <c r="Q662">
        <f t="shared" si="42"/>
        <v>2</v>
      </c>
      <c r="R662" s="1">
        <f t="shared" si="43"/>
        <v>1037.8800000000001</v>
      </c>
    </row>
    <row r="663" spans="1:18" x14ac:dyDescent="0.3">
      <c r="A663" t="s">
        <v>1852</v>
      </c>
      <c r="B663" t="s">
        <v>1853</v>
      </c>
      <c r="C663" t="s">
        <v>18</v>
      </c>
      <c r="D663">
        <v>25</v>
      </c>
      <c r="E663">
        <v>2</v>
      </c>
      <c r="F663" t="s">
        <v>124</v>
      </c>
      <c r="G663" s="1">
        <v>5649</v>
      </c>
      <c r="H663">
        <v>4</v>
      </c>
      <c r="I663">
        <v>0.5</v>
      </c>
      <c r="J663">
        <v>1</v>
      </c>
      <c r="K663">
        <v>1</v>
      </c>
      <c r="L663">
        <f t="shared" si="40"/>
        <v>2</v>
      </c>
      <c r="M663">
        <v>0</v>
      </c>
      <c r="N663">
        <v>0</v>
      </c>
      <c r="O663">
        <v>2</v>
      </c>
      <c r="P663" s="1">
        <f t="shared" si="41"/>
        <v>0</v>
      </c>
      <c r="Q663">
        <f t="shared" si="42"/>
        <v>2</v>
      </c>
      <c r="R663" s="1">
        <f t="shared" si="43"/>
        <v>11298</v>
      </c>
    </row>
    <row r="664" spans="1:18" x14ac:dyDescent="0.3">
      <c r="A664" t="s">
        <v>1854</v>
      </c>
      <c r="B664" t="s">
        <v>1855</v>
      </c>
      <c r="C664" t="s">
        <v>18</v>
      </c>
      <c r="D664">
        <v>1</v>
      </c>
      <c r="E664">
        <v>0</v>
      </c>
      <c r="G664" s="1">
        <v>0</v>
      </c>
      <c r="H664">
        <v>0</v>
      </c>
      <c r="I664">
        <v>0.5</v>
      </c>
      <c r="J664">
        <v>1</v>
      </c>
      <c r="K664">
        <v>1</v>
      </c>
      <c r="L664">
        <f t="shared" si="40"/>
        <v>2</v>
      </c>
      <c r="M664">
        <v>0</v>
      </c>
      <c r="N664">
        <v>0</v>
      </c>
      <c r="O664">
        <v>2</v>
      </c>
      <c r="P664" s="1">
        <f t="shared" si="41"/>
        <v>0</v>
      </c>
      <c r="Q664">
        <f t="shared" si="42"/>
        <v>2</v>
      </c>
      <c r="R664" s="1">
        <f t="shared" si="43"/>
        <v>0</v>
      </c>
    </row>
    <row r="665" spans="1:18" x14ac:dyDescent="0.3">
      <c r="A665" t="s">
        <v>1856</v>
      </c>
      <c r="B665" t="s">
        <v>1857</v>
      </c>
      <c r="C665" t="s">
        <v>18</v>
      </c>
      <c r="D665">
        <v>18</v>
      </c>
      <c r="E665">
        <v>8</v>
      </c>
      <c r="F665" t="s">
        <v>124</v>
      </c>
      <c r="G665" s="1">
        <v>6230.54</v>
      </c>
      <c r="H665">
        <v>7</v>
      </c>
      <c r="I665">
        <v>0.5</v>
      </c>
      <c r="J665">
        <v>1</v>
      </c>
      <c r="K665">
        <v>1</v>
      </c>
      <c r="L665">
        <f t="shared" si="40"/>
        <v>2</v>
      </c>
      <c r="M665">
        <v>0</v>
      </c>
      <c r="N665">
        <v>0</v>
      </c>
      <c r="O665">
        <v>2</v>
      </c>
      <c r="P665" s="1">
        <f t="shared" si="41"/>
        <v>0</v>
      </c>
      <c r="Q665">
        <f t="shared" si="42"/>
        <v>2</v>
      </c>
      <c r="R665" s="1">
        <f t="shared" si="43"/>
        <v>12461.08</v>
      </c>
    </row>
    <row r="666" spans="1:18" x14ac:dyDescent="0.3">
      <c r="A666" t="s">
        <v>1858</v>
      </c>
      <c r="B666" t="s">
        <v>1859</v>
      </c>
      <c r="C666" t="s">
        <v>18</v>
      </c>
      <c r="D666">
        <v>1</v>
      </c>
      <c r="E666">
        <v>1</v>
      </c>
      <c r="F666" t="s">
        <v>1073</v>
      </c>
      <c r="G666" s="1">
        <v>6395</v>
      </c>
      <c r="H666">
        <v>0</v>
      </c>
      <c r="I666">
        <v>0.5</v>
      </c>
      <c r="J666">
        <v>1</v>
      </c>
      <c r="K666">
        <v>1</v>
      </c>
      <c r="L666">
        <f t="shared" si="40"/>
        <v>2</v>
      </c>
      <c r="M666">
        <v>0</v>
      </c>
      <c r="N666">
        <v>0</v>
      </c>
      <c r="O666">
        <v>2</v>
      </c>
      <c r="P666" s="1">
        <f t="shared" si="41"/>
        <v>0</v>
      </c>
      <c r="Q666">
        <f t="shared" si="42"/>
        <v>2</v>
      </c>
      <c r="R666" s="1">
        <f t="shared" si="43"/>
        <v>12790</v>
      </c>
    </row>
    <row r="667" spans="1:18" x14ac:dyDescent="0.3">
      <c r="A667" t="s">
        <v>1860</v>
      </c>
      <c r="B667" t="s">
        <v>1861</v>
      </c>
      <c r="C667" t="s">
        <v>18</v>
      </c>
      <c r="D667">
        <v>6</v>
      </c>
      <c r="E667">
        <v>3</v>
      </c>
      <c r="F667" t="s">
        <v>1073</v>
      </c>
      <c r="G667" s="1">
        <v>7194.67</v>
      </c>
      <c r="H667">
        <v>4</v>
      </c>
      <c r="I667">
        <v>0.5</v>
      </c>
      <c r="J667">
        <v>1</v>
      </c>
      <c r="K667">
        <v>1</v>
      </c>
      <c r="L667">
        <f t="shared" si="40"/>
        <v>2</v>
      </c>
      <c r="M667">
        <v>0</v>
      </c>
      <c r="N667">
        <v>0</v>
      </c>
      <c r="O667">
        <v>2</v>
      </c>
      <c r="P667" s="1">
        <f t="shared" si="41"/>
        <v>0</v>
      </c>
      <c r="Q667">
        <f t="shared" si="42"/>
        <v>2</v>
      </c>
      <c r="R667" s="1">
        <f t="shared" si="43"/>
        <v>14389.34</v>
      </c>
    </row>
    <row r="668" spans="1:18" x14ac:dyDescent="0.3">
      <c r="A668" t="s">
        <v>1862</v>
      </c>
      <c r="B668" t="s">
        <v>1863</v>
      </c>
      <c r="C668" t="s">
        <v>18</v>
      </c>
      <c r="D668">
        <v>20</v>
      </c>
      <c r="E668">
        <v>1</v>
      </c>
      <c r="F668" t="s">
        <v>124</v>
      </c>
      <c r="G668" s="1">
        <v>7167.96</v>
      </c>
      <c r="H668">
        <v>6</v>
      </c>
      <c r="I668">
        <v>0.5</v>
      </c>
      <c r="J668">
        <v>1</v>
      </c>
      <c r="K668">
        <v>1</v>
      </c>
      <c r="L668">
        <f t="shared" si="40"/>
        <v>2</v>
      </c>
      <c r="M668">
        <v>0</v>
      </c>
      <c r="N668">
        <v>0</v>
      </c>
      <c r="O668">
        <v>2</v>
      </c>
      <c r="P668" s="1">
        <f t="shared" si="41"/>
        <v>0</v>
      </c>
      <c r="Q668">
        <f t="shared" si="42"/>
        <v>2</v>
      </c>
      <c r="R668" s="1">
        <f t="shared" si="43"/>
        <v>14335.92</v>
      </c>
    </row>
    <row r="669" spans="1:18" x14ac:dyDescent="0.3">
      <c r="A669" t="s">
        <v>1864</v>
      </c>
      <c r="B669" t="s">
        <v>1865</v>
      </c>
      <c r="C669" t="s">
        <v>18</v>
      </c>
      <c r="D669">
        <v>16</v>
      </c>
      <c r="E669">
        <v>10</v>
      </c>
      <c r="F669" t="s">
        <v>1866</v>
      </c>
      <c r="G669" s="1">
        <v>7876.05</v>
      </c>
      <c r="H669">
        <v>10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15752.1</v>
      </c>
    </row>
    <row r="670" spans="1:18" x14ac:dyDescent="0.3">
      <c r="A670" t="s">
        <v>1867</v>
      </c>
      <c r="B670" t="s">
        <v>1868</v>
      </c>
      <c r="C670" t="s">
        <v>18</v>
      </c>
      <c r="D670">
        <v>18</v>
      </c>
      <c r="E670">
        <v>9</v>
      </c>
      <c r="F670" t="s">
        <v>1073</v>
      </c>
      <c r="G670" s="1">
        <v>2597.6</v>
      </c>
      <c r="H670">
        <v>4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5195.2</v>
      </c>
    </row>
    <row r="671" spans="1:18" x14ac:dyDescent="0.3">
      <c r="A671" t="s">
        <v>1869</v>
      </c>
      <c r="B671" t="s">
        <v>1870</v>
      </c>
      <c r="C671" t="s">
        <v>18</v>
      </c>
      <c r="D671">
        <v>1</v>
      </c>
      <c r="E671">
        <v>0</v>
      </c>
      <c r="G671" s="1">
        <v>0</v>
      </c>
      <c r="H671">
        <v>1</v>
      </c>
      <c r="I671">
        <v>0.5</v>
      </c>
      <c r="J671">
        <v>1</v>
      </c>
      <c r="K671">
        <v>1</v>
      </c>
      <c r="L671">
        <f t="shared" si="40"/>
        <v>2</v>
      </c>
      <c r="M671">
        <v>0</v>
      </c>
      <c r="N671">
        <v>0</v>
      </c>
      <c r="O671">
        <v>2</v>
      </c>
      <c r="P671" s="1">
        <f t="shared" si="41"/>
        <v>0</v>
      </c>
      <c r="Q671">
        <f t="shared" si="42"/>
        <v>2</v>
      </c>
      <c r="R671" s="1">
        <f t="shared" si="43"/>
        <v>0</v>
      </c>
    </row>
    <row r="672" spans="1:18" x14ac:dyDescent="0.3">
      <c r="A672" t="s">
        <v>1871</v>
      </c>
      <c r="B672" t="s">
        <v>1872</v>
      </c>
      <c r="C672" t="s">
        <v>18</v>
      </c>
      <c r="D672">
        <v>7</v>
      </c>
      <c r="E672">
        <v>1</v>
      </c>
      <c r="F672" t="s">
        <v>1073</v>
      </c>
      <c r="G672" s="1">
        <v>2770</v>
      </c>
      <c r="H672">
        <v>3</v>
      </c>
      <c r="I672">
        <v>0.5</v>
      </c>
      <c r="J672">
        <v>1</v>
      </c>
      <c r="K672">
        <v>1</v>
      </c>
      <c r="L672">
        <f t="shared" si="40"/>
        <v>2</v>
      </c>
      <c r="M672">
        <v>0</v>
      </c>
      <c r="N672">
        <v>0</v>
      </c>
      <c r="O672">
        <v>2</v>
      </c>
      <c r="P672" s="1">
        <f t="shared" si="41"/>
        <v>0</v>
      </c>
      <c r="Q672">
        <f t="shared" si="42"/>
        <v>2</v>
      </c>
      <c r="R672" s="1">
        <f t="shared" si="43"/>
        <v>5540</v>
      </c>
    </row>
    <row r="673" spans="1:18" x14ac:dyDescent="0.3">
      <c r="A673" t="s">
        <v>1873</v>
      </c>
      <c r="B673" t="s">
        <v>1874</v>
      </c>
      <c r="C673" t="s">
        <v>18</v>
      </c>
      <c r="D673">
        <v>2</v>
      </c>
      <c r="E673">
        <v>1</v>
      </c>
      <c r="F673" t="s">
        <v>1073</v>
      </c>
      <c r="G673" s="1">
        <v>6943.86</v>
      </c>
      <c r="H673">
        <v>1</v>
      </c>
      <c r="I673">
        <v>1.1000000000000001</v>
      </c>
      <c r="J673">
        <v>1</v>
      </c>
      <c r="K673">
        <v>1</v>
      </c>
      <c r="L673">
        <f t="shared" si="40"/>
        <v>3</v>
      </c>
      <c r="M673">
        <v>0</v>
      </c>
      <c r="N673">
        <v>0</v>
      </c>
      <c r="O673">
        <v>3</v>
      </c>
      <c r="P673" s="1">
        <f t="shared" si="41"/>
        <v>0</v>
      </c>
      <c r="Q673">
        <f t="shared" si="42"/>
        <v>3</v>
      </c>
      <c r="R673" s="1">
        <f t="shared" si="43"/>
        <v>20831.579999999998</v>
      </c>
    </row>
    <row r="674" spans="1:18" x14ac:dyDescent="0.3">
      <c r="A674" t="s">
        <v>1875</v>
      </c>
      <c r="B674" t="s">
        <v>1876</v>
      </c>
      <c r="C674" t="s">
        <v>18</v>
      </c>
      <c r="D674">
        <v>8</v>
      </c>
      <c r="E674">
        <v>0</v>
      </c>
      <c r="G674" s="1">
        <v>0</v>
      </c>
      <c r="H674">
        <v>2</v>
      </c>
      <c r="I674">
        <v>0.5</v>
      </c>
      <c r="J674">
        <v>1</v>
      </c>
      <c r="K674">
        <v>1</v>
      </c>
      <c r="L674">
        <f t="shared" si="40"/>
        <v>2</v>
      </c>
      <c r="M674">
        <v>0</v>
      </c>
      <c r="N674">
        <v>0</v>
      </c>
      <c r="O674">
        <v>2</v>
      </c>
      <c r="P674" s="1">
        <f t="shared" si="41"/>
        <v>0</v>
      </c>
      <c r="Q674">
        <f t="shared" si="42"/>
        <v>2</v>
      </c>
      <c r="R674" s="1">
        <f t="shared" si="43"/>
        <v>0</v>
      </c>
    </row>
    <row r="675" spans="1:18" x14ac:dyDescent="0.3">
      <c r="A675" t="s">
        <v>1877</v>
      </c>
      <c r="B675" t="s">
        <v>1878</v>
      </c>
      <c r="C675" t="s">
        <v>18</v>
      </c>
      <c r="D675">
        <v>1</v>
      </c>
      <c r="E675">
        <v>0</v>
      </c>
      <c r="G675" s="1">
        <v>0</v>
      </c>
      <c r="H675">
        <v>1</v>
      </c>
      <c r="I675">
        <v>0.5</v>
      </c>
      <c r="J675">
        <v>1</v>
      </c>
      <c r="K675">
        <v>1</v>
      </c>
      <c r="L675">
        <f t="shared" si="40"/>
        <v>2</v>
      </c>
      <c r="M675">
        <v>0</v>
      </c>
      <c r="N675">
        <v>0</v>
      </c>
      <c r="O675">
        <v>2</v>
      </c>
      <c r="P675" s="1">
        <f t="shared" si="41"/>
        <v>0</v>
      </c>
      <c r="Q675">
        <f t="shared" si="42"/>
        <v>2</v>
      </c>
      <c r="R675" s="1">
        <f t="shared" si="43"/>
        <v>0</v>
      </c>
    </row>
    <row r="676" spans="1:18" x14ac:dyDescent="0.3">
      <c r="A676" t="s">
        <v>1879</v>
      </c>
      <c r="B676" t="s">
        <v>1880</v>
      </c>
      <c r="C676" t="s">
        <v>18</v>
      </c>
      <c r="D676">
        <v>1</v>
      </c>
      <c r="E676">
        <v>0</v>
      </c>
      <c r="G676" s="1">
        <v>0</v>
      </c>
      <c r="H676">
        <v>0</v>
      </c>
      <c r="I676">
        <v>0.5</v>
      </c>
      <c r="J676">
        <v>1</v>
      </c>
      <c r="K676">
        <v>1</v>
      </c>
      <c r="L676">
        <f t="shared" si="40"/>
        <v>2</v>
      </c>
      <c r="M676">
        <v>0</v>
      </c>
      <c r="N676">
        <v>0</v>
      </c>
      <c r="O676">
        <v>2</v>
      </c>
      <c r="P676" s="1">
        <f t="shared" si="41"/>
        <v>0</v>
      </c>
      <c r="Q676">
        <f t="shared" si="42"/>
        <v>2</v>
      </c>
      <c r="R676" s="1">
        <f t="shared" si="43"/>
        <v>0</v>
      </c>
    </row>
    <row r="677" spans="1:18" x14ac:dyDescent="0.3">
      <c r="A677" t="s">
        <v>1881</v>
      </c>
      <c r="B677" t="s">
        <v>1882</v>
      </c>
      <c r="C677" t="s">
        <v>18</v>
      </c>
      <c r="D677">
        <v>31</v>
      </c>
      <c r="E677">
        <v>6</v>
      </c>
      <c r="F677" t="s">
        <v>124</v>
      </c>
      <c r="G677" s="1">
        <v>8466.2900000000009</v>
      </c>
      <c r="H677">
        <v>21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16932.580000000002</v>
      </c>
    </row>
    <row r="678" spans="1:18" x14ac:dyDescent="0.3">
      <c r="A678" t="s">
        <v>1883</v>
      </c>
      <c r="B678" t="s">
        <v>1884</v>
      </c>
      <c r="C678" t="s">
        <v>18</v>
      </c>
      <c r="D678">
        <v>21</v>
      </c>
      <c r="E678">
        <v>1</v>
      </c>
      <c r="F678" t="s">
        <v>1073</v>
      </c>
      <c r="G678" s="1">
        <v>7314.9</v>
      </c>
      <c r="H678">
        <v>8</v>
      </c>
      <c r="I678">
        <v>0.5</v>
      </c>
      <c r="J678">
        <v>1</v>
      </c>
      <c r="K678">
        <v>1</v>
      </c>
      <c r="L678">
        <f t="shared" si="40"/>
        <v>2</v>
      </c>
      <c r="M678">
        <v>0</v>
      </c>
      <c r="N678">
        <v>0</v>
      </c>
      <c r="O678">
        <v>2</v>
      </c>
      <c r="P678" s="1">
        <f t="shared" si="41"/>
        <v>0</v>
      </c>
      <c r="Q678">
        <f t="shared" si="42"/>
        <v>2</v>
      </c>
      <c r="R678" s="1">
        <f t="shared" si="43"/>
        <v>14629.8</v>
      </c>
    </row>
    <row r="679" spans="1:18" x14ac:dyDescent="0.3">
      <c r="A679" t="s">
        <v>1885</v>
      </c>
      <c r="B679" t="s">
        <v>1886</v>
      </c>
      <c r="C679" t="s">
        <v>18</v>
      </c>
      <c r="D679">
        <v>6</v>
      </c>
      <c r="E679">
        <v>0</v>
      </c>
      <c r="G679" s="1">
        <v>0</v>
      </c>
      <c r="H679">
        <v>4</v>
      </c>
      <c r="I679">
        <v>0.5</v>
      </c>
      <c r="J679">
        <v>1</v>
      </c>
      <c r="K679">
        <v>1</v>
      </c>
      <c r="L679">
        <f t="shared" si="40"/>
        <v>2</v>
      </c>
      <c r="M679">
        <v>0</v>
      </c>
      <c r="N679">
        <v>0</v>
      </c>
      <c r="O679">
        <v>2</v>
      </c>
      <c r="P679" s="1">
        <f t="shared" si="41"/>
        <v>0</v>
      </c>
      <c r="Q679">
        <f t="shared" si="42"/>
        <v>2</v>
      </c>
      <c r="R679" s="1">
        <f t="shared" si="43"/>
        <v>0</v>
      </c>
    </row>
    <row r="680" spans="1:18" x14ac:dyDescent="0.3">
      <c r="A680" t="s">
        <v>1887</v>
      </c>
      <c r="B680" t="s">
        <v>1888</v>
      </c>
      <c r="C680" t="s">
        <v>18</v>
      </c>
      <c r="D680">
        <v>10</v>
      </c>
      <c r="E680">
        <v>0</v>
      </c>
      <c r="G680" s="1">
        <v>0</v>
      </c>
      <c r="H680">
        <v>3</v>
      </c>
      <c r="I680">
        <v>0.5</v>
      </c>
      <c r="J680">
        <v>1</v>
      </c>
      <c r="K680">
        <v>1</v>
      </c>
      <c r="L680">
        <f t="shared" si="40"/>
        <v>2</v>
      </c>
      <c r="M680">
        <v>0</v>
      </c>
      <c r="N680">
        <v>0</v>
      </c>
      <c r="O680">
        <v>2</v>
      </c>
      <c r="P680" s="1">
        <f t="shared" si="41"/>
        <v>0</v>
      </c>
      <c r="Q680">
        <f t="shared" si="42"/>
        <v>2</v>
      </c>
      <c r="R680" s="1">
        <f t="shared" si="43"/>
        <v>0</v>
      </c>
    </row>
    <row r="681" spans="1:18" x14ac:dyDescent="0.3">
      <c r="A681" t="s">
        <v>1889</v>
      </c>
      <c r="B681" t="s">
        <v>1890</v>
      </c>
      <c r="C681" t="s">
        <v>18</v>
      </c>
      <c r="D681">
        <v>15</v>
      </c>
      <c r="E681">
        <v>2</v>
      </c>
      <c r="F681" t="s">
        <v>1073</v>
      </c>
      <c r="G681" s="1">
        <v>2908</v>
      </c>
      <c r="H681">
        <v>2</v>
      </c>
      <c r="I681">
        <v>0.5</v>
      </c>
      <c r="J681">
        <v>1</v>
      </c>
      <c r="K681">
        <v>1</v>
      </c>
      <c r="L681">
        <f t="shared" si="40"/>
        <v>2</v>
      </c>
      <c r="M681">
        <v>0</v>
      </c>
      <c r="N681">
        <v>0</v>
      </c>
      <c r="O681">
        <v>2</v>
      </c>
      <c r="P681" s="1">
        <f t="shared" si="41"/>
        <v>0</v>
      </c>
      <c r="Q681">
        <f t="shared" si="42"/>
        <v>2</v>
      </c>
      <c r="R681" s="1">
        <f t="shared" si="43"/>
        <v>5816</v>
      </c>
    </row>
    <row r="682" spans="1:18" x14ac:dyDescent="0.3">
      <c r="A682" t="s">
        <v>1891</v>
      </c>
      <c r="B682" t="s">
        <v>1892</v>
      </c>
      <c r="C682" t="s">
        <v>18</v>
      </c>
      <c r="D682">
        <v>32</v>
      </c>
      <c r="E682">
        <v>4</v>
      </c>
      <c r="F682" t="s">
        <v>124</v>
      </c>
      <c r="G682" s="1">
        <v>11339.2</v>
      </c>
      <c r="H682">
        <v>10</v>
      </c>
      <c r="I682">
        <v>0.7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3</v>
      </c>
      <c r="P682" s="1">
        <f t="shared" si="41"/>
        <v>0</v>
      </c>
      <c r="Q682">
        <f t="shared" si="42"/>
        <v>3</v>
      </c>
      <c r="R682" s="1">
        <f t="shared" si="43"/>
        <v>34017.600000000006</v>
      </c>
    </row>
    <row r="683" spans="1:18" x14ac:dyDescent="0.3">
      <c r="A683" t="s">
        <v>1893</v>
      </c>
      <c r="B683" t="s">
        <v>1894</v>
      </c>
      <c r="C683" t="s">
        <v>18</v>
      </c>
      <c r="D683">
        <v>1</v>
      </c>
      <c r="E683">
        <v>0</v>
      </c>
      <c r="G683" s="1">
        <v>0</v>
      </c>
      <c r="H683">
        <v>1</v>
      </c>
      <c r="I683">
        <v>0.5</v>
      </c>
      <c r="J683">
        <v>1</v>
      </c>
      <c r="K683">
        <v>1</v>
      </c>
      <c r="L683">
        <f t="shared" si="40"/>
        <v>2</v>
      </c>
      <c r="M683">
        <v>0</v>
      </c>
      <c r="N683">
        <v>0</v>
      </c>
      <c r="O683">
        <v>2</v>
      </c>
      <c r="P683" s="1">
        <f t="shared" si="41"/>
        <v>0</v>
      </c>
      <c r="Q683">
        <f t="shared" si="42"/>
        <v>2</v>
      </c>
      <c r="R683" s="1">
        <f t="shared" si="43"/>
        <v>0</v>
      </c>
    </row>
    <row r="684" spans="1:18" x14ac:dyDescent="0.3">
      <c r="A684" t="s">
        <v>1895</v>
      </c>
      <c r="B684" t="s">
        <v>1896</v>
      </c>
      <c r="C684" t="s">
        <v>18</v>
      </c>
      <c r="D684">
        <v>1</v>
      </c>
      <c r="E684">
        <v>0</v>
      </c>
      <c r="G684" s="1">
        <v>0</v>
      </c>
      <c r="H684">
        <v>0</v>
      </c>
      <c r="I684">
        <v>0.5</v>
      </c>
      <c r="J684">
        <v>1</v>
      </c>
      <c r="K684">
        <v>1</v>
      </c>
      <c r="L684">
        <f t="shared" si="40"/>
        <v>2</v>
      </c>
      <c r="M684">
        <v>0</v>
      </c>
      <c r="N684">
        <v>0</v>
      </c>
      <c r="O684">
        <v>2</v>
      </c>
      <c r="P684" s="1">
        <f t="shared" si="41"/>
        <v>0</v>
      </c>
      <c r="Q684">
        <f t="shared" si="42"/>
        <v>2</v>
      </c>
      <c r="R684" s="1">
        <f t="shared" si="43"/>
        <v>0</v>
      </c>
    </row>
    <row r="685" spans="1:18" x14ac:dyDescent="0.3">
      <c r="A685" t="s">
        <v>1897</v>
      </c>
      <c r="B685" t="s">
        <v>1898</v>
      </c>
      <c r="C685" t="s">
        <v>18</v>
      </c>
      <c r="D685">
        <v>1</v>
      </c>
      <c r="E685">
        <v>1</v>
      </c>
      <c r="F685" t="s">
        <v>1073</v>
      </c>
      <c r="G685" s="1">
        <v>6492.37</v>
      </c>
      <c r="H685">
        <v>1</v>
      </c>
      <c r="I685">
        <v>2</v>
      </c>
      <c r="J685">
        <v>1</v>
      </c>
      <c r="K685">
        <v>2</v>
      </c>
      <c r="L685">
        <f t="shared" si="40"/>
        <v>4</v>
      </c>
      <c r="M685">
        <v>0</v>
      </c>
      <c r="N685">
        <v>0</v>
      </c>
      <c r="O685">
        <v>4</v>
      </c>
      <c r="P685" s="1">
        <f t="shared" si="41"/>
        <v>0</v>
      </c>
      <c r="Q685">
        <f t="shared" si="42"/>
        <v>4</v>
      </c>
      <c r="R685" s="1">
        <f t="shared" si="43"/>
        <v>25969.48</v>
      </c>
    </row>
    <row r="686" spans="1:18" x14ac:dyDescent="0.3">
      <c r="A686" t="s">
        <v>1899</v>
      </c>
      <c r="B686" t="s">
        <v>1900</v>
      </c>
      <c r="C686" t="s">
        <v>18</v>
      </c>
      <c r="D686">
        <v>20</v>
      </c>
      <c r="E686">
        <v>0</v>
      </c>
      <c r="G686" s="1">
        <v>0</v>
      </c>
      <c r="H686">
        <v>4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x14ac:dyDescent="0.3">
      <c r="A687" t="s">
        <v>1901</v>
      </c>
      <c r="B687" t="s">
        <v>1902</v>
      </c>
      <c r="C687" t="s">
        <v>18</v>
      </c>
      <c r="D687">
        <v>1</v>
      </c>
      <c r="E687">
        <v>0</v>
      </c>
      <c r="G687" s="1">
        <v>0</v>
      </c>
      <c r="H687">
        <v>0</v>
      </c>
      <c r="I687">
        <v>0.5</v>
      </c>
      <c r="J687">
        <v>1</v>
      </c>
      <c r="K687">
        <v>1</v>
      </c>
      <c r="L687">
        <f t="shared" si="40"/>
        <v>2</v>
      </c>
      <c r="M687">
        <v>0</v>
      </c>
      <c r="N687">
        <v>0</v>
      </c>
      <c r="O687">
        <v>2</v>
      </c>
      <c r="P687" s="1">
        <f t="shared" si="41"/>
        <v>0</v>
      </c>
      <c r="Q687">
        <f t="shared" si="42"/>
        <v>2</v>
      </c>
      <c r="R687" s="1">
        <f t="shared" si="43"/>
        <v>0</v>
      </c>
    </row>
    <row r="688" spans="1:18" x14ac:dyDescent="0.3">
      <c r="A688" t="s">
        <v>1903</v>
      </c>
      <c r="B688" t="s">
        <v>1904</v>
      </c>
      <c r="C688" t="s">
        <v>18</v>
      </c>
      <c r="D688">
        <v>8</v>
      </c>
      <c r="E688">
        <v>2</v>
      </c>
      <c r="F688" t="s">
        <v>1073</v>
      </c>
      <c r="G688" s="1">
        <v>14506</v>
      </c>
      <c r="H688">
        <v>8</v>
      </c>
      <c r="I688">
        <v>1.4</v>
      </c>
      <c r="J688">
        <v>1</v>
      </c>
      <c r="K688">
        <v>1</v>
      </c>
      <c r="L688">
        <f t="shared" si="40"/>
        <v>3</v>
      </c>
      <c r="M688">
        <v>0</v>
      </c>
      <c r="N688">
        <v>0</v>
      </c>
      <c r="O688">
        <v>3</v>
      </c>
      <c r="P688" s="1">
        <f t="shared" si="41"/>
        <v>0</v>
      </c>
      <c r="Q688">
        <f t="shared" si="42"/>
        <v>3</v>
      </c>
      <c r="R688" s="1">
        <f t="shared" si="43"/>
        <v>43518</v>
      </c>
    </row>
    <row r="689" spans="1:18" x14ac:dyDescent="0.3">
      <c r="A689" t="s">
        <v>1905</v>
      </c>
      <c r="B689" t="s">
        <v>1906</v>
      </c>
      <c r="C689" t="s">
        <v>18</v>
      </c>
      <c r="D689">
        <v>1</v>
      </c>
      <c r="E689">
        <v>0</v>
      </c>
      <c r="G689" s="1">
        <v>0</v>
      </c>
      <c r="H689">
        <v>0</v>
      </c>
      <c r="I689">
        <v>0.5</v>
      </c>
      <c r="J689">
        <v>1</v>
      </c>
      <c r="K689">
        <v>1</v>
      </c>
      <c r="L689">
        <f t="shared" si="40"/>
        <v>2</v>
      </c>
      <c r="M689">
        <v>0</v>
      </c>
      <c r="N689">
        <v>0</v>
      </c>
      <c r="O689">
        <v>2</v>
      </c>
      <c r="P689" s="1">
        <f t="shared" si="41"/>
        <v>0</v>
      </c>
      <c r="Q689">
        <f t="shared" si="42"/>
        <v>2</v>
      </c>
      <c r="R689" s="1">
        <f t="shared" si="43"/>
        <v>0</v>
      </c>
    </row>
    <row r="690" spans="1:18" x14ac:dyDescent="0.3">
      <c r="A690" t="s">
        <v>1907</v>
      </c>
      <c r="B690" t="s">
        <v>1908</v>
      </c>
      <c r="C690" t="s">
        <v>18</v>
      </c>
      <c r="D690">
        <v>16</v>
      </c>
      <c r="E690">
        <v>2</v>
      </c>
      <c r="F690" t="s">
        <v>124</v>
      </c>
      <c r="G690" s="1">
        <v>9384.52</v>
      </c>
      <c r="H690">
        <v>7</v>
      </c>
      <c r="I690">
        <v>1.5</v>
      </c>
      <c r="J690">
        <v>1</v>
      </c>
      <c r="K690">
        <v>2</v>
      </c>
      <c r="L690">
        <f t="shared" si="40"/>
        <v>4</v>
      </c>
      <c r="M690">
        <v>0</v>
      </c>
      <c r="N690">
        <v>0</v>
      </c>
      <c r="O690">
        <v>4</v>
      </c>
      <c r="P690" s="1">
        <f t="shared" si="41"/>
        <v>0</v>
      </c>
      <c r="Q690">
        <f t="shared" si="42"/>
        <v>4</v>
      </c>
      <c r="R690" s="1">
        <f t="shared" si="43"/>
        <v>37538.080000000002</v>
      </c>
    </row>
    <row r="691" spans="1:18" x14ac:dyDescent="0.3">
      <c r="A691" t="s">
        <v>1909</v>
      </c>
      <c r="B691" t="s">
        <v>1910</v>
      </c>
      <c r="C691" t="s">
        <v>18</v>
      </c>
      <c r="D691">
        <v>1</v>
      </c>
      <c r="E691">
        <v>0</v>
      </c>
      <c r="G691" s="1">
        <v>0</v>
      </c>
      <c r="H691">
        <v>0</v>
      </c>
      <c r="I691">
        <v>0.5</v>
      </c>
      <c r="J691">
        <v>1</v>
      </c>
      <c r="K691">
        <v>1</v>
      </c>
      <c r="L691">
        <f t="shared" si="40"/>
        <v>2</v>
      </c>
      <c r="M691">
        <v>0</v>
      </c>
      <c r="N691">
        <v>0</v>
      </c>
      <c r="O691">
        <v>2</v>
      </c>
      <c r="P691" s="1">
        <f t="shared" si="41"/>
        <v>0</v>
      </c>
      <c r="Q691">
        <f t="shared" si="42"/>
        <v>2</v>
      </c>
      <c r="R691" s="1">
        <f t="shared" si="43"/>
        <v>0</v>
      </c>
    </row>
    <row r="692" spans="1:18" x14ac:dyDescent="0.3">
      <c r="A692" t="s">
        <v>1911</v>
      </c>
      <c r="B692" t="s">
        <v>1912</v>
      </c>
      <c r="C692" t="s">
        <v>18</v>
      </c>
      <c r="D692">
        <v>3</v>
      </c>
      <c r="E692">
        <v>0</v>
      </c>
      <c r="G692" s="1">
        <v>0</v>
      </c>
      <c r="H692">
        <v>2</v>
      </c>
      <c r="I692">
        <v>0.5</v>
      </c>
      <c r="J692">
        <v>1</v>
      </c>
      <c r="K692">
        <v>1</v>
      </c>
      <c r="L692">
        <f t="shared" si="40"/>
        <v>2</v>
      </c>
      <c r="M692">
        <v>0</v>
      </c>
      <c r="N692">
        <v>0</v>
      </c>
      <c r="O692">
        <v>2</v>
      </c>
      <c r="P692" s="1">
        <f t="shared" si="41"/>
        <v>0</v>
      </c>
      <c r="Q692">
        <f t="shared" si="42"/>
        <v>2</v>
      </c>
      <c r="R692" s="1">
        <f t="shared" si="43"/>
        <v>0</v>
      </c>
    </row>
    <row r="693" spans="1:18" x14ac:dyDescent="0.3">
      <c r="A693" t="s">
        <v>1913</v>
      </c>
      <c r="B693" t="s">
        <v>1914</v>
      </c>
      <c r="C693" t="s">
        <v>18</v>
      </c>
      <c r="D693">
        <v>1</v>
      </c>
      <c r="E693">
        <v>0</v>
      </c>
      <c r="G693" s="1">
        <v>0</v>
      </c>
      <c r="H693">
        <v>0</v>
      </c>
      <c r="I693">
        <v>0.5</v>
      </c>
      <c r="J693">
        <v>1</v>
      </c>
      <c r="K693">
        <v>1</v>
      </c>
      <c r="L693">
        <f t="shared" si="40"/>
        <v>2</v>
      </c>
      <c r="M693">
        <v>0</v>
      </c>
      <c r="N693">
        <v>0</v>
      </c>
      <c r="O693">
        <v>2</v>
      </c>
      <c r="P693" s="1">
        <f t="shared" si="41"/>
        <v>0</v>
      </c>
      <c r="Q693">
        <f t="shared" si="42"/>
        <v>2</v>
      </c>
      <c r="R693" s="1">
        <f t="shared" si="43"/>
        <v>0</v>
      </c>
    </row>
    <row r="694" spans="1:18" x14ac:dyDescent="0.3">
      <c r="A694" t="s">
        <v>1915</v>
      </c>
      <c r="B694" t="s">
        <v>1916</v>
      </c>
      <c r="C694" t="s">
        <v>18</v>
      </c>
      <c r="D694">
        <v>2</v>
      </c>
      <c r="E694">
        <v>0</v>
      </c>
      <c r="G694" s="1">
        <v>0</v>
      </c>
      <c r="H694">
        <v>4</v>
      </c>
      <c r="I694">
        <v>0.5</v>
      </c>
      <c r="J694">
        <v>2</v>
      </c>
      <c r="K694">
        <v>1</v>
      </c>
      <c r="L694">
        <f t="shared" si="40"/>
        <v>2</v>
      </c>
      <c r="M694">
        <v>0</v>
      </c>
      <c r="N694">
        <v>0</v>
      </c>
      <c r="O694">
        <v>5</v>
      </c>
      <c r="P694" s="1">
        <f t="shared" si="41"/>
        <v>0</v>
      </c>
      <c r="Q694">
        <f t="shared" si="42"/>
        <v>5</v>
      </c>
      <c r="R694" s="1">
        <f t="shared" si="43"/>
        <v>0</v>
      </c>
    </row>
    <row r="695" spans="1:18" x14ac:dyDescent="0.3">
      <c r="A695" t="s">
        <v>1917</v>
      </c>
      <c r="B695" t="s">
        <v>1918</v>
      </c>
      <c r="C695" t="s">
        <v>18</v>
      </c>
      <c r="D695">
        <v>1</v>
      </c>
      <c r="E695">
        <v>0</v>
      </c>
      <c r="G695" s="1">
        <v>0</v>
      </c>
      <c r="H695">
        <v>0</v>
      </c>
      <c r="I695">
        <v>0.5</v>
      </c>
      <c r="J695">
        <v>1</v>
      </c>
      <c r="K695">
        <v>1</v>
      </c>
      <c r="L695">
        <f t="shared" si="40"/>
        <v>2</v>
      </c>
      <c r="M695">
        <v>0</v>
      </c>
      <c r="N695">
        <v>0</v>
      </c>
      <c r="O695">
        <v>2</v>
      </c>
      <c r="P695" s="1">
        <f t="shared" si="41"/>
        <v>0</v>
      </c>
      <c r="Q695">
        <f t="shared" si="42"/>
        <v>2</v>
      </c>
      <c r="R695" s="1">
        <f t="shared" si="43"/>
        <v>0</v>
      </c>
    </row>
    <row r="696" spans="1:18" x14ac:dyDescent="0.3">
      <c r="A696" t="s">
        <v>1919</v>
      </c>
      <c r="B696" t="s">
        <v>1920</v>
      </c>
      <c r="C696" t="s">
        <v>18</v>
      </c>
      <c r="D696">
        <v>1</v>
      </c>
      <c r="E696">
        <v>0</v>
      </c>
      <c r="G696" s="1">
        <v>0</v>
      </c>
      <c r="H696">
        <v>0</v>
      </c>
      <c r="I696">
        <v>0.5</v>
      </c>
      <c r="J696">
        <v>1</v>
      </c>
      <c r="K696">
        <v>1</v>
      </c>
      <c r="L696">
        <f t="shared" si="40"/>
        <v>2</v>
      </c>
      <c r="M696">
        <v>0</v>
      </c>
      <c r="N696">
        <v>0</v>
      </c>
      <c r="O696">
        <v>2</v>
      </c>
      <c r="P696" s="1">
        <f t="shared" si="41"/>
        <v>0</v>
      </c>
      <c r="Q696">
        <f t="shared" si="42"/>
        <v>2</v>
      </c>
      <c r="R696" s="1">
        <f t="shared" si="43"/>
        <v>0</v>
      </c>
    </row>
    <row r="697" spans="1:18" x14ac:dyDescent="0.3">
      <c r="A697" t="s">
        <v>1921</v>
      </c>
      <c r="B697" t="s">
        <v>1922</v>
      </c>
      <c r="C697" t="s">
        <v>18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x14ac:dyDescent="0.3">
      <c r="A698" t="s">
        <v>1923</v>
      </c>
      <c r="B698" t="s">
        <v>1924</v>
      </c>
      <c r="C698" t="s">
        <v>18</v>
      </c>
      <c r="D698">
        <v>1</v>
      </c>
      <c r="E698">
        <v>0</v>
      </c>
      <c r="G698" s="1">
        <v>0</v>
      </c>
      <c r="H698">
        <v>0</v>
      </c>
      <c r="I698">
        <v>0.5</v>
      </c>
      <c r="J698">
        <v>1</v>
      </c>
      <c r="K698">
        <v>1</v>
      </c>
      <c r="L698">
        <f t="shared" si="40"/>
        <v>2</v>
      </c>
      <c r="M698">
        <v>0</v>
      </c>
      <c r="N698">
        <v>0</v>
      </c>
      <c r="O698">
        <v>2</v>
      </c>
      <c r="P698" s="1">
        <f t="shared" si="41"/>
        <v>0</v>
      </c>
      <c r="Q698">
        <f t="shared" si="42"/>
        <v>2</v>
      </c>
      <c r="R698" s="1">
        <f t="shared" si="43"/>
        <v>0</v>
      </c>
    </row>
    <row r="699" spans="1:18" x14ac:dyDescent="0.3">
      <c r="A699" t="s">
        <v>1925</v>
      </c>
      <c r="B699" t="s">
        <v>1926</v>
      </c>
      <c r="C699" t="s">
        <v>18</v>
      </c>
      <c r="D699">
        <v>1</v>
      </c>
      <c r="E699">
        <v>0</v>
      </c>
      <c r="G699" s="1">
        <v>0</v>
      </c>
      <c r="H699">
        <v>3</v>
      </c>
      <c r="I699">
        <v>0.5</v>
      </c>
      <c r="J699">
        <v>3</v>
      </c>
      <c r="K699">
        <v>2</v>
      </c>
      <c r="L699">
        <f t="shared" si="40"/>
        <v>4</v>
      </c>
      <c r="M699">
        <v>0</v>
      </c>
      <c r="N699">
        <v>0</v>
      </c>
      <c r="O699">
        <v>8</v>
      </c>
      <c r="P699" s="1">
        <f t="shared" si="41"/>
        <v>0</v>
      </c>
      <c r="Q699">
        <f t="shared" si="42"/>
        <v>8</v>
      </c>
      <c r="R699" s="1">
        <f t="shared" si="43"/>
        <v>0</v>
      </c>
    </row>
    <row r="700" spans="1:18" x14ac:dyDescent="0.3">
      <c r="A700" t="s">
        <v>1927</v>
      </c>
      <c r="B700" t="s">
        <v>1928</v>
      </c>
      <c r="C700" t="s">
        <v>18</v>
      </c>
      <c r="D700">
        <v>1</v>
      </c>
      <c r="E700">
        <v>0</v>
      </c>
      <c r="G700" s="1">
        <v>0</v>
      </c>
      <c r="H700">
        <v>0</v>
      </c>
      <c r="I700">
        <v>0.5</v>
      </c>
      <c r="J700">
        <v>1</v>
      </c>
      <c r="K700">
        <v>1</v>
      </c>
      <c r="L700">
        <f t="shared" si="40"/>
        <v>2</v>
      </c>
      <c r="M700">
        <v>0</v>
      </c>
      <c r="N700">
        <v>0</v>
      </c>
      <c r="O700">
        <v>2</v>
      </c>
      <c r="P700" s="1">
        <f t="shared" si="41"/>
        <v>0</v>
      </c>
      <c r="Q700">
        <f t="shared" si="42"/>
        <v>2</v>
      </c>
      <c r="R700" s="1">
        <f t="shared" si="43"/>
        <v>0</v>
      </c>
    </row>
    <row r="701" spans="1:18" x14ac:dyDescent="0.3">
      <c r="A701" t="s">
        <v>1929</v>
      </c>
      <c r="B701" t="s">
        <v>1930</v>
      </c>
      <c r="C701" t="s">
        <v>18</v>
      </c>
      <c r="D701">
        <v>1</v>
      </c>
      <c r="E701">
        <v>0</v>
      </c>
      <c r="G701" s="1">
        <v>0</v>
      </c>
      <c r="H701">
        <v>2</v>
      </c>
      <c r="I701">
        <v>0.5</v>
      </c>
      <c r="J701">
        <v>2</v>
      </c>
      <c r="K701">
        <v>1</v>
      </c>
      <c r="L701">
        <f t="shared" si="40"/>
        <v>2</v>
      </c>
      <c r="M701">
        <v>0</v>
      </c>
      <c r="N701">
        <v>0</v>
      </c>
      <c r="O701">
        <v>5</v>
      </c>
      <c r="P701" s="1">
        <f t="shared" si="41"/>
        <v>0</v>
      </c>
      <c r="Q701">
        <f t="shared" si="42"/>
        <v>5</v>
      </c>
      <c r="R701" s="1">
        <f t="shared" si="43"/>
        <v>0</v>
      </c>
    </row>
    <row r="702" spans="1:18" x14ac:dyDescent="0.3">
      <c r="A702" t="s">
        <v>1931</v>
      </c>
      <c r="B702" t="s">
        <v>1932</v>
      </c>
      <c r="C702" t="s">
        <v>18</v>
      </c>
      <c r="D702">
        <v>1</v>
      </c>
      <c r="E702">
        <v>0</v>
      </c>
      <c r="G702" s="1">
        <v>0</v>
      </c>
      <c r="H702">
        <v>0</v>
      </c>
      <c r="I702">
        <v>0.5</v>
      </c>
      <c r="J702">
        <v>1</v>
      </c>
      <c r="K702">
        <v>1</v>
      </c>
      <c r="L702">
        <f t="shared" si="40"/>
        <v>2</v>
      </c>
      <c r="M702">
        <v>0</v>
      </c>
      <c r="N702">
        <v>0</v>
      </c>
      <c r="O702">
        <v>2</v>
      </c>
      <c r="P702" s="1">
        <f t="shared" si="41"/>
        <v>0</v>
      </c>
      <c r="Q702">
        <f t="shared" si="42"/>
        <v>2</v>
      </c>
      <c r="R702" s="1">
        <f t="shared" si="43"/>
        <v>0</v>
      </c>
    </row>
    <row r="703" spans="1:18" x14ac:dyDescent="0.3">
      <c r="A703" t="s">
        <v>1933</v>
      </c>
      <c r="B703" t="s">
        <v>1934</v>
      </c>
      <c r="C703" t="s">
        <v>18</v>
      </c>
      <c r="D703">
        <v>1</v>
      </c>
      <c r="E703">
        <v>0</v>
      </c>
      <c r="G703" s="1">
        <v>0</v>
      </c>
      <c r="H703">
        <v>0</v>
      </c>
      <c r="I703">
        <v>0.5</v>
      </c>
      <c r="J703">
        <v>1</v>
      </c>
      <c r="K703">
        <v>1</v>
      </c>
      <c r="L703">
        <f t="shared" si="40"/>
        <v>2</v>
      </c>
      <c r="M703">
        <v>0</v>
      </c>
      <c r="N703">
        <v>0</v>
      </c>
      <c r="O703">
        <v>2</v>
      </c>
      <c r="P703" s="1">
        <f t="shared" si="41"/>
        <v>0</v>
      </c>
      <c r="Q703">
        <f t="shared" si="42"/>
        <v>2</v>
      </c>
      <c r="R703" s="1">
        <f t="shared" si="43"/>
        <v>0</v>
      </c>
    </row>
    <row r="704" spans="1:18" x14ac:dyDescent="0.3">
      <c r="A704" t="s">
        <v>1935</v>
      </c>
      <c r="B704" t="s">
        <v>1936</v>
      </c>
      <c r="C704" t="s">
        <v>18</v>
      </c>
      <c r="D704">
        <v>10</v>
      </c>
      <c r="E704">
        <v>4</v>
      </c>
      <c r="F704" t="s">
        <v>1073</v>
      </c>
      <c r="G704" s="1">
        <v>7954.28</v>
      </c>
      <c r="H704">
        <v>3</v>
      </c>
      <c r="I704">
        <v>1.1000000000000001</v>
      </c>
      <c r="J704">
        <v>1</v>
      </c>
      <c r="K704">
        <v>1</v>
      </c>
      <c r="L704">
        <f t="shared" si="40"/>
        <v>3</v>
      </c>
      <c r="M704">
        <v>0</v>
      </c>
      <c r="N704">
        <v>0</v>
      </c>
      <c r="O704">
        <v>3</v>
      </c>
      <c r="P704" s="1">
        <f t="shared" si="41"/>
        <v>0</v>
      </c>
      <c r="Q704">
        <f t="shared" si="42"/>
        <v>3</v>
      </c>
      <c r="R704" s="1">
        <f t="shared" si="43"/>
        <v>23862.84</v>
      </c>
    </row>
    <row r="705" spans="1:18" x14ac:dyDescent="0.3">
      <c r="A705" t="s">
        <v>1937</v>
      </c>
      <c r="B705" t="s">
        <v>1938</v>
      </c>
      <c r="C705" t="s">
        <v>18</v>
      </c>
      <c r="D705">
        <v>1</v>
      </c>
      <c r="E705">
        <v>0</v>
      </c>
      <c r="G705" s="1">
        <v>0</v>
      </c>
      <c r="H705">
        <v>0</v>
      </c>
      <c r="I705">
        <v>0.5</v>
      </c>
      <c r="J705">
        <v>1</v>
      </c>
      <c r="K705">
        <v>1</v>
      </c>
      <c r="L705">
        <f t="shared" si="40"/>
        <v>2</v>
      </c>
      <c r="M705">
        <v>0</v>
      </c>
      <c r="N705">
        <v>0</v>
      </c>
      <c r="O705">
        <v>2</v>
      </c>
      <c r="P705" s="1">
        <f t="shared" si="41"/>
        <v>0</v>
      </c>
      <c r="Q705">
        <f t="shared" si="42"/>
        <v>2</v>
      </c>
      <c r="R705" s="1">
        <f t="shared" si="43"/>
        <v>0</v>
      </c>
    </row>
    <row r="706" spans="1:18" x14ac:dyDescent="0.3">
      <c r="A706" t="s">
        <v>1939</v>
      </c>
      <c r="B706" t="s">
        <v>1940</v>
      </c>
      <c r="C706" t="s">
        <v>18</v>
      </c>
      <c r="D706">
        <v>28</v>
      </c>
      <c r="E706">
        <v>9</v>
      </c>
      <c r="F706" t="s">
        <v>1073</v>
      </c>
      <c r="G706" s="1">
        <v>8741.8799999999992</v>
      </c>
      <c r="H706">
        <v>29</v>
      </c>
      <c r="I706">
        <v>0.6</v>
      </c>
      <c r="J706">
        <v>1.5</v>
      </c>
      <c r="K706">
        <v>1</v>
      </c>
      <c r="L706">
        <f t="shared" ref="L706:L769" si="44">ROUNDUP((J706*I706)+K706,0)</f>
        <v>2</v>
      </c>
      <c r="M706">
        <v>0</v>
      </c>
      <c r="N706">
        <v>0</v>
      </c>
      <c r="O706">
        <v>4</v>
      </c>
      <c r="P706" s="1">
        <f t="shared" ref="P706:P729" si="45">IFERROR(M706*G706,0)</f>
        <v>0</v>
      </c>
      <c r="Q706">
        <f t="shared" ref="Q706:Q729" si="46">IF(O706-M706-N706&gt;0,O706-M706-N706,0)</f>
        <v>4</v>
      </c>
      <c r="R706" s="1">
        <f t="shared" ref="R706:R769" si="47">IFERROR(Q706*G706,0)</f>
        <v>34967.519999999997</v>
      </c>
    </row>
    <row r="707" spans="1:18" x14ac:dyDescent="0.3">
      <c r="A707" t="s">
        <v>1941</v>
      </c>
      <c r="B707" t="s">
        <v>1942</v>
      </c>
      <c r="C707" t="s">
        <v>18</v>
      </c>
      <c r="D707">
        <v>1</v>
      </c>
      <c r="E707">
        <v>0</v>
      </c>
      <c r="G707" s="1">
        <v>0</v>
      </c>
      <c r="H707">
        <v>0</v>
      </c>
      <c r="I707">
        <v>0.5</v>
      </c>
      <c r="J707">
        <v>1</v>
      </c>
      <c r="K707">
        <v>1</v>
      </c>
      <c r="L707">
        <f t="shared" si="44"/>
        <v>2</v>
      </c>
      <c r="M707">
        <v>0</v>
      </c>
      <c r="N707">
        <v>0</v>
      </c>
      <c r="O707">
        <v>2</v>
      </c>
      <c r="P707" s="1">
        <f t="shared" si="45"/>
        <v>0</v>
      </c>
      <c r="Q707">
        <f t="shared" si="46"/>
        <v>2</v>
      </c>
      <c r="R707" s="1">
        <f t="shared" si="47"/>
        <v>0</v>
      </c>
    </row>
    <row r="708" spans="1:18" x14ac:dyDescent="0.3">
      <c r="A708" t="s">
        <v>1943</v>
      </c>
      <c r="B708" t="s">
        <v>1944</v>
      </c>
      <c r="C708" t="s">
        <v>18</v>
      </c>
      <c r="D708">
        <v>18</v>
      </c>
      <c r="E708">
        <v>1</v>
      </c>
      <c r="F708" t="s">
        <v>1073</v>
      </c>
      <c r="G708" s="1">
        <v>17409.599999999999</v>
      </c>
      <c r="H708">
        <v>3</v>
      </c>
      <c r="I708">
        <v>1.9</v>
      </c>
      <c r="J708">
        <v>1</v>
      </c>
      <c r="K708">
        <v>2</v>
      </c>
      <c r="L708">
        <f t="shared" si="44"/>
        <v>4</v>
      </c>
      <c r="M708">
        <v>0</v>
      </c>
      <c r="N708">
        <v>0</v>
      </c>
      <c r="O708">
        <v>4</v>
      </c>
      <c r="P708" s="1">
        <f t="shared" si="45"/>
        <v>0</v>
      </c>
      <c r="Q708">
        <f t="shared" si="46"/>
        <v>4</v>
      </c>
      <c r="R708" s="1">
        <f t="shared" si="47"/>
        <v>69638.399999999994</v>
      </c>
    </row>
    <row r="709" spans="1:18" x14ac:dyDescent="0.3">
      <c r="A709" t="s">
        <v>1945</v>
      </c>
      <c r="B709" t="s">
        <v>1946</v>
      </c>
      <c r="C709" t="s">
        <v>18</v>
      </c>
      <c r="D709">
        <v>25</v>
      </c>
      <c r="E709">
        <v>5</v>
      </c>
      <c r="F709" t="s">
        <v>1073</v>
      </c>
      <c r="G709" s="1">
        <v>12400.02</v>
      </c>
      <c r="H709">
        <v>7</v>
      </c>
      <c r="I709">
        <v>0.6</v>
      </c>
      <c r="J709">
        <v>1</v>
      </c>
      <c r="K709">
        <v>1</v>
      </c>
      <c r="L709">
        <f t="shared" si="44"/>
        <v>2</v>
      </c>
      <c r="M709">
        <v>0</v>
      </c>
      <c r="N709">
        <v>0</v>
      </c>
      <c r="O709">
        <v>3</v>
      </c>
      <c r="P709" s="1">
        <f t="shared" si="45"/>
        <v>0</v>
      </c>
      <c r="Q709">
        <f t="shared" si="46"/>
        <v>3</v>
      </c>
      <c r="R709" s="1">
        <f t="shared" si="47"/>
        <v>37200.06</v>
      </c>
    </row>
    <row r="710" spans="1:18" x14ac:dyDescent="0.3">
      <c r="A710" t="s">
        <v>1947</v>
      </c>
      <c r="B710" t="s">
        <v>1948</v>
      </c>
      <c r="C710" t="s">
        <v>18</v>
      </c>
      <c r="D710">
        <v>1</v>
      </c>
      <c r="E710">
        <v>0</v>
      </c>
      <c r="G710" s="1">
        <v>0</v>
      </c>
      <c r="H710">
        <v>1</v>
      </c>
      <c r="I710">
        <v>0.5</v>
      </c>
      <c r="J710">
        <v>1</v>
      </c>
      <c r="K710">
        <v>1</v>
      </c>
      <c r="L710">
        <f t="shared" si="44"/>
        <v>2</v>
      </c>
      <c r="M710">
        <v>0</v>
      </c>
      <c r="N710">
        <v>0</v>
      </c>
      <c r="O710">
        <v>2</v>
      </c>
      <c r="P710" s="1">
        <f t="shared" si="45"/>
        <v>0</v>
      </c>
      <c r="Q710">
        <f t="shared" si="46"/>
        <v>2</v>
      </c>
      <c r="R710" s="1">
        <f t="shared" si="47"/>
        <v>0</v>
      </c>
    </row>
    <row r="711" spans="1:18" x14ac:dyDescent="0.3">
      <c r="A711" t="s">
        <v>1949</v>
      </c>
      <c r="B711" t="s">
        <v>1950</v>
      </c>
      <c r="C711" t="s">
        <v>18</v>
      </c>
      <c r="D711">
        <v>1</v>
      </c>
      <c r="E711">
        <v>0</v>
      </c>
      <c r="G711" s="1">
        <v>0</v>
      </c>
      <c r="H711">
        <v>0</v>
      </c>
      <c r="I711">
        <v>0.5</v>
      </c>
      <c r="J711">
        <v>1</v>
      </c>
      <c r="K711">
        <v>1</v>
      </c>
      <c r="L711">
        <f t="shared" si="44"/>
        <v>2</v>
      </c>
      <c r="M711">
        <v>0</v>
      </c>
      <c r="N711">
        <v>0</v>
      </c>
      <c r="O711">
        <v>2</v>
      </c>
      <c r="P711" s="1">
        <f t="shared" si="45"/>
        <v>0</v>
      </c>
      <c r="Q711">
        <f t="shared" si="46"/>
        <v>2</v>
      </c>
      <c r="R711" s="1">
        <f t="shared" si="47"/>
        <v>0</v>
      </c>
    </row>
    <row r="712" spans="1:18" x14ac:dyDescent="0.3">
      <c r="A712" t="s">
        <v>1951</v>
      </c>
      <c r="B712" t="s">
        <v>1952</v>
      </c>
      <c r="C712" t="s">
        <v>18</v>
      </c>
      <c r="D712">
        <v>1</v>
      </c>
      <c r="E712">
        <v>0</v>
      </c>
      <c r="G712" s="1">
        <v>0</v>
      </c>
      <c r="H712">
        <v>0</v>
      </c>
      <c r="I712">
        <v>0.5</v>
      </c>
      <c r="J712">
        <v>1</v>
      </c>
      <c r="K712">
        <v>1</v>
      </c>
      <c r="L712">
        <f t="shared" si="44"/>
        <v>2</v>
      </c>
      <c r="M712">
        <v>0</v>
      </c>
      <c r="N712">
        <v>0</v>
      </c>
      <c r="O712">
        <v>2</v>
      </c>
      <c r="P712" s="1">
        <f t="shared" si="45"/>
        <v>0</v>
      </c>
      <c r="Q712">
        <f t="shared" si="46"/>
        <v>2</v>
      </c>
      <c r="R712" s="1">
        <f t="shared" si="47"/>
        <v>0</v>
      </c>
    </row>
    <row r="713" spans="1:18" x14ac:dyDescent="0.3">
      <c r="A713" t="s">
        <v>1953</v>
      </c>
      <c r="B713" t="s">
        <v>1954</v>
      </c>
      <c r="C713" t="s">
        <v>18</v>
      </c>
      <c r="D713">
        <v>1</v>
      </c>
      <c r="E713">
        <v>0</v>
      </c>
      <c r="G713" s="1">
        <v>0</v>
      </c>
      <c r="H713">
        <v>0</v>
      </c>
      <c r="I713">
        <v>0.5</v>
      </c>
      <c r="J713">
        <v>1</v>
      </c>
      <c r="K713">
        <v>1</v>
      </c>
      <c r="L713">
        <f t="shared" si="44"/>
        <v>2</v>
      </c>
      <c r="M713">
        <v>0</v>
      </c>
      <c r="N713">
        <v>0</v>
      </c>
      <c r="O713">
        <v>2</v>
      </c>
      <c r="P713" s="1">
        <f t="shared" si="45"/>
        <v>0</v>
      </c>
      <c r="Q713">
        <f t="shared" si="46"/>
        <v>2</v>
      </c>
      <c r="R713" s="1">
        <f t="shared" si="47"/>
        <v>0</v>
      </c>
    </row>
    <row r="714" spans="1:18" x14ac:dyDescent="0.3">
      <c r="A714" t="s">
        <v>1955</v>
      </c>
      <c r="B714" t="s">
        <v>1956</v>
      </c>
      <c r="C714" t="s">
        <v>18</v>
      </c>
      <c r="D714">
        <v>1</v>
      </c>
      <c r="E714">
        <v>0</v>
      </c>
      <c r="G714" s="1">
        <v>0</v>
      </c>
      <c r="H714">
        <v>0</v>
      </c>
      <c r="I714">
        <v>0.5</v>
      </c>
      <c r="J714">
        <v>1</v>
      </c>
      <c r="K714">
        <v>1</v>
      </c>
      <c r="L714">
        <f t="shared" si="44"/>
        <v>2</v>
      </c>
      <c r="M714">
        <v>0</v>
      </c>
      <c r="N714">
        <v>0</v>
      </c>
      <c r="O714">
        <v>2</v>
      </c>
      <c r="P714" s="1">
        <f t="shared" si="45"/>
        <v>0</v>
      </c>
      <c r="Q714">
        <f t="shared" si="46"/>
        <v>2</v>
      </c>
      <c r="R714" s="1">
        <f t="shared" si="47"/>
        <v>0</v>
      </c>
    </row>
    <row r="715" spans="1:18" x14ac:dyDescent="0.3">
      <c r="A715" t="s">
        <v>1957</v>
      </c>
      <c r="B715" t="s">
        <v>1958</v>
      </c>
      <c r="C715" t="s">
        <v>18</v>
      </c>
      <c r="D715">
        <v>1</v>
      </c>
      <c r="E715">
        <v>0</v>
      </c>
      <c r="G715" s="1">
        <v>0</v>
      </c>
      <c r="H715">
        <v>0</v>
      </c>
      <c r="I715">
        <v>0.5</v>
      </c>
      <c r="J715">
        <v>1</v>
      </c>
      <c r="K715">
        <v>1</v>
      </c>
      <c r="L715">
        <f t="shared" si="44"/>
        <v>2</v>
      </c>
      <c r="M715">
        <v>0</v>
      </c>
      <c r="N715">
        <v>0</v>
      </c>
      <c r="O715">
        <v>2</v>
      </c>
      <c r="P715" s="1">
        <f t="shared" si="45"/>
        <v>0</v>
      </c>
      <c r="Q715">
        <f t="shared" si="46"/>
        <v>2</v>
      </c>
      <c r="R715" s="1">
        <f t="shared" si="47"/>
        <v>0</v>
      </c>
    </row>
    <row r="716" spans="1:18" x14ac:dyDescent="0.3">
      <c r="A716" t="s">
        <v>1959</v>
      </c>
      <c r="B716" t="s">
        <v>1960</v>
      </c>
      <c r="C716" t="s">
        <v>18</v>
      </c>
      <c r="D716">
        <v>1</v>
      </c>
      <c r="E716">
        <v>1</v>
      </c>
      <c r="F716" t="s">
        <v>124</v>
      </c>
      <c r="G716" s="1">
        <v>9327.9599999999991</v>
      </c>
      <c r="H716">
        <v>0</v>
      </c>
      <c r="I716">
        <v>0.5</v>
      </c>
      <c r="J716">
        <v>1</v>
      </c>
      <c r="K716">
        <v>1</v>
      </c>
      <c r="L716">
        <f t="shared" si="44"/>
        <v>2</v>
      </c>
      <c r="M716">
        <v>0</v>
      </c>
      <c r="N716">
        <v>0</v>
      </c>
      <c r="O716">
        <v>2</v>
      </c>
      <c r="P716" s="1">
        <f t="shared" si="45"/>
        <v>0</v>
      </c>
      <c r="Q716">
        <f t="shared" si="46"/>
        <v>2</v>
      </c>
      <c r="R716" s="1">
        <f t="shared" si="47"/>
        <v>18655.919999999998</v>
      </c>
    </row>
    <row r="717" spans="1:18" x14ac:dyDescent="0.3">
      <c r="A717" t="s">
        <v>1961</v>
      </c>
      <c r="B717" t="s">
        <v>1962</v>
      </c>
      <c r="C717" t="s">
        <v>18</v>
      </c>
      <c r="D717">
        <v>1</v>
      </c>
      <c r="E717">
        <v>0</v>
      </c>
      <c r="G717" s="1">
        <v>0</v>
      </c>
      <c r="H717">
        <v>0</v>
      </c>
      <c r="I717">
        <v>0.5</v>
      </c>
      <c r="J717">
        <v>1</v>
      </c>
      <c r="K717">
        <v>1</v>
      </c>
      <c r="L717">
        <f t="shared" si="44"/>
        <v>2</v>
      </c>
      <c r="M717">
        <v>0</v>
      </c>
      <c r="N717">
        <v>0</v>
      </c>
      <c r="O717">
        <v>2</v>
      </c>
      <c r="P717" s="1">
        <f t="shared" si="45"/>
        <v>0</v>
      </c>
      <c r="Q717">
        <f t="shared" si="46"/>
        <v>2</v>
      </c>
      <c r="R717" s="1">
        <f t="shared" si="47"/>
        <v>0</v>
      </c>
    </row>
    <row r="718" spans="1:18" x14ac:dyDescent="0.3">
      <c r="A718" t="s">
        <v>1963</v>
      </c>
      <c r="B718" t="s">
        <v>1964</v>
      </c>
      <c r="C718" t="s">
        <v>18</v>
      </c>
      <c r="D718">
        <v>1</v>
      </c>
      <c r="E718">
        <v>0</v>
      </c>
      <c r="G718" s="1">
        <v>0</v>
      </c>
      <c r="H718">
        <v>0</v>
      </c>
      <c r="I718">
        <v>0.5</v>
      </c>
      <c r="J718">
        <v>1</v>
      </c>
      <c r="K718">
        <v>1</v>
      </c>
      <c r="L718">
        <f t="shared" si="44"/>
        <v>2</v>
      </c>
      <c r="M718">
        <v>0</v>
      </c>
      <c r="N718">
        <v>0</v>
      </c>
      <c r="O718">
        <v>2</v>
      </c>
      <c r="P718" s="1">
        <f t="shared" si="45"/>
        <v>0</v>
      </c>
      <c r="Q718">
        <f t="shared" si="46"/>
        <v>2</v>
      </c>
      <c r="R718" s="1">
        <f t="shared" si="47"/>
        <v>0</v>
      </c>
    </row>
    <row r="719" spans="1:18" x14ac:dyDescent="0.3">
      <c r="A719" t="s">
        <v>1965</v>
      </c>
      <c r="B719" t="s">
        <v>1966</v>
      </c>
      <c r="C719" t="s">
        <v>18</v>
      </c>
      <c r="D719">
        <v>1</v>
      </c>
      <c r="E719">
        <v>0</v>
      </c>
      <c r="G719" s="1">
        <v>0</v>
      </c>
      <c r="H719">
        <v>0</v>
      </c>
      <c r="I719">
        <v>0.5</v>
      </c>
      <c r="J719">
        <v>1</v>
      </c>
      <c r="K719">
        <v>1</v>
      </c>
      <c r="L719">
        <f t="shared" si="44"/>
        <v>2</v>
      </c>
      <c r="M719">
        <v>0</v>
      </c>
      <c r="N719">
        <v>0</v>
      </c>
      <c r="O719">
        <v>2</v>
      </c>
      <c r="P719" s="1">
        <f t="shared" si="45"/>
        <v>0</v>
      </c>
      <c r="Q719">
        <f t="shared" si="46"/>
        <v>2</v>
      </c>
      <c r="R719" s="1">
        <f t="shared" si="47"/>
        <v>0</v>
      </c>
    </row>
    <row r="720" spans="1:18" x14ac:dyDescent="0.3">
      <c r="A720" t="s">
        <v>1967</v>
      </c>
      <c r="B720" t="s">
        <v>1968</v>
      </c>
      <c r="C720" t="s">
        <v>18</v>
      </c>
      <c r="D720">
        <v>1</v>
      </c>
      <c r="E720">
        <v>0</v>
      </c>
      <c r="G720" s="1">
        <v>0</v>
      </c>
      <c r="H720">
        <v>0</v>
      </c>
      <c r="I720">
        <v>0.5</v>
      </c>
      <c r="J720">
        <v>1</v>
      </c>
      <c r="K720">
        <v>1</v>
      </c>
      <c r="L720">
        <f t="shared" si="44"/>
        <v>2</v>
      </c>
      <c r="M720">
        <v>0</v>
      </c>
      <c r="N720">
        <v>0</v>
      </c>
      <c r="O720">
        <v>2</v>
      </c>
      <c r="P720" s="1">
        <f t="shared" si="45"/>
        <v>0</v>
      </c>
      <c r="Q720">
        <f t="shared" si="46"/>
        <v>2</v>
      </c>
      <c r="R720" s="1">
        <f t="shared" si="47"/>
        <v>0</v>
      </c>
    </row>
    <row r="721" spans="1:18" x14ac:dyDescent="0.3">
      <c r="A721" t="s">
        <v>1969</v>
      </c>
      <c r="B721" t="s">
        <v>1970</v>
      </c>
      <c r="C721" t="s">
        <v>18</v>
      </c>
      <c r="D721">
        <v>1</v>
      </c>
      <c r="E721">
        <v>0</v>
      </c>
      <c r="G721" s="1">
        <v>0</v>
      </c>
      <c r="H721">
        <v>0</v>
      </c>
      <c r="I721">
        <v>0.5</v>
      </c>
      <c r="J721">
        <v>1</v>
      </c>
      <c r="K721">
        <v>1</v>
      </c>
      <c r="L721">
        <f t="shared" si="44"/>
        <v>2</v>
      </c>
      <c r="M721">
        <v>0</v>
      </c>
      <c r="N721">
        <v>0</v>
      </c>
      <c r="O721">
        <v>2</v>
      </c>
      <c r="P721" s="1">
        <f t="shared" si="45"/>
        <v>0</v>
      </c>
      <c r="Q721">
        <f t="shared" si="46"/>
        <v>2</v>
      </c>
      <c r="R721" s="1">
        <f t="shared" si="47"/>
        <v>0</v>
      </c>
    </row>
    <row r="722" spans="1:18" x14ac:dyDescent="0.3">
      <c r="A722" t="s">
        <v>1971</v>
      </c>
      <c r="B722" t="s">
        <v>1972</v>
      </c>
      <c r="C722" t="s">
        <v>18</v>
      </c>
      <c r="D722">
        <v>14</v>
      </c>
      <c r="E722">
        <v>5</v>
      </c>
      <c r="F722" t="s">
        <v>1073</v>
      </c>
      <c r="G722" s="1">
        <v>18403.560000000001</v>
      </c>
      <c r="H722">
        <v>12</v>
      </c>
      <c r="I722">
        <v>0.8</v>
      </c>
      <c r="J722">
        <v>1</v>
      </c>
      <c r="K722">
        <v>1</v>
      </c>
      <c r="L722">
        <f t="shared" si="44"/>
        <v>2</v>
      </c>
      <c r="M722">
        <v>0</v>
      </c>
      <c r="N722">
        <v>0</v>
      </c>
      <c r="O722">
        <v>3</v>
      </c>
      <c r="P722" s="1">
        <f t="shared" si="45"/>
        <v>0</v>
      </c>
      <c r="Q722">
        <f t="shared" si="46"/>
        <v>3</v>
      </c>
      <c r="R722" s="1">
        <f t="shared" si="47"/>
        <v>55210.680000000008</v>
      </c>
    </row>
    <row r="723" spans="1:18" x14ac:dyDescent="0.3">
      <c r="A723" t="s">
        <v>1973</v>
      </c>
      <c r="B723" t="s">
        <v>1974</v>
      </c>
      <c r="C723" t="s">
        <v>18</v>
      </c>
      <c r="D723">
        <v>1</v>
      </c>
      <c r="E723">
        <v>0</v>
      </c>
      <c r="G723" s="1">
        <v>0</v>
      </c>
      <c r="H723">
        <v>1</v>
      </c>
      <c r="I723">
        <v>0.5</v>
      </c>
      <c r="J723">
        <v>1</v>
      </c>
      <c r="K723">
        <v>1</v>
      </c>
      <c r="L723">
        <f t="shared" si="44"/>
        <v>2</v>
      </c>
      <c r="M723">
        <v>0</v>
      </c>
      <c r="N723">
        <v>0</v>
      </c>
      <c r="O723">
        <v>2</v>
      </c>
      <c r="P723" s="1">
        <f t="shared" si="45"/>
        <v>0</v>
      </c>
      <c r="Q723">
        <f t="shared" si="46"/>
        <v>2</v>
      </c>
      <c r="R723" s="1">
        <f t="shared" si="47"/>
        <v>0</v>
      </c>
    </row>
    <row r="724" spans="1:18" x14ac:dyDescent="0.3">
      <c r="A724" t="s">
        <v>1975</v>
      </c>
      <c r="B724" t="s">
        <v>1976</v>
      </c>
      <c r="C724" t="s">
        <v>18</v>
      </c>
      <c r="D724">
        <v>1</v>
      </c>
      <c r="E724">
        <v>0</v>
      </c>
      <c r="G724" s="1">
        <v>0</v>
      </c>
      <c r="H724">
        <v>0</v>
      </c>
      <c r="I724">
        <v>0.5</v>
      </c>
      <c r="J724">
        <v>1</v>
      </c>
      <c r="K724">
        <v>1</v>
      </c>
      <c r="L724">
        <f t="shared" si="44"/>
        <v>2</v>
      </c>
      <c r="M724">
        <v>0</v>
      </c>
      <c r="N724">
        <v>0</v>
      </c>
      <c r="O724">
        <v>2</v>
      </c>
      <c r="P724" s="1">
        <f t="shared" si="45"/>
        <v>0</v>
      </c>
      <c r="Q724">
        <f t="shared" si="46"/>
        <v>2</v>
      </c>
      <c r="R724" s="1">
        <f t="shared" si="47"/>
        <v>0</v>
      </c>
    </row>
    <row r="725" spans="1:18" x14ac:dyDescent="0.3">
      <c r="A725" t="s">
        <v>1977</v>
      </c>
      <c r="B725" t="s">
        <v>1978</v>
      </c>
      <c r="C725" t="s">
        <v>18</v>
      </c>
      <c r="D725">
        <v>1</v>
      </c>
      <c r="E725">
        <v>0</v>
      </c>
      <c r="G725" s="1">
        <v>0</v>
      </c>
      <c r="H725">
        <v>0</v>
      </c>
      <c r="I725">
        <v>0.5</v>
      </c>
      <c r="J725">
        <v>1</v>
      </c>
      <c r="K725">
        <v>1</v>
      </c>
      <c r="L725">
        <f t="shared" si="44"/>
        <v>2</v>
      </c>
      <c r="M725">
        <v>0</v>
      </c>
      <c r="N725">
        <v>0</v>
      </c>
      <c r="O725">
        <v>2</v>
      </c>
      <c r="P725" s="1">
        <f t="shared" si="45"/>
        <v>0</v>
      </c>
      <c r="Q725">
        <f t="shared" si="46"/>
        <v>2</v>
      </c>
      <c r="R725" s="1">
        <f t="shared" si="47"/>
        <v>0</v>
      </c>
    </row>
    <row r="726" spans="1:18" x14ac:dyDescent="0.3">
      <c r="A726" t="s">
        <v>1979</v>
      </c>
      <c r="B726" t="s">
        <v>1980</v>
      </c>
      <c r="C726" t="s">
        <v>18</v>
      </c>
      <c r="D726">
        <v>1</v>
      </c>
      <c r="E726">
        <v>0</v>
      </c>
      <c r="G726" s="1">
        <v>0</v>
      </c>
      <c r="H726">
        <v>4</v>
      </c>
      <c r="I726">
        <v>0.5</v>
      </c>
      <c r="J726">
        <v>4</v>
      </c>
      <c r="K726">
        <v>2</v>
      </c>
      <c r="L726">
        <f t="shared" si="44"/>
        <v>4</v>
      </c>
      <c r="M726">
        <v>0</v>
      </c>
      <c r="N726">
        <v>0</v>
      </c>
      <c r="O726">
        <v>10</v>
      </c>
      <c r="P726" s="1">
        <f t="shared" si="45"/>
        <v>0</v>
      </c>
      <c r="Q726">
        <f t="shared" si="46"/>
        <v>10</v>
      </c>
      <c r="R726" s="1">
        <f t="shared" si="47"/>
        <v>0</v>
      </c>
    </row>
    <row r="727" spans="1:18" x14ac:dyDescent="0.3">
      <c r="A727" t="s">
        <v>1981</v>
      </c>
      <c r="B727" t="s">
        <v>1982</v>
      </c>
      <c r="C727" t="s">
        <v>18</v>
      </c>
      <c r="D727">
        <v>2</v>
      </c>
      <c r="E727">
        <v>76</v>
      </c>
      <c r="F727" t="s">
        <v>87</v>
      </c>
      <c r="G727" s="1">
        <v>0</v>
      </c>
      <c r="H727">
        <v>0</v>
      </c>
      <c r="I727">
        <v>0.5</v>
      </c>
      <c r="J727">
        <v>38</v>
      </c>
      <c r="K727">
        <v>19</v>
      </c>
      <c r="L727">
        <f t="shared" si="44"/>
        <v>38</v>
      </c>
      <c r="M727">
        <v>0</v>
      </c>
      <c r="N727">
        <v>0</v>
      </c>
      <c r="O727">
        <v>95</v>
      </c>
      <c r="P727" s="1">
        <f t="shared" si="45"/>
        <v>0</v>
      </c>
      <c r="Q727">
        <f t="shared" si="46"/>
        <v>95</v>
      </c>
      <c r="R727" s="1">
        <f t="shared" si="47"/>
        <v>0</v>
      </c>
    </row>
    <row r="728" spans="1:18" x14ac:dyDescent="0.3">
      <c r="A728" t="s">
        <v>1983</v>
      </c>
      <c r="B728" t="s">
        <v>1984</v>
      </c>
      <c r="C728" t="s">
        <v>18</v>
      </c>
      <c r="D728">
        <v>2</v>
      </c>
      <c r="E728">
        <v>76</v>
      </c>
      <c r="F728" t="s">
        <v>87</v>
      </c>
      <c r="G728" s="1">
        <v>0</v>
      </c>
      <c r="H728">
        <v>0</v>
      </c>
      <c r="I728">
        <v>0.5</v>
      </c>
      <c r="J728">
        <v>38</v>
      </c>
      <c r="K728">
        <v>19</v>
      </c>
      <c r="L728">
        <f t="shared" si="44"/>
        <v>38</v>
      </c>
      <c r="M728">
        <v>0</v>
      </c>
      <c r="N728">
        <v>0</v>
      </c>
      <c r="O728">
        <v>95</v>
      </c>
      <c r="P728" s="1">
        <f t="shared" si="45"/>
        <v>0</v>
      </c>
      <c r="Q728">
        <f t="shared" si="46"/>
        <v>95</v>
      </c>
      <c r="R728" s="1">
        <f t="shared" si="47"/>
        <v>0</v>
      </c>
    </row>
    <row r="729" spans="1:18" x14ac:dyDescent="0.3">
      <c r="A729" t="s">
        <v>1985</v>
      </c>
      <c r="B729" t="s">
        <v>1986</v>
      </c>
      <c r="C729" t="s">
        <v>18</v>
      </c>
      <c r="D729">
        <v>1</v>
      </c>
      <c r="E729">
        <v>0</v>
      </c>
      <c r="G729" s="1">
        <v>0</v>
      </c>
      <c r="H729">
        <v>0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0</v>
      </c>
    </row>
    <row r="730" spans="1:18" x14ac:dyDescent="0.3">
      <c r="A730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1987</v>
      </c>
      <c r="B2" t="s">
        <v>1987</v>
      </c>
      <c r="C2" t="s">
        <v>19</v>
      </c>
      <c r="D2">
        <v>1</v>
      </c>
      <c r="E2">
        <v>1</v>
      </c>
      <c r="F2" t="s">
        <v>1988</v>
      </c>
      <c r="G2" s="1">
        <v>5400</v>
      </c>
      <c r="H2">
        <v>0</v>
      </c>
      <c r="I2">
        <v>0.7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16200</v>
      </c>
    </row>
    <row r="3" spans="1:18" x14ac:dyDescent="0.3">
      <c r="A3" t="s">
        <v>1989</v>
      </c>
      <c r="B3" t="s">
        <v>1990</v>
      </c>
      <c r="C3" t="s">
        <v>19</v>
      </c>
      <c r="D3">
        <v>1</v>
      </c>
      <c r="E3">
        <v>2</v>
      </c>
      <c r="F3" t="s">
        <v>1988</v>
      </c>
      <c r="G3" s="1">
        <v>2750</v>
      </c>
      <c r="H3">
        <v>0</v>
      </c>
      <c r="I3">
        <v>0.7</v>
      </c>
      <c r="J3">
        <v>2</v>
      </c>
      <c r="K3">
        <v>1</v>
      </c>
      <c r="L3">
        <f>ROUNDUP((J3*I3)+K3,0)</f>
        <v>3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13750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1991</v>
      </c>
      <c r="B2" t="s">
        <v>1992</v>
      </c>
      <c r="C2" t="s">
        <v>20</v>
      </c>
      <c r="D2">
        <v>1</v>
      </c>
      <c r="E2">
        <v>2</v>
      </c>
      <c r="F2" t="s">
        <v>140</v>
      </c>
      <c r="G2" s="1">
        <v>1418.1</v>
      </c>
      <c r="H2">
        <v>0</v>
      </c>
      <c r="I2">
        <v>0.5</v>
      </c>
      <c r="J2">
        <v>2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5</v>
      </c>
      <c r="P2" s="1">
        <f t="shared" ref="P2:P7" si="1">IFERROR(M2*G2,0)</f>
        <v>0</v>
      </c>
      <c r="Q2">
        <f t="shared" ref="Q2:Q7" si="2">IF(O2-M2-N2&gt;0,O2-M2-N2,0)</f>
        <v>5</v>
      </c>
      <c r="R2" s="1">
        <f t="shared" ref="R2:R7" si="3">IFERROR(Q2*G2,0)</f>
        <v>7090.5</v>
      </c>
    </row>
    <row r="3" spans="1:18" x14ac:dyDescent="0.3">
      <c r="A3" t="s">
        <v>1993</v>
      </c>
      <c r="B3" t="s">
        <v>1994</v>
      </c>
      <c r="C3" t="s">
        <v>20</v>
      </c>
      <c r="D3">
        <v>1</v>
      </c>
      <c r="E3">
        <v>1</v>
      </c>
      <c r="F3" t="s">
        <v>1995</v>
      </c>
      <c r="G3" s="1">
        <v>2699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5398</v>
      </c>
    </row>
    <row r="4" spans="1:18" x14ac:dyDescent="0.3">
      <c r="A4" t="s">
        <v>1996</v>
      </c>
      <c r="B4" t="s">
        <v>1997</v>
      </c>
      <c r="C4" t="s">
        <v>20</v>
      </c>
      <c r="D4">
        <v>1</v>
      </c>
      <c r="E4">
        <v>2</v>
      </c>
      <c r="F4" t="s">
        <v>140</v>
      </c>
      <c r="G4" s="1">
        <v>2024.6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10123</v>
      </c>
    </row>
    <row r="5" spans="1:18" x14ac:dyDescent="0.3">
      <c r="A5" t="s">
        <v>1998</v>
      </c>
      <c r="B5" t="s">
        <v>1999</v>
      </c>
      <c r="C5" t="s">
        <v>20</v>
      </c>
      <c r="D5">
        <v>1</v>
      </c>
      <c r="E5">
        <v>1</v>
      </c>
      <c r="F5" t="s">
        <v>1995</v>
      </c>
      <c r="G5" s="1">
        <v>4799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9598</v>
      </c>
    </row>
    <row r="6" spans="1:18" x14ac:dyDescent="0.3">
      <c r="A6" t="s">
        <v>2000</v>
      </c>
      <c r="B6" t="s">
        <v>2001</v>
      </c>
      <c r="C6" t="s">
        <v>20</v>
      </c>
      <c r="D6">
        <v>1</v>
      </c>
      <c r="E6">
        <v>3</v>
      </c>
      <c r="F6" t="s">
        <v>2002</v>
      </c>
      <c r="G6" s="1">
        <v>1680</v>
      </c>
      <c r="H6">
        <v>0</v>
      </c>
      <c r="I6">
        <v>0.5</v>
      </c>
      <c r="J6">
        <v>3</v>
      </c>
      <c r="K6">
        <v>2</v>
      </c>
      <c r="L6">
        <f t="shared" si="0"/>
        <v>4</v>
      </c>
      <c r="M6">
        <v>0</v>
      </c>
      <c r="N6">
        <v>0</v>
      </c>
      <c r="O6">
        <v>8</v>
      </c>
      <c r="P6" s="1">
        <f t="shared" si="1"/>
        <v>0</v>
      </c>
      <c r="Q6">
        <f t="shared" si="2"/>
        <v>8</v>
      </c>
      <c r="R6" s="1">
        <f t="shared" si="3"/>
        <v>13440</v>
      </c>
    </row>
    <row r="7" spans="1:18" x14ac:dyDescent="0.3">
      <c r="A7" t="s">
        <v>2003</v>
      </c>
      <c r="B7" t="s">
        <v>2004</v>
      </c>
      <c r="C7" t="s">
        <v>20</v>
      </c>
      <c r="D7">
        <v>1</v>
      </c>
      <c r="E7">
        <v>1</v>
      </c>
      <c r="F7" t="s">
        <v>140</v>
      </c>
      <c r="G7" s="1">
        <v>341.95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683.9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2005</v>
      </c>
      <c r="B2" t="s">
        <v>2006</v>
      </c>
      <c r="C2" t="s">
        <v>21</v>
      </c>
      <c r="D2">
        <v>1</v>
      </c>
      <c r="E2">
        <v>0.5</v>
      </c>
      <c r="F2" t="s">
        <v>2007</v>
      </c>
      <c r="G2" s="1">
        <v>44769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89538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R13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2008</v>
      </c>
      <c r="B2" t="s">
        <v>2009</v>
      </c>
      <c r="C2" t="s">
        <v>22</v>
      </c>
      <c r="D2">
        <v>31</v>
      </c>
      <c r="E2">
        <v>0</v>
      </c>
      <c r="G2" s="1">
        <v>0</v>
      </c>
      <c r="H2">
        <v>7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2010</v>
      </c>
      <c r="B3" t="s">
        <v>2011</v>
      </c>
      <c r="C3" t="s">
        <v>22</v>
      </c>
      <c r="D3">
        <v>6</v>
      </c>
      <c r="E3">
        <v>0</v>
      </c>
      <c r="G3" s="1">
        <v>0</v>
      </c>
      <c r="H3">
        <v>2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2012</v>
      </c>
      <c r="B4" t="s">
        <v>2013</v>
      </c>
      <c r="C4" t="s">
        <v>22</v>
      </c>
      <c r="D4">
        <v>4</v>
      </c>
      <c r="E4">
        <v>12</v>
      </c>
      <c r="F4" t="s">
        <v>2014</v>
      </c>
      <c r="G4" s="1">
        <v>604.23</v>
      </c>
      <c r="H4">
        <v>6</v>
      </c>
      <c r="I4">
        <v>2</v>
      </c>
      <c r="J4">
        <v>3</v>
      </c>
      <c r="K4">
        <v>6</v>
      </c>
      <c r="L4">
        <f t="shared" si="0"/>
        <v>12</v>
      </c>
      <c r="M4">
        <v>0</v>
      </c>
      <c r="N4">
        <v>0</v>
      </c>
      <c r="O4">
        <v>12</v>
      </c>
      <c r="P4" s="1">
        <f t="shared" si="1"/>
        <v>0</v>
      </c>
      <c r="Q4">
        <f t="shared" si="2"/>
        <v>12</v>
      </c>
      <c r="R4" s="1">
        <f t="shared" si="3"/>
        <v>7250.76</v>
      </c>
    </row>
    <row r="5" spans="1:18" x14ac:dyDescent="0.3">
      <c r="A5" t="s">
        <v>2015</v>
      </c>
      <c r="B5" t="s">
        <v>2016</v>
      </c>
      <c r="C5" t="s">
        <v>22</v>
      </c>
      <c r="D5">
        <v>11</v>
      </c>
      <c r="E5">
        <v>3</v>
      </c>
      <c r="F5" t="s">
        <v>2014</v>
      </c>
      <c r="G5" s="1">
        <v>0</v>
      </c>
      <c r="H5">
        <v>1</v>
      </c>
      <c r="I5">
        <v>2</v>
      </c>
      <c r="J5">
        <v>1</v>
      </c>
      <c r="K5">
        <v>2</v>
      </c>
      <c r="L5">
        <f t="shared" si="0"/>
        <v>4</v>
      </c>
      <c r="M5">
        <v>0</v>
      </c>
      <c r="N5">
        <v>0</v>
      </c>
      <c r="O5">
        <v>4</v>
      </c>
      <c r="P5" s="1">
        <f t="shared" si="1"/>
        <v>0</v>
      </c>
      <c r="Q5">
        <f t="shared" si="2"/>
        <v>4</v>
      </c>
      <c r="R5" s="1">
        <f t="shared" si="3"/>
        <v>0</v>
      </c>
    </row>
    <row r="6" spans="1:18" x14ac:dyDescent="0.3">
      <c r="A6" t="s">
        <v>2017</v>
      </c>
      <c r="B6" t="s">
        <v>2018</v>
      </c>
      <c r="C6" t="s">
        <v>22</v>
      </c>
      <c r="D6">
        <v>26</v>
      </c>
      <c r="E6">
        <v>2</v>
      </c>
      <c r="F6" t="s">
        <v>2014</v>
      </c>
      <c r="G6" s="1">
        <v>1243.8399999999999</v>
      </c>
      <c r="H6">
        <v>4</v>
      </c>
      <c r="I6">
        <v>2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4975.3599999999997</v>
      </c>
    </row>
    <row r="7" spans="1:18" x14ac:dyDescent="0.3">
      <c r="A7" t="s">
        <v>2019</v>
      </c>
      <c r="B7" t="s">
        <v>2020</v>
      </c>
      <c r="C7" t="s">
        <v>22</v>
      </c>
      <c r="D7">
        <v>24</v>
      </c>
      <c r="E7">
        <v>0</v>
      </c>
      <c r="G7" s="1">
        <v>0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2021</v>
      </c>
      <c r="B8" t="s">
        <v>2022</v>
      </c>
      <c r="C8" t="s">
        <v>22</v>
      </c>
      <c r="D8">
        <v>25</v>
      </c>
      <c r="E8">
        <v>0</v>
      </c>
      <c r="F8" t="s">
        <v>2014</v>
      </c>
      <c r="G8" s="1">
        <v>0</v>
      </c>
      <c r="H8">
        <v>2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2023</v>
      </c>
      <c r="B9" t="s">
        <v>2024</v>
      </c>
      <c r="C9" t="s">
        <v>22</v>
      </c>
      <c r="D9">
        <v>17</v>
      </c>
      <c r="E9">
        <v>0</v>
      </c>
      <c r="G9" s="1">
        <v>0</v>
      </c>
      <c r="H9">
        <v>2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2025</v>
      </c>
      <c r="B10" t="s">
        <v>2026</v>
      </c>
      <c r="C10" t="s">
        <v>22</v>
      </c>
      <c r="D10">
        <v>21</v>
      </c>
      <c r="E10">
        <v>16</v>
      </c>
      <c r="F10" t="s">
        <v>2014</v>
      </c>
      <c r="G10" s="1">
        <v>230.34</v>
      </c>
      <c r="H10">
        <v>9</v>
      </c>
      <c r="I10">
        <v>2</v>
      </c>
      <c r="J10">
        <v>1</v>
      </c>
      <c r="K10">
        <v>2</v>
      </c>
      <c r="L10">
        <f t="shared" si="0"/>
        <v>4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921.36</v>
      </c>
    </row>
    <row r="11" spans="1:18" x14ac:dyDescent="0.3">
      <c r="A11" t="s">
        <v>2027</v>
      </c>
      <c r="B11" t="s">
        <v>2028</v>
      </c>
      <c r="C11" t="s">
        <v>22</v>
      </c>
      <c r="D11">
        <v>37</v>
      </c>
      <c r="E11">
        <v>75</v>
      </c>
      <c r="F11" t="s">
        <v>2014</v>
      </c>
      <c r="G11" s="1">
        <v>524.73</v>
      </c>
      <c r="H11">
        <v>73</v>
      </c>
      <c r="I11">
        <v>1.9</v>
      </c>
      <c r="J11">
        <v>2.5</v>
      </c>
      <c r="K11">
        <v>5</v>
      </c>
      <c r="L11">
        <f t="shared" si="0"/>
        <v>10</v>
      </c>
      <c r="M11">
        <v>0</v>
      </c>
      <c r="N11">
        <v>0</v>
      </c>
      <c r="O11">
        <v>10</v>
      </c>
      <c r="P11" s="1">
        <f t="shared" si="1"/>
        <v>0</v>
      </c>
      <c r="Q11">
        <f t="shared" si="2"/>
        <v>10</v>
      </c>
      <c r="R11" s="1">
        <f t="shared" si="3"/>
        <v>5247.3</v>
      </c>
    </row>
    <row r="12" spans="1:18" x14ac:dyDescent="0.3">
      <c r="A12" t="s">
        <v>2029</v>
      </c>
      <c r="B12" t="s">
        <v>2030</v>
      </c>
      <c r="C12" t="s">
        <v>22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2031</v>
      </c>
      <c r="B13" t="s">
        <v>2032</v>
      </c>
      <c r="C13" t="s">
        <v>22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2033</v>
      </c>
      <c r="B14" t="s">
        <v>2034</v>
      </c>
      <c r="C14" t="s">
        <v>22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2035</v>
      </c>
      <c r="B15" t="s">
        <v>2036</v>
      </c>
      <c r="C15" t="s">
        <v>22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2037</v>
      </c>
      <c r="B16" t="s">
        <v>2038</v>
      </c>
      <c r="C16" t="s">
        <v>22</v>
      </c>
      <c r="D16">
        <v>1</v>
      </c>
      <c r="E16">
        <v>0</v>
      </c>
      <c r="G16" s="1">
        <v>0</v>
      </c>
      <c r="H16">
        <v>0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2039</v>
      </c>
      <c r="B17" t="s">
        <v>2040</v>
      </c>
      <c r="C17" t="s">
        <v>22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2041</v>
      </c>
      <c r="B18" t="s">
        <v>2042</v>
      </c>
      <c r="C18" t="s">
        <v>22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2043</v>
      </c>
      <c r="B19" t="s">
        <v>2044</v>
      </c>
      <c r="C19" t="s">
        <v>22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2045</v>
      </c>
      <c r="B20" t="s">
        <v>2046</v>
      </c>
      <c r="C20" t="s">
        <v>22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2047</v>
      </c>
      <c r="B21" t="s">
        <v>2048</v>
      </c>
      <c r="C21" t="s">
        <v>22</v>
      </c>
      <c r="D21">
        <v>30</v>
      </c>
      <c r="E21">
        <v>456.9</v>
      </c>
      <c r="F21" t="s">
        <v>551</v>
      </c>
      <c r="G21" s="1">
        <v>2827.17</v>
      </c>
      <c r="H21">
        <v>310</v>
      </c>
      <c r="I21">
        <v>0.8</v>
      </c>
      <c r="J21">
        <v>15.5</v>
      </c>
      <c r="K21">
        <v>12</v>
      </c>
      <c r="L21">
        <f t="shared" si="0"/>
        <v>25</v>
      </c>
      <c r="M21">
        <v>0</v>
      </c>
      <c r="N21">
        <v>0</v>
      </c>
      <c r="O21">
        <v>43</v>
      </c>
      <c r="P21" s="1">
        <f t="shared" si="1"/>
        <v>0</v>
      </c>
      <c r="Q21">
        <f t="shared" si="2"/>
        <v>43</v>
      </c>
      <c r="R21" s="1">
        <f t="shared" si="3"/>
        <v>121568.31</v>
      </c>
    </row>
    <row r="22" spans="1:18" x14ac:dyDescent="0.3">
      <c r="A22" t="s">
        <v>2049</v>
      </c>
      <c r="B22" t="s">
        <v>2050</v>
      </c>
      <c r="C22" t="s">
        <v>22</v>
      </c>
      <c r="D22">
        <v>48</v>
      </c>
      <c r="E22">
        <v>0</v>
      </c>
      <c r="G22" s="1">
        <v>0</v>
      </c>
      <c r="H22">
        <v>9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2051</v>
      </c>
      <c r="B23" t="s">
        <v>2052</v>
      </c>
      <c r="C23" t="s">
        <v>22</v>
      </c>
      <c r="D23">
        <v>22</v>
      </c>
      <c r="E23">
        <v>0</v>
      </c>
      <c r="G23" s="1">
        <v>0</v>
      </c>
      <c r="H23">
        <v>2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2053</v>
      </c>
      <c r="B24" t="s">
        <v>2054</v>
      </c>
      <c r="C24" t="s">
        <v>22</v>
      </c>
      <c r="D24">
        <v>41</v>
      </c>
      <c r="E24">
        <v>42</v>
      </c>
      <c r="F24" t="s">
        <v>2014</v>
      </c>
      <c r="G24" s="1">
        <v>785.39</v>
      </c>
      <c r="H24">
        <v>28</v>
      </c>
      <c r="I24">
        <v>2</v>
      </c>
      <c r="J24">
        <v>1.5</v>
      </c>
      <c r="K24">
        <v>3</v>
      </c>
      <c r="L24">
        <f t="shared" si="0"/>
        <v>6</v>
      </c>
      <c r="M24">
        <v>0</v>
      </c>
      <c r="N24">
        <v>0</v>
      </c>
      <c r="O24">
        <v>6</v>
      </c>
      <c r="P24" s="1">
        <f t="shared" si="1"/>
        <v>0</v>
      </c>
      <c r="Q24">
        <f t="shared" si="2"/>
        <v>6</v>
      </c>
      <c r="R24" s="1">
        <f t="shared" si="3"/>
        <v>4712.34</v>
      </c>
    </row>
    <row r="25" spans="1:18" x14ac:dyDescent="0.3">
      <c r="A25" t="s">
        <v>2055</v>
      </c>
      <c r="B25" t="s">
        <v>2056</v>
      </c>
      <c r="C25" t="s">
        <v>22</v>
      </c>
      <c r="D25">
        <v>45</v>
      </c>
      <c r="E25">
        <v>36</v>
      </c>
      <c r="F25" t="s">
        <v>2014</v>
      </c>
      <c r="G25" s="1">
        <v>1114.0899999999999</v>
      </c>
      <c r="H25">
        <v>25</v>
      </c>
      <c r="I25">
        <v>1.7</v>
      </c>
      <c r="J25">
        <v>1</v>
      </c>
      <c r="K25">
        <v>2</v>
      </c>
      <c r="L25">
        <f t="shared" si="0"/>
        <v>4</v>
      </c>
      <c r="M25">
        <v>0</v>
      </c>
      <c r="N25">
        <v>0</v>
      </c>
      <c r="O25">
        <v>4</v>
      </c>
      <c r="P25" s="1">
        <f t="shared" si="1"/>
        <v>0</v>
      </c>
      <c r="Q25">
        <f t="shared" si="2"/>
        <v>4</v>
      </c>
      <c r="R25" s="1">
        <f t="shared" si="3"/>
        <v>4456.3599999999997</v>
      </c>
    </row>
    <row r="26" spans="1:18" x14ac:dyDescent="0.3">
      <c r="A26" t="s">
        <v>2057</v>
      </c>
      <c r="B26" t="s">
        <v>2058</v>
      </c>
      <c r="C26" t="s">
        <v>22</v>
      </c>
      <c r="D26">
        <v>33</v>
      </c>
      <c r="E26">
        <v>22</v>
      </c>
      <c r="F26" t="s">
        <v>2014</v>
      </c>
      <c r="G26" s="1">
        <v>1147.25</v>
      </c>
      <c r="H26">
        <v>2</v>
      </c>
      <c r="I26">
        <v>1.5</v>
      </c>
      <c r="J26">
        <v>1</v>
      </c>
      <c r="K26">
        <v>2</v>
      </c>
      <c r="L26">
        <f t="shared" si="0"/>
        <v>4</v>
      </c>
      <c r="M26">
        <v>0</v>
      </c>
      <c r="N26">
        <v>0</v>
      </c>
      <c r="O26">
        <v>4</v>
      </c>
      <c r="P26" s="1">
        <f t="shared" si="1"/>
        <v>0</v>
      </c>
      <c r="Q26">
        <f t="shared" si="2"/>
        <v>4</v>
      </c>
      <c r="R26" s="1">
        <f t="shared" si="3"/>
        <v>4589</v>
      </c>
    </row>
    <row r="27" spans="1:18" x14ac:dyDescent="0.3">
      <c r="A27" t="s">
        <v>2059</v>
      </c>
      <c r="B27" t="s">
        <v>2060</v>
      </c>
      <c r="C27" t="s">
        <v>22</v>
      </c>
      <c r="D27">
        <v>30</v>
      </c>
      <c r="E27">
        <v>0</v>
      </c>
      <c r="G27" s="1">
        <v>0</v>
      </c>
      <c r="H27">
        <v>5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2061</v>
      </c>
      <c r="B28" t="s">
        <v>2062</v>
      </c>
      <c r="C28" t="s">
        <v>22</v>
      </c>
      <c r="D28">
        <v>28</v>
      </c>
      <c r="E28">
        <v>6</v>
      </c>
      <c r="F28" t="s">
        <v>2014</v>
      </c>
      <c r="G28" s="1">
        <v>6609.77</v>
      </c>
      <c r="H28">
        <v>9</v>
      </c>
      <c r="I28">
        <v>1.7</v>
      </c>
      <c r="J28">
        <v>1</v>
      </c>
      <c r="K28">
        <v>2</v>
      </c>
      <c r="L28">
        <f t="shared" si="0"/>
        <v>4</v>
      </c>
      <c r="M28">
        <v>0</v>
      </c>
      <c r="N28">
        <v>0</v>
      </c>
      <c r="O28">
        <v>4</v>
      </c>
      <c r="P28" s="1">
        <f t="shared" si="1"/>
        <v>0</v>
      </c>
      <c r="Q28">
        <f t="shared" si="2"/>
        <v>4</v>
      </c>
      <c r="R28" s="1">
        <f t="shared" si="3"/>
        <v>26439.08</v>
      </c>
    </row>
    <row r="29" spans="1:18" x14ac:dyDescent="0.3">
      <c r="A29" t="s">
        <v>2063</v>
      </c>
      <c r="B29" t="s">
        <v>2064</v>
      </c>
      <c r="C29" t="s">
        <v>22</v>
      </c>
      <c r="D29">
        <v>28</v>
      </c>
      <c r="E29">
        <v>12</v>
      </c>
      <c r="F29" t="s">
        <v>2014</v>
      </c>
      <c r="G29" s="1">
        <v>6335</v>
      </c>
      <c r="H29">
        <v>10</v>
      </c>
      <c r="I29">
        <v>1.9</v>
      </c>
      <c r="J29">
        <v>1</v>
      </c>
      <c r="K29">
        <v>2</v>
      </c>
      <c r="L29">
        <f t="shared" si="0"/>
        <v>4</v>
      </c>
      <c r="M29">
        <v>0</v>
      </c>
      <c r="N29">
        <v>0</v>
      </c>
      <c r="O29">
        <v>4</v>
      </c>
      <c r="P29" s="1">
        <f t="shared" si="1"/>
        <v>0</v>
      </c>
      <c r="Q29">
        <f t="shared" si="2"/>
        <v>4</v>
      </c>
      <c r="R29" s="1">
        <f t="shared" si="3"/>
        <v>25340</v>
      </c>
    </row>
    <row r="30" spans="1:18" x14ac:dyDescent="0.3">
      <c r="A30" t="s">
        <v>2065</v>
      </c>
      <c r="B30" t="s">
        <v>2066</v>
      </c>
      <c r="C30" t="s">
        <v>22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2067</v>
      </c>
      <c r="B31" t="s">
        <v>2068</v>
      </c>
      <c r="C31" t="s">
        <v>22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2069</v>
      </c>
      <c r="B32" t="s">
        <v>2070</v>
      </c>
      <c r="C32" t="s">
        <v>22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2071</v>
      </c>
      <c r="B33" t="s">
        <v>2072</v>
      </c>
      <c r="C33" t="s">
        <v>22</v>
      </c>
      <c r="D33">
        <v>24</v>
      </c>
      <c r="E33">
        <v>5</v>
      </c>
      <c r="F33" t="s">
        <v>2014</v>
      </c>
      <c r="G33" s="1">
        <v>8276.56</v>
      </c>
      <c r="H33">
        <v>1</v>
      </c>
      <c r="I33">
        <v>1.9</v>
      </c>
      <c r="J33">
        <v>1</v>
      </c>
      <c r="K33">
        <v>2</v>
      </c>
      <c r="L33">
        <f t="shared" si="0"/>
        <v>4</v>
      </c>
      <c r="M33">
        <v>0</v>
      </c>
      <c r="N33">
        <v>0</v>
      </c>
      <c r="O33">
        <v>4</v>
      </c>
      <c r="P33" s="1">
        <f t="shared" si="1"/>
        <v>0</v>
      </c>
      <c r="Q33">
        <f t="shared" si="2"/>
        <v>4</v>
      </c>
      <c r="R33" s="1">
        <f t="shared" si="3"/>
        <v>33106.239999999998</v>
      </c>
    </row>
    <row r="34" spans="1:18" x14ac:dyDescent="0.3">
      <c r="A34" t="s">
        <v>2073</v>
      </c>
      <c r="B34" t="s">
        <v>2074</v>
      </c>
      <c r="C34" t="s">
        <v>22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2075</v>
      </c>
      <c r="B35" t="s">
        <v>2076</v>
      </c>
      <c r="C35" t="s">
        <v>22</v>
      </c>
      <c r="D35">
        <v>31</v>
      </c>
      <c r="E35">
        <v>8</v>
      </c>
      <c r="F35" t="s">
        <v>2014</v>
      </c>
      <c r="G35" s="1">
        <v>8273.66</v>
      </c>
      <c r="H35">
        <v>8</v>
      </c>
      <c r="I35">
        <v>1.9</v>
      </c>
      <c r="J35">
        <v>1</v>
      </c>
      <c r="K35">
        <v>2</v>
      </c>
      <c r="L35">
        <f t="shared" si="4"/>
        <v>4</v>
      </c>
      <c r="M35">
        <v>0</v>
      </c>
      <c r="N35">
        <v>0</v>
      </c>
      <c r="O35">
        <v>4</v>
      </c>
      <c r="P35" s="1">
        <f t="shared" si="5"/>
        <v>0</v>
      </c>
      <c r="Q35">
        <f t="shared" si="6"/>
        <v>4</v>
      </c>
      <c r="R35" s="1">
        <f t="shared" si="7"/>
        <v>33094.639999999999</v>
      </c>
    </row>
    <row r="36" spans="1:18" x14ac:dyDescent="0.3">
      <c r="A36" t="s">
        <v>2077</v>
      </c>
      <c r="B36" t="s">
        <v>2078</v>
      </c>
      <c r="C36" t="s">
        <v>22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2079</v>
      </c>
      <c r="B37" t="s">
        <v>2080</v>
      </c>
      <c r="C37" t="s">
        <v>22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2081</v>
      </c>
      <c r="B38" t="s">
        <v>2082</v>
      </c>
      <c r="C38" t="s">
        <v>22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2083</v>
      </c>
      <c r="B39" t="s">
        <v>2084</v>
      </c>
      <c r="C39" t="s">
        <v>22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2085</v>
      </c>
      <c r="B40" t="s">
        <v>2086</v>
      </c>
      <c r="C40" t="s">
        <v>22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2087</v>
      </c>
      <c r="B41" t="s">
        <v>2088</v>
      </c>
      <c r="C41" t="s">
        <v>22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2089</v>
      </c>
      <c r="B42" t="s">
        <v>2090</v>
      </c>
      <c r="C42" t="s">
        <v>22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2091</v>
      </c>
      <c r="B43" t="s">
        <v>2092</v>
      </c>
      <c r="C43" t="s">
        <v>22</v>
      </c>
      <c r="D43">
        <v>22</v>
      </c>
      <c r="E43">
        <v>2</v>
      </c>
      <c r="F43" t="s">
        <v>2014</v>
      </c>
      <c r="G43" s="1">
        <v>7417.57</v>
      </c>
      <c r="H43">
        <v>2</v>
      </c>
      <c r="I43">
        <v>2</v>
      </c>
      <c r="J43">
        <v>1</v>
      </c>
      <c r="K43">
        <v>2</v>
      </c>
      <c r="L43">
        <f t="shared" si="4"/>
        <v>4</v>
      </c>
      <c r="M43">
        <v>0</v>
      </c>
      <c r="N43">
        <v>0</v>
      </c>
      <c r="O43">
        <v>4</v>
      </c>
      <c r="P43" s="1">
        <f t="shared" si="5"/>
        <v>0</v>
      </c>
      <c r="Q43">
        <f t="shared" si="6"/>
        <v>4</v>
      </c>
      <c r="R43" s="1">
        <f t="shared" si="7"/>
        <v>29670.28</v>
      </c>
    </row>
    <row r="44" spans="1:18" x14ac:dyDescent="0.3">
      <c r="A44" t="s">
        <v>2093</v>
      </c>
      <c r="B44" t="s">
        <v>2094</v>
      </c>
      <c r="C44" t="s">
        <v>22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2095</v>
      </c>
      <c r="B45" t="s">
        <v>2096</v>
      </c>
      <c r="C45" t="s">
        <v>22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2097</v>
      </c>
      <c r="B46" t="s">
        <v>2098</v>
      </c>
      <c r="C46" t="s">
        <v>22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2099</v>
      </c>
      <c r="B47" t="s">
        <v>2100</v>
      </c>
      <c r="C47" t="s">
        <v>22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2101</v>
      </c>
      <c r="B48" t="s">
        <v>2102</v>
      </c>
      <c r="C48" t="s">
        <v>22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2103</v>
      </c>
      <c r="B49" t="s">
        <v>2104</v>
      </c>
      <c r="C49" t="s">
        <v>22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2105</v>
      </c>
      <c r="B50" t="s">
        <v>2106</v>
      </c>
      <c r="C50" t="s">
        <v>22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2107</v>
      </c>
      <c r="B51" t="s">
        <v>2108</v>
      </c>
      <c r="C51" t="s">
        <v>22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2109</v>
      </c>
      <c r="B52" t="s">
        <v>2110</v>
      </c>
      <c r="C52" t="s">
        <v>22</v>
      </c>
      <c r="D52">
        <v>31</v>
      </c>
      <c r="E52">
        <v>2</v>
      </c>
      <c r="F52" t="s">
        <v>2014</v>
      </c>
      <c r="G52" s="1">
        <v>15200.44</v>
      </c>
      <c r="H52">
        <v>5</v>
      </c>
      <c r="I52">
        <v>2</v>
      </c>
      <c r="J52">
        <v>1</v>
      </c>
      <c r="K52">
        <v>2</v>
      </c>
      <c r="L52">
        <f t="shared" si="4"/>
        <v>4</v>
      </c>
      <c r="M52">
        <v>0</v>
      </c>
      <c r="N52">
        <v>0</v>
      </c>
      <c r="O52">
        <v>4</v>
      </c>
      <c r="P52" s="1">
        <f t="shared" si="5"/>
        <v>0</v>
      </c>
      <c r="Q52">
        <f t="shared" si="6"/>
        <v>4</v>
      </c>
      <c r="R52" s="1">
        <f t="shared" si="7"/>
        <v>60801.760000000002</v>
      </c>
    </row>
    <row r="53" spans="1:18" x14ac:dyDescent="0.3">
      <c r="A53" t="s">
        <v>2111</v>
      </c>
      <c r="B53" t="s">
        <v>2112</v>
      </c>
      <c r="C53" t="s">
        <v>22</v>
      </c>
      <c r="D53">
        <v>27</v>
      </c>
      <c r="E53">
        <v>0</v>
      </c>
      <c r="G53" s="1">
        <v>0</v>
      </c>
      <c r="H53">
        <v>2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2113</v>
      </c>
      <c r="B54" t="s">
        <v>2114</v>
      </c>
      <c r="C54" t="s">
        <v>22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2115</v>
      </c>
      <c r="B55" t="s">
        <v>2116</v>
      </c>
      <c r="C55" t="s">
        <v>22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2117</v>
      </c>
      <c r="B56" t="s">
        <v>2118</v>
      </c>
      <c r="C56" t="s">
        <v>22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2119</v>
      </c>
      <c r="B57" t="s">
        <v>2120</v>
      </c>
      <c r="C57" t="s">
        <v>22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2121</v>
      </c>
      <c r="B58" t="s">
        <v>2122</v>
      </c>
      <c r="C58" t="s">
        <v>22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2123</v>
      </c>
      <c r="B59" t="s">
        <v>2124</v>
      </c>
      <c r="C59" t="s">
        <v>22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2125</v>
      </c>
      <c r="B60" t="s">
        <v>2126</v>
      </c>
      <c r="C60" t="s">
        <v>22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2127</v>
      </c>
      <c r="B61" t="s">
        <v>2128</v>
      </c>
      <c r="C61" t="s">
        <v>22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2129</v>
      </c>
      <c r="B62" t="s">
        <v>2130</v>
      </c>
      <c r="C62" t="s">
        <v>22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2131</v>
      </c>
      <c r="B63" t="s">
        <v>2132</v>
      </c>
      <c r="C63" t="s">
        <v>22</v>
      </c>
      <c r="D63">
        <v>1</v>
      </c>
      <c r="E63">
        <v>0</v>
      </c>
      <c r="G63" s="1">
        <v>0</v>
      </c>
      <c r="H63">
        <v>0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2133</v>
      </c>
      <c r="B64" t="s">
        <v>2134</v>
      </c>
      <c r="C64" t="s">
        <v>22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4"/>
        <v>2</v>
      </c>
      <c r="M64">
        <v>0</v>
      </c>
      <c r="N64">
        <v>0</v>
      </c>
      <c r="O64">
        <v>2</v>
      </c>
      <c r="P64" s="1">
        <f t="shared" si="5"/>
        <v>0</v>
      </c>
      <c r="Q64">
        <f t="shared" si="6"/>
        <v>2</v>
      </c>
      <c r="R64" s="1">
        <f t="shared" si="7"/>
        <v>0</v>
      </c>
    </row>
    <row r="65" spans="1:18" x14ac:dyDescent="0.3">
      <c r="A65" t="s">
        <v>2135</v>
      </c>
      <c r="B65" t="s">
        <v>2136</v>
      </c>
      <c r="C65" t="s">
        <v>22</v>
      </c>
      <c r="D65">
        <v>14</v>
      </c>
      <c r="E65">
        <v>5</v>
      </c>
      <c r="F65" t="s">
        <v>2014</v>
      </c>
      <c r="G65" s="1">
        <v>30692.13</v>
      </c>
      <c r="H65">
        <v>7</v>
      </c>
      <c r="I65">
        <v>1.7</v>
      </c>
      <c r="J65">
        <v>1</v>
      </c>
      <c r="K65">
        <v>2</v>
      </c>
      <c r="L65">
        <f t="shared" si="4"/>
        <v>4</v>
      </c>
      <c r="M65">
        <v>0</v>
      </c>
      <c r="N65">
        <v>0</v>
      </c>
      <c r="O65">
        <v>4</v>
      </c>
      <c r="P65" s="1">
        <f t="shared" si="5"/>
        <v>0</v>
      </c>
      <c r="Q65">
        <f t="shared" si="6"/>
        <v>4</v>
      </c>
      <c r="R65" s="1">
        <f t="shared" si="7"/>
        <v>122768.52</v>
      </c>
    </row>
    <row r="66" spans="1:18" x14ac:dyDescent="0.3">
      <c r="A66" t="s">
        <v>2137</v>
      </c>
      <c r="B66" t="s">
        <v>2138</v>
      </c>
      <c r="C66" t="s">
        <v>22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0</v>
      </c>
    </row>
    <row r="67" spans="1:18" x14ac:dyDescent="0.3">
      <c r="A67" t="s">
        <v>2139</v>
      </c>
      <c r="B67" t="s">
        <v>2140</v>
      </c>
      <c r="C67" t="s">
        <v>22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2141</v>
      </c>
      <c r="B68" t="s">
        <v>2142</v>
      </c>
      <c r="C68" t="s">
        <v>22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2143</v>
      </c>
      <c r="B69" t="s">
        <v>2144</v>
      </c>
      <c r="C69" t="s">
        <v>22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8"/>
        <v>2</v>
      </c>
      <c r="M69">
        <v>0</v>
      </c>
      <c r="N69">
        <v>0</v>
      </c>
      <c r="O69">
        <v>2</v>
      </c>
      <c r="P69" s="1">
        <f t="shared" si="9"/>
        <v>0</v>
      </c>
      <c r="Q69">
        <f t="shared" si="10"/>
        <v>2</v>
      </c>
      <c r="R69" s="1">
        <f t="shared" si="11"/>
        <v>0</v>
      </c>
    </row>
    <row r="70" spans="1:18" x14ac:dyDescent="0.3">
      <c r="A70" t="s">
        <v>2145</v>
      </c>
      <c r="B70" t="s">
        <v>2146</v>
      </c>
      <c r="C70" t="s">
        <v>22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8"/>
        <v>2</v>
      </c>
      <c r="M70">
        <v>0</v>
      </c>
      <c r="N70">
        <v>0</v>
      </c>
      <c r="O70">
        <v>2</v>
      </c>
      <c r="P70" s="1">
        <f t="shared" si="9"/>
        <v>0</v>
      </c>
      <c r="Q70">
        <f t="shared" si="10"/>
        <v>2</v>
      </c>
      <c r="R70" s="1">
        <f t="shared" si="11"/>
        <v>0</v>
      </c>
    </row>
    <row r="71" spans="1:18" x14ac:dyDescent="0.3">
      <c r="A71" t="s">
        <v>2147</v>
      </c>
      <c r="B71" t="s">
        <v>2148</v>
      </c>
      <c r="C71" t="s">
        <v>22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2149</v>
      </c>
      <c r="B72" t="s">
        <v>2150</v>
      </c>
      <c r="C72" t="s">
        <v>22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2151</v>
      </c>
      <c r="B73" t="s">
        <v>2152</v>
      </c>
      <c r="C73" t="s">
        <v>22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2153</v>
      </c>
      <c r="B74" t="s">
        <v>2154</v>
      </c>
      <c r="C74" t="s">
        <v>22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0</v>
      </c>
    </row>
    <row r="75" spans="1:18" x14ac:dyDescent="0.3">
      <c r="A75" t="s">
        <v>2155</v>
      </c>
      <c r="B75" t="s">
        <v>2156</v>
      </c>
      <c r="C75" t="s">
        <v>22</v>
      </c>
      <c r="D75">
        <v>1</v>
      </c>
      <c r="E75">
        <v>0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2</v>
      </c>
      <c r="P75" s="1">
        <f t="shared" si="9"/>
        <v>0</v>
      </c>
      <c r="Q75">
        <f t="shared" si="10"/>
        <v>2</v>
      </c>
      <c r="R75" s="1">
        <f t="shared" si="11"/>
        <v>0</v>
      </c>
    </row>
    <row r="76" spans="1:18" x14ac:dyDescent="0.3">
      <c r="A76" t="s">
        <v>2157</v>
      </c>
      <c r="B76" t="s">
        <v>2158</v>
      </c>
      <c r="C76" t="s">
        <v>22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2159</v>
      </c>
      <c r="B77" t="s">
        <v>2160</v>
      </c>
      <c r="C77" t="s">
        <v>22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2161</v>
      </c>
      <c r="B78" t="s">
        <v>2162</v>
      </c>
      <c r="C78" t="s">
        <v>22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2163</v>
      </c>
      <c r="B79" t="s">
        <v>2164</v>
      </c>
      <c r="C79" t="s">
        <v>22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2165</v>
      </c>
      <c r="B80" t="s">
        <v>2166</v>
      </c>
      <c r="C80" t="s">
        <v>22</v>
      </c>
      <c r="D80">
        <v>22</v>
      </c>
      <c r="E80">
        <v>2</v>
      </c>
      <c r="F80" t="s">
        <v>2014</v>
      </c>
      <c r="G80" s="1">
        <v>37510.410000000003</v>
      </c>
      <c r="H80">
        <v>3</v>
      </c>
      <c r="I80">
        <v>2</v>
      </c>
      <c r="J80">
        <v>1</v>
      </c>
      <c r="K80">
        <v>2</v>
      </c>
      <c r="L80">
        <f t="shared" si="8"/>
        <v>4</v>
      </c>
      <c r="M80">
        <v>0</v>
      </c>
      <c r="N80">
        <v>0</v>
      </c>
      <c r="O80">
        <v>4</v>
      </c>
      <c r="P80" s="1">
        <f t="shared" si="9"/>
        <v>0</v>
      </c>
      <c r="Q80">
        <f t="shared" si="10"/>
        <v>4</v>
      </c>
      <c r="R80" s="1">
        <f t="shared" si="11"/>
        <v>150041.64000000001</v>
      </c>
    </row>
    <row r="81" spans="1:18" x14ac:dyDescent="0.3">
      <c r="A81" t="s">
        <v>2167</v>
      </c>
      <c r="B81" t="s">
        <v>2168</v>
      </c>
      <c r="C81" t="s">
        <v>22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2169</v>
      </c>
      <c r="B82" t="s">
        <v>2170</v>
      </c>
      <c r="C82" t="s">
        <v>22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2171</v>
      </c>
      <c r="B83" t="s">
        <v>2172</v>
      </c>
      <c r="C83" t="s">
        <v>22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2173</v>
      </c>
      <c r="B84" t="s">
        <v>2174</v>
      </c>
      <c r="C84" t="s">
        <v>22</v>
      </c>
      <c r="D84">
        <v>8</v>
      </c>
      <c r="E84">
        <v>1</v>
      </c>
      <c r="F84" t="s">
        <v>2014</v>
      </c>
      <c r="G84" s="1">
        <v>0</v>
      </c>
      <c r="H84">
        <v>1</v>
      </c>
      <c r="I84">
        <v>2</v>
      </c>
      <c r="J84">
        <v>1</v>
      </c>
      <c r="K84">
        <v>2</v>
      </c>
      <c r="L84">
        <f t="shared" si="8"/>
        <v>4</v>
      </c>
      <c r="M84">
        <v>0</v>
      </c>
      <c r="N84">
        <v>0</v>
      </c>
      <c r="O84">
        <v>4</v>
      </c>
      <c r="P84" s="1">
        <f t="shared" si="9"/>
        <v>0</v>
      </c>
      <c r="Q84">
        <f t="shared" si="10"/>
        <v>4</v>
      </c>
      <c r="R84" s="1">
        <f t="shared" si="11"/>
        <v>0</v>
      </c>
    </row>
    <row r="85" spans="1:18" x14ac:dyDescent="0.3">
      <c r="A85" t="s">
        <v>2175</v>
      </c>
      <c r="B85" t="s">
        <v>2176</v>
      </c>
      <c r="C85" t="s">
        <v>22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2177</v>
      </c>
      <c r="B86" t="s">
        <v>2178</v>
      </c>
      <c r="C86" t="s">
        <v>22</v>
      </c>
      <c r="D86">
        <v>6</v>
      </c>
      <c r="E86">
        <v>3</v>
      </c>
      <c r="F86" t="s">
        <v>2014</v>
      </c>
      <c r="G86" s="1">
        <v>64921.97</v>
      </c>
      <c r="H86">
        <v>3</v>
      </c>
      <c r="I86">
        <v>1.6</v>
      </c>
      <c r="J86">
        <v>1</v>
      </c>
      <c r="K86">
        <v>2</v>
      </c>
      <c r="L86">
        <f t="shared" si="8"/>
        <v>4</v>
      </c>
      <c r="M86">
        <v>0</v>
      </c>
      <c r="N86">
        <v>0</v>
      </c>
      <c r="O86">
        <v>4</v>
      </c>
      <c r="P86" s="1">
        <f t="shared" si="9"/>
        <v>0</v>
      </c>
      <c r="Q86">
        <f t="shared" si="10"/>
        <v>4</v>
      </c>
      <c r="R86" s="1">
        <f t="shared" si="11"/>
        <v>259687.88</v>
      </c>
    </row>
    <row r="87" spans="1:18" x14ac:dyDescent="0.3">
      <c r="A87" t="s">
        <v>2179</v>
      </c>
      <c r="B87" t="s">
        <v>2180</v>
      </c>
      <c r="C87" t="s">
        <v>22</v>
      </c>
      <c r="D87">
        <v>10</v>
      </c>
      <c r="E87">
        <v>0</v>
      </c>
      <c r="G87" s="1">
        <v>0</v>
      </c>
      <c r="H87">
        <v>2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2181</v>
      </c>
      <c r="B88" t="s">
        <v>2182</v>
      </c>
      <c r="C88" t="s">
        <v>22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2183</v>
      </c>
      <c r="B89" t="s">
        <v>2184</v>
      </c>
      <c r="C89" t="s">
        <v>22</v>
      </c>
      <c r="D89">
        <v>29</v>
      </c>
      <c r="E89">
        <v>8</v>
      </c>
      <c r="F89" t="s">
        <v>2014</v>
      </c>
      <c r="G89" s="1">
        <v>40775.360000000001</v>
      </c>
      <c r="H89">
        <v>12</v>
      </c>
      <c r="I89">
        <v>1.9</v>
      </c>
      <c r="J89">
        <v>1</v>
      </c>
      <c r="K89">
        <v>2</v>
      </c>
      <c r="L89">
        <f t="shared" si="8"/>
        <v>4</v>
      </c>
      <c r="M89">
        <v>0</v>
      </c>
      <c r="N89">
        <v>0</v>
      </c>
      <c r="O89">
        <v>4</v>
      </c>
      <c r="P89" s="1">
        <f t="shared" si="9"/>
        <v>0</v>
      </c>
      <c r="Q89">
        <f t="shared" si="10"/>
        <v>4</v>
      </c>
      <c r="R89" s="1">
        <f t="shared" si="11"/>
        <v>163101.44</v>
      </c>
    </row>
    <row r="90" spans="1:18" x14ac:dyDescent="0.3">
      <c r="A90" t="s">
        <v>2185</v>
      </c>
      <c r="B90" t="s">
        <v>2186</v>
      </c>
      <c r="C90" t="s">
        <v>22</v>
      </c>
      <c r="D90">
        <v>1</v>
      </c>
      <c r="E90">
        <v>0</v>
      </c>
      <c r="G90" s="1">
        <v>0</v>
      </c>
      <c r="H90">
        <v>0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0</v>
      </c>
    </row>
    <row r="91" spans="1:18" x14ac:dyDescent="0.3">
      <c r="A91" t="s">
        <v>2187</v>
      </c>
      <c r="B91" t="s">
        <v>2188</v>
      </c>
      <c r="C91" t="s">
        <v>22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2189</v>
      </c>
      <c r="B92" t="s">
        <v>2190</v>
      </c>
      <c r="C92" t="s">
        <v>22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0</v>
      </c>
    </row>
    <row r="93" spans="1:18" x14ac:dyDescent="0.3">
      <c r="A93" t="s">
        <v>2191</v>
      </c>
      <c r="B93" t="s">
        <v>2192</v>
      </c>
      <c r="C93" t="s">
        <v>22</v>
      </c>
      <c r="D93">
        <v>1</v>
      </c>
      <c r="E93">
        <v>0</v>
      </c>
      <c r="G93" s="1">
        <v>0</v>
      </c>
      <c r="H93">
        <v>0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0</v>
      </c>
    </row>
    <row r="94" spans="1:18" x14ac:dyDescent="0.3">
      <c r="A94" t="s">
        <v>2193</v>
      </c>
      <c r="B94" t="s">
        <v>2194</v>
      </c>
      <c r="C94" t="s">
        <v>22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2195</v>
      </c>
      <c r="B95" t="s">
        <v>2196</v>
      </c>
      <c r="C95" t="s">
        <v>22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2197</v>
      </c>
      <c r="B96" t="s">
        <v>2198</v>
      </c>
      <c r="C96" t="s">
        <v>22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2199</v>
      </c>
      <c r="B97" t="s">
        <v>2200</v>
      </c>
      <c r="C97" t="s">
        <v>22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2201</v>
      </c>
      <c r="B98" t="s">
        <v>2202</v>
      </c>
      <c r="C98" t="s">
        <v>22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30" si="13">IFERROR(M98*G98,0)</f>
        <v>0</v>
      </c>
      <c r="Q98">
        <f t="shared" ref="Q98:Q130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2203</v>
      </c>
      <c r="B99" t="s">
        <v>2204</v>
      </c>
      <c r="C99" t="s">
        <v>22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2205</v>
      </c>
      <c r="B100" t="s">
        <v>2206</v>
      </c>
      <c r="C100" t="s">
        <v>22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0</v>
      </c>
    </row>
    <row r="101" spans="1:18" x14ac:dyDescent="0.3">
      <c r="A101" t="s">
        <v>2207</v>
      </c>
      <c r="B101" t="s">
        <v>2208</v>
      </c>
      <c r="C101" t="s">
        <v>22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2209</v>
      </c>
      <c r="B102" t="s">
        <v>2210</v>
      </c>
      <c r="C102" t="s">
        <v>22</v>
      </c>
      <c r="D102">
        <v>26</v>
      </c>
      <c r="E102">
        <v>3</v>
      </c>
      <c r="F102" t="s">
        <v>2014</v>
      </c>
      <c r="G102" s="1">
        <v>48810.59</v>
      </c>
      <c r="H102">
        <v>13</v>
      </c>
      <c r="I102">
        <v>1.5</v>
      </c>
      <c r="J102">
        <v>1</v>
      </c>
      <c r="K102">
        <v>2</v>
      </c>
      <c r="L102">
        <f t="shared" si="12"/>
        <v>4</v>
      </c>
      <c r="M102">
        <v>0</v>
      </c>
      <c r="N102">
        <v>0</v>
      </c>
      <c r="O102">
        <v>4</v>
      </c>
      <c r="P102" s="1">
        <f t="shared" si="13"/>
        <v>0</v>
      </c>
      <c r="Q102">
        <f t="shared" si="14"/>
        <v>4</v>
      </c>
      <c r="R102" s="1">
        <f t="shared" si="15"/>
        <v>195242.36</v>
      </c>
    </row>
    <row r="103" spans="1:18" x14ac:dyDescent="0.3">
      <c r="A103" t="s">
        <v>2211</v>
      </c>
      <c r="B103" t="s">
        <v>2212</v>
      </c>
      <c r="C103" t="s">
        <v>22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2213</v>
      </c>
      <c r="B104" t="s">
        <v>2214</v>
      </c>
      <c r="C104" t="s">
        <v>22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2215</v>
      </c>
      <c r="B105" t="s">
        <v>2216</v>
      </c>
      <c r="C105" t="s">
        <v>22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2217</v>
      </c>
      <c r="B106" t="s">
        <v>2218</v>
      </c>
      <c r="C106" t="s">
        <v>22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2219</v>
      </c>
      <c r="B107" t="s">
        <v>2220</v>
      </c>
      <c r="C107" t="s">
        <v>22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2221</v>
      </c>
      <c r="B108" t="s">
        <v>2222</v>
      </c>
      <c r="C108" t="s">
        <v>22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2223</v>
      </c>
      <c r="B109" t="s">
        <v>2224</v>
      </c>
      <c r="C109" t="s">
        <v>22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2225</v>
      </c>
      <c r="B110" t="s">
        <v>2226</v>
      </c>
      <c r="C110" t="s">
        <v>22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2227</v>
      </c>
      <c r="B111" t="s">
        <v>2228</v>
      </c>
      <c r="C111" t="s">
        <v>22</v>
      </c>
      <c r="D111">
        <v>13</v>
      </c>
      <c r="E111">
        <v>0</v>
      </c>
      <c r="G111" s="1">
        <v>0</v>
      </c>
      <c r="H111">
        <v>5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2229</v>
      </c>
      <c r="B112" t="s">
        <v>2230</v>
      </c>
      <c r="C112" t="s">
        <v>22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0</v>
      </c>
    </row>
    <row r="113" spans="1:18" x14ac:dyDescent="0.3">
      <c r="A113" t="s">
        <v>2231</v>
      </c>
      <c r="B113" t="s">
        <v>2232</v>
      </c>
      <c r="C113" t="s">
        <v>22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2233</v>
      </c>
      <c r="B114" t="s">
        <v>2234</v>
      </c>
      <c r="C114" t="s">
        <v>22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2235</v>
      </c>
      <c r="B115" t="s">
        <v>2236</v>
      </c>
      <c r="C115" t="s">
        <v>22</v>
      </c>
      <c r="D115">
        <v>16</v>
      </c>
      <c r="E115">
        <v>1</v>
      </c>
      <c r="F115" t="s">
        <v>2014</v>
      </c>
      <c r="G115" s="1">
        <v>0</v>
      </c>
      <c r="H115">
        <v>1</v>
      </c>
      <c r="I115">
        <v>0.7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3</v>
      </c>
      <c r="P115" s="1">
        <f t="shared" si="13"/>
        <v>0</v>
      </c>
      <c r="Q115">
        <f t="shared" si="14"/>
        <v>3</v>
      </c>
      <c r="R115" s="1">
        <f t="shared" si="15"/>
        <v>0</v>
      </c>
    </row>
    <row r="116" spans="1:18" x14ac:dyDescent="0.3">
      <c r="A116" t="s">
        <v>2237</v>
      </c>
      <c r="B116" t="s">
        <v>2238</v>
      </c>
      <c r="C116" t="s">
        <v>22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2239</v>
      </c>
      <c r="B117" t="s">
        <v>2240</v>
      </c>
      <c r="C117" t="s">
        <v>22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2241</v>
      </c>
      <c r="B118" t="s">
        <v>2242</v>
      </c>
      <c r="C118" t="s">
        <v>22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2243</v>
      </c>
      <c r="B119" t="s">
        <v>2244</v>
      </c>
      <c r="C119" t="s">
        <v>22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2245</v>
      </c>
      <c r="B120" t="s">
        <v>2246</v>
      </c>
      <c r="C120" t="s">
        <v>22</v>
      </c>
      <c r="D120">
        <v>1</v>
      </c>
      <c r="E120">
        <v>1</v>
      </c>
      <c r="F120" t="s">
        <v>2014</v>
      </c>
      <c r="G120" s="1">
        <v>0</v>
      </c>
      <c r="H120">
        <v>0</v>
      </c>
      <c r="I120">
        <v>0.6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3</v>
      </c>
      <c r="P120" s="1">
        <f t="shared" si="13"/>
        <v>0</v>
      </c>
      <c r="Q120">
        <f t="shared" si="14"/>
        <v>3</v>
      </c>
      <c r="R120" s="1">
        <f t="shared" si="15"/>
        <v>0</v>
      </c>
    </row>
    <row r="121" spans="1:18" x14ac:dyDescent="0.3">
      <c r="A121" t="s">
        <v>2247</v>
      </c>
      <c r="B121" t="s">
        <v>2248</v>
      </c>
      <c r="C121" t="s">
        <v>22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12"/>
        <v>2</v>
      </c>
      <c r="M121">
        <v>0</v>
      </c>
      <c r="N121">
        <v>0</v>
      </c>
      <c r="O121">
        <v>2</v>
      </c>
      <c r="P121" s="1">
        <f t="shared" si="13"/>
        <v>0</v>
      </c>
      <c r="Q121">
        <f t="shared" si="14"/>
        <v>2</v>
      </c>
      <c r="R121" s="1">
        <f t="shared" si="15"/>
        <v>0</v>
      </c>
    </row>
    <row r="122" spans="1:18" x14ac:dyDescent="0.3">
      <c r="A122" t="s">
        <v>2249</v>
      </c>
      <c r="B122" t="s">
        <v>2250</v>
      </c>
      <c r="C122" t="s">
        <v>22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0</v>
      </c>
    </row>
    <row r="123" spans="1:18" x14ac:dyDescent="0.3">
      <c r="A123" t="s">
        <v>2251</v>
      </c>
      <c r="B123" t="s">
        <v>2252</v>
      </c>
      <c r="C123" t="s">
        <v>22</v>
      </c>
      <c r="D123">
        <v>16</v>
      </c>
      <c r="E123">
        <v>0</v>
      </c>
      <c r="G123" s="1">
        <v>6938.16</v>
      </c>
      <c r="H123">
        <v>0</v>
      </c>
      <c r="I123">
        <v>0.5</v>
      </c>
      <c r="J123">
        <v>1</v>
      </c>
      <c r="K123">
        <v>1</v>
      </c>
      <c r="L123">
        <f t="shared" si="12"/>
        <v>2</v>
      </c>
      <c r="M123">
        <v>0</v>
      </c>
      <c r="N123">
        <v>0</v>
      </c>
      <c r="O123">
        <v>2</v>
      </c>
      <c r="P123" s="1">
        <f t="shared" si="13"/>
        <v>0</v>
      </c>
      <c r="Q123">
        <f t="shared" si="14"/>
        <v>2</v>
      </c>
      <c r="R123" s="1">
        <f t="shared" si="15"/>
        <v>13876.32</v>
      </c>
    </row>
    <row r="124" spans="1:18" x14ac:dyDescent="0.3">
      <c r="A124" t="s">
        <v>2253</v>
      </c>
      <c r="B124" t="s">
        <v>2254</v>
      </c>
      <c r="C124" t="s">
        <v>22</v>
      </c>
      <c r="D124">
        <v>1</v>
      </c>
      <c r="E124">
        <v>0</v>
      </c>
      <c r="G124" s="1">
        <v>0</v>
      </c>
      <c r="H124">
        <v>0</v>
      </c>
      <c r="I124">
        <v>0.5</v>
      </c>
      <c r="J124">
        <v>1</v>
      </c>
      <c r="K124">
        <v>1</v>
      </c>
      <c r="L124">
        <f t="shared" si="12"/>
        <v>2</v>
      </c>
      <c r="M124">
        <v>0</v>
      </c>
      <c r="N124">
        <v>0</v>
      </c>
      <c r="O124">
        <v>2</v>
      </c>
      <c r="P124" s="1">
        <f t="shared" si="13"/>
        <v>0</v>
      </c>
      <c r="Q124">
        <f t="shared" si="14"/>
        <v>2</v>
      </c>
      <c r="R124" s="1">
        <f t="shared" si="15"/>
        <v>0</v>
      </c>
    </row>
    <row r="125" spans="1:18" x14ac:dyDescent="0.3">
      <c r="A125" t="s">
        <v>2255</v>
      </c>
      <c r="B125" t="s">
        <v>2256</v>
      </c>
      <c r="C125" t="s">
        <v>22</v>
      </c>
      <c r="D125">
        <v>1</v>
      </c>
      <c r="E125">
        <v>2</v>
      </c>
      <c r="F125" t="s">
        <v>2014</v>
      </c>
      <c r="G125" s="1">
        <v>14161.01</v>
      </c>
      <c r="H125">
        <v>2</v>
      </c>
      <c r="I125">
        <v>1.7</v>
      </c>
      <c r="J125">
        <v>2</v>
      </c>
      <c r="K125">
        <v>3</v>
      </c>
      <c r="L125">
        <f t="shared" si="12"/>
        <v>7</v>
      </c>
      <c r="M125">
        <v>0</v>
      </c>
      <c r="N125">
        <v>0</v>
      </c>
      <c r="O125">
        <v>7</v>
      </c>
      <c r="P125" s="1">
        <f t="shared" si="13"/>
        <v>0</v>
      </c>
      <c r="Q125">
        <f t="shared" si="14"/>
        <v>7</v>
      </c>
      <c r="R125" s="1">
        <f t="shared" si="15"/>
        <v>99127.07</v>
      </c>
    </row>
    <row r="126" spans="1:18" x14ac:dyDescent="0.3">
      <c r="A126" t="s">
        <v>2257</v>
      </c>
      <c r="B126" t="s">
        <v>2258</v>
      </c>
      <c r="C126" t="s">
        <v>22</v>
      </c>
      <c r="D126">
        <v>1</v>
      </c>
      <c r="E126">
        <v>0</v>
      </c>
      <c r="G126" s="1">
        <v>0</v>
      </c>
      <c r="H126">
        <v>1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0</v>
      </c>
    </row>
    <row r="127" spans="1:18" x14ac:dyDescent="0.3">
      <c r="A127" t="s">
        <v>2259</v>
      </c>
      <c r="B127" t="s">
        <v>2260</v>
      </c>
      <c r="C127" t="s">
        <v>22</v>
      </c>
      <c r="D127">
        <v>33</v>
      </c>
      <c r="E127">
        <v>0</v>
      </c>
      <c r="G127" s="1">
        <v>0</v>
      </c>
      <c r="H127">
        <v>2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0</v>
      </c>
    </row>
    <row r="128" spans="1:18" x14ac:dyDescent="0.3">
      <c r="A128" t="s">
        <v>2261</v>
      </c>
      <c r="B128" t="s">
        <v>2262</v>
      </c>
      <c r="C128" t="s">
        <v>22</v>
      </c>
      <c r="D128">
        <v>57</v>
      </c>
      <c r="E128">
        <v>0</v>
      </c>
      <c r="G128" s="1">
        <v>0</v>
      </c>
      <c r="H128">
        <v>9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0</v>
      </c>
    </row>
    <row r="129" spans="1:18" x14ac:dyDescent="0.3">
      <c r="A129" t="s">
        <v>2263</v>
      </c>
      <c r="B129" t="s">
        <v>2264</v>
      </c>
      <c r="C129" t="s">
        <v>22</v>
      </c>
      <c r="D129">
        <v>20</v>
      </c>
      <c r="E129">
        <v>8</v>
      </c>
      <c r="F129" t="s">
        <v>2014</v>
      </c>
      <c r="G129" s="1">
        <v>0</v>
      </c>
      <c r="H129">
        <v>3</v>
      </c>
      <c r="I129">
        <v>1.4</v>
      </c>
      <c r="J129">
        <v>1</v>
      </c>
      <c r="K129">
        <v>1</v>
      </c>
      <c r="L129">
        <f t="shared" si="12"/>
        <v>3</v>
      </c>
      <c r="M129">
        <v>0</v>
      </c>
      <c r="N129">
        <v>0</v>
      </c>
      <c r="O129">
        <v>3</v>
      </c>
      <c r="P129" s="1">
        <f t="shared" si="13"/>
        <v>0</v>
      </c>
      <c r="Q129">
        <f t="shared" si="14"/>
        <v>3</v>
      </c>
      <c r="R129" s="1">
        <f t="shared" si="15"/>
        <v>0</v>
      </c>
    </row>
    <row r="130" spans="1:18" x14ac:dyDescent="0.3">
      <c r="A130" t="s">
        <v>2265</v>
      </c>
      <c r="B130" t="s">
        <v>2266</v>
      </c>
      <c r="C130" t="s">
        <v>22</v>
      </c>
      <c r="D130">
        <v>20</v>
      </c>
      <c r="E130">
        <v>4</v>
      </c>
      <c r="F130" t="s">
        <v>2014</v>
      </c>
      <c r="G130" s="1">
        <v>0</v>
      </c>
      <c r="H130">
        <v>0</v>
      </c>
      <c r="I130">
        <v>1.1000000000000001</v>
      </c>
      <c r="J130">
        <v>1</v>
      </c>
      <c r="K130">
        <v>1</v>
      </c>
      <c r="L130">
        <f t="shared" ref="L130:L161" si="16">ROUNDUP((J130*I130)+K130,0)</f>
        <v>3</v>
      </c>
      <c r="M130">
        <v>0</v>
      </c>
      <c r="N130">
        <v>0</v>
      </c>
      <c r="O130">
        <v>3</v>
      </c>
      <c r="P130" s="1">
        <f t="shared" si="13"/>
        <v>0</v>
      </c>
      <c r="Q130">
        <f t="shared" si="14"/>
        <v>3</v>
      </c>
      <c r="R130" s="1">
        <f t="shared" ref="R130:R161" si="17">IFERROR(Q130*G130,0)</f>
        <v>0</v>
      </c>
    </row>
    <row r="131" spans="1:18" x14ac:dyDescent="0.3">
      <c r="A13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2267</v>
      </c>
      <c r="B2" t="s">
        <v>2268</v>
      </c>
      <c r="C2" t="s">
        <v>23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R1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2269</v>
      </c>
      <c r="B2" t="s">
        <v>2270</v>
      </c>
      <c r="C2" t="s">
        <v>24</v>
      </c>
      <c r="D2">
        <v>22</v>
      </c>
      <c r="E2">
        <v>354</v>
      </c>
      <c r="F2" t="s">
        <v>181</v>
      </c>
      <c r="G2" s="1">
        <v>235</v>
      </c>
      <c r="H2">
        <v>0</v>
      </c>
      <c r="I2">
        <v>0.5</v>
      </c>
      <c r="J2">
        <v>16.5</v>
      </c>
      <c r="K2">
        <v>8</v>
      </c>
      <c r="L2">
        <f t="shared" ref="L2:L16" si="0">ROUNDUP((J2*I2)+K2,0)</f>
        <v>17</v>
      </c>
      <c r="M2">
        <v>0</v>
      </c>
      <c r="N2">
        <v>0</v>
      </c>
      <c r="O2">
        <v>41</v>
      </c>
      <c r="P2" s="1">
        <f t="shared" ref="P2:P16" si="1">IFERROR(M2*G2,0)</f>
        <v>0</v>
      </c>
      <c r="Q2">
        <f t="shared" ref="Q2:Q16" si="2">IF(O2-M2-N2&gt;0,O2-M2-N2,0)</f>
        <v>41</v>
      </c>
      <c r="R2" s="1">
        <f t="shared" ref="R2:R16" si="3">IFERROR(Q2*G2,0)</f>
        <v>9635</v>
      </c>
    </row>
    <row r="3" spans="1:18" x14ac:dyDescent="0.3">
      <c r="A3" t="s">
        <v>2271</v>
      </c>
      <c r="B3" t="s">
        <v>2272</v>
      </c>
      <c r="C3" t="s">
        <v>24</v>
      </c>
      <c r="D3">
        <v>22</v>
      </c>
      <c r="E3">
        <v>118</v>
      </c>
      <c r="F3" t="s">
        <v>181</v>
      </c>
      <c r="G3" s="1">
        <v>270</v>
      </c>
      <c r="H3">
        <v>0</v>
      </c>
      <c r="I3">
        <v>0.5</v>
      </c>
      <c r="J3">
        <v>5.5</v>
      </c>
      <c r="K3">
        <v>3</v>
      </c>
      <c r="L3">
        <f t="shared" si="0"/>
        <v>6</v>
      </c>
      <c r="M3">
        <v>0</v>
      </c>
      <c r="N3">
        <v>0</v>
      </c>
      <c r="O3">
        <v>14</v>
      </c>
      <c r="P3" s="1">
        <f t="shared" si="1"/>
        <v>0</v>
      </c>
      <c r="Q3">
        <f t="shared" si="2"/>
        <v>14</v>
      </c>
      <c r="R3" s="1">
        <f t="shared" si="3"/>
        <v>3780</v>
      </c>
    </row>
    <row r="4" spans="1:18" x14ac:dyDescent="0.3">
      <c r="A4" t="s">
        <v>2273</v>
      </c>
      <c r="B4" t="s">
        <v>2274</v>
      </c>
      <c r="C4" t="s">
        <v>24</v>
      </c>
      <c r="D4">
        <v>22</v>
      </c>
      <c r="E4">
        <v>103</v>
      </c>
      <c r="F4" t="s">
        <v>181</v>
      </c>
      <c r="G4" s="1">
        <v>270</v>
      </c>
      <c r="H4">
        <v>0</v>
      </c>
      <c r="I4">
        <v>0.5</v>
      </c>
      <c r="J4">
        <v>5</v>
      </c>
      <c r="K4">
        <v>2</v>
      </c>
      <c r="L4">
        <f t="shared" si="0"/>
        <v>5</v>
      </c>
      <c r="M4">
        <v>0</v>
      </c>
      <c r="N4">
        <v>0</v>
      </c>
      <c r="O4">
        <v>12</v>
      </c>
      <c r="P4" s="1">
        <f t="shared" si="1"/>
        <v>0</v>
      </c>
      <c r="Q4">
        <f t="shared" si="2"/>
        <v>12</v>
      </c>
      <c r="R4" s="1">
        <f t="shared" si="3"/>
        <v>3240</v>
      </c>
    </row>
    <row r="5" spans="1:18" x14ac:dyDescent="0.3">
      <c r="A5" t="s">
        <v>2275</v>
      </c>
      <c r="B5" t="s">
        <v>2276</v>
      </c>
      <c r="C5" t="s">
        <v>24</v>
      </c>
      <c r="D5">
        <v>21</v>
      </c>
      <c r="E5">
        <v>82</v>
      </c>
      <c r="F5" t="s">
        <v>181</v>
      </c>
      <c r="G5" s="1">
        <v>270</v>
      </c>
      <c r="H5">
        <v>0</v>
      </c>
      <c r="I5">
        <v>0.5</v>
      </c>
      <c r="J5">
        <v>4</v>
      </c>
      <c r="K5">
        <v>2</v>
      </c>
      <c r="L5">
        <f t="shared" si="0"/>
        <v>4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2700</v>
      </c>
    </row>
    <row r="6" spans="1:18" x14ac:dyDescent="0.3">
      <c r="A6" t="s">
        <v>2277</v>
      </c>
      <c r="B6" t="s">
        <v>2278</v>
      </c>
      <c r="C6" t="s">
        <v>24</v>
      </c>
      <c r="D6">
        <v>22</v>
      </c>
      <c r="E6">
        <v>55</v>
      </c>
      <c r="F6" t="s">
        <v>181</v>
      </c>
      <c r="G6" s="1">
        <v>270</v>
      </c>
      <c r="H6">
        <v>0</v>
      </c>
      <c r="I6">
        <v>0.5</v>
      </c>
      <c r="J6">
        <v>2.5</v>
      </c>
      <c r="K6">
        <v>1</v>
      </c>
      <c r="L6">
        <f t="shared" si="0"/>
        <v>3</v>
      </c>
      <c r="M6">
        <v>0</v>
      </c>
      <c r="N6">
        <v>0</v>
      </c>
      <c r="O6">
        <v>6</v>
      </c>
      <c r="P6" s="1">
        <f t="shared" si="1"/>
        <v>0</v>
      </c>
      <c r="Q6">
        <f t="shared" si="2"/>
        <v>6</v>
      </c>
      <c r="R6" s="1">
        <f t="shared" si="3"/>
        <v>1620</v>
      </c>
    </row>
    <row r="7" spans="1:18" x14ac:dyDescent="0.3">
      <c r="A7" t="s">
        <v>2279</v>
      </c>
      <c r="B7" t="s">
        <v>2280</v>
      </c>
      <c r="C7" t="s">
        <v>24</v>
      </c>
      <c r="D7">
        <v>22</v>
      </c>
      <c r="E7">
        <v>81</v>
      </c>
      <c r="F7" t="s">
        <v>181</v>
      </c>
      <c r="G7" s="1">
        <v>297</v>
      </c>
      <c r="H7">
        <v>0</v>
      </c>
      <c r="I7">
        <v>0.5</v>
      </c>
      <c r="J7">
        <v>4</v>
      </c>
      <c r="K7">
        <v>2</v>
      </c>
      <c r="L7">
        <f t="shared" si="0"/>
        <v>4</v>
      </c>
      <c r="M7">
        <v>0</v>
      </c>
      <c r="N7">
        <v>0</v>
      </c>
      <c r="O7">
        <v>10</v>
      </c>
      <c r="P7" s="1">
        <f t="shared" si="1"/>
        <v>0</v>
      </c>
      <c r="Q7">
        <f t="shared" si="2"/>
        <v>10</v>
      </c>
      <c r="R7" s="1">
        <f t="shared" si="3"/>
        <v>2970</v>
      </c>
    </row>
    <row r="8" spans="1:18" x14ac:dyDescent="0.3">
      <c r="A8" t="s">
        <v>2281</v>
      </c>
      <c r="B8" t="s">
        <v>2282</v>
      </c>
      <c r="C8" t="s">
        <v>24</v>
      </c>
      <c r="D8">
        <v>11</v>
      </c>
      <c r="E8">
        <v>10</v>
      </c>
      <c r="F8" t="s">
        <v>181</v>
      </c>
      <c r="G8" s="1">
        <v>384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768</v>
      </c>
    </row>
    <row r="9" spans="1:18" x14ac:dyDescent="0.3">
      <c r="A9" t="s">
        <v>2283</v>
      </c>
      <c r="B9" t="s">
        <v>2284</v>
      </c>
      <c r="C9" t="s">
        <v>24</v>
      </c>
      <c r="D9">
        <v>17</v>
      </c>
      <c r="E9">
        <v>30</v>
      </c>
      <c r="F9" t="s">
        <v>181</v>
      </c>
      <c r="G9" s="1">
        <v>384</v>
      </c>
      <c r="H9">
        <v>0</v>
      </c>
      <c r="I9">
        <v>0.5</v>
      </c>
      <c r="J9">
        <v>2</v>
      </c>
      <c r="K9">
        <v>1</v>
      </c>
      <c r="L9">
        <f t="shared" si="0"/>
        <v>2</v>
      </c>
      <c r="M9">
        <v>0</v>
      </c>
      <c r="N9">
        <v>0</v>
      </c>
      <c r="O9">
        <v>5</v>
      </c>
      <c r="P9" s="1">
        <f t="shared" si="1"/>
        <v>0</v>
      </c>
      <c r="Q9">
        <f t="shared" si="2"/>
        <v>5</v>
      </c>
      <c r="R9" s="1">
        <f t="shared" si="3"/>
        <v>1920</v>
      </c>
    </row>
    <row r="10" spans="1:18" x14ac:dyDescent="0.3">
      <c r="A10" t="s">
        <v>2285</v>
      </c>
      <c r="B10" t="s">
        <v>2286</v>
      </c>
      <c r="C10" t="s">
        <v>24</v>
      </c>
      <c r="D10">
        <v>21</v>
      </c>
      <c r="E10">
        <v>24</v>
      </c>
      <c r="F10" t="s">
        <v>181</v>
      </c>
      <c r="G10" s="1">
        <v>384</v>
      </c>
      <c r="H10">
        <v>0</v>
      </c>
      <c r="I10">
        <v>0.5</v>
      </c>
      <c r="J10">
        <v>1.5</v>
      </c>
      <c r="K10">
        <v>1</v>
      </c>
      <c r="L10">
        <f t="shared" si="0"/>
        <v>2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1536</v>
      </c>
    </row>
    <row r="11" spans="1:18" x14ac:dyDescent="0.3">
      <c r="A11" t="s">
        <v>2287</v>
      </c>
      <c r="B11" t="s">
        <v>2288</v>
      </c>
      <c r="C11" t="s">
        <v>24</v>
      </c>
      <c r="D11">
        <v>20</v>
      </c>
      <c r="E11">
        <v>12</v>
      </c>
      <c r="F11" t="s">
        <v>181</v>
      </c>
      <c r="G11" s="1">
        <v>384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768</v>
      </c>
    </row>
    <row r="12" spans="1:18" x14ac:dyDescent="0.3">
      <c r="A12" t="s">
        <v>2289</v>
      </c>
      <c r="B12" t="s">
        <v>2290</v>
      </c>
      <c r="C12" t="s">
        <v>24</v>
      </c>
      <c r="D12">
        <v>1</v>
      </c>
      <c r="E12">
        <v>6</v>
      </c>
      <c r="F12" t="s">
        <v>181</v>
      </c>
      <c r="G12" s="1">
        <v>384</v>
      </c>
      <c r="H12">
        <v>0</v>
      </c>
      <c r="I12">
        <v>0.5</v>
      </c>
      <c r="J12">
        <v>6</v>
      </c>
      <c r="K12">
        <v>3</v>
      </c>
      <c r="L12">
        <f t="shared" si="0"/>
        <v>6</v>
      </c>
      <c r="M12">
        <v>0</v>
      </c>
      <c r="N12">
        <v>0</v>
      </c>
      <c r="O12">
        <v>15</v>
      </c>
      <c r="P12" s="1">
        <f t="shared" si="1"/>
        <v>0</v>
      </c>
      <c r="Q12">
        <f t="shared" si="2"/>
        <v>15</v>
      </c>
      <c r="R12" s="1">
        <f t="shared" si="3"/>
        <v>5760</v>
      </c>
    </row>
    <row r="13" spans="1:18" x14ac:dyDescent="0.3">
      <c r="A13" t="s">
        <v>2291</v>
      </c>
      <c r="B13" t="s">
        <v>2292</v>
      </c>
      <c r="C13" t="s">
        <v>24</v>
      </c>
      <c r="D13">
        <v>22</v>
      </c>
      <c r="E13">
        <v>2060</v>
      </c>
      <c r="F13" t="s">
        <v>181</v>
      </c>
      <c r="G13" s="1">
        <v>85</v>
      </c>
      <c r="H13">
        <v>0</v>
      </c>
      <c r="I13">
        <v>0.5</v>
      </c>
      <c r="J13">
        <v>94</v>
      </c>
      <c r="K13">
        <v>47</v>
      </c>
      <c r="L13">
        <f t="shared" si="0"/>
        <v>94</v>
      </c>
      <c r="M13">
        <v>0</v>
      </c>
      <c r="N13">
        <v>200</v>
      </c>
      <c r="O13">
        <v>235</v>
      </c>
      <c r="P13" s="1">
        <f t="shared" si="1"/>
        <v>0</v>
      </c>
      <c r="Q13">
        <f t="shared" si="2"/>
        <v>35</v>
      </c>
      <c r="R13" s="1">
        <f t="shared" si="3"/>
        <v>2975</v>
      </c>
    </row>
    <row r="14" spans="1:18" x14ac:dyDescent="0.3">
      <c r="A14" t="s">
        <v>2293</v>
      </c>
      <c r="B14" t="s">
        <v>2294</v>
      </c>
      <c r="C14" t="s">
        <v>24</v>
      </c>
      <c r="D14">
        <v>18</v>
      </c>
      <c r="E14">
        <v>205</v>
      </c>
      <c r="F14" t="s">
        <v>181</v>
      </c>
      <c r="G14" s="1">
        <v>11</v>
      </c>
      <c r="H14">
        <v>0</v>
      </c>
      <c r="I14">
        <v>0.5</v>
      </c>
      <c r="J14">
        <v>11.5</v>
      </c>
      <c r="K14">
        <v>6</v>
      </c>
      <c r="L14">
        <f t="shared" si="0"/>
        <v>12</v>
      </c>
      <c r="M14">
        <v>0</v>
      </c>
      <c r="N14">
        <v>0</v>
      </c>
      <c r="O14">
        <v>29</v>
      </c>
      <c r="P14" s="1">
        <f t="shared" si="1"/>
        <v>0</v>
      </c>
      <c r="Q14">
        <f t="shared" si="2"/>
        <v>29</v>
      </c>
      <c r="R14" s="1">
        <f t="shared" si="3"/>
        <v>319</v>
      </c>
    </row>
    <row r="15" spans="1:18" x14ac:dyDescent="0.3">
      <c r="A15" t="s">
        <v>2295</v>
      </c>
      <c r="B15" t="s">
        <v>2296</v>
      </c>
      <c r="C15" t="s">
        <v>24</v>
      </c>
      <c r="D15">
        <v>22</v>
      </c>
      <c r="E15">
        <v>1305</v>
      </c>
      <c r="F15" t="s">
        <v>181</v>
      </c>
      <c r="G15" s="1">
        <v>42</v>
      </c>
      <c r="H15">
        <v>0</v>
      </c>
      <c r="I15">
        <v>0.5</v>
      </c>
      <c r="J15">
        <v>59.5</v>
      </c>
      <c r="K15">
        <v>30</v>
      </c>
      <c r="L15">
        <f t="shared" si="0"/>
        <v>60</v>
      </c>
      <c r="M15">
        <v>0</v>
      </c>
      <c r="N15">
        <v>0</v>
      </c>
      <c r="O15">
        <v>149</v>
      </c>
      <c r="P15" s="1">
        <f t="shared" si="1"/>
        <v>0</v>
      </c>
      <c r="Q15">
        <f t="shared" si="2"/>
        <v>149</v>
      </c>
      <c r="R15" s="1">
        <f t="shared" si="3"/>
        <v>6258</v>
      </c>
    </row>
    <row r="16" spans="1:18" x14ac:dyDescent="0.3">
      <c r="A16" t="s">
        <v>2297</v>
      </c>
      <c r="B16" t="s">
        <v>2298</v>
      </c>
      <c r="C16" t="s">
        <v>24</v>
      </c>
      <c r="D16">
        <v>18</v>
      </c>
      <c r="E16">
        <v>290</v>
      </c>
      <c r="F16" t="s">
        <v>181</v>
      </c>
      <c r="G16" s="1">
        <v>11</v>
      </c>
      <c r="H16">
        <v>0</v>
      </c>
      <c r="I16">
        <v>0.5</v>
      </c>
      <c r="J16">
        <v>16.5</v>
      </c>
      <c r="K16">
        <v>8</v>
      </c>
      <c r="L16">
        <f t="shared" si="0"/>
        <v>17</v>
      </c>
      <c r="M16">
        <v>0</v>
      </c>
      <c r="N16">
        <v>0</v>
      </c>
      <c r="O16">
        <v>41</v>
      </c>
      <c r="P16" s="1">
        <f t="shared" si="1"/>
        <v>0</v>
      </c>
      <c r="Q16">
        <f t="shared" si="2"/>
        <v>41</v>
      </c>
      <c r="R16" s="1">
        <f t="shared" si="3"/>
        <v>451</v>
      </c>
    </row>
    <row r="17" spans="1:1" x14ac:dyDescent="0.3">
      <c r="A1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R12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2299</v>
      </c>
      <c r="B2" t="s">
        <v>2300</v>
      </c>
      <c r="C2" t="s">
        <v>25</v>
      </c>
      <c r="D2">
        <v>1</v>
      </c>
      <c r="E2">
        <v>2</v>
      </c>
      <c r="F2" t="s">
        <v>2301</v>
      </c>
      <c r="G2" s="1">
        <v>4520.6400000000003</v>
      </c>
      <c r="H2">
        <v>0</v>
      </c>
      <c r="I2">
        <v>1</v>
      </c>
      <c r="J2">
        <v>2</v>
      </c>
      <c r="K2">
        <v>2</v>
      </c>
      <c r="L2">
        <f t="shared" ref="L2:L33" si="0">ROUNDUP((J2*I2)+K2,0)</f>
        <v>4</v>
      </c>
      <c r="M2">
        <v>0</v>
      </c>
      <c r="N2">
        <v>0</v>
      </c>
      <c r="O2">
        <v>6</v>
      </c>
      <c r="P2" s="1">
        <f t="shared" ref="P2:P33" si="1">IFERROR(M2*G2,0)</f>
        <v>0</v>
      </c>
      <c r="Q2">
        <f t="shared" ref="Q2:Q33" si="2">IF(O2-M2-N2&gt;0,O2-M2-N2,0)</f>
        <v>6</v>
      </c>
      <c r="R2" s="1">
        <f t="shared" ref="R2:R33" si="3">IFERROR(Q2*G2,0)</f>
        <v>27123.840000000004</v>
      </c>
    </row>
    <row r="3" spans="1:18" x14ac:dyDescent="0.3">
      <c r="A3" t="s">
        <v>2302</v>
      </c>
      <c r="B3" t="s">
        <v>2303</v>
      </c>
      <c r="C3" t="s">
        <v>25</v>
      </c>
      <c r="D3">
        <v>23</v>
      </c>
      <c r="E3">
        <v>30</v>
      </c>
      <c r="F3" t="s">
        <v>2301</v>
      </c>
      <c r="G3" s="1">
        <v>59.08</v>
      </c>
      <c r="H3">
        <v>15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236.32</v>
      </c>
    </row>
    <row r="4" spans="1:18" x14ac:dyDescent="0.3">
      <c r="A4" t="s">
        <v>2304</v>
      </c>
      <c r="B4" t="s">
        <v>2305</v>
      </c>
      <c r="C4" t="s">
        <v>25</v>
      </c>
      <c r="D4">
        <v>17</v>
      </c>
      <c r="E4">
        <v>30</v>
      </c>
      <c r="F4" t="s">
        <v>2301</v>
      </c>
      <c r="G4" s="1">
        <v>95.86</v>
      </c>
      <c r="H4">
        <v>7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479.3</v>
      </c>
    </row>
    <row r="5" spans="1:18" x14ac:dyDescent="0.3">
      <c r="A5" t="s">
        <v>2306</v>
      </c>
      <c r="B5" t="s">
        <v>2307</v>
      </c>
      <c r="C5" t="s">
        <v>25</v>
      </c>
      <c r="D5">
        <v>25</v>
      </c>
      <c r="E5">
        <v>100</v>
      </c>
      <c r="F5" t="s">
        <v>2301</v>
      </c>
      <c r="G5" s="1">
        <v>137.02000000000001</v>
      </c>
      <c r="H5">
        <v>72</v>
      </c>
      <c r="I5">
        <v>0.6</v>
      </c>
      <c r="J5">
        <v>4</v>
      </c>
      <c r="K5">
        <v>2</v>
      </c>
      <c r="L5">
        <f t="shared" si="0"/>
        <v>5</v>
      </c>
      <c r="M5">
        <v>0</v>
      </c>
      <c r="N5">
        <v>0</v>
      </c>
      <c r="O5">
        <v>10</v>
      </c>
      <c r="P5" s="1">
        <f t="shared" si="1"/>
        <v>0</v>
      </c>
      <c r="Q5">
        <f t="shared" si="2"/>
        <v>10</v>
      </c>
      <c r="R5" s="1">
        <f t="shared" si="3"/>
        <v>1370.2</v>
      </c>
    </row>
    <row r="6" spans="1:18" x14ac:dyDescent="0.3">
      <c r="A6" t="s">
        <v>2308</v>
      </c>
      <c r="B6" t="s">
        <v>2309</v>
      </c>
      <c r="C6" t="s">
        <v>25</v>
      </c>
      <c r="D6">
        <v>25</v>
      </c>
      <c r="E6">
        <v>85</v>
      </c>
      <c r="F6" t="s">
        <v>2301</v>
      </c>
      <c r="G6" s="1">
        <v>277.75</v>
      </c>
      <c r="H6">
        <v>1</v>
      </c>
      <c r="I6">
        <v>0.7</v>
      </c>
      <c r="J6">
        <v>3.5</v>
      </c>
      <c r="K6">
        <v>2</v>
      </c>
      <c r="L6">
        <f t="shared" si="0"/>
        <v>5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2499.75</v>
      </c>
    </row>
    <row r="7" spans="1:18" x14ac:dyDescent="0.3">
      <c r="A7" t="s">
        <v>2310</v>
      </c>
      <c r="B7" t="s">
        <v>2311</v>
      </c>
      <c r="C7" t="s">
        <v>25</v>
      </c>
      <c r="D7">
        <v>6</v>
      </c>
      <c r="E7">
        <v>4</v>
      </c>
      <c r="F7" t="s">
        <v>2301</v>
      </c>
      <c r="G7" s="1">
        <v>872.8</v>
      </c>
      <c r="H7">
        <v>4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1745.6</v>
      </c>
    </row>
    <row r="8" spans="1:18" x14ac:dyDescent="0.3">
      <c r="A8" t="s">
        <v>2312</v>
      </c>
      <c r="B8" t="s">
        <v>2313</v>
      </c>
      <c r="C8" t="s">
        <v>25</v>
      </c>
      <c r="D8">
        <v>1</v>
      </c>
      <c r="E8">
        <v>0</v>
      </c>
      <c r="F8" t="s">
        <v>2301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2314</v>
      </c>
      <c r="B9" t="s">
        <v>2315</v>
      </c>
      <c r="C9" t="s">
        <v>25</v>
      </c>
      <c r="D9">
        <v>1</v>
      </c>
      <c r="E9">
        <v>0</v>
      </c>
      <c r="F9" t="s">
        <v>2301</v>
      </c>
      <c r="G9" s="1">
        <v>0</v>
      </c>
      <c r="H9">
        <v>0</v>
      </c>
      <c r="I9">
        <v>0.7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0</v>
      </c>
    </row>
    <row r="10" spans="1:18" x14ac:dyDescent="0.3">
      <c r="A10" t="s">
        <v>2316</v>
      </c>
      <c r="B10" t="s">
        <v>2317</v>
      </c>
      <c r="C10" t="s">
        <v>25</v>
      </c>
      <c r="D10">
        <v>1</v>
      </c>
      <c r="E10">
        <v>0</v>
      </c>
      <c r="F10" t="s">
        <v>2301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2318</v>
      </c>
      <c r="B11" t="s">
        <v>2319</v>
      </c>
      <c r="C11" t="s">
        <v>25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2320</v>
      </c>
      <c r="B12" t="s">
        <v>2321</v>
      </c>
      <c r="C12" t="s">
        <v>25</v>
      </c>
      <c r="D12">
        <v>1</v>
      </c>
      <c r="E12">
        <v>0</v>
      </c>
      <c r="F12" t="s">
        <v>2301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2322</v>
      </c>
      <c r="B13" t="s">
        <v>2323</v>
      </c>
      <c r="C13" t="s">
        <v>25</v>
      </c>
      <c r="D13">
        <v>29</v>
      </c>
      <c r="E13">
        <v>4</v>
      </c>
      <c r="F13" t="s">
        <v>2301</v>
      </c>
      <c r="G13" s="1">
        <v>4865.1000000000004</v>
      </c>
      <c r="H13">
        <v>5</v>
      </c>
      <c r="I13">
        <v>0.9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3</v>
      </c>
      <c r="P13" s="1">
        <f t="shared" si="1"/>
        <v>0</v>
      </c>
      <c r="Q13">
        <f t="shared" si="2"/>
        <v>3</v>
      </c>
      <c r="R13" s="1">
        <f t="shared" si="3"/>
        <v>14595.300000000001</v>
      </c>
    </row>
    <row r="14" spans="1:18" x14ac:dyDescent="0.3">
      <c r="A14" t="s">
        <v>2324</v>
      </c>
      <c r="B14" t="s">
        <v>2325</v>
      </c>
      <c r="C14" t="s">
        <v>25</v>
      </c>
      <c r="D14">
        <v>1</v>
      </c>
      <c r="E14">
        <v>0</v>
      </c>
      <c r="F14" t="s">
        <v>2301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2326</v>
      </c>
      <c r="B15" t="s">
        <v>2327</v>
      </c>
      <c r="C15" t="s">
        <v>25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2328</v>
      </c>
      <c r="B16" t="s">
        <v>2329</v>
      </c>
      <c r="C16" t="s">
        <v>25</v>
      </c>
      <c r="D16">
        <v>7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2330</v>
      </c>
      <c r="B17" t="s">
        <v>2331</v>
      </c>
      <c r="C17" t="s">
        <v>25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2332</v>
      </c>
      <c r="B18" t="s">
        <v>2333</v>
      </c>
      <c r="C18" t="s">
        <v>25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2334</v>
      </c>
      <c r="B19" t="s">
        <v>2335</v>
      </c>
      <c r="C19" t="s">
        <v>25</v>
      </c>
      <c r="D19">
        <v>1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2336</v>
      </c>
      <c r="B20" t="s">
        <v>2337</v>
      </c>
      <c r="C20" t="s">
        <v>25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2338</v>
      </c>
      <c r="B21" t="s">
        <v>2339</v>
      </c>
      <c r="C21" t="s">
        <v>25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2340</v>
      </c>
      <c r="B22" t="s">
        <v>2341</v>
      </c>
      <c r="C22" t="s">
        <v>25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2342</v>
      </c>
      <c r="B23" t="s">
        <v>2343</v>
      </c>
      <c r="C23" t="s">
        <v>25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2344</v>
      </c>
      <c r="B24" t="s">
        <v>2345</v>
      </c>
      <c r="C24" t="s">
        <v>25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2346</v>
      </c>
      <c r="B25" t="s">
        <v>2347</v>
      </c>
      <c r="C25" t="s">
        <v>25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2348</v>
      </c>
      <c r="B26" t="s">
        <v>2349</v>
      </c>
      <c r="C26" t="s">
        <v>25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2350</v>
      </c>
      <c r="B27" t="s">
        <v>2351</v>
      </c>
      <c r="C27" t="s">
        <v>25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2352</v>
      </c>
      <c r="B28" t="s">
        <v>2353</v>
      </c>
      <c r="C28" t="s">
        <v>25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2354</v>
      </c>
      <c r="B29" t="s">
        <v>2355</v>
      </c>
      <c r="C29" t="s">
        <v>25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2356</v>
      </c>
      <c r="B30" t="s">
        <v>2357</v>
      </c>
      <c r="C30" t="s">
        <v>25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2358</v>
      </c>
      <c r="B31" t="s">
        <v>2359</v>
      </c>
      <c r="C31" t="s">
        <v>25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2360</v>
      </c>
      <c r="B32" t="s">
        <v>2361</v>
      </c>
      <c r="C32" t="s">
        <v>25</v>
      </c>
      <c r="D32">
        <v>21</v>
      </c>
      <c r="E32">
        <v>0</v>
      </c>
      <c r="G32" s="1">
        <v>0</v>
      </c>
      <c r="H32">
        <v>1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2362</v>
      </c>
      <c r="B33" t="s">
        <v>2363</v>
      </c>
      <c r="C33" t="s">
        <v>25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2364</v>
      </c>
      <c r="B34" t="s">
        <v>2365</v>
      </c>
      <c r="C34" t="s">
        <v>25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2366</v>
      </c>
      <c r="B35" t="s">
        <v>2367</v>
      </c>
      <c r="C35" t="s">
        <v>25</v>
      </c>
      <c r="D35">
        <v>1</v>
      </c>
      <c r="E35">
        <v>0</v>
      </c>
      <c r="G35" s="1">
        <v>0</v>
      </c>
      <c r="H35">
        <v>0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2368</v>
      </c>
      <c r="B36" t="s">
        <v>2369</v>
      </c>
      <c r="C36" t="s">
        <v>25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2370</v>
      </c>
      <c r="B37" t="s">
        <v>2371</v>
      </c>
      <c r="C37" t="s">
        <v>25</v>
      </c>
      <c r="D37">
        <v>1</v>
      </c>
      <c r="E37">
        <v>0</v>
      </c>
      <c r="G37" s="1">
        <v>0</v>
      </c>
      <c r="H37">
        <v>0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2372</v>
      </c>
      <c r="B38" t="s">
        <v>2373</v>
      </c>
      <c r="C38" t="s">
        <v>25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2374</v>
      </c>
      <c r="B39" t="s">
        <v>2375</v>
      </c>
      <c r="C39" t="s">
        <v>25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2376</v>
      </c>
      <c r="B40" t="s">
        <v>2377</v>
      </c>
      <c r="C40" t="s">
        <v>25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2378</v>
      </c>
      <c r="B41" t="s">
        <v>2379</v>
      </c>
      <c r="C41" t="s">
        <v>25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2380</v>
      </c>
      <c r="B42" t="s">
        <v>2381</v>
      </c>
      <c r="C42" t="s">
        <v>25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2382</v>
      </c>
      <c r="B43" t="s">
        <v>2383</v>
      </c>
      <c r="C43" t="s">
        <v>25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2384</v>
      </c>
      <c r="B44" t="s">
        <v>2385</v>
      </c>
      <c r="C44" t="s">
        <v>25</v>
      </c>
      <c r="D44">
        <v>1</v>
      </c>
      <c r="E44">
        <v>0</v>
      </c>
      <c r="G44" s="1">
        <v>0</v>
      </c>
      <c r="H44">
        <v>0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2386</v>
      </c>
      <c r="B45" t="s">
        <v>2387</v>
      </c>
      <c r="C45" t="s">
        <v>25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2388</v>
      </c>
      <c r="B46" t="s">
        <v>2389</v>
      </c>
      <c r="C46" t="s">
        <v>25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2390</v>
      </c>
      <c r="B47" t="s">
        <v>2391</v>
      </c>
      <c r="C47" t="s">
        <v>25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2392</v>
      </c>
      <c r="B48" t="s">
        <v>2393</v>
      </c>
      <c r="C48" t="s">
        <v>25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2394</v>
      </c>
      <c r="B49" t="s">
        <v>2395</v>
      </c>
      <c r="C49" t="s">
        <v>25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2396</v>
      </c>
      <c r="B50" t="s">
        <v>2397</v>
      </c>
      <c r="C50" t="s">
        <v>25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2398</v>
      </c>
      <c r="B51" t="s">
        <v>2399</v>
      </c>
      <c r="C51" t="s">
        <v>25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2400</v>
      </c>
      <c r="B52" t="s">
        <v>2401</v>
      </c>
      <c r="C52" t="s">
        <v>25</v>
      </c>
      <c r="D52">
        <v>24</v>
      </c>
      <c r="E52">
        <v>8</v>
      </c>
      <c r="F52" t="s">
        <v>2301</v>
      </c>
      <c r="G52" s="1">
        <v>8234.75</v>
      </c>
      <c r="H52">
        <v>8</v>
      </c>
      <c r="I52">
        <v>0.7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3</v>
      </c>
      <c r="P52" s="1">
        <f t="shared" si="5"/>
        <v>0</v>
      </c>
      <c r="Q52">
        <f t="shared" si="6"/>
        <v>3</v>
      </c>
      <c r="R52" s="1">
        <f t="shared" si="7"/>
        <v>24704.25</v>
      </c>
    </row>
    <row r="53" spans="1:18" x14ac:dyDescent="0.3">
      <c r="A53" t="s">
        <v>2402</v>
      </c>
      <c r="B53" t="s">
        <v>2403</v>
      </c>
      <c r="C53" t="s">
        <v>25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2404</v>
      </c>
      <c r="B54" t="s">
        <v>2405</v>
      </c>
      <c r="C54" t="s">
        <v>25</v>
      </c>
      <c r="D54">
        <v>1</v>
      </c>
      <c r="E54">
        <v>6</v>
      </c>
      <c r="F54" t="s">
        <v>2301</v>
      </c>
      <c r="G54" s="1">
        <v>10200.65</v>
      </c>
      <c r="H54">
        <v>6</v>
      </c>
      <c r="I54">
        <v>0.5</v>
      </c>
      <c r="J54">
        <v>6</v>
      </c>
      <c r="K54">
        <v>3</v>
      </c>
      <c r="L54">
        <f t="shared" si="4"/>
        <v>6</v>
      </c>
      <c r="M54">
        <v>0</v>
      </c>
      <c r="N54">
        <v>0</v>
      </c>
      <c r="O54">
        <v>15</v>
      </c>
      <c r="P54" s="1">
        <f t="shared" si="5"/>
        <v>0</v>
      </c>
      <c r="Q54">
        <f t="shared" si="6"/>
        <v>15</v>
      </c>
      <c r="R54" s="1">
        <f t="shared" si="7"/>
        <v>153009.75</v>
      </c>
    </row>
    <row r="55" spans="1:18" x14ac:dyDescent="0.3">
      <c r="A55" t="s">
        <v>2406</v>
      </c>
      <c r="B55" t="s">
        <v>2407</v>
      </c>
      <c r="C55" t="s">
        <v>25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2408</v>
      </c>
      <c r="B56" t="s">
        <v>2409</v>
      </c>
      <c r="C56" t="s">
        <v>25</v>
      </c>
      <c r="D56">
        <v>3</v>
      </c>
      <c r="E56">
        <v>2</v>
      </c>
      <c r="F56" t="s">
        <v>2301</v>
      </c>
      <c r="G56" s="1">
        <v>10609.51</v>
      </c>
      <c r="H56">
        <v>2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21219.02</v>
      </c>
    </row>
    <row r="57" spans="1:18" x14ac:dyDescent="0.3">
      <c r="A57" t="s">
        <v>2410</v>
      </c>
      <c r="B57" t="s">
        <v>2411</v>
      </c>
      <c r="C57" t="s">
        <v>25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2412</v>
      </c>
      <c r="B58" t="s">
        <v>2413</v>
      </c>
      <c r="C58" t="s">
        <v>25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2414</v>
      </c>
      <c r="B59" t="s">
        <v>2415</v>
      </c>
      <c r="C59" t="s">
        <v>25</v>
      </c>
      <c r="D59">
        <v>26</v>
      </c>
      <c r="E59">
        <v>0</v>
      </c>
      <c r="G59" s="1">
        <v>0</v>
      </c>
      <c r="H59">
        <v>2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2416</v>
      </c>
      <c r="B60" t="s">
        <v>2417</v>
      </c>
      <c r="C60" t="s">
        <v>25</v>
      </c>
      <c r="D60">
        <v>4</v>
      </c>
      <c r="E60">
        <v>0</v>
      </c>
      <c r="G60" s="1">
        <v>0</v>
      </c>
      <c r="H60">
        <v>3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2418</v>
      </c>
      <c r="B61" t="s">
        <v>2419</v>
      </c>
      <c r="C61" t="s">
        <v>25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2420</v>
      </c>
      <c r="B62" t="s">
        <v>2421</v>
      </c>
      <c r="C62" t="s">
        <v>25</v>
      </c>
      <c r="D62">
        <v>24</v>
      </c>
      <c r="E62">
        <v>0</v>
      </c>
      <c r="G62" s="1">
        <v>0</v>
      </c>
      <c r="H62">
        <v>9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2422</v>
      </c>
      <c r="B63" t="s">
        <v>2423</v>
      </c>
      <c r="C63" t="s">
        <v>25</v>
      </c>
      <c r="D63">
        <v>22</v>
      </c>
      <c r="E63">
        <v>0</v>
      </c>
      <c r="G63" s="1">
        <v>0</v>
      </c>
      <c r="H63">
        <v>2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2424</v>
      </c>
      <c r="B64" t="s">
        <v>2425</v>
      </c>
      <c r="C64" t="s">
        <v>25</v>
      </c>
      <c r="D64">
        <v>2</v>
      </c>
      <c r="E64">
        <v>0</v>
      </c>
      <c r="G64" s="1">
        <v>0</v>
      </c>
      <c r="H64">
        <v>3</v>
      </c>
      <c r="I64">
        <v>0.5</v>
      </c>
      <c r="J64">
        <v>1.5</v>
      </c>
      <c r="K64">
        <v>1</v>
      </c>
      <c r="L64">
        <f t="shared" si="4"/>
        <v>2</v>
      </c>
      <c r="M64">
        <v>0</v>
      </c>
      <c r="N64">
        <v>0</v>
      </c>
      <c r="O64">
        <v>4</v>
      </c>
      <c r="P64" s="1">
        <f t="shared" si="5"/>
        <v>0</v>
      </c>
      <c r="Q64">
        <f t="shared" si="6"/>
        <v>4</v>
      </c>
      <c r="R64" s="1">
        <f t="shared" si="7"/>
        <v>0</v>
      </c>
    </row>
    <row r="65" spans="1:18" x14ac:dyDescent="0.3">
      <c r="A65" t="s">
        <v>2426</v>
      </c>
      <c r="B65" t="s">
        <v>2427</v>
      </c>
      <c r="C65" t="s">
        <v>25</v>
      </c>
      <c r="D65">
        <v>8</v>
      </c>
      <c r="E65">
        <v>15</v>
      </c>
      <c r="F65" t="s">
        <v>2301</v>
      </c>
      <c r="G65" s="1">
        <v>479.32</v>
      </c>
      <c r="H65">
        <v>2</v>
      </c>
      <c r="I65">
        <v>0.5</v>
      </c>
      <c r="J65">
        <v>2</v>
      </c>
      <c r="K65">
        <v>1</v>
      </c>
      <c r="L65">
        <f t="shared" si="4"/>
        <v>2</v>
      </c>
      <c r="M65">
        <v>0</v>
      </c>
      <c r="N65">
        <v>0</v>
      </c>
      <c r="O65">
        <v>5</v>
      </c>
      <c r="P65" s="1">
        <f t="shared" si="5"/>
        <v>0</v>
      </c>
      <c r="Q65">
        <f t="shared" si="6"/>
        <v>5</v>
      </c>
      <c r="R65" s="1">
        <f t="shared" si="7"/>
        <v>2396.6</v>
      </c>
    </row>
    <row r="66" spans="1:18" x14ac:dyDescent="0.3">
      <c r="A66" t="s">
        <v>2428</v>
      </c>
      <c r="B66" t="s">
        <v>2429</v>
      </c>
      <c r="C66" t="s">
        <v>25</v>
      </c>
      <c r="D66">
        <v>34</v>
      </c>
      <c r="E66">
        <v>15</v>
      </c>
      <c r="F66" t="s">
        <v>2301</v>
      </c>
      <c r="G66" s="1">
        <v>492.37</v>
      </c>
      <c r="H66">
        <v>14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984.74</v>
      </c>
    </row>
    <row r="67" spans="1:18" x14ac:dyDescent="0.3">
      <c r="A67" t="s">
        <v>2430</v>
      </c>
      <c r="B67" t="s">
        <v>2431</v>
      </c>
      <c r="C67" t="s">
        <v>25</v>
      </c>
      <c r="D67">
        <v>7</v>
      </c>
      <c r="E67">
        <v>15</v>
      </c>
      <c r="F67" t="s">
        <v>2301</v>
      </c>
      <c r="G67" s="1">
        <v>555.49</v>
      </c>
      <c r="H67">
        <v>0</v>
      </c>
      <c r="I67">
        <v>0.5</v>
      </c>
      <c r="J67">
        <v>2.5</v>
      </c>
      <c r="K67">
        <v>1</v>
      </c>
      <c r="L67">
        <f t="shared" si="8"/>
        <v>3</v>
      </c>
      <c r="M67">
        <v>0</v>
      </c>
      <c r="N67">
        <v>0</v>
      </c>
      <c r="O67">
        <v>6</v>
      </c>
      <c r="P67" s="1">
        <f t="shared" si="9"/>
        <v>0</v>
      </c>
      <c r="Q67">
        <f t="shared" si="10"/>
        <v>6</v>
      </c>
      <c r="R67" s="1">
        <f t="shared" si="11"/>
        <v>3332.94</v>
      </c>
    </row>
    <row r="68" spans="1:18" x14ac:dyDescent="0.3">
      <c r="A68" t="s">
        <v>2432</v>
      </c>
      <c r="B68" t="s">
        <v>2433</v>
      </c>
      <c r="C68" t="s">
        <v>25</v>
      </c>
      <c r="D68">
        <v>30</v>
      </c>
      <c r="E68">
        <v>50</v>
      </c>
      <c r="F68" t="s">
        <v>2301</v>
      </c>
      <c r="G68" s="1">
        <v>432.77</v>
      </c>
      <c r="H68">
        <v>36</v>
      </c>
      <c r="I68">
        <v>0.5</v>
      </c>
      <c r="J68">
        <v>2</v>
      </c>
      <c r="K68">
        <v>1</v>
      </c>
      <c r="L68">
        <f t="shared" si="8"/>
        <v>2</v>
      </c>
      <c r="M68">
        <v>0</v>
      </c>
      <c r="N68">
        <v>0</v>
      </c>
      <c r="O68">
        <v>5</v>
      </c>
      <c r="P68" s="1">
        <f t="shared" si="9"/>
        <v>0</v>
      </c>
      <c r="Q68">
        <f t="shared" si="10"/>
        <v>5</v>
      </c>
      <c r="R68" s="1">
        <f t="shared" si="11"/>
        <v>2163.85</v>
      </c>
    </row>
    <row r="69" spans="1:18" x14ac:dyDescent="0.3">
      <c r="A69" t="s">
        <v>2434</v>
      </c>
      <c r="B69" t="s">
        <v>2435</v>
      </c>
      <c r="C69" t="s">
        <v>25</v>
      </c>
      <c r="D69">
        <v>30</v>
      </c>
      <c r="E69">
        <v>75</v>
      </c>
      <c r="F69" t="s">
        <v>2301</v>
      </c>
      <c r="G69" s="1">
        <v>538.29999999999995</v>
      </c>
      <c r="H69">
        <v>65</v>
      </c>
      <c r="I69">
        <v>0.5</v>
      </c>
      <c r="J69">
        <v>2.5</v>
      </c>
      <c r="K69">
        <v>1</v>
      </c>
      <c r="L69">
        <f t="shared" si="8"/>
        <v>3</v>
      </c>
      <c r="M69">
        <v>0</v>
      </c>
      <c r="N69">
        <v>0</v>
      </c>
      <c r="O69">
        <v>6</v>
      </c>
      <c r="P69" s="1">
        <f t="shared" si="9"/>
        <v>0</v>
      </c>
      <c r="Q69">
        <f t="shared" si="10"/>
        <v>6</v>
      </c>
      <c r="R69" s="1">
        <f t="shared" si="11"/>
        <v>3229.7999999999997</v>
      </c>
    </row>
    <row r="70" spans="1:18" x14ac:dyDescent="0.3">
      <c r="A70" t="s">
        <v>2436</v>
      </c>
      <c r="B70" t="s">
        <v>2437</v>
      </c>
      <c r="C70" t="s">
        <v>25</v>
      </c>
      <c r="D70">
        <v>29</v>
      </c>
      <c r="E70">
        <v>70</v>
      </c>
      <c r="F70" t="s">
        <v>2301</v>
      </c>
      <c r="G70" s="1">
        <v>605.5</v>
      </c>
      <c r="H70">
        <v>54</v>
      </c>
      <c r="I70">
        <v>0.5</v>
      </c>
      <c r="J70">
        <v>2.5</v>
      </c>
      <c r="K70">
        <v>1</v>
      </c>
      <c r="L70">
        <f t="shared" si="8"/>
        <v>3</v>
      </c>
      <c r="M70">
        <v>0</v>
      </c>
      <c r="N70">
        <v>0</v>
      </c>
      <c r="O70">
        <v>6</v>
      </c>
      <c r="P70" s="1">
        <f t="shared" si="9"/>
        <v>0</v>
      </c>
      <c r="Q70">
        <f t="shared" si="10"/>
        <v>6</v>
      </c>
      <c r="R70" s="1">
        <f t="shared" si="11"/>
        <v>3633</v>
      </c>
    </row>
    <row r="71" spans="1:18" x14ac:dyDescent="0.3">
      <c r="A71" t="s">
        <v>2438</v>
      </c>
      <c r="B71" t="s">
        <v>2439</v>
      </c>
      <c r="C71" t="s">
        <v>25</v>
      </c>
      <c r="D71">
        <v>30</v>
      </c>
      <c r="E71">
        <v>55</v>
      </c>
      <c r="F71" t="s">
        <v>2301</v>
      </c>
      <c r="G71" s="1">
        <v>672.82</v>
      </c>
      <c r="H71">
        <v>42</v>
      </c>
      <c r="I71">
        <v>0.6</v>
      </c>
      <c r="J71">
        <v>2</v>
      </c>
      <c r="K71">
        <v>1</v>
      </c>
      <c r="L71">
        <f t="shared" si="8"/>
        <v>3</v>
      </c>
      <c r="M71">
        <v>0</v>
      </c>
      <c r="N71">
        <v>0</v>
      </c>
      <c r="O71">
        <v>5</v>
      </c>
      <c r="P71" s="1">
        <f t="shared" si="9"/>
        <v>0</v>
      </c>
      <c r="Q71">
        <f t="shared" si="10"/>
        <v>5</v>
      </c>
      <c r="R71" s="1">
        <f t="shared" si="11"/>
        <v>3364.1000000000004</v>
      </c>
    </row>
    <row r="72" spans="1:18" x14ac:dyDescent="0.3">
      <c r="A72" t="s">
        <v>2440</v>
      </c>
      <c r="B72" t="s">
        <v>2440</v>
      </c>
      <c r="C72" t="s">
        <v>25</v>
      </c>
      <c r="D72">
        <v>1</v>
      </c>
      <c r="E72">
        <v>0</v>
      </c>
      <c r="F72" t="s">
        <v>2301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2441</v>
      </c>
      <c r="B73" t="s">
        <v>2441</v>
      </c>
      <c r="C73" t="s">
        <v>25</v>
      </c>
      <c r="D73">
        <v>1</v>
      </c>
      <c r="E73">
        <v>0</v>
      </c>
      <c r="F73" t="s">
        <v>2301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2442</v>
      </c>
      <c r="B74" t="s">
        <v>2443</v>
      </c>
      <c r="C74" t="s">
        <v>25</v>
      </c>
      <c r="D74">
        <v>30</v>
      </c>
      <c r="E74">
        <v>10</v>
      </c>
      <c r="F74" t="s">
        <v>2301</v>
      </c>
      <c r="G74" s="1">
        <v>1520.58</v>
      </c>
      <c r="H74">
        <v>13</v>
      </c>
      <c r="I74">
        <v>1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3</v>
      </c>
      <c r="P74" s="1">
        <f t="shared" si="9"/>
        <v>0</v>
      </c>
      <c r="Q74">
        <f t="shared" si="10"/>
        <v>3</v>
      </c>
      <c r="R74" s="1">
        <f t="shared" si="11"/>
        <v>4561.74</v>
      </c>
    </row>
    <row r="75" spans="1:18" x14ac:dyDescent="0.3">
      <c r="A75" t="s">
        <v>2444</v>
      </c>
      <c r="B75" t="s">
        <v>2445</v>
      </c>
      <c r="C75" t="s">
        <v>25</v>
      </c>
      <c r="D75">
        <v>27</v>
      </c>
      <c r="E75">
        <v>10</v>
      </c>
      <c r="F75" t="s">
        <v>2301</v>
      </c>
      <c r="G75" s="1">
        <v>1520.58</v>
      </c>
      <c r="H75">
        <v>9</v>
      </c>
      <c r="I75">
        <v>1</v>
      </c>
      <c r="J75">
        <v>1</v>
      </c>
      <c r="K75">
        <v>1</v>
      </c>
      <c r="L75">
        <f t="shared" si="8"/>
        <v>2</v>
      </c>
      <c r="M75">
        <v>0</v>
      </c>
      <c r="N75">
        <v>0</v>
      </c>
      <c r="O75">
        <v>3</v>
      </c>
      <c r="P75" s="1">
        <f t="shared" si="9"/>
        <v>0</v>
      </c>
      <c r="Q75">
        <f t="shared" si="10"/>
        <v>3</v>
      </c>
      <c r="R75" s="1">
        <f t="shared" si="11"/>
        <v>4561.74</v>
      </c>
    </row>
    <row r="76" spans="1:18" x14ac:dyDescent="0.3">
      <c r="A76" t="s">
        <v>2446</v>
      </c>
      <c r="B76" t="s">
        <v>2447</v>
      </c>
      <c r="C76" t="s">
        <v>25</v>
      </c>
      <c r="D76">
        <v>1</v>
      </c>
      <c r="E76">
        <v>0</v>
      </c>
      <c r="F76" t="s">
        <v>2301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2448</v>
      </c>
      <c r="B77" t="s">
        <v>2449</v>
      </c>
      <c r="C77" t="s">
        <v>25</v>
      </c>
      <c r="D77">
        <v>28</v>
      </c>
      <c r="E77">
        <v>0</v>
      </c>
      <c r="G77" s="1">
        <v>0</v>
      </c>
      <c r="H77">
        <v>4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2450</v>
      </c>
      <c r="B78" t="s">
        <v>2451</v>
      </c>
      <c r="C78" t="s">
        <v>25</v>
      </c>
      <c r="D78">
        <v>9</v>
      </c>
      <c r="E78">
        <v>5</v>
      </c>
      <c r="F78" t="s">
        <v>2301</v>
      </c>
      <c r="G78" s="1">
        <v>1547.46</v>
      </c>
      <c r="H78">
        <v>8</v>
      </c>
      <c r="I78">
        <v>0.6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3</v>
      </c>
      <c r="P78" s="1">
        <f t="shared" si="9"/>
        <v>0</v>
      </c>
      <c r="Q78">
        <f t="shared" si="10"/>
        <v>3</v>
      </c>
      <c r="R78" s="1">
        <f t="shared" si="11"/>
        <v>4642.38</v>
      </c>
    </row>
    <row r="79" spans="1:18" x14ac:dyDescent="0.3">
      <c r="A79" t="s">
        <v>2452</v>
      </c>
      <c r="B79" t="s">
        <v>2453</v>
      </c>
      <c r="C79" t="s">
        <v>25</v>
      </c>
      <c r="D79">
        <v>23</v>
      </c>
      <c r="E79">
        <v>5</v>
      </c>
      <c r="F79" t="s">
        <v>2301</v>
      </c>
      <c r="G79" s="1">
        <v>928.48</v>
      </c>
      <c r="H79">
        <v>10</v>
      </c>
      <c r="I79">
        <v>1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3</v>
      </c>
      <c r="P79" s="1">
        <f t="shared" si="9"/>
        <v>0</v>
      </c>
      <c r="Q79">
        <f t="shared" si="10"/>
        <v>3</v>
      </c>
      <c r="R79" s="1">
        <f t="shared" si="11"/>
        <v>2785.44</v>
      </c>
    </row>
    <row r="80" spans="1:18" x14ac:dyDescent="0.3">
      <c r="A80" t="s">
        <v>2454</v>
      </c>
      <c r="B80" t="s">
        <v>2455</v>
      </c>
      <c r="C80" t="s">
        <v>25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2456</v>
      </c>
      <c r="B81" t="s">
        <v>2457</v>
      </c>
      <c r="C81" t="s">
        <v>25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2458</v>
      </c>
      <c r="B82" t="s">
        <v>2459</v>
      </c>
      <c r="C82" t="s">
        <v>25</v>
      </c>
      <c r="D82">
        <v>1</v>
      </c>
      <c r="E82">
        <v>0</v>
      </c>
      <c r="G82" s="1">
        <v>0</v>
      </c>
      <c r="H82">
        <v>0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2460</v>
      </c>
      <c r="B83" t="s">
        <v>2461</v>
      </c>
      <c r="C83" t="s">
        <v>25</v>
      </c>
      <c r="D83">
        <v>5</v>
      </c>
      <c r="E83">
        <v>0</v>
      </c>
      <c r="F83" t="s">
        <v>2301</v>
      </c>
      <c r="G83" s="1">
        <v>0</v>
      </c>
      <c r="H83">
        <v>4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2462</v>
      </c>
      <c r="B84" t="s">
        <v>2463</v>
      </c>
      <c r="C84" t="s">
        <v>25</v>
      </c>
      <c r="D84">
        <v>29</v>
      </c>
      <c r="E84">
        <v>0</v>
      </c>
      <c r="F84" t="s">
        <v>2301</v>
      </c>
      <c r="G84" s="1">
        <v>0</v>
      </c>
      <c r="H84">
        <v>2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0</v>
      </c>
    </row>
    <row r="85" spans="1:18" x14ac:dyDescent="0.3">
      <c r="A85" t="s">
        <v>2464</v>
      </c>
      <c r="B85" t="s">
        <v>2465</v>
      </c>
      <c r="C85" t="s">
        <v>25</v>
      </c>
      <c r="D85">
        <v>30</v>
      </c>
      <c r="E85">
        <v>20</v>
      </c>
      <c r="F85" t="s">
        <v>2301</v>
      </c>
      <c r="G85" s="1">
        <v>460.87</v>
      </c>
      <c r="H85">
        <v>38</v>
      </c>
      <c r="I85">
        <v>0.5</v>
      </c>
      <c r="J85">
        <v>1.5</v>
      </c>
      <c r="K85">
        <v>1</v>
      </c>
      <c r="L85">
        <f t="shared" si="8"/>
        <v>2</v>
      </c>
      <c r="M85">
        <v>0</v>
      </c>
      <c r="N85">
        <v>0</v>
      </c>
      <c r="O85">
        <v>4</v>
      </c>
      <c r="P85" s="1">
        <f t="shared" si="9"/>
        <v>0</v>
      </c>
      <c r="Q85">
        <f t="shared" si="10"/>
        <v>4</v>
      </c>
      <c r="R85" s="1">
        <f t="shared" si="11"/>
        <v>1843.48</v>
      </c>
    </row>
    <row r="86" spans="1:18" x14ac:dyDescent="0.3">
      <c r="A86" t="s">
        <v>2466</v>
      </c>
      <c r="B86" t="s">
        <v>2467</v>
      </c>
      <c r="C86" t="s">
        <v>25</v>
      </c>
      <c r="D86">
        <v>17</v>
      </c>
      <c r="E86">
        <v>20</v>
      </c>
      <c r="F86" t="s">
        <v>2301</v>
      </c>
      <c r="G86" s="1">
        <v>516.49</v>
      </c>
      <c r="H86">
        <v>8</v>
      </c>
      <c r="I86">
        <v>0.5</v>
      </c>
      <c r="J86">
        <v>1.5</v>
      </c>
      <c r="K86">
        <v>1</v>
      </c>
      <c r="L86">
        <f t="shared" si="8"/>
        <v>2</v>
      </c>
      <c r="M86">
        <v>0</v>
      </c>
      <c r="N86">
        <v>0</v>
      </c>
      <c r="O86">
        <v>4</v>
      </c>
      <c r="P86" s="1">
        <f t="shared" si="9"/>
        <v>0</v>
      </c>
      <c r="Q86">
        <f t="shared" si="10"/>
        <v>4</v>
      </c>
      <c r="R86" s="1">
        <f t="shared" si="11"/>
        <v>2065.96</v>
      </c>
    </row>
    <row r="87" spans="1:18" x14ac:dyDescent="0.3">
      <c r="A87" t="s">
        <v>2468</v>
      </c>
      <c r="B87" t="s">
        <v>2469</v>
      </c>
      <c r="C87" t="s">
        <v>25</v>
      </c>
      <c r="D87">
        <v>30</v>
      </c>
      <c r="E87">
        <v>95</v>
      </c>
      <c r="F87" t="s">
        <v>2301</v>
      </c>
      <c r="G87" s="1">
        <v>517.79</v>
      </c>
      <c r="H87">
        <v>97</v>
      </c>
      <c r="I87">
        <v>0.6</v>
      </c>
      <c r="J87">
        <v>3.5</v>
      </c>
      <c r="K87">
        <v>2</v>
      </c>
      <c r="L87">
        <f t="shared" si="8"/>
        <v>5</v>
      </c>
      <c r="M87">
        <v>0</v>
      </c>
      <c r="N87">
        <v>0</v>
      </c>
      <c r="O87">
        <v>9</v>
      </c>
      <c r="P87" s="1">
        <f t="shared" si="9"/>
        <v>0</v>
      </c>
      <c r="Q87">
        <f t="shared" si="10"/>
        <v>9</v>
      </c>
      <c r="R87" s="1">
        <f t="shared" si="11"/>
        <v>4660.1099999999997</v>
      </c>
    </row>
    <row r="88" spans="1:18" x14ac:dyDescent="0.3">
      <c r="A88" t="s">
        <v>2470</v>
      </c>
      <c r="B88" t="s">
        <v>2471</v>
      </c>
      <c r="C88" t="s">
        <v>25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2472</v>
      </c>
      <c r="B89" t="s">
        <v>2473</v>
      </c>
      <c r="C89" t="s">
        <v>25</v>
      </c>
      <c r="D89">
        <v>34</v>
      </c>
      <c r="E89">
        <v>177</v>
      </c>
      <c r="F89" t="s">
        <v>2301</v>
      </c>
      <c r="G89" s="1">
        <v>706.07</v>
      </c>
      <c r="H89">
        <v>197</v>
      </c>
      <c r="I89">
        <v>0.6</v>
      </c>
      <c r="J89">
        <v>6</v>
      </c>
      <c r="K89">
        <v>4</v>
      </c>
      <c r="L89">
        <f t="shared" si="8"/>
        <v>8</v>
      </c>
      <c r="M89">
        <v>0</v>
      </c>
      <c r="N89">
        <v>0</v>
      </c>
      <c r="O89">
        <v>16</v>
      </c>
      <c r="P89" s="1">
        <f t="shared" si="9"/>
        <v>0</v>
      </c>
      <c r="Q89">
        <f t="shared" si="10"/>
        <v>16</v>
      </c>
      <c r="R89" s="1">
        <f t="shared" si="11"/>
        <v>11297.12</v>
      </c>
    </row>
    <row r="90" spans="1:18" x14ac:dyDescent="0.3">
      <c r="A90" t="s">
        <v>2474</v>
      </c>
      <c r="B90" t="s">
        <v>2475</v>
      </c>
      <c r="C90" t="s">
        <v>25</v>
      </c>
      <c r="D90">
        <v>34</v>
      </c>
      <c r="E90">
        <v>164</v>
      </c>
      <c r="F90" t="s">
        <v>2301</v>
      </c>
      <c r="G90" s="1">
        <v>776.68</v>
      </c>
      <c r="H90">
        <v>152</v>
      </c>
      <c r="I90">
        <v>0.5</v>
      </c>
      <c r="J90">
        <v>5</v>
      </c>
      <c r="K90">
        <v>2</v>
      </c>
      <c r="L90">
        <f t="shared" si="8"/>
        <v>5</v>
      </c>
      <c r="M90">
        <v>0</v>
      </c>
      <c r="N90">
        <v>0</v>
      </c>
      <c r="O90">
        <v>12</v>
      </c>
      <c r="P90" s="1">
        <f t="shared" si="9"/>
        <v>0</v>
      </c>
      <c r="Q90">
        <f t="shared" si="10"/>
        <v>12</v>
      </c>
      <c r="R90" s="1">
        <f t="shared" si="11"/>
        <v>9320.16</v>
      </c>
    </row>
    <row r="91" spans="1:18" x14ac:dyDescent="0.3">
      <c r="A91" t="s">
        <v>2476</v>
      </c>
      <c r="B91" t="s">
        <v>2477</v>
      </c>
      <c r="C91" t="s">
        <v>25</v>
      </c>
      <c r="D91">
        <v>33</v>
      </c>
      <c r="E91">
        <v>174</v>
      </c>
      <c r="F91" t="s">
        <v>2301</v>
      </c>
      <c r="G91" s="1">
        <v>941.43</v>
      </c>
      <c r="H91">
        <v>189</v>
      </c>
      <c r="I91">
        <v>0.6</v>
      </c>
      <c r="J91">
        <v>6</v>
      </c>
      <c r="K91">
        <v>4</v>
      </c>
      <c r="L91">
        <f t="shared" si="8"/>
        <v>8</v>
      </c>
      <c r="M91">
        <v>0</v>
      </c>
      <c r="N91">
        <v>0</v>
      </c>
      <c r="O91">
        <v>16</v>
      </c>
      <c r="P91" s="1">
        <f t="shared" si="9"/>
        <v>0</v>
      </c>
      <c r="Q91">
        <f t="shared" si="10"/>
        <v>16</v>
      </c>
      <c r="R91" s="1">
        <f t="shared" si="11"/>
        <v>15062.88</v>
      </c>
    </row>
    <row r="92" spans="1:18" x14ac:dyDescent="0.3">
      <c r="A92" t="s">
        <v>2478</v>
      </c>
      <c r="B92" t="s">
        <v>2479</v>
      </c>
      <c r="C92" t="s">
        <v>25</v>
      </c>
      <c r="D92">
        <v>33</v>
      </c>
      <c r="E92">
        <v>66</v>
      </c>
      <c r="F92" t="s">
        <v>2301</v>
      </c>
      <c r="G92" s="1">
        <v>1684.24</v>
      </c>
      <c r="H92">
        <v>61</v>
      </c>
      <c r="I92">
        <v>0.6</v>
      </c>
      <c r="J92">
        <v>2</v>
      </c>
      <c r="K92">
        <v>1</v>
      </c>
      <c r="L92">
        <f t="shared" si="8"/>
        <v>3</v>
      </c>
      <c r="M92">
        <v>0</v>
      </c>
      <c r="N92">
        <v>0</v>
      </c>
      <c r="O92">
        <v>5</v>
      </c>
      <c r="P92" s="1">
        <f t="shared" si="9"/>
        <v>0</v>
      </c>
      <c r="Q92">
        <f t="shared" si="10"/>
        <v>5</v>
      </c>
      <c r="R92" s="1">
        <f t="shared" si="11"/>
        <v>8421.2000000000007</v>
      </c>
    </row>
    <row r="93" spans="1:18" x14ac:dyDescent="0.3">
      <c r="A93" t="s">
        <v>2480</v>
      </c>
      <c r="B93" t="s">
        <v>2481</v>
      </c>
      <c r="C93" t="s">
        <v>25</v>
      </c>
      <c r="D93">
        <v>1</v>
      </c>
      <c r="E93">
        <v>1</v>
      </c>
      <c r="F93" t="s">
        <v>2301</v>
      </c>
      <c r="G93" s="1">
        <v>10123.17</v>
      </c>
      <c r="H93">
        <v>0</v>
      </c>
      <c r="I93">
        <v>0.7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3</v>
      </c>
      <c r="P93" s="1">
        <f t="shared" si="9"/>
        <v>0</v>
      </c>
      <c r="Q93">
        <f t="shared" si="10"/>
        <v>3</v>
      </c>
      <c r="R93" s="1">
        <f t="shared" si="11"/>
        <v>30369.510000000002</v>
      </c>
    </row>
    <row r="94" spans="1:18" x14ac:dyDescent="0.3">
      <c r="A94" t="s">
        <v>2482</v>
      </c>
      <c r="B94" t="s">
        <v>2483</v>
      </c>
      <c r="C94" t="s">
        <v>25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2484</v>
      </c>
      <c r="B95" t="s">
        <v>2485</v>
      </c>
      <c r="C95" t="s">
        <v>25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2486</v>
      </c>
      <c r="B96" t="s">
        <v>2487</v>
      </c>
      <c r="C96" t="s">
        <v>25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2488</v>
      </c>
      <c r="B97" t="s">
        <v>2489</v>
      </c>
      <c r="C97" t="s">
        <v>25</v>
      </c>
      <c r="D97">
        <v>24</v>
      </c>
      <c r="E97">
        <v>1</v>
      </c>
      <c r="F97" t="s">
        <v>2301</v>
      </c>
      <c r="G97" s="1">
        <v>989.28</v>
      </c>
      <c r="H97">
        <v>3</v>
      </c>
      <c r="I97">
        <v>0.7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3</v>
      </c>
      <c r="P97" s="1">
        <f t="shared" si="9"/>
        <v>0</v>
      </c>
      <c r="Q97">
        <f t="shared" si="10"/>
        <v>3</v>
      </c>
      <c r="R97" s="1">
        <f t="shared" si="11"/>
        <v>2967.84</v>
      </c>
    </row>
    <row r="98" spans="1:18" x14ac:dyDescent="0.3">
      <c r="A98" t="s">
        <v>2490</v>
      </c>
      <c r="B98" t="s">
        <v>2491</v>
      </c>
      <c r="C98" t="s">
        <v>25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20" si="13">IFERROR(M98*G98,0)</f>
        <v>0</v>
      </c>
      <c r="Q98">
        <f t="shared" ref="Q98:Q120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2492</v>
      </c>
      <c r="B99" t="s">
        <v>2493</v>
      </c>
      <c r="C99" t="s">
        <v>25</v>
      </c>
      <c r="D99">
        <v>28</v>
      </c>
      <c r="E99">
        <v>12</v>
      </c>
      <c r="F99" t="s">
        <v>2301</v>
      </c>
      <c r="G99" s="1">
        <v>3603.38</v>
      </c>
      <c r="H99">
        <v>12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7206.76</v>
      </c>
    </row>
    <row r="100" spans="1:18" x14ac:dyDescent="0.3">
      <c r="A100" t="s">
        <v>2494</v>
      </c>
      <c r="B100" t="s">
        <v>2495</v>
      </c>
      <c r="C100" t="s">
        <v>25</v>
      </c>
      <c r="D100">
        <v>28</v>
      </c>
      <c r="E100">
        <v>2</v>
      </c>
      <c r="F100" t="s">
        <v>2301</v>
      </c>
      <c r="G100" s="1">
        <v>4569.8599999999997</v>
      </c>
      <c r="H100">
        <v>4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9139.7199999999993</v>
      </c>
    </row>
    <row r="101" spans="1:18" x14ac:dyDescent="0.3">
      <c r="A101" t="s">
        <v>2496</v>
      </c>
      <c r="B101" t="s">
        <v>2497</v>
      </c>
      <c r="C101" t="s">
        <v>25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2498</v>
      </c>
      <c r="B102" t="s">
        <v>2499</v>
      </c>
      <c r="C102" t="s">
        <v>25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2500</v>
      </c>
      <c r="B103" t="s">
        <v>2501</v>
      </c>
      <c r="C103" t="s">
        <v>25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2502</v>
      </c>
      <c r="B104" t="s">
        <v>2503</v>
      </c>
      <c r="C104" t="s">
        <v>25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2504</v>
      </c>
      <c r="B105" t="s">
        <v>2505</v>
      </c>
      <c r="C105" t="s">
        <v>25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2506</v>
      </c>
      <c r="B106" t="s">
        <v>2507</v>
      </c>
      <c r="C106" t="s">
        <v>25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2508</v>
      </c>
      <c r="B107" t="s">
        <v>2509</v>
      </c>
      <c r="C107" t="s">
        <v>25</v>
      </c>
      <c r="D107">
        <v>11</v>
      </c>
      <c r="E107">
        <v>0</v>
      </c>
      <c r="G107" s="1">
        <v>0</v>
      </c>
      <c r="H107">
        <v>1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2510</v>
      </c>
      <c r="B108" t="s">
        <v>2511</v>
      </c>
      <c r="C108" t="s">
        <v>25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2512</v>
      </c>
      <c r="B109" t="s">
        <v>2513</v>
      </c>
      <c r="C109" t="s">
        <v>25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2514</v>
      </c>
      <c r="B110" t="s">
        <v>2515</v>
      </c>
      <c r="C110" t="s">
        <v>25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2516</v>
      </c>
      <c r="B111" t="s">
        <v>2517</v>
      </c>
      <c r="C111" t="s">
        <v>25</v>
      </c>
      <c r="D111">
        <v>10</v>
      </c>
      <c r="E111">
        <v>10</v>
      </c>
      <c r="F111" t="s">
        <v>2301</v>
      </c>
      <c r="G111" s="1">
        <v>143.08000000000001</v>
      </c>
      <c r="H111">
        <v>4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286.16000000000003</v>
      </c>
    </row>
    <row r="112" spans="1:18" x14ac:dyDescent="0.3">
      <c r="A112" t="s">
        <v>2518</v>
      </c>
      <c r="B112" t="s">
        <v>2518</v>
      </c>
      <c r="C112" t="s">
        <v>25</v>
      </c>
      <c r="D112">
        <v>26</v>
      </c>
      <c r="E112">
        <v>25</v>
      </c>
      <c r="F112" t="s">
        <v>2301</v>
      </c>
      <c r="G112" s="1">
        <v>361.37</v>
      </c>
      <c r="H112">
        <v>18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722.74</v>
      </c>
    </row>
    <row r="113" spans="1:18" x14ac:dyDescent="0.3">
      <c r="A113" t="s">
        <v>2519</v>
      </c>
      <c r="B113" t="s">
        <v>2520</v>
      </c>
      <c r="C113" t="s">
        <v>25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12"/>
        <v>2</v>
      </c>
      <c r="M113">
        <v>0</v>
      </c>
      <c r="N113">
        <v>0</v>
      </c>
      <c r="O113">
        <v>2</v>
      </c>
      <c r="P113" s="1">
        <f t="shared" si="13"/>
        <v>0</v>
      </c>
      <c r="Q113">
        <f t="shared" si="14"/>
        <v>2</v>
      </c>
      <c r="R113" s="1">
        <f t="shared" si="15"/>
        <v>0</v>
      </c>
    </row>
    <row r="114" spans="1:18" x14ac:dyDescent="0.3">
      <c r="A114" t="s">
        <v>2521</v>
      </c>
      <c r="B114" t="s">
        <v>2522</v>
      </c>
      <c r="C114" t="s">
        <v>25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12"/>
        <v>2</v>
      </c>
      <c r="M114">
        <v>0</v>
      </c>
      <c r="N114">
        <v>0</v>
      </c>
      <c r="O114">
        <v>2</v>
      </c>
      <c r="P114" s="1">
        <f t="shared" si="13"/>
        <v>0</v>
      </c>
      <c r="Q114">
        <f t="shared" si="14"/>
        <v>2</v>
      </c>
      <c r="R114" s="1">
        <f t="shared" si="15"/>
        <v>0</v>
      </c>
    </row>
    <row r="115" spans="1:18" x14ac:dyDescent="0.3">
      <c r="A115" t="s">
        <v>2523</v>
      </c>
      <c r="B115" t="s">
        <v>2524</v>
      </c>
      <c r="C115" t="s">
        <v>25</v>
      </c>
      <c r="D115">
        <v>1</v>
      </c>
      <c r="E115">
        <v>0</v>
      </c>
      <c r="G115" s="1">
        <v>0</v>
      </c>
      <c r="H115">
        <v>0</v>
      </c>
      <c r="I115">
        <v>0.5</v>
      </c>
      <c r="J115">
        <v>1</v>
      </c>
      <c r="K115">
        <v>1</v>
      </c>
      <c r="L115">
        <f t="shared" si="12"/>
        <v>2</v>
      </c>
      <c r="M115">
        <v>0</v>
      </c>
      <c r="N115">
        <v>0</v>
      </c>
      <c r="O115">
        <v>2</v>
      </c>
      <c r="P115" s="1">
        <f t="shared" si="13"/>
        <v>0</v>
      </c>
      <c r="Q115">
        <f t="shared" si="14"/>
        <v>2</v>
      </c>
      <c r="R115" s="1">
        <f t="shared" si="15"/>
        <v>0</v>
      </c>
    </row>
    <row r="116" spans="1:18" x14ac:dyDescent="0.3">
      <c r="A116" t="s">
        <v>2525</v>
      </c>
      <c r="B116" t="s">
        <v>2526</v>
      </c>
      <c r="C116" t="s">
        <v>25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2527</v>
      </c>
      <c r="B117" t="s">
        <v>2528</v>
      </c>
      <c r="C117" t="s">
        <v>25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12"/>
        <v>2</v>
      </c>
      <c r="M117">
        <v>0</v>
      </c>
      <c r="N117">
        <v>0</v>
      </c>
      <c r="O117">
        <v>2</v>
      </c>
      <c r="P117" s="1">
        <f t="shared" si="13"/>
        <v>0</v>
      </c>
      <c r="Q117">
        <f t="shared" si="14"/>
        <v>2</v>
      </c>
      <c r="R117" s="1">
        <f t="shared" si="15"/>
        <v>0</v>
      </c>
    </row>
    <row r="118" spans="1:18" x14ac:dyDescent="0.3">
      <c r="A118" t="s">
        <v>2529</v>
      </c>
      <c r="B118" t="s">
        <v>2530</v>
      </c>
      <c r="C118" t="s">
        <v>25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2531</v>
      </c>
      <c r="B119" t="s">
        <v>2532</v>
      </c>
      <c r="C119" t="s">
        <v>25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12"/>
        <v>2</v>
      </c>
      <c r="M119">
        <v>0</v>
      </c>
      <c r="N119">
        <v>0</v>
      </c>
      <c r="O119">
        <v>2</v>
      </c>
      <c r="P119" s="1">
        <f t="shared" si="13"/>
        <v>0</v>
      </c>
      <c r="Q119">
        <f t="shared" si="14"/>
        <v>2</v>
      </c>
      <c r="R119" s="1">
        <f t="shared" si="15"/>
        <v>0</v>
      </c>
    </row>
    <row r="120" spans="1:18" x14ac:dyDescent="0.3">
      <c r="A120" t="s">
        <v>2533</v>
      </c>
      <c r="B120" t="s">
        <v>2533</v>
      </c>
      <c r="C120" t="s">
        <v>25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12"/>
        <v>2</v>
      </c>
      <c r="M120">
        <v>0</v>
      </c>
      <c r="N120">
        <v>0</v>
      </c>
      <c r="O120">
        <v>2</v>
      </c>
      <c r="P120" s="1">
        <f t="shared" si="13"/>
        <v>0</v>
      </c>
      <c r="Q120">
        <f t="shared" si="14"/>
        <v>2</v>
      </c>
      <c r="R120" s="1">
        <f t="shared" si="15"/>
        <v>0</v>
      </c>
    </row>
    <row r="121" spans="1:18" x14ac:dyDescent="0.3">
      <c r="A121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2534</v>
      </c>
      <c r="B2" t="s">
        <v>2535</v>
      </c>
      <c r="C2" t="s">
        <v>26</v>
      </c>
      <c r="D2">
        <v>1</v>
      </c>
      <c r="E2">
        <v>1</v>
      </c>
      <c r="F2" t="s">
        <v>2536</v>
      </c>
      <c r="G2" s="1">
        <v>285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570</v>
      </c>
    </row>
    <row r="3" spans="1:18" x14ac:dyDescent="0.3">
      <c r="A3" t="s">
        <v>2537</v>
      </c>
      <c r="B3" t="s">
        <v>2538</v>
      </c>
      <c r="C3" t="s">
        <v>26</v>
      </c>
      <c r="D3">
        <v>1</v>
      </c>
      <c r="E3">
        <v>1</v>
      </c>
      <c r="F3" t="s">
        <v>2536</v>
      </c>
      <c r="G3" s="1">
        <v>1930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3860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R1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2539</v>
      </c>
      <c r="B2" t="s">
        <v>2540</v>
      </c>
      <c r="C2" t="s">
        <v>27</v>
      </c>
      <c r="D2">
        <v>50</v>
      </c>
      <c r="E2">
        <v>74</v>
      </c>
      <c r="F2" t="s">
        <v>482</v>
      </c>
      <c r="G2" s="1">
        <v>471.32</v>
      </c>
      <c r="H2">
        <v>84</v>
      </c>
      <c r="I2">
        <v>0.7</v>
      </c>
      <c r="J2">
        <v>2</v>
      </c>
      <c r="K2">
        <v>1</v>
      </c>
      <c r="L2">
        <f t="shared" ref="L2:L17" si="0">ROUNDUP((J2*I2)+K2,0)</f>
        <v>3</v>
      </c>
      <c r="M2">
        <v>0</v>
      </c>
      <c r="N2">
        <v>0</v>
      </c>
      <c r="O2">
        <v>5</v>
      </c>
      <c r="P2" s="1">
        <f t="shared" ref="P2:P17" si="1">IFERROR(M2*G2,0)</f>
        <v>0</v>
      </c>
      <c r="Q2">
        <f t="shared" ref="Q2:Q17" si="2">IF(O2-M2-N2&gt;0,O2-M2-N2,0)</f>
        <v>5</v>
      </c>
      <c r="R2" s="1">
        <f t="shared" ref="R2:R17" si="3">IFERROR(Q2*G2,0)</f>
        <v>2356.6</v>
      </c>
    </row>
    <row r="3" spans="1:18" x14ac:dyDescent="0.3">
      <c r="A3" t="s">
        <v>2541</v>
      </c>
      <c r="B3" t="s">
        <v>2542</v>
      </c>
      <c r="C3" t="s">
        <v>27</v>
      </c>
      <c r="D3">
        <v>1</v>
      </c>
      <c r="E3">
        <v>24</v>
      </c>
      <c r="F3" t="s">
        <v>87</v>
      </c>
      <c r="G3" s="1">
        <v>0</v>
      </c>
      <c r="H3">
        <v>0</v>
      </c>
      <c r="I3">
        <v>0.5</v>
      </c>
      <c r="J3">
        <v>24</v>
      </c>
      <c r="K3">
        <v>12</v>
      </c>
      <c r="L3">
        <f t="shared" si="0"/>
        <v>24</v>
      </c>
      <c r="M3">
        <v>0</v>
      </c>
      <c r="N3">
        <v>0</v>
      </c>
      <c r="O3">
        <v>60</v>
      </c>
      <c r="P3" s="1">
        <f t="shared" si="1"/>
        <v>0</v>
      </c>
      <c r="Q3">
        <f t="shared" si="2"/>
        <v>60</v>
      </c>
      <c r="R3" s="1">
        <f t="shared" si="3"/>
        <v>0</v>
      </c>
    </row>
    <row r="4" spans="1:18" x14ac:dyDescent="0.3">
      <c r="A4" t="s">
        <v>2543</v>
      </c>
      <c r="B4" t="s">
        <v>2544</v>
      </c>
      <c r="C4" t="s">
        <v>27</v>
      </c>
      <c r="D4">
        <v>34</v>
      </c>
      <c r="E4">
        <v>301</v>
      </c>
      <c r="F4" t="s">
        <v>482</v>
      </c>
      <c r="G4" s="1">
        <v>0</v>
      </c>
      <c r="H4">
        <v>357</v>
      </c>
      <c r="I4">
        <v>0.7</v>
      </c>
      <c r="J4">
        <v>10.5</v>
      </c>
      <c r="K4">
        <v>7</v>
      </c>
      <c r="L4">
        <f t="shared" si="0"/>
        <v>15</v>
      </c>
      <c r="M4">
        <v>0</v>
      </c>
      <c r="N4">
        <v>0</v>
      </c>
      <c r="O4">
        <v>28</v>
      </c>
      <c r="P4" s="1">
        <f t="shared" si="1"/>
        <v>0</v>
      </c>
      <c r="Q4">
        <f t="shared" si="2"/>
        <v>28</v>
      </c>
      <c r="R4" s="1">
        <f t="shared" si="3"/>
        <v>0</v>
      </c>
    </row>
    <row r="5" spans="1:18" x14ac:dyDescent="0.3">
      <c r="A5" t="s">
        <v>2545</v>
      </c>
      <c r="B5" t="s">
        <v>2546</v>
      </c>
      <c r="C5" t="s">
        <v>27</v>
      </c>
      <c r="D5">
        <v>34</v>
      </c>
      <c r="E5">
        <v>306</v>
      </c>
      <c r="F5" t="s">
        <v>124</v>
      </c>
      <c r="G5" s="1">
        <v>0</v>
      </c>
      <c r="H5">
        <v>380</v>
      </c>
      <c r="I5">
        <v>0.6</v>
      </c>
      <c r="J5">
        <v>11.5</v>
      </c>
      <c r="K5">
        <v>7</v>
      </c>
      <c r="L5">
        <f t="shared" si="0"/>
        <v>14</v>
      </c>
      <c r="M5">
        <v>0</v>
      </c>
      <c r="N5">
        <v>0</v>
      </c>
      <c r="O5">
        <v>30</v>
      </c>
      <c r="P5" s="1">
        <f t="shared" si="1"/>
        <v>0</v>
      </c>
      <c r="Q5">
        <f t="shared" si="2"/>
        <v>30</v>
      </c>
      <c r="R5" s="1">
        <f t="shared" si="3"/>
        <v>0</v>
      </c>
    </row>
    <row r="6" spans="1:18" x14ac:dyDescent="0.3">
      <c r="A6" t="s">
        <v>2547</v>
      </c>
      <c r="B6" t="s">
        <v>2548</v>
      </c>
      <c r="C6" t="s">
        <v>27</v>
      </c>
      <c r="D6">
        <v>34</v>
      </c>
      <c r="E6">
        <v>180</v>
      </c>
      <c r="F6" t="s">
        <v>482</v>
      </c>
      <c r="G6" s="1">
        <v>0</v>
      </c>
      <c r="H6">
        <v>317</v>
      </c>
      <c r="I6">
        <v>0.6</v>
      </c>
      <c r="J6">
        <v>9.5</v>
      </c>
      <c r="K6">
        <v>6</v>
      </c>
      <c r="L6">
        <f t="shared" si="0"/>
        <v>12</v>
      </c>
      <c r="M6">
        <v>0</v>
      </c>
      <c r="N6">
        <v>0</v>
      </c>
      <c r="O6">
        <v>25</v>
      </c>
      <c r="P6" s="1">
        <f t="shared" si="1"/>
        <v>0</v>
      </c>
      <c r="Q6">
        <f t="shared" si="2"/>
        <v>25</v>
      </c>
      <c r="R6" s="1">
        <f t="shared" si="3"/>
        <v>0</v>
      </c>
    </row>
    <row r="7" spans="1:18" x14ac:dyDescent="0.3">
      <c r="A7" t="s">
        <v>2549</v>
      </c>
      <c r="B7" t="s">
        <v>2550</v>
      </c>
      <c r="C7" t="s">
        <v>27</v>
      </c>
      <c r="D7">
        <v>1</v>
      </c>
      <c r="E7">
        <v>18</v>
      </c>
      <c r="F7" t="s">
        <v>87</v>
      </c>
      <c r="G7" s="1">
        <v>0</v>
      </c>
      <c r="H7">
        <v>0</v>
      </c>
      <c r="I7">
        <v>0.5</v>
      </c>
      <c r="J7">
        <v>18</v>
      </c>
      <c r="K7">
        <v>9</v>
      </c>
      <c r="L7">
        <f t="shared" si="0"/>
        <v>18</v>
      </c>
      <c r="M7">
        <v>0</v>
      </c>
      <c r="N7">
        <v>0</v>
      </c>
      <c r="O7">
        <v>45</v>
      </c>
      <c r="P7" s="1">
        <f t="shared" si="1"/>
        <v>0</v>
      </c>
      <c r="Q7">
        <f t="shared" si="2"/>
        <v>45</v>
      </c>
      <c r="R7" s="1">
        <f t="shared" si="3"/>
        <v>0</v>
      </c>
    </row>
    <row r="8" spans="1:18" x14ac:dyDescent="0.3">
      <c r="A8" t="s">
        <v>2551</v>
      </c>
      <c r="B8" t="s">
        <v>2552</v>
      </c>
      <c r="C8" t="s">
        <v>27</v>
      </c>
      <c r="D8">
        <v>34</v>
      </c>
      <c r="E8">
        <v>233</v>
      </c>
      <c r="F8" t="s">
        <v>482</v>
      </c>
      <c r="G8" s="1">
        <v>202</v>
      </c>
      <c r="H8">
        <v>474</v>
      </c>
      <c r="I8">
        <v>0.5</v>
      </c>
      <c r="J8">
        <v>14</v>
      </c>
      <c r="K8">
        <v>7</v>
      </c>
      <c r="L8">
        <f t="shared" si="0"/>
        <v>14</v>
      </c>
      <c r="M8">
        <v>0</v>
      </c>
      <c r="N8">
        <v>0</v>
      </c>
      <c r="O8">
        <v>35</v>
      </c>
      <c r="P8" s="1">
        <f t="shared" si="1"/>
        <v>0</v>
      </c>
      <c r="Q8">
        <f t="shared" si="2"/>
        <v>35</v>
      </c>
      <c r="R8" s="1">
        <f t="shared" si="3"/>
        <v>7070</v>
      </c>
    </row>
    <row r="9" spans="1:18" x14ac:dyDescent="0.3">
      <c r="A9" t="s">
        <v>2553</v>
      </c>
      <c r="B9" t="s">
        <v>2554</v>
      </c>
      <c r="C9" t="s">
        <v>27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2555</v>
      </c>
      <c r="B10" t="s">
        <v>2556</v>
      </c>
      <c r="C10" t="s">
        <v>27</v>
      </c>
      <c r="D10">
        <v>56</v>
      </c>
      <c r="E10">
        <v>317</v>
      </c>
      <c r="F10" t="s">
        <v>124</v>
      </c>
      <c r="G10" s="1">
        <v>0</v>
      </c>
      <c r="H10">
        <v>492</v>
      </c>
      <c r="I10">
        <v>0.7</v>
      </c>
      <c r="J10">
        <v>9</v>
      </c>
      <c r="K10">
        <v>6</v>
      </c>
      <c r="L10">
        <f t="shared" si="0"/>
        <v>13</v>
      </c>
      <c r="M10">
        <v>0</v>
      </c>
      <c r="N10">
        <v>0</v>
      </c>
      <c r="O10">
        <v>24</v>
      </c>
      <c r="P10" s="1">
        <f t="shared" si="1"/>
        <v>0</v>
      </c>
      <c r="Q10">
        <f t="shared" si="2"/>
        <v>24</v>
      </c>
      <c r="R10" s="1">
        <f t="shared" si="3"/>
        <v>0</v>
      </c>
    </row>
    <row r="11" spans="1:18" x14ac:dyDescent="0.3">
      <c r="A11" t="s">
        <v>2557</v>
      </c>
      <c r="B11" t="s">
        <v>2558</v>
      </c>
      <c r="C11" t="s">
        <v>27</v>
      </c>
      <c r="D11">
        <v>1</v>
      </c>
      <c r="E11">
        <v>27</v>
      </c>
      <c r="F11" t="s">
        <v>87</v>
      </c>
      <c r="G11" s="1">
        <v>0</v>
      </c>
      <c r="H11">
        <v>0</v>
      </c>
      <c r="I11">
        <v>0.5</v>
      </c>
      <c r="J11">
        <v>27</v>
      </c>
      <c r="K11">
        <v>14</v>
      </c>
      <c r="L11">
        <f t="shared" si="0"/>
        <v>28</v>
      </c>
      <c r="M11">
        <v>0</v>
      </c>
      <c r="N11">
        <v>0</v>
      </c>
      <c r="O11">
        <v>68</v>
      </c>
      <c r="P11" s="1">
        <f t="shared" si="1"/>
        <v>0</v>
      </c>
      <c r="Q11">
        <f t="shared" si="2"/>
        <v>68</v>
      </c>
      <c r="R11" s="1">
        <f t="shared" si="3"/>
        <v>0</v>
      </c>
    </row>
    <row r="12" spans="1:18" x14ac:dyDescent="0.3">
      <c r="A12" t="s">
        <v>2559</v>
      </c>
      <c r="B12" t="s">
        <v>2560</v>
      </c>
      <c r="C12" t="s">
        <v>27</v>
      </c>
      <c r="D12">
        <v>56</v>
      </c>
      <c r="E12">
        <v>223</v>
      </c>
      <c r="F12" t="s">
        <v>482</v>
      </c>
      <c r="G12" s="1">
        <v>0</v>
      </c>
      <c r="H12">
        <v>279</v>
      </c>
      <c r="I12">
        <v>0.9</v>
      </c>
      <c r="J12">
        <v>5</v>
      </c>
      <c r="K12">
        <v>4</v>
      </c>
      <c r="L12">
        <f t="shared" si="0"/>
        <v>9</v>
      </c>
      <c r="M12">
        <v>0</v>
      </c>
      <c r="N12">
        <v>0</v>
      </c>
      <c r="O12">
        <v>14</v>
      </c>
      <c r="P12" s="1">
        <f t="shared" si="1"/>
        <v>0</v>
      </c>
      <c r="Q12">
        <f t="shared" si="2"/>
        <v>14</v>
      </c>
      <c r="R12" s="1">
        <f t="shared" si="3"/>
        <v>0</v>
      </c>
    </row>
    <row r="13" spans="1:18" x14ac:dyDescent="0.3">
      <c r="A13" t="s">
        <v>2561</v>
      </c>
      <c r="B13" t="s">
        <v>2562</v>
      </c>
      <c r="C13" t="s">
        <v>27</v>
      </c>
      <c r="D13">
        <v>1</v>
      </c>
      <c r="E13">
        <v>27</v>
      </c>
      <c r="F13" t="s">
        <v>87</v>
      </c>
      <c r="G13" s="1">
        <v>0</v>
      </c>
      <c r="H13">
        <v>0</v>
      </c>
      <c r="I13">
        <v>0.5</v>
      </c>
      <c r="J13">
        <v>27</v>
      </c>
      <c r="K13">
        <v>14</v>
      </c>
      <c r="L13">
        <f t="shared" si="0"/>
        <v>28</v>
      </c>
      <c r="M13">
        <v>0</v>
      </c>
      <c r="N13">
        <v>0</v>
      </c>
      <c r="O13">
        <v>68</v>
      </c>
      <c r="P13" s="1">
        <f t="shared" si="1"/>
        <v>0</v>
      </c>
      <c r="Q13">
        <f t="shared" si="2"/>
        <v>68</v>
      </c>
      <c r="R13" s="1">
        <f t="shared" si="3"/>
        <v>0</v>
      </c>
    </row>
    <row r="14" spans="1:18" x14ac:dyDescent="0.3">
      <c r="A14" t="s">
        <v>2563</v>
      </c>
      <c r="B14" t="s">
        <v>2564</v>
      </c>
      <c r="C14" t="s">
        <v>27</v>
      </c>
      <c r="D14">
        <v>54</v>
      </c>
      <c r="E14">
        <v>140</v>
      </c>
      <c r="F14" t="s">
        <v>124</v>
      </c>
      <c r="G14" s="1">
        <v>191.49</v>
      </c>
      <c r="H14">
        <v>208</v>
      </c>
      <c r="I14">
        <v>0.6</v>
      </c>
      <c r="J14">
        <v>4</v>
      </c>
      <c r="K14">
        <v>2</v>
      </c>
      <c r="L14">
        <f t="shared" si="0"/>
        <v>5</v>
      </c>
      <c r="M14">
        <v>0</v>
      </c>
      <c r="N14">
        <v>0</v>
      </c>
      <c r="O14">
        <v>10</v>
      </c>
      <c r="P14" s="1">
        <f t="shared" si="1"/>
        <v>0</v>
      </c>
      <c r="Q14">
        <f t="shared" si="2"/>
        <v>10</v>
      </c>
      <c r="R14" s="1">
        <f t="shared" si="3"/>
        <v>1914.9</v>
      </c>
    </row>
    <row r="15" spans="1:18" x14ac:dyDescent="0.3">
      <c r="A15" t="s">
        <v>2565</v>
      </c>
      <c r="B15" t="s">
        <v>2566</v>
      </c>
      <c r="C15" t="s">
        <v>27</v>
      </c>
      <c r="D15">
        <v>1</v>
      </c>
      <c r="E15">
        <v>22</v>
      </c>
      <c r="F15" t="s">
        <v>87</v>
      </c>
      <c r="G15" s="1">
        <v>0</v>
      </c>
      <c r="H15">
        <v>0</v>
      </c>
      <c r="I15">
        <v>0.5</v>
      </c>
      <c r="J15">
        <v>22</v>
      </c>
      <c r="K15">
        <v>11</v>
      </c>
      <c r="L15">
        <f t="shared" si="0"/>
        <v>22</v>
      </c>
      <c r="M15">
        <v>0</v>
      </c>
      <c r="N15">
        <v>0</v>
      </c>
      <c r="O15">
        <v>55</v>
      </c>
      <c r="P15" s="1">
        <f t="shared" si="1"/>
        <v>0</v>
      </c>
      <c r="Q15">
        <f t="shared" si="2"/>
        <v>55</v>
      </c>
      <c r="R15" s="1">
        <f t="shared" si="3"/>
        <v>0</v>
      </c>
    </row>
    <row r="16" spans="1:18" x14ac:dyDescent="0.3">
      <c r="A16" t="s">
        <v>2567</v>
      </c>
      <c r="B16" t="s">
        <v>2568</v>
      </c>
      <c r="C16" t="s">
        <v>27</v>
      </c>
      <c r="D16">
        <v>29</v>
      </c>
      <c r="E16">
        <v>79</v>
      </c>
      <c r="F16" t="s">
        <v>482</v>
      </c>
      <c r="G16" s="1">
        <v>23.19</v>
      </c>
      <c r="H16">
        <v>83</v>
      </c>
      <c r="I16">
        <v>0.8</v>
      </c>
      <c r="J16">
        <v>3</v>
      </c>
      <c r="K16">
        <v>2</v>
      </c>
      <c r="L16">
        <f t="shared" si="0"/>
        <v>5</v>
      </c>
      <c r="M16">
        <v>0</v>
      </c>
      <c r="N16">
        <v>0</v>
      </c>
      <c r="O16">
        <v>8</v>
      </c>
      <c r="P16" s="1">
        <f t="shared" si="1"/>
        <v>0</v>
      </c>
      <c r="Q16">
        <f t="shared" si="2"/>
        <v>8</v>
      </c>
      <c r="R16" s="1">
        <f t="shared" si="3"/>
        <v>185.52</v>
      </c>
    </row>
    <row r="17" spans="1:18" x14ac:dyDescent="0.3">
      <c r="A17" t="s">
        <v>2569</v>
      </c>
      <c r="B17" t="s">
        <v>2570</v>
      </c>
      <c r="C17" t="s">
        <v>27</v>
      </c>
      <c r="D17">
        <v>1</v>
      </c>
      <c r="E17">
        <v>15</v>
      </c>
      <c r="F17" t="s">
        <v>87</v>
      </c>
      <c r="G17" s="1">
        <v>0</v>
      </c>
      <c r="H17">
        <v>0</v>
      </c>
      <c r="I17">
        <v>0.5</v>
      </c>
      <c r="J17">
        <v>15</v>
      </c>
      <c r="K17">
        <v>8</v>
      </c>
      <c r="L17">
        <f t="shared" si="0"/>
        <v>16</v>
      </c>
      <c r="M17">
        <v>0</v>
      </c>
      <c r="N17">
        <v>0</v>
      </c>
      <c r="O17">
        <v>38</v>
      </c>
      <c r="P17" s="1">
        <f t="shared" si="1"/>
        <v>0</v>
      </c>
      <c r="Q17">
        <f t="shared" si="2"/>
        <v>38</v>
      </c>
      <c r="R17" s="1">
        <f t="shared" si="3"/>
        <v>0</v>
      </c>
    </row>
    <row r="18" spans="1:18" x14ac:dyDescent="0.3">
      <c r="A1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R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2571</v>
      </c>
      <c r="B2" t="s">
        <v>2571</v>
      </c>
      <c r="C2" t="s">
        <v>28</v>
      </c>
      <c r="D2">
        <v>1</v>
      </c>
      <c r="E2">
        <v>3</v>
      </c>
      <c r="F2" t="s">
        <v>2572</v>
      </c>
      <c r="G2" s="1">
        <v>566.66999999999996</v>
      </c>
      <c r="H2">
        <v>0</v>
      </c>
      <c r="I2">
        <v>0.5</v>
      </c>
      <c r="J2">
        <v>3</v>
      </c>
      <c r="K2">
        <v>2</v>
      </c>
      <c r="L2">
        <f>ROUNDUP((J2*I2)+K2,0)</f>
        <v>4</v>
      </c>
      <c r="M2">
        <v>0</v>
      </c>
      <c r="N2">
        <v>0</v>
      </c>
      <c r="O2">
        <v>8</v>
      </c>
      <c r="P2" s="1">
        <f>IFERROR(M2*G2,0)</f>
        <v>0</v>
      </c>
      <c r="Q2">
        <f>IF(O2-M2-N2&gt;0,O2-M2-N2,0)</f>
        <v>8</v>
      </c>
      <c r="R2" s="1">
        <f>IFERROR(Q2*G2,0)</f>
        <v>4533.3599999999997</v>
      </c>
    </row>
    <row r="3" spans="1:18" x14ac:dyDescent="0.3">
      <c r="A3" t="s">
        <v>2573</v>
      </c>
      <c r="B3" t="s">
        <v>2574</v>
      </c>
      <c r="C3" t="s">
        <v>28</v>
      </c>
      <c r="D3">
        <v>1</v>
      </c>
      <c r="E3">
        <v>200</v>
      </c>
      <c r="F3" t="s">
        <v>2572</v>
      </c>
      <c r="G3" s="1">
        <v>7</v>
      </c>
      <c r="H3">
        <v>0</v>
      </c>
      <c r="I3">
        <v>0.5</v>
      </c>
      <c r="J3">
        <v>200</v>
      </c>
      <c r="K3">
        <v>100</v>
      </c>
      <c r="L3">
        <f>ROUNDUP((J3*I3)+K3,0)</f>
        <v>200</v>
      </c>
      <c r="M3">
        <v>0</v>
      </c>
      <c r="N3">
        <v>0</v>
      </c>
      <c r="O3">
        <v>500</v>
      </c>
      <c r="P3" s="1">
        <f>IFERROR(M3*G3,0)</f>
        <v>0</v>
      </c>
      <c r="Q3">
        <f>IF(O3-M3-N3&gt;0,O3-M3-N3,0)</f>
        <v>500</v>
      </c>
      <c r="R3" s="1">
        <f>IFERROR(Q3*G3,0)</f>
        <v>3500</v>
      </c>
    </row>
    <row r="4" spans="1:18" x14ac:dyDescent="0.3">
      <c r="A4" t="s">
        <v>2575</v>
      </c>
      <c r="B4" t="s">
        <v>2575</v>
      </c>
      <c r="C4" t="s">
        <v>28</v>
      </c>
      <c r="D4">
        <v>1</v>
      </c>
      <c r="E4">
        <v>1</v>
      </c>
      <c r="F4" t="s">
        <v>2572</v>
      </c>
      <c r="G4" s="1">
        <v>100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200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R2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2576</v>
      </c>
      <c r="B2" t="s">
        <v>2577</v>
      </c>
      <c r="C2" t="s">
        <v>29</v>
      </c>
      <c r="D2">
        <v>19</v>
      </c>
      <c r="E2">
        <v>29</v>
      </c>
      <c r="F2" t="s">
        <v>654</v>
      </c>
      <c r="G2" s="1">
        <v>1149.3800000000001</v>
      </c>
      <c r="H2">
        <v>0</v>
      </c>
      <c r="I2">
        <v>1</v>
      </c>
      <c r="J2">
        <v>2</v>
      </c>
      <c r="K2">
        <v>2</v>
      </c>
      <c r="L2">
        <f t="shared" ref="L2:L22" si="0">ROUNDUP((J2*I2)+K2,0)</f>
        <v>4</v>
      </c>
      <c r="M2">
        <v>0</v>
      </c>
      <c r="N2">
        <v>6</v>
      </c>
      <c r="O2">
        <v>6</v>
      </c>
      <c r="P2" s="1">
        <f t="shared" ref="P2:P22" si="1">IFERROR(M2*G2,0)</f>
        <v>0</v>
      </c>
      <c r="Q2">
        <f t="shared" ref="Q2:Q22" si="2">IF(O2-M2-N2&gt;0,O2-M2-N2,0)</f>
        <v>0</v>
      </c>
      <c r="R2" s="1">
        <f t="shared" ref="R2:R22" si="3">IFERROR(Q2*G2,0)</f>
        <v>0</v>
      </c>
    </row>
    <row r="3" spans="1:18" x14ac:dyDescent="0.3">
      <c r="A3" t="s">
        <v>2578</v>
      </c>
      <c r="B3" t="s">
        <v>2579</v>
      </c>
      <c r="C3" t="s">
        <v>29</v>
      </c>
      <c r="D3">
        <v>20</v>
      </c>
      <c r="E3">
        <v>55</v>
      </c>
      <c r="F3" t="s">
        <v>654</v>
      </c>
      <c r="G3" s="1">
        <v>1207.6500000000001</v>
      </c>
      <c r="H3">
        <v>0</v>
      </c>
      <c r="I3">
        <v>0.7</v>
      </c>
      <c r="J3">
        <v>3</v>
      </c>
      <c r="K3">
        <v>2</v>
      </c>
      <c r="L3">
        <f t="shared" si="0"/>
        <v>5</v>
      </c>
      <c r="M3">
        <v>0</v>
      </c>
      <c r="N3">
        <v>0</v>
      </c>
      <c r="O3">
        <v>8</v>
      </c>
      <c r="P3" s="1">
        <f t="shared" si="1"/>
        <v>0</v>
      </c>
      <c r="Q3">
        <f t="shared" si="2"/>
        <v>8</v>
      </c>
      <c r="R3" s="1">
        <f t="shared" si="3"/>
        <v>9661.2000000000007</v>
      </c>
    </row>
    <row r="4" spans="1:18" x14ac:dyDescent="0.3">
      <c r="A4" t="s">
        <v>2580</v>
      </c>
      <c r="B4" t="s">
        <v>2581</v>
      </c>
      <c r="C4" t="s">
        <v>29</v>
      </c>
      <c r="D4">
        <v>19</v>
      </c>
      <c r="E4">
        <v>44</v>
      </c>
      <c r="F4" t="s">
        <v>654</v>
      </c>
      <c r="G4" s="1">
        <v>1251.8900000000001</v>
      </c>
      <c r="H4">
        <v>0</v>
      </c>
      <c r="I4">
        <v>0.8</v>
      </c>
      <c r="J4">
        <v>2.5</v>
      </c>
      <c r="K4">
        <v>2</v>
      </c>
      <c r="L4">
        <f t="shared" si="0"/>
        <v>4</v>
      </c>
      <c r="M4">
        <v>0</v>
      </c>
      <c r="N4">
        <v>10</v>
      </c>
      <c r="O4">
        <v>7</v>
      </c>
      <c r="P4" s="1">
        <f t="shared" si="1"/>
        <v>0</v>
      </c>
      <c r="Q4">
        <f t="shared" si="2"/>
        <v>0</v>
      </c>
      <c r="R4" s="1">
        <f t="shared" si="3"/>
        <v>0</v>
      </c>
    </row>
    <row r="5" spans="1:18" x14ac:dyDescent="0.3">
      <c r="A5" t="s">
        <v>2582</v>
      </c>
      <c r="B5" t="s">
        <v>2583</v>
      </c>
      <c r="C5" t="s">
        <v>29</v>
      </c>
      <c r="D5">
        <v>20</v>
      </c>
      <c r="E5">
        <v>52</v>
      </c>
      <c r="F5" t="s">
        <v>654</v>
      </c>
      <c r="G5" s="1">
        <v>1304.81</v>
      </c>
      <c r="H5">
        <v>2</v>
      </c>
      <c r="I5">
        <v>0.9</v>
      </c>
      <c r="J5">
        <v>3</v>
      </c>
      <c r="K5">
        <v>3</v>
      </c>
      <c r="L5">
        <f t="shared" si="0"/>
        <v>6</v>
      </c>
      <c r="M5">
        <v>0</v>
      </c>
      <c r="N5">
        <v>10</v>
      </c>
      <c r="O5">
        <v>9</v>
      </c>
      <c r="P5" s="1">
        <f t="shared" si="1"/>
        <v>0</v>
      </c>
      <c r="Q5">
        <f t="shared" si="2"/>
        <v>0</v>
      </c>
      <c r="R5" s="1">
        <f t="shared" si="3"/>
        <v>0</v>
      </c>
    </row>
    <row r="6" spans="1:18" x14ac:dyDescent="0.3">
      <c r="A6" t="s">
        <v>2584</v>
      </c>
      <c r="B6" t="s">
        <v>2585</v>
      </c>
      <c r="C6" t="s">
        <v>29</v>
      </c>
      <c r="D6">
        <v>20</v>
      </c>
      <c r="E6">
        <v>70</v>
      </c>
      <c r="F6" t="s">
        <v>654</v>
      </c>
      <c r="G6" s="1">
        <v>1539.27</v>
      </c>
      <c r="H6">
        <v>0</v>
      </c>
      <c r="I6">
        <v>0.7</v>
      </c>
      <c r="J6">
        <v>3.5</v>
      </c>
      <c r="K6">
        <v>2</v>
      </c>
      <c r="L6">
        <f t="shared" si="0"/>
        <v>5</v>
      </c>
      <c r="M6">
        <v>0</v>
      </c>
      <c r="N6">
        <v>0</v>
      </c>
      <c r="O6">
        <v>9</v>
      </c>
      <c r="P6" s="1">
        <f t="shared" si="1"/>
        <v>0</v>
      </c>
      <c r="Q6">
        <f t="shared" si="2"/>
        <v>9</v>
      </c>
      <c r="R6" s="1">
        <f t="shared" si="3"/>
        <v>13853.43</v>
      </c>
    </row>
    <row r="7" spans="1:18" x14ac:dyDescent="0.3">
      <c r="A7" t="s">
        <v>2586</v>
      </c>
      <c r="B7" t="s">
        <v>2587</v>
      </c>
      <c r="C7" t="s">
        <v>29</v>
      </c>
      <c r="D7">
        <v>19</v>
      </c>
      <c r="E7">
        <v>22</v>
      </c>
      <c r="F7" t="s">
        <v>654</v>
      </c>
      <c r="G7" s="1">
        <v>1590.52</v>
      </c>
      <c r="H7">
        <v>1</v>
      </c>
      <c r="I7">
        <v>0.7</v>
      </c>
      <c r="J7">
        <v>1.5</v>
      </c>
      <c r="K7">
        <v>1</v>
      </c>
      <c r="L7">
        <f t="shared" si="0"/>
        <v>3</v>
      </c>
      <c r="M7">
        <v>0</v>
      </c>
      <c r="N7">
        <v>2</v>
      </c>
      <c r="O7">
        <v>4</v>
      </c>
      <c r="P7" s="1">
        <f t="shared" si="1"/>
        <v>0</v>
      </c>
      <c r="Q7">
        <f t="shared" si="2"/>
        <v>2</v>
      </c>
      <c r="R7" s="1">
        <f t="shared" si="3"/>
        <v>3181.04</v>
      </c>
    </row>
    <row r="8" spans="1:18" x14ac:dyDescent="0.3">
      <c r="A8" t="s">
        <v>2588</v>
      </c>
      <c r="B8" t="s">
        <v>2589</v>
      </c>
      <c r="C8" t="s">
        <v>29</v>
      </c>
      <c r="D8">
        <v>21</v>
      </c>
      <c r="E8">
        <v>54</v>
      </c>
      <c r="F8" t="s">
        <v>654</v>
      </c>
      <c r="G8" s="1">
        <v>1445.96</v>
      </c>
      <c r="H8">
        <v>1</v>
      </c>
      <c r="I8">
        <v>1.1000000000000001</v>
      </c>
      <c r="J8">
        <v>3</v>
      </c>
      <c r="K8">
        <v>3</v>
      </c>
      <c r="L8">
        <f t="shared" si="0"/>
        <v>7</v>
      </c>
      <c r="M8">
        <v>0</v>
      </c>
      <c r="N8">
        <v>6</v>
      </c>
      <c r="O8">
        <v>9</v>
      </c>
      <c r="P8" s="1">
        <f t="shared" si="1"/>
        <v>0</v>
      </c>
      <c r="Q8">
        <f t="shared" si="2"/>
        <v>3</v>
      </c>
      <c r="R8" s="1">
        <f t="shared" si="3"/>
        <v>4337.88</v>
      </c>
    </row>
    <row r="9" spans="1:18" x14ac:dyDescent="0.3">
      <c r="A9" t="s">
        <v>2590</v>
      </c>
      <c r="B9" t="s">
        <v>2591</v>
      </c>
      <c r="C9" t="s">
        <v>29</v>
      </c>
      <c r="D9">
        <v>19</v>
      </c>
      <c r="E9">
        <v>22</v>
      </c>
      <c r="F9" t="s">
        <v>654</v>
      </c>
      <c r="G9" s="1">
        <v>1726.71</v>
      </c>
      <c r="H9">
        <v>0</v>
      </c>
      <c r="I9">
        <v>0.9</v>
      </c>
      <c r="J9">
        <v>1.5</v>
      </c>
      <c r="K9">
        <v>1</v>
      </c>
      <c r="L9">
        <f t="shared" si="0"/>
        <v>3</v>
      </c>
      <c r="M9">
        <v>0</v>
      </c>
      <c r="N9">
        <v>8</v>
      </c>
      <c r="O9">
        <v>4</v>
      </c>
      <c r="P9" s="1">
        <f t="shared" si="1"/>
        <v>0</v>
      </c>
      <c r="Q9">
        <f t="shared" si="2"/>
        <v>0</v>
      </c>
      <c r="R9" s="1">
        <f t="shared" si="3"/>
        <v>0</v>
      </c>
    </row>
    <row r="10" spans="1:18" x14ac:dyDescent="0.3">
      <c r="A10" t="s">
        <v>2592</v>
      </c>
      <c r="B10" t="s">
        <v>2593</v>
      </c>
      <c r="C10" t="s">
        <v>29</v>
      </c>
      <c r="D10">
        <v>22</v>
      </c>
      <c r="E10">
        <v>75</v>
      </c>
      <c r="F10" t="s">
        <v>654</v>
      </c>
      <c r="G10" s="1">
        <v>1763.98</v>
      </c>
      <c r="H10">
        <v>0</v>
      </c>
      <c r="I10">
        <v>0.7</v>
      </c>
      <c r="J10">
        <v>3.5</v>
      </c>
      <c r="K10">
        <v>2</v>
      </c>
      <c r="L10">
        <f t="shared" si="0"/>
        <v>5</v>
      </c>
      <c r="M10">
        <v>0</v>
      </c>
      <c r="N10">
        <v>15</v>
      </c>
      <c r="O10">
        <v>9</v>
      </c>
      <c r="P10" s="1">
        <f t="shared" si="1"/>
        <v>0</v>
      </c>
      <c r="Q10">
        <f t="shared" si="2"/>
        <v>0</v>
      </c>
      <c r="R10" s="1">
        <f t="shared" si="3"/>
        <v>0</v>
      </c>
    </row>
    <row r="11" spans="1:18" x14ac:dyDescent="0.3">
      <c r="A11" t="s">
        <v>2594</v>
      </c>
      <c r="B11" t="s">
        <v>2595</v>
      </c>
      <c r="C11" t="s">
        <v>29</v>
      </c>
      <c r="D11">
        <v>20</v>
      </c>
      <c r="E11">
        <v>19</v>
      </c>
      <c r="F11" t="s">
        <v>654</v>
      </c>
      <c r="G11" s="1">
        <v>1902.15</v>
      </c>
      <c r="H11">
        <v>0</v>
      </c>
      <c r="I11">
        <v>1.1000000000000001</v>
      </c>
      <c r="J11">
        <v>1</v>
      </c>
      <c r="K11">
        <v>1</v>
      </c>
      <c r="L11">
        <f t="shared" si="0"/>
        <v>3</v>
      </c>
      <c r="M11">
        <v>0</v>
      </c>
      <c r="N11">
        <v>5</v>
      </c>
      <c r="O11">
        <v>3</v>
      </c>
      <c r="P11" s="1">
        <f t="shared" si="1"/>
        <v>0</v>
      </c>
      <c r="Q11">
        <f t="shared" si="2"/>
        <v>0</v>
      </c>
      <c r="R11" s="1">
        <f t="shared" si="3"/>
        <v>0</v>
      </c>
    </row>
    <row r="12" spans="1:18" x14ac:dyDescent="0.3">
      <c r="A12" t="s">
        <v>2596</v>
      </c>
      <c r="B12" t="s">
        <v>2597</v>
      </c>
      <c r="C12" t="s">
        <v>29</v>
      </c>
      <c r="D12">
        <v>22</v>
      </c>
      <c r="E12">
        <v>55</v>
      </c>
      <c r="F12" t="s">
        <v>654</v>
      </c>
      <c r="G12" s="1">
        <v>2736.91</v>
      </c>
      <c r="H12">
        <v>0</v>
      </c>
      <c r="I12">
        <v>0.9</v>
      </c>
      <c r="J12">
        <v>2.5</v>
      </c>
      <c r="K12">
        <v>2</v>
      </c>
      <c r="L12">
        <f t="shared" si="0"/>
        <v>5</v>
      </c>
      <c r="M12">
        <v>0</v>
      </c>
      <c r="N12">
        <v>15</v>
      </c>
      <c r="O12">
        <v>7</v>
      </c>
      <c r="P12" s="1">
        <f t="shared" si="1"/>
        <v>0</v>
      </c>
      <c r="Q12">
        <f t="shared" si="2"/>
        <v>0</v>
      </c>
      <c r="R12" s="1">
        <f t="shared" si="3"/>
        <v>0</v>
      </c>
    </row>
    <row r="13" spans="1:18" x14ac:dyDescent="0.3">
      <c r="A13" t="s">
        <v>2598</v>
      </c>
      <c r="B13" t="s">
        <v>2599</v>
      </c>
      <c r="C13" t="s">
        <v>29</v>
      </c>
      <c r="D13">
        <v>12</v>
      </c>
      <c r="E13">
        <v>16</v>
      </c>
      <c r="F13" t="s">
        <v>654</v>
      </c>
      <c r="G13" s="1">
        <v>2225.5300000000002</v>
      </c>
      <c r="H13">
        <v>1</v>
      </c>
      <c r="I13">
        <v>1.3</v>
      </c>
      <c r="J13">
        <v>1.5</v>
      </c>
      <c r="K13">
        <v>2</v>
      </c>
      <c r="L13">
        <f t="shared" si="0"/>
        <v>4</v>
      </c>
      <c r="M13">
        <v>0</v>
      </c>
      <c r="N13">
        <v>8</v>
      </c>
      <c r="O13">
        <v>5</v>
      </c>
      <c r="P13" s="1">
        <f t="shared" si="1"/>
        <v>0</v>
      </c>
      <c r="Q13">
        <f t="shared" si="2"/>
        <v>0</v>
      </c>
      <c r="R13" s="1">
        <f t="shared" si="3"/>
        <v>0</v>
      </c>
    </row>
    <row r="14" spans="1:18" x14ac:dyDescent="0.3">
      <c r="A14" t="s">
        <v>2600</v>
      </c>
      <c r="B14" t="s">
        <v>2601</v>
      </c>
      <c r="C14" t="s">
        <v>29</v>
      </c>
      <c r="D14">
        <v>22</v>
      </c>
      <c r="E14">
        <v>72</v>
      </c>
      <c r="F14" t="s">
        <v>654</v>
      </c>
      <c r="G14" s="1">
        <v>2652.15</v>
      </c>
      <c r="H14">
        <v>14</v>
      </c>
      <c r="I14">
        <v>0.9</v>
      </c>
      <c r="J14">
        <v>3.5</v>
      </c>
      <c r="K14">
        <v>3</v>
      </c>
      <c r="L14">
        <f t="shared" si="0"/>
        <v>7</v>
      </c>
      <c r="M14">
        <v>0</v>
      </c>
      <c r="N14">
        <v>20</v>
      </c>
      <c r="O14">
        <v>10</v>
      </c>
      <c r="P14" s="1">
        <f t="shared" si="1"/>
        <v>0</v>
      </c>
      <c r="Q14">
        <f t="shared" si="2"/>
        <v>0</v>
      </c>
      <c r="R14" s="1">
        <f t="shared" si="3"/>
        <v>0</v>
      </c>
    </row>
    <row r="15" spans="1:18" x14ac:dyDescent="0.3">
      <c r="A15" t="s">
        <v>2602</v>
      </c>
      <c r="B15" t="s">
        <v>2603</v>
      </c>
      <c r="C15" t="s">
        <v>29</v>
      </c>
      <c r="D15">
        <v>20</v>
      </c>
      <c r="E15">
        <v>13</v>
      </c>
      <c r="F15" t="s">
        <v>654</v>
      </c>
      <c r="G15" s="1">
        <v>3047.61</v>
      </c>
      <c r="H15">
        <v>0</v>
      </c>
      <c r="I15">
        <v>1.3</v>
      </c>
      <c r="J15">
        <v>1</v>
      </c>
      <c r="K15">
        <v>1</v>
      </c>
      <c r="L15">
        <f t="shared" si="0"/>
        <v>3</v>
      </c>
      <c r="M15">
        <v>0</v>
      </c>
      <c r="N15">
        <v>3</v>
      </c>
      <c r="O15">
        <v>3</v>
      </c>
      <c r="P15" s="1">
        <f t="shared" si="1"/>
        <v>0</v>
      </c>
      <c r="Q15">
        <f t="shared" si="2"/>
        <v>0</v>
      </c>
      <c r="R15" s="1">
        <f t="shared" si="3"/>
        <v>0</v>
      </c>
    </row>
    <row r="16" spans="1:18" x14ac:dyDescent="0.3">
      <c r="A16" t="s">
        <v>2604</v>
      </c>
      <c r="B16" t="s">
        <v>2605</v>
      </c>
      <c r="C16" t="s">
        <v>29</v>
      </c>
      <c r="D16">
        <v>21</v>
      </c>
      <c r="E16">
        <v>61</v>
      </c>
      <c r="F16" t="s">
        <v>654</v>
      </c>
      <c r="G16" s="1">
        <v>3012.02</v>
      </c>
      <c r="H16">
        <v>2</v>
      </c>
      <c r="I16">
        <v>0.9</v>
      </c>
      <c r="J16">
        <v>3</v>
      </c>
      <c r="K16">
        <v>3</v>
      </c>
      <c r="L16">
        <f t="shared" si="0"/>
        <v>6</v>
      </c>
      <c r="M16">
        <v>0</v>
      </c>
      <c r="N16">
        <v>6</v>
      </c>
      <c r="O16">
        <v>9</v>
      </c>
      <c r="P16" s="1">
        <f t="shared" si="1"/>
        <v>0</v>
      </c>
      <c r="Q16">
        <f t="shared" si="2"/>
        <v>3</v>
      </c>
      <c r="R16" s="1">
        <f t="shared" si="3"/>
        <v>9036.06</v>
      </c>
    </row>
    <row r="17" spans="1:18" x14ac:dyDescent="0.3">
      <c r="A17" t="s">
        <v>2606</v>
      </c>
      <c r="B17" t="s">
        <v>2607</v>
      </c>
      <c r="C17" t="s">
        <v>29</v>
      </c>
      <c r="D17">
        <v>15</v>
      </c>
      <c r="E17">
        <v>24</v>
      </c>
      <c r="F17" t="s">
        <v>654</v>
      </c>
      <c r="G17" s="1">
        <v>3644.75</v>
      </c>
      <c r="H17">
        <v>0</v>
      </c>
      <c r="I17">
        <v>0.7</v>
      </c>
      <c r="J17">
        <v>2</v>
      </c>
      <c r="K17">
        <v>1</v>
      </c>
      <c r="L17">
        <f t="shared" si="0"/>
        <v>3</v>
      </c>
      <c r="M17">
        <v>0</v>
      </c>
      <c r="N17">
        <v>12</v>
      </c>
      <c r="O17">
        <v>5</v>
      </c>
      <c r="P17" s="1">
        <f t="shared" si="1"/>
        <v>0</v>
      </c>
      <c r="Q17">
        <f t="shared" si="2"/>
        <v>0</v>
      </c>
      <c r="R17" s="1">
        <f t="shared" si="3"/>
        <v>0</v>
      </c>
    </row>
    <row r="18" spans="1:18" x14ac:dyDescent="0.3">
      <c r="A18" t="s">
        <v>2608</v>
      </c>
      <c r="B18" t="s">
        <v>2609</v>
      </c>
      <c r="C18" t="s">
        <v>29</v>
      </c>
      <c r="D18">
        <v>15</v>
      </c>
      <c r="E18">
        <v>41</v>
      </c>
      <c r="F18" t="s">
        <v>654</v>
      </c>
      <c r="G18" s="1">
        <v>4017.1</v>
      </c>
      <c r="H18">
        <v>0</v>
      </c>
      <c r="I18">
        <v>1.1000000000000001</v>
      </c>
      <c r="J18">
        <v>3</v>
      </c>
      <c r="K18">
        <v>3</v>
      </c>
      <c r="L18">
        <f t="shared" si="0"/>
        <v>7</v>
      </c>
      <c r="M18">
        <v>0</v>
      </c>
      <c r="N18">
        <v>8</v>
      </c>
      <c r="O18">
        <v>9</v>
      </c>
      <c r="P18" s="1">
        <f t="shared" si="1"/>
        <v>0</v>
      </c>
      <c r="Q18">
        <f t="shared" si="2"/>
        <v>1</v>
      </c>
      <c r="R18" s="1">
        <f t="shared" si="3"/>
        <v>4017.1</v>
      </c>
    </row>
    <row r="19" spans="1:18" x14ac:dyDescent="0.3">
      <c r="A19" t="s">
        <v>2610</v>
      </c>
      <c r="B19" t="s">
        <v>2611</v>
      </c>
      <c r="C19" t="s">
        <v>29</v>
      </c>
      <c r="D19">
        <v>12</v>
      </c>
      <c r="E19">
        <v>6</v>
      </c>
      <c r="F19" t="s">
        <v>2536</v>
      </c>
      <c r="G19" s="1">
        <v>5386.44</v>
      </c>
      <c r="H19">
        <v>0</v>
      </c>
      <c r="I19">
        <v>0.9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3</v>
      </c>
      <c r="P19" s="1">
        <f t="shared" si="1"/>
        <v>0</v>
      </c>
      <c r="Q19">
        <f t="shared" si="2"/>
        <v>3</v>
      </c>
      <c r="R19" s="1">
        <f t="shared" si="3"/>
        <v>16159.32</v>
      </c>
    </row>
    <row r="20" spans="1:18" x14ac:dyDescent="0.3">
      <c r="A20" t="s">
        <v>2612</v>
      </c>
      <c r="B20" t="s">
        <v>2613</v>
      </c>
      <c r="C20" t="s">
        <v>29</v>
      </c>
      <c r="D20">
        <v>20</v>
      </c>
      <c r="E20">
        <v>19</v>
      </c>
      <c r="F20" t="s">
        <v>654</v>
      </c>
      <c r="G20" s="1">
        <v>4898.3900000000003</v>
      </c>
      <c r="H20">
        <v>4</v>
      </c>
      <c r="I20">
        <v>1.1000000000000001</v>
      </c>
      <c r="J20">
        <v>1</v>
      </c>
      <c r="K20">
        <v>1</v>
      </c>
      <c r="L20">
        <f t="shared" si="0"/>
        <v>3</v>
      </c>
      <c r="M20">
        <v>0</v>
      </c>
      <c r="N20">
        <v>6</v>
      </c>
      <c r="O20">
        <v>3</v>
      </c>
      <c r="P20" s="1">
        <f t="shared" si="1"/>
        <v>0</v>
      </c>
      <c r="Q20">
        <f t="shared" si="2"/>
        <v>0</v>
      </c>
      <c r="R20" s="1">
        <f t="shared" si="3"/>
        <v>0</v>
      </c>
    </row>
    <row r="21" spans="1:18" x14ac:dyDescent="0.3">
      <c r="A21" t="s">
        <v>2614</v>
      </c>
      <c r="B21" t="s">
        <v>2615</v>
      </c>
      <c r="C21" t="s">
        <v>29</v>
      </c>
      <c r="D21">
        <v>1</v>
      </c>
      <c r="E21">
        <v>5</v>
      </c>
      <c r="F21" t="s">
        <v>654</v>
      </c>
      <c r="G21" s="1">
        <v>2722.8</v>
      </c>
      <c r="H21">
        <v>0</v>
      </c>
      <c r="I21">
        <v>0.9</v>
      </c>
      <c r="J21">
        <v>5</v>
      </c>
      <c r="K21">
        <v>4</v>
      </c>
      <c r="L21">
        <f t="shared" si="0"/>
        <v>9</v>
      </c>
      <c r="M21">
        <v>0</v>
      </c>
      <c r="N21">
        <v>0</v>
      </c>
      <c r="O21">
        <v>14</v>
      </c>
      <c r="P21" s="1">
        <f t="shared" si="1"/>
        <v>0</v>
      </c>
      <c r="Q21">
        <f t="shared" si="2"/>
        <v>14</v>
      </c>
      <c r="R21" s="1">
        <f t="shared" si="3"/>
        <v>38119.200000000004</v>
      </c>
    </row>
    <row r="22" spans="1:18" x14ac:dyDescent="0.3">
      <c r="A22" t="s">
        <v>2616</v>
      </c>
      <c r="B22" t="s">
        <v>2617</v>
      </c>
      <c r="C22" t="s">
        <v>29</v>
      </c>
      <c r="D22">
        <v>17</v>
      </c>
      <c r="E22">
        <v>12</v>
      </c>
      <c r="F22" t="s">
        <v>654</v>
      </c>
      <c r="G22" s="1">
        <v>5434.17</v>
      </c>
      <c r="H22">
        <v>0</v>
      </c>
      <c r="I22">
        <v>0.6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3</v>
      </c>
      <c r="P22" s="1">
        <f t="shared" si="1"/>
        <v>0</v>
      </c>
      <c r="Q22">
        <f t="shared" si="2"/>
        <v>3</v>
      </c>
      <c r="R22" s="1">
        <f t="shared" si="3"/>
        <v>16302.51</v>
      </c>
    </row>
    <row r="23" spans="1:18" x14ac:dyDescent="0.3">
      <c r="A2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R5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2618</v>
      </c>
      <c r="B2" t="s">
        <v>2619</v>
      </c>
      <c r="C2" t="s">
        <v>30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2620</v>
      </c>
      <c r="B3" t="s">
        <v>2621</v>
      </c>
      <c r="C3" t="s">
        <v>30</v>
      </c>
      <c r="D3">
        <v>28</v>
      </c>
      <c r="E3">
        <v>0</v>
      </c>
      <c r="G3" s="1">
        <v>0</v>
      </c>
      <c r="H3">
        <v>3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2622</v>
      </c>
      <c r="B4" t="s">
        <v>2623</v>
      </c>
      <c r="C4" t="s">
        <v>30</v>
      </c>
      <c r="D4">
        <v>27</v>
      </c>
      <c r="E4">
        <v>0</v>
      </c>
      <c r="G4" s="1">
        <v>0</v>
      </c>
      <c r="H4">
        <v>6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2624</v>
      </c>
      <c r="B5" t="s">
        <v>2625</v>
      </c>
      <c r="C5" t="s">
        <v>30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2626</v>
      </c>
      <c r="B6" t="s">
        <v>2627</v>
      </c>
      <c r="C6" t="s">
        <v>30</v>
      </c>
      <c r="D6">
        <v>31</v>
      </c>
      <c r="E6">
        <v>0</v>
      </c>
      <c r="G6" s="1">
        <v>0</v>
      </c>
      <c r="H6">
        <v>4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2628</v>
      </c>
      <c r="B7" t="s">
        <v>2629</v>
      </c>
      <c r="C7" t="s">
        <v>30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2630</v>
      </c>
      <c r="B8" t="s">
        <v>2631</v>
      </c>
      <c r="C8" t="s">
        <v>30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2632</v>
      </c>
      <c r="B9" t="s">
        <v>2633</v>
      </c>
      <c r="C9" t="s">
        <v>30</v>
      </c>
      <c r="D9">
        <v>35</v>
      </c>
      <c r="E9">
        <v>15</v>
      </c>
      <c r="F9" t="s">
        <v>2634</v>
      </c>
      <c r="G9" s="1">
        <v>3222</v>
      </c>
      <c r="H9">
        <v>18</v>
      </c>
      <c r="I9">
        <v>0.6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3</v>
      </c>
      <c r="P9" s="1">
        <f t="shared" si="1"/>
        <v>0</v>
      </c>
      <c r="Q9">
        <f t="shared" si="2"/>
        <v>3</v>
      </c>
      <c r="R9" s="1">
        <f t="shared" si="3"/>
        <v>9666</v>
      </c>
    </row>
    <row r="10" spans="1:18" x14ac:dyDescent="0.3">
      <c r="A10" t="s">
        <v>2635</v>
      </c>
      <c r="B10" t="s">
        <v>2636</v>
      </c>
      <c r="C10" t="s">
        <v>30</v>
      </c>
      <c r="D10">
        <v>1</v>
      </c>
      <c r="E10">
        <v>0</v>
      </c>
      <c r="G10" s="1">
        <v>0</v>
      </c>
      <c r="H10">
        <v>1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2637</v>
      </c>
      <c r="B11" t="s">
        <v>2638</v>
      </c>
      <c r="C11" t="s">
        <v>30</v>
      </c>
      <c r="D11">
        <v>1</v>
      </c>
      <c r="E11">
        <v>1</v>
      </c>
      <c r="F11" t="s">
        <v>2634</v>
      </c>
      <c r="G11" s="1">
        <v>2705.32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5410.64</v>
      </c>
    </row>
    <row r="12" spans="1:18" x14ac:dyDescent="0.3">
      <c r="A12" t="s">
        <v>2639</v>
      </c>
      <c r="B12" t="s">
        <v>2640</v>
      </c>
      <c r="C12" t="s">
        <v>30</v>
      </c>
      <c r="D12">
        <v>32</v>
      </c>
      <c r="E12">
        <v>11</v>
      </c>
      <c r="F12" t="s">
        <v>2641</v>
      </c>
      <c r="G12" s="1">
        <v>4085.58</v>
      </c>
      <c r="H12">
        <v>29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8171.16</v>
      </c>
    </row>
    <row r="13" spans="1:18" x14ac:dyDescent="0.3">
      <c r="A13" t="s">
        <v>2642</v>
      </c>
      <c r="B13" t="s">
        <v>2643</v>
      </c>
      <c r="C13" t="s">
        <v>30</v>
      </c>
      <c r="D13">
        <v>1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2644</v>
      </c>
      <c r="B14" t="s">
        <v>2645</v>
      </c>
      <c r="C14" t="s">
        <v>30</v>
      </c>
      <c r="D14">
        <v>19</v>
      </c>
      <c r="E14">
        <v>5</v>
      </c>
      <c r="F14" t="s">
        <v>2646</v>
      </c>
      <c r="G14" s="1">
        <v>3665</v>
      </c>
      <c r="H14">
        <v>3</v>
      </c>
      <c r="I14">
        <v>0.6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3</v>
      </c>
      <c r="P14" s="1">
        <f t="shared" si="1"/>
        <v>0</v>
      </c>
      <c r="Q14">
        <f t="shared" si="2"/>
        <v>3</v>
      </c>
      <c r="R14" s="1">
        <f t="shared" si="3"/>
        <v>10995</v>
      </c>
    </row>
    <row r="15" spans="1:18" x14ac:dyDescent="0.3">
      <c r="A15" t="s">
        <v>2647</v>
      </c>
      <c r="B15" t="s">
        <v>2648</v>
      </c>
      <c r="C15" t="s">
        <v>30</v>
      </c>
      <c r="D15">
        <v>1</v>
      </c>
      <c r="E15">
        <v>0</v>
      </c>
      <c r="G15" s="1">
        <v>0</v>
      </c>
      <c r="H15">
        <v>2</v>
      </c>
      <c r="I15">
        <v>0.5</v>
      </c>
      <c r="J15">
        <v>2</v>
      </c>
      <c r="K15">
        <v>1</v>
      </c>
      <c r="L15">
        <f t="shared" si="0"/>
        <v>2</v>
      </c>
      <c r="M15">
        <v>0</v>
      </c>
      <c r="N15">
        <v>0</v>
      </c>
      <c r="O15">
        <v>5</v>
      </c>
      <c r="P15" s="1">
        <f t="shared" si="1"/>
        <v>0</v>
      </c>
      <c r="Q15">
        <f t="shared" si="2"/>
        <v>5</v>
      </c>
      <c r="R15" s="1">
        <f t="shared" si="3"/>
        <v>0</v>
      </c>
    </row>
    <row r="16" spans="1:18" x14ac:dyDescent="0.3">
      <c r="A16" t="s">
        <v>2649</v>
      </c>
      <c r="B16" t="s">
        <v>2650</v>
      </c>
      <c r="C16" t="s">
        <v>30</v>
      </c>
      <c r="D16">
        <v>5</v>
      </c>
      <c r="E16">
        <v>0</v>
      </c>
      <c r="G16" s="1">
        <v>0</v>
      </c>
      <c r="H16">
        <v>2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2651</v>
      </c>
      <c r="B17" t="s">
        <v>2652</v>
      </c>
      <c r="C17" t="s">
        <v>30</v>
      </c>
      <c r="D17">
        <v>29</v>
      </c>
      <c r="E17">
        <v>0</v>
      </c>
      <c r="G17" s="1">
        <v>0</v>
      </c>
      <c r="H17">
        <v>6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2653</v>
      </c>
      <c r="B18" t="s">
        <v>2654</v>
      </c>
      <c r="C18" t="s">
        <v>30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2655</v>
      </c>
      <c r="B19" t="s">
        <v>2656</v>
      </c>
      <c r="C19" t="s">
        <v>30</v>
      </c>
      <c r="D19">
        <v>1</v>
      </c>
      <c r="E19">
        <v>0</v>
      </c>
      <c r="G19" s="1">
        <v>5922.23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11844.46</v>
      </c>
    </row>
    <row r="20" spans="1:18" x14ac:dyDescent="0.3">
      <c r="A20" t="s">
        <v>2657</v>
      </c>
      <c r="B20" t="s">
        <v>2658</v>
      </c>
      <c r="C20" t="s">
        <v>30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2659</v>
      </c>
      <c r="B21" t="s">
        <v>2660</v>
      </c>
      <c r="C21" t="s">
        <v>30</v>
      </c>
      <c r="D21">
        <v>1</v>
      </c>
      <c r="E21">
        <v>0</v>
      </c>
      <c r="F21" t="s">
        <v>2634</v>
      </c>
      <c r="G21" s="1">
        <v>0</v>
      </c>
      <c r="H21">
        <v>0</v>
      </c>
      <c r="I21">
        <v>1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3</v>
      </c>
      <c r="P21" s="1">
        <f t="shared" si="1"/>
        <v>0</v>
      </c>
      <c r="Q21">
        <f t="shared" si="2"/>
        <v>3</v>
      </c>
      <c r="R21" s="1">
        <f t="shared" si="3"/>
        <v>0</v>
      </c>
    </row>
    <row r="22" spans="1:18" x14ac:dyDescent="0.3">
      <c r="A22" t="s">
        <v>2661</v>
      </c>
      <c r="B22" t="s">
        <v>2662</v>
      </c>
      <c r="C22" t="s">
        <v>30</v>
      </c>
      <c r="D22">
        <v>1</v>
      </c>
      <c r="E22">
        <v>0</v>
      </c>
      <c r="G22" s="1">
        <v>0</v>
      </c>
      <c r="H22">
        <v>1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2663</v>
      </c>
      <c r="B23" t="s">
        <v>2664</v>
      </c>
      <c r="C23" t="s">
        <v>30</v>
      </c>
      <c r="D23">
        <v>21</v>
      </c>
      <c r="E23">
        <v>0</v>
      </c>
      <c r="G23" s="1">
        <v>0</v>
      </c>
      <c r="H23">
        <v>5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2665</v>
      </c>
      <c r="B24" t="s">
        <v>2666</v>
      </c>
      <c r="C24" t="s">
        <v>30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2667</v>
      </c>
      <c r="B25" t="s">
        <v>2668</v>
      </c>
      <c r="C25" t="s">
        <v>30</v>
      </c>
      <c r="D25">
        <v>30</v>
      </c>
      <c r="E25">
        <v>0</v>
      </c>
      <c r="G25" s="1">
        <v>0</v>
      </c>
      <c r="H25">
        <v>8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2669</v>
      </c>
      <c r="B26" t="s">
        <v>2670</v>
      </c>
      <c r="C26" t="s">
        <v>30</v>
      </c>
      <c r="D26">
        <v>33</v>
      </c>
      <c r="E26">
        <v>0</v>
      </c>
      <c r="G26" s="1">
        <v>0</v>
      </c>
      <c r="H26">
        <v>2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2671</v>
      </c>
      <c r="B27" t="s">
        <v>2672</v>
      </c>
      <c r="C27" t="s">
        <v>30</v>
      </c>
      <c r="D27">
        <v>2</v>
      </c>
      <c r="E27">
        <v>0</v>
      </c>
      <c r="G27" s="1">
        <v>0</v>
      </c>
      <c r="H27">
        <v>2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2673</v>
      </c>
      <c r="B28" t="s">
        <v>2674</v>
      </c>
      <c r="C28" t="s">
        <v>30</v>
      </c>
      <c r="D28">
        <v>1</v>
      </c>
      <c r="E28">
        <v>0</v>
      </c>
      <c r="G28" s="1">
        <v>0</v>
      </c>
      <c r="H28">
        <v>1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2675</v>
      </c>
      <c r="B29" t="s">
        <v>2676</v>
      </c>
      <c r="C29" t="s">
        <v>30</v>
      </c>
      <c r="D29">
        <v>26</v>
      </c>
      <c r="E29">
        <v>0</v>
      </c>
      <c r="G29" s="1">
        <v>0</v>
      </c>
      <c r="H29">
        <v>20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2677</v>
      </c>
      <c r="B30" t="s">
        <v>2678</v>
      </c>
      <c r="C30" t="s">
        <v>30</v>
      </c>
      <c r="D30">
        <v>30</v>
      </c>
      <c r="E30">
        <v>0</v>
      </c>
      <c r="G30" s="1">
        <v>0</v>
      </c>
      <c r="H30">
        <v>1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2679</v>
      </c>
      <c r="B31" t="s">
        <v>2680</v>
      </c>
      <c r="C31" t="s">
        <v>30</v>
      </c>
      <c r="D31">
        <v>26</v>
      </c>
      <c r="E31">
        <v>6</v>
      </c>
      <c r="F31" t="s">
        <v>2634</v>
      </c>
      <c r="G31" s="1">
        <v>2986.83</v>
      </c>
      <c r="H31">
        <v>7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5973.66</v>
      </c>
    </row>
    <row r="32" spans="1:18" x14ac:dyDescent="0.3">
      <c r="A32" t="s">
        <v>2681</v>
      </c>
      <c r="B32" t="s">
        <v>2682</v>
      </c>
      <c r="C32" t="s">
        <v>30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2683</v>
      </c>
      <c r="B33" t="s">
        <v>2684</v>
      </c>
      <c r="C33" t="s">
        <v>30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2685</v>
      </c>
      <c r="B34" t="s">
        <v>2686</v>
      </c>
      <c r="C34" t="s">
        <v>30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54" si="5">IFERROR(M34*G34,0)</f>
        <v>0</v>
      </c>
      <c r="Q34">
        <f t="shared" ref="Q34:Q54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2687</v>
      </c>
      <c r="B35" t="s">
        <v>2688</v>
      </c>
      <c r="C35" t="s">
        <v>30</v>
      </c>
      <c r="D35">
        <v>32</v>
      </c>
      <c r="E35">
        <v>0</v>
      </c>
      <c r="G35" s="1">
        <v>0</v>
      </c>
      <c r="H35">
        <v>3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2689</v>
      </c>
      <c r="B36" t="s">
        <v>2690</v>
      </c>
      <c r="C36" t="s">
        <v>30</v>
      </c>
      <c r="D36">
        <v>10</v>
      </c>
      <c r="E36">
        <v>0</v>
      </c>
      <c r="G36" s="1">
        <v>0</v>
      </c>
      <c r="H36">
        <v>2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2691</v>
      </c>
      <c r="B37" t="s">
        <v>2692</v>
      </c>
      <c r="C37" t="s">
        <v>30</v>
      </c>
      <c r="D37">
        <v>15</v>
      </c>
      <c r="E37">
        <v>0</v>
      </c>
      <c r="G37" s="1">
        <v>0</v>
      </c>
      <c r="H37">
        <v>9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2693</v>
      </c>
      <c r="B38" t="s">
        <v>2694</v>
      </c>
      <c r="C38" t="s">
        <v>30</v>
      </c>
      <c r="D38">
        <v>1</v>
      </c>
      <c r="E38">
        <v>0</v>
      </c>
      <c r="G38" s="1">
        <v>0</v>
      </c>
      <c r="H38">
        <v>0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2695</v>
      </c>
      <c r="B39" t="s">
        <v>2696</v>
      </c>
      <c r="C39" t="s">
        <v>30</v>
      </c>
      <c r="D39">
        <v>1</v>
      </c>
      <c r="E39">
        <v>0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2697</v>
      </c>
      <c r="B40" t="s">
        <v>2698</v>
      </c>
      <c r="C40" t="s">
        <v>30</v>
      </c>
      <c r="D40">
        <v>35</v>
      </c>
      <c r="E40">
        <v>0</v>
      </c>
      <c r="G40" s="1">
        <v>0</v>
      </c>
      <c r="H40">
        <v>14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2699</v>
      </c>
      <c r="B41" t="s">
        <v>2700</v>
      </c>
      <c r="C41" t="s">
        <v>30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2701</v>
      </c>
      <c r="B42" t="s">
        <v>2702</v>
      </c>
      <c r="C42" t="s">
        <v>30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2703</v>
      </c>
      <c r="B43" t="s">
        <v>2704</v>
      </c>
      <c r="C43" t="s">
        <v>30</v>
      </c>
      <c r="D43">
        <v>7</v>
      </c>
      <c r="E43">
        <v>0</v>
      </c>
      <c r="G43" s="1">
        <v>0</v>
      </c>
      <c r="H43">
        <v>14</v>
      </c>
      <c r="I43">
        <v>0.5</v>
      </c>
      <c r="J43">
        <v>2</v>
      </c>
      <c r="K43">
        <v>1</v>
      </c>
      <c r="L43">
        <f t="shared" si="4"/>
        <v>2</v>
      </c>
      <c r="M43">
        <v>0</v>
      </c>
      <c r="N43">
        <v>0</v>
      </c>
      <c r="O43">
        <v>5</v>
      </c>
      <c r="P43" s="1">
        <f t="shared" si="5"/>
        <v>0</v>
      </c>
      <c r="Q43">
        <f t="shared" si="6"/>
        <v>5</v>
      </c>
      <c r="R43" s="1">
        <f t="shared" si="7"/>
        <v>0</v>
      </c>
    </row>
    <row r="44" spans="1:18" x14ac:dyDescent="0.3">
      <c r="A44" t="s">
        <v>2705</v>
      </c>
      <c r="B44" t="s">
        <v>2706</v>
      </c>
      <c r="C44" t="s">
        <v>30</v>
      </c>
      <c r="D44">
        <v>23</v>
      </c>
      <c r="E44">
        <v>4</v>
      </c>
      <c r="F44" t="s">
        <v>2634</v>
      </c>
      <c r="G44" s="1">
        <v>1276.17</v>
      </c>
      <c r="H44">
        <v>1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2552.34</v>
      </c>
    </row>
    <row r="45" spans="1:18" x14ac:dyDescent="0.3">
      <c r="A45" t="s">
        <v>2707</v>
      </c>
      <c r="B45" t="s">
        <v>2708</v>
      </c>
      <c r="C45" t="s">
        <v>30</v>
      </c>
      <c r="D45">
        <v>1</v>
      </c>
      <c r="E45">
        <v>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2709</v>
      </c>
      <c r="B46" t="s">
        <v>2710</v>
      </c>
      <c r="C46" t="s">
        <v>30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2711</v>
      </c>
      <c r="B47" t="s">
        <v>2712</v>
      </c>
      <c r="C47" t="s">
        <v>30</v>
      </c>
      <c r="D47">
        <v>1</v>
      </c>
      <c r="E47">
        <v>1</v>
      </c>
      <c r="F47" t="s">
        <v>178</v>
      </c>
      <c r="G47" s="1">
        <v>2000</v>
      </c>
      <c r="H47">
        <v>0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4000</v>
      </c>
    </row>
    <row r="48" spans="1:18" x14ac:dyDescent="0.3">
      <c r="A48" t="s">
        <v>2713</v>
      </c>
      <c r="B48" t="s">
        <v>2714</v>
      </c>
      <c r="C48" t="s">
        <v>30</v>
      </c>
      <c r="D48">
        <v>20</v>
      </c>
      <c r="E48">
        <v>3</v>
      </c>
      <c r="F48" t="s">
        <v>77</v>
      </c>
      <c r="G48" s="1">
        <v>906.86</v>
      </c>
      <c r="H48">
        <v>2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1813.72</v>
      </c>
    </row>
    <row r="49" spans="1:18" x14ac:dyDescent="0.3">
      <c r="A49" t="s">
        <v>2715</v>
      </c>
      <c r="B49" t="s">
        <v>2716</v>
      </c>
      <c r="C49" t="s">
        <v>30</v>
      </c>
      <c r="D49">
        <v>18</v>
      </c>
      <c r="E49">
        <v>5</v>
      </c>
      <c r="F49" t="s">
        <v>551</v>
      </c>
      <c r="G49" s="1">
        <v>10531</v>
      </c>
      <c r="H49">
        <v>4</v>
      </c>
      <c r="I49">
        <v>0.7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3</v>
      </c>
      <c r="P49" s="1">
        <f t="shared" si="5"/>
        <v>0</v>
      </c>
      <c r="Q49">
        <f t="shared" si="6"/>
        <v>3</v>
      </c>
      <c r="R49" s="1">
        <f t="shared" si="7"/>
        <v>31593</v>
      </c>
    </row>
    <row r="50" spans="1:18" x14ac:dyDescent="0.3">
      <c r="A50" t="s">
        <v>2717</v>
      </c>
      <c r="B50" t="s">
        <v>2718</v>
      </c>
      <c r="C50" t="s">
        <v>30</v>
      </c>
      <c r="D50">
        <v>21</v>
      </c>
      <c r="E50">
        <v>0</v>
      </c>
      <c r="G50" s="1">
        <v>0</v>
      </c>
      <c r="H50">
        <v>1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2719</v>
      </c>
      <c r="B51" t="s">
        <v>2720</v>
      </c>
      <c r="C51" t="s">
        <v>30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2721</v>
      </c>
      <c r="B52" t="s">
        <v>2722</v>
      </c>
      <c r="C52" t="s">
        <v>30</v>
      </c>
      <c r="D52">
        <v>5</v>
      </c>
      <c r="E52">
        <v>0</v>
      </c>
      <c r="G52" s="1">
        <v>0</v>
      </c>
      <c r="H52">
        <v>9</v>
      </c>
      <c r="I52">
        <v>0.5</v>
      </c>
      <c r="J52">
        <v>2</v>
      </c>
      <c r="K52">
        <v>1</v>
      </c>
      <c r="L52">
        <f t="shared" si="4"/>
        <v>2</v>
      </c>
      <c r="M52">
        <v>0</v>
      </c>
      <c r="N52">
        <v>0</v>
      </c>
      <c r="O52">
        <v>5</v>
      </c>
      <c r="P52" s="1">
        <f t="shared" si="5"/>
        <v>0</v>
      </c>
      <c r="Q52">
        <f t="shared" si="6"/>
        <v>5</v>
      </c>
      <c r="R52" s="1">
        <f t="shared" si="7"/>
        <v>0</v>
      </c>
    </row>
    <row r="53" spans="1:18" x14ac:dyDescent="0.3">
      <c r="A53" t="s">
        <v>2723</v>
      </c>
      <c r="B53" t="s">
        <v>2724</v>
      </c>
      <c r="C53" t="s">
        <v>30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2725</v>
      </c>
      <c r="B54" t="s">
        <v>2726</v>
      </c>
      <c r="C54" t="s">
        <v>30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2727</v>
      </c>
      <c r="B2" t="s">
        <v>2728</v>
      </c>
      <c r="C2" t="s">
        <v>31</v>
      </c>
      <c r="D2">
        <v>18</v>
      </c>
      <c r="E2">
        <v>0</v>
      </c>
      <c r="G2" s="1">
        <v>0</v>
      </c>
      <c r="H2">
        <v>10</v>
      </c>
      <c r="I2">
        <v>0.5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2</v>
      </c>
      <c r="P2" s="1">
        <f t="shared" ref="P2:P14" si="1">IFERROR(M2*G2,0)</f>
        <v>0</v>
      </c>
      <c r="Q2">
        <f t="shared" ref="Q2:Q14" si="2">IF(O2-M2-N2&gt;0,O2-M2-N2,0)</f>
        <v>2</v>
      </c>
      <c r="R2" s="1">
        <f t="shared" ref="R2:R14" si="3">IFERROR(Q2*G2,0)</f>
        <v>0</v>
      </c>
    </row>
    <row r="3" spans="1:18" x14ac:dyDescent="0.3">
      <c r="A3" t="s">
        <v>2729</v>
      </c>
      <c r="B3" t="s">
        <v>2730</v>
      </c>
      <c r="C3" t="s">
        <v>31</v>
      </c>
      <c r="D3">
        <v>16</v>
      </c>
      <c r="E3">
        <v>0</v>
      </c>
      <c r="G3" s="1">
        <v>0</v>
      </c>
      <c r="H3">
        <v>17</v>
      </c>
      <c r="I3">
        <v>0.5</v>
      </c>
      <c r="J3">
        <v>1.5</v>
      </c>
      <c r="K3">
        <v>1</v>
      </c>
      <c r="L3">
        <f t="shared" si="0"/>
        <v>2</v>
      </c>
      <c r="M3">
        <v>0</v>
      </c>
      <c r="N3">
        <v>0</v>
      </c>
      <c r="O3">
        <v>4</v>
      </c>
      <c r="P3" s="1">
        <f t="shared" si="1"/>
        <v>0</v>
      </c>
      <c r="Q3">
        <f t="shared" si="2"/>
        <v>4</v>
      </c>
      <c r="R3" s="1">
        <f t="shared" si="3"/>
        <v>0</v>
      </c>
    </row>
    <row r="4" spans="1:18" x14ac:dyDescent="0.3">
      <c r="A4" t="s">
        <v>2731</v>
      </c>
      <c r="B4" t="s">
        <v>2732</v>
      </c>
      <c r="C4" t="s">
        <v>31</v>
      </c>
      <c r="D4">
        <v>9</v>
      </c>
      <c r="E4">
        <v>0</v>
      </c>
      <c r="G4" s="1">
        <v>0</v>
      </c>
      <c r="H4">
        <v>20</v>
      </c>
      <c r="I4">
        <v>0.5</v>
      </c>
      <c r="J4">
        <v>2.5</v>
      </c>
      <c r="K4">
        <v>1</v>
      </c>
      <c r="L4">
        <f t="shared" si="0"/>
        <v>3</v>
      </c>
      <c r="M4">
        <v>0</v>
      </c>
      <c r="N4">
        <v>0</v>
      </c>
      <c r="O4">
        <v>6</v>
      </c>
      <c r="P4" s="1">
        <f t="shared" si="1"/>
        <v>0</v>
      </c>
      <c r="Q4">
        <f t="shared" si="2"/>
        <v>6</v>
      </c>
      <c r="R4" s="1">
        <f t="shared" si="3"/>
        <v>0</v>
      </c>
    </row>
    <row r="5" spans="1:18" x14ac:dyDescent="0.3">
      <c r="A5" t="s">
        <v>2733</v>
      </c>
      <c r="B5" t="s">
        <v>2734</v>
      </c>
      <c r="C5" t="s">
        <v>31</v>
      </c>
      <c r="D5">
        <v>25</v>
      </c>
      <c r="E5">
        <v>0</v>
      </c>
      <c r="G5" s="1">
        <v>0</v>
      </c>
      <c r="H5">
        <v>24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2735</v>
      </c>
      <c r="B6" t="s">
        <v>2736</v>
      </c>
      <c r="C6" t="s">
        <v>31</v>
      </c>
      <c r="D6">
        <v>3</v>
      </c>
      <c r="E6">
        <v>0</v>
      </c>
      <c r="G6" s="1">
        <v>0</v>
      </c>
      <c r="H6">
        <v>14</v>
      </c>
      <c r="I6">
        <v>0.5</v>
      </c>
      <c r="J6">
        <v>5</v>
      </c>
      <c r="K6">
        <v>2</v>
      </c>
      <c r="L6">
        <f t="shared" si="0"/>
        <v>5</v>
      </c>
      <c r="M6">
        <v>0</v>
      </c>
      <c r="N6">
        <v>0</v>
      </c>
      <c r="O6">
        <v>12</v>
      </c>
      <c r="P6" s="1">
        <f t="shared" si="1"/>
        <v>0</v>
      </c>
      <c r="Q6">
        <f t="shared" si="2"/>
        <v>12</v>
      </c>
      <c r="R6" s="1">
        <f t="shared" si="3"/>
        <v>0</v>
      </c>
    </row>
    <row r="7" spans="1:18" x14ac:dyDescent="0.3">
      <c r="A7" t="s">
        <v>2737</v>
      </c>
      <c r="B7" t="s">
        <v>2738</v>
      </c>
      <c r="C7" t="s">
        <v>31</v>
      </c>
      <c r="D7">
        <v>3</v>
      </c>
      <c r="E7">
        <v>0</v>
      </c>
      <c r="G7" s="1">
        <v>0</v>
      </c>
      <c r="H7">
        <v>5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0</v>
      </c>
    </row>
    <row r="8" spans="1:18" x14ac:dyDescent="0.3">
      <c r="A8" t="s">
        <v>2739</v>
      </c>
      <c r="B8" t="s">
        <v>2740</v>
      </c>
      <c r="C8" t="s">
        <v>31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2741</v>
      </c>
      <c r="B9" t="s">
        <v>2742</v>
      </c>
      <c r="C9" t="s">
        <v>31</v>
      </c>
      <c r="D9">
        <v>1</v>
      </c>
      <c r="E9">
        <v>3</v>
      </c>
      <c r="F9" t="s">
        <v>77</v>
      </c>
      <c r="G9" s="1">
        <v>2024.25</v>
      </c>
      <c r="H9">
        <v>1</v>
      </c>
      <c r="I9">
        <v>0.5</v>
      </c>
      <c r="J9">
        <v>3</v>
      </c>
      <c r="K9">
        <v>2</v>
      </c>
      <c r="L9">
        <f t="shared" si="0"/>
        <v>4</v>
      </c>
      <c r="M9">
        <v>0</v>
      </c>
      <c r="N9">
        <v>0</v>
      </c>
      <c r="O9">
        <v>8</v>
      </c>
      <c r="P9" s="1">
        <f t="shared" si="1"/>
        <v>0</v>
      </c>
      <c r="Q9">
        <f t="shared" si="2"/>
        <v>8</v>
      </c>
      <c r="R9" s="1">
        <f t="shared" si="3"/>
        <v>16194</v>
      </c>
    </row>
    <row r="10" spans="1:18" x14ac:dyDescent="0.3">
      <c r="A10" t="s">
        <v>2743</v>
      </c>
      <c r="B10" t="s">
        <v>2744</v>
      </c>
      <c r="C10" t="s">
        <v>31</v>
      </c>
      <c r="D10">
        <v>4</v>
      </c>
      <c r="E10">
        <v>0</v>
      </c>
      <c r="G10" s="1">
        <v>0</v>
      </c>
      <c r="H10">
        <v>6</v>
      </c>
      <c r="I10">
        <v>0.5</v>
      </c>
      <c r="J10">
        <v>1.5</v>
      </c>
      <c r="K10">
        <v>1</v>
      </c>
      <c r="L10">
        <f t="shared" si="0"/>
        <v>2</v>
      </c>
      <c r="M10">
        <v>0</v>
      </c>
      <c r="N10">
        <v>0</v>
      </c>
      <c r="O10">
        <v>4</v>
      </c>
      <c r="P10" s="1">
        <f t="shared" si="1"/>
        <v>0</v>
      </c>
      <c r="Q10">
        <f t="shared" si="2"/>
        <v>4</v>
      </c>
      <c r="R10" s="1">
        <f t="shared" si="3"/>
        <v>0</v>
      </c>
    </row>
    <row r="11" spans="1:18" x14ac:dyDescent="0.3">
      <c r="A11" t="s">
        <v>2745</v>
      </c>
      <c r="B11" t="s">
        <v>2746</v>
      </c>
      <c r="C11" t="s">
        <v>31</v>
      </c>
      <c r="D11">
        <v>31</v>
      </c>
      <c r="E11">
        <v>0</v>
      </c>
      <c r="G11" s="1">
        <v>0</v>
      </c>
      <c r="H11">
        <v>20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2747</v>
      </c>
      <c r="B12" t="s">
        <v>2748</v>
      </c>
      <c r="C12" t="s">
        <v>31</v>
      </c>
      <c r="D12">
        <v>1</v>
      </c>
      <c r="E12">
        <v>0</v>
      </c>
      <c r="G12" s="1">
        <v>0</v>
      </c>
      <c r="H12">
        <v>1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2749</v>
      </c>
      <c r="B13" t="s">
        <v>2750</v>
      </c>
      <c r="C13" t="s">
        <v>31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2751</v>
      </c>
      <c r="B14" t="s">
        <v>2752</v>
      </c>
      <c r="C14" t="s">
        <v>31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2753</v>
      </c>
      <c r="B2" t="s">
        <v>2754</v>
      </c>
      <c r="C2" t="s">
        <v>32</v>
      </c>
      <c r="D2">
        <v>1</v>
      </c>
      <c r="E2">
        <v>0</v>
      </c>
      <c r="G2" s="1">
        <v>0</v>
      </c>
      <c r="H2">
        <v>2</v>
      </c>
      <c r="I2">
        <v>0.5</v>
      </c>
      <c r="J2">
        <v>2</v>
      </c>
      <c r="K2">
        <v>1</v>
      </c>
      <c r="L2">
        <f>ROUNDUP((J2*I2)+K2,0)</f>
        <v>2</v>
      </c>
      <c r="M2">
        <v>0</v>
      </c>
      <c r="N2">
        <v>0</v>
      </c>
      <c r="O2">
        <v>5</v>
      </c>
      <c r="P2" s="1">
        <f>IFERROR(M2*G2,0)</f>
        <v>0</v>
      </c>
      <c r="Q2">
        <f>IF(O2-M2-N2&gt;0,O2-M2-N2,0)</f>
        <v>5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R146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2755</v>
      </c>
      <c r="B2" t="s">
        <v>2756</v>
      </c>
      <c r="C2" t="s">
        <v>33</v>
      </c>
      <c r="D2">
        <v>27</v>
      </c>
      <c r="E2">
        <v>24</v>
      </c>
      <c r="F2" t="s">
        <v>2757</v>
      </c>
      <c r="G2" s="1">
        <v>1786.4</v>
      </c>
      <c r="H2">
        <v>25</v>
      </c>
      <c r="I2">
        <v>2.7</v>
      </c>
      <c r="J2">
        <v>1</v>
      </c>
      <c r="K2">
        <v>3</v>
      </c>
      <c r="L2">
        <f t="shared" ref="L2:L33" si="0">ROUNDUP((J2*I2)+K2,0)</f>
        <v>6</v>
      </c>
      <c r="M2">
        <v>0</v>
      </c>
      <c r="N2">
        <v>0</v>
      </c>
      <c r="O2">
        <v>5</v>
      </c>
      <c r="P2" s="1">
        <f t="shared" ref="P2:P33" si="1">IFERROR(M2*G2,0)</f>
        <v>0</v>
      </c>
      <c r="Q2">
        <f t="shared" ref="Q2:Q33" si="2">IF(O2-M2-N2&gt;0,O2-M2-N2,0)</f>
        <v>5</v>
      </c>
      <c r="R2" s="1">
        <f t="shared" ref="R2:R33" si="3">IFERROR(Q2*G2,0)</f>
        <v>8932</v>
      </c>
    </row>
    <row r="3" spans="1:18" x14ac:dyDescent="0.3">
      <c r="A3" t="s">
        <v>2758</v>
      </c>
      <c r="B3" t="s">
        <v>2759</v>
      </c>
      <c r="C3" t="s">
        <v>33</v>
      </c>
      <c r="D3">
        <v>29</v>
      </c>
      <c r="E3">
        <v>8</v>
      </c>
      <c r="F3" t="s">
        <v>2757</v>
      </c>
      <c r="G3" s="1">
        <v>798.59</v>
      </c>
      <c r="H3">
        <v>17</v>
      </c>
      <c r="I3">
        <v>1.2</v>
      </c>
      <c r="J3">
        <v>1</v>
      </c>
      <c r="K3">
        <v>1</v>
      </c>
      <c r="L3">
        <f t="shared" si="0"/>
        <v>3</v>
      </c>
      <c r="M3">
        <v>0</v>
      </c>
      <c r="N3">
        <v>0</v>
      </c>
      <c r="O3">
        <v>3</v>
      </c>
      <c r="P3" s="1">
        <f t="shared" si="1"/>
        <v>0</v>
      </c>
      <c r="Q3">
        <f t="shared" si="2"/>
        <v>3</v>
      </c>
      <c r="R3" s="1">
        <f t="shared" si="3"/>
        <v>2395.77</v>
      </c>
    </row>
    <row r="4" spans="1:18" x14ac:dyDescent="0.3">
      <c r="A4" t="s">
        <v>2760</v>
      </c>
      <c r="B4" t="s">
        <v>2761</v>
      </c>
      <c r="C4" t="s">
        <v>33</v>
      </c>
      <c r="D4">
        <v>30</v>
      </c>
      <c r="E4">
        <v>2</v>
      </c>
      <c r="F4" t="s">
        <v>2757</v>
      </c>
      <c r="G4" s="1">
        <v>299.66000000000003</v>
      </c>
      <c r="H4">
        <v>12</v>
      </c>
      <c r="I4">
        <v>2.8</v>
      </c>
      <c r="J4">
        <v>1</v>
      </c>
      <c r="K4">
        <v>3</v>
      </c>
      <c r="L4">
        <f t="shared" si="0"/>
        <v>6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1498.3000000000002</v>
      </c>
    </row>
    <row r="5" spans="1:18" x14ac:dyDescent="0.3">
      <c r="A5" t="s">
        <v>2762</v>
      </c>
      <c r="B5" t="s">
        <v>2763</v>
      </c>
      <c r="C5" t="s">
        <v>33</v>
      </c>
      <c r="D5">
        <v>22</v>
      </c>
      <c r="E5">
        <v>5</v>
      </c>
      <c r="F5" t="s">
        <v>2757</v>
      </c>
      <c r="G5" s="1">
        <v>2222.02</v>
      </c>
      <c r="H5">
        <v>22</v>
      </c>
      <c r="I5">
        <v>1.8</v>
      </c>
      <c r="J5">
        <v>1</v>
      </c>
      <c r="K5">
        <v>2</v>
      </c>
      <c r="L5">
        <f t="shared" si="0"/>
        <v>4</v>
      </c>
      <c r="M5">
        <v>0</v>
      </c>
      <c r="N5">
        <v>0</v>
      </c>
      <c r="O5">
        <v>4</v>
      </c>
      <c r="P5" s="1">
        <f t="shared" si="1"/>
        <v>0</v>
      </c>
      <c r="Q5">
        <f t="shared" si="2"/>
        <v>4</v>
      </c>
      <c r="R5" s="1">
        <f t="shared" si="3"/>
        <v>8888.08</v>
      </c>
    </row>
    <row r="6" spans="1:18" x14ac:dyDescent="0.3">
      <c r="A6" t="s">
        <v>2764</v>
      </c>
      <c r="B6" t="s">
        <v>2765</v>
      </c>
      <c r="C6" t="s">
        <v>33</v>
      </c>
      <c r="D6">
        <v>33</v>
      </c>
      <c r="E6">
        <v>0</v>
      </c>
      <c r="F6" t="s">
        <v>2536</v>
      </c>
      <c r="G6" s="1">
        <v>0</v>
      </c>
      <c r="H6">
        <v>14</v>
      </c>
      <c r="I6">
        <v>1.5</v>
      </c>
      <c r="J6">
        <v>1</v>
      </c>
      <c r="K6">
        <v>2</v>
      </c>
      <c r="L6">
        <f t="shared" si="0"/>
        <v>4</v>
      </c>
      <c r="M6">
        <v>0</v>
      </c>
      <c r="N6">
        <v>0</v>
      </c>
      <c r="O6">
        <v>4</v>
      </c>
      <c r="P6" s="1">
        <f t="shared" si="1"/>
        <v>0</v>
      </c>
      <c r="Q6">
        <f t="shared" si="2"/>
        <v>4</v>
      </c>
      <c r="R6" s="1">
        <f t="shared" si="3"/>
        <v>0</v>
      </c>
    </row>
    <row r="7" spans="1:18" x14ac:dyDescent="0.3">
      <c r="A7" t="s">
        <v>2766</v>
      </c>
      <c r="B7" t="s">
        <v>2767</v>
      </c>
      <c r="C7" t="s">
        <v>33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2768</v>
      </c>
      <c r="B8" t="s">
        <v>2769</v>
      </c>
      <c r="C8" t="s">
        <v>33</v>
      </c>
      <c r="D8">
        <v>35</v>
      </c>
      <c r="E8">
        <v>0</v>
      </c>
      <c r="G8" s="1">
        <v>0</v>
      </c>
      <c r="H8">
        <v>2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2770</v>
      </c>
      <c r="B9" t="s">
        <v>2771</v>
      </c>
      <c r="C9" t="s">
        <v>33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2772</v>
      </c>
      <c r="B10" t="s">
        <v>2773</v>
      </c>
      <c r="C10" t="s">
        <v>33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2774</v>
      </c>
      <c r="B11" t="s">
        <v>2775</v>
      </c>
      <c r="C11" t="s">
        <v>33</v>
      </c>
      <c r="D11">
        <v>4</v>
      </c>
      <c r="E11">
        <v>0</v>
      </c>
      <c r="G11" s="1">
        <v>0</v>
      </c>
      <c r="H11">
        <v>1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2776</v>
      </c>
      <c r="B12" t="s">
        <v>2777</v>
      </c>
      <c r="C12" t="s">
        <v>33</v>
      </c>
      <c r="D12">
        <v>26</v>
      </c>
      <c r="E12">
        <v>0</v>
      </c>
      <c r="G12" s="1">
        <v>0</v>
      </c>
      <c r="H12">
        <v>2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2778</v>
      </c>
      <c r="B13" t="s">
        <v>2779</v>
      </c>
      <c r="C13" t="s">
        <v>33</v>
      </c>
      <c r="D13">
        <v>18</v>
      </c>
      <c r="E13">
        <v>0</v>
      </c>
      <c r="G13" s="1">
        <v>0</v>
      </c>
      <c r="H13">
        <v>1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2780</v>
      </c>
      <c r="B14" t="s">
        <v>2781</v>
      </c>
      <c r="C14" t="s">
        <v>33</v>
      </c>
      <c r="D14">
        <v>1</v>
      </c>
      <c r="E14">
        <v>0</v>
      </c>
      <c r="G14" s="1">
        <v>0</v>
      </c>
      <c r="H14">
        <v>0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0</v>
      </c>
    </row>
    <row r="15" spans="1:18" x14ac:dyDescent="0.3">
      <c r="A15" t="s">
        <v>2782</v>
      </c>
      <c r="B15" t="s">
        <v>2783</v>
      </c>
      <c r="C15" t="s">
        <v>33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2784</v>
      </c>
      <c r="B16" t="s">
        <v>2785</v>
      </c>
      <c r="C16" t="s">
        <v>33</v>
      </c>
      <c r="D16">
        <v>8</v>
      </c>
      <c r="E16">
        <v>0</v>
      </c>
      <c r="G16" s="1">
        <v>0</v>
      </c>
      <c r="H16">
        <v>1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2786</v>
      </c>
      <c r="B17" t="s">
        <v>2787</v>
      </c>
      <c r="C17" t="s">
        <v>33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2788</v>
      </c>
      <c r="B18" t="s">
        <v>2789</v>
      </c>
      <c r="C18" t="s">
        <v>33</v>
      </c>
      <c r="D18">
        <v>1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2790</v>
      </c>
      <c r="B19" t="s">
        <v>2791</v>
      </c>
      <c r="C19" t="s">
        <v>33</v>
      </c>
      <c r="D19">
        <v>3</v>
      </c>
      <c r="E19">
        <v>1</v>
      </c>
      <c r="F19" t="s">
        <v>2757</v>
      </c>
      <c r="G19" s="1">
        <v>10445.1</v>
      </c>
      <c r="H19">
        <v>1</v>
      </c>
      <c r="I19">
        <v>2</v>
      </c>
      <c r="J19">
        <v>1</v>
      </c>
      <c r="K19">
        <v>2</v>
      </c>
      <c r="L19">
        <f t="shared" si="0"/>
        <v>4</v>
      </c>
      <c r="M19">
        <v>0</v>
      </c>
      <c r="N19">
        <v>0</v>
      </c>
      <c r="O19">
        <v>4</v>
      </c>
      <c r="P19" s="1">
        <f t="shared" si="1"/>
        <v>0</v>
      </c>
      <c r="Q19">
        <f t="shared" si="2"/>
        <v>4</v>
      </c>
      <c r="R19" s="1">
        <f t="shared" si="3"/>
        <v>41780.400000000001</v>
      </c>
    </row>
    <row r="20" spans="1:18" x14ac:dyDescent="0.3">
      <c r="A20" t="s">
        <v>2792</v>
      </c>
      <c r="B20" t="s">
        <v>2793</v>
      </c>
      <c r="C20" t="s">
        <v>33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x14ac:dyDescent="0.3">
      <c r="A21" t="s">
        <v>2794</v>
      </c>
      <c r="B21" t="s">
        <v>2795</v>
      </c>
      <c r="C21" t="s">
        <v>33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2796</v>
      </c>
      <c r="B22" t="s">
        <v>2797</v>
      </c>
      <c r="C22" t="s">
        <v>33</v>
      </c>
      <c r="D22">
        <v>3</v>
      </c>
      <c r="E22">
        <v>0</v>
      </c>
      <c r="G22" s="1">
        <v>0</v>
      </c>
      <c r="H22">
        <v>1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2798</v>
      </c>
      <c r="B23" t="s">
        <v>2799</v>
      </c>
      <c r="C23" t="s">
        <v>33</v>
      </c>
      <c r="D23">
        <v>1</v>
      </c>
      <c r="E23">
        <v>0</v>
      </c>
      <c r="G23" s="1">
        <v>0</v>
      </c>
      <c r="H23">
        <v>1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2800</v>
      </c>
      <c r="B24" t="s">
        <v>2801</v>
      </c>
      <c r="C24" t="s">
        <v>33</v>
      </c>
      <c r="D24">
        <v>1</v>
      </c>
      <c r="E24">
        <v>0</v>
      </c>
      <c r="G24" s="1">
        <v>0</v>
      </c>
      <c r="H24">
        <v>0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2802</v>
      </c>
      <c r="B25" t="s">
        <v>2803</v>
      </c>
      <c r="C25" t="s">
        <v>33</v>
      </c>
      <c r="D25">
        <v>1</v>
      </c>
      <c r="E25">
        <v>1</v>
      </c>
      <c r="F25" t="s">
        <v>2757</v>
      </c>
      <c r="G25" s="1">
        <v>10228.92</v>
      </c>
      <c r="H25">
        <v>0</v>
      </c>
      <c r="I25">
        <v>2</v>
      </c>
      <c r="J25">
        <v>1</v>
      </c>
      <c r="K25">
        <v>2</v>
      </c>
      <c r="L25">
        <f t="shared" si="0"/>
        <v>4</v>
      </c>
      <c r="M25">
        <v>0</v>
      </c>
      <c r="N25">
        <v>0</v>
      </c>
      <c r="O25">
        <v>4</v>
      </c>
      <c r="P25" s="1">
        <f t="shared" si="1"/>
        <v>0</v>
      </c>
      <c r="Q25">
        <f t="shared" si="2"/>
        <v>4</v>
      </c>
      <c r="R25" s="1">
        <f t="shared" si="3"/>
        <v>40915.68</v>
      </c>
    </row>
    <row r="26" spans="1:18" x14ac:dyDescent="0.3">
      <c r="A26" t="s">
        <v>2804</v>
      </c>
      <c r="B26" t="s">
        <v>2805</v>
      </c>
      <c r="C26" t="s">
        <v>33</v>
      </c>
      <c r="D26">
        <v>1</v>
      </c>
      <c r="E26">
        <v>0</v>
      </c>
      <c r="G26" s="1">
        <v>0</v>
      </c>
      <c r="H26">
        <v>1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2806</v>
      </c>
      <c r="B27" t="s">
        <v>2807</v>
      </c>
      <c r="C27" t="s">
        <v>33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2808</v>
      </c>
      <c r="B28" t="s">
        <v>2809</v>
      </c>
      <c r="C28" t="s">
        <v>33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2810</v>
      </c>
      <c r="B29" t="s">
        <v>2811</v>
      </c>
      <c r="C29" t="s">
        <v>33</v>
      </c>
      <c r="D29">
        <v>26</v>
      </c>
      <c r="E29">
        <v>0</v>
      </c>
      <c r="G29" s="1">
        <v>0</v>
      </c>
      <c r="H29">
        <v>2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2812</v>
      </c>
      <c r="B30" t="s">
        <v>2813</v>
      </c>
      <c r="C30" t="s">
        <v>33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2814</v>
      </c>
      <c r="B31" t="s">
        <v>2815</v>
      </c>
      <c r="C31" t="s">
        <v>33</v>
      </c>
      <c r="D31">
        <v>34</v>
      </c>
      <c r="E31">
        <v>23</v>
      </c>
      <c r="F31" t="s">
        <v>2757</v>
      </c>
      <c r="G31" s="1">
        <v>7297.22</v>
      </c>
      <c r="H31">
        <v>23</v>
      </c>
      <c r="I31">
        <v>2.2999999999999998</v>
      </c>
      <c r="J31">
        <v>1</v>
      </c>
      <c r="K31">
        <v>2</v>
      </c>
      <c r="L31">
        <f t="shared" si="0"/>
        <v>5</v>
      </c>
      <c r="M31">
        <v>0</v>
      </c>
      <c r="N31">
        <v>0</v>
      </c>
      <c r="O31">
        <v>4</v>
      </c>
      <c r="P31" s="1">
        <f t="shared" si="1"/>
        <v>0</v>
      </c>
      <c r="Q31">
        <f t="shared" si="2"/>
        <v>4</v>
      </c>
      <c r="R31" s="1">
        <f t="shared" si="3"/>
        <v>29188.880000000001</v>
      </c>
    </row>
    <row r="32" spans="1:18" x14ac:dyDescent="0.3">
      <c r="A32" t="s">
        <v>2816</v>
      </c>
      <c r="B32" t="s">
        <v>2817</v>
      </c>
      <c r="C32" t="s">
        <v>33</v>
      </c>
      <c r="D32">
        <v>30</v>
      </c>
      <c r="E32">
        <v>5</v>
      </c>
      <c r="F32" t="s">
        <v>2757</v>
      </c>
      <c r="G32" s="1">
        <v>9057.07</v>
      </c>
      <c r="H32">
        <v>7</v>
      </c>
      <c r="I32">
        <v>2.1</v>
      </c>
      <c r="J32">
        <v>1</v>
      </c>
      <c r="K32">
        <v>2</v>
      </c>
      <c r="L32">
        <f t="shared" si="0"/>
        <v>5</v>
      </c>
      <c r="M32">
        <v>0</v>
      </c>
      <c r="N32">
        <v>0</v>
      </c>
      <c r="O32">
        <v>4</v>
      </c>
      <c r="P32" s="1">
        <f t="shared" si="1"/>
        <v>0</v>
      </c>
      <c r="Q32">
        <f t="shared" si="2"/>
        <v>4</v>
      </c>
      <c r="R32" s="1">
        <f t="shared" si="3"/>
        <v>36228.28</v>
      </c>
    </row>
    <row r="33" spans="1:18" x14ac:dyDescent="0.3">
      <c r="A33" t="s">
        <v>2818</v>
      </c>
      <c r="B33" t="s">
        <v>2819</v>
      </c>
      <c r="C33" t="s">
        <v>33</v>
      </c>
      <c r="D33">
        <v>25</v>
      </c>
      <c r="E33">
        <v>4</v>
      </c>
      <c r="F33" t="s">
        <v>2757</v>
      </c>
      <c r="G33" s="1">
        <v>8659.74</v>
      </c>
      <c r="H33">
        <v>2</v>
      </c>
      <c r="I33">
        <v>2.4</v>
      </c>
      <c r="J33">
        <v>1</v>
      </c>
      <c r="K33">
        <v>2</v>
      </c>
      <c r="L33">
        <f t="shared" si="0"/>
        <v>5</v>
      </c>
      <c r="M33">
        <v>0</v>
      </c>
      <c r="N33">
        <v>0</v>
      </c>
      <c r="O33">
        <v>4</v>
      </c>
      <c r="P33" s="1">
        <f t="shared" si="1"/>
        <v>0</v>
      </c>
      <c r="Q33">
        <f t="shared" si="2"/>
        <v>4</v>
      </c>
      <c r="R33" s="1">
        <f t="shared" si="3"/>
        <v>34638.959999999999</v>
      </c>
    </row>
    <row r="34" spans="1:18" x14ac:dyDescent="0.3">
      <c r="A34" t="s">
        <v>2820</v>
      </c>
      <c r="B34" t="s">
        <v>2821</v>
      </c>
      <c r="C34" t="s">
        <v>33</v>
      </c>
      <c r="D34">
        <v>6</v>
      </c>
      <c r="E34">
        <v>1</v>
      </c>
      <c r="F34" t="s">
        <v>2757</v>
      </c>
      <c r="G34" s="1">
        <v>6576.53</v>
      </c>
      <c r="H34">
        <v>1</v>
      </c>
      <c r="I34">
        <v>2.8</v>
      </c>
      <c r="J34">
        <v>1</v>
      </c>
      <c r="K34">
        <v>3</v>
      </c>
      <c r="L34">
        <f t="shared" ref="L34:L65" si="4">ROUNDUP((J34*I34)+K34,0)</f>
        <v>6</v>
      </c>
      <c r="M34">
        <v>0</v>
      </c>
      <c r="N34">
        <v>0</v>
      </c>
      <c r="O34">
        <v>5</v>
      </c>
      <c r="P34" s="1">
        <f t="shared" ref="P34:P65" si="5">IFERROR(M34*G34,0)</f>
        <v>0</v>
      </c>
      <c r="Q34">
        <f t="shared" ref="Q34:Q65" si="6">IF(O34-M34-N34&gt;0,O34-M34-N34,0)</f>
        <v>5</v>
      </c>
      <c r="R34" s="1">
        <f t="shared" ref="R34:R65" si="7">IFERROR(Q34*G34,0)</f>
        <v>32882.65</v>
      </c>
    </row>
    <row r="35" spans="1:18" x14ac:dyDescent="0.3">
      <c r="A35" t="s">
        <v>2822</v>
      </c>
      <c r="B35" t="s">
        <v>2823</v>
      </c>
      <c r="C35" t="s">
        <v>33</v>
      </c>
      <c r="D35">
        <v>1</v>
      </c>
      <c r="E35">
        <v>0</v>
      </c>
      <c r="G35" s="1">
        <v>0</v>
      </c>
      <c r="H35">
        <v>1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2824</v>
      </c>
      <c r="B36" t="s">
        <v>2825</v>
      </c>
      <c r="C36" t="s">
        <v>33</v>
      </c>
      <c r="D36">
        <v>12</v>
      </c>
      <c r="E36">
        <v>0</v>
      </c>
      <c r="G36" s="1">
        <v>0</v>
      </c>
      <c r="H36">
        <v>3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2826</v>
      </c>
      <c r="B37" t="s">
        <v>2827</v>
      </c>
      <c r="C37" t="s">
        <v>33</v>
      </c>
      <c r="D37">
        <v>31</v>
      </c>
      <c r="E37">
        <v>11</v>
      </c>
      <c r="F37" t="s">
        <v>2757</v>
      </c>
      <c r="G37" s="1">
        <v>2161.9299999999998</v>
      </c>
      <c r="H37">
        <v>11</v>
      </c>
      <c r="I37">
        <v>2</v>
      </c>
      <c r="J37">
        <v>1</v>
      </c>
      <c r="K37">
        <v>2</v>
      </c>
      <c r="L37">
        <f t="shared" si="4"/>
        <v>4</v>
      </c>
      <c r="M37">
        <v>0</v>
      </c>
      <c r="N37">
        <v>0</v>
      </c>
      <c r="O37">
        <v>4</v>
      </c>
      <c r="P37" s="1">
        <f t="shared" si="5"/>
        <v>0</v>
      </c>
      <c r="Q37">
        <f t="shared" si="6"/>
        <v>4</v>
      </c>
      <c r="R37" s="1">
        <f t="shared" si="7"/>
        <v>8647.7199999999993</v>
      </c>
    </row>
    <row r="38" spans="1:18" x14ac:dyDescent="0.3">
      <c r="A38" t="s">
        <v>2828</v>
      </c>
      <c r="B38" t="s">
        <v>2829</v>
      </c>
      <c r="C38" t="s">
        <v>33</v>
      </c>
      <c r="D38">
        <v>17</v>
      </c>
      <c r="E38">
        <v>3</v>
      </c>
      <c r="F38" t="s">
        <v>2757</v>
      </c>
      <c r="G38" s="1">
        <v>1227.76</v>
      </c>
      <c r="H38">
        <v>4</v>
      </c>
      <c r="I38">
        <v>2.8</v>
      </c>
      <c r="J38">
        <v>1</v>
      </c>
      <c r="K38">
        <v>3</v>
      </c>
      <c r="L38">
        <f t="shared" si="4"/>
        <v>6</v>
      </c>
      <c r="M38">
        <v>0</v>
      </c>
      <c r="N38">
        <v>0</v>
      </c>
      <c r="O38">
        <v>5</v>
      </c>
      <c r="P38" s="1">
        <f t="shared" si="5"/>
        <v>0</v>
      </c>
      <c r="Q38">
        <f t="shared" si="6"/>
        <v>5</v>
      </c>
      <c r="R38" s="1">
        <f t="shared" si="7"/>
        <v>6138.8</v>
      </c>
    </row>
    <row r="39" spans="1:18" x14ac:dyDescent="0.3">
      <c r="A39" t="s">
        <v>2830</v>
      </c>
      <c r="B39" t="s">
        <v>2831</v>
      </c>
      <c r="C39" t="s">
        <v>33</v>
      </c>
      <c r="D39">
        <v>28</v>
      </c>
      <c r="E39">
        <v>10</v>
      </c>
      <c r="F39" t="s">
        <v>2757</v>
      </c>
      <c r="G39" s="1">
        <v>3195.59</v>
      </c>
      <c r="H39">
        <v>11</v>
      </c>
      <c r="I39">
        <v>2.4</v>
      </c>
      <c r="J39">
        <v>1</v>
      </c>
      <c r="K39">
        <v>2</v>
      </c>
      <c r="L39">
        <f t="shared" si="4"/>
        <v>5</v>
      </c>
      <c r="M39">
        <v>0</v>
      </c>
      <c r="N39">
        <v>0</v>
      </c>
      <c r="O39">
        <v>4</v>
      </c>
      <c r="P39" s="1">
        <f t="shared" si="5"/>
        <v>0</v>
      </c>
      <c r="Q39">
        <f t="shared" si="6"/>
        <v>4</v>
      </c>
      <c r="R39" s="1">
        <f t="shared" si="7"/>
        <v>12782.36</v>
      </c>
    </row>
    <row r="40" spans="1:18" x14ac:dyDescent="0.3">
      <c r="A40" t="s">
        <v>2832</v>
      </c>
      <c r="B40" t="s">
        <v>2833</v>
      </c>
      <c r="C40" t="s">
        <v>33</v>
      </c>
      <c r="D40">
        <v>30</v>
      </c>
      <c r="E40">
        <v>45</v>
      </c>
      <c r="F40" t="s">
        <v>2757</v>
      </c>
      <c r="G40" s="1">
        <v>4623.7700000000004</v>
      </c>
      <c r="H40">
        <v>41</v>
      </c>
      <c r="I40">
        <v>2.2999999999999998</v>
      </c>
      <c r="J40">
        <v>1.5</v>
      </c>
      <c r="K40">
        <v>3</v>
      </c>
      <c r="L40">
        <f t="shared" si="4"/>
        <v>7</v>
      </c>
      <c r="M40">
        <v>0</v>
      </c>
      <c r="N40">
        <v>0</v>
      </c>
      <c r="O40">
        <v>6</v>
      </c>
      <c r="P40" s="1">
        <f t="shared" si="5"/>
        <v>0</v>
      </c>
      <c r="Q40">
        <f t="shared" si="6"/>
        <v>6</v>
      </c>
      <c r="R40" s="1">
        <f t="shared" si="7"/>
        <v>27742.620000000003</v>
      </c>
    </row>
    <row r="41" spans="1:18" x14ac:dyDescent="0.3">
      <c r="A41" t="s">
        <v>2834</v>
      </c>
      <c r="B41" t="s">
        <v>2835</v>
      </c>
      <c r="C41" t="s">
        <v>33</v>
      </c>
      <c r="D41">
        <v>27</v>
      </c>
      <c r="E41">
        <v>18</v>
      </c>
      <c r="F41" t="s">
        <v>2757</v>
      </c>
      <c r="G41" s="1">
        <v>3573.35</v>
      </c>
      <c r="H41">
        <v>15</v>
      </c>
      <c r="I41">
        <v>2.5</v>
      </c>
      <c r="J41">
        <v>1</v>
      </c>
      <c r="K41">
        <v>2</v>
      </c>
      <c r="L41">
        <f t="shared" si="4"/>
        <v>5</v>
      </c>
      <c r="M41">
        <v>0</v>
      </c>
      <c r="N41">
        <v>0</v>
      </c>
      <c r="O41">
        <v>4</v>
      </c>
      <c r="P41" s="1">
        <f t="shared" si="5"/>
        <v>0</v>
      </c>
      <c r="Q41">
        <f t="shared" si="6"/>
        <v>4</v>
      </c>
      <c r="R41" s="1">
        <f t="shared" si="7"/>
        <v>14293.4</v>
      </c>
    </row>
    <row r="42" spans="1:18" x14ac:dyDescent="0.3">
      <c r="A42" t="s">
        <v>2836</v>
      </c>
      <c r="B42" t="s">
        <v>2837</v>
      </c>
      <c r="C42" t="s">
        <v>33</v>
      </c>
      <c r="D42">
        <v>30</v>
      </c>
      <c r="E42">
        <v>23</v>
      </c>
      <c r="F42" t="s">
        <v>2757</v>
      </c>
      <c r="G42" s="1">
        <v>4990.01</v>
      </c>
      <c r="H42">
        <v>24</v>
      </c>
      <c r="I42">
        <v>2.2999999999999998</v>
      </c>
      <c r="J42">
        <v>1</v>
      </c>
      <c r="K42">
        <v>2</v>
      </c>
      <c r="L42">
        <f t="shared" si="4"/>
        <v>5</v>
      </c>
      <c r="M42">
        <v>0</v>
      </c>
      <c r="N42">
        <v>0</v>
      </c>
      <c r="O42">
        <v>4</v>
      </c>
      <c r="P42" s="1">
        <f t="shared" si="5"/>
        <v>0</v>
      </c>
      <c r="Q42">
        <f t="shared" si="6"/>
        <v>4</v>
      </c>
      <c r="R42" s="1">
        <f t="shared" si="7"/>
        <v>19960.04</v>
      </c>
    </row>
    <row r="43" spans="1:18" x14ac:dyDescent="0.3">
      <c r="A43" t="s">
        <v>2838</v>
      </c>
      <c r="B43" t="s">
        <v>2839</v>
      </c>
      <c r="C43" t="s">
        <v>33</v>
      </c>
      <c r="D43">
        <v>31</v>
      </c>
      <c r="E43">
        <v>11</v>
      </c>
      <c r="F43" t="s">
        <v>2757</v>
      </c>
      <c r="G43" s="1">
        <v>3795.3</v>
      </c>
      <c r="H43">
        <v>11</v>
      </c>
      <c r="I43">
        <v>2.2999999999999998</v>
      </c>
      <c r="J43">
        <v>1</v>
      </c>
      <c r="K43">
        <v>2</v>
      </c>
      <c r="L43">
        <f t="shared" si="4"/>
        <v>5</v>
      </c>
      <c r="M43">
        <v>0</v>
      </c>
      <c r="N43">
        <v>0</v>
      </c>
      <c r="O43">
        <v>4</v>
      </c>
      <c r="P43" s="1">
        <f t="shared" si="5"/>
        <v>0</v>
      </c>
      <c r="Q43">
        <f t="shared" si="6"/>
        <v>4</v>
      </c>
      <c r="R43" s="1">
        <f t="shared" si="7"/>
        <v>15181.2</v>
      </c>
    </row>
    <row r="44" spans="1:18" x14ac:dyDescent="0.3">
      <c r="A44" t="s">
        <v>2840</v>
      </c>
      <c r="B44" t="s">
        <v>2841</v>
      </c>
      <c r="C44" t="s">
        <v>33</v>
      </c>
      <c r="D44">
        <v>1</v>
      </c>
      <c r="E44">
        <v>2</v>
      </c>
      <c r="F44" t="s">
        <v>2757</v>
      </c>
      <c r="G44" s="1">
        <v>7066.18</v>
      </c>
      <c r="H44">
        <v>0</v>
      </c>
      <c r="I44">
        <v>2.4</v>
      </c>
      <c r="J44">
        <v>2</v>
      </c>
      <c r="K44">
        <v>5</v>
      </c>
      <c r="L44">
        <f t="shared" si="4"/>
        <v>10</v>
      </c>
      <c r="M44">
        <v>0</v>
      </c>
      <c r="N44">
        <v>0</v>
      </c>
      <c r="O44">
        <v>9</v>
      </c>
      <c r="P44" s="1">
        <f t="shared" si="5"/>
        <v>0</v>
      </c>
      <c r="Q44">
        <f t="shared" si="6"/>
        <v>9</v>
      </c>
      <c r="R44" s="1">
        <f t="shared" si="7"/>
        <v>63595.62</v>
      </c>
    </row>
    <row r="45" spans="1:18" x14ac:dyDescent="0.3">
      <c r="A45" t="s">
        <v>2842</v>
      </c>
      <c r="B45" t="s">
        <v>2843</v>
      </c>
      <c r="C45" t="s">
        <v>33</v>
      </c>
      <c r="D45">
        <v>30</v>
      </c>
      <c r="E45">
        <v>18</v>
      </c>
      <c r="F45" t="s">
        <v>2757</v>
      </c>
      <c r="G45" s="1">
        <v>6501.35</v>
      </c>
      <c r="H45">
        <v>20</v>
      </c>
      <c r="I45">
        <v>2.6</v>
      </c>
      <c r="J45">
        <v>1</v>
      </c>
      <c r="K45">
        <v>3</v>
      </c>
      <c r="L45">
        <f t="shared" si="4"/>
        <v>6</v>
      </c>
      <c r="M45">
        <v>0</v>
      </c>
      <c r="N45">
        <v>0</v>
      </c>
      <c r="O45">
        <v>5</v>
      </c>
      <c r="P45" s="1">
        <f t="shared" si="5"/>
        <v>0</v>
      </c>
      <c r="Q45">
        <f t="shared" si="6"/>
        <v>5</v>
      </c>
      <c r="R45" s="1">
        <f t="shared" si="7"/>
        <v>32506.75</v>
      </c>
    </row>
    <row r="46" spans="1:18" x14ac:dyDescent="0.3">
      <c r="A46" t="s">
        <v>2844</v>
      </c>
      <c r="B46" t="s">
        <v>2845</v>
      </c>
      <c r="C46" t="s">
        <v>33</v>
      </c>
      <c r="D46">
        <v>31</v>
      </c>
      <c r="E46">
        <v>0</v>
      </c>
      <c r="G46" s="1">
        <v>0</v>
      </c>
      <c r="H46">
        <v>1</v>
      </c>
      <c r="I46">
        <v>0.5</v>
      </c>
      <c r="J46">
        <v>1</v>
      </c>
      <c r="K46">
        <v>1</v>
      </c>
      <c r="L46">
        <f t="shared" si="4"/>
        <v>2</v>
      </c>
      <c r="M46">
        <v>0</v>
      </c>
      <c r="N46">
        <v>0</v>
      </c>
      <c r="O46">
        <v>2</v>
      </c>
      <c r="P46" s="1">
        <f t="shared" si="5"/>
        <v>0</v>
      </c>
      <c r="Q46">
        <f t="shared" si="6"/>
        <v>2</v>
      </c>
      <c r="R46" s="1">
        <f t="shared" si="7"/>
        <v>0</v>
      </c>
    </row>
    <row r="47" spans="1:18" x14ac:dyDescent="0.3">
      <c r="A47" t="s">
        <v>2846</v>
      </c>
      <c r="B47" t="s">
        <v>2847</v>
      </c>
      <c r="C47" t="s">
        <v>33</v>
      </c>
      <c r="D47">
        <v>29</v>
      </c>
      <c r="E47">
        <v>0</v>
      </c>
      <c r="G47" s="1">
        <v>0</v>
      </c>
      <c r="H47">
        <v>4</v>
      </c>
      <c r="I47">
        <v>0.5</v>
      </c>
      <c r="J47">
        <v>1</v>
      </c>
      <c r="K47">
        <v>1</v>
      </c>
      <c r="L47">
        <f t="shared" si="4"/>
        <v>2</v>
      </c>
      <c r="M47">
        <v>0</v>
      </c>
      <c r="N47">
        <v>0</v>
      </c>
      <c r="O47">
        <v>2</v>
      </c>
      <c r="P47" s="1">
        <f t="shared" si="5"/>
        <v>0</v>
      </c>
      <c r="Q47">
        <f t="shared" si="6"/>
        <v>2</v>
      </c>
      <c r="R47" s="1">
        <f t="shared" si="7"/>
        <v>0</v>
      </c>
    </row>
    <row r="48" spans="1:18" x14ac:dyDescent="0.3">
      <c r="A48" t="s">
        <v>2848</v>
      </c>
      <c r="B48" t="s">
        <v>2849</v>
      </c>
      <c r="C48" t="s">
        <v>33</v>
      </c>
      <c r="D48">
        <v>35</v>
      </c>
      <c r="E48">
        <v>6</v>
      </c>
      <c r="F48" t="s">
        <v>2757</v>
      </c>
      <c r="G48" s="1">
        <v>8327.86</v>
      </c>
      <c r="H48">
        <v>7</v>
      </c>
      <c r="I48">
        <v>2.7</v>
      </c>
      <c r="J48">
        <v>1</v>
      </c>
      <c r="K48">
        <v>3</v>
      </c>
      <c r="L48">
        <f t="shared" si="4"/>
        <v>6</v>
      </c>
      <c r="M48">
        <v>0</v>
      </c>
      <c r="N48">
        <v>0</v>
      </c>
      <c r="O48">
        <v>5</v>
      </c>
      <c r="P48" s="1">
        <f t="shared" si="5"/>
        <v>0</v>
      </c>
      <c r="Q48">
        <f t="shared" si="6"/>
        <v>5</v>
      </c>
      <c r="R48" s="1">
        <f t="shared" si="7"/>
        <v>41639.300000000003</v>
      </c>
    </row>
    <row r="49" spans="1:18" x14ac:dyDescent="0.3">
      <c r="A49" t="s">
        <v>2850</v>
      </c>
      <c r="B49" t="s">
        <v>2851</v>
      </c>
      <c r="C49" t="s">
        <v>33</v>
      </c>
      <c r="D49">
        <v>17</v>
      </c>
      <c r="E49">
        <v>9</v>
      </c>
      <c r="F49" t="s">
        <v>2757</v>
      </c>
      <c r="G49" s="1">
        <v>7791.64</v>
      </c>
      <c r="H49">
        <v>11</v>
      </c>
      <c r="I49">
        <v>1.8</v>
      </c>
      <c r="J49">
        <v>1</v>
      </c>
      <c r="K49">
        <v>2</v>
      </c>
      <c r="L49">
        <f t="shared" si="4"/>
        <v>4</v>
      </c>
      <c r="M49">
        <v>0</v>
      </c>
      <c r="N49">
        <v>0</v>
      </c>
      <c r="O49">
        <v>4</v>
      </c>
      <c r="P49" s="1">
        <f t="shared" si="5"/>
        <v>0</v>
      </c>
      <c r="Q49">
        <f t="shared" si="6"/>
        <v>4</v>
      </c>
      <c r="R49" s="1">
        <f t="shared" si="7"/>
        <v>31166.560000000001</v>
      </c>
    </row>
    <row r="50" spans="1:18" x14ac:dyDescent="0.3">
      <c r="A50" t="s">
        <v>2852</v>
      </c>
      <c r="B50" t="s">
        <v>2853</v>
      </c>
      <c r="C50" t="s">
        <v>33</v>
      </c>
      <c r="D50">
        <v>8</v>
      </c>
      <c r="E50">
        <v>0</v>
      </c>
      <c r="G50" s="1">
        <v>0</v>
      </c>
      <c r="H50">
        <v>1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2854</v>
      </c>
      <c r="B51" t="s">
        <v>2855</v>
      </c>
      <c r="C51" t="s">
        <v>33</v>
      </c>
      <c r="D51">
        <v>5</v>
      </c>
      <c r="E51">
        <v>0</v>
      </c>
      <c r="G51" s="1">
        <v>0</v>
      </c>
      <c r="H51">
        <v>2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2856</v>
      </c>
      <c r="B52" t="s">
        <v>2857</v>
      </c>
      <c r="C52" t="s">
        <v>33</v>
      </c>
      <c r="D52">
        <v>23</v>
      </c>
      <c r="E52">
        <v>8</v>
      </c>
      <c r="F52" t="s">
        <v>2757</v>
      </c>
      <c r="G52" s="1">
        <v>13272.68</v>
      </c>
      <c r="H52">
        <v>10</v>
      </c>
      <c r="I52">
        <v>2.8</v>
      </c>
      <c r="J52">
        <v>1</v>
      </c>
      <c r="K52">
        <v>3</v>
      </c>
      <c r="L52">
        <f t="shared" si="4"/>
        <v>6</v>
      </c>
      <c r="M52">
        <v>0</v>
      </c>
      <c r="N52">
        <v>0</v>
      </c>
      <c r="O52">
        <v>5</v>
      </c>
      <c r="P52" s="1">
        <f t="shared" si="5"/>
        <v>0</v>
      </c>
      <c r="Q52">
        <f t="shared" si="6"/>
        <v>5</v>
      </c>
      <c r="R52" s="1">
        <f t="shared" si="7"/>
        <v>66363.399999999994</v>
      </c>
    </row>
    <row r="53" spans="1:18" x14ac:dyDescent="0.3">
      <c r="A53" t="s">
        <v>2858</v>
      </c>
      <c r="B53" t="s">
        <v>2859</v>
      </c>
      <c r="C53" t="s">
        <v>33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2860</v>
      </c>
      <c r="B54" t="s">
        <v>2861</v>
      </c>
      <c r="C54" t="s">
        <v>33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2862</v>
      </c>
      <c r="B55" t="s">
        <v>2863</v>
      </c>
      <c r="C55" t="s">
        <v>33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2864</v>
      </c>
      <c r="B56" t="s">
        <v>2865</v>
      </c>
      <c r="C56" t="s">
        <v>33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2866</v>
      </c>
      <c r="B57" t="s">
        <v>2867</v>
      </c>
      <c r="C57" t="s">
        <v>33</v>
      </c>
      <c r="D57">
        <v>31</v>
      </c>
      <c r="E57">
        <v>0</v>
      </c>
      <c r="G57" s="1">
        <v>0</v>
      </c>
      <c r="H57">
        <v>2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2868</v>
      </c>
      <c r="B58" t="s">
        <v>2869</v>
      </c>
      <c r="C58" t="s">
        <v>33</v>
      </c>
      <c r="D58">
        <v>33</v>
      </c>
      <c r="E58">
        <v>12</v>
      </c>
      <c r="F58" t="s">
        <v>2757</v>
      </c>
      <c r="G58" s="1">
        <v>14410.33</v>
      </c>
      <c r="H58">
        <v>11</v>
      </c>
      <c r="I58">
        <v>2</v>
      </c>
      <c r="J58">
        <v>1</v>
      </c>
      <c r="K58">
        <v>2</v>
      </c>
      <c r="L58">
        <f t="shared" si="4"/>
        <v>4</v>
      </c>
      <c r="M58">
        <v>0</v>
      </c>
      <c r="N58">
        <v>0</v>
      </c>
      <c r="O58">
        <v>4</v>
      </c>
      <c r="P58" s="1">
        <f t="shared" si="5"/>
        <v>0</v>
      </c>
      <c r="Q58">
        <f t="shared" si="6"/>
        <v>4</v>
      </c>
      <c r="R58" s="1">
        <f t="shared" si="7"/>
        <v>57641.32</v>
      </c>
    </row>
    <row r="59" spans="1:18" x14ac:dyDescent="0.3">
      <c r="A59" t="s">
        <v>2870</v>
      </c>
      <c r="B59" t="s">
        <v>2871</v>
      </c>
      <c r="C59" t="s">
        <v>33</v>
      </c>
      <c r="D59">
        <v>18</v>
      </c>
      <c r="E59">
        <v>5</v>
      </c>
      <c r="F59" t="s">
        <v>2757</v>
      </c>
      <c r="G59" s="1">
        <v>23609.05</v>
      </c>
      <c r="H59">
        <v>4</v>
      </c>
      <c r="I59">
        <v>1.9</v>
      </c>
      <c r="J59">
        <v>1</v>
      </c>
      <c r="K59">
        <v>2</v>
      </c>
      <c r="L59">
        <f t="shared" si="4"/>
        <v>4</v>
      </c>
      <c r="M59">
        <v>0</v>
      </c>
      <c r="N59">
        <v>0</v>
      </c>
      <c r="O59">
        <v>4</v>
      </c>
      <c r="P59" s="1">
        <f t="shared" si="5"/>
        <v>0</v>
      </c>
      <c r="Q59">
        <f t="shared" si="6"/>
        <v>4</v>
      </c>
      <c r="R59" s="1">
        <f t="shared" si="7"/>
        <v>94436.2</v>
      </c>
    </row>
    <row r="60" spans="1:18" x14ac:dyDescent="0.3">
      <c r="A60" t="s">
        <v>2872</v>
      </c>
      <c r="B60" t="s">
        <v>2873</v>
      </c>
      <c r="C60" t="s">
        <v>33</v>
      </c>
      <c r="D60">
        <v>12</v>
      </c>
      <c r="E60">
        <v>0</v>
      </c>
      <c r="G60" s="1">
        <v>0</v>
      </c>
      <c r="H60">
        <v>1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2874</v>
      </c>
      <c r="B61" t="s">
        <v>2875</v>
      </c>
      <c r="C61" t="s">
        <v>33</v>
      </c>
      <c r="D61">
        <v>17</v>
      </c>
      <c r="E61">
        <v>0</v>
      </c>
      <c r="G61" s="1">
        <v>0</v>
      </c>
      <c r="H61">
        <v>1</v>
      </c>
      <c r="I61">
        <v>0.5</v>
      </c>
      <c r="J61">
        <v>1</v>
      </c>
      <c r="K61">
        <v>1</v>
      </c>
      <c r="L61">
        <f t="shared" si="4"/>
        <v>2</v>
      </c>
      <c r="M61">
        <v>0</v>
      </c>
      <c r="N61">
        <v>0</v>
      </c>
      <c r="O61">
        <v>2</v>
      </c>
      <c r="P61" s="1">
        <f t="shared" si="5"/>
        <v>0</v>
      </c>
      <c r="Q61">
        <f t="shared" si="6"/>
        <v>2</v>
      </c>
      <c r="R61" s="1">
        <f t="shared" si="7"/>
        <v>0</v>
      </c>
    </row>
    <row r="62" spans="1:18" x14ac:dyDescent="0.3">
      <c r="A62" t="s">
        <v>2876</v>
      </c>
      <c r="B62" t="s">
        <v>2877</v>
      </c>
      <c r="C62" t="s">
        <v>33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2878</v>
      </c>
      <c r="B63" t="s">
        <v>2879</v>
      </c>
      <c r="C63" t="s">
        <v>33</v>
      </c>
      <c r="D63">
        <v>17</v>
      </c>
      <c r="E63">
        <v>0</v>
      </c>
      <c r="G63" s="1">
        <v>0</v>
      </c>
      <c r="H63">
        <v>15</v>
      </c>
      <c r="I63">
        <v>0.5</v>
      </c>
      <c r="J63">
        <v>1</v>
      </c>
      <c r="K63">
        <v>1</v>
      </c>
      <c r="L63">
        <f t="shared" si="4"/>
        <v>2</v>
      </c>
      <c r="M63">
        <v>0</v>
      </c>
      <c r="N63">
        <v>0</v>
      </c>
      <c r="O63">
        <v>2</v>
      </c>
      <c r="P63" s="1">
        <f t="shared" si="5"/>
        <v>0</v>
      </c>
      <c r="Q63">
        <f t="shared" si="6"/>
        <v>2</v>
      </c>
      <c r="R63" s="1">
        <f t="shared" si="7"/>
        <v>0</v>
      </c>
    </row>
    <row r="64" spans="1:18" x14ac:dyDescent="0.3">
      <c r="A64" t="s">
        <v>2880</v>
      </c>
      <c r="B64" t="s">
        <v>2881</v>
      </c>
      <c r="C64" t="s">
        <v>33</v>
      </c>
      <c r="D64">
        <v>32</v>
      </c>
      <c r="E64">
        <v>14</v>
      </c>
      <c r="F64" t="s">
        <v>2757</v>
      </c>
      <c r="G64" s="1">
        <v>735.24</v>
      </c>
      <c r="H64">
        <v>13</v>
      </c>
      <c r="I64">
        <v>1.5</v>
      </c>
      <c r="J64">
        <v>1</v>
      </c>
      <c r="K64">
        <v>2</v>
      </c>
      <c r="L64">
        <f t="shared" si="4"/>
        <v>4</v>
      </c>
      <c r="M64">
        <v>0</v>
      </c>
      <c r="N64">
        <v>0</v>
      </c>
      <c r="O64">
        <v>4</v>
      </c>
      <c r="P64" s="1">
        <f t="shared" si="5"/>
        <v>0</v>
      </c>
      <c r="Q64">
        <f t="shared" si="6"/>
        <v>4</v>
      </c>
      <c r="R64" s="1">
        <f t="shared" si="7"/>
        <v>2940.96</v>
      </c>
    </row>
    <row r="65" spans="1:18" x14ac:dyDescent="0.3">
      <c r="A65" t="s">
        <v>2882</v>
      </c>
      <c r="B65" t="s">
        <v>2883</v>
      </c>
      <c r="C65" t="s">
        <v>33</v>
      </c>
      <c r="D65">
        <v>25</v>
      </c>
      <c r="E65">
        <v>45</v>
      </c>
      <c r="F65" t="s">
        <v>2757</v>
      </c>
      <c r="G65" s="1">
        <v>1727.72</v>
      </c>
      <c r="H65">
        <v>43</v>
      </c>
      <c r="I65">
        <v>2.2000000000000002</v>
      </c>
      <c r="J65">
        <v>2</v>
      </c>
      <c r="K65">
        <v>4</v>
      </c>
      <c r="L65">
        <f t="shared" si="4"/>
        <v>9</v>
      </c>
      <c r="M65">
        <v>0</v>
      </c>
      <c r="N65">
        <v>0</v>
      </c>
      <c r="O65">
        <v>8</v>
      </c>
      <c r="P65" s="1">
        <f t="shared" si="5"/>
        <v>0</v>
      </c>
      <c r="Q65">
        <f t="shared" si="6"/>
        <v>8</v>
      </c>
      <c r="R65" s="1">
        <f t="shared" si="7"/>
        <v>13821.76</v>
      </c>
    </row>
    <row r="66" spans="1:18" x14ac:dyDescent="0.3">
      <c r="A66" t="s">
        <v>2884</v>
      </c>
      <c r="B66" t="s">
        <v>2885</v>
      </c>
      <c r="C66" t="s">
        <v>33</v>
      </c>
      <c r="D66">
        <v>31</v>
      </c>
      <c r="E66">
        <v>51</v>
      </c>
      <c r="F66" t="s">
        <v>2757</v>
      </c>
      <c r="G66" s="1">
        <v>1993.97</v>
      </c>
      <c r="H66">
        <v>36</v>
      </c>
      <c r="I66">
        <v>1.8</v>
      </c>
      <c r="J66">
        <v>2</v>
      </c>
      <c r="K66">
        <v>4</v>
      </c>
      <c r="L66">
        <f t="shared" ref="L66:L97" si="8">ROUNDUP((J66*I66)+K66,0)</f>
        <v>8</v>
      </c>
      <c r="M66">
        <v>0</v>
      </c>
      <c r="N66">
        <v>0</v>
      </c>
      <c r="O66">
        <v>8</v>
      </c>
      <c r="P66" s="1">
        <f t="shared" ref="P66:P97" si="9">IFERROR(M66*G66,0)</f>
        <v>0</v>
      </c>
      <c r="Q66">
        <f t="shared" ref="Q66:Q97" si="10">IF(O66-M66-N66&gt;0,O66-M66-N66,0)</f>
        <v>8</v>
      </c>
      <c r="R66" s="1">
        <f t="shared" ref="R66:R97" si="11">IFERROR(Q66*G66,0)</f>
        <v>15951.76</v>
      </c>
    </row>
    <row r="67" spans="1:18" x14ac:dyDescent="0.3">
      <c r="A67" t="s">
        <v>2886</v>
      </c>
      <c r="B67" t="s">
        <v>2887</v>
      </c>
      <c r="C67" t="s">
        <v>33</v>
      </c>
      <c r="D67">
        <v>28</v>
      </c>
      <c r="E67">
        <v>47</v>
      </c>
      <c r="F67" t="s">
        <v>2757</v>
      </c>
      <c r="G67" s="1">
        <v>2095.15</v>
      </c>
      <c r="H67">
        <v>35</v>
      </c>
      <c r="I67">
        <v>2</v>
      </c>
      <c r="J67">
        <v>2</v>
      </c>
      <c r="K67">
        <v>4</v>
      </c>
      <c r="L67">
        <f t="shared" si="8"/>
        <v>8</v>
      </c>
      <c r="M67">
        <v>0</v>
      </c>
      <c r="N67">
        <v>0</v>
      </c>
      <c r="O67">
        <v>8</v>
      </c>
      <c r="P67" s="1">
        <f t="shared" si="9"/>
        <v>0</v>
      </c>
      <c r="Q67">
        <f t="shared" si="10"/>
        <v>8</v>
      </c>
      <c r="R67" s="1">
        <f t="shared" si="11"/>
        <v>16761.2</v>
      </c>
    </row>
    <row r="68" spans="1:18" x14ac:dyDescent="0.3">
      <c r="A68" t="s">
        <v>2888</v>
      </c>
      <c r="B68" t="s">
        <v>2889</v>
      </c>
      <c r="C68" t="s">
        <v>33</v>
      </c>
      <c r="D68">
        <v>30</v>
      </c>
      <c r="E68">
        <v>11</v>
      </c>
      <c r="F68" t="s">
        <v>2757</v>
      </c>
      <c r="G68" s="1">
        <v>1429.71</v>
      </c>
      <c r="H68">
        <v>10</v>
      </c>
      <c r="I68">
        <v>2.1</v>
      </c>
      <c r="J68">
        <v>1</v>
      </c>
      <c r="K68">
        <v>2</v>
      </c>
      <c r="L68">
        <f t="shared" si="8"/>
        <v>5</v>
      </c>
      <c r="M68">
        <v>0</v>
      </c>
      <c r="N68">
        <v>0</v>
      </c>
      <c r="O68">
        <v>4</v>
      </c>
      <c r="P68" s="1">
        <f t="shared" si="9"/>
        <v>0</v>
      </c>
      <c r="Q68">
        <f t="shared" si="10"/>
        <v>4</v>
      </c>
      <c r="R68" s="1">
        <f t="shared" si="11"/>
        <v>5718.84</v>
      </c>
    </row>
    <row r="69" spans="1:18" x14ac:dyDescent="0.3">
      <c r="A69" t="s">
        <v>2890</v>
      </c>
      <c r="B69" t="s">
        <v>2891</v>
      </c>
      <c r="C69" t="s">
        <v>33</v>
      </c>
      <c r="D69">
        <v>33</v>
      </c>
      <c r="E69">
        <v>73</v>
      </c>
      <c r="F69" t="s">
        <v>2757</v>
      </c>
      <c r="G69" s="1">
        <v>2732.17</v>
      </c>
      <c r="H69">
        <v>53</v>
      </c>
      <c r="I69">
        <v>1.9</v>
      </c>
      <c r="J69">
        <v>2.5</v>
      </c>
      <c r="K69">
        <v>5</v>
      </c>
      <c r="L69">
        <f t="shared" si="8"/>
        <v>10</v>
      </c>
      <c r="M69">
        <v>0</v>
      </c>
      <c r="N69">
        <v>0</v>
      </c>
      <c r="O69">
        <v>10</v>
      </c>
      <c r="P69" s="1">
        <f t="shared" si="9"/>
        <v>0</v>
      </c>
      <c r="Q69">
        <f t="shared" si="10"/>
        <v>10</v>
      </c>
      <c r="R69" s="1">
        <f t="shared" si="11"/>
        <v>27321.7</v>
      </c>
    </row>
    <row r="70" spans="1:18" x14ac:dyDescent="0.3">
      <c r="A70" t="s">
        <v>2892</v>
      </c>
      <c r="B70" t="s">
        <v>2893</v>
      </c>
      <c r="C70" t="s">
        <v>33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8"/>
        <v>2</v>
      </c>
      <c r="M70">
        <v>0</v>
      </c>
      <c r="N70">
        <v>0</v>
      </c>
      <c r="O70">
        <v>2</v>
      </c>
      <c r="P70" s="1">
        <f t="shared" si="9"/>
        <v>0</v>
      </c>
      <c r="Q70">
        <f t="shared" si="10"/>
        <v>2</v>
      </c>
      <c r="R70" s="1">
        <f t="shared" si="11"/>
        <v>0</v>
      </c>
    </row>
    <row r="71" spans="1:18" x14ac:dyDescent="0.3">
      <c r="A71" t="s">
        <v>2894</v>
      </c>
      <c r="B71" t="s">
        <v>2895</v>
      </c>
      <c r="C71" t="s">
        <v>33</v>
      </c>
      <c r="D71">
        <v>26</v>
      </c>
      <c r="E71">
        <v>0</v>
      </c>
      <c r="G71" s="1">
        <v>0</v>
      </c>
      <c r="H71">
        <v>7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2896</v>
      </c>
      <c r="B72" t="s">
        <v>2897</v>
      </c>
      <c r="C72" t="s">
        <v>33</v>
      </c>
      <c r="D72">
        <v>28</v>
      </c>
      <c r="E72">
        <v>0</v>
      </c>
      <c r="G72" s="1">
        <v>0</v>
      </c>
      <c r="H72">
        <v>7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2898</v>
      </c>
      <c r="B73" t="s">
        <v>2899</v>
      </c>
      <c r="C73" t="s">
        <v>33</v>
      </c>
      <c r="D73">
        <v>24</v>
      </c>
      <c r="E73">
        <v>5</v>
      </c>
      <c r="F73" t="s">
        <v>2757</v>
      </c>
      <c r="G73" s="1">
        <v>2967.12</v>
      </c>
      <c r="H73">
        <v>3</v>
      </c>
      <c r="I73">
        <v>2.6</v>
      </c>
      <c r="J73">
        <v>1</v>
      </c>
      <c r="K73">
        <v>3</v>
      </c>
      <c r="L73">
        <f t="shared" si="8"/>
        <v>6</v>
      </c>
      <c r="M73">
        <v>0</v>
      </c>
      <c r="N73">
        <v>0</v>
      </c>
      <c r="O73">
        <v>5</v>
      </c>
      <c r="P73" s="1">
        <f t="shared" si="9"/>
        <v>0</v>
      </c>
      <c r="Q73">
        <f t="shared" si="10"/>
        <v>5</v>
      </c>
      <c r="R73" s="1">
        <f t="shared" si="11"/>
        <v>14835.599999999999</v>
      </c>
    </row>
    <row r="74" spans="1:18" x14ac:dyDescent="0.3">
      <c r="A74" t="s">
        <v>2900</v>
      </c>
      <c r="B74" t="s">
        <v>2901</v>
      </c>
      <c r="C74" t="s">
        <v>33</v>
      </c>
      <c r="D74">
        <v>27</v>
      </c>
      <c r="E74">
        <v>22</v>
      </c>
      <c r="F74" t="s">
        <v>2757</v>
      </c>
      <c r="G74" s="1">
        <v>4105.16</v>
      </c>
      <c r="H74">
        <v>21</v>
      </c>
      <c r="I74">
        <v>2.4</v>
      </c>
      <c r="J74">
        <v>1</v>
      </c>
      <c r="K74">
        <v>2</v>
      </c>
      <c r="L74">
        <f t="shared" si="8"/>
        <v>5</v>
      </c>
      <c r="M74">
        <v>0</v>
      </c>
      <c r="N74">
        <v>0</v>
      </c>
      <c r="O74">
        <v>4</v>
      </c>
      <c r="P74" s="1">
        <f t="shared" si="9"/>
        <v>0</v>
      </c>
      <c r="Q74">
        <f t="shared" si="10"/>
        <v>4</v>
      </c>
      <c r="R74" s="1">
        <f t="shared" si="11"/>
        <v>16420.64</v>
      </c>
    </row>
    <row r="75" spans="1:18" x14ac:dyDescent="0.3">
      <c r="A75" t="s">
        <v>2902</v>
      </c>
      <c r="B75" t="s">
        <v>2903</v>
      </c>
      <c r="C75" t="s">
        <v>33</v>
      </c>
      <c r="D75">
        <v>32</v>
      </c>
      <c r="E75">
        <v>10</v>
      </c>
      <c r="F75" t="s">
        <v>2757</v>
      </c>
      <c r="G75" s="1">
        <v>4679.1400000000003</v>
      </c>
      <c r="H75">
        <v>11</v>
      </c>
      <c r="I75">
        <v>2.2999999999999998</v>
      </c>
      <c r="J75">
        <v>1</v>
      </c>
      <c r="K75">
        <v>2</v>
      </c>
      <c r="L75">
        <f t="shared" si="8"/>
        <v>5</v>
      </c>
      <c r="M75">
        <v>0</v>
      </c>
      <c r="N75">
        <v>0</v>
      </c>
      <c r="O75">
        <v>4</v>
      </c>
      <c r="P75" s="1">
        <f t="shared" si="9"/>
        <v>0</v>
      </c>
      <c r="Q75">
        <f t="shared" si="10"/>
        <v>4</v>
      </c>
      <c r="R75" s="1">
        <f t="shared" si="11"/>
        <v>18716.560000000001</v>
      </c>
    </row>
    <row r="76" spans="1:18" x14ac:dyDescent="0.3">
      <c r="A76" t="s">
        <v>2904</v>
      </c>
      <c r="B76" t="s">
        <v>2905</v>
      </c>
      <c r="C76" t="s">
        <v>33</v>
      </c>
      <c r="D76">
        <v>1</v>
      </c>
      <c r="E76">
        <v>2</v>
      </c>
      <c r="F76" t="s">
        <v>2757</v>
      </c>
      <c r="G76" s="1">
        <v>6886.04</v>
      </c>
      <c r="H76">
        <v>0</v>
      </c>
      <c r="I76">
        <v>2.2000000000000002</v>
      </c>
      <c r="J76">
        <v>2</v>
      </c>
      <c r="K76">
        <v>4</v>
      </c>
      <c r="L76">
        <f t="shared" si="8"/>
        <v>9</v>
      </c>
      <c r="M76">
        <v>0</v>
      </c>
      <c r="N76">
        <v>0</v>
      </c>
      <c r="O76">
        <v>8</v>
      </c>
      <c r="P76" s="1">
        <f t="shared" si="9"/>
        <v>0</v>
      </c>
      <c r="Q76">
        <f t="shared" si="10"/>
        <v>8</v>
      </c>
      <c r="R76" s="1">
        <f t="shared" si="11"/>
        <v>55088.32</v>
      </c>
    </row>
    <row r="77" spans="1:18" x14ac:dyDescent="0.3">
      <c r="A77" t="s">
        <v>2906</v>
      </c>
      <c r="B77" t="s">
        <v>2907</v>
      </c>
      <c r="C77" t="s">
        <v>33</v>
      </c>
      <c r="D77">
        <v>32</v>
      </c>
      <c r="E77">
        <v>6</v>
      </c>
      <c r="F77" t="s">
        <v>2757</v>
      </c>
      <c r="G77" s="1">
        <v>2971.02</v>
      </c>
      <c r="H77">
        <v>6</v>
      </c>
      <c r="I77">
        <v>1.5</v>
      </c>
      <c r="J77">
        <v>1</v>
      </c>
      <c r="K77">
        <v>2</v>
      </c>
      <c r="L77">
        <f t="shared" si="8"/>
        <v>4</v>
      </c>
      <c r="M77">
        <v>0</v>
      </c>
      <c r="N77">
        <v>0</v>
      </c>
      <c r="O77">
        <v>4</v>
      </c>
      <c r="P77" s="1">
        <f t="shared" si="9"/>
        <v>0</v>
      </c>
      <c r="Q77">
        <f t="shared" si="10"/>
        <v>4</v>
      </c>
      <c r="R77" s="1">
        <f t="shared" si="11"/>
        <v>11884.08</v>
      </c>
    </row>
    <row r="78" spans="1:18" x14ac:dyDescent="0.3">
      <c r="A78" t="s">
        <v>2908</v>
      </c>
      <c r="B78" t="s">
        <v>2909</v>
      </c>
      <c r="C78" t="s">
        <v>33</v>
      </c>
      <c r="D78">
        <v>23</v>
      </c>
      <c r="E78">
        <v>0</v>
      </c>
      <c r="G78" s="1">
        <v>0</v>
      </c>
      <c r="H78">
        <v>4</v>
      </c>
      <c r="I78">
        <v>0.5</v>
      </c>
      <c r="J78">
        <v>1</v>
      </c>
      <c r="K78">
        <v>1</v>
      </c>
      <c r="L78">
        <f t="shared" si="8"/>
        <v>2</v>
      </c>
      <c r="M78">
        <v>0</v>
      </c>
      <c r="N78">
        <v>0</v>
      </c>
      <c r="O78">
        <v>2</v>
      </c>
      <c r="P78" s="1">
        <f t="shared" si="9"/>
        <v>0</v>
      </c>
      <c r="Q78">
        <f t="shared" si="10"/>
        <v>2</v>
      </c>
      <c r="R78" s="1">
        <f t="shared" si="11"/>
        <v>0</v>
      </c>
    </row>
    <row r="79" spans="1:18" x14ac:dyDescent="0.3">
      <c r="A79" t="s">
        <v>2910</v>
      </c>
      <c r="B79" t="s">
        <v>2911</v>
      </c>
      <c r="C79" t="s">
        <v>33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2912</v>
      </c>
      <c r="B80" t="s">
        <v>2913</v>
      </c>
      <c r="C80" t="s">
        <v>33</v>
      </c>
      <c r="D80">
        <v>34</v>
      </c>
      <c r="E80">
        <v>4</v>
      </c>
      <c r="F80" t="s">
        <v>2757</v>
      </c>
      <c r="G80" s="1">
        <v>1464.39</v>
      </c>
      <c r="H80">
        <v>7</v>
      </c>
      <c r="I80">
        <v>2.8</v>
      </c>
      <c r="J80">
        <v>1</v>
      </c>
      <c r="K80">
        <v>3</v>
      </c>
      <c r="L80">
        <f t="shared" si="8"/>
        <v>6</v>
      </c>
      <c r="M80">
        <v>0</v>
      </c>
      <c r="N80">
        <v>0</v>
      </c>
      <c r="O80">
        <v>5</v>
      </c>
      <c r="P80" s="1">
        <f t="shared" si="9"/>
        <v>0</v>
      </c>
      <c r="Q80">
        <f t="shared" si="10"/>
        <v>5</v>
      </c>
      <c r="R80" s="1">
        <f t="shared" si="11"/>
        <v>7321.9500000000007</v>
      </c>
    </row>
    <row r="81" spans="1:18" x14ac:dyDescent="0.3">
      <c r="A81" t="s">
        <v>2914</v>
      </c>
      <c r="B81" t="s">
        <v>2915</v>
      </c>
      <c r="C81" t="s">
        <v>33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8"/>
        <v>2</v>
      </c>
      <c r="M81">
        <v>0</v>
      </c>
      <c r="N81">
        <v>0</v>
      </c>
      <c r="O81">
        <v>2</v>
      </c>
      <c r="P81" s="1">
        <f t="shared" si="9"/>
        <v>0</v>
      </c>
      <c r="Q81">
        <f t="shared" si="10"/>
        <v>2</v>
      </c>
      <c r="R81" s="1">
        <f t="shared" si="11"/>
        <v>0</v>
      </c>
    </row>
    <row r="82" spans="1:18" x14ac:dyDescent="0.3">
      <c r="A82" t="s">
        <v>2916</v>
      </c>
      <c r="B82" t="s">
        <v>2917</v>
      </c>
      <c r="C82" t="s">
        <v>33</v>
      </c>
      <c r="D82">
        <v>1</v>
      </c>
      <c r="E82">
        <v>0</v>
      </c>
      <c r="G82" s="1">
        <v>0</v>
      </c>
      <c r="H82">
        <v>1</v>
      </c>
      <c r="I82">
        <v>0.5</v>
      </c>
      <c r="J82">
        <v>1</v>
      </c>
      <c r="K82">
        <v>1</v>
      </c>
      <c r="L82">
        <f t="shared" si="8"/>
        <v>2</v>
      </c>
      <c r="M82">
        <v>0</v>
      </c>
      <c r="N82">
        <v>0</v>
      </c>
      <c r="O82">
        <v>2</v>
      </c>
      <c r="P82" s="1">
        <f t="shared" si="9"/>
        <v>0</v>
      </c>
      <c r="Q82">
        <f t="shared" si="10"/>
        <v>2</v>
      </c>
      <c r="R82" s="1">
        <f t="shared" si="11"/>
        <v>0</v>
      </c>
    </row>
    <row r="83" spans="1:18" x14ac:dyDescent="0.3">
      <c r="A83" t="s">
        <v>2918</v>
      </c>
      <c r="B83" t="s">
        <v>2919</v>
      </c>
      <c r="C83" t="s">
        <v>33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2920</v>
      </c>
      <c r="B84" t="s">
        <v>2921</v>
      </c>
      <c r="C84" t="s">
        <v>33</v>
      </c>
      <c r="D84">
        <v>24</v>
      </c>
      <c r="E84">
        <v>1</v>
      </c>
      <c r="F84" t="s">
        <v>77</v>
      </c>
      <c r="G84" s="1">
        <v>1340.63</v>
      </c>
      <c r="H84">
        <v>3</v>
      </c>
      <c r="I84">
        <v>0.5</v>
      </c>
      <c r="J84">
        <v>1</v>
      </c>
      <c r="K84">
        <v>1</v>
      </c>
      <c r="L84">
        <f t="shared" si="8"/>
        <v>2</v>
      </c>
      <c r="M84">
        <v>0</v>
      </c>
      <c r="N84">
        <v>0</v>
      </c>
      <c r="O84">
        <v>2</v>
      </c>
      <c r="P84" s="1">
        <f t="shared" si="9"/>
        <v>0</v>
      </c>
      <c r="Q84">
        <f t="shared" si="10"/>
        <v>2</v>
      </c>
      <c r="R84" s="1">
        <f t="shared" si="11"/>
        <v>2681.26</v>
      </c>
    </row>
    <row r="85" spans="1:18" x14ac:dyDescent="0.3">
      <c r="A85" t="s">
        <v>2922</v>
      </c>
      <c r="B85" t="s">
        <v>2923</v>
      </c>
      <c r="C85" t="s">
        <v>33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2924</v>
      </c>
      <c r="B86" t="s">
        <v>2925</v>
      </c>
      <c r="C86" t="s">
        <v>33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0</v>
      </c>
    </row>
    <row r="87" spans="1:18" x14ac:dyDescent="0.3">
      <c r="A87" t="s">
        <v>2926</v>
      </c>
      <c r="B87" t="s">
        <v>2927</v>
      </c>
      <c r="C87" t="s">
        <v>33</v>
      </c>
      <c r="D87">
        <v>32</v>
      </c>
      <c r="E87">
        <v>0</v>
      </c>
      <c r="G87" s="1">
        <v>0</v>
      </c>
      <c r="H87">
        <v>19</v>
      </c>
      <c r="I87">
        <v>0.5</v>
      </c>
      <c r="J87">
        <v>1</v>
      </c>
      <c r="K87">
        <v>1</v>
      </c>
      <c r="L87">
        <f t="shared" si="8"/>
        <v>2</v>
      </c>
      <c r="M87">
        <v>0</v>
      </c>
      <c r="N87">
        <v>0</v>
      </c>
      <c r="O87">
        <v>2</v>
      </c>
      <c r="P87" s="1">
        <f t="shared" si="9"/>
        <v>0</v>
      </c>
      <c r="Q87">
        <f t="shared" si="10"/>
        <v>2</v>
      </c>
      <c r="R87" s="1">
        <f t="shared" si="11"/>
        <v>0</v>
      </c>
    </row>
    <row r="88" spans="1:18" x14ac:dyDescent="0.3">
      <c r="A88" t="s">
        <v>2928</v>
      </c>
      <c r="B88" t="s">
        <v>2929</v>
      </c>
      <c r="C88" t="s">
        <v>33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8"/>
        <v>2</v>
      </c>
      <c r="M88">
        <v>0</v>
      </c>
      <c r="N88">
        <v>0</v>
      </c>
      <c r="O88">
        <v>2</v>
      </c>
      <c r="P88" s="1">
        <f t="shared" si="9"/>
        <v>0</v>
      </c>
      <c r="Q88">
        <f t="shared" si="10"/>
        <v>2</v>
      </c>
      <c r="R88" s="1">
        <f t="shared" si="11"/>
        <v>0</v>
      </c>
    </row>
    <row r="89" spans="1:18" x14ac:dyDescent="0.3">
      <c r="A89" t="s">
        <v>2930</v>
      </c>
      <c r="B89" t="s">
        <v>2931</v>
      </c>
      <c r="C89" t="s">
        <v>33</v>
      </c>
      <c r="D89">
        <v>30</v>
      </c>
      <c r="E89">
        <v>0</v>
      </c>
      <c r="G89" s="1">
        <v>0</v>
      </c>
      <c r="H89">
        <v>2</v>
      </c>
      <c r="I89">
        <v>0.5</v>
      </c>
      <c r="J89">
        <v>1</v>
      </c>
      <c r="K89">
        <v>1</v>
      </c>
      <c r="L89">
        <f t="shared" si="8"/>
        <v>2</v>
      </c>
      <c r="M89">
        <v>0</v>
      </c>
      <c r="N89">
        <v>0</v>
      </c>
      <c r="O89">
        <v>2</v>
      </c>
      <c r="P89" s="1">
        <f t="shared" si="9"/>
        <v>0</v>
      </c>
      <c r="Q89">
        <f t="shared" si="10"/>
        <v>2</v>
      </c>
      <c r="R89" s="1">
        <f t="shared" si="11"/>
        <v>0</v>
      </c>
    </row>
    <row r="90" spans="1:18" x14ac:dyDescent="0.3">
      <c r="A90" t="s">
        <v>2932</v>
      </c>
      <c r="B90" t="s">
        <v>2933</v>
      </c>
      <c r="C90" t="s">
        <v>33</v>
      </c>
      <c r="D90">
        <v>7</v>
      </c>
      <c r="E90">
        <v>0</v>
      </c>
      <c r="G90" s="1">
        <v>0</v>
      </c>
      <c r="H90">
        <v>4</v>
      </c>
      <c r="I90">
        <v>0.5</v>
      </c>
      <c r="J90">
        <v>1</v>
      </c>
      <c r="K90">
        <v>1</v>
      </c>
      <c r="L90">
        <f t="shared" si="8"/>
        <v>2</v>
      </c>
      <c r="M90">
        <v>0</v>
      </c>
      <c r="N90">
        <v>0</v>
      </c>
      <c r="O90">
        <v>2</v>
      </c>
      <c r="P90" s="1">
        <f t="shared" si="9"/>
        <v>0</v>
      </c>
      <c r="Q90">
        <f t="shared" si="10"/>
        <v>2</v>
      </c>
      <c r="R90" s="1">
        <f t="shared" si="11"/>
        <v>0</v>
      </c>
    </row>
    <row r="91" spans="1:18" x14ac:dyDescent="0.3">
      <c r="A91" t="s">
        <v>2934</v>
      </c>
      <c r="B91" t="s">
        <v>2935</v>
      </c>
      <c r="C91" t="s">
        <v>33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2936</v>
      </c>
      <c r="B92" t="s">
        <v>2937</v>
      </c>
      <c r="C92" t="s">
        <v>33</v>
      </c>
      <c r="D92">
        <v>19</v>
      </c>
      <c r="E92">
        <v>0</v>
      </c>
      <c r="G92" s="1">
        <v>0</v>
      </c>
      <c r="H92">
        <v>2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0</v>
      </c>
    </row>
    <row r="93" spans="1:18" x14ac:dyDescent="0.3">
      <c r="A93" t="s">
        <v>2938</v>
      </c>
      <c r="B93" t="s">
        <v>2939</v>
      </c>
      <c r="C93" t="s">
        <v>33</v>
      </c>
      <c r="D93">
        <v>31</v>
      </c>
      <c r="E93">
        <v>0</v>
      </c>
      <c r="G93" s="1">
        <v>0</v>
      </c>
      <c r="H93">
        <v>5</v>
      </c>
      <c r="I93">
        <v>0.5</v>
      </c>
      <c r="J93">
        <v>1</v>
      </c>
      <c r="K93">
        <v>1</v>
      </c>
      <c r="L93">
        <f t="shared" si="8"/>
        <v>2</v>
      </c>
      <c r="M93">
        <v>0</v>
      </c>
      <c r="N93">
        <v>0</v>
      </c>
      <c r="O93">
        <v>2</v>
      </c>
      <c r="P93" s="1">
        <f t="shared" si="9"/>
        <v>0</v>
      </c>
      <c r="Q93">
        <f t="shared" si="10"/>
        <v>2</v>
      </c>
      <c r="R93" s="1">
        <f t="shared" si="11"/>
        <v>0</v>
      </c>
    </row>
    <row r="94" spans="1:18" x14ac:dyDescent="0.3">
      <c r="A94" t="s">
        <v>2940</v>
      </c>
      <c r="B94" t="s">
        <v>2941</v>
      </c>
      <c r="C94" t="s">
        <v>33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2942</v>
      </c>
      <c r="B95" t="s">
        <v>2943</v>
      </c>
      <c r="C95" t="s">
        <v>33</v>
      </c>
      <c r="D95">
        <v>1</v>
      </c>
      <c r="E95">
        <v>1</v>
      </c>
      <c r="F95" t="s">
        <v>77</v>
      </c>
      <c r="G95" s="1">
        <v>2993.25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5986.5</v>
      </c>
    </row>
    <row r="96" spans="1:18" x14ac:dyDescent="0.3">
      <c r="A96" t="s">
        <v>2944</v>
      </c>
      <c r="B96" t="s">
        <v>2945</v>
      </c>
      <c r="C96" t="s">
        <v>33</v>
      </c>
      <c r="D96">
        <v>21</v>
      </c>
      <c r="E96">
        <v>0</v>
      </c>
      <c r="G96" s="1">
        <v>0</v>
      </c>
      <c r="H96">
        <v>2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2946</v>
      </c>
      <c r="B97" t="s">
        <v>2947</v>
      </c>
      <c r="C97" t="s">
        <v>33</v>
      </c>
      <c r="D97">
        <v>20</v>
      </c>
      <c r="E97">
        <v>1</v>
      </c>
      <c r="F97" t="s">
        <v>77</v>
      </c>
      <c r="G97" s="1">
        <v>2783.25</v>
      </c>
      <c r="H97">
        <v>5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5566.5</v>
      </c>
    </row>
    <row r="98" spans="1:18" x14ac:dyDescent="0.3">
      <c r="A98" t="s">
        <v>2948</v>
      </c>
      <c r="B98" t="s">
        <v>2949</v>
      </c>
      <c r="C98" t="s">
        <v>33</v>
      </c>
      <c r="D98">
        <v>10</v>
      </c>
      <c r="E98">
        <v>1</v>
      </c>
      <c r="F98" t="s">
        <v>2757</v>
      </c>
      <c r="G98" s="1">
        <v>5554.99</v>
      </c>
      <c r="H98">
        <v>2</v>
      </c>
      <c r="I98">
        <v>1.2</v>
      </c>
      <c r="J98">
        <v>1</v>
      </c>
      <c r="K98">
        <v>1</v>
      </c>
      <c r="L98">
        <f t="shared" ref="L98:L129" si="12">ROUNDUP((J98*I98)+K98,0)</f>
        <v>3</v>
      </c>
      <c r="M98">
        <v>0</v>
      </c>
      <c r="N98">
        <v>0</v>
      </c>
      <c r="O98">
        <v>3</v>
      </c>
      <c r="P98" s="1">
        <f t="shared" ref="P98:P129" si="13">IFERROR(M98*G98,0)</f>
        <v>0</v>
      </c>
      <c r="Q98">
        <f t="shared" ref="Q98:Q129" si="14">IF(O98-M98-N98&gt;0,O98-M98-N98,0)</f>
        <v>3</v>
      </c>
      <c r="R98" s="1">
        <f t="shared" ref="R98:R129" si="15">IFERROR(Q98*G98,0)</f>
        <v>16664.97</v>
      </c>
    </row>
    <row r="99" spans="1:18" x14ac:dyDescent="0.3">
      <c r="A99" t="s">
        <v>2950</v>
      </c>
      <c r="B99" t="s">
        <v>2951</v>
      </c>
      <c r="C99" t="s">
        <v>33</v>
      </c>
      <c r="D99">
        <v>18</v>
      </c>
      <c r="E99">
        <v>0</v>
      </c>
      <c r="G99" s="1">
        <v>0</v>
      </c>
      <c r="H99">
        <v>1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2952</v>
      </c>
      <c r="B100" t="s">
        <v>2953</v>
      </c>
      <c r="C100" t="s">
        <v>33</v>
      </c>
      <c r="D100">
        <v>19</v>
      </c>
      <c r="E100">
        <v>0</v>
      </c>
      <c r="G100" s="1">
        <v>0</v>
      </c>
      <c r="H100">
        <v>2</v>
      </c>
      <c r="I100">
        <v>0.5</v>
      </c>
      <c r="J100">
        <v>1</v>
      </c>
      <c r="K100">
        <v>1</v>
      </c>
      <c r="L100">
        <f t="shared" si="12"/>
        <v>2</v>
      </c>
      <c r="M100">
        <v>0</v>
      </c>
      <c r="N100">
        <v>0</v>
      </c>
      <c r="O100">
        <v>2</v>
      </c>
      <c r="P100" s="1">
        <f t="shared" si="13"/>
        <v>0</v>
      </c>
      <c r="Q100">
        <f t="shared" si="14"/>
        <v>2</v>
      </c>
      <c r="R100" s="1">
        <f t="shared" si="15"/>
        <v>0</v>
      </c>
    </row>
    <row r="101" spans="1:18" x14ac:dyDescent="0.3">
      <c r="A101" t="s">
        <v>2954</v>
      </c>
      <c r="B101" t="s">
        <v>2955</v>
      </c>
      <c r="C101" t="s">
        <v>33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12"/>
        <v>2</v>
      </c>
      <c r="M101">
        <v>0</v>
      </c>
      <c r="N101">
        <v>0</v>
      </c>
      <c r="O101">
        <v>2</v>
      </c>
      <c r="P101" s="1">
        <f t="shared" si="13"/>
        <v>0</v>
      </c>
      <c r="Q101">
        <f t="shared" si="14"/>
        <v>2</v>
      </c>
      <c r="R101" s="1">
        <f t="shared" si="15"/>
        <v>0</v>
      </c>
    </row>
    <row r="102" spans="1:18" x14ac:dyDescent="0.3">
      <c r="A102" t="s">
        <v>2956</v>
      </c>
      <c r="B102" t="s">
        <v>2957</v>
      </c>
      <c r="C102" t="s">
        <v>33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12"/>
        <v>2</v>
      </c>
      <c r="M102">
        <v>0</v>
      </c>
      <c r="N102">
        <v>0</v>
      </c>
      <c r="O102">
        <v>2</v>
      </c>
      <c r="P102" s="1">
        <f t="shared" si="13"/>
        <v>0</v>
      </c>
      <c r="Q102">
        <f t="shared" si="14"/>
        <v>2</v>
      </c>
      <c r="R102" s="1">
        <f t="shared" si="15"/>
        <v>0</v>
      </c>
    </row>
    <row r="103" spans="1:18" x14ac:dyDescent="0.3">
      <c r="A103" t="s">
        <v>2958</v>
      </c>
      <c r="B103" t="s">
        <v>2959</v>
      </c>
      <c r="C103" t="s">
        <v>33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2960</v>
      </c>
      <c r="B104" t="s">
        <v>2961</v>
      </c>
      <c r="C104" t="s">
        <v>33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2962</v>
      </c>
      <c r="B105" t="s">
        <v>2963</v>
      </c>
      <c r="C105" t="s">
        <v>33</v>
      </c>
      <c r="D105">
        <v>1</v>
      </c>
      <c r="E105">
        <v>2</v>
      </c>
      <c r="F105" t="s">
        <v>77</v>
      </c>
      <c r="G105" s="1">
        <v>2428.5</v>
      </c>
      <c r="H105">
        <v>0</v>
      </c>
      <c r="I105">
        <v>0.5</v>
      </c>
      <c r="J105">
        <v>2</v>
      </c>
      <c r="K105">
        <v>1</v>
      </c>
      <c r="L105">
        <f t="shared" si="12"/>
        <v>2</v>
      </c>
      <c r="M105">
        <v>0</v>
      </c>
      <c r="N105">
        <v>0</v>
      </c>
      <c r="O105">
        <v>5</v>
      </c>
      <c r="P105" s="1">
        <f t="shared" si="13"/>
        <v>0</v>
      </c>
      <c r="Q105">
        <f t="shared" si="14"/>
        <v>5</v>
      </c>
      <c r="R105" s="1">
        <f t="shared" si="15"/>
        <v>12142.5</v>
      </c>
    </row>
    <row r="106" spans="1:18" x14ac:dyDescent="0.3">
      <c r="A106" t="s">
        <v>2964</v>
      </c>
      <c r="B106" t="s">
        <v>2965</v>
      </c>
      <c r="C106" t="s">
        <v>33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2966</v>
      </c>
      <c r="B107" t="s">
        <v>2967</v>
      </c>
      <c r="C107" t="s">
        <v>33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2968</v>
      </c>
      <c r="B108" t="s">
        <v>2969</v>
      </c>
      <c r="C108" t="s">
        <v>33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2970</v>
      </c>
      <c r="B109" t="s">
        <v>2971</v>
      </c>
      <c r="C109" t="s">
        <v>33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2972</v>
      </c>
      <c r="B110" t="s">
        <v>2973</v>
      </c>
      <c r="C110" t="s">
        <v>33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2974</v>
      </c>
      <c r="B111" t="s">
        <v>2975</v>
      </c>
      <c r="C111" t="s">
        <v>33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2976</v>
      </c>
      <c r="B112" t="s">
        <v>2977</v>
      </c>
      <c r="C112" t="s">
        <v>33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0</v>
      </c>
    </row>
    <row r="113" spans="1:18" x14ac:dyDescent="0.3">
      <c r="A113" t="s">
        <v>2978</v>
      </c>
      <c r="B113" t="s">
        <v>2979</v>
      </c>
      <c r="C113" t="s">
        <v>33</v>
      </c>
      <c r="D113">
        <v>1</v>
      </c>
      <c r="E113">
        <v>26</v>
      </c>
      <c r="F113" t="s">
        <v>2757</v>
      </c>
      <c r="G113" s="1">
        <v>357.27</v>
      </c>
      <c r="H113">
        <v>0</v>
      </c>
      <c r="I113">
        <v>2</v>
      </c>
      <c r="J113">
        <v>26</v>
      </c>
      <c r="K113">
        <v>52</v>
      </c>
      <c r="L113">
        <f t="shared" si="12"/>
        <v>104</v>
      </c>
      <c r="M113">
        <v>0</v>
      </c>
      <c r="N113">
        <v>0</v>
      </c>
      <c r="O113">
        <v>104</v>
      </c>
      <c r="P113" s="1">
        <f t="shared" si="13"/>
        <v>0</v>
      </c>
      <c r="Q113">
        <f t="shared" si="14"/>
        <v>104</v>
      </c>
      <c r="R113" s="1">
        <f t="shared" si="15"/>
        <v>37156.080000000002</v>
      </c>
    </row>
    <row r="114" spans="1:18" x14ac:dyDescent="0.3">
      <c r="A114" t="s">
        <v>2980</v>
      </c>
      <c r="B114" t="s">
        <v>2981</v>
      </c>
      <c r="C114" t="s">
        <v>33</v>
      </c>
      <c r="D114">
        <v>1</v>
      </c>
      <c r="E114">
        <v>26</v>
      </c>
      <c r="F114" t="s">
        <v>2757</v>
      </c>
      <c r="G114" s="1">
        <v>657.41</v>
      </c>
      <c r="H114">
        <v>0</v>
      </c>
      <c r="I114">
        <v>2</v>
      </c>
      <c r="J114">
        <v>26</v>
      </c>
      <c r="K114">
        <v>52</v>
      </c>
      <c r="L114">
        <f t="shared" si="12"/>
        <v>104</v>
      </c>
      <c r="M114">
        <v>0</v>
      </c>
      <c r="N114">
        <v>0</v>
      </c>
      <c r="O114">
        <v>104</v>
      </c>
      <c r="P114" s="1">
        <f t="shared" si="13"/>
        <v>0</v>
      </c>
      <c r="Q114">
        <f t="shared" si="14"/>
        <v>104</v>
      </c>
      <c r="R114" s="1">
        <f t="shared" si="15"/>
        <v>68370.64</v>
      </c>
    </row>
    <row r="115" spans="1:18" x14ac:dyDescent="0.3">
      <c r="A115" t="s">
        <v>2982</v>
      </c>
      <c r="B115" t="s">
        <v>2983</v>
      </c>
      <c r="C115" t="s">
        <v>33</v>
      </c>
      <c r="D115">
        <v>1</v>
      </c>
      <c r="E115">
        <v>26</v>
      </c>
      <c r="F115" t="s">
        <v>2757</v>
      </c>
      <c r="G115" s="1">
        <v>1004.27</v>
      </c>
      <c r="H115">
        <v>0</v>
      </c>
      <c r="I115">
        <v>2</v>
      </c>
      <c r="J115">
        <v>26</v>
      </c>
      <c r="K115">
        <v>52</v>
      </c>
      <c r="L115">
        <f t="shared" si="12"/>
        <v>104</v>
      </c>
      <c r="M115">
        <v>0</v>
      </c>
      <c r="N115">
        <v>0</v>
      </c>
      <c r="O115">
        <v>104</v>
      </c>
      <c r="P115" s="1">
        <f t="shared" si="13"/>
        <v>0</v>
      </c>
      <c r="Q115">
        <f t="shared" si="14"/>
        <v>104</v>
      </c>
      <c r="R115" s="1">
        <f t="shared" si="15"/>
        <v>104444.08</v>
      </c>
    </row>
    <row r="116" spans="1:18" x14ac:dyDescent="0.3">
      <c r="A116" t="s">
        <v>2984</v>
      </c>
      <c r="B116" t="s">
        <v>2985</v>
      </c>
      <c r="C116" t="s">
        <v>33</v>
      </c>
      <c r="D116">
        <v>1</v>
      </c>
      <c r="E116">
        <v>26</v>
      </c>
      <c r="F116" t="s">
        <v>2757</v>
      </c>
      <c r="G116" s="1">
        <v>1887.42</v>
      </c>
      <c r="H116">
        <v>0</v>
      </c>
      <c r="I116">
        <v>2</v>
      </c>
      <c r="J116">
        <v>26</v>
      </c>
      <c r="K116">
        <v>52</v>
      </c>
      <c r="L116">
        <f t="shared" si="12"/>
        <v>104</v>
      </c>
      <c r="M116">
        <v>0</v>
      </c>
      <c r="N116">
        <v>0</v>
      </c>
      <c r="O116">
        <v>104</v>
      </c>
      <c r="P116" s="1">
        <f t="shared" si="13"/>
        <v>0</v>
      </c>
      <c r="Q116">
        <f t="shared" si="14"/>
        <v>104</v>
      </c>
      <c r="R116" s="1">
        <f t="shared" si="15"/>
        <v>196291.68</v>
      </c>
    </row>
    <row r="117" spans="1:18" x14ac:dyDescent="0.3">
      <c r="A117" t="s">
        <v>2986</v>
      </c>
      <c r="B117" t="s">
        <v>2987</v>
      </c>
      <c r="C117" t="s">
        <v>33</v>
      </c>
      <c r="D117">
        <v>4</v>
      </c>
      <c r="E117">
        <v>22</v>
      </c>
      <c r="F117" t="s">
        <v>2757</v>
      </c>
      <c r="G117" s="1">
        <v>2583.6</v>
      </c>
      <c r="H117">
        <v>6</v>
      </c>
      <c r="I117">
        <v>2</v>
      </c>
      <c r="J117">
        <v>5.5</v>
      </c>
      <c r="K117">
        <v>11</v>
      </c>
      <c r="L117">
        <f t="shared" si="12"/>
        <v>22</v>
      </c>
      <c r="M117">
        <v>0</v>
      </c>
      <c r="N117">
        <v>0</v>
      </c>
      <c r="O117">
        <v>22</v>
      </c>
      <c r="P117" s="1">
        <f t="shared" si="13"/>
        <v>0</v>
      </c>
      <c r="Q117">
        <f t="shared" si="14"/>
        <v>22</v>
      </c>
      <c r="R117" s="1">
        <f t="shared" si="15"/>
        <v>56839.199999999997</v>
      </c>
    </row>
    <row r="118" spans="1:18" x14ac:dyDescent="0.3">
      <c r="A118" t="s">
        <v>2988</v>
      </c>
      <c r="B118" t="s">
        <v>2989</v>
      </c>
      <c r="C118" t="s">
        <v>33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2990</v>
      </c>
      <c r="B119" t="s">
        <v>2991</v>
      </c>
      <c r="C119" t="s">
        <v>33</v>
      </c>
      <c r="D119">
        <v>23</v>
      </c>
      <c r="E119">
        <v>12</v>
      </c>
      <c r="F119" t="s">
        <v>2757</v>
      </c>
      <c r="G119" s="1">
        <v>7659.2</v>
      </c>
      <c r="H119">
        <v>8</v>
      </c>
      <c r="I119">
        <v>2.6</v>
      </c>
      <c r="J119">
        <v>1</v>
      </c>
      <c r="K119">
        <v>3</v>
      </c>
      <c r="L119">
        <f t="shared" si="12"/>
        <v>6</v>
      </c>
      <c r="M119">
        <v>0</v>
      </c>
      <c r="N119">
        <v>0</v>
      </c>
      <c r="O119">
        <v>5</v>
      </c>
      <c r="P119" s="1">
        <f t="shared" si="13"/>
        <v>0</v>
      </c>
      <c r="Q119">
        <f t="shared" si="14"/>
        <v>5</v>
      </c>
      <c r="R119" s="1">
        <f t="shared" si="15"/>
        <v>38296</v>
      </c>
    </row>
    <row r="120" spans="1:18" x14ac:dyDescent="0.3">
      <c r="A120" t="s">
        <v>2992</v>
      </c>
      <c r="B120" t="s">
        <v>2993</v>
      </c>
      <c r="C120" t="s">
        <v>33</v>
      </c>
      <c r="D120">
        <v>1</v>
      </c>
      <c r="E120">
        <v>0</v>
      </c>
      <c r="F120" t="s">
        <v>2757</v>
      </c>
      <c r="G120" s="1">
        <v>868</v>
      </c>
      <c r="H120">
        <v>0</v>
      </c>
      <c r="I120">
        <v>2</v>
      </c>
      <c r="J120">
        <v>1</v>
      </c>
      <c r="K120">
        <v>2</v>
      </c>
      <c r="L120">
        <f t="shared" si="12"/>
        <v>4</v>
      </c>
      <c r="M120">
        <v>0</v>
      </c>
      <c r="N120">
        <v>25</v>
      </c>
      <c r="O120">
        <v>4</v>
      </c>
      <c r="P120" s="1">
        <f t="shared" si="13"/>
        <v>0</v>
      </c>
      <c r="Q120">
        <f t="shared" si="14"/>
        <v>0</v>
      </c>
      <c r="R120" s="1">
        <f t="shared" si="15"/>
        <v>0</v>
      </c>
    </row>
    <row r="121" spans="1:18" x14ac:dyDescent="0.3">
      <c r="A121" t="s">
        <v>2994</v>
      </c>
      <c r="B121" t="s">
        <v>2995</v>
      </c>
      <c r="C121" t="s">
        <v>33</v>
      </c>
      <c r="D121">
        <v>1</v>
      </c>
      <c r="E121">
        <v>0</v>
      </c>
      <c r="G121" s="1">
        <v>876.06</v>
      </c>
      <c r="H121">
        <v>0</v>
      </c>
      <c r="I121">
        <v>0.5</v>
      </c>
      <c r="J121">
        <v>1</v>
      </c>
      <c r="K121">
        <v>1</v>
      </c>
      <c r="L121">
        <f t="shared" si="12"/>
        <v>2</v>
      </c>
      <c r="M121">
        <v>0</v>
      </c>
      <c r="N121">
        <v>0</v>
      </c>
      <c r="O121">
        <v>2</v>
      </c>
      <c r="P121" s="1">
        <f t="shared" si="13"/>
        <v>0</v>
      </c>
      <c r="Q121">
        <f t="shared" si="14"/>
        <v>2</v>
      </c>
      <c r="R121" s="1">
        <f t="shared" si="15"/>
        <v>1752.12</v>
      </c>
    </row>
    <row r="122" spans="1:18" x14ac:dyDescent="0.3">
      <c r="A122" t="s">
        <v>2996</v>
      </c>
      <c r="B122" t="s">
        <v>2997</v>
      </c>
      <c r="C122" t="s">
        <v>33</v>
      </c>
      <c r="D122">
        <v>1</v>
      </c>
      <c r="E122">
        <v>0</v>
      </c>
      <c r="F122" t="s">
        <v>2757</v>
      </c>
      <c r="G122" s="1">
        <v>911.27</v>
      </c>
      <c r="H122">
        <v>0</v>
      </c>
      <c r="I122">
        <v>2</v>
      </c>
      <c r="J122">
        <v>1</v>
      </c>
      <c r="K122">
        <v>2</v>
      </c>
      <c r="L122">
        <f t="shared" si="12"/>
        <v>4</v>
      </c>
      <c r="M122">
        <v>0</v>
      </c>
      <c r="N122">
        <v>25</v>
      </c>
      <c r="O122">
        <v>4</v>
      </c>
      <c r="P122" s="1">
        <f t="shared" si="13"/>
        <v>0</v>
      </c>
      <c r="Q122">
        <f t="shared" si="14"/>
        <v>0</v>
      </c>
      <c r="R122" s="1">
        <f t="shared" si="15"/>
        <v>0</v>
      </c>
    </row>
    <row r="123" spans="1:18" x14ac:dyDescent="0.3">
      <c r="A123" t="s">
        <v>2998</v>
      </c>
      <c r="B123" t="s">
        <v>2999</v>
      </c>
      <c r="C123" t="s">
        <v>33</v>
      </c>
      <c r="D123">
        <v>1</v>
      </c>
      <c r="E123">
        <v>0</v>
      </c>
      <c r="F123" t="s">
        <v>2757</v>
      </c>
      <c r="G123" s="1">
        <v>1234.51</v>
      </c>
      <c r="H123">
        <v>0</v>
      </c>
      <c r="I123">
        <v>2</v>
      </c>
      <c r="J123">
        <v>1</v>
      </c>
      <c r="K123">
        <v>2</v>
      </c>
      <c r="L123">
        <f t="shared" si="12"/>
        <v>4</v>
      </c>
      <c r="M123">
        <v>0</v>
      </c>
      <c r="N123">
        <v>25</v>
      </c>
      <c r="O123">
        <v>4</v>
      </c>
      <c r="P123" s="1">
        <f t="shared" si="13"/>
        <v>0</v>
      </c>
      <c r="Q123">
        <f t="shared" si="14"/>
        <v>0</v>
      </c>
      <c r="R123" s="1">
        <f t="shared" si="15"/>
        <v>0</v>
      </c>
    </row>
    <row r="124" spans="1:18" x14ac:dyDescent="0.3">
      <c r="A124" t="s">
        <v>3000</v>
      </c>
      <c r="B124" t="s">
        <v>3001</v>
      </c>
      <c r="C124" t="s">
        <v>33</v>
      </c>
      <c r="D124">
        <v>1</v>
      </c>
      <c r="E124">
        <v>0</v>
      </c>
      <c r="F124" t="s">
        <v>2757</v>
      </c>
      <c r="G124" s="1">
        <v>0</v>
      </c>
      <c r="H124">
        <v>0</v>
      </c>
      <c r="I124">
        <v>2</v>
      </c>
      <c r="J124">
        <v>1</v>
      </c>
      <c r="K124">
        <v>2</v>
      </c>
      <c r="L124">
        <f t="shared" si="12"/>
        <v>4</v>
      </c>
      <c r="M124">
        <v>0</v>
      </c>
      <c r="N124">
        <v>25</v>
      </c>
      <c r="O124">
        <v>4</v>
      </c>
      <c r="P124" s="1">
        <f t="shared" si="13"/>
        <v>0</v>
      </c>
      <c r="Q124">
        <f t="shared" si="14"/>
        <v>0</v>
      </c>
      <c r="R124" s="1">
        <f t="shared" si="15"/>
        <v>0</v>
      </c>
    </row>
    <row r="125" spans="1:18" x14ac:dyDescent="0.3">
      <c r="A125" t="s">
        <v>3002</v>
      </c>
      <c r="B125" t="s">
        <v>3003</v>
      </c>
      <c r="C125" t="s">
        <v>33</v>
      </c>
      <c r="D125">
        <v>30</v>
      </c>
      <c r="E125">
        <v>48</v>
      </c>
      <c r="F125" t="s">
        <v>551</v>
      </c>
      <c r="G125" s="1">
        <v>163.13</v>
      </c>
      <c r="H125">
        <v>34</v>
      </c>
      <c r="I125">
        <v>0.5</v>
      </c>
      <c r="J125">
        <v>2</v>
      </c>
      <c r="K125">
        <v>1</v>
      </c>
      <c r="L125">
        <f t="shared" si="12"/>
        <v>2</v>
      </c>
      <c r="M125">
        <v>0</v>
      </c>
      <c r="N125">
        <v>0</v>
      </c>
      <c r="O125">
        <v>5</v>
      </c>
      <c r="P125" s="1">
        <f t="shared" si="13"/>
        <v>0</v>
      </c>
      <c r="Q125">
        <f t="shared" si="14"/>
        <v>5</v>
      </c>
      <c r="R125" s="1">
        <f t="shared" si="15"/>
        <v>815.65</v>
      </c>
    </row>
    <row r="126" spans="1:18" x14ac:dyDescent="0.3">
      <c r="A126" t="s">
        <v>3004</v>
      </c>
      <c r="B126" t="s">
        <v>3005</v>
      </c>
      <c r="C126" t="s">
        <v>33</v>
      </c>
      <c r="D126">
        <v>30</v>
      </c>
      <c r="E126">
        <v>20</v>
      </c>
      <c r="F126" t="s">
        <v>181</v>
      </c>
      <c r="G126" s="1">
        <v>430.34</v>
      </c>
      <c r="H126">
        <v>18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860.68</v>
      </c>
    </row>
    <row r="127" spans="1:18" x14ac:dyDescent="0.3">
      <c r="A127" t="s">
        <v>3006</v>
      </c>
      <c r="B127" t="s">
        <v>3007</v>
      </c>
      <c r="C127" t="s">
        <v>33</v>
      </c>
      <c r="D127">
        <v>30</v>
      </c>
      <c r="E127">
        <v>17</v>
      </c>
      <c r="F127" t="s">
        <v>181</v>
      </c>
      <c r="G127" s="1">
        <v>250</v>
      </c>
      <c r="H127">
        <v>19</v>
      </c>
      <c r="I127">
        <v>0.5</v>
      </c>
      <c r="J127">
        <v>1</v>
      </c>
      <c r="K127">
        <v>1</v>
      </c>
      <c r="L127">
        <f t="shared" si="12"/>
        <v>2</v>
      </c>
      <c r="M127">
        <v>0</v>
      </c>
      <c r="N127">
        <v>0</v>
      </c>
      <c r="O127">
        <v>2</v>
      </c>
      <c r="P127" s="1">
        <f t="shared" si="13"/>
        <v>0</v>
      </c>
      <c r="Q127">
        <f t="shared" si="14"/>
        <v>2</v>
      </c>
      <c r="R127" s="1">
        <f t="shared" si="15"/>
        <v>500</v>
      </c>
    </row>
    <row r="128" spans="1:18" x14ac:dyDescent="0.3">
      <c r="A128" t="s">
        <v>3008</v>
      </c>
      <c r="B128" t="s">
        <v>3009</v>
      </c>
      <c r="C128" t="s">
        <v>33</v>
      </c>
      <c r="D128">
        <v>1</v>
      </c>
      <c r="E128">
        <v>0</v>
      </c>
      <c r="G128" s="1">
        <v>0</v>
      </c>
      <c r="H128">
        <v>0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0</v>
      </c>
    </row>
    <row r="129" spans="1:18" x14ac:dyDescent="0.3">
      <c r="A129" t="s">
        <v>3010</v>
      </c>
      <c r="B129" t="s">
        <v>3011</v>
      </c>
      <c r="C129" t="s">
        <v>33</v>
      </c>
      <c r="D129">
        <v>25</v>
      </c>
      <c r="E129">
        <v>1</v>
      </c>
      <c r="F129" t="s">
        <v>77</v>
      </c>
      <c r="G129" s="1">
        <v>2681.25</v>
      </c>
      <c r="H129">
        <v>202</v>
      </c>
      <c r="I129">
        <v>0.8</v>
      </c>
      <c r="J129">
        <v>8.5</v>
      </c>
      <c r="K129">
        <v>7</v>
      </c>
      <c r="L129">
        <f t="shared" si="12"/>
        <v>14</v>
      </c>
      <c r="M129">
        <v>0</v>
      </c>
      <c r="N129">
        <v>0</v>
      </c>
      <c r="O129">
        <v>24</v>
      </c>
      <c r="P129" s="1">
        <f t="shared" si="13"/>
        <v>0</v>
      </c>
      <c r="Q129">
        <f t="shared" si="14"/>
        <v>24</v>
      </c>
      <c r="R129" s="1">
        <f t="shared" si="15"/>
        <v>64350</v>
      </c>
    </row>
    <row r="130" spans="1:18" x14ac:dyDescent="0.3">
      <c r="A130" t="s">
        <v>3012</v>
      </c>
      <c r="B130" t="s">
        <v>3013</v>
      </c>
      <c r="C130" t="s">
        <v>33</v>
      </c>
      <c r="D130">
        <v>25</v>
      </c>
      <c r="E130">
        <v>0</v>
      </c>
      <c r="G130" s="1">
        <v>0</v>
      </c>
      <c r="H130">
        <v>200</v>
      </c>
      <c r="I130">
        <v>0.5</v>
      </c>
      <c r="J130">
        <v>8</v>
      </c>
      <c r="K130">
        <v>4</v>
      </c>
      <c r="L130">
        <f t="shared" ref="L130:L161" si="16">ROUNDUP((J130*I130)+K130,0)</f>
        <v>8</v>
      </c>
      <c r="M130">
        <v>0</v>
      </c>
      <c r="N130">
        <v>0</v>
      </c>
      <c r="O130">
        <v>20</v>
      </c>
      <c r="P130" s="1">
        <f t="shared" ref="P130:P145" si="17">IFERROR(M130*G130,0)</f>
        <v>0</v>
      </c>
      <c r="Q130">
        <f t="shared" ref="Q130:Q145" si="18">IF(O130-M130-N130&gt;0,O130-M130-N130,0)</f>
        <v>20</v>
      </c>
      <c r="R130" s="1">
        <f t="shared" ref="R130:R161" si="19">IFERROR(Q130*G130,0)</f>
        <v>0</v>
      </c>
    </row>
    <row r="131" spans="1:18" x14ac:dyDescent="0.3">
      <c r="A131" t="s">
        <v>3014</v>
      </c>
      <c r="B131" t="s">
        <v>3015</v>
      </c>
      <c r="C131" t="s">
        <v>33</v>
      </c>
      <c r="D131">
        <v>25</v>
      </c>
      <c r="E131">
        <v>0</v>
      </c>
      <c r="G131" s="1">
        <v>0</v>
      </c>
      <c r="H131">
        <v>130</v>
      </c>
      <c r="I131">
        <v>0.5</v>
      </c>
      <c r="J131">
        <v>5.5</v>
      </c>
      <c r="K131">
        <v>3</v>
      </c>
      <c r="L131">
        <f t="shared" si="16"/>
        <v>6</v>
      </c>
      <c r="M131">
        <v>0</v>
      </c>
      <c r="N131">
        <v>0</v>
      </c>
      <c r="O131">
        <v>14</v>
      </c>
      <c r="P131" s="1">
        <f t="shared" si="17"/>
        <v>0</v>
      </c>
      <c r="Q131">
        <f t="shared" si="18"/>
        <v>14</v>
      </c>
      <c r="R131" s="1">
        <f t="shared" si="19"/>
        <v>0</v>
      </c>
    </row>
    <row r="132" spans="1:18" x14ac:dyDescent="0.3">
      <c r="A132" t="s">
        <v>3016</v>
      </c>
      <c r="B132" t="s">
        <v>3017</v>
      </c>
      <c r="C132" t="s">
        <v>33</v>
      </c>
      <c r="D132">
        <v>25</v>
      </c>
      <c r="E132">
        <v>0</v>
      </c>
      <c r="G132" s="1">
        <v>0</v>
      </c>
      <c r="H132">
        <v>1</v>
      </c>
      <c r="I132">
        <v>0.5</v>
      </c>
      <c r="J132">
        <v>1</v>
      </c>
      <c r="K132">
        <v>1</v>
      </c>
      <c r="L132">
        <f t="shared" si="16"/>
        <v>2</v>
      </c>
      <c r="M132">
        <v>0</v>
      </c>
      <c r="N132">
        <v>0</v>
      </c>
      <c r="O132">
        <v>2</v>
      </c>
      <c r="P132" s="1">
        <f t="shared" si="17"/>
        <v>0</v>
      </c>
      <c r="Q132">
        <f t="shared" si="18"/>
        <v>2</v>
      </c>
      <c r="R132" s="1">
        <f t="shared" si="19"/>
        <v>0</v>
      </c>
    </row>
    <row r="133" spans="1:18" x14ac:dyDescent="0.3">
      <c r="A133" t="s">
        <v>3018</v>
      </c>
      <c r="B133" t="s">
        <v>3019</v>
      </c>
      <c r="C133" t="s">
        <v>33</v>
      </c>
      <c r="D133">
        <v>26</v>
      </c>
      <c r="E133">
        <v>0</v>
      </c>
      <c r="G133" s="1">
        <v>0</v>
      </c>
      <c r="H133">
        <v>31</v>
      </c>
      <c r="I133">
        <v>0.5</v>
      </c>
      <c r="J133">
        <v>1.5</v>
      </c>
      <c r="K133">
        <v>1</v>
      </c>
      <c r="L133">
        <f t="shared" si="16"/>
        <v>2</v>
      </c>
      <c r="M133">
        <v>0</v>
      </c>
      <c r="N133">
        <v>0</v>
      </c>
      <c r="O133">
        <v>4</v>
      </c>
      <c r="P133" s="1">
        <f t="shared" si="17"/>
        <v>0</v>
      </c>
      <c r="Q133">
        <f t="shared" si="18"/>
        <v>4</v>
      </c>
      <c r="R133" s="1">
        <f t="shared" si="19"/>
        <v>0</v>
      </c>
    </row>
    <row r="134" spans="1:18" x14ac:dyDescent="0.3">
      <c r="A134" t="s">
        <v>3020</v>
      </c>
      <c r="B134" t="s">
        <v>3021</v>
      </c>
      <c r="C134" t="s">
        <v>33</v>
      </c>
      <c r="D134">
        <v>24</v>
      </c>
      <c r="E134">
        <v>1</v>
      </c>
      <c r="F134" t="s">
        <v>77</v>
      </c>
      <c r="G134" s="1">
        <v>2428.5</v>
      </c>
      <c r="H134">
        <v>2</v>
      </c>
      <c r="I134">
        <v>0.5</v>
      </c>
      <c r="J134">
        <v>1</v>
      </c>
      <c r="K134">
        <v>1</v>
      </c>
      <c r="L134">
        <f t="shared" si="16"/>
        <v>2</v>
      </c>
      <c r="M134">
        <v>0</v>
      </c>
      <c r="N134">
        <v>0</v>
      </c>
      <c r="O134">
        <v>2</v>
      </c>
      <c r="P134" s="1">
        <f t="shared" si="17"/>
        <v>0</v>
      </c>
      <c r="Q134">
        <f t="shared" si="18"/>
        <v>2</v>
      </c>
      <c r="R134" s="1">
        <f t="shared" si="19"/>
        <v>4857</v>
      </c>
    </row>
    <row r="135" spans="1:18" x14ac:dyDescent="0.3">
      <c r="A135" t="s">
        <v>3022</v>
      </c>
      <c r="B135" t="s">
        <v>3023</v>
      </c>
      <c r="C135" t="s">
        <v>33</v>
      </c>
      <c r="D135">
        <v>22</v>
      </c>
      <c r="E135">
        <v>7</v>
      </c>
      <c r="F135" t="s">
        <v>77</v>
      </c>
      <c r="G135" s="1">
        <v>1462.71</v>
      </c>
      <c r="H135">
        <v>1</v>
      </c>
      <c r="I135">
        <v>0.5</v>
      </c>
      <c r="J135">
        <v>1</v>
      </c>
      <c r="K135">
        <v>1</v>
      </c>
      <c r="L135">
        <f t="shared" si="16"/>
        <v>2</v>
      </c>
      <c r="M135">
        <v>0</v>
      </c>
      <c r="N135">
        <v>0</v>
      </c>
      <c r="O135">
        <v>2</v>
      </c>
      <c r="P135" s="1">
        <f t="shared" si="17"/>
        <v>0</v>
      </c>
      <c r="Q135">
        <f t="shared" si="18"/>
        <v>2</v>
      </c>
      <c r="R135" s="1">
        <f t="shared" si="19"/>
        <v>2925.42</v>
      </c>
    </row>
    <row r="136" spans="1:18" x14ac:dyDescent="0.3">
      <c r="A136" t="s">
        <v>3024</v>
      </c>
      <c r="B136" t="s">
        <v>3025</v>
      </c>
      <c r="C136" t="s">
        <v>33</v>
      </c>
      <c r="D136">
        <v>22</v>
      </c>
      <c r="E136">
        <v>2</v>
      </c>
      <c r="F136" t="s">
        <v>77</v>
      </c>
      <c r="G136" s="1">
        <v>1240</v>
      </c>
      <c r="H136">
        <v>0</v>
      </c>
      <c r="I136">
        <v>0.5</v>
      </c>
      <c r="J136">
        <v>1</v>
      </c>
      <c r="K136">
        <v>1</v>
      </c>
      <c r="L136">
        <f t="shared" si="16"/>
        <v>2</v>
      </c>
      <c r="M136">
        <v>0</v>
      </c>
      <c r="N136">
        <v>0</v>
      </c>
      <c r="O136">
        <v>2</v>
      </c>
      <c r="P136" s="1">
        <f t="shared" si="17"/>
        <v>0</v>
      </c>
      <c r="Q136">
        <f t="shared" si="18"/>
        <v>2</v>
      </c>
      <c r="R136" s="1">
        <f t="shared" si="19"/>
        <v>2480</v>
      </c>
    </row>
    <row r="137" spans="1:18" x14ac:dyDescent="0.3">
      <c r="A137" t="s">
        <v>3026</v>
      </c>
      <c r="B137" t="s">
        <v>3027</v>
      </c>
      <c r="C137" t="s">
        <v>33</v>
      </c>
      <c r="D137">
        <v>21</v>
      </c>
      <c r="E137">
        <v>4</v>
      </c>
      <c r="F137" t="s">
        <v>77</v>
      </c>
      <c r="G137" s="1">
        <v>1413.75</v>
      </c>
      <c r="H137">
        <v>0</v>
      </c>
      <c r="I137">
        <v>0.7</v>
      </c>
      <c r="J137">
        <v>1</v>
      </c>
      <c r="K137">
        <v>1</v>
      </c>
      <c r="L137">
        <f t="shared" si="16"/>
        <v>2</v>
      </c>
      <c r="M137">
        <v>0</v>
      </c>
      <c r="N137">
        <v>0</v>
      </c>
      <c r="O137">
        <v>3</v>
      </c>
      <c r="P137" s="1">
        <f t="shared" si="17"/>
        <v>0</v>
      </c>
      <c r="Q137">
        <f t="shared" si="18"/>
        <v>3</v>
      </c>
      <c r="R137" s="1">
        <f t="shared" si="19"/>
        <v>4241.25</v>
      </c>
    </row>
    <row r="138" spans="1:18" x14ac:dyDescent="0.3">
      <c r="A138" t="s">
        <v>3028</v>
      </c>
      <c r="B138" t="s">
        <v>3029</v>
      </c>
      <c r="C138" t="s">
        <v>33</v>
      </c>
      <c r="D138">
        <v>22</v>
      </c>
      <c r="E138">
        <v>5</v>
      </c>
      <c r="F138" t="s">
        <v>1866</v>
      </c>
      <c r="G138" s="1">
        <v>2838.9</v>
      </c>
      <c r="H138">
        <v>0</v>
      </c>
      <c r="I138">
        <v>0.5</v>
      </c>
      <c r="J138">
        <v>1</v>
      </c>
      <c r="K138">
        <v>1</v>
      </c>
      <c r="L138">
        <f t="shared" si="16"/>
        <v>2</v>
      </c>
      <c r="M138">
        <v>0</v>
      </c>
      <c r="N138">
        <v>0</v>
      </c>
      <c r="O138">
        <v>2</v>
      </c>
      <c r="P138" s="1">
        <f t="shared" si="17"/>
        <v>0</v>
      </c>
      <c r="Q138">
        <f t="shared" si="18"/>
        <v>2</v>
      </c>
      <c r="R138" s="1">
        <f t="shared" si="19"/>
        <v>5677.8</v>
      </c>
    </row>
    <row r="139" spans="1:18" x14ac:dyDescent="0.3">
      <c r="A139" t="s">
        <v>3030</v>
      </c>
      <c r="B139" t="s">
        <v>3031</v>
      </c>
      <c r="C139" t="s">
        <v>33</v>
      </c>
      <c r="D139">
        <v>24</v>
      </c>
      <c r="E139">
        <v>3</v>
      </c>
      <c r="F139" t="s">
        <v>1866</v>
      </c>
      <c r="G139" s="1">
        <v>2523.0700000000002</v>
      </c>
      <c r="H139">
        <v>1</v>
      </c>
      <c r="I139">
        <v>0.5</v>
      </c>
      <c r="J139">
        <v>1</v>
      </c>
      <c r="K139">
        <v>1</v>
      </c>
      <c r="L139">
        <f t="shared" si="16"/>
        <v>2</v>
      </c>
      <c r="M139">
        <v>0</v>
      </c>
      <c r="N139">
        <v>0</v>
      </c>
      <c r="O139">
        <v>2</v>
      </c>
      <c r="P139" s="1">
        <f t="shared" si="17"/>
        <v>0</v>
      </c>
      <c r="Q139">
        <f t="shared" si="18"/>
        <v>2</v>
      </c>
      <c r="R139" s="1">
        <f t="shared" si="19"/>
        <v>5046.1400000000003</v>
      </c>
    </row>
    <row r="140" spans="1:18" x14ac:dyDescent="0.3">
      <c r="A140" t="s">
        <v>3032</v>
      </c>
      <c r="B140" t="s">
        <v>3033</v>
      </c>
      <c r="C140" t="s">
        <v>33</v>
      </c>
      <c r="D140">
        <v>24</v>
      </c>
      <c r="E140">
        <v>7</v>
      </c>
      <c r="F140" t="s">
        <v>77</v>
      </c>
      <c r="G140" s="1">
        <v>2681.07</v>
      </c>
      <c r="H140">
        <v>1</v>
      </c>
      <c r="I140">
        <v>0.5</v>
      </c>
      <c r="J140">
        <v>1</v>
      </c>
      <c r="K140">
        <v>1</v>
      </c>
      <c r="L140">
        <f t="shared" si="16"/>
        <v>2</v>
      </c>
      <c r="M140">
        <v>0</v>
      </c>
      <c r="N140">
        <v>0</v>
      </c>
      <c r="O140">
        <v>2</v>
      </c>
      <c r="P140" s="1">
        <f t="shared" si="17"/>
        <v>0</v>
      </c>
      <c r="Q140">
        <f t="shared" si="18"/>
        <v>2</v>
      </c>
      <c r="R140" s="1">
        <f t="shared" si="19"/>
        <v>5362.14</v>
      </c>
    </row>
    <row r="141" spans="1:18" x14ac:dyDescent="0.3">
      <c r="A141" t="s">
        <v>3034</v>
      </c>
      <c r="B141" t="s">
        <v>3035</v>
      </c>
      <c r="C141" t="s">
        <v>33</v>
      </c>
      <c r="D141">
        <v>22</v>
      </c>
      <c r="E141">
        <v>1</v>
      </c>
      <c r="F141" t="s">
        <v>77</v>
      </c>
      <c r="G141" s="1">
        <v>930</v>
      </c>
      <c r="H141">
        <v>0</v>
      </c>
      <c r="I141">
        <v>0.5</v>
      </c>
      <c r="J141">
        <v>1</v>
      </c>
      <c r="K141">
        <v>1</v>
      </c>
      <c r="L141">
        <f t="shared" si="16"/>
        <v>2</v>
      </c>
      <c r="M141">
        <v>0</v>
      </c>
      <c r="N141">
        <v>0</v>
      </c>
      <c r="O141">
        <v>2</v>
      </c>
      <c r="P141" s="1">
        <f t="shared" si="17"/>
        <v>0</v>
      </c>
      <c r="Q141">
        <f t="shared" si="18"/>
        <v>2</v>
      </c>
      <c r="R141" s="1">
        <f t="shared" si="19"/>
        <v>1860</v>
      </c>
    </row>
    <row r="142" spans="1:18" x14ac:dyDescent="0.3">
      <c r="A142" t="s">
        <v>3036</v>
      </c>
      <c r="B142" t="s">
        <v>3037</v>
      </c>
      <c r="C142" t="s">
        <v>33</v>
      </c>
      <c r="D142">
        <v>21</v>
      </c>
      <c r="E142">
        <v>21</v>
      </c>
      <c r="F142" t="s">
        <v>77</v>
      </c>
      <c r="G142" s="1">
        <v>338.39</v>
      </c>
      <c r="H142">
        <v>1</v>
      </c>
      <c r="I142">
        <v>0.5</v>
      </c>
      <c r="J142">
        <v>1</v>
      </c>
      <c r="K142">
        <v>1</v>
      </c>
      <c r="L142">
        <f t="shared" si="16"/>
        <v>2</v>
      </c>
      <c r="M142">
        <v>0</v>
      </c>
      <c r="N142">
        <v>0</v>
      </c>
      <c r="O142">
        <v>2</v>
      </c>
      <c r="P142" s="1">
        <f t="shared" si="17"/>
        <v>0</v>
      </c>
      <c r="Q142">
        <f t="shared" si="18"/>
        <v>2</v>
      </c>
      <c r="R142" s="1">
        <f t="shared" si="19"/>
        <v>676.78</v>
      </c>
    </row>
    <row r="143" spans="1:18" x14ac:dyDescent="0.3">
      <c r="A143" t="s">
        <v>3038</v>
      </c>
      <c r="B143" t="s">
        <v>3039</v>
      </c>
      <c r="C143" t="s">
        <v>33</v>
      </c>
      <c r="D143">
        <v>1</v>
      </c>
      <c r="E143">
        <v>0</v>
      </c>
      <c r="G143" s="1">
        <v>0</v>
      </c>
      <c r="H143">
        <v>0</v>
      </c>
      <c r="I143">
        <v>0.5</v>
      </c>
      <c r="J143">
        <v>1</v>
      </c>
      <c r="K143">
        <v>1</v>
      </c>
      <c r="L143">
        <f t="shared" si="16"/>
        <v>2</v>
      </c>
      <c r="M143">
        <v>0</v>
      </c>
      <c r="N143">
        <v>0</v>
      </c>
      <c r="O143">
        <v>2</v>
      </c>
      <c r="P143" s="1">
        <f t="shared" si="17"/>
        <v>0</v>
      </c>
      <c r="Q143">
        <f t="shared" si="18"/>
        <v>2</v>
      </c>
      <c r="R143" s="1">
        <f t="shared" si="19"/>
        <v>0</v>
      </c>
    </row>
    <row r="144" spans="1:18" x14ac:dyDescent="0.3">
      <c r="A144" t="s">
        <v>3040</v>
      </c>
      <c r="B144" t="s">
        <v>3041</v>
      </c>
      <c r="C144" t="s">
        <v>33</v>
      </c>
      <c r="D144">
        <v>1</v>
      </c>
      <c r="E144">
        <v>0</v>
      </c>
      <c r="G144" s="1">
        <v>0</v>
      </c>
      <c r="H144">
        <v>0</v>
      </c>
      <c r="I144">
        <v>0.5</v>
      </c>
      <c r="J144">
        <v>1</v>
      </c>
      <c r="K144">
        <v>1</v>
      </c>
      <c r="L144">
        <f t="shared" si="16"/>
        <v>2</v>
      </c>
      <c r="M144">
        <v>0</v>
      </c>
      <c r="N144">
        <v>0</v>
      </c>
      <c r="O144">
        <v>2</v>
      </c>
      <c r="P144" s="1">
        <f t="shared" si="17"/>
        <v>0</v>
      </c>
      <c r="Q144">
        <f t="shared" si="18"/>
        <v>2</v>
      </c>
      <c r="R144" s="1">
        <f t="shared" si="19"/>
        <v>0</v>
      </c>
    </row>
    <row r="145" spans="1:18" x14ac:dyDescent="0.3">
      <c r="A145" t="s">
        <v>3042</v>
      </c>
      <c r="B145" t="s">
        <v>3043</v>
      </c>
      <c r="C145" t="s">
        <v>33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16"/>
        <v>2</v>
      </c>
      <c r="M145">
        <v>0</v>
      </c>
      <c r="N145">
        <v>0</v>
      </c>
      <c r="O145">
        <v>2</v>
      </c>
      <c r="P145" s="1">
        <f t="shared" si="17"/>
        <v>0</v>
      </c>
      <c r="Q145">
        <f t="shared" si="18"/>
        <v>2</v>
      </c>
      <c r="R145" s="1">
        <f t="shared" si="19"/>
        <v>0</v>
      </c>
    </row>
    <row r="146" spans="1:18" x14ac:dyDescent="0.3">
      <c r="A14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3044</v>
      </c>
      <c r="B2" t="s">
        <v>3045</v>
      </c>
      <c r="C2" t="s">
        <v>34</v>
      </c>
      <c r="D2">
        <v>1</v>
      </c>
      <c r="E2">
        <v>8</v>
      </c>
      <c r="F2" t="s">
        <v>3046</v>
      </c>
      <c r="G2" s="1">
        <v>42.93</v>
      </c>
      <c r="H2">
        <v>0</v>
      </c>
      <c r="I2">
        <v>0.5</v>
      </c>
      <c r="J2">
        <v>8</v>
      </c>
      <c r="K2">
        <v>4</v>
      </c>
      <c r="L2">
        <f t="shared" ref="L2:L7" si="0">ROUNDUP((J2*I2)+K2,0)</f>
        <v>8</v>
      </c>
      <c r="M2">
        <v>0</v>
      </c>
      <c r="N2">
        <v>0</v>
      </c>
      <c r="O2">
        <v>20</v>
      </c>
      <c r="P2" s="1">
        <f t="shared" ref="P2:P7" si="1">IFERROR(M2*G2,0)</f>
        <v>0</v>
      </c>
      <c r="Q2">
        <f t="shared" ref="Q2:Q7" si="2">IF(O2-M2-N2&gt;0,O2-M2-N2,0)</f>
        <v>20</v>
      </c>
      <c r="R2" s="1">
        <f t="shared" ref="R2:R7" si="3">IFERROR(Q2*G2,0)</f>
        <v>858.6</v>
      </c>
    </row>
    <row r="3" spans="1:18" x14ac:dyDescent="0.3">
      <c r="A3" t="s">
        <v>3047</v>
      </c>
      <c r="B3" t="s">
        <v>3048</v>
      </c>
      <c r="C3" t="s">
        <v>34</v>
      </c>
      <c r="D3">
        <v>1</v>
      </c>
      <c r="E3">
        <v>2</v>
      </c>
      <c r="F3" t="s">
        <v>3046</v>
      </c>
      <c r="G3" s="1">
        <v>372.2</v>
      </c>
      <c r="H3">
        <v>0</v>
      </c>
      <c r="I3">
        <v>0.5</v>
      </c>
      <c r="J3">
        <v>2</v>
      </c>
      <c r="K3">
        <v>1</v>
      </c>
      <c r="L3">
        <f t="shared" si="0"/>
        <v>2</v>
      </c>
      <c r="M3">
        <v>0</v>
      </c>
      <c r="N3">
        <v>0</v>
      </c>
      <c r="O3">
        <v>5</v>
      </c>
      <c r="P3" s="1">
        <f t="shared" si="1"/>
        <v>0</v>
      </c>
      <c r="Q3">
        <f t="shared" si="2"/>
        <v>5</v>
      </c>
      <c r="R3" s="1">
        <f t="shared" si="3"/>
        <v>1861</v>
      </c>
    </row>
    <row r="4" spans="1:18" x14ac:dyDescent="0.3">
      <c r="A4" t="s">
        <v>3049</v>
      </c>
      <c r="B4" t="s">
        <v>3050</v>
      </c>
      <c r="C4" t="s">
        <v>34</v>
      </c>
      <c r="D4">
        <v>1</v>
      </c>
      <c r="E4">
        <v>2</v>
      </c>
      <c r="F4" t="s">
        <v>3046</v>
      </c>
      <c r="G4" s="1">
        <v>592.64</v>
      </c>
      <c r="H4">
        <v>0</v>
      </c>
      <c r="I4">
        <v>0.5</v>
      </c>
      <c r="J4">
        <v>2</v>
      </c>
      <c r="K4">
        <v>1</v>
      </c>
      <c r="L4">
        <f t="shared" si="0"/>
        <v>2</v>
      </c>
      <c r="M4">
        <v>0</v>
      </c>
      <c r="N4">
        <v>0</v>
      </c>
      <c r="O4">
        <v>5</v>
      </c>
      <c r="P4" s="1">
        <f t="shared" si="1"/>
        <v>0</v>
      </c>
      <c r="Q4">
        <f t="shared" si="2"/>
        <v>5</v>
      </c>
      <c r="R4" s="1">
        <f t="shared" si="3"/>
        <v>2963.2</v>
      </c>
    </row>
    <row r="5" spans="1:18" x14ac:dyDescent="0.3">
      <c r="A5" t="s">
        <v>3051</v>
      </c>
      <c r="B5" t="s">
        <v>3052</v>
      </c>
      <c r="C5" t="s">
        <v>34</v>
      </c>
      <c r="D5">
        <v>1</v>
      </c>
      <c r="E5">
        <v>1</v>
      </c>
      <c r="F5" t="s">
        <v>3046</v>
      </c>
      <c r="G5" s="1">
        <v>592.63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1185.26</v>
      </c>
    </row>
    <row r="6" spans="1:18" x14ac:dyDescent="0.3">
      <c r="A6" t="s">
        <v>3053</v>
      </c>
      <c r="B6" t="s">
        <v>3054</v>
      </c>
      <c r="C6" t="s">
        <v>34</v>
      </c>
      <c r="D6">
        <v>1</v>
      </c>
      <c r="E6">
        <v>2</v>
      </c>
      <c r="F6" t="s">
        <v>3046</v>
      </c>
      <c r="G6" s="1">
        <v>194.15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970.75</v>
      </c>
    </row>
    <row r="7" spans="1:18" x14ac:dyDescent="0.3">
      <c r="A7" t="s">
        <v>3055</v>
      </c>
      <c r="B7" t="s">
        <v>3050</v>
      </c>
      <c r="C7" t="s">
        <v>34</v>
      </c>
      <c r="D7">
        <v>1</v>
      </c>
      <c r="E7">
        <v>0</v>
      </c>
      <c r="G7" s="1">
        <v>607.83000000000004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1215.6600000000001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R19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3056</v>
      </c>
      <c r="B2" t="s">
        <v>3057</v>
      </c>
      <c r="C2" t="s">
        <v>35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 t="shared" ref="L2:L33" si="0">ROUNDUP((J2*I2)+K2,0)</f>
        <v>2</v>
      </c>
      <c r="M2">
        <v>0</v>
      </c>
      <c r="N2">
        <v>0</v>
      </c>
      <c r="O2">
        <v>2</v>
      </c>
      <c r="P2" s="1">
        <f t="shared" ref="P2:P33" si="1">IFERROR(M2*G2,0)</f>
        <v>0</v>
      </c>
      <c r="Q2">
        <f t="shared" ref="Q2:Q33" si="2">IF(O2-M2-N2&gt;0,O2-M2-N2,0)</f>
        <v>2</v>
      </c>
      <c r="R2" s="1">
        <f t="shared" ref="R2:R33" si="3">IFERROR(Q2*G2,0)</f>
        <v>0</v>
      </c>
    </row>
    <row r="3" spans="1:18" x14ac:dyDescent="0.3">
      <c r="A3" t="s">
        <v>3058</v>
      </c>
      <c r="B3" t="s">
        <v>3059</v>
      </c>
      <c r="C3" t="s">
        <v>35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x14ac:dyDescent="0.3">
      <c r="A4" t="s">
        <v>3060</v>
      </c>
      <c r="B4" t="s">
        <v>3061</v>
      </c>
      <c r="C4" t="s">
        <v>35</v>
      </c>
      <c r="D4">
        <v>18</v>
      </c>
      <c r="E4">
        <v>0</v>
      </c>
      <c r="G4" s="1">
        <v>0</v>
      </c>
      <c r="H4">
        <v>14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3062</v>
      </c>
      <c r="B5" t="s">
        <v>3063</v>
      </c>
      <c r="C5" t="s">
        <v>35</v>
      </c>
      <c r="D5">
        <v>34</v>
      </c>
      <c r="E5">
        <v>0</v>
      </c>
      <c r="G5" s="1">
        <v>0</v>
      </c>
      <c r="H5">
        <v>1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x14ac:dyDescent="0.3">
      <c r="A6" t="s">
        <v>3064</v>
      </c>
      <c r="B6" t="s">
        <v>3065</v>
      </c>
      <c r="C6" t="s">
        <v>35</v>
      </c>
      <c r="D6">
        <v>1</v>
      </c>
      <c r="E6">
        <v>0</v>
      </c>
      <c r="G6" s="1">
        <v>0</v>
      </c>
      <c r="H6">
        <v>0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0</v>
      </c>
    </row>
    <row r="7" spans="1:18" x14ac:dyDescent="0.3">
      <c r="A7" t="s">
        <v>3066</v>
      </c>
      <c r="B7" t="s">
        <v>3067</v>
      </c>
      <c r="C7" t="s">
        <v>35</v>
      </c>
      <c r="D7">
        <v>1</v>
      </c>
      <c r="E7">
        <v>0</v>
      </c>
      <c r="G7" s="1">
        <v>0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0</v>
      </c>
    </row>
    <row r="8" spans="1:18" x14ac:dyDescent="0.3">
      <c r="A8" t="s">
        <v>3068</v>
      </c>
      <c r="B8" t="s">
        <v>3069</v>
      </c>
      <c r="C8" t="s">
        <v>35</v>
      </c>
      <c r="D8">
        <v>1</v>
      </c>
      <c r="E8">
        <v>0</v>
      </c>
      <c r="G8" s="1">
        <v>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0</v>
      </c>
    </row>
    <row r="9" spans="1:18" x14ac:dyDescent="0.3">
      <c r="A9" t="s">
        <v>3070</v>
      </c>
      <c r="B9" t="s">
        <v>3071</v>
      </c>
      <c r="C9" t="s">
        <v>35</v>
      </c>
      <c r="D9">
        <v>1</v>
      </c>
      <c r="E9">
        <v>0</v>
      </c>
      <c r="G9" s="1">
        <v>0</v>
      </c>
      <c r="H9">
        <v>0</v>
      </c>
      <c r="I9">
        <v>0.5</v>
      </c>
      <c r="J9">
        <v>1</v>
      </c>
      <c r="K9">
        <v>1</v>
      </c>
      <c r="L9">
        <f t="shared" si="0"/>
        <v>2</v>
      </c>
      <c r="M9">
        <v>0</v>
      </c>
      <c r="N9">
        <v>0</v>
      </c>
      <c r="O9">
        <v>2</v>
      </c>
      <c r="P9" s="1">
        <f t="shared" si="1"/>
        <v>0</v>
      </c>
      <c r="Q9">
        <f t="shared" si="2"/>
        <v>2</v>
      </c>
      <c r="R9" s="1">
        <f t="shared" si="3"/>
        <v>0</v>
      </c>
    </row>
    <row r="10" spans="1:18" x14ac:dyDescent="0.3">
      <c r="A10" t="s">
        <v>3072</v>
      </c>
      <c r="B10" t="s">
        <v>3073</v>
      </c>
      <c r="C10" t="s">
        <v>35</v>
      </c>
      <c r="D10">
        <v>1</v>
      </c>
      <c r="E10">
        <v>0</v>
      </c>
      <c r="G10" s="1">
        <v>0</v>
      </c>
      <c r="H10">
        <v>0</v>
      </c>
      <c r="I10">
        <v>0.5</v>
      </c>
      <c r="J10">
        <v>1</v>
      </c>
      <c r="K10">
        <v>1</v>
      </c>
      <c r="L10">
        <f t="shared" si="0"/>
        <v>2</v>
      </c>
      <c r="M10">
        <v>0</v>
      </c>
      <c r="N10">
        <v>0</v>
      </c>
      <c r="O10">
        <v>2</v>
      </c>
      <c r="P10" s="1">
        <f t="shared" si="1"/>
        <v>0</v>
      </c>
      <c r="Q10">
        <f t="shared" si="2"/>
        <v>2</v>
      </c>
      <c r="R10" s="1">
        <f t="shared" si="3"/>
        <v>0</v>
      </c>
    </row>
    <row r="11" spans="1:18" x14ac:dyDescent="0.3">
      <c r="A11" t="s">
        <v>3074</v>
      </c>
      <c r="B11" t="s">
        <v>3075</v>
      </c>
      <c r="C11" t="s">
        <v>35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x14ac:dyDescent="0.3">
      <c r="A12" t="s">
        <v>3076</v>
      </c>
      <c r="B12" t="s">
        <v>3077</v>
      </c>
      <c r="C12" t="s">
        <v>35</v>
      </c>
      <c r="D12">
        <v>1</v>
      </c>
      <c r="E12">
        <v>0</v>
      </c>
      <c r="G12" s="1">
        <v>0</v>
      </c>
      <c r="H12">
        <v>0</v>
      </c>
      <c r="I12">
        <v>0.5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2</v>
      </c>
      <c r="P12" s="1">
        <f t="shared" si="1"/>
        <v>0</v>
      </c>
      <c r="Q12">
        <f t="shared" si="2"/>
        <v>2</v>
      </c>
      <c r="R12" s="1">
        <f t="shared" si="3"/>
        <v>0</v>
      </c>
    </row>
    <row r="13" spans="1:18" x14ac:dyDescent="0.3">
      <c r="A13" t="s">
        <v>3078</v>
      </c>
      <c r="B13" t="s">
        <v>3079</v>
      </c>
      <c r="C13" t="s">
        <v>35</v>
      </c>
      <c r="D13">
        <v>1</v>
      </c>
      <c r="E13">
        <v>0</v>
      </c>
      <c r="G13" s="1">
        <v>0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0</v>
      </c>
    </row>
    <row r="14" spans="1:18" x14ac:dyDescent="0.3">
      <c r="A14" t="s">
        <v>3080</v>
      </c>
      <c r="B14" t="s">
        <v>3081</v>
      </c>
      <c r="C14" t="s">
        <v>35</v>
      </c>
      <c r="D14">
        <v>17</v>
      </c>
      <c r="E14">
        <v>15</v>
      </c>
      <c r="F14" t="s">
        <v>3082</v>
      </c>
      <c r="G14" s="1">
        <v>129.55000000000001</v>
      </c>
      <c r="H14">
        <v>6</v>
      </c>
      <c r="I14">
        <v>0.5</v>
      </c>
      <c r="J14">
        <v>1</v>
      </c>
      <c r="K14">
        <v>1</v>
      </c>
      <c r="L14">
        <f t="shared" si="0"/>
        <v>2</v>
      </c>
      <c r="M14">
        <v>0</v>
      </c>
      <c r="N14">
        <v>0</v>
      </c>
      <c r="O14">
        <v>2</v>
      </c>
      <c r="P14" s="1">
        <f t="shared" si="1"/>
        <v>0</v>
      </c>
      <c r="Q14">
        <f t="shared" si="2"/>
        <v>2</v>
      </c>
      <c r="R14" s="1">
        <f t="shared" si="3"/>
        <v>259.10000000000002</v>
      </c>
    </row>
    <row r="15" spans="1:18" x14ac:dyDescent="0.3">
      <c r="A15" t="s">
        <v>3083</v>
      </c>
      <c r="B15" t="s">
        <v>3084</v>
      </c>
      <c r="C15" t="s">
        <v>35</v>
      </c>
      <c r="D15">
        <v>1</v>
      </c>
      <c r="E15">
        <v>0</v>
      </c>
      <c r="G15" s="1">
        <v>0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0</v>
      </c>
    </row>
    <row r="16" spans="1:18" x14ac:dyDescent="0.3">
      <c r="A16" t="s">
        <v>3085</v>
      </c>
      <c r="B16" t="s">
        <v>3086</v>
      </c>
      <c r="C16" t="s">
        <v>35</v>
      </c>
      <c r="D16">
        <v>33</v>
      </c>
      <c r="E16">
        <v>0</v>
      </c>
      <c r="G16" s="1">
        <v>0</v>
      </c>
      <c r="H16">
        <v>7</v>
      </c>
      <c r="I16">
        <v>0.5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2</v>
      </c>
      <c r="P16" s="1">
        <f t="shared" si="1"/>
        <v>0</v>
      </c>
      <c r="Q16">
        <f t="shared" si="2"/>
        <v>2</v>
      </c>
      <c r="R16" s="1">
        <f t="shared" si="3"/>
        <v>0</v>
      </c>
    </row>
    <row r="17" spans="1:18" x14ac:dyDescent="0.3">
      <c r="A17" t="s">
        <v>3087</v>
      </c>
      <c r="B17" t="s">
        <v>3088</v>
      </c>
      <c r="C17" t="s">
        <v>35</v>
      </c>
      <c r="D17">
        <v>1</v>
      </c>
      <c r="E17">
        <v>0</v>
      </c>
      <c r="G17" s="1">
        <v>0</v>
      </c>
      <c r="H17">
        <v>0</v>
      </c>
      <c r="I17">
        <v>0.5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2</v>
      </c>
      <c r="P17" s="1">
        <f t="shared" si="1"/>
        <v>0</v>
      </c>
      <c r="Q17">
        <f t="shared" si="2"/>
        <v>2</v>
      </c>
      <c r="R17" s="1">
        <f t="shared" si="3"/>
        <v>0</v>
      </c>
    </row>
    <row r="18" spans="1:18" x14ac:dyDescent="0.3">
      <c r="A18" t="s">
        <v>3089</v>
      </c>
      <c r="B18" t="s">
        <v>3090</v>
      </c>
      <c r="C18" t="s">
        <v>35</v>
      </c>
      <c r="D18">
        <v>5</v>
      </c>
      <c r="E18">
        <v>0</v>
      </c>
      <c r="G18" s="1">
        <v>0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0</v>
      </c>
    </row>
    <row r="19" spans="1:18" x14ac:dyDescent="0.3">
      <c r="A19" t="s">
        <v>3091</v>
      </c>
      <c r="B19" t="s">
        <v>3092</v>
      </c>
      <c r="C19" t="s">
        <v>35</v>
      </c>
      <c r="D19">
        <v>5</v>
      </c>
      <c r="E19">
        <v>0</v>
      </c>
      <c r="G19" s="1">
        <v>0</v>
      </c>
      <c r="H19">
        <v>0</v>
      </c>
      <c r="I19">
        <v>0.5</v>
      </c>
      <c r="J19">
        <v>1</v>
      </c>
      <c r="K19">
        <v>1</v>
      </c>
      <c r="L19">
        <f t="shared" si="0"/>
        <v>2</v>
      </c>
      <c r="M19">
        <v>0</v>
      </c>
      <c r="N19">
        <v>0</v>
      </c>
      <c r="O19">
        <v>2</v>
      </c>
      <c r="P19" s="1">
        <f t="shared" si="1"/>
        <v>0</v>
      </c>
      <c r="Q19">
        <f t="shared" si="2"/>
        <v>2</v>
      </c>
      <c r="R19" s="1">
        <f t="shared" si="3"/>
        <v>0</v>
      </c>
    </row>
    <row r="20" spans="1:18" x14ac:dyDescent="0.3">
      <c r="A20" t="s">
        <v>3093</v>
      </c>
      <c r="B20" t="s">
        <v>3094</v>
      </c>
      <c r="C20" t="s">
        <v>35</v>
      </c>
      <c r="D20">
        <v>19</v>
      </c>
      <c r="E20">
        <v>15</v>
      </c>
      <c r="F20" t="s">
        <v>3082</v>
      </c>
      <c r="G20" s="1">
        <v>887.76</v>
      </c>
      <c r="H20">
        <v>27</v>
      </c>
      <c r="I20">
        <v>1.1000000000000001</v>
      </c>
      <c r="J20">
        <v>1.5</v>
      </c>
      <c r="K20">
        <v>2</v>
      </c>
      <c r="L20">
        <f t="shared" si="0"/>
        <v>4</v>
      </c>
      <c r="M20">
        <v>0</v>
      </c>
      <c r="N20">
        <v>0</v>
      </c>
      <c r="O20">
        <v>5</v>
      </c>
      <c r="P20" s="1">
        <f t="shared" si="1"/>
        <v>0</v>
      </c>
      <c r="Q20">
        <f t="shared" si="2"/>
        <v>5</v>
      </c>
      <c r="R20" s="1">
        <f t="shared" si="3"/>
        <v>4438.8</v>
      </c>
    </row>
    <row r="21" spans="1:18" x14ac:dyDescent="0.3">
      <c r="A21" t="s">
        <v>3095</v>
      </c>
      <c r="B21" t="s">
        <v>3096</v>
      </c>
      <c r="C21" t="s">
        <v>35</v>
      </c>
      <c r="D21">
        <v>1</v>
      </c>
      <c r="E21">
        <v>0</v>
      </c>
      <c r="G21" s="1">
        <v>0</v>
      </c>
      <c r="H21">
        <v>0</v>
      </c>
      <c r="I21">
        <v>0.5</v>
      </c>
      <c r="J21">
        <v>1</v>
      </c>
      <c r="K21">
        <v>1</v>
      </c>
      <c r="L21">
        <f t="shared" si="0"/>
        <v>2</v>
      </c>
      <c r="M21">
        <v>0</v>
      </c>
      <c r="N21">
        <v>0</v>
      </c>
      <c r="O21">
        <v>2</v>
      </c>
      <c r="P21" s="1">
        <f t="shared" si="1"/>
        <v>0</v>
      </c>
      <c r="Q21">
        <f t="shared" si="2"/>
        <v>2</v>
      </c>
      <c r="R21" s="1">
        <f t="shared" si="3"/>
        <v>0</v>
      </c>
    </row>
    <row r="22" spans="1:18" x14ac:dyDescent="0.3">
      <c r="A22" t="s">
        <v>3097</v>
      </c>
      <c r="B22" t="s">
        <v>3098</v>
      </c>
      <c r="C22" t="s">
        <v>35</v>
      </c>
      <c r="D22">
        <v>1</v>
      </c>
      <c r="E22">
        <v>0</v>
      </c>
      <c r="G22" s="1">
        <v>0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0</v>
      </c>
    </row>
    <row r="23" spans="1:18" x14ac:dyDescent="0.3">
      <c r="A23" t="s">
        <v>3099</v>
      </c>
      <c r="B23" t="s">
        <v>3100</v>
      </c>
      <c r="C23" t="s">
        <v>35</v>
      </c>
      <c r="D23">
        <v>1</v>
      </c>
      <c r="E23">
        <v>0</v>
      </c>
      <c r="G23" s="1">
        <v>0</v>
      </c>
      <c r="H23">
        <v>0</v>
      </c>
      <c r="I23">
        <v>0.5</v>
      </c>
      <c r="J23">
        <v>1</v>
      </c>
      <c r="K23">
        <v>1</v>
      </c>
      <c r="L23">
        <f t="shared" si="0"/>
        <v>2</v>
      </c>
      <c r="M23">
        <v>0</v>
      </c>
      <c r="N23">
        <v>0</v>
      </c>
      <c r="O23">
        <v>2</v>
      </c>
      <c r="P23" s="1">
        <f t="shared" si="1"/>
        <v>0</v>
      </c>
      <c r="Q23">
        <f t="shared" si="2"/>
        <v>2</v>
      </c>
      <c r="R23" s="1">
        <f t="shared" si="3"/>
        <v>0</v>
      </c>
    </row>
    <row r="24" spans="1:18" x14ac:dyDescent="0.3">
      <c r="A24" t="s">
        <v>3101</v>
      </c>
      <c r="B24" t="s">
        <v>3102</v>
      </c>
      <c r="C24" t="s">
        <v>35</v>
      </c>
      <c r="D24">
        <v>19</v>
      </c>
      <c r="E24">
        <v>0</v>
      </c>
      <c r="G24" s="1">
        <v>0</v>
      </c>
      <c r="H24">
        <v>3</v>
      </c>
      <c r="I24">
        <v>0.5</v>
      </c>
      <c r="J24">
        <v>1</v>
      </c>
      <c r="K24">
        <v>1</v>
      </c>
      <c r="L24">
        <f t="shared" si="0"/>
        <v>2</v>
      </c>
      <c r="M24">
        <v>0</v>
      </c>
      <c r="N24">
        <v>0</v>
      </c>
      <c r="O24">
        <v>2</v>
      </c>
      <c r="P24" s="1">
        <f t="shared" si="1"/>
        <v>0</v>
      </c>
      <c r="Q24">
        <f t="shared" si="2"/>
        <v>2</v>
      </c>
      <c r="R24" s="1">
        <f t="shared" si="3"/>
        <v>0</v>
      </c>
    </row>
    <row r="25" spans="1:18" x14ac:dyDescent="0.3">
      <c r="A25" t="s">
        <v>3103</v>
      </c>
      <c r="B25" t="s">
        <v>3104</v>
      </c>
      <c r="C25" t="s">
        <v>35</v>
      </c>
      <c r="D25">
        <v>1</v>
      </c>
      <c r="E25">
        <v>0</v>
      </c>
      <c r="G25" s="1">
        <v>0</v>
      </c>
      <c r="H25">
        <v>0</v>
      </c>
      <c r="I25">
        <v>0.5</v>
      </c>
      <c r="J25">
        <v>1</v>
      </c>
      <c r="K25">
        <v>1</v>
      </c>
      <c r="L25">
        <f t="shared" si="0"/>
        <v>2</v>
      </c>
      <c r="M25">
        <v>0</v>
      </c>
      <c r="N25">
        <v>0</v>
      </c>
      <c r="O25">
        <v>2</v>
      </c>
      <c r="P25" s="1">
        <f t="shared" si="1"/>
        <v>0</v>
      </c>
      <c r="Q25">
        <f t="shared" si="2"/>
        <v>2</v>
      </c>
      <c r="R25" s="1">
        <f t="shared" si="3"/>
        <v>0</v>
      </c>
    </row>
    <row r="26" spans="1:18" x14ac:dyDescent="0.3">
      <c r="A26" t="s">
        <v>3105</v>
      </c>
      <c r="B26" t="s">
        <v>3104</v>
      </c>
      <c r="C26" t="s">
        <v>35</v>
      </c>
      <c r="D26">
        <v>30</v>
      </c>
      <c r="E26">
        <v>0</v>
      </c>
      <c r="G26" s="1">
        <v>0</v>
      </c>
      <c r="H26">
        <v>5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x14ac:dyDescent="0.3">
      <c r="A27" t="s">
        <v>3106</v>
      </c>
      <c r="B27" t="s">
        <v>3107</v>
      </c>
      <c r="C27" t="s">
        <v>35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x14ac:dyDescent="0.3">
      <c r="A28" t="s">
        <v>3108</v>
      </c>
      <c r="B28" t="s">
        <v>3109</v>
      </c>
      <c r="C28" t="s">
        <v>35</v>
      </c>
      <c r="D28">
        <v>28</v>
      </c>
      <c r="E28">
        <v>0</v>
      </c>
      <c r="G28" s="1">
        <v>0</v>
      </c>
      <c r="H28">
        <v>19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x14ac:dyDescent="0.3">
      <c r="A29" t="s">
        <v>3110</v>
      </c>
      <c r="B29" t="s">
        <v>3111</v>
      </c>
      <c r="C29" t="s">
        <v>35</v>
      </c>
      <c r="D29">
        <v>1</v>
      </c>
      <c r="E29">
        <v>0</v>
      </c>
      <c r="G29" s="1">
        <v>0</v>
      </c>
      <c r="H29">
        <v>0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x14ac:dyDescent="0.3">
      <c r="A30" t="s">
        <v>3112</v>
      </c>
      <c r="B30" t="s">
        <v>3113</v>
      </c>
      <c r="C30" t="s">
        <v>35</v>
      </c>
      <c r="D30">
        <v>1</v>
      </c>
      <c r="E30">
        <v>0</v>
      </c>
      <c r="G30" s="1">
        <v>0</v>
      </c>
      <c r="H30">
        <v>0</v>
      </c>
      <c r="I30">
        <v>0.5</v>
      </c>
      <c r="J30">
        <v>1</v>
      </c>
      <c r="K30">
        <v>1</v>
      </c>
      <c r="L30">
        <f t="shared" si="0"/>
        <v>2</v>
      </c>
      <c r="M30">
        <v>0</v>
      </c>
      <c r="N30">
        <v>0</v>
      </c>
      <c r="O30">
        <v>2</v>
      </c>
      <c r="P30" s="1">
        <f t="shared" si="1"/>
        <v>0</v>
      </c>
      <c r="Q30">
        <f t="shared" si="2"/>
        <v>2</v>
      </c>
      <c r="R30" s="1">
        <f t="shared" si="3"/>
        <v>0</v>
      </c>
    </row>
    <row r="31" spans="1:18" x14ac:dyDescent="0.3">
      <c r="A31" t="s">
        <v>3114</v>
      </c>
      <c r="B31" t="s">
        <v>3115</v>
      </c>
      <c r="C31" t="s">
        <v>35</v>
      </c>
      <c r="D31">
        <v>1</v>
      </c>
      <c r="E31">
        <v>0</v>
      </c>
      <c r="G31" s="1">
        <v>0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0</v>
      </c>
    </row>
    <row r="32" spans="1:18" x14ac:dyDescent="0.3">
      <c r="A32" t="s">
        <v>3116</v>
      </c>
      <c r="B32" t="s">
        <v>3117</v>
      </c>
      <c r="C32" t="s">
        <v>35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x14ac:dyDescent="0.3">
      <c r="A33" t="s">
        <v>3118</v>
      </c>
      <c r="B33" t="s">
        <v>3119</v>
      </c>
      <c r="C33" t="s">
        <v>35</v>
      </c>
      <c r="D33">
        <v>1</v>
      </c>
      <c r="E33">
        <v>0</v>
      </c>
      <c r="G33" s="1">
        <v>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0</v>
      </c>
    </row>
    <row r="34" spans="1:18" x14ac:dyDescent="0.3">
      <c r="A34" t="s">
        <v>3120</v>
      </c>
      <c r="B34" t="s">
        <v>3121</v>
      </c>
      <c r="C34" t="s">
        <v>35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ref="L34:L65" si="4">ROUNDUP((J34*I34)+K34,0)</f>
        <v>2</v>
      </c>
      <c r="M34">
        <v>0</v>
      </c>
      <c r="N34">
        <v>0</v>
      </c>
      <c r="O34">
        <v>2</v>
      </c>
      <c r="P34" s="1">
        <f t="shared" ref="P34:P65" si="5">IFERROR(M34*G34,0)</f>
        <v>0</v>
      </c>
      <c r="Q34">
        <f t="shared" ref="Q34:Q65" si="6">IF(O34-M34-N34&gt;0,O34-M34-N34,0)</f>
        <v>2</v>
      </c>
      <c r="R34" s="1">
        <f t="shared" ref="R34:R65" si="7">IFERROR(Q34*G34,0)</f>
        <v>0</v>
      </c>
    </row>
    <row r="35" spans="1:18" x14ac:dyDescent="0.3">
      <c r="A35" t="s">
        <v>3122</v>
      </c>
      <c r="B35" t="s">
        <v>3123</v>
      </c>
      <c r="C35" t="s">
        <v>35</v>
      </c>
      <c r="D35">
        <v>23</v>
      </c>
      <c r="E35">
        <v>0</v>
      </c>
      <c r="G35" s="1">
        <v>0</v>
      </c>
      <c r="H35">
        <v>3</v>
      </c>
      <c r="I35">
        <v>0.5</v>
      </c>
      <c r="J35">
        <v>1</v>
      </c>
      <c r="K35">
        <v>1</v>
      </c>
      <c r="L35">
        <f t="shared" si="4"/>
        <v>2</v>
      </c>
      <c r="M35">
        <v>0</v>
      </c>
      <c r="N35">
        <v>0</v>
      </c>
      <c r="O35">
        <v>2</v>
      </c>
      <c r="P35" s="1">
        <f t="shared" si="5"/>
        <v>0</v>
      </c>
      <c r="Q35">
        <f t="shared" si="6"/>
        <v>2</v>
      </c>
      <c r="R35" s="1">
        <f t="shared" si="7"/>
        <v>0</v>
      </c>
    </row>
    <row r="36" spans="1:18" x14ac:dyDescent="0.3">
      <c r="A36" t="s">
        <v>3124</v>
      </c>
      <c r="B36" t="s">
        <v>3125</v>
      </c>
      <c r="C36" t="s">
        <v>35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4"/>
        <v>2</v>
      </c>
      <c r="M36">
        <v>0</v>
      </c>
      <c r="N36">
        <v>0</v>
      </c>
      <c r="O36">
        <v>2</v>
      </c>
      <c r="P36" s="1">
        <f t="shared" si="5"/>
        <v>0</v>
      </c>
      <c r="Q36">
        <f t="shared" si="6"/>
        <v>2</v>
      </c>
      <c r="R36" s="1">
        <f t="shared" si="7"/>
        <v>0</v>
      </c>
    </row>
    <row r="37" spans="1:18" x14ac:dyDescent="0.3">
      <c r="A37" t="s">
        <v>3126</v>
      </c>
      <c r="B37" t="s">
        <v>3127</v>
      </c>
      <c r="C37" t="s">
        <v>35</v>
      </c>
      <c r="D37">
        <v>24</v>
      </c>
      <c r="E37">
        <v>0</v>
      </c>
      <c r="G37" s="1">
        <v>0</v>
      </c>
      <c r="H37">
        <v>15</v>
      </c>
      <c r="I37">
        <v>0.5</v>
      </c>
      <c r="J37">
        <v>1</v>
      </c>
      <c r="K37">
        <v>1</v>
      </c>
      <c r="L37">
        <f t="shared" si="4"/>
        <v>2</v>
      </c>
      <c r="M37">
        <v>0</v>
      </c>
      <c r="N37">
        <v>0</v>
      </c>
      <c r="O37">
        <v>2</v>
      </c>
      <c r="P37" s="1">
        <f t="shared" si="5"/>
        <v>0</v>
      </c>
      <c r="Q37">
        <f t="shared" si="6"/>
        <v>2</v>
      </c>
      <c r="R37" s="1">
        <f t="shared" si="7"/>
        <v>0</v>
      </c>
    </row>
    <row r="38" spans="1:18" x14ac:dyDescent="0.3">
      <c r="A38" t="s">
        <v>3128</v>
      </c>
      <c r="B38" t="s">
        <v>3129</v>
      </c>
      <c r="C38" t="s">
        <v>35</v>
      </c>
      <c r="D38">
        <v>35</v>
      </c>
      <c r="E38">
        <v>0</v>
      </c>
      <c r="G38" s="1">
        <v>0</v>
      </c>
      <c r="H38">
        <v>1</v>
      </c>
      <c r="I38">
        <v>0.5</v>
      </c>
      <c r="J38">
        <v>1</v>
      </c>
      <c r="K38">
        <v>1</v>
      </c>
      <c r="L38">
        <f t="shared" si="4"/>
        <v>2</v>
      </c>
      <c r="M38">
        <v>0</v>
      </c>
      <c r="N38">
        <v>0</v>
      </c>
      <c r="O38">
        <v>2</v>
      </c>
      <c r="P38" s="1">
        <f t="shared" si="5"/>
        <v>0</v>
      </c>
      <c r="Q38">
        <f t="shared" si="6"/>
        <v>2</v>
      </c>
      <c r="R38" s="1">
        <f t="shared" si="7"/>
        <v>0</v>
      </c>
    </row>
    <row r="39" spans="1:18" x14ac:dyDescent="0.3">
      <c r="A39" t="s">
        <v>3130</v>
      </c>
      <c r="B39" t="s">
        <v>3131</v>
      </c>
      <c r="C39" t="s">
        <v>35</v>
      </c>
      <c r="D39">
        <v>33</v>
      </c>
      <c r="E39">
        <v>0</v>
      </c>
      <c r="G39" s="1">
        <v>0</v>
      </c>
      <c r="H39">
        <v>4</v>
      </c>
      <c r="I39">
        <v>0.5</v>
      </c>
      <c r="J39">
        <v>1</v>
      </c>
      <c r="K39">
        <v>1</v>
      </c>
      <c r="L39">
        <f t="shared" si="4"/>
        <v>2</v>
      </c>
      <c r="M39">
        <v>0</v>
      </c>
      <c r="N39">
        <v>0</v>
      </c>
      <c r="O39">
        <v>2</v>
      </c>
      <c r="P39" s="1">
        <f t="shared" si="5"/>
        <v>0</v>
      </c>
      <c r="Q39">
        <f t="shared" si="6"/>
        <v>2</v>
      </c>
      <c r="R39" s="1">
        <f t="shared" si="7"/>
        <v>0</v>
      </c>
    </row>
    <row r="40" spans="1:18" x14ac:dyDescent="0.3">
      <c r="A40" t="s">
        <v>3132</v>
      </c>
      <c r="B40" t="s">
        <v>3133</v>
      </c>
      <c r="C40" t="s">
        <v>35</v>
      </c>
      <c r="D40">
        <v>27</v>
      </c>
      <c r="E40">
        <v>0</v>
      </c>
      <c r="G40" s="1">
        <v>0</v>
      </c>
      <c r="H40">
        <v>6</v>
      </c>
      <c r="I40">
        <v>0.5</v>
      </c>
      <c r="J40">
        <v>1</v>
      </c>
      <c r="K40">
        <v>1</v>
      </c>
      <c r="L40">
        <f t="shared" si="4"/>
        <v>2</v>
      </c>
      <c r="M40">
        <v>0</v>
      </c>
      <c r="N40">
        <v>0</v>
      </c>
      <c r="O40">
        <v>2</v>
      </c>
      <c r="P40" s="1">
        <f t="shared" si="5"/>
        <v>0</v>
      </c>
      <c r="Q40">
        <f t="shared" si="6"/>
        <v>2</v>
      </c>
      <c r="R40" s="1">
        <f t="shared" si="7"/>
        <v>0</v>
      </c>
    </row>
    <row r="41" spans="1:18" x14ac:dyDescent="0.3">
      <c r="A41" t="s">
        <v>3134</v>
      </c>
      <c r="B41" t="s">
        <v>3135</v>
      </c>
      <c r="C41" t="s">
        <v>35</v>
      </c>
      <c r="D41">
        <v>5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4"/>
        <v>2</v>
      </c>
      <c r="M41">
        <v>0</v>
      </c>
      <c r="N41">
        <v>0</v>
      </c>
      <c r="O41">
        <v>2</v>
      </c>
      <c r="P41" s="1">
        <f t="shared" si="5"/>
        <v>0</v>
      </c>
      <c r="Q41">
        <f t="shared" si="6"/>
        <v>2</v>
      </c>
      <c r="R41" s="1">
        <f t="shared" si="7"/>
        <v>0</v>
      </c>
    </row>
    <row r="42" spans="1:18" x14ac:dyDescent="0.3">
      <c r="A42" t="s">
        <v>3136</v>
      </c>
      <c r="B42" t="s">
        <v>3137</v>
      </c>
      <c r="C42" t="s">
        <v>35</v>
      </c>
      <c r="D42">
        <v>1</v>
      </c>
      <c r="E42">
        <v>0</v>
      </c>
      <c r="G42" s="1">
        <v>0</v>
      </c>
      <c r="H42">
        <v>0</v>
      </c>
      <c r="I42">
        <v>0.5</v>
      </c>
      <c r="J42">
        <v>1</v>
      </c>
      <c r="K42">
        <v>1</v>
      </c>
      <c r="L42">
        <f t="shared" si="4"/>
        <v>2</v>
      </c>
      <c r="M42">
        <v>0</v>
      </c>
      <c r="N42">
        <v>0</v>
      </c>
      <c r="O42">
        <v>2</v>
      </c>
      <c r="P42" s="1">
        <f t="shared" si="5"/>
        <v>0</v>
      </c>
      <c r="Q42">
        <f t="shared" si="6"/>
        <v>2</v>
      </c>
      <c r="R42" s="1">
        <f t="shared" si="7"/>
        <v>0</v>
      </c>
    </row>
    <row r="43" spans="1:18" x14ac:dyDescent="0.3">
      <c r="A43" t="s">
        <v>3138</v>
      </c>
      <c r="B43" t="s">
        <v>3139</v>
      </c>
      <c r="C43" t="s">
        <v>35</v>
      </c>
      <c r="D43">
        <v>18</v>
      </c>
      <c r="E43">
        <v>0</v>
      </c>
      <c r="G43" s="1">
        <v>0</v>
      </c>
      <c r="H43">
        <v>2</v>
      </c>
      <c r="I43">
        <v>0.5</v>
      </c>
      <c r="J43">
        <v>1</v>
      </c>
      <c r="K43">
        <v>1</v>
      </c>
      <c r="L43">
        <f t="shared" si="4"/>
        <v>2</v>
      </c>
      <c r="M43">
        <v>0</v>
      </c>
      <c r="N43">
        <v>0</v>
      </c>
      <c r="O43">
        <v>2</v>
      </c>
      <c r="P43" s="1">
        <f t="shared" si="5"/>
        <v>0</v>
      </c>
      <c r="Q43">
        <f t="shared" si="6"/>
        <v>2</v>
      </c>
      <c r="R43" s="1">
        <f t="shared" si="7"/>
        <v>0</v>
      </c>
    </row>
    <row r="44" spans="1:18" x14ac:dyDescent="0.3">
      <c r="A44" t="s">
        <v>3140</v>
      </c>
      <c r="B44" t="s">
        <v>3141</v>
      </c>
      <c r="C44" t="s">
        <v>35</v>
      </c>
      <c r="D44">
        <v>14</v>
      </c>
      <c r="E44">
        <v>0</v>
      </c>
      <c r="G44" s="1">
        <v>0</v>
      </c>
      <c r="H44">
        <v>4</v>
      </c>
      <c r="I44">
        <v>0.5</v>
      </c>
      <c r="J44">
        <v>1</v>
      </c>
      <c r="K44">
        <v>1</v>
      </c>
      <c r="L44">
        <f t="shared" si="4"/>
        <v>2</v>
      </c>
      <c r="M44">
        <v>0</v>
      </c>
      <c r="N44">
        <v>0</v>
      </c>
      <c r="O44">
        <v>2</v>
      </c>
      <c r="P44" s="1">
        <f t="shared" si="5"/>
        <v>0</v>
      </c>
      <c r="Q44">
        <f t="shared" si="6"/>
        <v>2</v>
      </c>
      <c r="R44" s="1">
        <f t="shared" si="7"/>
        <v>0</v>
      </c>
    </row>
    <row r="45" spans="1:18" x14ac:dyDescent="0.3">
      <c r="A45" t="s">
        <v>3142</v>
      </c>
      <c r="B45" t="s">
        <v>3143</v>
      </c>
      <c r="C45" t="s">
        <v>35</v>
      </c>
      <c r="D45">
        <v>14</v>
      </c>
      <c r="E45">
        <v>0</v>
      </c>
      <c r="G45" s="1">
        <v>0</v>
      </c>
      <c r="H45">
        <v>3</v>
      </c>
      <c r="I45">
        <v>0.5</v>
      </c>
      <c r="J45">
        <v>1</v>
      </c>
      <c r="K45">
        <v>1</v>
      </c>
      <c r="L45">
        <f t="shared" si="4"/>
        <v>2</v>
      </c>
      <c r="M45">
        <v>0</v>
      </c>
      <c r="N45">
        <v>0</v>
      </c>
      <c r="O45">
        <v>2</v>
      </c>
      <c r="P45" s="1">
        <f t="shared" si="5"/>
        <v>0</v>
      </c>
      <c r="Q45">
        <f t="shared" si="6"/>
        <v>2</v>
      </c>
      <c r="R45" s="1">
        <f t="shared" si="7"/>
        <v>0</v>
      </c>
    </row>
    <row r="46" spans="1:18" x14ac:dyDescent="0.3">
      <c r="A46" t="s">
        <v>3144</v>
      </c>
      <c r="B46" t="s">
        <v>3145</v>
      </c>
      <c r="C46" t="s">
        <v>35</v>
      </c>
      <c r="D46">
        <v>24</v>
      </c>
      <c r="E46">
        <v>60</v>
      </c>
      <c r="F46" t="s">
        <v>3082</v>
      </c>
      <c r="G46" s="1">
        <v>623.03</v>
      </c>
      <c r="H46">
        <v>108</v>
      </c>
      <c r="I46">
        <v>0.7</v>
      </c>
      <c r="J46">
        <v>4.5</v>
      </c>
      <c r="K46">
        <v>3</v>
      </c>
      <c r="L46">
        <f t="shared" si="4"/>
        <v>7</v>
      </c>
      <c r="M46">
        <v>0</v>
      </c>
      <c r="N46">
        <v>0</v>
      </c>
      <c r="O46">
        <v>12</v>
      </c>
      <c r="P46" s="1">
        <f t="shared" si="5"/>
        <v>0</v>
      </c>
      <c r="Q46">
        <f t="shared" si="6"/>
        <v>12</v>
      </c>
      <c r="R46" s="1">
        <f t="shared" si="7"/>
        <v>7476.36</v>
      </c>
    </row>
    <row r="47" spans="1:18" x14ac:dyDescent="0.3">
      <c r="A47" t="s">
        <v>3146</v>
      </c>
      <c r="B47" t="s">
        <v>3147</v>
      </c>
      <c r="C47" t="s">
        <v>35</v>
      </c>
      <c r="D47">
        <v>6</v>
      </c>
      <c r="E47">
        <v>18</v>
      </c>
      <c r="F47" t="s">
        <v>3082</v>
      </c>
      <c r="G47" s="1">
        <v>788.55</v>
      </c>
      <c r="H47">
        <v>0</v>
      </c>
      <c r="I47">
        <v>0.5</v>
      </c>
      <c r="J47">
        <v>3</v>
      </c>
      <c r="K47">
        <v>2</v>
      </c>
      <c r="L47">
        <f t="shared" si="4"/>
        <v>4</v>
      </c>
      <c r="M47">
        <v>0</v>
      </c>
      <c r="N47">
        <v>0</v>
      </c>
      <c r="O47">
        <v>8</v>
      </c>
      <c r="P47" s="1">
        <f t="shared" si="5"/>
        <v>0</v>
      </c>
      <c r="Q47">
        <f t="shared" si="6"/>
        <v>8</v>
      </c>
      <c r="R47" s="1">
        <f t="shared" si="7"/>
        <v>6308.4</v>
      </c>
    </row>
    <row r="48" spans="1:18" x14ac:dyDescent="0.3">
      <c r="A48" t="s">
        <v>3148</v>
      </c>
      <c r="B48" t="s">
        <v>3149</v>
      </c>
      <c r="C48" t="s">
        <v>35</v>
      </c>
      <c r="D48">
        <v>18</v>
      </c>
      <c r="E48">
        <v>0</v>
      </c>
      <c r="G48" s="1">
        <v>0</v>
      </c>
      <c r="H48">
        <v>1</v>
      </c>
      <c r="I48">
        <v>0.5</v>
      </c>
      <c r="J48">
        <v>1</v>
      </c>
      <c r="K48">
        <v>1</v>
      </c>
      <c r="L48">
        <f t="shared" si="4"/>
        <v>2</v>
      </c>
      <c r="M48">
        <v>0</v>
      </c>
      <c r="N48">
        <v>0</v>
      </c>
      <c r="O48">
        <v>2</v>
      </c>
      <c r="P48" s="1">
        <f t="shared" si="5"/>
        <v>0</v>
      </c>
      <c r="Q48">
        <f t="shared" si="6"/>
        <v>2</v>
      </c>
      <c r="R48" s="1">
        <f t="shared" si="7"/>
        <v>0</v>
      </c>
    </row>
    <row r="49" spans="1:18" x14ac:dyDescent="0.3">
      <c r="A49" t="s">
        <v>3150</v>
      </c>
      <c r="B49" t="s">
        <v>3151</v>
      </c>
      <c r="C49" t="s">
        <v>35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4"/>
        <v>2</v>
      </c>
      <c r="M49">
        <v>0</v>
      </c>
      <c r="N49">
        <v>0</v>
      </c>
      <c r="O49">
        <v>2</v>
      </c>
      <c r="P49" s="1">
        <f t="shared" si="5"/>
        <v>0</v>
      </c>
      <c r="Q49">
        <f t="shared" si="6"/>
        <v>2</v>
      </c>
      <c r="R49" s="1">
        <f t="shared" si="7"/>
        <v>0</v>
      </c>
    </row>
    <row r="50" spans="1:18" x14ac:dyDescent="0.3">
      <c r="A50" t="s">
        <v>3152</v>
      </c>
      <c r="B50" t="s">
        <v>3153</v>
      </c>
      <c r="C50" t="s">
        <v>35</v>
      </c>
      <c r="D50">
        <v>15</v>
      </c>
      <c r="E50">
        <v>0</v>
      </c>
      <c r="G50" s="1">
        <v>0</v>
      </c>
      <c r="H50">
        <v>4</v>
      </c>
      <c r="I50">
        <v>0.5</v>
      </c>
      <c r="J50">
        <v>1</v>
      </c>
      <c r="K50">
        <v>1</v>
      </c>
      <c r="L50">
        <f t="shared" si="4"/>
        <v>2</v>
      </c>
      <c r="M50">
        <v>0</v>
      </c>
      <c r="N50">
        <v>0</v>
      </c>
      <c r="O50">
        <v>2</v>
      </c>
      <c r="P50" s="1">
        <f t="shared" si="5"/>
        <v>0</v>
      </c>
      <c r="Q50">
        <f t="shared" si="6"/>
        <v>2</v>
      </c>
      <c r="R50" s="1">
        <f t="shared" si="7"/>
        <v>0</v>
      </c>
    </row>
    <row r="51" spans="1:18" x14ac:dyDescent="0.3">
      <c r="A51" t="s">
        <v>3154</v>
      </c>
      <c r="B51" t="s">
        <v>3155</v>
      </c>
      <c r="C51" t="s">
        <v>35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4"/>
        <v>2</v>
      </c>
      <c r="M51">
        <v>0</v>
      </c>
      <c r="N51">
        <v>0</v>
      </c>
      <c r="O51">
        <v>2</v>
      </c>
      <c r="P51" s="1">
        <f t="shared" si="5"/>
        <v>0</v>
      </c>
      <c r="Q51">
        <f t="shared" si="6"/>
        <v>2</v>
      </c>
      <c r="R51" s="1">
        <f t="shared" si="7"/>
        <v>0</v>
      </c>
    </row>
    <row r="52" spans="1:18" x14ac:dyDescent="0.3">
      <c r="A52" t="s">
        <v>3156</v>
      </c>
      <c r="B52" t="s">
        <v>3157</v>
      </c>
      <c r="C52" t="s">
        <v>35</v>
      </c>
      <c r="D52">
        <v>8</v>
      </c>
      <c r="E52">
        <v>0</v>
      </c>
      <c r="G52" s="1">
        <v>0</v>
      </c>
      <c r="H52">
        <v>1</v>
      </c>
      <c r="I52">
        <v>0.5</v>
      </c>
      <c r="J52">
        <v>1</v>
      </c>
      <c r="K52">
        <v>1</v>
      </c>
      <c r="L52">
        <f t="shared" si="4"/>
        <v>2</v>
      </c>
      <c r="M52">
        <v>0</v>
      </c>
      <c r="N52">
        <v>0</v>
      </c>
      <c r="O52">
        <v>2</v>
      </c>
      <c r="P52" s="1">
        <f t="shared" si="5"/>
        <v>0</v>
      </c>
      <c r="Q52">
        <f t="shared" si="6"/>
        <v>2</v>
      </c>
      <c r="R52" s="1">
        <f t="shared" si="7"/>
        <v>0</v>
      </c>
    </row>
    <row r="53" spans="1:18" x14ac:dyDescent="0.3">
      <c r="A53" t="s">
        <v>3158</v>
      </c>
      <c r="B53" t="s">
        <v>3159</v>
      </c>
      <c r="C53" t="s">
        <v>35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4"/>
        <v>2</v>
      </c>
      <c r="M53">
        <v>0</v>
      </c>
      <c r="N53">
        <v>0</v>
      </c>
      <c r="O53">
        <v>2</v>
      </c>
      <c r="P53" s="1">
        <f t="shared" si="5"/>
        <v>0</v>
      </c>
      <c r="Q53">
        <f t="shared" si="6"/>
        <v>2</v>
      </c>
      <c r="R53" s="1">
        <f t="shared" si="7"/>
        <v>0</v>
      </c>
    </row>
    <row r="54" spans="1:18" x14ac:dyDescent="0.3">
      <c r="A54" t="s">
        <v>3160</v>
      </c>
      <c r="B54" t="s">
        <v>3161</v>
      </c>
      <c r="C54" t="s">
        <v>35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4"/>
        <v>2</v>
      </c>
      <c r="M54">
        <v>0</v>
      </c>
      <c r="N54">
        <v>0</v>
      </c>
      <c r="O54">
        <v>2</v>
      </c>
      <c r="P54" s="1">
        <f t="shared" si="5"/>
        <v>0</v>
      </c>
      <c r="Q54">
        <f t="shared" si="6"/>
        <v>2</v>
      </c>
      <c r="R54" s="1">
        <f t="shared" si="7"/>
        <v>0</v>
      </c>
    </row>
    <row r="55" spans="1:18" x14ac:dyDescent="0.3">
      <c r="A55" t="s">
        <v>3162</v>
      </c>
      <c r="B55" t="s">
        <v>3163</v>
      </c>
      <c r="C55" t="s">
        <v>35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4"/>
        <v>2</v>
      </c>
      <c r="M55">
        <v>0</v>
      </c>
      <c r="N55">
        <v>0</v>
      </c>
      <c r="O55">
        <v>2</v>
      </c>
      <c r="P55" s="1">
        <f t="shared" si="5"/>
        <v>0</v>
      </c>
      <c r="Q55">
        <f t="shared" si="6"/>
        <v>2</v>
      </c>
      <c r="R55" s="1">
        <f t="shared" si="7"/>
        <v>0</v>
      </c>
    </row>
    <row r="56" spans="1:18" x14ac:dyDescent="0.3">
      <c r="A56" t="s">
        <v>3164</v>
      </c>
      <c r="B56" t="s">
        <v>3165</v>
      </c>
      <c r="C56" t="s">
        <v>35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4"/>
        <v>2</v>
      </c>
      <c r="M56">
        <v>0</v>
      </c>
      <c r="N56">
        <v>0</v>
      </c>
      <c r="O56">
        <v>2</v>
      </c>
      <c r="P56" s="1">
        <f t="shared" si="5"/>
        <v>0</v>
      </c>
      <c r="Q56">
        <f t="shared" si="6"/>
        <v>2</v>
      </c>
      <c r="R56" s="1">
        <f t="shared" si="7"/>
        <v>0</v>
      </c>
    </row>
    <row r="57" spans="1:18" x14ac:dyDescent="0.3">
      <c r="A57" t="s">
        <v>3166</v>
      </c>
      <c r="B57" t="s">
        <v>3167</v>
      </c>
      <c r="C57" t="s">
        <v>35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4"/>
        <v>2</v>
      </c>
      <c r="M57">
        <v>0</v>
      </c>
      <c r="N57">
        <v>0</v>
      </c>
      <c r="O57">
        <v>2</v>
      </c>
      <c r="P57" s="1">
        <f t="shared" si="5"/>
        <v>0</v>
      </c>
      <c r="Q57">
        <f t="shared" si="6"/>
        <v>2</v>
      </c>
      <c r="R57" s="1">
        <f t="shared" si="7"/>
        <v>0</v>
      </c>
    </row>
    <row r="58" spans="1:18" x14ac:dyDescent="0.3">
      <c r="A58" t="s">
        <v>3168</v>
      </c>
      <c r="B58" t="s">
        <v>3169</v>
      </c>
      <c r="C58" t="s">
        <v>35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4"/>
        <v>2</v>
      </c>
      <c r="M58">
        <v>0</v>
      </c>
      <c r="N58">
        <v>0</v>
      </c>
      <c r="O58">
        <v>2</v>
      </c>
      <c r="P58" s="1">
        <f t="shared" si="5"/>
        <v>0</v>
      </c>
      <c r="Q58">
        <f t="shared" si="6"/>
        <v>2</v>
      </c>
      <c r="R58" s="1">
        <f t="shared" si="7"/>
        <v>0</v>
      </c>
    </row>
    <row r="59" spans="1:18" x14ac:dyDescent="0.3">
      <c r="A59" t="s">
        <v>3170</v>
      </c>
      <c r="B59" t="s">
        <v>3171</v>
      </c>
      <c r="C59" t="s">
        <v>35</v>
      </c>
      <c r="D59">
        <v>1</v>
      </c>
      <c r="E59">
        <v>0</v>
      </c>
      <c r="G59" s="1">
        <v>0</v>
      </c>
      <c r="H59">
        <v>0</v>
      </c>
      <c r="I59">
        <v>0.5</v>
      </c>
      <c r="J59">
        <v>1</v>
      </c>
      <c r="K59">
        <v>1</v>
      </c>
      <c r="L59">
        <f t="shared" si="4"/>
        <v>2</v>
      </c>
      <c r="M59">
        <v>0</v>
      </c>
      <c r="N59">
        <v>0</v>
      </c>
      <c r="O59">
        <v>2</v>
      </c>
      <c r="P59" s="1">
        <f t="shared" si="5"/>
        <v>0</v>
      </c>
      <c r="Q59">
        <f t="shared" si="6"/>
        <v>2</v>
      </c>
      <c r="R59" s="1">
        <f t="shared" si="7"/>
        <v>0</v>
      </c>
    </row>
    <row r="60" spans="1:18" x14ac:dyDescent="0.3">
      <c r="A60" t="s">
        <v>3172</v>
      </c>
      <c r="B60" t="s">
        <v>3173</v>
      </c>
      <c r="C60" t="s">
        <v>35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4"/>
        <v>2</v>
      </c>
      <c r="M60">
        <v>0</v>
      </c>
      <c r="N60">
        <v>0</v>
      </c>
      <c r="O60">
        <v>2</v>
      </c>
      <c r="P60" s="1">
        <f t="shared" si="5"/>
        <v>0</v>
      </c>
      <c r="Q60">
        <f t="shared" si="6"/>
        <v>2</v>
      </c>
      <c r="R60" s="1">
        <f t="shared" si="7"/>
        <v>0</v>
      </c>
    </row>
    <row r="61" spans="1:18" x14ac:dyDescent="0.3">
      <c r="A61" t="s">
        <v>3174</v>
      </c>
      <c r="B61" t="s">
        <v>3175</v>
      </c>
      <c r="C61" t="s">
        <v>35</v>
      </c>
      <c r="D61">
        <v>33</v>
      </c>
      <c r="E61">
        <v>1</v>
      </c>
      <c r="F61" t="s">
        <v>3082</v>
      </c>
      <c r="G61" s="1">
        <v>1500.14</v>
      </c>
      <c r="H61">
        <v>2</v>
      </c>
      <c r="I61">
        <v>1.5</v>
      </c>
      <c r="J61">
        <v>1</v>
      </c>
      <c r="K61">
        <v>2</v>
      </c>
      <c r="L61">
        <f t="shared" si="4"/>
        <v>4</v>
      </c>
      <c r="M61">
        <v>0</v>
      </c>
      <c r="N61">
        <v>0</v>
      </c>
      <c r="O61">
        <v>4</v>
      </c>
      <c r="P61" s="1">
        <f t="shared" si="5"/>
        <v>0</v>
      </c>
      <c r="Q61">
        <f t="shared" si="6"/>
        <v>4</v>
      </c>
      <c r="R61" s="1">
        <f t="shared" si="7"/>
        <v>6000.56</v>
      </c>
    </row>
    <row r="62" spans="1:18" x14ac:dyDescent="0.3">
      <c r="A62" t="s">
        <v>3176</v>
      </c>
      <c r="B62" t="s">
        <v>3177</v>
      </c>
      <c r="C62" t="s">
        <v>35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4"/>
        <v>2</v>
      </c>
      <c r="M62">
        <v>0</v>
      </c>
      <c r="N62">
        <v>0</v>
      </c>
      <c r="O62">
        <v>2</v>
      </c>
      <c r="P62" s="1">
        <f t="shared" si="5"/>
        <v>0</v>
      </c>
      <c r="Q62">
        <f t="shared" si="6"/>
        <v>2</v>
      </c>
      <c r="R62" s="1">
        <f t="shared" si="7"/>
        <v>0</v>
      </c>
    </row>
    <row r="63" spans="1:18" x14ac:dyDescent="0.3">
      <c r="A63" t="s">
        <v>3178</v>
      </c>
      <c r="B63" t="s">
        <v>3179</v>
      </c>
      <c r="C63" t="s">
        <v>35</v>
      </c>
      <c r="D63">
        <v>1</v>
      </c>
      <c r="E63">
        <v>1</v>
      </c>
      <c r="F63" t="s">
        <v>3082</v>
      </c>
      <c r="G63" s="1">
        <v>1932.21</v>
      </c>
      <c r="H63">
        <v>1</v>
      </c>
      <c r="I63">
        <v>1.4</v>
      </c>
      <c r="J63">
        <v>1</v>
      </c>
      <c r="K63">
        <v>1</v>
      </c>
      <c r="L63">
        <f t="shared" si="4"/>
        <v>3</v>
      </c>
      <c r="M63">
        <v>0</v>
      </c>
      <c r="N63">
        <v>0</v>
      </c>
      <c r="O63">
        <v>3</v>
      </c>
      <c r="P63" s="1">
        <f t="shared" si="5"/>
        <v>0</v>
      </c>
      <c r="Q63">
        <f t="shared" si="6"/>
        <v>3</v>
      </c>
      <c r="R63" s="1">
        <f t="shared" si="7"/>
        <v>5796.63</v>
      </c>
    </row>
    <row r="64" spans="1:18" x14ac:dyDescent="0.3">
      <c r="A64" t="s">
        <v>3180</v>
      </c>
      <c r="B64" t="s">
        <v>3181</v>
      </c>
      <c r="C64" t="s">
        <v>35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4"/>
        <v>2</v>
      </c>
      <c r="M64">
        <v>0</v>
      </c>
      <c r="N64">
        <v>0</v>
      </c>
      <c r="O64">
        <v>2</v>
      </c>
      <c r="P64" s="1">
        <f t="shared" si="5"/>
        <v>0</v>
      </c>
      <c r="Q64">
        <f t="shared" si="6"/>
        <v>2</v>
      </c>
      <c r="R64" s="1">
        <f t="shared" si="7"/>
        <v>0</v>
      </c>
    </row>
    <row r="65" spans="1:18" x14ac:dyDescent="0.3">
      <c r="A65" t="s">
        <v>3182</v>
      </c>
      <c r="B65" t="s">
        <v>3183</v>
      </c>
      <c r="C65" t="s">
        <v>35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4"/>
        <v>2</v>
      </c>
      <c r="M65">
        <v>0</v>
      </c>
      <c r="N65">
        <v>0</v>
      </c>
      <c r="O65">
        <v>2</v>
      </c>
      <c r="P65" s="1">
        <f t="shared" si="5"/>
        <v>0</v>
      </c>
      <c r="Q65">
        <f t="shared" si="6"/>
        <v>2</v>
      </c>
      <c r="R65" s="1">
        <f t="shared" si="7"/>
        <v>0</v>
      </c>
    </row>
    <row r="66" spans="1:18" x14ac:dyDescent="0.3">
      <c r="A66" t="s">
        <v>3184</v>
      </c>
      <c r="B66" t="s">
        <v>3185</v>
      </c>
      <c r="C66" t="s">
        <v>35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97" si="8">ROUNDUP((J66*I66)+K66,0)</f>
        <v>2</v>
      </c>
      <c r="M66">
        <v>0</v>
      </c>
      <c r="N66">
        <v>0</v>
      </c>
      <c r="O66">
        <v>2</v>
      </c>
      <c r="P66" s="1">
        <f t="shared" ref="P66:P97" si="9">IFERROR(M66*G66,0)</f>
        <v>0</v>
      </c>
      <c r="Q66">
        <f t="shared" ref="Q66:Q97" si="10">IF(O66-M66-N66&gt;0,O66-M66-N66,0)</f>
        <v>2</v>
      </c>
      <c r="R66" s="1">
        <f t="shared" ref="R66:R97" si="11">IFERROR(Q66*G66,0)</f>
        <v>0</v>
      </c>
    </row>
    <row r="67" spans="1:18" x14ac:dyDescent="0.3">
      <c r="A67" t="s">
        <v>3186</v>
      </c>
      <c r="B67" t="s">
        <v>3187</v>
      </c>
      <c r="C67" t="s">
        <v>35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8"/>
        <v>2</v>
      </c>
      <c r="M67">
        <v>0</v>
      </c>
      <c r="N67">
        <v>0</v>
      </c>
      <c r="O67">
        <v>2</v>
      </c>
      <c r="P67" s="1">
        <f t="shared" si="9"/>
        <v>0</v>
      </c>
      <c r="Q67">
        <f t="shared" si="10"/>
        <v>2</v>
      </c>
      <c r="R67" s="1">
        <f t="shared" si="11"/>
        <v>0</v>
      </c>
    </row>
    <row r="68" spans="1:18" x14ac:dyDescent="0.3">
      <c r="A68" t="s">
        <v>3188</v>
      </c>
      <c r="B68" t="s">
        <v>3189</v>
      </c>
      <c r="C68" t="s">
        <v>35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8"/>
        <v>2</v>
      </c>
      <c r="M68">
        <v>0</v>
      </c>
      <c r="N68">
        <v>0</v>
      </c>
      <c r="O68">
        <v>2</v>
      </c>
      <c r="P68" s="1">
        <f t="shared" si="9"/>
        <v>0</v>
      </c>
      <c r="Q68">
        <f t="shared" si="10"/>
        <v>2</v>
      </c>
      <c r="R68" s="1">
        <f t="shared" si="11"/>
        <v>0</v>
      </c>
    </row>
    <row r="69" spans="1:18" x14ac:dyDescent="0.3">
      <c r="A69" t="s">
        <v>3190</v>
      </c>
      <c r="B69" t="s">
        <v>3191</v>
      </c>
      <c r="C69" t="s">
        <v>35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8"/>
        <v>2</v>
      </c>
      <c r="M69">
        <v>0</v>
      </c>
      <c r="N69">
        <v>0</v>
      </c>
      <c r="O69">
        <v>2</v>
      </c>
      <c r="P69" s="1">
        <f t="shared" si="9"/>
        <v>0</v>
      </c>
      <c r="Q69">
        <f t="shared" si="10"/>
        <v>2</v>
      </c>
      <c r="R69" s="1">
        <f t="shared" si="11"/>
        <v>0</v>
      </c>
    </row>
    <row r="70" spans="1:18" x14ac:dyDescent="0.3">
      <c r="A70" t="s">
        <v>3192</v>
      </c>
      <c r="B70" t="s">
        <v>3193</v>
      </c>
      <c r="C70" t="s">
        <v>35</v>
      </c>
      <c r="D70">
        <v>31</v>
      </c>
      <c r="E70">
        <v>30</v>
      </c>
      <c r="F70" t="s">
        <v>3082</v>
      </c>
      <c r="G70" s="1">
        <v>2151.5100000000002</v>
      </c>
      <c r="H70">
        <v>41</v>
      </c>
      <c r="I70">
        <v>1.3</v>
      </c>
      <c r="J70">
        <v>1.5</v>
      </c>
      <c r="K70">
        <v>2</v>
      </c>
      <c r="L70">
        <f t="shared" si="8"/>
        <v>4</v>
      </c>
      <c r="M70">
        <v>0</v>
      </c>
      <c r="N70">
        <v>0</v>
      </c>
      <c r="O70">
        <v>5</v>
      </c>
      <c r="P70" s="1">
        <f t="shared" si="9"/>
        <v>0</v>
      </c>
      <c r="Q70">
        <f t="shared" si="10"/>
        <v>5</v>
      </c>
      <c r="R70" s="1">
        <f t="shared" si="11"/>
        <v>10757.550000000001</v>
      </c>
    </row>
    <row r="71" spans="1:18" x14ac:dyDescent="0.3">
      <c r="A71" t="s">
        <v>3194</v>
      </c>
      <c r="B71" t="s">
        <v>3195</v>
      </c>
      <c r="C71" t="s">
        <v>35</v>
      </c>
      <c r="D71">
        <v>25</v>
      </c>
      <c r="E71">
        <v>0</v>
      </c>
      <c r="G71" s="1">
        <v>0</v>
      </c>
      <c r="H71">
        <v>3</v>
      </c>
      <c r="I71">
        <v>0.5</v>
      </c>
      <c r="J71">
        <v>1</v>
      </c>
      <c r="K71">
        <v>1</v>
      </c>
      <c r="L71">
        <f t="shared" si="8"/>
        <v>2</v>
      </c>
      <c r="M71">
        <v>0</v>
      </c>
      <c r="N71">
        <v>0</v>
      </c>
      <c r="O71">
        <v>2</v>
      </c>
      <c r="P71" s="1">
        <f t="shared" si="9"/>
        <v>0</v>
      </c>
      <c r="Q71">
        <f t="shared" si="10"/>
        <v>2</v>
      </c>
      <c r="R71" s="1">
        <f t="shared" si="11"/>
        <v>0</v>
      </c>
    </row>
    <row r="72" spans="1:18" x14ac:dyDescent="0.3">
      <c r="A72" t="s">
        <v>3196</v>
      </c>
      <c r="B72" t="s">
        <v>3197</v>
      </c>
      <c r="C72" t="s">
        <v>35</v>
      </c>
      <c r="D72">
        <v>26</v>
      </c>
      <c r="E72">
        <v>0</v>
      </c>
      <c r="G72" s="1">
        <v>0</v>
      </c>
      <c r="H72">
        <v>13</v>
      </c>
      <c r="I72">
        <v>0.5</v>
      </c>
      <c r="J72">
        <v>1</v>
      </c>
      <c r="K72">
        <v>1</v>
      </c>
      <c r="L72">
        <f t="shared" si="8"/>
        <v>2</v>
      </c>
      <c r="M72">
        <v>0</v>
      </c>
      <c r="N72">
        <v>0</v>
      </c>
      <c r="O72">
        <v>2</v>
      </c>
      <c r="P72" s="1">
        <f t="shared" si="9"/>
        <v>0</v>
      </c>
      <c r="Q72">
        <f t="shared" si="10"/>
        <v>2</v>
      </c>
      <c r="R72" s="1">
        <f t="shared" si="11"/>
        <v>0</v>
      </c>
    </row>
    <row r="73" spans="1:18" x14ac:dyDescent="0.3">
      <c r="A73" t="s">
        <v>3198</v>
      </c>
      <c r="B73" t="s">
        <v>3199</v>
      </c>
      <c r="C73" t="s">
        <v>35</v>
      </c>
      <c r="D73">
        <v>21</v>
      </c>
      <c r="E73">
        <v>0</v>
      </c>
      <c r="G73" s="1">
        <v>0</v>
      </c>
      <c r="H73">
        <v>6</v>
      </c>
      <c r="I73">
        <v>0.5</v>
      </c>
      <c r="J73">
        <v>1</v>
      </c>
      <c r="K73">
        <v>1</v>
      </c>
      <c r="L73">
        <f t="shared" si="8"/>
        <v>2</v>
      </c>
      <c r="M73">
        <v>0</v>
      </c>
      <c r="N73">
        <v>0</v>
      </c>
      <c r="O73">
        <v>2</v>
      </c>
      <c r="P73" s="1">
        <f t="shared" si="9"/>
        <v>0</v>
      </c>
      <c r="Q73">
        <f t="shared" si="10"/>
        <v>2</v>
      </c>
      <c r="R73" s="1">
        <f t="shared" si="11"/>
        <v>0</v>
      </c>
    </row>
    <row r="74" spans="1:18" x14ac:dyDescent="0.3">
      <c r="A74" t="s">
        <v>3200</v>
      </c>
      <c r="B74" t="s">
        <v>3201</v>
      </c>
      <c r="C74" t="s">
        <v>35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8"/>
        <v>2</v>
      </c>
      <c r="M74">
        <v>0</v>
      </c>
      <c r="N74">
        <v>0</v>
      </c>
      <c r="O74">
        <v>2</v>
      </c>
      <c r="P74" s="1">
        <f t="shared" si="9"/>
        <v>0</v>
      </c>
      <c r="Q74">
        <f t="shared" si="10"/>
        <v>2</v>
      </c>
      <c r="R74" s="1">
        <f t="shared" si="11"/>
        <v>0</v>
      </c>
    </row>
    <row r="75" spans="1:18" x14ac:dyDescent="0.3">
      <c r="A75" t="s">
        <v>3202</v>
      </c>
      <c r="B75" t="s">
        <v>3203</v>
      </c>
      <c r="C75" t="s">
        <v>35</v>
      </c>
      <c r="D75">
        <v>30</v>
      </c>
      <c r="E75">
        <v>80</v>
      </c>
      <c r="F75" t="s">
        <v>3082</v>
      </c>
      <c r="G75" s="1">
        <v>1730.79</v>
      </c>
      <c r="H75">
        <v>86</v>
      </c>
      <c r="I75">
        <v>1.2</v>
      </c>
      <c r="J75">
        <v>3</v>
      </c>
      <c r="K75">
        <v>4</v>
      </c>
      <c r="L75">
        <f t="shared" si="8"/>
        <v>8</v>
      </c>
      <c r="M75">
        <v>0</v>
      </c>
      <c r="N75">
        <v>0</v>
      </c>
      <c r="O75">
        <v>10</v>
      </c>
      <c r="P75" s="1">
        <f t="shared" si="9"/>
        <v>0</v>
      </c>
      <c r="Q75">
        <f t="shared" si="10"/>
        <v>10</v>
      </c>
      <c r="R75" s="1">
        <f t="shared" si="11"/>
        <v>17307.900000000001</v>
      </c>
    </row>
    <row r="76" spans="1:18" x14ac:dyDescent="0.3">
      <c r="A76" t="s">
        <v>3204</v>
      </c>
      <c r="B76" t="s">
        <v>3205</v>
      </c>
      <c r="C76" t="s">
        <v>35</v>
      </c>
      <c r="D76">
        <v>32</v>
      </c>
      <c r="E76">
        <v>0</v>
      </c>
      <c r="G76" s="1">
        <v>0</v>
      </c>
      <c r="H76">
        <v>27</v>
      </c>
      <c r="I76">
        <v>0.5</v>
      </c>
      <c r="J76">
        <v>1</v>
      </c>
      <c r="K76">
        <v>1</v>
      </c>
      <c r="L76">
        <f t="shared" si="8"/>
        <v>2</v>
      </c>
      <c r="M76">
        <v>0</v>
      </c>
      <c r="N76">
        <v>0</v>
      </c>
      <c r="O76">
        <v>2</v>
      </c>
      <c r="P76" s="1">
        <f t="shared" si="9"/>
        <v>0</v>
      </c>
      <c r="Q76">
        <f t="shared" si="10"/>
        <v>2</v>
      </c>
      <c r="R76" s="1">
        <f t="shared" si="11"/>
        <v>0</v>
      </c>
    </row>
    <row r="77" spans="1:18" x14ac:dyDescent="0.3">
      <c r="A77" t="s">
        <v>3206</v>
      </c>
      <c r="B77" t="s">
        <v>3207</v>
      </c>
      <c r="C77" t="s">
        <v>35</v>
      </c>
      <c r="D77">
        <v>32</v>
      </c>
      <c r="E77">
        <v>0</v>
      </c>
      <c r="G77" s="1">
        <v>0</v>
      </c>
      <c r="H77">
        <v>8</v>
      </c>
      <c r="I77">
        <v>0.5</v>
      </c>
      <c r="J77">
        <v>1</v>
      </c>
      <c r="K77">
        <v>1</v>
      </c>
      <c r="L77">
        <f t="shared" si="8"/>
        <v>2</v>
      </c>
      <c r="M77">
        <v>0</v>
      </c>
      <c r="N77">
        <v>0</v>
      </c>
      <c r="O77">
        <v>2</v>
      </c>
      <c r="P77" s="1">
        <f t="shared" si="9"/>
        <v>0</v>
      </c>
      <c r="Q77">
        <f t="shared" si="10"/>
        <v>2</v>
      </c>
      <c r="R77" s="1">
        <f t="shared" si="11"/>
        <v>0</v>
      </c>
    </row>
    <row r="78" spans="1:18" x14ac:dyDescent="0.3">
      <c r="A78" t="s">
        <v>3208</v>
      </c>
      <c r="B78" t="s">
        <v>3209</v>
      </c>
      <c r="C78" t="s">
        <v>35</v>
      </c>
      <c r="D78">
        <v>22</v>
      </c>
      <c r="E78">
        <v>41</v>
      </c>
      <c r="F78" t="s">
        <v>3082</v>
      </c>
      <c r="G78" s="1">
        <v>1804.1</v>
      </c>
      <c r="H78">
        <v>41</v>
      </c>
      <c r="I78">
        <v>1.3</v>
      </c>
      <c r="J78">
        <v>2</v>
      </c>
      <c r="K78">
        <v>3</v>
      </c>
      <c r="L78">
        <f t="shared" si="8"/>
        <v>6</v>
      </c>
      <c r="M78">
        <v>0</v>
      </c>
      <c r="N78">
        <v>0</v>
      </c>
      <c r="O78">
        <v>7</v>
      </c>
      <c r="P78" s="1">
        <f t="shared" si="9"/>
        <v>0</v>
      </c>
      <c r="Q78">
        <f t="shared" si="10"/>
        <v>7</v>
      </c>
      <c r="R78" s="1">
        <f t="shared" si="11"/>
        <v>12628.699999999999</v>
      </c>
    </row>
    <row r="79" spans="1:18" x14ac:dyDescent="0.3">
      <c r="A79" t="s">
        <v>3210</v>
      </c>
      <c r="B79" t="s">
        <v>3211</v>
      </c>
      <c r="C79" t="s">
        <v>35</v>
      </c>
      <c r="D79">
        <v>13</v>
      </c>
      <c r="E79">
        <v>0</v>
      </c>
      <c r="G79" s="1">
        <v>0</v>
      </c>
      <c r="H79">
        <v>9</v>
      </c>
      <c r="I79">
        <v>0.5</v>
      </c>
      <c r="J79">
        <v>1</v>
      </c>
      <c r="K79">
        <v>1</v>
      </c>
      <c r="L79">
        <f t="shared" si="8"/>
        <v>2</v>
      </c>
      <c r="M79">
        <v>0</v>
      </c>
      <c r="N79">
        <v>0</v>
      </c>
      <c r="O79">
        <v>2</v>
      </c>
      <c r="P79" s="1">
        <f t="shared" si="9"/>
        <v>0</v>
      </c>
      <c r="Q79">
        <f t="shared" si="10"/>
        <v>2</v>
      </c>
      <c r="R79" s="1">
        <f t="shared" si="11"/>
        <v>0</v>
      </c>
    </row>
    <row r="80" spans="1:18" x14ac:dyDescent="0.3">
      <c r="A80" t="s">
        <v>3212</v>
      </c>
      <c r="B80" t="s">
        <v>3213</v>
      </c>
      <c r="C80" t="s">
        <v>35</v>
      </c>
      <c r="D80">
        <v>14</v>
      </c>
      <c r="E80">
        <v>0</v>
      </c>
      <c r="G80" s="1">
        <v>0</v>
      </c>
      <c r="H80">
        <v>4</v>
      </c>
      <c r="I80">
        <v>0.5</v>
      </c>
      <c r="J80">
        <v>1</v>
      </c>
      <c r="K80">
        <v>1</v>
      </c>
      <c r="L80">
        <f t="shared" si="8"/>
        <v>2</v>
      </c>
      <c r="M80">
        <v>0</v>
      </c>
      <c r="N80">
        <v>0</v>
      </c>
      <c r="O80">
        <v>2</v>
      </c>
      <c r="P80" s="1">
        <f t="shared" si="9"/>
        <v>0</v>
      </c>
      <c r="Q80">
        <f t="shared" si="10"/>
        <v>2</v>
      </c>
      <c r="R80" s="1">
        <f t="shared" si="11"/>
        <v>0</v>
      </c>
    </row>
    <row r="81" spans="1:18" x14ac:dyDescent="0.3">
      <c r="A81" t="s">
        <v>3214</v>
      </c>
      <c r="B81" t="s">
        <v>3215</v>
      </c>
      <c r="C81" t="s">
        <v>35</v>
      </c>
      <c r="D81">
        <v>31</v>
      </c>
      <c r="E81">
        <v>72</v>
      </c>
      <c r="F81" t="s">
        <v>3082</v>
      </c>
      <c r="G81" s="1">
        <v>887.29</v>
      </c>
      <c r="H81">
        <v>109</v>
      </c>
      <c r="I81">
        <v>1.1000000000000001</v>
      </c>
      <c r="J81">
        <v>4</v>
      </c>
      <c r="K81">
        <v>4</v>
      </c>
      <c r="L81">
        <f t="shared" si="8"/>
        <v>9</v>
      </c>
      <c r="M81">
        <v>0</v>
      </c>
      <c r="N81">
        <v>0</v>
      </c>
      <c r="O81">
        <v>12</v>
      </c>
      <c r="P81" s="1">
        <f t="shared" si="9"/>
        <v>0</v>
      </c>
      <c r="Q81">
        <f t="shared" si="10"/>
        <v>12</v>
      </c>
      <c r="R81" s="1">
        <f t="shared" si="11"/>
        <v>10647.48</v>
      </c>
    </row>
    <row r="82" spans="1:18" x14ac:dyDescent="0.3">
      <c r="A82" t="s">
        <v>3216</v>
      </c>
      <c r="B82" t="s">
        <v>3217</v>
      </c>
      <c r="C82" t="s">
        <v>35</v>
      </c>
      <c r="D82">
        <v>31</v>
      </c>
      <c r="E82">
        <v>20</v>
      </c>
      <c r="F82" t="s">
        <v>3082</v>
      </c>
      <c r="G82" s="1">
        <v>667.21</v>
      </c>
      <c r="H82">
        <v>16</v>
      </c>
      <c r="I82">
        <v>1.4</v>
      </c>
      <c r="J82">
        <v>1</v>
      </c>
      <c r="K82">
        <v>1</v>
      </c>
      <c r="L82">
        <f t="shared" si="8"/>
        <v>3</v>
      </c>
      <c r="M82">
        <v>0</v>
      </c>
      <c r="N82">
        <v>0</v>
      </c>
      <c r="O82">
        <v>3</v>
      </c>
      <c r="P82" s="1">
        <f t="shared" si="9"/>
        <v>0</v>
      </c>
      <c r="Q82">
        <f t="shared" si="10"/>
        <v>3</v>
      </c>
      <c r="R82" s="1">
        <f t="shared" si="11"/>
        <v>2001.63</v>
      </c>
    </row>
    <row r="83" spans="1:18" x14ac:dyDescent="0.3">
      <c r="A83" t="s">
        <v>3218</v>
      </c>
      <c r="B83" t="s">
        <v>3219</v>
      </c>
      <c r="C83" t="s">
        <v>35</v>
      </c>
      <c r="D83">
        <v>1</v>
      </c>
      <c r="E83">
        <v>0</v>
      </c>
      <c r="G83" s="1">
        <v>0</v>
      </c>
      <c r="H83">
        <v>0</v>
      </c>
      <c r="I83">
        <v>0.5</v>
      </c>
      <c r="J83">
        <v>1</v>
      </c>
      <c r="K83">
        <v>1</v>
      </c>
      <c r="L83">
        <f t="shared" si="8"/>
        <v>2</v>
      </c>
      <c r="M83">
        <v>0</v>
      </c>
      <c r="N83">
        <v>0</v>
      </c>
      <c r="O83">
        <v>2</v>
      </c>
      <c r="P83" s="1">
        <f t="shared" si="9"/>
        <v>0</v>
      </c>
      <c r="Q83">
        <f t="shared" si="10"/>
        <v>2</v>
      </c>
      <c r="R83" s="1">
        <f t="shared" si="11"/>
        <v>0</v>
      </c>
    </row>
    <row r="84" spans="1:18" x14ac:dyDescent="0.3">
      <c r="A84" t="s">
        <v>3220</v>
      </c>
      <c r="B84" t="s">
        <v>3221</v>
      </c>
      <c r="C84" t="s">
        <v>35</v>
      </c>
      <c r="D84">
        <v>35</v>
      </c>
      <c r="E84">
        <v>120</v>
      </c>
      <c r="F84" t="s">
        <v>3082</v>
      </c>
      <c r="G84" s="1">
        <v>994.12</v>
      </c>
      <c r="H84">
        <v>97</v>
      </c>
      <c r="I84">
        <v>0.9</v>
      </c>
      <c r="J84">
        <v>3.5</v>
      </c>
      <c r="K84">
        <v>3</v>
      </c>
      <c r="L84">
        <f t="shared" si="8"/>
        <v>7</v>
      </c>
      <c r="M84">
        <v>0</v>
      </c>
      <c r="N84">
        <v>0</v>
      </c>
      <c r="O84">
        <v>10</v>
      </c>
      <c r="P84" s="1">
        <f t="shared" si="9"/>
        <v>0</v>
      </c>
      <c r="Q84">
        <f t="shared" si="10"/>
        <v>10</v>
      </c>
      <c r="R84" s="1">
        <f t="shared" si="11"/>
        <v>9941.2000000000007</v>
      </c>
    </row>
    <row r="85" spans="1:18" x14ac:dyDescent="0.3">
      <c r="A85" t="s">
        <v>3222</v>
      </c>
      <c r="B85" t="s">
        <v>3223</v>
      </c>
      <c r="C85" t="s">
        <v>35</v>
      </c>
      <c r="D85">
        <v>19</v>
      </c>
      <c r="E85">
        <v>0</v>
      </c>
      <c r="G85" s="1">
        <v>0</v>
      </c>
      <c r="H85">
        <v>10</v>
      </c>
      <c r="I85">
        <v>0.5</v>
      </c>
      <c r="J85">
        <v>1</v>
      </c>
      <c r="K85">
        <v>1</v>
      </c>
      <c r="L85">
        <f t="shared" si="8"/>
        <v>2</v>
      </c>
      <c r="M85">
        <v>0</v>
      </c>
      <c r="N85">
        <v>0</v>
      </c>
      <c r="O85">
        <v>2</v>
      </c>
      <c r="P85" s="1">
        <f t="shared" si="9"/>
        <v>0</v>
      </c>
      <c r="Q85">
        <f t="shared" si="10"/>
        <v>2</v>
      </c>
      <c r="R85" s="1">
        <f t="shared" si="11"/>
        <v>0</v>
      </c>
    </row>
    <row r="86" spans="1:18" x14ac:dyDescent="0.3">
      <c r="A86" t="s">
        <v>3224</v>
      </c>
      <c r="B86" t="s">
        <v>3225</v>
      </c>
      <c r="C86" t="s">
        <v>35</v>
      </c>
      <c r="D86">
        <v>1</v>
      </c>
      <c r="E86">
        <v>0</v>
      </c>
      <c r="G86" s="1">
        <v>0</v>
      </c>
      <c r="H86">
        <v>0</v>
      </c>
      <c r="I86">
        <v>0.5</v>
      </c>
      <c r="J86">
        <v>1</v>
      </c>
      <c r="K86">
        <v>1</v>
      </c>
      <c r="L86">
        <f t="shared" si="8"/>
        <v>2</v>
      </c>
      <c r="M86">
        <v>0</v>
      </c>
      <c r="N86">
        <v>0</v>
      </c>
      <c r="O86">
        <v>2</v>
      </c>
      <c r="P86" s="1">
        <f t="shared" si="9"/>
        <v>0</v>
      </c>
      <c r="Q86">
        <f t="shared" si="10"/>
        <v>2</v>
      </c>
      <c r="R86" s="1">
        <f t="shared" si="11"/>
        <v>0</v>
      </c>
    </row>
    <row r="87" spans="1:18" x14ac:dyDescent="0.3">
      <c r="A87" t="s">
        <v>3226</v>
      </c>
      <c r="B87" t="s">
        <v>3227</v>
      </c>
      <c r="C87" t="s">
        <v>35</v>
      </c>
      <c r="D87">
        <v>1</v>
      </c>
      <c r="E87">
        <v>0</v>
      </c>
      <c r="F87" t="s">
        <v>3082</v>
      </c>
      <c r="G87" s="1">
        <v>0</v>
      </c>
      <c r="H87">
        <v>0</v>
      </c>
      <c r="I87">
        <v>1.1000000000000001</v>
      </c>
      <c r="J87">
        <v>1</v>
      </c>
      <c r="K87">
        <v>1</v>
      </c>
      <c r="L87">
        <f t="shared" si="8"/>
        <v>3</v>
      </c>
      <c r="M87">
        <v>0</v>
      </c>
      <c r="N87">
        <v>0</v>
      </c>
      <c r="O87">
        <v>3</v>
      </c>
      <c r="P87" s="1">
        <f t="shared" si="9"/>
        <v>0</v>
      </c>
      <c r="Q87">
        <f t="shared" si="10"/>
        <v>3</v>
      </c>
      <c r="R87" s="1">
        <f t="shared" si="11"/>
        <v>0</v>
      </c>
    </row>
    <row r="88" spans="1:18" x14ac:dyDescent="0.3">
      <c r="A88" t="s">
        <v>3228</v>
      </c>
      <c r="B88" t="s">
        <v>3229</v>
      </c>
      <c r="C88" t="s">
        <v>35</v>
      </c>
      <c r="D88">
        <v>1</v>
      </c>
      <c r="E88">
        <v>0</v>
      </c>
      <c r="F88" t="s">
        <v>3082</v>
      </c>
      <c r="G88" s="1">
        <v>0</v>
      </c>
      <c r="H88">
        <v>0</v>
      </c>
      <c r="I88">
        <v>1.1000000000000001</v>
      </c>
      <c r="J88">
        <v>1</v>
      </c>
      <c r="K88">
        <v>1</v>
      </c>
      <c r="L88">
        <f t="shared" si="8"/>
        <v>3</v>
      </c>
      <c r="M88">
        <v>0</v>
      </c>
      <c r="N88">
        <v>0</v>
      </c>
      <c r="O88">
        <v>3</v>
      </c>
      <c r="P88" s="1">
        <f t="shared" si="9"/>
        <v>0</v>
      </c>
      <c r="Q88">
        <f t="shared" si="10"/>
        <v>3</v>
      </c>
      <c r="R88" s="1">
        <f t="shared" si="11"/>
        <v>0</v>
      </c>
    </row>
    <row r="89" spans="1:18" x14ac:dyDescent="0.3">
      <c r="A89" t="s">
        <v>3230</v>
      </c>
      <c r="B89" t="s">
        <v>3231</v>
      </c>
      <c r="C89" t="s">
        <v>35</v>
      </c>
      <c r="D89">
        <v>1</v>
      </c>
      <c r="E89">
        <v>0</v>
      </c>
      <c r="F89" t="s">
        <v>3082</v>
      </c>
      <c r="G89" s="1">
        <v>0</v>
      </c>
      <c r="H89">
        <v>0</v>
      </c>
      <c r="I89">
        <v>1.1000000000000001</v>
      </c>
      <c r="J89">
        <v>1</v>
      </c>
      <c r="K89">
        <v>1</v>
      </c>
      <c r="L89">
        <f t="shared" si="8"/>
        <v>3</v>
      </c>
      <c r="M89">
        <v>0</v>
      </c>
      <c r="N89">
        <v>0</v>
      </c>
      <c r="O89">
        <v>3</v>
      </c>
      <c r="P89" s="1">
        <f t="shared" si="9"/>
        <v>0</v>
      </c>
      <c r="Q89">
        <f t="shared" si="10"/>
        <v>3</v>
      </c>
      <c r="R89" s="1">
        <f t="shared" si="11"/>
        <v>0</v>
      </c>
    </row>
    <row r="90" spans="1:18" x14ac:dyDescent="0.3">
      <c r="A90" t="s">
        <v>3232</v>
      </c>
      <c r="B90" t="s">
        <v>3233</v>
      </c>
      <c r="C90" t="s">
        <v>35</v>
      </c>
      <c r="D90">
        <v>1</v>
      </c>
      <c r="E90">
        <v>0</v>
      </c>
      <c r="F90" t="s">
        <v>3082</v>
      </c>
      <c r="G90" s="1">
        <v>0</v>
      </c>
      <c r="H90">
        <v>0</v>
      </c>
      <c r="I90">
        <v>1.1000000000000001</v>
      </c>
      <c r="J90">
        <v>1</v>
      </c>
      <c r="K90">
        <v>1</v>
      </c>
      <c r="L90">
        <f t="shared" si="8"/>
        <v>3</v>
      </c>
      <c r="M90">
        <v>0</v>
      </c>
      <c r="N90">
        <v>0</v>
      </c>
      <c r="O90">
        <v>3</v>
      </c>
      <c r="P90" s="1">
        <f t="shared" si="9"/>
        <v>0</v>
      </c>
      <c r="Q90">
        <f t="shared" si="10"/>
        <v>3</v>
      </c>
      <c r="R90" s="1">
        <f t="shared" si="11"/>
        <v>0</v>
      </c>
    </row>
    <row r="91" spans="1:18" x14ac:dyDescent="0.3">
      <c r="A91" t="s">
        <v>3234</v>
      </c>
      <c r="B91" t="s">
        <v>3235</v>
      </c>
      <c r="C91" t="s">
        <v>35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8"/>
        <v>2</v>
      </c>
      <c r="M91">
        <v>0</v>
      </c>
      <c r="N91">
        <v>0</v>
      </c>
      <c r="O91">
        <v>2</v>
      </c>
      <c r="P91" s="1">
        <f t="shared" si="9"/>
        <v>0</v>
      </c>
      <c r="Q91">
        <f t="shared" si="10"/>
        <v>2</v>
      </c>
      <c r="R91" s="1">
        <f t="shared" si="11"/>
        <v>0</v>
      </c>
    </row>
    <row r="92" spans="1:18" x14ac:dyDescent="0.3">
      <c r="A92" t="s">
        <v>3236</v>
      </c>
      <c r="B92" t="s">
        <v>3237</v>
      </c>
      <c r="C92" t="s">
        <v>35</v>
      </c>
      <c r="D92">
        <v>31</v>
      </c>
      <c r="E92">
        <v>0</v>
      </c>
      <c r="G92" s="1">
        <v>0</v>
      </c>
      <c r="H92">
        <v>8</v>
      </c>
      <c r="I92">
        <v>0.5</v>
      </c>
      <c r="J92">
        <v>1</v>
      </c>
      <c r="K92">
        <v>1</v>
      </c>
      <c r="L92">
        <f t="shared" si="8"/>
        <v>2</v>
      </c>
      <c r="M92">
        <v>0</v>
      </c>
      <c r="N92">
        <v>0</v>
      </c>
      <c r="O92">
        <v>2</v>
      </c>
      <c r="P92" s="1">
        <f t="shared" si="9"/>
        <v>0</v>
      </c>
      <c r="Q92">
        <f t="shared" si="10"/>
        <v>2</v>
      </c>
      <c r="R92" s="1">
        <f t="shared" si="11"/>
        <v>0</v>
      </c>
    </row>
    <row r="93" spans="1:18" x14ac:dyDescent="0.3">
      <c r="A93" t="s">
        <v>3238</v>
      </c>
      <c r="B93" t="s">
        <v>3239</v>
      </c>
      <c r="C93" t="s">
        <v>35</v>
      </c>
      <c r="D93">
        <v>30</v>
      </c>
      <c r="E93">
        <v>30</v>
      </c>
      <c r="F93" t="s">
        <v>3082</v>
      </c>
      <c r="G93" s="1">
        <v>514.79</v>
      </c>
      <c r="H93">
        <v>46</v>
      </c>
      <c r="I93">
        <v>1.2</v>
      </c>
      <c r="J93">
        <v>2</v>
      </c>
      <c r="K93">
        <v>2</v>
      </c>
      <c r="L93">
        <f t="shared" si="8"/>
        <v>5</v>
      </c>
      <c r="M93">
        <v>0</v>
      </c>
      <c r="N93">
        <v>0</v>
      </c>
      <c r="O93">
        <v>6</v>
      </c>
      <c r="P93" s="1">
        <f t="shared" si="9"/>
        <v>0</v>
      </c>
      <c r="Q93">
        <f t="shared" si="10"/>
        <v>6</v>
      </c>
      <c r="R93" s="1">
        <f t="shared" si="11"/>
        <v>3088.74</v>
      </c>
    </row>
    <row r="94" spans="1:18" x14ac:dyDescent="0.3">
      <c r="A94" t="s">
        <v>3240</v>
      </c>
      <c r="B94" t="s">
        <v>3241</v>
      </c>
      <c r="C94" t="s">
        <v>35</v>
      </c>
      <c r="D94">
        <v>35</v>
      </c>
      <c r="E94">
        <v>0</v>
      </c>
      <c r="G94" s="1">
        <v>0</v>
      </c>
      <c r="H94">
        <v>19</v>
      </c>
      <c r="I94">
        <v>0.5</v>
      </c>
      <c r="J94">
        <v>1</v>
      </c>
      <c r="K94">
        <v>1</v>
      </c>
      <c r="L94">
        <f t="shared" si="8"/>
        <v>2</v>
      </c>
      <c r="M94">
        <v>0</v>
      </c>
      <c r="N94">
        <v>0</v>
      </c>
      <c r="O94">
        <v>2</v>
      </c>
      <c r="P94" s="1">
        <f t="shared" si="9"/>
        <v>0</v>
      </c>
      <c r="Q94">
        <f t="shared" si="10"/>
        <v>2</v>
      </c>
      <c r="R94" s="1">
        <f t="shared" si="11"/>
        <v>0</v>
      </c>
    </row>
    <row r="95" spans="1:18" x14ac:dyDescent="0.3">
      <c r="A95" t="s">
        <v>3242</v>
      </c>
      <c r="B95" t="s">
        <v>3243</v>
      </c>
      <c r="C95" t="s">
        <v>35</v>
      </c>
      <c r="D95">
        <v>1</v>
      </c>
      <c r="E95">
        <v>0</v>
      </c>
      <c r="G95" s="1">
        <v>0</v>
      </c>
      <c r="H95">
        <v>0</v>
      </c>
      <c r="I95">
        <v>0.5</v>
      </c>
      <c r="J95">
        <v>1</v>
      </c>
      <c r="K95">
        <v>1</v>
      </c>
      <c r="L95">
        <f t="shared" si="8"/>
        <v>2</v>
      </c>
      <c r="M95">
        <v>0</v>
      </c>
      <c r="N95">
        <v>0</v>
      </c>
      <c r="O95">
        <v>2</v>
      </c>
      <c r="P95" s="1">
        <f t="shared" si="9"/>
        <v>0</v>
      </c>
      <c r="Q95">
        <f t="shared" si="10"/>
        <v>2</v>
      </c>
      <c r="R95" s="1">
        <f t="shared" si="11"/>
        <v>0</v>
      </c>
    </row>
    <row r="96" spans="1:18" x14ac:dyDescent="0.3">
      <c r="A96" t="s">
        <v>3244</v>
      </c>
      <c r="B96" t="s">
        <v>3245</v>
      </c>
      <c r="C96" t="s">
        <v>35</v>
      </c>
      <c r="D96">
        <v>27</v>
      </c>
      <c r="E96">
        <v>0</v>
      </c>
      <c r="G96" s="1">
        <v>0</v>
      </c>
      <c r="H96">
        <v>7</v>
      </c>
      <c r="I96">
        <v>0.5</v>
      </c>
      <c r="J96">
        <v>1</v>
      </c>
      <c r="K96">
        <v>1</v>
      </c>
      <c r="L96">
        <f t="shared" si="8"/>
        <v>2</v>
      </c>
      <c r="M96">
        <v>0</v>
      </c>
      <c r="N96">
        <v>0</v>
      </c>
      <c r="O96">
        <v>2</v>
      </c>
      <c r="P96" s="1">
        <f t="shared" si="9"/>
        <v>0</v>
      </c>
      <c r="Q96">
        <f t="shared" si="10"/>
        <v>2</v>
      </c>
      <c r="R96" s="1">
        <f t="shared" si="11"/>
        <v>0</v>
      </c>
    </row>
    <row r="97" spans="1:18" x14ac:dyDescent="0.3">
      <c r="A97" t="s">
        <v>3246</v>
      </c>
      <c r="B97" t="s">
        <v>3247</v>
      </c>
      <c r="C97" t="s">
        <v>35</v>
      </c>
      <c r="D97">
        <v>12</v>
      </c>
      <c r="E97">
        <v>0</v>
      </c>
      <c r="G97" s="1">
        <v>0</v>
      </c>
      <c r="H97">
        <v>1</v>
      </c>
      <c r="I97">
        <v>0.5</v>
      </c>
      <c r="J97">
        <v>1</v>
      </c>
      <c r="K97">
        <v>1</v>
      </c>
      <c r="L97">
        <f t="shared" si="8"/>
        <v>2</v>
      </c>
      <c r="M97">
        <v>0</v>
      </c>
      <c r="N97">
        <v>0</v>
      </c>
      <c r="O97">
        <v>2</v>
      </c>
      <c r="P97" s="1">
        <f t="shared" si="9"/>
        <v>0</v>
      </c>
      <c r="Q97">
        <f t="shared" si="10"/>
        <v>2</v>
      </c>
      <c r="R97" s="1">
        <f t="shared" si="11"/>
        <v>0</v>
      </c>
    </row>
    <row r="98" spans="1:18" x14ac:dyDescent="0.3">
      <c r="A98" t="s">
        <v>3248</v>
      </c>
      <c r="B98" t="s">
        <v>3249</v>
      </c>
      <c r="C98" t="s">
        <v>35</v>
      </c>
      <c r="D98">
        <v>11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ref="L98:L129" si="12">ROUNDUP((J98*I98)+K98,0)</f>
        <v>2</v>
      </c>
      <c r="M98">
        <v>0</v>
      </c>
      <c r="N98">
        <v>0</v>
      </c>
      <c r="O98">
        <v>2</v>
      </c>
      <c r="P98" s="1">
        <f t="shared" ref="P98:P129" si="13">IFERROR(M98*G98,0)</f>
        <v>0</v>
      </c>
      <c r="Q98">
        <f t="shared" ref="Q98:Q129" si="14">IF(O98-M98-N98&gt;0,O98-M98-N98,0)</f>
        <v>2</v>
      </c>
      <c r="R98" s="1">
        <f t="shared" ref="R98:R129" si="15">IFERROR(Q98*G98,0)</f>
        <v>0</v>
      </c>
    </row>
    <row r="99" spans="1:18" x14ac:dyDescent="0.3">
      <c r="A99" t="s">
        <v>3250</v>
      </c>
      <c r="B99" t="s">
        <v>3251</v>
      </c>
      <c r="C99" t="s">
        <v>35</v>
      </c>
      <c r="D99">
        <v>1</v>
      </c>
      <c r="E99">
        <v>0</v>
      </c>
      <c r="G99" s="1">
        <v>0</v>
      </c>
      <c r="H99">
        <v>0</v>
      </c>
      <c r="I99">
        <v>0.5</v>
      </c>
      <c r="J99">
        <v>1</v>
      </c>
      <c r="K99">
        <v>1</v>
      </c>
      <c r="L99">
        <f t="shared" si="12"/>
        <v>2</v>
      </c>
      <c r="M99">
        <v>0</v>
      </c>
      <c r="N99">
        <v>0</v>
      </c>
      <c r="O99">
        <v>2</v>
      </c>
      <c r="P99" s="1">
        <f t="shared" si="13"/>
        <v>0</v>
      </c>
      <c r="Q99">
        <f t="shared" si="14"/>
        <v>2</v>
      </c>
      <c r="R99" s="1">
        <f t="shared" si="15"/>
        <v>0</v>
      </c>
    </row>
    <row r="100" spans="1:18" x14ac:dyDescent="0.3">
      <c r="A100" t="s">
        <v>3252</v>
      </c>
      <c r="B100" t="s">
        <v>3253</v>
      </c>
      <c r="C100" t="s">
        <v>35</v>
      </c>
      <c r="D100">
        <v>10</v>
      </c>
      <c r="E100">
        <v>14</v>
      </c>
      <c r="F100" t="s">
        <v>3082</v>
      </c>
      <c r="G100" s="1">
        <v>0</v>
      </c>
      <c r="H100">
        <v>0</v>
      </c>
      <c r="I100">
        <v>1.4</v>
      </c>
      <c r="J100">
        <v>1.5</v>
      </c>
      <c r="K100">
        <v>2</v>
      </c>
      <c r="L100">
        <f t="shared" si="12"/>
        <v>5</v>
      </c>
      <c r="M100">
        <v>0</v>
      </c>
      <c r="N100">
        <v>0</v>
      </c>
      <c r="O100">
        <v>5</v>
      </c>
      <c r="P100" s="1">
        <f t="shared" si="13"/>
        <v>0</v>
      </c>
      <c r="Q100">
        <f t="shared" si="14"/>
        <v>5</v>
      </c>
      <c r="R100" s="1">
        <f t="shared" si="15"/>
        <v>0</v>
      </c>
    </row>
    <row r="101" spans="1:18" x14ac:dyDescent="0.3">
      <c r="A101" t="s">
        <v>3254</v>
      </c>
      <c r="B101" t="s">
        <v>3255</v>
      </c>
      <c r="C101" t="s">
        <v>35</v>
      </c>
      <c r="D101">
        <v>23</v>
      </c>
      <c r="E101">
        <v>58</v>
      </c>
      <c r="F101" t="s">
        <v>3082</v>
      </c>
      <c r="G101" s="1">
        <v>1330.13</v>
      </c>
      <c r="H101">
        <v>34</v>
      </c>
      <c r="I101">
        <v>0.9</v>
      </c>
      <c r="J101">
        <v>3</v>
      </c>
      <c r="K101">
        <v>3</v>
      </c>
      <c r="L101">
        <f t="shared" si="12"/>
        <v>6</v>
      </c>
      <c r="M101">
        <v>0</v>
      </c>
      <c r="N101">
        <v>0</v>
      </c>
      <c r="O101">
        <v>9</v>
      </c>
      <c r="P101" s="1">
        <f t="shared" si="13"/>
        <v>0</v>
      </c>
      <c r="Q101">
        <f t="shared" si="14"/>
        <v>9</v>
      </c>
      <c r="R101" s="1">
        <f t="shared" si="15"/>
        <v>11971.170000000002</v>
      </c>
    </row>
    <row r="102" spans="1:18" x14ac:dyDescent="0.3">
      <c r="A102" t="s">
        <v>3256</v>
      </c>
      <c r="B102" t="s">
        <v>3257</v>
      </c>
      <c r="C102" t="s">
        <v>35</v>
      </c>
      <c r="D102">
        <v>34</v>
      </c>
      <c r="E102">
        <v>138</v>
      </c>
      <c r="F102" t="s">
        <v>3082</v>
      </c>
      <c r="G102" s="1">
        <v>5798.62</v>
      </c>
      <c r="H102">
        <v>158</v>
      </c>
      <c r="I102">
        <v>0.8</v>
      </c>
      <c r="J102">
        <v>5</v>
      </c>
      <c r="K102">
        <v>4</v>
      </c>
      <c r="L102">
        <f t="shared" si="12"/>
        <v>8</v>
      </c>
      <c r="M102">
        <v>0</v>
      </c>
      <c r="N102">
        <v>0</v>
      </c>
      <c r="O102">
        <v>14</v>
      </c>
      <c r="P102" s="1">
        <f t="shared" si="13"/>
        <v>0</v>
      </c>
      <c r="Q102">
        <f t="shared" si="14"/>
        <v>14</v>
      </c>
      <c r="R102" s="1">
        <f t="shared" si="15"/>
        <v>81180.679999999993</v>
      </c>
    </row>
    <row r="103" spans="1:18" x14ac:dyDescent="0.3">
      <c r="A103" t="s">
        <v>3258</v>
      </c>
      <c r="B103" t="s">
        <v>3259</v>
      </c>
      <c r="C103" t="s">
        <v>35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12"/>
        <v>2</v>
      </c>
      <c r="M103">
        <v>0</v>
      </c>
      <c r="N103">
        <v>0</v>
      </c>
      <c r="O103">
        <v>2</v>
      </c>
      <c r="P103" s="1">
        <f t="shared" si="13"/>
        <v>0</v>
      </c>
      <c r="Q103">
        <f t="shared" si="14"/>
        <v>2</v>
      </c>
      <c r="R103" s="1">
        <f t="shared" si="15"/>
        <v>0</v>
      </c>
    </row>
    <row r="104" spans="1:18" x14ac:dyDescent="0.3">
      <c r="A104" t="s">
        <v>3260</v>
      </c>
      <c r="B104" t="s">
        <v>3261</v>
      </c>
      <c r="C104" t="s">
        <v>35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12"/>
        <v>2</v>
      </c>
      <c r="M104">
        <v>0</v>
      </c>
      <c r="N104">
        <v>0</v>
      </c>
      <c r="O104">
        <v>2</v>
      </c>
      <c r="P104" s="1">
        <f t="shared" si="13"/>
        <v>0</v>
      </c>
      <c r="Q104">
        <f t="shared" si="14"/>
        <v>2</v>
      </c>
      <c r="R104" s="1">
        <f t="shared" si="15"/>
        <v>0</v>
      </c>
    </row>
    <row r="105" spans="1:18" x14ac:dyDescent="0.3">
      <c r="A105" t="s">
        <v>3262</v>
      </c>
      <c r="B105" t="s">
        <v>3263</v>
      </c>
      <c r="C105" t="s">
        <v>35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12"/>
        <v>2</v>
      </c>
      <c r="M105">
        <v>0</v>
      </c>
      <c r="N105">
        <v>0</v>
      </c>
      <c r="O105">
        <v>2</v>
      </c>
      <c r="P105" s="1">
        <f t="shared" si="13"/>
        <v>0</v>
      </c>
      <c r="Q105">
        <f t="shared" si="14"/>
        <v>2</v>
      </c>
      <c r="R105" s="1">
        <f t="shared" si="15"/>
        <v>0</v>
      </c>
    </row>
    <row r="106" spans="1:18" x14ac:dyDescent="0.3">
      <c r="A106" t="s">
        <v>3264</v>
      </c>
      <c r="B106" t="s">
        <v>3265</v>
      </c>
      <c r="C106" t="s">
        <v>35</v>
      </c>
      <c r="D106">
        <v>18</v>
      </c>
      <c r="E106">
        <v>0</v>
      </c>
      <c r="G106" s="1">
        <v>0</v>
      </c>
      <c r="H106">
        <v>1</v>
      </c>
      <c r="I106">
        <v>0.5</v>
      </c>
      <c r="J106">
        <v>1</v>
      </c>
      <c r="K106">
        <v>1</v>
      </c>
      <c r="L106">
        <f t="shared" si="12"/>
        <v>2</v>
      </c>
      <c r="M106">
        <v>0</v>
      </c>
      <c r="N106">
        <v>0</v>
      </c>
      <c r="O106">
        <v>2</v>
      </c>
      <c r="P106" s="1">
        <f t="shared" si="13"/>
        <v>0</v>
      </c>
      <c r="Q106">
        <f t="shared" si="14"/>
        <v>2</v>
      </c>
      <c r="R106" s="1">
        <f t="shared" si="15"/>
        <v>0</v>
      </c>
    </row>
    <row r="107" spans="1:18" x14ac:dyDescent="0.3">
      <c r="A107" t="s">
        <v>3266</v>
      </c>
      <c r="B107" t="s">
        <v>3267</v>
      </c>
      <c r="C107" t="s">
        <v>35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12"/>
        <v>2</v>
      </c>
      <c r="M107">
        <v>0</v>
      </c>
      <c r="N107">
        <v>0</v>
      </c>
      <c r="O107">
        <v>2</v>
      </c>
      <c r="P107" s="1">
        <f t="shared" si="13"/>
        <v>0</v>
      </c>
      <c r="Q107">
        <f t="shared" si="14"/>
        <v>2</v>
      </c>
      <c r="R107" s="1">
        <f t="shared" si="15"/>
        <v>0</v>
      </c>
    </row>
    <row r="108" spans="1:18" x14ac:dyDescent="0.3">
      <c r="A108" t="s">
        <v>3268</v>
      </c>
      <c r="B108" t="s">
        <v>3269</v>
      </c>
      <c r="C108" t="s">
        <v>35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12"/>
        <v>2</v>
      </c>
      <c r="M108">
        <v>0</v>
      </c>
      <c r="N108">
        <v>0</v>
      </c>
      <c r="O108">
        <v>2</v>
      </c>
      <c r="P108" s="1">
        <f t="shared" si="13"/>
        <v>0</v>
      </c>
      <c r="Q108">
        <f t="shared" si="14"/>
        <v>2</v>
      </c>
      <c r="R108" s="1">
        <f t="shared" si="15"/>
        <v>0</v>
      </c>
    </row>
    <row r="109" spans="1:18" x14ac:dyDescent="0.3">
      <c r="A109" t="s">
        <v>3270</v>
      </c>
      <c r="B109" t="s">
        <v>3271</v>
      </c>
      <c r="C109" t="s">
        <v>35</v>
      </c>
      <c r="D109">
        <v>17</v>
      </c>
      <c r="E109">
        <v>0</v>
      </c>
      <c r="G109" s="1">
        <v>0</v>
      </c>
      <c r="H109">
        <v>4</v>
      </c>
      <c r="I109">
        <v>0.5</v>
      </c>
      <c r="J109">
        <v>1</v>
      </c>
      <c r="K109">
        <v>1</v>
      </c>
      <c r="L109">
        <f t="shared" si="12"/>
        <v>2</v>
      </c>
      <c r="M109">
        <v>0</v>
      </c>
      <c r="N109">
        <v>0</v>
      </c>
      <c r="O109">
        <v>2</v>
      </c>
      <c r="P109" s="1">
        <f t="shared" si="13"/>
        <v>0</v>
      </c>
      <c r="Q109">
        <f t="shared" si="14"/>
        <v>2</v>
      </c>
      <c r="R109" s="1">
        <f t="shared" si="15"/>
        <v>0</v>
      </c>
    </row>
    <row r="110" spans="1:18" x14ac:dyDescent="0.3">
      <c r="A110" t="s">
        <v>3272</v>
      </c>
      <c r="B110" t="s">
        <v>3273</v>
      </c>
      <c r="C110" t="s">
        <v>35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12"/>
        <v>2</v>
      </c>
      <c r="M110">
        <v>0</v>
      </c>
      <c r="N110">
        <v>0</v>
      </c>
      <c r="O110">
        <v>2</v>
      </c>
      <c r="P110" s="1">
        <f t="shared" si="13"/>
        <v>0</v>
      </c>
      <c r="Q110">
        <f t="shared" si="14"/>
        <v>2</v>
      </c>
      <c r="R110" s="1">
        <f t="shared" si="15"/>
        <v>0</v>
      </c>
    </row>
    <row r="111" spans="1:18" x14ac:dyDescent="0.3">
      <c r="A111" t="s">
        <v>3274</v>
      </c>
      <c r="B111" t="s">
        <v>3275</v>
      </c>
      <c r="C111" t="s">
        <v>35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12"/>
        <v>2</v>
      </c>
      <c r="M111">
        <v>0</v>
      </c>
      <c r="N111">
        <v>0</v>
      </c>
      <c r="O111">
        <v>2</v>
      </c>
      <c r="P111" s="1">
        <f t="shared" si="13"/>
        <v>0</v>
      </c>
      <c r="Q111">
        <f t="shared" si="14"/>
        <v>2</v>
      </c>
      <c r="R111" s="1">
        <f t="shared" si="15"/>
        <v>0</v>
      </c>
    </row>
    <row r="112" spans="1:18" x14ac:dyDescent="0.3">
      <c r="A112" t="s">
        <v>3276</v>
      </c>
      <c r="B112" t="s">
        <v>3277</v>
      </c>
      <c r="C112" t="s">
        <v>35</v>
      </c>
      <c r="D112">
        <v>11</v>
      </c>
      <c r="E112">
        <v>0</v>
      </c>
      <c r="G112" s="1">
        <v>0</v>
      </c>
      <c r="H112">
        <v>4</v>
      </c>
      <c r="I112">
        <v>0.5</v>
      </c>
      <c r="J112">
        <v>1</v>
      </c>
      <c r="K112">
        <v>1</v>
      </c>
      <c r="L112">
        <f t="shared" si="12"/>
        <v>2</v>
      </c>
      <c r="M112">
        <v>0</v>
      </c>
      <c r="N112">
        <v>0</v>
      </c>
      <c r="O112">
        <v>2</v>
      </c>
      <c r="P112" s="1">
        <f t="shared" si="13"/>
        <v>0</v>
      </c>
      <c r="Q112">
        <f t="shared" si="14"/>
        <v>2</v>
      </c>
      <c r="R112" s="1">
        <f t="shared" si="15"/>
        <v>0</v>
      </c>
    </row>
    <row r="113" spans="1:18" x14ac:dyDescent="0.3">
      <c r="A113" t="s">
        <v>3278</v>
      </c>
      <c r="B113" t="s">
        <v>3279</v>
      </c>
      <c r="C113" t="s">
        <v>35</v>
      </c>
      <c r="D113">
        <v>10</v>
      </c>
      <c r="E113">
        <v>0</v>
      </c>
      <c r="G113" s="1">
        <v>0</v>
      </c>
      <c r="H113">
        <v>13</v>
      </c>
      <c r="I113">
        <v>0.5</v>
      </c>
      <c r="J113">
        <v>1.5</v>
      </c>
      <c r="K113">
        <v>1</v>
      </c>
      <c r="L113">
        <f t="shared" si="12"/>
        <v>2</v>
      </c>
      <c r="M113">
        <v>0</v>
      </c>
      <c r="N113">
        <v>0</v>
      </c>
      <c r="O113">
        <v>4</v>
      </c>
      <c r="P113" s="1">
        <f t="shared" si="13"/>
        <v>0</v>
      </c>
      <c r="Q113">
        <f t="shared" si="14"/>
        <v>4</v>
      </c>
      <c r="R113" s="1">
        <f t="shared" si="15"/>
        <v>0</v>
      </c>
    </row>
    <row r="114" spans="1:18" x14ac:dyDescent="0.3">
      <c r="A114" t="s">
        <v>3280</v>
      </c>
      <c r="B114" t="s">
        <v>3281</v>
      </c>
      <c r="C114" t="s">
        <v>35</v>
      </c>
      <c r="D114">
        <v>25</v>
      </c>
      <c r="E114">
        <v>10</v>
      </c>
      <c r="F114" t="s">
        <v>3082</v>
      </c>
      <c r="G114" s="1">
        <v>1177.92</v>
      </c>
      <c r="H114">
        <v>14</v>
      </c>
      <c r="I114">
        <v>1.2</v>
      </c>
      <c r="J114">
        <v>1</v>
      </c>
      <c r="K114">
        <v>1</v>
      </c>
      <c r="L114">
        <f t="shared" si="12"/>
        <v>3</v>
      </c>
      <c r="M114">
        <v>0</v>
      </c>
      <c r="N114">
        <v>0</v>
      </c>
      <c r="O114">
        <v>3</v>
      </c>
      <c r="P114" s="1">
        <f t="shared" si="13"/>
        <v>0</v>
      </c>
      <c r="Q114">
        <f t="shared" si="14"/>
        <v>3</v>
      </c>
      <c r="R114" s="1">
        <f t="shared" si="15"/>
        <v>3533.76</v>
      </c>
    </row>
    <row r="115" spans="1:18" x14ac:dyDescent="0.3">
      <c r="A115" t="s">
        <v>3282</v>
      </c>
      <c r="B115" t="s">
        <v>3283</v>
      </c>
      <c r="C115" t="s">
        <v>35</v>
      </c>
      <c r="D115">
        <v>35</v>
      </c>
      <c r="E115">
        <v>8</v>
      </c>
      <c r="F115" t="s">
        <v>3082</v>
      </c>
      <c r="G115" s="1">
        <v>1329.45</v>
      </c>
      <c r="H115">
        <v>73</v>
      </c>
      <c r="I115">
        <v>1</v>
      </c>
      <c r="J115">
        <v>2.5</v>
      </c>
      <c r="K115">
        <v>2</v>
      </c>
      <c r="L115">
        <f t="shared" si="12"/>
        <v>5</v>
      </c>
      <c r="M115">
        <v>0</v>
      </c>
      <c r="N115">
        <v>0</v>
      </c>
      <c r="O115">
        <v>7</v>
      </c>
      <c r="P115" s="1">
        <f t="shared" si="13"/>
        <v>0</v>
      </c>
      <c r="Q115">
        <f t="shared" si="14"/>
        <v>7</v>
      </c>
      <c r="R115" s="1">
        <f t="shared" si="15"/>
        <v>9306.15</v>
      </c>
    </row>
    <row r="116" spans="1:18" x14ac:dyDescent="0.3">
      <c r="A116" t="s">
        <v>3284</v>
      </c>
      <c r="B116" t="s">
        <v>3285</v>
      </c>
      <c r="C116" t="s">
        <v>35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12"/>
        <v>2</v>
      </c>
      <c r="M116">
        <v>0</v>
      </c>
      <c r="N116">
        <v>0</v>
      </c>
      <c r="O116">
        <v>2</v>
      </c>
      <c r="P116" s="1">
        <f t="shared" si="13"/>
        <v>0</v>
      </c>
      <c r="Q116">
        <f t="shared" si="14"/>
        <v>2</v>
      </c>
      <c r="R116" s="1">
        <f t="shared" si="15"/>
        <v>0</v>
      </c>
    </row>
    <row r="117" spans="1:18" x14ac:dyDescent="0.3">
      <c r="A117" t="s">
        <v>3286</v>
      </c>
      <c r="B117" t="s">
        <v>3287</v>
      </c>
      <c r="C117" t="s">
        <v>35</v>
      </c>
      <c r="D117">
        <v>1</v>
      </c>
      <c r="E117">
        <v>8</v>
      </c>
      <c r="F117" t="s">
        <v>3082</v>
      </c>
      <c r="G117" s="1">
        <v>1397.64</v>
      </c>
      <c r="H117">
        <v>4</v>
      </c>
      <c r="I117">
        <v>1.4</v>
      </c>
      <c r="J117">
        <v>8</v>
      </c>
      <c r="K117">
        <v>11</v>
      </c>
      <c r="L117">
        <f t="shared" si="12"/>
        <v>23</v>
      </c>
      <c r="M117">
        <v>0</v>
      </c>
      <c r="N117">
        <v>0</v>
      </c>
      <c r="O117">
        <v>27</v>
      </c>
      <c r="P117" s="1">
        <f t="shared" si="13"/>
        <v>0</v>
      </c>
      <c r="Q117">
        <f t="shared" si="14"/>
        <v>27</v>
      </c>
      <c r="R117" s="1">
        <f t="shared" si="15"/>
        <v>37736.280000000006</v>
      </c>
    </row>
    <row r="118" spans="1:18" x14ac:dyDescent="0.3">
      <c r="A118" t="s">
        <v>3288</v>
      </c>
      <c r="B118" t="s">
        <v>3289</v>
      </c>
      <c r="C118" t="s">
        <v>35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12"/>
        <v>2</v>
      </c>
      <c r="M118">
        <v>0</v>
      </c>
      <c r="N118">
        <v>0</v>
      </c>
      <c r="O118">
        <v>2</v>
      </c>
      <c r="P118" s="1">
        <f t="shared" si="13"/>
        <v>0</v>
      </c>
      <c r="Q118">
        <f t="shared" si="14"/>
        <v>2</v>
      </c>
      <c r="R118" s="1">
        <f t="shared" si="15"/>
        <v>0</v>
      </c>
    </row>
    <row r="119" spans="1:18" x14ac:dyDescent="0.3">
      <c r="A119" t="s">
        <v>3290</v>
      </c>
      <c r="B119" t="s">
        <v>3291</v>
      </c>
      <c r="C119" t="s">
        <v>35</v>
      </c>
      <c r="D119">
        <v>30</v>
      </c>
      <c r="E119">
        <v>8</v>
      </c>
      <c r="F119" t="s">
        <v>3082</v>
      </c>
      <c r="G119" s="1">
        <v>442.78</v>
      </c>
      <c r="H119">
        <v>11</v>
      </c>
      <c r="I119">
        <v>1.1000000000000001</v>
      </c>
      <c r="J119">
        <v>1</v>
      </c>
      <c r="K119">
        <v>1</v>
      </c>
      <c r="L119">
        <f t="shared" si="12"/>
        <v>3</v>
      </c>
      <c r="M119">
        <v>0</v>
      </c>
      <c r="N119">
        <v>0</v>
      </c>
      <c r="O119">
        <v>3</v>
      </c>
      <c r="P119" s="1">
        <f t="shared" si="13"/>
        <v>0</v>
      </c>
      <c r="Q119">
        <f t="shared" si="14"/>
        <v>3</v>
      </c>
      <c r="R119" s="1">
        <f t="shared" si="15"/>
        <v>1328.34</v>
      </c>
    </row>
    <row r="120" spans="1:18" x14ac:dyDescent="0.3">
      <c r="A120" t="s">
        <v>3292</v>
      </c>
      <c r="B120" t="s">
        <v>3293</v>
      </c>
      <c r="C120" t="s">
        <v>35</v>
      </c>
      <c r="D120">
        <v>20</v>
      </c>
      <c r="E120">
        <v>30</v>
      </c>
      <c r="F120" t="s">
        <v>3082</v>
      </c>
      <c r="G120" s="1">
        <v>1513.62</v>
      </c>
      <c r="H120">
        <v>15</v>
      </c>
      <c r="I120">
        <v>1.2</v>
      </c>
      <c r="J120">
        <v>1.5</v>
      </c>
      <c r="K120">
        <v>2</v>
      </c>
      <c r="L120">
        <f t="shared" si="12"/>
        <v>4</v>
      </c>
      <c r="M120">
        <v>0</v>
      </c>
      <c r="N120">
        <v>0</v>
      </c>
      <c r="O120">
        <v>5</v>
      </c>
      <c r="P120" s="1">
        <f t="shared" si="13"/>
        <v>0</v>
      </c>
      <c r="Q120">
        <f t="shared" si="14"/>
        <v>5</v>
      </c>
      <c r="R120" s="1">
        <f t="shared" si="15"/>
        <v>7568.0999999999995</v>
      </c>
    </row>
    <row r="121" spans="1:18" x14ac:dyDescent="0.3">
      <c r="A121" t="s">
        <v>3294</v>
      </c>
      <c r="B121" t="s">
        <v>3295</v>
      </c>
      <c r="C121" t="s">
        <v>35</v>
      </c>
      <c r="D121">
        <v>45</v>
      </c>
      <c r="E121">
        <v>103</v>
      </c>
      <c r="F121" t="s">
        <v>3082</v>
      </c>
      <c r="G121" s="1">
        <v>1762.95</v>
      </c>
      <c r="H121">
        <v>87</v>
      </c>
      <c r="I121">
        <v>1</v>
      </c>
      <c r="J121">
        <v>2.5</v>
      </c>
      <c r="K121">
        <v>2</v>
      </c>
      <c r="L121">
        <f t="shared" si="12"/>
        <v>5</v>
      </c>
      <c r="M121">
        <v>0</v>
      </c>
      <c r="N121">
        <v>0</v>
      </c>
      <c r="O121">
        <v>7</v>
      </c>
      <c r="P121" s="1">
        <f t="shared" si="13"/>
        <v>0</v>
      </c>
      <c r="Q121">
        <f t="shared" si="14"/>
        <v>7</v>
      </c>
      <c r="R121" s="1">
        <f t="shared" si="15"/>
        <v>12340.65</v>
      </c>
    </row>
    <row r="122" spans="1:18" x14ac:dyDescent="0.3">
      <c r="A122" t="s">
        <v>3296</v>
      </c>
      <c r="B122" t="s">
        <v>3297</v>
      </c>
      <c r="C122" t="s">
        <v>35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12"/>
        <v>2</v>
      </c>
      <c r="M122">
        <v>0</v>
      </c>
      <c r="N122">
        <v>0</v>
      </c>
      <c r="O122">
        <v>2</v>
      </c>
      <c r="P122" s="1">
        <f t="shared" si="13"/>
        <v>0</v>
      </c>
      <c r="Q122">
        <f t="shared" si="14"/>
        <v>2</v>
      </c>
      <c r="R122" s="1">
        <f t="shared" si="15"/>
        <v>0</v>
      </c>
    </row>
    <row r="123" spans="1:18" x14ac:dyDescent="0.3">
      <c r="A123" t="s">
        <v>3298</v>
      </c>
      <c r="B123" t="s">
        <v>3299</v>
      </c>
      <c r="C123" t="s">
        <v>35</v>
      </c>
      <c r="D123">
        <v>46</v>
      </c>
      <c r="E123">
        <v>96</v>
      </c>
      <c r="F123" t="s">
        <v>3082</v>
      </c>
      <c r="G123" s="1">
        <v>2488.4</v>
      </c>
      <c r="H123">
        <v>97</v>
      </c>
      <c r="I123">
        <v>1</v>
      </c>
      <c r="J123">
        <v>2.5</v>
      </c>
      <c r="K123">
        <v>2</v>
      </c>
      <c r="L123">
        <f t="shared" si="12"/>
        <v>5</v>
      </c>
      <c r="M123">
        <v>0</v>
      </c>
      <c r="N123">
        <v>0</v>
      </c>
      <c r="O123">
        <v>7</v>
      </c>
      <c r="P123" s="1">
        <f t="shared" si="13"/>
        <v>0</v>
      </c>
      <c r="Q123">
        <f t="shared" si="14"/>
        <v>7</v>
      </c>
      <c r="R123" s="1">
        <f t="shared" si="15"/>
        <v>17418.8</v>
      </c>
    </row>
    <row r="124" spans="1:18" x14ac:dyDescent="0.3">
      <c r="A124" t="s">
        <v>3300</v>
      </c>
      <c r="B124" t="s">
        <v>3301</v>
      </c>
      <c r="C124" t="s">
        <v>35</v>
      </c>
      <c r="D124">
        <v>45</v>
      </c>
      <c r="E124">
        <v>128</v>
      </c>
      <c r="F124" t="s">
        <v>3082</v>
      </c>
      <c r="G124" s="1">
        <v>5043.1499999999996</v>
      </c>
      <c r="H124">
        <v>128</v>
      </c>
      <c r="I124">
        <v>0.7</v>
      </c>
      <c r="J124">
        <v>3</v>
      </c>
      <c r="K124">
        <v>2</v>
      </c>
      <c r="L124">
        <f t="shared" si="12"/>
        <v>5</v>
      </c>
      <c r="M124">
        <v>0</v>
      </c>
      <c r="N124">
        <v>0</v>
      </c>
      <c r="O124">
        <v>8</v>
      </c>
      <c r="P124" s="1">
        <f t="shared" si="13"/>
        <v>0</v>
      </c>
      <c r="Q124">
        <f t="shared" si="14"/>
        <v>8</v>
      </c>
      <c r="R124" s="1">
        <f t="shared" si="15"/>
        <v>40345.199999999997</v>
      </c>
    </row>
    <row r="125" spans="1:18" x14ac:dyDescent="0.3">
      <c r="A125" t="s">
        <v>3302</v>
      </c>
      <c r="B125" t="s">
        <v>3303</v>
      </c>
      <c r="C125" t="s">
        <v>35</v>
      </c>
      <c r="D125">
        <v>45</v>
      </c>
      <c r="E125">
        <v>71</v>
      </c>
      <c r="F125" t="s">
        <v>3082</v>
      </c>
      <c r="G125" s="1">
        <v>6627.02</v>
      </c>
      <c r="H125">
        <v>69</v>
      </c>
      <c r="I125">
        <v>0.6</v>
      </c>
      <c r="J125">
        <v>2</v>
      </c>
      <c r="K125">
        <v>1</v>
      </c>
      <c r="L125">
        <f t="shared" si="12"/>
        <v>3</v>
      </c>
      <c r="M125">
        <v>0</v>
      </c>
      <c r="N125">
        <v>0</v>
      </c>
      <c r="O125">
        <v>5</v>
      </c>
      <c r="P125" s="1">
        <f t="shared" si="13"/>
        <v>0</v>
      </c>
      <c r="Q125">
        <f t="shared" si="14"/>
        <v>5</v>
      </c>
      <c r="R125" s="1">
        <f t="shared" si="15"/>
        <v>33135.100000000006</v>
      </c>
    </row>
    <row r="126" spans="1:18" x14ac:dyDescent="0.3">
      <c r="A126" t="s">
        <v>3304</v>
      </c>
      <c r="B126" t="s">
        <v>3305</v>
      </c>
      <c r="C126" t="s">
        <v>35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12"/>
        <v>2</v>
      </c>
      <c r="M126">
        <v>0</v>
      </c>
      <c r="N126">
        <v>0</v>
      </c>
      <c r="O126">
        <v>2</v>
      </c>
      <c r="P126" s="1">
        <f t="shared" si="13"/>
        <v>0</v>
      </c>
      <c r="Q126">
        <f t="shared" si="14"/>
        <v>2</v>
      </c>
      <c r="R126" s="1">
        <f t="shared" si="15"/>
        <v>0</v>
      </c>
    </row>
    <row r="127" spans="1:18" x14ac:dyDescent="0.3">
      <c r="A127" t="s">
        <v>3306</v>
      </c>
      <c r="B127" t="s">
        <v>3307</v>
      </c>
      <c r="C127" t="s">
        <v>35</v>
      </c>
      <c r="D127">
        <v>33</v>
      </c>
      <c r="E127">
        <v>38</v>
      </c>
      <c r="F127" t="s">
        <v>3082</v>
      </c>
      <c r="G127" s="1">
        <v>1644.45</v>
      </c>
      <c r="H127">
        <v>51</v>
      </c>
      <c r="I127">
        <v>1</v>
      </c>
      <c r="J127">
        <v>2</v>
      </c>
      <c r="K127">
        <v>2</v>
      </c>
      <c r="L127">
        <f t="shared" si="12"/>
        <v>4</v>
      </c>
      <c r="M127">
        <v>0</v>
      </c>
      <c r="N127">
        <v>0</v>
      </c>
      <c r="O127">
        <v>6</v>
      </c>
      <c r="P127" s="1">
        <f t="shared" si="13"/>
        <v>0</v>
      </c>
      <c r="Q127">
        <f t="shared" si="14"/>
        <v>6</v>
      </c>
      <c r="R127" s="1">
        <f t="shared" si="15"/>
        <v>9866.7000000000007</v>
      </c>
    </row>
    <row r="128" spans="1:18" x14ac:dyDescent="0.3">
      <c r="A128" t="s">
        <v>3308</v>
      </c>
      <c r="B128" t="s">
        <v>3309</v>
      </c>
      <c r="C128" t="s">
        <v>35</v>
      </c>
      <c r="D128">
        <v>34</v>
      </c>
      <c r="E128">
        <v>30</v>
      </c>
      <c r="F128" t="s">
        <v>3082</v>
      </c>
      <c r="G128" s="1">
        <v>2207.34</v>
      </c>
      <c r="H128">
        <v>32</v>
      </c>
      <c r="I128">
        <v>0.5</v>
      </c>
      <c r="J128">
        <v>1</v>
      </c>
      <c r="K128">
        <v>1</v>
      </c>
      <c r="L128">
        <f t="shared" si="12"/>
        <v>2</v>
      </c>
      <c r="M128">
        <v>0</v>
      </c>
      <c r="N128">
        <v>0</v>
      </c>
      <c r="O128">
        <v>2</v>
      </c>
      <c r="P128" s="1">
        <f t="shared" si="13"/>
        <v>0</v>
      </c>
      <c r="Q128">
        <f t="shared" si="14"/>
        <v>2</v>
      </c>
      <c r="R128" s="1">
        <f t="shared" si="15"/>
        <v>4414.68</v>
      </c>
    </row>
    <row r="129" spans="1:18" x14ac:dyDescent="0.3">
      <c r="A129" t="s">
        <v>3310</v>
      </c>
      <c r="B129" t="s">
        <v>3311</v>
      </c>
      <c r="C129" t="s">
        <v>35</v>
      </c>
      <c r="D129">
        <v>33</v>
      </c>
      <c r="E129">
        <v>72</v>
      </c>
      <c r="F129" t="s">
        <v>3082</v>
      </c>
      <c r="G129" s="1">
        <v>3058.29</v>
      </c>
      <c r="H129">
        <v>101</v>
      </c>
      <c r="I129">
        <v>0.9</v>
      </c>
      <c r="J129">
        <v>3.5</v>
      </c>
      <c r="K129">
        <v>3</v>
      </c>
      <c r="L129">
        <f t="shared" si="12"/>
        <v>7</v>
      </c>
      <c r="M129">
        <v>0</v>
      </c>
      <c r="N129">
        <v>0</v>
      </c>
      <c r="O129">
        <v>10</v>
      </c>
      <c r="P129" s="1">
        <f t="shared" si="13"/>
        <v>0</v>
      </c>
      <c r="Q129">
        <f t="shared" si="14"/>
        <v>10</v>
      </c>
      <c r="R129" s="1">
        <f t="shared" si="15"/>
        <v>30582.9</v>
      </c>
    </row>
    <row r="130" spans="1:18" x14ac:dyDescent="0.3">
      <c r="A130" t="s">
        <v>3312</v>
      </c>
      <c r="B130" t="s">
        <v>3313</v>
      </c>
      <c r="C130" t="s">
        <v>35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61" si="16">ROUNDUP((J130*I130)+K130,0)</f>
        <v>2</v>
      </c>
      <c r="M130">
        <v>0</v>
      </c>
      <c r="N130">
        <v>0</v>
      </c>
      <c r="O130">
        <v>2</v>
      </c>
      <c r="P130" s="1">
        <f t="shared" ref="P130:P161" si="17">IFERROR(M130*G130,0)</f>
        <v>0</v>
      </c>
      <c r="Q130">
        <f t="shared" ref="Q130:Q161" si="18">IF(O130-M130-N130&gt;0,O130-M130-N130,0)</f>
        <v>2</v>
      </c>
      <c r="R130" s="1">
        <f t="shared" ref="R130:R161" si="19">IFERROR(Q130*G130,0)</f>
        <v>0</v>
      </c>
    </row>
    <row r="131" spans="1:18" x14ac:dyDescent="0.3">
      <c r="A131" t="s">
        <v>3314</v>
      </c>
      <c r="B131" t="s">
        <v>3315</v>
      </c>
      <c r="C131" t="s">
        <v>35</v>
      </c>
      <c r="D131">
        <v>1</v>
      </c>
      <c r="E131">
        <v>0</v>
      </c>
      <c r="G131" s="1">
        <v>0</v>
      </c>
      <c r="H131">
        <v>4</v>
      </c>
      <c r="I131">
        <v>0.5</v>
      </c>
      <c r="J131">
        <v>4</v>
      </c>
      <c r="K131">
        <v>2</v>
      </c>
      <c r="L131">
        <f t="shared" si="16"/>
        <v>4</v>
      </c>
      <c r="M131">
        <v>0</v>
      </c>
      <c r="N131">
        <v>0</v>
      </c>
      <c r="O131">
        <v>10</v>
      </c>
      <c r="P131" s="1">
        <f t="shared" si="17"/>
        <v>0</v>
      </c>
      <c r="Q131">
        <f t="shared" si="18"/>
        <v>10</v>
      </c>
      <c r="R131" s="1">
        <f t="shared" si="19"/>
        <v>0</v>
      </c>
    </row>
    <row r="132" spans="1:18" x14ac:dyDescent="0.3">
      <c r="A132" t="s">
        <v>3316</v>
      </c>
      <c r="B132" t="s">
        <v>3317</v>
      </c>
      <c r="C132" t="s">
        <v>35</v>
      </c>
      <c r="D132">
        <v>1</v>
      </c>
      <c r="E132">
        <v>0</v>
      </c>
      <c r="G132" s="1">
        <v>0</v>
      </c>
      <c r="H132">
        <v>0</v>
      </c>
      <c r="I132">
        <v>0.5</v>
      </c>
      <c r="J132">
        <v>1</v>
      </c>
      <c r="K132">
        <v>1</v>
      </c>
      <c r="L132">
        <f t="shared" si="16"/>
        <v>2</v>
      </c>
      <c r="M132">
        <v>0</v>
      </c>
      <c r="N132">
        <v>0</v>
      </c>
      <c r="O132">
        <v>2</v>
      </c>
      <c r="P132" s="1">
        <f t="shared" si="17"/>
        <v>0</v>
      </c>
      <c r="Q132">
        <f t="shared" si="18"/>
        <v>2</v>
      </c>
      <c r="R132" s="1">
        <f t="shared" si="19"/>
        <v>0</v>
      </c>
    </row>
    <row r="133" spans="1:18" x14ac:dyDescent="0.3">
      <c r="A133" t="s">
        <v>3318</v>
      </c>
      <c r="B133" t="s">
        <v>3319</v>
      </c>
      <c r="C133" t="s">
        <v>35</v>
      </c>
      <c r="D133">
        <v>1</v>
      </c>
      <c r="E133">
        <v>0</v>
      </c>
      <c r="G133" s="1">
        <v>0</v>
      </c>
      <c r="H133">
        <v>0</v>
      </c>
      <c r="I133">
        <v>0.5</v>
      </c>
      <c r="J133">
        <v>1</v>
      </c>
      <c r="K133">
        <v>1</v>
      </c>
      <c r="L133">
        <f t="shared" si="16"/>
        <v>2</v>
      </c>
      <c r="M133">
        <v>0</v>
      </c>
      <c r="N133">
        <v>0</v>
      </c>
      <c r="O133">
        <v>2</v>
      </c>
      <c r="P133" s="1">
        <f t="shared" si="17"/>
        <v>0</v>
      </c>
      <c r="Q133">
        <f t="shared" si="18"/>
        <v>2</v>
      </c>
      <c r="R133" s="1">
        <f t="shared" si="19"/>
        <v>0</v>
      </c>
    </row>
    <row r="134" spans="1:18" x14ac:dyDescent="0.3">
      <c r="A134" t="s">
        <v>3320</v>
      </c>
      <c r="B134" t="s">
        <v>3321</v>
      </c>
      <c r="C134" t="s">
        <v>35</v>
      </c>
      <c r="D134">
        <v>1</v>
      </c>
      <c r="E134">
        <v>0</v>
      </c>
      <c r="G134" s="1">
        <v>0</v>
      </c>
      <c r="H134">
        <v>0</v>
      </c>
      <c r="I134">
        <v>0.5</v>
      </c>
      <c r="J134">
        <v>1</v>
      </c>
      <c r="K134">
        <v>1</v>
      </c>
      <c r="L134">
        <f t="shared" si="16"/>
        <v>2</v>
      </c>
      <c r="M134">
        <v>0</v>
      </c>
      <c r="N134">
        <v>0</v>
      </c>
      <c r="O134">
        <v>2</v>
      </c>
      <c r="P134" s="1">
        <f t="shared" si="17"/>
        <v>0</v>
      </c>
      <c r="Q134">
        <f t="shared" si="18"/>
        <v>2</v>
      </c>
      <c r="R134" s="1">
        <f t="shared" si="19"/>
        <v>0</v>
      </c>
    </row>
    <row r="135" spans="1:18" x14ac:dyDescent="0.3">
      <c r="A135" t="s">
        <v>3322</v>
      </c>
      <c r="B135" t="s">
        <v>3323</v>
      </c>
      <c r="C135" t="s">
        <v>35</v>
      </c>
      <c r="D135">
        <v>27</v>
      </c>
      <c r="E135">
        <v>0</v>
      </c>
      <c r="G135" s="1">
        <v>0</v>
      </c>
      <c r="H135">
        <v>33</v>
      </c>
      <c r="I135">
        <v>0.5</v>
      </c>
      <c r="J135">
        <v>1.5</v>
      </c>
      <c r="K135">
        <v>1</v>
      </c>
      <c r="L135">
        <f t="shared" si="16"/>
        <v>2</v>
      </c>
      <c r="M135">
        <v>0</v>
      </c>
      <c r="N135">
        <v>0</v>
      </c>
      <c r="O135">
        <v>4</v>
      </c>
      <c r="P135" s="1">
        <f t="shared" si="17"/>
        <v>0</v>
      </c>
      <c r="Q135">
        <f t="shared" si="18"/>
        <v>4</v>
      </c>
      <c r="R135" s="1">
        <f t="shared" si="19"/>
        <v>0</v>
      </c>
    </row>
    <row r="136" spans="1:18" x14ac:dyDescent="0.3">
      <c r="A136" t="s">
        <v>3324</v>
      </c>
      <c r="B136" t="s">
        <v>3325</v>
      </c>
      <c r="C136" t="s">
        <v>35</v>
      </c>
      <c r="D136">
        <v>28</v>
      </c>
      <c r="E136">
        <v>144</v>
      </c>
      <c r="F136" t="s">
        <v>3082</v>
      </c>
      <c r="G136" s="1">
        <v>35.35</v>
      </c>
      <c r="H136">
        <v>128</v>
      </c>
      <c r="I136">
        <v>0.7</v>
      </c>
      <c r="J136">
        <v>5.5</v>
      </c>
      <c r="K136">
        <v>4</v>
      </c>
      <c r="L136">
        <f t="shared" si="16"/>
        <v>8</v>
      </c>
      <c r="M136">
        <v>0</v>
      </c>
      <c r="N136">
        <v>0</v>
      </c>
      <c r="O136">
        <v>15</v>
      </c>
      <c r="P136" s="1">
        <f t="shared" si="17"/>
        <v>0</v>
      </c>
      <c r="Q136">
        <f t="shared" si="18"/>
        <v>15</v>
      </c>
      <c r="R136" s="1">
        <f t="shared" si="19"/>
        <v>530.25</v>
      </c>
    </row>
    <row r="137" spans="1:18" x14ac:dyDescent="0.3">
      <c r="A137" t="s">
        <v>3326</v>
      </c>
      <c r="B137" t="s">
        <v>3327</v>
      </c>
      <c r="C137" t="s">
        <v>35</v>
      </c>
      <c r="D137">
        <v>28</v>
      </c>
      <c r="E137">
        <v>0</v>
      </c>
      <c r="G137" s="1">
        <v>0</v>
      </c>
      <c r="H137">
        <v>3</v>
      </c>
      <c r="I137">
        <v>0.5</v>
      </c>
      <c r="J137">
        <v>1</v>
      </c>
      <c r="K137">
        <v>1</v>
      </c>
      <c r="L137">
        <f t="shared" si="16"/>
        <v>2</v>
      </c>
      <c r="M137">
        <v>0</v>
      </c>
      <c r="N137">
        <v>0</v>
      </c>
      <c r="O137">
        <v>2</v>
      </c>
      <c r="P137" s="1">
        <f t="shared" si="17"/>
        <v>0</v>
      </c>
      <c r="Q137">
        <f t="shared" si="18"/>
        <v>2</v>
      </c>
      <c r="R137" s="1">
        <f t="shared" si="19"/>
        <v>0</v>
      </c>
    </row>
    <row r="138" spans="1:18" x14ac:dyDescent="0.3">
      <c r="A138" t="s">
        <v>3328</v>
      </c>
      <c r="B138" t="s">
        <v>3329</v>
      </c>
      <c r="C138" t="s">
        <v>35</v>
      </c>
      <c r="D138">
        <v>33</v>
      </c>
      <c r="E138">
        <v>0</v>
      </c>
      <c r="G138" s="1">
        <v>0</v>
      </c>
      <c r="H138">
        <v>4</v>
      </c>
      <c r="I138">
        <v>0.5</v>
      </c>
      <c r="J138">
        <v>1</v>
      </c>
      <c r="K138">
        <v>1</v>
      </c>
      <c r="L138">
        <f t="shared" si="16"/>
        <v>2</v>
      </c>
      <c r="M138">
        <v>0</v>
      </c>
      <c r="N138">
        <v>0</v>
      </c>
      <c r="O138">
        <v>2</v>
      </c>
      <c r="P138" s="1">
        <f t="shared" si="17"/>
        <v>0</v>
      </c>
      <c r="Q138">
        <f t="shared" si="18"/>
        <v>2</v>
      </c>
      <c r="R138" s="1">
        <f t="shared" si="19"/>
        <v>0</v>
      </c>
    </row>
    <row r="139" spans="1:18" x14ac:dyDescent="0.3">
      <c r="A139" t="s">
        <v>3330</v>
      </c>
      <c r="B139" t="s">
        <v>3331</v>
      </c>
      <c r="C139" t="s">
        <v>35</v>
      </c>
      <c r="D139">
        <v>5</v>
      </c>
      <c r="E139">
        <v>0</v>
      </c>
      <c r="G139" s="1">
        <v>0</v>
      </c>
      <c r="H139">
        <v>3</v>
      </c>
      <c r="I139">
        <v>0.5</v>
      </c>
      <c r="J139">
        <v>1</v>
      </c>
      <c r="K139">
        <v>1</v>
      </c>
      <c r="L139">
        <f t="shared" si="16"/>
        <v>2</v>
      </c>
      <c r="M139">
        <v>0</v>
      </c>
      <c r="N139">
        <v>0</v>
      </c>
      <c r="O139">
        <v>2</v>
      </c>
      <c r="P139" s="1">
        <f t="shared" si="17"/>
        <v>0</v>
      </c>
      <c r="Q139">
        <f t="shared" si="18"/>
        <v>2</v>
      </c>
      <c r="R139" s="1">
        <f t="shared" si="19"/>
        <v>0</v>
      </c>
    </row>
    <row r="140" spans="1:18" x14ac:dyDescent="0.3">
      <c r="A140" t="s">
        <v>3332</v>
      </c>
      <c r="B140" t="s">
        <v>3333</v>
      </c>
      <c r="C140" t="s">
        <v>35</v>
      </c>
      <c r="D140">
        <v>1</v>
      </c>
      <c r="E140">
        <v>0</v>
      </c>
      <c r="G140" s="1">
        <v>0</v>
      </c>
      <c r="H140">
        <v>0</v>
      </c>
      <c r="I140">
        <v>0.5</v>
      </c>
      <c r="J140">
        <v>1</v>
      </c>
      <c r="K140">
        <v>1</v>
      </c>
      <c r="L140">
        <f t="shared" si="16"/>
        <v>2</v>
      </c>
      <c r="M140">
        <v>0</v>
      </c>
      <c r="N140">
        <v>0</v>
      </c>
      <c r="O140">
        <v>2</v>
      </c>
      <c r="P140" s="1">
        <f t="shared" si="17"/>
        <v>0</v>
      </c>
      <c r="Q140">
        <f t="shared" si="18"/>
        <v>2</v>
      </c>
      <c r="R140" s="1">
        <f t="shared" si="19"/>
        <v>0</v>
      </c>
    </row>
    <row r="141" spans="1:18" x14ac:dyDescent="0.3">
      <c r="A141" t="s">
        <v>3334</v>
      </c>
      <c r="B141" t="s">
        <v>3335</v>
      </c>
      <c r="C141" t="s">
        <v>35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16"/>
        <v>2</v>
      </c>
      <c r="M141">
        <v>0</v>
      </c>
      <c r="N141">
        <v>0</v>
      </c>
      <c r="O141">
        <v>2</v>
      </c>
      <c r="P141" s="1">
        <f t="shared" si="17"/>
        <v>0</v>
      </c>
      <c r="Q141">
        <f t="shared" si="18"/>
        <v>2</v>
      </c>
      <c r="R141" s="1">
        <f t="shared" si="19"/>
        <v>0</v>
      </c>
    </row>
    <row r="142" spans="1:18" x14ac:dyDescent="0.3">
      <c r="A142" t="s">
        <v>3336</v>
      </c>
      <c r="B142" t="s">
        <v>3337</v>
      </c>
      <c r="C142" t="s">
        <v>35</v>
      </c>
      <c r="D142">
        <v>1</v>
      </c>
      <c r="E142">
        <v>0</v>
      </c>
      <c r="G142" s="1">
        <v>0</v>
      </c>
      <c r="H142">
        <v>0</v>
      </c>
      <c r="I142">
        <v>0.5</v>
      </c>
      <c r="J142">
        <v>1</v>
      </c>
      <c r="K142">
        <v>1</v>
      </c>
      <c r="L142">
        <f t="shared" si="16"/>
        <v>2</v>
      </c>
      <c r="M142">
        <v>0</v>
      </c>
      <c r="N142">
        <v>0</v>
      </c>
      <c r="O142">
        <v>2</v>
      </c>
      <c r="P142" s="1">
        <f t="shared" si="17"/>
        <v>0</v>
      </c>
      <c r="Q142">
        <f t="shared" si="18"/>
        <v>2</v>
      </c>
      <c r="R142" s="1">
        <f t="shared" si="19"/>
        <v>0</v>
      </c>
    </row>
    <row r="143" spans="1:18" x14ac:dyDescent="0.3">
      <c r="A143" t="s">
        <v>3338</v>
      </c>
      <c r="B143" t="s">
        <v>3339</v>
      </c>
      <c r="C143" t="s">
        <v>35</v>
      </c>
      <c r="D143">
        <v>16</v>
      </c>
      <c r="E143">
        <v>0</v>
      </c>
      <c r="G143" s="1">
        <v>47.94</v>
      </c>
      <c r="H143">
        <v>6</v>
      </c>
      <c r="I143">
        <v>0.5</v>
      </c>
      <c r="J143">
        <v>1</v>
      </c>
      <c r="K143">
        <v>1</v>
      </c>
      <c r="L143">
        <f t="shared" si="16"/>
        <v>2</v>
      </c>
      <c r="M143">
        <v>0</v>
      </c>
      <c r="N143">
        <v>0</v>
      </c>
      <c r="O143">
        <v>2</v>
      </c>
      <c r="P143" s="1">
        <f t="shared" si="17"/>
        <v>0</v>
      </c>
      <c r="Q143">
        <f t="shared" si="18"/>
        <v>2</v>
      </c>
      <c r="R143" s="1">
        <f t="shared" si="19"/>
        <v>95.88</v>
      </c>
    </row>
    <row r="144" spans="1:18" x14ac:dyDescent="0.3">
      <c r="A144" t="s">
        <v>3340</v>
      </c>
      <c r="B144" t="s">
        <v>3341</v>
      </c>
      <c r="C144" t="s">
        <v>35</v>
      </c>
      <c r="D144">
        <v>16</v>
      </c>
      <c r="E144">
        <v>0</v>
      </c>
      <c r="G144" s="1">
        <v>31.15</v>
      </c>
      <c r="H144">
        <v>11</v>
      </c>
      <c r="I144">
        <v>0.5</v>
      </c>
      <c r="J144">
        <v>1</v>
      </c>
      <c r="K144">
        <v>1</v>
      </c>
      <c r="L144">
        <f t="shared" si="16"/>
        <v>2</v>
      </c>
      <c r="M144">
        <v>0</v>
      </c>
      <c r="N144">
        <v>0</v>
      </c>
      <c r="O144">
        <v>2</v>
      </c>
      <c r="P144" s="1">
        <f t="shared" si="17"/>
        <v>0</v>
      </c>
      <c r="Q144">
        <f t="shared" si="18"/>
        <v>2</v>
      </c>
      <c r="R144" s="1">
        <f t="shared" si="19"/>
        <v>62.3</v>
      </c>
    </row>
    <row r="145" spans="1:18" x14ac:dyDescent="0.3">
      <c r="A145" t="s">
        <v>3342</v>
      </c>
      <c r="B145" t="s">
        <v>3343</v>
      </c>
      <c r="C145" t="s">
        <v>35</v>
      </c>
      <c r="D145">
        <v>1</v>
      </c>
      <c r="E145">
        <v>0</v>
      </c>
      <c r="G145" s="1">
        <v>0</v>
      </c>
      <c r="H145">
        <v>0</v>
      </c>
      <c r="I145">
        <v>0.5</v>
      </c>
      <c r="J145">
        <v>1</v>
      </c>
      <c r="K145">
        <v>1</v>
      </c>
      <c r="L145">
        <f t="shared" si="16"/>
        <v>2</v>
      </c>
      <c r="M145">
        <v>0</v>
      </c>
      <c r="N145">
        <v>0</v>
      </c>
      <c r="O145">
        <v>2</v>
      </c>
      <c r="P145" s="1">
        <f t="shared" si="17"/>
        <v>0</v>
      </c>
      <c r="Q145">
        <f t="shared" si="18"/>
        <v>2</v>
      </c>
      <c r="R145" s="1">
        <f t="shared" si="19"/>
        <v>0</v>
      </c>
    </row>
    <row r="146" spans="1:18" x14ac:dyDescent="0.3">
      <c r="A146" t="s">
        <v>3344</v>
      </c>
      <c r="B146" t="s">
        <v>3345</v>
      </c>
      <c r="C146" t="s">
        <v>35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16"/>
        <v>2</v>
      </c>
      <c r="M146">
        <v>0</v>
      </c>
      <c r="N146">
        <v>0</v>
      </c>
      <c r="O146">
        <v>2</v>
      </c>
      <c r="P146" s="1">
        <f t="shared" si="17"/>
        <v>0</v>
      </c>
      <c r="Q146">
        <f t="shared" si="18"/>
        <v>2</v>
      </c>
      <c r="R146" s="1">
        <f t="shared" si="19"/>
        <v>0</v>
      </c>
    </row>
    <row r="147" spans="1:18" x14ac:dyDescent="0.3">
      <c r="A147" t="s">
        <v>3346</v>
      </c>
      <c r="B147" t="s">
        <v>3347</v>
      </c>
      <c r="C147" t="s">
        <v>35</v>
      </c>
      <c r="D147">
        <v>13</v>
      </c>
      <c r="E147">
        <v>0</v>
      </c>
      <c r="G147" s="1">
        <v>0</v>
      </c>
      <c r="H147">
        <v>4</v>
      </c>
      <c r="I147">
        <v>0.5</v>
      </c>
      <c r="J147">
        <v>1</v>
      </c>
      <c r="K147">
        <v>1</v>
      </c>
      <c r="L147">
        <f t="shared" si="16"/>
        <v>2</v>
      </c>
      <c r="M147">
        <v>0</v>
      </c>
      <c r="N147">
        <v>0</v>
      </c>
      <c r="O147">
        <v>2</v>
      </c>
      <c r="P147" s="1">
        <f t="shared" si="17"/>
        <v>0</v>
      </c>
      <c r="Q147">
        <f t="shared" si="18"/>
        <v>2</v>
      </c>
      <c r="R147" s="1">
        <f t="shared" si="19"/>
        <v>0</v>
      </c>
    </row>
    <row r="148" spans="1:18" x14ac:dyDescent="0.3">
      <c r="A148" t="s">
        <v>3348</v>
      </c>
      <c r="B148" t="s">
        <v>3349</v>
      </c>
      <c r="C148" t="s">
        <v>35</v>
      </c>
      <c r="D148">
        <v>15</v>
      </c>
      <c r="E148">
        <v>0</v>
      </c>
      <c r="G148" s="1">
        <v>0</v>
      </c>
      <c r="H148">
        <v>1</v>
      </c>
      <c r="I148">
        <v>0.5</v>
      </c>
      <c r="J148">
        <v>1</v>
      </c>
      <c r="K148">
        <v>1</v>
      </c>
      <c r="L148">
        <f t="shared" si="16"/>
        <v>2</v>
      </c>
      <c r="M148">
        <v>0</v>
      </c>
      <c r="N148">
        <v>0</v>
      </c>
      <c r="O148">
        <v>2</v>
      </c>
      <c r="P148" s="1">
        <f t="shared" si="17"/>
        <v>0</v>
      </c>
      <c r="Q148">
        <f t="shared" si="18"/>
        <v>2</v>
      </c>
      <c r="R148" s="1">
        <f t="shared" si="19"/>
        <v>0</v>
      </c>
    </row>
    <row r="149" spans="1:18" x14ac:dyDescent="0.3">
      <c r="A149" t="s">
        <v>3350</v>
      </c>
      <c r="B149" t="s">
        <v>3351</v>
      </c>
      <c r="C149" t="s">
        <v>35</v>
      </c>
      <c r="D149">
        <v>1</v>
      </c>
      <c r="E149">
        <v>0</v>
      </c>
      <c r="G149" s="1">
        <v>0</v>
      </c>
      <c r="H149">
        <v>0</v>
      </c>
      <c r="I149">
        <v>0.5</v>
      </c>
      <c r="J149">
        <v>1</v>
      </c>
      <c r="K149">
        <v>1</v>
      </c>
      <c r="L149">
        <f t="shared" si="16"/>
        <v>2</v>
      </c>
      <c r="M149">
        <v>0</v>
      </c>
      <c r="N149">
        <v>0</v>
      </c>
      <c r="O149">
        <v>2</v>
      </c>
      <c r="P149" s="1">
        <f t="shared" si="17"/>
        <v>0</v>
      </c>
      <c r="Q149">
        <f t="shared" si="18"/>
        <v>2</v>
      </c>
      <c r="R149" s="1">
        <f t="shared" si="19"/>
        <v>0</v>
      </c>
    </row>
    <row r="150" spans="1:18" x14ac:dyDescent="0.3">
      <c r="A150" t="s">
        <v>3352</v>
      </c>
      <c r="B150" t="s">
        <v>3353</v>
      </c>
      <c r="C150" t="s">
        <v>35</v>
      </c>
      <c r="D150">
        <v>29</v>
      </c>
      <c r="E150">
        <v>0</v>
      </c>
      <c r="G150" s="1">
        <v>0</v>
      </c>
      <c r="H150">
        <v>1</v>
      </c>
      <c r="I150">
        <v>0.5</v>
      </c>
      <c r="J150">
        <v>1</v>
      </c>
      <c r="K150">
        <v>1</v>
      </c>
      <c r="L150">
        <f t="shared" si="16"/>
        <v>2</v>
      </c>
      <c r="M150">
        <v>0</v>
      </c>
      <c r="N150">
        <v>0</v>
      </c>
      <c r="O150">
        <v>2</v>
      </c>
      <c r="P150" s="1">
        <f t="shared" si="17"/>
        <v>0</v>
      </c>
      <c r="Q150">
        <f t="shared" si="18"/>
        <v>2</v>
      </c>
      <c r="R150" s="1">
        <f t="shared" si="19"/>
        <v>0</v>
      </c>
    </row>
    <row r="151" spans="1:18" x14ac:dyDescent="0.3">
      <c r="A151" t="s">
        <v>3354</v>
      </c>
      <c r="B151" t="s">
        <v>3355</v>
      </c>
      <c r="C151" t="s">
        <v>35</v>
      </c>
      <c r="D151">
        <v>1</v>
      </c>
      <c r="E151">
        <v>0</v>
      </c>
      <c r="G151" s="1">
        <v>0</v>
      </c>
      <c r="H151">
        <v>0</v>
      </c>
      <c r="I151">
        <v>0.5</v>
      </c>
      <c r="J151">
        <v>1</v>
      </c>
      <c r="K151">
        <v>1</v>
      </c>
      <c r="L151">
        <f t="shared" si="16"/>
        <v>2</v>
      </c>
      <c r="M151">
        <v>0</v>
      </c>
      <c r="N151">
        <v>0</v>
      </c>
      <c r="O151">
        <v>2</v>
      </c>
      <c r="P151" s="1">
        <f t="shared" si="17"/>
        <v>0</v>
      </c>
      <c r="Q151">
        <f t="shared" si="18"/>
        <v>2</v>
      </c>
      <c r="R151" s="1">
        <f t="shared" si="19"/>
        <v>0</v>
      </c>
    </row>
    <row r="152" spans="1:18" x14ac:dyDescent="0.3">
      <c r="A152" t="s">
        <v>3356</v>
      </c>
      <c r="B152" t="s">
        <v>3357</v>
      </c>
      <c r="C152" t="s">
        <v>35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16"/>
        <v>2</v>
      </c>
      <c r="M152">
        <v>0</v>
      </c>
      <c r="N152">
        <v>0</v>
      </c>
      <c r="O152">
        <v>2</v>
      </c>
      <c r="P152" s="1">
        <f t="shared" si="17"/>
        <v>0</v>
      </c>
      <c r="Q152">
        <f t="shared" si="18"/>
        <v>2</v>
      </c>
      <c r="R152" s="1">
        <f t="shared" si="19"/>
        <v>0</v>
      </c>
    </row>
    <row r="153" spans="1:18" x14ac:dyDescent="0.3">
      <c r="A153" t="s">
        <v>3358</v>
      </c>
      <c r="B153" t="s">
        <v>3359</v>
      </c>
      <c r="C153" t="s">
        <v>35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f t="shared" si="16"/>
        <v>2</v>
      </c>
      <c r="M153">
        <v>0</v>
      </c>
      <c r="N153">
        <v>0</v>
      </c>
      <c r="O153">
        <v>2</v>
      </c>
      <c r="P153" s="1">
        <f t="shared" si="17"/>
        <v>0</v>
      </c>
      <c r="Q153">
        <f t="shared" si="18"/>
        <v>2</v>
      </c>
      <c r="R153" s="1">
        <f t="shared" si="19"/>
        <v>0</v>
      </c>
    </row>
    <row r="154" spans="1:18" x14ac:dyDescent="0.3">
      <c r="A154" t="s">
        <v>3360</v>
      </c>
      <c r="B154" t="s">
        <v>3361</v>
      </c>
      <c r="C154" t="s">
        <v>35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16"/>
        <v>2</v>
      </c>
      <c r="M154">
        <v>0</v>
      </c>
      <c r="N154">
        <v>0</v>
      </c>
      <c r="O154">
        <v>2</v>
      </c>
      <c r="P154" s="1">
        <f t="shared" si="17"/>
        <v>0</v>
      </c>
      <c r="Q154">
        <f t="shared" si="18"/>
        <v>2</v>
      </c>
      <c r="R154" s="1">
        <f t="shared" si="19"/>
        <v>0</v>
      </c>
    </row>
    <row r="155" spans="1:18" x14ac:dyDescent="0.3">
      <c r="A155" t="s">
        <v>3362</v>
      </c>
      <c r="B155" t="s">
        <v>3363</v>
      </c>
      <c r="C155" t="s">
        <v>35</v>
      </c>
      <c r="D155">
        <v>1</v>
      </c>
      <c r="E155">
        <v>0</v>
      </c>
      <c r="G155" s="1">
        <v>0</v>
      </c>
      <c r="H155">
        <v>0</v>
      </c>
      <c r="I155">
        <v>0.5</v>
      </c>
      <c r="J155">
        <v>1</v>
      </c>
      <c r="K155">
        <v>1</v>
      </c>
      <c r="L155">
        <f t="shared" si="16"/>
        <v>2</v>
      </c>
      <c r="M155">
        <v>0</v>
      </c>
      <c r="N155">
        <v>0</v>
      </c>
      <c r="O155">
        <v>2</v>
      </c>
      <c r="P155" s="1">
        <f t="shared" si="17"/>
        <v>0</v>
      </c>
      <c r="Q155">
        <f t="shared" si="18"/>
        <v>2</v>
      </c>
      <c r="R155" s="1">
        <f t="shared" si="19"/>
        <v>0</v>
      </c>
    </row>
    <row r="156" spans="1:18" x14ac:dyDescent="0.3">
      <c r="A156" t="s">
        <v>3364</v>
      </c>
      <c r="B156" t="s">
        <v>3365</v>
      </c>
      <c r="C156" t="s">
        <v>35</v>
      </c>
      <c r="D156">
        <v>1</v>
      </c>
      <c r="E156">
        <v>0</v>
      </c>
      <c r="G156" s="1">
        <v>0</v>
      </c>
      <c r="H156">
        <v>1</v>
      </c>
      <c r="I156">
        <v>0.5</v>
      </c>
      <c r="J156">
        <v>1</v>
      </c>
      <c r="K156">
        <v>1</v>
      </c>
      <c r="L156">
        <f t="shared" si="16"/>
        <v>2</v>
      </c>
      <c r="M156">
        <v>0</v>
      </c>
      <c r="N156">
        <v>0</v>
      </c>
      <c r="O156">
        <v>2</v>
      </c>
      <c r="P156" s="1">
        <f t="shared" si="17"/>
        <v>0</v>
      </c>
      <c r="Q156">
        <f t="shared" si="18"/>
        <v>2</v>
      </c>
      <c r="R156" s="1">
        <f t="shared" si="19"/>
        <v>0</v>
      </c>
    </row>
    <row r="157" spans="1:18" x14ac:dyDescent="0.3">
      <c r="A157" t="s">
        <v>3366</v>
      </c>
      <c r="B157" t="s">
        <v>3367</v>
      </c>
      <c r="C157" t="s">
        <v>35</v>
      </c>
      <c r="D157">
        <v>1</v>
      </c>
      <c r="E157">
        <v>0</v>
      </c>
      <c r="G157" s="1">
        <v>0</v>
      </c>
      <c r="H157">
        <v>0</v>
      </c>
      <c r="I157">
        <v>0.5</v>
      </c>
      <c r="J157">
        <v>1</v>
      </c>
      <c r="K157">
        <v>1</v>
      </c>
      <c r="L157">
        <f t="shared" si="16"/>
        <v>2</v>
      </c>
      <c r="M157">
        <v>0</v>
      </c>
      <c r="N157">
        <v>0</v>
      </c>
      <c r="O157">
        <v>2</v>
      </c>
      <c r="P157" s="1">
        <f t="shared" si="17"/>
        <v>0</v>
      </c>
      <c r="Q157">
        <f t="shared" si="18"/>
        <v>2</v>
      </c>
      <c r="R157" s="1">
        <f t="shared" si="19"/>
        <v>0</v>
      </c>
    </row>
    <row r="158" spans="1:18" x14ac:dyDescent="0.3">
      <c r="A158" t="s">
        <v>3368</v>
      </c>
      <c r="B158" t="s">
        <v>3369</v>
      </c>
      <c r="C158" t="s">
        <v>35</v>
      </c>
      <c r="D158">
        <v>1</v>
      </c>
      <c r="E158">
        <v>0</v>
      </c>
      <c r="G158" s="1">
        <v>0</v>
      </c>
      <c r="H158">
        <v>0</v>
      </c>
      <c r="I158">
        <v>0.5</v>
      </c>
      <c r="J158">
        <v>1</v>
      </c>
      <c r="K158">
        <v>1</v>
      </c>
      <c r="L158">
        <f t="shared" si="16"/>
        <v>2</v>
      </c>
      <c r="M158">
        <v>0</v>
      </c>
      <c r="N158">
        <v>0</v>
      </c>
      <c r="O158">
        <v>2</v>
      </c>
      <c r="P158" s="1">
        <f t="shared" si="17"/>
        <v>0</v>
      </c>
      <c r="Q158">
        <f t="shared" si="18"/>
        <v>2</v>
      </c>
      <c r="R158" s="1">
        <f t="shared" si="19"/>
        <v>0</v>
      </c>
    </row>
    <row r="159" spans="1:18" x14ac:dyDescent="0.3">
      <c r="A159" t="s">
        <v>3370</v>
      </c>
      <c r="B159" t="s">
        <v>3371</v>
      </c>
      <c r="C159" t="s">
        <v>35</v>
      </c>
      <c r="D159">
        <v>1</v>
      </c>
      <c r="E159">
        <v>0</v>
      </c>
      <c r="G159" s="1">
        <v>0</v>
      </c>
      <c r="H159">
        <v>0</v>
      </c>
      <c r="I159">
        <v>0.5</v>
      </c>
      <c r="J159">
        <v>1</v>
      </c>
      <c r="K159">
        <v>1</v>
      </c>
      <c r="L159">
        <f t="shared" si="16"/>
        <v>2</v>
      </c>
      <c r="M159">
        <v>0</v>
      </c>
      <c r="N159">
        <v>0</v>
      </c>
      <c r="O159">
        <v>2</v>
      </c>
      <c r="P159" s="1">
        <f t="shared" si="17"/>
        <v>0</v>
      </c>
      <c r="Q159">
        <f t="shared" si="18"/>
        <v>2</v>
      </c>
      <c r="R159" s="1">
        <f t="shared" si="19"/>
        <v>0</v>
      </c>
    </row>
    <row r="160" spans="1:18" x14ac:dyDescent="0.3">
      <c r="A160" t="s">
        <v>3372</v>
      </c>
      <c r="B160" t="s">
        <v>3373</v>
      </c>
      <c r="C160" t="s">
        <v>35</v>
      </c>
      <c r="D160">
        <v>12</v>
      </c>
      <c r="E160">
        <v>2</v>
      </c>
      <c r="F160" t="s">
        <v>3082</v>
      </c>
      <c r="G160" s="1">
        <v>4791.0600000000004</v>
      </c>
      <c r="H160">
        <v>5</v>
      </c>
      <c r="I160">
        <v>1.1000000000000001</v>
      </c>
      <c r="J160">
        <v>1</v>
      </c>
      <c r="K160">
        <v>1</v>
      </c>
      <c r="L160">
        <f t="shared" si="16"/>
        <v>3</v>
      </c>
      <c r="M160">
        <v>0</v>
      </c>
      <c r="N160">
        <v>0</v>
      </c>
      <c r="O160">
        <v>3</v>
      </c>
      <c r="P160" s="1">
        <f t="shared" si="17"/>
        <v>0</v>
      </c>
      <c r="Q160">
        <f t="shared" si="18"/>
        <v>3</v>
      </c>
      <c r="R160" s="1">
        <f t="shared" si="19"/>
        <v>14373.18</v>
      </c>
    </row>
    <row r="161" spans="1:18" x14ac:dyDescent="0.3">
      <c r="A161" t="s">
        <v>3374</v>
      </c>
      <c r="B161" t="s">
        <v>3375</v>
      </c>
      <c r="C161" t="s">
        <v>35</v>
      </c>
      <c r="D161">
        <v>14</v>
      </c>
      <c r="E161">
        <v>2</v>
      </c>
      <c r="F161" t="s">
        <v>3082</v>
      </c>
      <c r="G161" s="1">
        <v>7004.13</v>
      </c>
      <c r="H161">
        <v>3</v>
      </c>
      <c r="I161">
        <v>1.2</v>
      </c>
      <c r="J161">
        <v>1</v>
      </c>
      <c r="K161">
        <v>1</v>
      </c>
      <c r="L161">
        <f t="shared" si="16"/>
        <v>3</v>
      </c>
      <c r="M161">
        <v>0</v>
      </c>
      <c r="N161">
        <v>0</v>
      </c>
      <c r="O161">
        <v>3</v>
      </c>
      <c r="P161" s="1">
        <f t="shared" si="17"/>
        <v>0</v>
      </c>
      <c r="Q161">
        <f t="shared" si="18"/>
        <v>3</v>
      </c>
      <c r="R161" s="1">
        <f t="shared" si="19"/>
        <v>21012.39</v>
      </c>
    </row>
    <row r="162" spans="1:18" x14ac:dyDescent="0.3">
      <c r="A162" t="s">
        <v>3376</v>
      </c>
      <c r="B162" t="s">
        <v>3377</v>
      </c>
      <c r="C162" t="s">
        <v>35</v>
      </c>
      <c r="D162">
        <v>6</v>
      </c>
      <c r="E162">
        <v>4</v>
      </c>
      <c r="F162" t="s">
        <v>3082</v>
      </c>
      <c r="G162" s="1">
        <v>7909.61</v>
      </c>
      <c r="H162">
        <v>2</v>
      </c>
      <c r="I162">
        <v>0.5</v>
      </c>
      <c r="J162">
        <v>1</v>
      </c>
      <c r="K162">
        <v>1</v>
      </c>
      <c r="L162">
        <f t="shared" ref="L162:L193" si="20">ROUNDUP((J162*I162)+K162,0)</f>
        <v>2</v>
      </c>
      <c r="M162">
        <v>0</v>
      </c>
      <c r="N162">
        <v>0</v>
      </c>
      <c r="O162">
        <v>2</v>
      </c>
      <c r="P162" s="1">
        <f t="shared" ref="P162:P192" si="21">IFERROR(M162*G162,0)</f>
        <v>0</v>
      </c>
      <c r="Q162">
        <f t="shared" ref="Q162:Q192" si="22">IF(O162-M162-N162&gt;0,O162-M162-N162,0)</f>
        <v>2</v>
      </c>
      <c r="R162" s="1">
        <f t="shared" ref="R162:R193" si="23">IFERROR(Q162*G162,0)</f>
        <v>15819.22</v>
      </c>
    </row>
    <row r="163" spans="1:18" x14ac:dyDescent="0.3">
      <c r="A163" t="s">
        <v>3378</v>
      </c>
      <c r="B163" t="s">
        <v>3379</v>
      </c>
      <c r="C163" t="s">
        <v>35</v>
      </c>
      <c r="D163">
        <v>9</v>
      </c>
      <c r="E163">
        <v>0</v>
      </c>
      <c r="G163" s="1">
        <v>0</v>
      </c>
      <c r="H163">
        <v>1</v>
      </c>
      <c r="I163">
        <v>0.5</v>
      </c>
      <c r="J163">
        <v>1</v>
      </c>
      <c r="K163">
        <v>1</v>
      </c>
      <c r="L163">
        <f t="shared" si="20"/>
        <v>2</v>
      </c>
      <c r="M163">
        <v>0</v>
      </c>
      <c r="N163">
        <v>0</v>
      </c>
      <c r="O163">
        <v>2</v>
      </c>
      <c r="P163" s="1">
        <f t="shared" si="21"/>
        <v>0</v>
      </c>
      <c r="Q163">
        <f t="shared" si="22"/>
        <v>2</v>
      </c>
      <c r="R163" s="1">
        <f t="shared" si="23"/>
        <v>0</v>
      </c>
    </row>
    <row r="164" spans="1:18" x14ac:dyDescent="0.3">
      <c r="A164" t="s">
        <v>3380</v>
      </c>
      <c r="B164" t="s">
        <v>3381</v>
      </c>
      <c r="C164" t="s">
        <v>35</v>
      </c>
      <c r="D164">
        <v>7</v>
      </c>
      <c r="E164">
        <v>0</v>
      </c>
      <c r="G164" s="1">
        <v>0</v>
      </c>
      <c r="H164">
        <v>1</v>
      </c>
      <c r="I164">
        <v>0.5</v>
      </c>
      <c r="J164">
        <v>1</v>
      </c>
      <c r="K164">
        <v>1</v>
      </c>
      <c r="L164">
        <f t="shared" si="20"/>
        <v>2</v>
      </c>
      <c r="M164">
        <v>0</v>
      </c>
      <c r="N164">
        <v>0</v>
      </c>
      <c r="O164">
        <v>2</v>
      </c>
      <c r="P164" s="1">
        <f t="shared" si="21"/>
        <v>0</v>
      </c>
      <c r="Q164">
        <f t="shared" si="22"/>
        <v>2</v>
      </c>
      <c r="R164" s="1">
        <f t="shared" si="23"/>
        <v>0</v>
      </c>
    </row>
    <row r="165" spans="1:18" x14ac:dyDescent="0.3">
      <c r="A165" t="s">
        <v>3382</v>
      </c>
      <c r="B165" t="s">
        <v>3383</v>
      </c>
      <c r="C165" t="s">
        <v>35</v>
      </c>
      <c r="D165">
        <v>35</v>
      </c>
      <c r="E165">
        <v>0</v>
      </c>
      <c r="G165" s="1">
        <v>0</v>
      </c>
      <c r="H165">
        <v>5</v>
      </c>
      <c r="I165">
        <v>0.5</v>
      </c>
      <c r="J165">
        <v>1</v>
      </c>
      <c r="K165">
        <v>1</v>
      </c>
      <c r="L165">
        <f t="shared" si="20"/>
        <v>2</v>
      </c>
      <c r="M165">
        <v>0</v>
      </c>
      <c r="N165">
        <v>0</v>
      </c>
      <c r="O165">
        <v>2</v>
      </c>
      <c r="P165" s="1">
        <f t="shared" si="21"/>
        <v>0</v>
      </c>
      <c r="Q165">
        <f t="shared" si="22"/>
        <v>2</v>
      </c>
      <c r="R165" s="1">
        <f t="shared" si="23"/>
        <v>0</v>
      </c>
    </row>
    <row r="166" spans="1:18" x14ac:dyDescent="0.3">
      <c r="A166" t="s">
        <v>3384</v>
      </c>
      <c r="B166" t="s">
        <v>3385</v>
      </c>
      <c r="C166" t="s">
        <v>35</v>
      </c>
      <c r="D166">
        <v>8</v>
      </c>
      <c r="E166">
        <v>2</v>
      </c>
      <c r="F166" t="s">
        <v>3082</v>
      </c>
      <c r="G166" s="1">
        <v>5930.81</v>
      </c>
      <c r="H166">
        <v>1</v>
      </c>
      <c r="I166">
        <v>1.4</v>
      </c>
      <c r="J166">
        <v>1</v>
      </c>
      <c r="K166">
        <v>1</v>
      </c>
      <c r="L166">
        <f t="shared" si="20"/>
        <v>3</v>
      </c>
      <c r="M166">
        <v>0</v>
      </c>
      <c r="N166">
        <v>0</v>
      </c>
      <c r="O166">
        <v>3</v>
      </c>
      <c r="P166" s="1">
        <f t="shared" si="21"/>
        <v>0</v>
      </c>
      <c r="Q166">
        <f t="shared" si="22"/>
        <v>3</v>
      </c>
      <c r="R166" s="1">
        <f t="shared" si="23"/>
        <v>17792.43</v>
      </c>
    </row>
    <row r="167" spans="1:18" x14ac:dyDescent="0.3">
      <c r="A167" t="s">
        <v>3386</v>
      </c>
      <c r="B167" t="s">
        <v>3387</v>
      </c>
      <c r="C167" t="s">
        <v>35</v>
      </c>
      <c r="D167">
        <v>29</v>
      </c>
      <c r="E167">
        <v>0</v>
      </c>
      <c r="F167" t="s">
        <v>3082</v>
      </c>
      <c r="G167" s="1">
        <v>0</v>
      </c>
      <c r="H167">
        <v>3</v>
      </c>
      <c r="I167">
        <v>0.9</v>
      </c>
      <c r="J167">
        <v>1</v>
      </c>
      <c r="K167">
        <v>1</v>
      </c>
      <c r="L167">
        <f t="shared" si="20"/>
        <v>2</v>
      </c>
      <c r="M167">
        <v>0</v>
      </c>
      <c r="N167">
        <v>0</v>
      </c>
      <c r="O167">
        <v>3</v>
      </c>
      <c r="P167" s="1">
        <f t="shared" si="21"/>
        <v>0</v>
      </c>
      <c r="Q167">
        <f t="shared" si="22"/>
        <v>3</v>
      </c>
      <c r="R167" s="1">
        <f t="shared" si="23"/>
        <v>0</v>
      </c>
    </row>
    <row r="168" spans="1:18" x14ac:dyDescent="0.3">
      <c r="A168" t="s">
        <v>3388</v>
      </c>
      <c r="B168" t="s">
        <v>3389</v>
      </c>
      <c r="C168" t="s">
        <v>35</v>
      </c>
      <c r="D168">
        <v>7</v>
      </c>
      <c r="E168">
        <v>0</v>
      </c>
      <c r="G168" s="1">
        <v>0</v>
      </c>
      <c r="H168">
        <v>2</v>
      </c>
      <c r="I168">
        <v>0.5</v>
      </c>
      <c r="J168">
        <v>1</v>
      </c>
      <c r="K168">
        <v>1</v>
      </c>
      <c r="L168">
        <f t="shared" si="20"/>
        <v>2</v>
      </c>
      <c r="M168">
        <v>0</v>
      </c>
      <c r="N168">
        <v>0</v>
      </c>
      <c r="O168">
        <v>2</v>
      </c>
      <c r="P168" s="1">
        <f t="shared" si="21"/>
        <v>0</v>
      </c>
      <c r="Q168">
        <f t="shared" si="22"/>
        <v>2</v>
      </c>
      <c r="R168" s="1">
        <f t="shared" si="23"/>
        <v>0</v>
      </c>
    </row>
    <row r="169" spans="1:18" x14ac:dyDescent="0.3">
      <c r="A169" t="s">
        <v>3390</v>
      </c>
      <c r="B169" t="s">
        <v>3391</v>
      </c>
      <c r="C169" t="s">
        <v>35</v>
      </c>
      <c r="D169">
        <v>27</v>
      </c>
      <c r="E169">
        <v>0</v>
      </c>
      <c r="G169" s="1">
        <v>0</v>
      </c>
      <c r="H169">
        <v>0</v>
      </c>
      <c r="I169">
        <v>0.5</v>
      </c>
      <c r="J169">
        <v>1</v>
      </c>
      <c r="K169">
        <v>1</v>
      </c>
      <c r="L169">
        <f t="shared" si="20"/>
        <v>2</v>
      </c>
      <c r="M169">
        <v>0</v>
      </c>
      <c r="N169">
        <v>0</v>
      </c>
      <c r="O169">
        <v>2</v>
      </c>
      <c r="P169" s="1">
        <f t="shared" si="21"/>
        <v>0</v>
      </c>
      <c r="Q169">
        <f t="shared" si="22"/>
        <v>2</v>
      </c>
      <c r="R169" s="1">
        <f t="shared" si="23"/>
        <v>0</v>
      </c>
    </row>
    <row r="170" spans="1:18" x14ac:dyDescent="0.3">
      <c r="A170" t="s">
        <v>3392</v>
      </c>
      <c r="B170" t="s">
        <v>3393</v>
      </c>
      <c r="C170" t="s">
        <v>35</v>
      </c>
      <c r="D170">
        <v>1</v>
      </c>
      <c r="E170">
        <v>0</v>
      </c>
      <c r="G170" s="1">
        <v>0</v>
      </c>
      <c r="H170">
        <v>0</v>
      </c>
      <c r="I170">
        <v>0.5</v>
      </c>
      <c r="J170">
        <v>1</v>
      </c>
      <c r="K170">
        <v>1</v>
      </c>
      <c r="L170">
        <f t="shared" si="20"/>
        <v>2</v>
      </c>
      <c r="M170">
        <v>0</v>
      </c>
      <c r="N170">
        <v>0</v>
      </c>
      <c r="O170">
        <v>2</v>
      </c>
      <c r="P170" s="1">
        <f t="shared" si="21"/>
        <v>0</v>
      </c>
      <c r="Q170">
        <f t="shared" si="22"/>
        <v>2</v>
      </c>
      <c r="R170" s="1">
        <f t="shared" si="23"/>
        <v>0</v>
      </c>
    </row>
    <row r="171" spans="1:18" x14ac:dyDescent="0.3">
      <c r="A171" t="s">
        <v>3394</v>
      </c>
      <c r="B171" t="s">
        <v>3395</v>
      </c>
      <c r="C171" t="s">
        <v>35</v>
      </c>
      <c r="D171">
        <v>1</v>
      </c>
      <c r="E171">
        <v>1</v>
      </c>
      <c r="F171" t="s">
        <v>3082</v>
      </c>
      <c r="G171" s="1">
        <v>2758.05</v>
      </c>
      <c r="H171">
        <v>0</v>
      </c>
      <c r="I171">
        <v>1.1000000000000001</v>
      </c>
      <c r="J171">
        <v>1</v>
      </c>
      <c r="K171">
        <v>1</v>
      </c>
      <c r="L171">
        <f t="shared" si="20"/>
        <v>3</v>
      </c>
      <c r="M171">
        <v>0</v>
      </c>
      <c r="N171">
        <v>0</v>
      </c>
      <c r="O171">
        <v>3</v>
      </c>
      <c r="P171" s="1">
        <f t="shared" si="21"/>
        <v>0</v>
      </c>
      <c r="Q171">
        <f t="shared" si="22"/>
        <v>3</v>
      </c>
      <c r="R171" s="1">
        <f t="shared" si="23"/>
        <v>8274.1500000000015</v>
      </c>
    </row>
    <row r="172" spans="1:18" x14ac:dyDescent="0.3">
      <c r="A172" t="s">
        <v>3396</v>
      </c>
      <c r="B172" t="s">
        <v>3397</v>
      </c>
      <c r="C172" t="s">
        <v>35</v>
      </c>
      <c r="D172">
        <v>1</v>
      </c>
      <c r="E172">
        <v>1</v>
      </c>
      <c r="F172" t="s">
        <v>3082</v>
      </c>
      <c r="G172" s="1">
        <v>3107.62</v>
      </c>
      <c r="H172">
        <v>0</v>
      </c>
      <c r="I172">
        <v>1.1000000000000001</v>
      </c>
      <c r="J172">
        <v>1</v>
      </c>
      <c r="K172">
        <v>1</v>
      </c>
      <c r="L172">
        <f t="shared" si="20"/>
        <v>3</v>
      </c>
      <c r="M172">
        <v>0</v>
      </c>
      <c r="N172">
        <v>0</v>
      </c>
      <c r="O172">
        <v>3</v>
      </c>
      <c r="P172" s="1">
        <f t="shared" si="21"/>
        <v>0</v>
      </c>
      <c r="Q172">
        <f t="shared" si="22"/>
        <v>3</v>
      </c>
      <c r="R172" s="1">
        <f t="shared" si="23"/>
        <v>9322.86</v>
      </c>
    </row>
    <row r="173" spans="1:18" x14ac:dyDescent="0.3">
      <c r="A173" t="s">
        <v>3398</v>
      </c>
      <c r="B173" t="s">
        <v>3399</v>
      </c>
      <c r="C173" t="s">
        <v>35</v>
      </c>
      <c r="D173">
        <v>1</v>
      </c>
      <c r="E173">
        <v>0</v>
      </c>
      <c r="F173" t="s">
        <v>3082</v>
      </c>
      <c r="G173" s="1">
        <v>0</v>
      </c>
      <c r="H173">
        <v>0</v>
      </c>
      <c r="I173">
        <v>1.1000000000000001</v>
      </c>
      <c r="J173">
        <v>1</v>
      </c>
      <c r="K173">
        <v>1</v>
      </c>
      <c r="L173">
        <f t="shared" si="20"/>
        <v>3</v>
      </c>
      <c r="M173">
        <v>0</v>
      </c>
      <c r="N173">
        <v>0</v>
      </c>
      <c r="O173">
        <v>3</v>
      </c>
      <c r="P173" s="1">
        <f t="shared" si="21"/>
        <v>0</v>
      </c>
      <c r="Q173">
        <f t="shared" si="22"/>
        <v>3</v>
      </c>
      <c r="R173" s="1">
        <f t="shared" si="23"/>
        <v>0</v>
      </c>
    </row>
    <row r="174" spans="1:18" x14ac:dyDescent="0.3">
      <c r="A174" t="s">
        <v>3400</v>
      </c>
      <c r="B174" t="s">
        <v>3401</v>
      </c>
      <c r="C174" t="s">
        <v>35</v>
      </c>
      <c r="D174">
        <v>1</v>
      </c>
      <c r="E174">
        <v>0</v>
      </c>
      <c r="F174" t="s">
        <v>3082</v>
      </c>
      <c r="G174" s="1">
        <v>0</v>
      </c>
      <c r="H174">
        <v>0</v>
      </c>
      <c r="I174">
        <v>1.1000000000000001</v>
      </c>
      <c r="J174">
        <v>1</v>
      </c>
      <c r="K174">
        <v>1</v>
      </c>
      <c r="L174">
        <f t="shared" si="20"/>
        <v>3</v>
      </c>
      <c r="M174">
        <v>0</v>
      </c>
      <c r="N174">
        <v>0</v>
      </c>
      <c r="O174">
        <v>3</v>
      </c>
      <c r="P174" s="1">
        <f t="shared" si="21"/>
        <v>0</v>
      </c>
      <c r="Q174">
        <f t="shared" si="22"/>
        <v>3</v>
      </c>
      <c r="R174" s="1">
        <f t="shared" si="23"/>
        <v>0</v>
      </c>
    </row>
    <row r="175" spans="1:18" x14ac:dyDescent="0.3">
      <c r="A175" t="s">
        <v>3402</v>
      </c>
      <c r="B175" t="s">
        <v>3403</v>
      </c>
      <c r="C175" t="s">
        <v>35</v>
      </c>
      <c r="D175">
        <v>1</v>
      </c>
      <c r="E175">
        <v>0</v>
      </c>
      <c r="G175" s="1">
        <v>0</v>
      </c>
      <c r="H175">
        <v>0</v>
      </c>
      <c r="I175">
        <v>0.5</v>
      </c>
      <c r="J175">
        <v>1</v>
      </c>
      <c r="K175">
        <v>1</v>
      </c>
      <c r="L175">
        <f t="shared" si="20"/>
        <v>2</v>
      </c>
      <c r="M175">
        <v>0</v>
      </c>
      <c r="N175">
        <v>0</v>
      </c>
      <c r="O175">
        <v>2</v>
      </c>
      <c r="P175" s="1">
        <f t="shared" si="21"/>
        <v>0</v>
      </c>
      <c r="Q175">
        <f t="shared" si="22"/>
        <v>2</v>
      </c>
      <c r="R175" s="1">
        <f t="shared" si="23"/>
        <v>0</v>
      </c>
    </row>
    <row r="176" spans="1:18" x14ac:dyDescent="0.3">
      <c r="A176" t="s">
        <v>3404</v>
      </c>
      <c r="B176" t="s">
        <v>3405</v>
      </c>
      <c r="C176" t="s">
        <v>35</v>
      </c>
      <c r="D176">
        <v>1</v>
      </c>
      <c r="E176">
        <v>0</v>
      </c>
      <c r="F176" t="s">
        <v>3082</v>
      </c>
      <c r="G176" s="1">
        <v>0</v>
      </c>
      <c r="H176">
        <v>0</v>
      </c>
      <c r="I176">
        <v>1.1000000000000001</v>
      </c>
      <c r="J176">
        <v>1</v>
      </c>
      <c r="K176">
        <v>1</v>
      </c>
      <c r="L176">
        <f t="shared" si="20"/>
        <v>3</v>
      </c>
      <c r="M176">
        <v>0</v>
      </c>
      <c r="N176">
        <v>0</v>
      </c>
      <c r="O176">
        <v>3</v>
      </c>
      <c r="P176" s="1">
        <f t="shared" si="21"/>
        <v>0</v>
      </c>
      <c r="Q176">
        <f t="shared" si="22"/>
        <v>3</v>
      </c>
      <c r="R176" s="1">
        <f t="shared" si="23"/>
        <v>0</v>
      </c>
    </row>
    <row r="177" spans="1:18" x14ac:dyDescent="0.3">
      <c r="A177" t="s">
        <v>3406</v>
      </c>
      <c r="B177" t="s">
        <v>3407</v>
      </c>
      <c r="C177" t="s">
        <v>35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20"/>
        <v>2</v>
      </c>
      <c r="M177">
        <v>0</v>
      </c>
      <c r="N177">
        <v>0</v>
      </c>
      <c r="O177">
        <v>2</v>
      </c>
      <c r="P177" s="1">
        <f t="shared" si="21"/>
        <v>0</v>
      </c>
      <c r="Q177">
        <f t="shared" si="22"/>
        <v>2</v>
      </c>
      <c r="R177" s="1">
        <f t="shared" si="23"/>
        <v>0</v>
      </c>
    </row>
    <row r="178" spans="1:18" x14ac:dyDescent="0.3">
      <c r="A178" t="s">
        <v>3408</v>
      </c>
      <c r="B178" t="s">
        <v>3409</v>
      </c>
      <c r="C178" t="s">
        <v>35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20"/>
        <v>2</v>
      </c>
      <c r="M178">
        <v>0</v>
      </c>
      <c r="N178">
        <v>0</v>
      </c>
      <c r="O178">
        <v>2</v>
      </c>
      <c r="P178" s="1">
        <f t="shared" si="21"/>
        <v>0</v>
      </c>
      <c r="Q178">
        <f t="shared" si="22"/>
        <v>2</v>
      </c>
      <c r="R178" s="1">
        <f t="shared" si="23"/>
        <v>0</v>
      </c>
    </row>
    <row r="179" spans="1:18" x14ac:dyDescent="0.3">
      <c r="A179" t="s">
        <v>3410</v>
      </c>
      <c r="B179" t="s">
        <v>3411</v>
      </c>
      <c r="C179" t="s">
        <v>35</v>
      </c>
      <c r="D179">
        <v>1</v>
      </c>
      <c r="E179">
        <v>0</v>
      </c>
      <c r="G179" s="1">
        <v>0</v>
      </c>
      <c r="H179">
        <v>0</v>
      </c>
      <c r="I179">
        <v>0.5</v>
      </c>
      <c r="J179">
        <v>1</v>
      </c>
      <c r="K179">
        <v>1</v>
      </c>
      <c r="L179">
        <f t="shared" si="20"/>
        <v>2</v>
      </c>
      <c r="M179">
        <v>0</v>
      </c>
      <c r="N179">
        <v>0</v>
      </c>
      <c r="O179">
        <v>2</v>
      </c>
      <c r="P179" s="1">
        <f t="shared" si="21"/>
        <v>0</v>
      </c>
      <c r="Q179">
        <f t="shared" si="22"/>
        <v>2</v>
      </c>
      <c r="R179" s="1">
        <f t="shared" si="23"/>
        <v>0</v>
      </c>
    </row>
    <row r="180" spans="1:18" x14ac:dyDescent="0.3">
      <c r="A180" t="s">
        <v>3412</v>
      </c>
      <c r="B180" t="s">
        <v>3413</v>
      </c>
      <c r="C180" t="s">
        <v>35</v>
      </c>
      <c r="D180">
        <v>1</v>
      </c>
      <c r="E180">
        <v>0</v>
      </c>
      <c r="G180" s="1">
        <v>0</v>
      </c>
      <c r="H180">
        <v>0</v>
      </c>
      <c r="I180">
        <v>0.5</v>
      </c>
      <c r="J180">
        <v>1</v>
      </c>
      <c r="K180">
        <v>1</v>
      </c>
      <c r="L180">
        <f t="shared" si="20"/>
        <v>2</v>
      </c>
      <c r="M180">
        <v>0</v>
      </c>
      <c r="N180">
        <v>0</v>
      </c>
      <c r="O180">
        <v>2</v>
      </c>
      <c r="P180" s="1">
        <f t="shared" si="21"/>
        <v>0</v>
      </c>
      <c r="Q180">
        <f t="shared" si="22"/>
        <v>2</v>
      </c>
      <c r="R180" s="1">
        <f t="shared" si="23"/>
        <v>0</v>
      </c>
    </row>
    <row r="181" spans="1:18" x14ac:dyDescent="0.3">
      <c r="A181" t="s">
        <v>3414</v>
      </c>
      <c r="B181" t="s">
        <v>3415</v>
      </c>
      <c r="C181" t="s">
        <v>35</v>
      </c>
      <c r="D181">
        <v>1</v>
      </c>
      <c r="E181">
        <v>0</v>
      </c>
      <c r="G181" s="1">
        <v>0</v>
      </c>
      <c r="H181">
        <v>1</v>
      </c>
      <c r="I181">
        <v>0.5</v>
      </c>
      <c r="J181">
        <v>1</v>
      </c>
      <c r="K181">
        <v>1</v>
      </c>
      <c r="L181">
        <f t="shared" si="20"/>
        <v>2</v>
      </c>
      <c r="M181">
        <v>0</v>
      </c>
      <c r="N181">
        <v>0</v>
      </c>
      <c r="O181">
        <v>2</v>
      </c>
      <c r="P181" s="1">
        <f t="shared" si="21"/>
        <v>0</v>
      </c>
      <c r="Q181">
        <f t="shared" si="22"/>
        <v>2</v>
      </c>
      <c r="R181" s="1">
        <f t="shared" si="23"/>
        <v>0</v>
      </c>
    </row>
    <row r="182" spans="1:18" x14ac:dyDescent="0.3">
      <c r="A182" t="s">
        <v>3416</v>
      </c>
      <c r="B182" t="s">
        <v>3417</v>
      </c>
      <c r="C182" t="s">
        <v>35</v>
      </c>
      <c r="D182">
        <v>1</v>
      </c>
      <c r="E182">
        <v>0</v>
      </c>
      <c r="G182" s="1">
        <v>0</v>
      </c>
      <c r="H182">
        <v>0</v>
      </c>
      <c r="I182">
        <v>0.5</v>
      </c>
      <c r="J182">
        <v>1</v>
      </c>
      <c r="K182">
        <v>1</v>
      </c>
      <c r="L182">
        <f t="shared" si="20"/>
        <v>2</v>
      </c>
      <c r="M182">
        <v>0</v>
      </c>
      <c r="N182">
        <v>0</v>
      </c>
      <c r="O182">
        <v>2</v>
      </c>
      <c r="P182" s="1">
        <f t="shared" si="21"/>
        <v>0</v>
      </c>
      <c r="Q182">
        <f t="shared" si="22"/>
        <v>2</v>
      </c>
      <c r="R182" s="1">
        <f t="shared" si="23"/>
        <v>0</v>
      </c>
    </row>
    <row r="183" spans="1:18" x14ac:dyDescent="0.3">
      <c r="A183" t="s">
        <v>3418</v>
      </c>
      <c r="B183" t="s">
        <v>3419</v>
      </c>
      <c r="C183" t="s">
        <v>35</v>
      </c>
      <c r="D183">
        <v>1</v>
      </c>
      <c r="E183">
        <v>0</v>
      </c>
      <c r="G183" s="1">
        <v>0</v>
      </c>
      <c r="H183">
        <v>1</v>
      </c>
      <c r="I183">
        <v>0.5</v>
      </c>
      <c r="J183">
        <v>1</v>
      </c>
      <c r="K183">
        <v>1</v>
      </c>
      <c r="L183">
        <f t="shared" si="20"/>
        <v>2</v>
      </c>
      <c r="M183">
        <v>0</v>
      </c>
      <c r="N183">
        <v>0</v>
      </c>
      <c r="O183">
        <v>2</v>
      </c>
      <c r="P183" s="1">
        <f t="shared" si="21"/>
        <v>0</v>
      </c>
      <c r="Q183">
        <f t="shared" si="22"/>
        <v>2</v>
      </c>
      <c r="R183" s="1">
        <f t="shared" si="23"/>
        <v>0</v>
      </c>
    </row>
    <row r="184" spans="1:18" x14ac:dyDescent="0.3">
      <c r="A184" t="s">
        <v>3420</v>
      </c>
      <c r="B184" t="s">
        <v>3421</v>
      </c>
      <c r="C184" t="s">
        <v>35</v>
      </c>
      <c r="D184">
        <v>1</v>
      </c>
      <c r="E184">
        <v>0</v>
      </c>
      <c r="F184" t="s">
        <v>3082</v>
      </c>
      <c r="G184" s="1">
        <v>0</v>
      </c>
      <c r="H184">
        <v>0</v>
      </c>
      <c r="I184">
        <v>1.1000000000000001</v>
      </c>
      <c r="J184">
        <v>1</v>
      </c>
      <c r="K184">
        <v>1</v>
      </c>
      <c r="L184">
        <f t="shared" si="20"/>
        <v>3</v>
      </c>
      <c r="M184">
        <v>0</v>
      </c>
      <c r="N184">
        <v>0</v>
      </c>
      <c r="O184">
        <v>3</v>
      </c>
      <c r="P184" s="1">
        <f t="shared" si="21"/>
        <v>0</v>
      </c>
      <c r="Q184">
        <f t="shared" si="22"/>
        <v>3</v>
      </c>
      <c r="R184" s="1">
        <f t="shared" si="23"/>
        <v>0</v>
      </c>
    </row>
    <row r="185" spans="1:18" x14ac:dyDescent="0.3">
      <c r="A185" t="s">
        <v>3422</v>
      </c>
      <c r="B185" t="s">
        <v>3423</v>
      </c>
      <c r="C185" t="s">
        <v>35</v>
      </c>
      <c r="D185">
        <v>1</v>
      </c>
      <c r="E185">
        <v>0</v>
      </c>
      <c r="F185" t="s">
        <v>3082</v>
      </c>
      <c r="G185" s="1">
        <v>0</v>
      </c>
      <c r="H185">
        <v>0</v>
      </c>
      <c r="I185">
        <v>1.1000000000000001</v>
      </c>
      <c r="J185">
        <v>1</v>
      </c>
      <c r="K185">
        <v>1</v>
      </c>
      <c r="L185">
        <f t="shared" si="20"/>
        <v>3</v>
      </c>
      <c r="M185">
        <v>0</v>
      </c>
      <c r="N185">
        <v>0</v>
      </c>
      <c r="O185">
        <v>3</v>
      </c>
      <c r="P185" s="1">
        <f t="shared" si="21"/>
        <v>0</v>
      </c>
      <c r="Q185">
        <f t="shared" si="22"/>
        <v>3</v>
      </c>
      <c r="R185" s="1">
        <f t="shared" si="23"/>
        <v>0</v>
      </c>
    </row>
    <row r="186" spans="1:18" x14ac:dyDescent="0.3">
      <c r="A186" t="s">
        <v>3424</v>
      </c>
      <c r="B186" t="s">
        <v>3425</v>
      </c>
      <c r="C186" t="s">
        <v>35</v>
      </c>
      <c r="D186">
        <v>1</v>
      </c>
      <c r="E186">
        <v>0</v>
      </c>
      <c r="F186" t="s">
        <v>3082</v>
      </c>
      <c r="G186" s="1">
        <v>0</v>
      </c>
      <c r="H186">
        <v>0</v>
      </c>
      <c r="I186">
        <v>1.1000000000000001</v>
      </c>
      <c r="J186">
        <v>1</v>
      </c>
      <c r="K186">
        <v>1</v>
      </c>
      <c r="L186">
        <f t="shared" si="20"/>
        <v>3</v>
      </c>
      <c r="M186">
        <v>0</v>
      </c>
      <c r="N186">
        <v>0</v>
      </c>
      <c r="O186">
        <v>3</v>
      </c>
      <c r="P186" s="1">
        <f t="shared" si="21"/>
        <v>0</v>
      </c>
      <c r="Q186">
        <f t="shared" si="22"/>
        <v>3</v>
      </c>
      <c r="R186" s="1">
        <f t="shared" si="23"/>
        <v>0</v>
      </c>
    </row>
    <row r="187" spans="1:18" x14ac:dyDescent="0.3">
      <c r="A187" t="s">
        <v>3426</v>
      </c>
      <c r="B187" t="s">
        <v>3427</v>
      </c>
      <c r="C187" t="s">
        <v>35</v>
      </c>
      <c r="D187">
        <v>1</v>
      </c>
      <c r="E187">
        <v>0</v>
      </c>
      <c r="F187" t="s">
        <v>3082</v>
      </c>
      <c r="G187" s="1">
        <v>0</v>
      </c>
      <c r="H187">
        <v>0</v>
      </c>
      <c r="I187">
        <v>1.1000000000000001</v>
      </c>
      <c r="J187">
        <v>1</v>
      </c>
      <c r="K187">
        <v>1</v>
      </c>
      <c r="L187">
        <f t="shared" si="20"/>
        <v>3</v>
      </c>
      <c r="M187">
        <v>0</v>
      </c>
      <c r="N187">
        <v>0</v>
      </c>
      <c r="O187">
        <v>3</v>
      </c>
      <c r="P187" s="1">
        <f t="shared" si="21"/>
        <v>0</v>
      </c>
      <c r="Q187">
        <f t="shared" si="22"/>
        <v>3</v>
      </c>
      <c r="R187" s="1">
        <f t="shared" si="23"/>
        <v>0</v>
      </c>
    </row>
    <row r="188" spans="1:18" x14ac:dyDescent="0.3">
      <c r="A188" t="s">
        <v>3428</v>
      </c>
      <c r="B188" t="s">
        <v>3429</v>
      </c>
      <c r="C188" t="s">
        <v>35</v>
      </c>
      <c r="D188">
        <v>1</v>
      </c>
      <c r="E188">
        <v>0</v>
      </c>
      <c r="F188" t="s">
        <v>3082</v>
      </c>
      <c r="G188" s="1">
        <v>0</v>
      </c>
      <c r="H188">
        <v>0</v>
      </c>
      <c r="I188">
        <v>1.1000000000000001</v>
      </c>
      <c r="J188">
        <v>1</v>
      </c>
      <c r="K188">
        <v>1</v>
      </c>
      <c r="L188">
        <f t="shared" si="20"/>
        <v>3</v>
      </c>
      <c r="M188">
        <v>0</v>
      </c>
      <c r="N188">
        <v>0</v>
      </c>
      <c r="O188">
        <v>3</v>
      </c>
      <c r="P188" s="1">
        <f t="shared" si="21"/>
        <v>0</v>
      </c>
      <c r="Q188">
        <f t="shared" si="22"/>
        <v>3</v>
      </c>
      <c r="R188" s="1">
        <f t="shared" si="23"/>
        <v>0</v>
      </c>
    </row>
    <row r="189" spans="1:18" x14ac:dyDescent="0.3">
      <c r="A189" t="s">
        <v>3430</v>
      </c>
      <c r="B189" t="s">
        <v>3431</v>
      </c>
      <c r="C189" t="s">
        <v>35</v>
      </c>
      <c r="D189">
        <v>1</v>
      </c>
      <c r="E189">
        <v>0</v>
      </c>
      <c r="F189" t="s">
        <v>3082</v>
      </c>
      <c r="G189" s="1">
        <v>0</v>
      </c>
      <c r="H189">
        <v>0</v>
      </c>
      <c r="I189">
        <v>1.1000000000000001</v>
      </c>
      <c r="J189">
        <v>1</v>
      </c>
      <c r="K189">
        <v>1</v>
      </c>
      <c r="L189">
        <f t="shared" si="20"/>
        <v>3</v>
      </c>
      <c r="M189">
        <v>0</v>
      </c>
      <c r="N189">
        <v>0</v>
      </c>
      <c r="O189">
        <v>3</v>
      </c>
      <c r="P189" s="1">
        <f t="shared" si="21"/>
        <v>0</v>
      </c>
      <c r="Q189">
        <f t="shared" si="22"/>
        <v>3</v>
      </c>
      <c r="R189" s="1">
        <f t="shared" si="23"/>
        <v>0</v>
      </c>
    </row>
    <row r="190" spans="1:18" x14ac:dyDescent="0.3">
      <c r="A190" t="s">
        <v>3432</v>
      </c>
      <c r="B190" t="s">
        <v>3433</v>
      </c>
      <c r="C190" t="s">
        <v>35</v>
      </c>
      <c r="D190">
        <v>1</v>
      </c>
      <c r="E190">
        <v>0</v>
      </c>
      <c r="F190" t="s">
        <v>3082</v>
      </c>
      <c r="G190" s="1">
        <v>0</v>
      </c>
      <c r="H190">
        <v>0</v>
      </c>
      <c r="I190">
        <v>1.1000000000000001</v>
      </c>
      <c r="J190">
        <v>1</v>
      </c>
      <c r="K190">
        <v>1</v>
      </c>
      <c r="L190">
        <f t="shared" si="20"/>
        <v>3</v>
      </c>
      <c r="M190">
        <v>0</v>
      </c>
      <c r="N190">
        <v>0</v>
      </c>
      <c r="O190">
        <v>3</v>
      </c>
      <c r="P190" s="1">
        <f t="shared" si="21"/>
        <v>0</v>
      </c>
      <c r="Q190">
        <f t="shared" si="22"/>
        <v>3</v>
      </c>
      <c r="R190" s="1">
        <f t="shared" si="23"/>
        <v>0</v>
      </c>
    </row>
    <row r="191" spans="1:18" x14ac:dyDescent="0.3">
      <c r="A191" t="s">
        <v>3434</v>
      </c>
      <c r="B191" t="s">
        <v>3435</v>
      </c>
      <c r="C191" t="s">
        <v>35</v>
      </c>
      <c r="D191">
        <v>1</v>
      </c>
      <c r="E191">
        <v>0</v>
      </c>
      <c r="F191" t="s">
        <v>3082</v>
      </c>
      <c r="G191" s="1">
        <v>0</v>
      </c>
      <c r="H191">
        <v>0</v>
      </c>
      <c r="I191">
        <v>1.1000000000000001</v>
      </c>
      <c r="J191">
        <v>1</v>
      </c>
      <c r="K191">
        <v>1</v>
      </c>
      <c r="L191">
        <f t="shared" si="20"/>
        <v>3</v>
      </c>
      <c r="M191">
        <v>0</v>
      </c>
      <c r="N191">
        <v>0</v>
      </c>
      <c r="O191">
        <v>3</v>
      </c>
      <c r="P191" s="1">
        <f t="shared" si="21"/>
        <v>0</v>
      </c>
      <c r="Q191">
        <f t="shared" si="22"/>
        <v>3</v>
      </c>
      <c r="R191" s="1">
        <f t="shared" si="23"/>
        <v>0</v>
      </c>
    </row>
    <row r="192" spans="1:18" x14ac:dyDescent="0.3">
      <c r="A192" t="s">
        <v>3436</v>
      </c>
      <c r="B192" t="s">
        <v>3437</v>
      </c>
      <c r="C192" t="s">
        <v>35</v>
      </c>
      <c r="D192">
        <v>1</v>
      </c>
      <c r="E192">
        <v>0</v>
      </c>
      <c r="F192" t="s">
        <v>3082</v>
      </c>
      <c r="G192" s="1">
        <v>0</v>
      </c>
      <c r="H192">
        <v>0</v>
      </c>
      <c r="I192">
        <v>1.1000000000000001</v>
      </c>
      <c r="J192">
        <v>1</v>
      </c>
      <c r="K192">
        <v>1</v>
      </c>
      <c r="L192">
        <f t="shared" si="20"/>
        <v>3</v>
      </c>
      <c r="M192">
        <v>0</v>
      </c>
      <c r="N192">
        <v>0</v>
      </c>
      <c r="O192">
        <v>3</v>
      </c>
      <c r="P192" s="1">
        <f t="shared" si="21"/>
        <v>0</v>
      </c>
      <c r="Q192">
        <f t="shared" si="22"/>
        <v>3</v>
      </c>
      <c r="R192" s="1">
        <f t="shared" si="23"/>
        <v>0</v>
      </c>
    </row>
    <row r="193" spans="1:1" x14ac:dyDescent="0.3">
      <c r="A19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3438</v>
      </c>
      <c r="B2" t="s">
        <v>3438</v>
      </c>
      <c r="C2" t="s">
        <v>36</v>
      </c>
      <c r="D2">
        <v>1</v>
      </c>
      <c r="E2">
        <v>1</v>
      </c>
      <c r="F2" t="s">
        <v>3439</v>
      </c>
      <c r="G2" s="1">
        <v>81.45</v>
      </c>
      <c r="H2">
        <v>0</v>
      </c>
      <c r="I2">
        <v>1.8</v>
      </c>
      <c r="J2">
        <v>1</v>
      </c>
      <c r="K2">
        <v>2</v>
      </c>
      <c r="L2">
        <f>ROUNDUP((J2*I2)+K2,0)</f>
        <v>4</v>
      </c>
      <c r="M2">
        <v>0</v>
      </c>
      <c r="N2">
        <v>0</v>
      </c>
      <c r="O2">
        <v>4</v>
      </c>
      <c r="P2" s="1">
        <f>IFERROR(M2*G2,0)</f>
        <v>0</v>
      </c>
      <c r="Q2">
        <f>IF(O2-M2-N2&gt;0,O2-M2-N2,0)</f>
        <v>4</v>
      </c>
      <c r="R2" s="1">
        <f>IFERROR(Q2*G2,0)</f>
        <v>325.8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R4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3440</v>
      </c>
      <c r="B2" t="s">
        <v>3441</v>
      </c>
      <c r="C2" t="s">
        <v>37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3442</v>
      </c>
      <c r="B3" t="s">
        <v>3443</v>
      </c>
      <c r="C3" t="s">
        <v>37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0</v>
      </c>
    </row>
    <row r="4" spans="1:18" x14ac:dyDescent="0.3">
      <c r="A4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R8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3444</v>
      </c>
      <c r="B2" t="s">
        <v>3445</v>
      </c>
      <c r="C2" t="s">
        <v>38</v>
      </c>
      <c r="D2">
        <v>1</v>
      </c>
      <c r="E2">
        <v>1</v>
      </c>
      <c r="F2" t="s">
        <v>77</v>
      </c>
      <c r="G2" s="1">
        <v>854.1</v>
      </c>
      <c r="H2">
        <v>0</v>
      </c>
      <c r="I2">
        <v>0.5</v>
      </c>
      <c r="J2">
        <v>1</v>
      </c>
      <c r="K2">
        <v>1</v>
      </c>
      <c r="L2">
        <f t="shared" ref="L2:L7" si="0">ROUNDUP((J2*I2)+K2,0)</f>
        <v>2</v>
      </c>
      <c r="M2">
        <v>0</v>
      </c>
      <c r="N2">
        <v>0</v>
      </c>
      <c r="O2">
        <v>2</v>
      </c>
      <c r="P2" s="1">
        <f t="shared" ref="P2:P7" si="1">IFERROR(M2*G2,0)</f>
        <v>0</v>
      </c>
      <c r="Q2">
        <f t="shared" ref="Q2:Q7" si="2">IF(O2-M2-N2&gt;0,O2-M2-N2,0)</f>
        <v>2</v>
      </c>
      <c r="R2" s="1">
        <f t="shared" ref="R2:R7" si="3">IFERROR(Q2*G2,0)</f>
        <v>1708.2</v>
      </c>
    </row>
    <row r="3" spans="1:18" x14ac:dyDescent="0.3">
      <c r="A3" t="s">
        <v>3446</v>
      </c>
      <c r="B3" t="s">
        <v>3447</v>
      </c>
      <c r="C3" t="s">
        <v>38</v>
      </c>
      <c r="D3">
        <v>1</v>
      </c>
      <c r="E3">
        <v>1</v>
      </c>
      <c r="F3" t="s">
        <v>77</v>
      </c>
      <c r="G3" s="1">
        <v>1361.75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2723.5</v>
      </c>
    </row>
    <row r="4" spans="1:18" x14ac:dyDescent="0.3">
      <c r="A4" t="s">
        <v>3448</v>
      </c>
      <c r="B4" t="s">
        <v>3449</v>
      </c>
      <c r="C4" t="s">
        <v>38</v>
      </c>
      <c r="D4">
        <v>1</v>
      </c>
      <c r="E4">
        <v>1</v>
      </c>
      <c r="F4" t="s">
        <v>77</v>
      </c>
      <c r="G4" s="1">
        <v>2098.1999999999998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4196.3999999999996</v>
      </c>
    </row>
    <row r="5" spans="1:18" x14ac:dyDescent="0.3">
      <c r="A5" t="s">
        <v>3450</v>
      </c>
      <c r="B5" t="s">
        <v>3451</v>
      </c>
      <c r="C5" t="s">
        <v>38</v>
      </c>
      <c r="D5">
        <v>1</v>
      </c>
      <c r="E5">
        <v>1</v>
      </c>
      <c r="F5" t="s">
        <v>77</v>
      </c>
      <c r="G5" s="1">
        <v>2104.6999999999998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4209.3999999999996</v>
      </c>
    </row>
    <row r="6" spans="1:18" x14ac:dyDescent="0.3">
      <c r="A6" t="s">
        <v>3452</v>
      </c>
      <c r="B6" t="s">
        <v>3453</v>
      </c>
      <c r="C6" t="s">
        <v>38</v>
      </c>
      <c r="D6">
        <v>1</v>
      </c>
      <c r="E6">
        <v>2</v>
      </c>
      <c r="F6" t="s">
        <v>77</v>
      </c>
      <c r="G6" s="1">
        <v>1517.75</v>
      </c>
      <c r="H6">
        <v>0</v>
      </c>
      <c r="I6">
        <v>0.5</v>
      </c>
      <c r="J6">
        <v>2</v>
      </c>
      <c r="K6">
        <v>1</v>
      </c>
      <c r="L6">
        <f t="shared" si="0"/>
        <v>2</v>
      </c>
      <c r="M6">
        <v>0</v>
      </c>
      <c r="N6">
        <v>0</v>
      </c>
      <c r="O6">
        <v>5</v>
      </c>
      <c r="P6" s="1">
        <f t="shared" si="1"/>
        <v>0</v>
      </c>
      <c r="Q6">
        <f t="shared" si="2"/>
        <v>5</v>
      </c>
      <c r="R6" s="1">
        <f t="shared" si="3"/>
        <v>7588.75</v>
      </c>
    </row>
    <row r="7" spans="1:18" x14ac:dyDescent="0.3">
      <c r="A7" t="s">
        <v>3454</v>
      </c>
      <c r="B7" t="s">
        <v>3455</v>
      </c>
      <c r="C7" t="s">
        <v>38</v>
      </c>
      <c r="D7">
        <v>1</v>
      </c>
      <c r="E7">
        <v>2</v>
      </c>
      <c r="F7" t="s">
        <v>77</v>
      </c>
      <c r="G7" s="1">
        <v>2594.15</v>
      </c>
      <c r="H7">
        <v>0</v>
      </c>
      <c r="I7">
        <v>0.5</v>
      </c>
      <c r="J7">
        <v>2</v>
      </c>
      <c r="K7">
        <v>1</v>
      </c>
      <c r="L7">
        <f t="shared" si="0"/>
        <v>2</v>
      </c>
      <c r="M7">
        <v>0</v>
      </c>
      <c r="N7">
        <v>0</v>
      </c>
      <c r="O7">
        <v>5</v>
      </c>
      <c r="P7" s="1">
        <f t="shared" si="1"/>
        <v>0</v>
      </c>
      <c r="Q7">
        <f t="shared" si="2"/>
        <v>5</v>
      </c>
      <c r="R7" s="1">
        <f t="shared" si="3"/>
        <v>12970.75</v>
      </c>
    </row>
    <row r="8" spans="1:18" x14ac:dyDescent="0.3">
      <c r="A8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3456</v>
      </c>
      <c r="B2" t="s">
        <v>3457</v>
      </c>
      <c r="C2" t="s">
        <v>39</v>
      </c>
      <c r="D2">
        <v>17</v>
      </c>
      <c r="E2">
        <v>3</v>
      </c>
      <c r="F2" t="s">
        <v>124</v>
      </c>
      <c r="G2" s="1">
        <v>1135.05</v>
      </c>
      <c r="H2">
        <v>16</v>
      </c>
      <c r="I2">
        <v>1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3405.1499999999996</v>
      </c>
    </row>
    <row r="3" spans="1:18" x14ac:dyDescent="0.3">
      <c r="A3" t="s">
        <v>3458</v>
      </c>
      <c r="B3" t="s">
        <v>3459</v>
      </c>
      <c r="C3" t="s">
        <v>39</v>
      </c>
      <c r="D3">
        <v>13</v>
      </c>
      <c r="E3">
        <v>0</v>
      </c>
      <c r="F3" t="s">
        <v>124</v>
      </c>
      <c r="G3" s="1">
        <v>1345.25</v>
      </c>
      <c r="H3">
        <v>14</v>
      </c>
      <c r="I3">
        <v>1.5</v>
      </c>
      <c r="J3">
        <v>1.5</v>
      </c>
      <c r="K3">
        <v>2</v>
      </c>
      <c r="L3">
        <f>ROUNDUP((J3*I3)+K3,0)</f>
        <v>5</v>
      </c>
      <c r="M3">
        <v>0</v>
      </c>
      <c r="N3">
        <v>0</v>
      </c>
      <c r="O3">
        <v>5</v>
      </c>
      <c r="P3" s="1">
        <f>IFERROR(M3*G3,0)</f>
        <v>0</v>
      </c>
      <c r="Q3">
        <f>IF(O3-M3-N3&gt;0,O3-M3-N3,0)</f>
        <v>5</v>
      </c>
      <c r="R3" s="1">
        <f>IFERROR(Q3*G3,0)</f>
        <v>6726.25</v>
      </c>
    </row>
    <row r="4" spans="1:18" x14ac:dyDescent="0.3">
      <c r="A4" t="s">
        <v>3460</v>
      </c>
      <c r="B4" t="s">
        <v>3461</v>
      </c>
      <c r="C4" t="s">
        <v>39</v>
      </c>
      <c r="D4">
        <v>1</v>
      </c>
      <c r="E4">
        <v>4</v>
      </c>
      <c r="F4" t="s">
        <v>482</v>
      </c>
      <c r="G4" s="1">
        <v>90.15</v>
      </c>
      <c r="H4">
        <v>0</v>
      </c>
      <c r="I4">
        <v>1.5</v>
      </c>
      <c r="J4">
        <v>4</v>
      </c>
      <c r="K4">
        <v>6</v>
      </c>
      <c r="L4">
        <f>ROUNDUP((J4*I4)+K4,0)</f>
        <v>12</v>
      </c>
      <c r="M4">
        <v>0</v>
      </c>
      <c r="N4">
        <v>0</v>
      </c>
      <c r="O4">
        <v>14</v>
      </c>
      <c r="P4" s="1">
        <f>IFERROR(M4*G4,0)</f>
        <v>0</v>
      </c>
      <c r="Q4">
        <f>IF(O4-M4-N4&gt;0,O4-M4-N4,0)</f>
        <v>14</v>
      </c>
      <c r="R4" s="1">
        <f>IFERROR(Q4*G4,0)</f>
        <v>1262.1000000000001</v>
      </c>
    </row>
    <row r="5" spans="1:18" x14ac:dyDescent="0.3">
      <c r="A5" t="s">
        <v>3462</v>
      </c>
      <c r="B5" t="s">
        <v>3463</v>
      </c>
      <c r="C5" t="s">
        <v>39</v>
      </c>
      <c r="D5">
        <v>1</v>
      </c>
      <c r="E5">
        <v>0</v>
      </c>
      <c r="G5" s="1">
        <v>0</v>
      </c>
      <c r="H5">
        <v>4</v>
      </c>
      <c r="I5">
        <v>0.5</v>
      </c>
      <c r="J5">
        <v>4</v>
      </c>
      <c r="K5">
        <v>2</v>
      </c>
      <c r="L5">
        <f>ROUNDUP((J5*I5)+K5,0)</f>
        <v>4</v>
      </c>
      <c r="M5">
        <v>0</v>
      </c>
      <c r="N5">
        <v>0</v>
      </c>
      <c r="O5">
        <v>10</v>
      </c>
      <c r="P5" s="1">
        <f>IFERROR(M5*G5,0)</f>
        <v>0</v>
      </c>
      <c r="Q5">
        <f>IF(O5-M5-N5&gt;0,O5-M5-N5,0)</f>
        <v>10</v>
      </c>
      <c r="R5" s="1">
        <f>IFERROR(Q5*G5,0)</f>
        <v>0</v>
      </c>
    </row>
    <row r="6" spans="1:18" x14ac:dyDescent="0.3">
      <c r="A6" t="s">
        <v>3464</v>
      </c>
      <c r="B6" t="s">
        <v>3465</v>
      </c>
      <c r="C6" t="s">
        <v>39</v>
      </c>
      <c r="D6">
        <v>1</v>
      </c>
      <c r="E6">
        <v>4</v>
      </c>
      <c r="F6" t="s">
        <v>131</v>
      </c>
      <c r="G6" s="1">
        <v>0</v>
      </c>
      <c r="H6">
        <v>0</v>
      </c>
      <c r="I6">
        <v>0.5</v>
      </c>
      <c r="J6">
        <v>4</v>
      </c>
      <c r="K6">
        <v>2</v>
      </c>
      <c r="L6">
        <f>ROUNDUP((J6*I6)+K6,0)</f>
        <v>4</v>
      </c>
      <c r="M6">
        <v>0</v>
      </c>
      <c r="N6">
        <v>0</v>
      </c>
      <c r="O6">
        <v>10</v>
      </c>
      <c r="P6" s="1">
        <f>IFERROR(M6*G6,0)</f>
        <v>0</v>
      </c>
      <c r="Q6">
        <f>IF(O6-M6-N6&gt;0,O6-M6-N6,0)</f>
        <v>10</v>
      </c>
      <c r="R6" s="1">
        <f>IFERROR(Q6*G6,0)</f>
        <v>0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3466</v>
      </c>
      <c r="B2" t="s">
        <v>3467</v>
      </c>
      <c r="C2" t="s">
        <v>40</v>
      </c>
      <c r="D2">
        <v>1</v>
      </c>
      <c r="E2">
        <v>1</v>
      </c>
      <c r="F2" t="s">
        <v>3468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R7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3469</v>
      </c>
      <c r="B2" t="s">
        <v>3470</v>
      </c>
      <c r="C2" t="s">
        <v>41</v>
      </c>
      <c r="D2">
        <v>3</v>
      </c>
      <c r="E2">
        <v>3</v>
      </c>
      <c r="F2" t="s">
        <v>3471</v>
      </c>
      <c r="G2" s="1">
        <v>1430</v>
      </c>
      <c r="H2">
        <v>2</v>
      </c>
      <c r="I2">
        <v>1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3</v>
      </c>
      <c r="P2" s="1">
        <f>IFERROR(M2*G2,0)</f>
        <v>0</v>
      </c>
      <c r="Q2">
        <f>IF(O2-M2-N2&gt;0,O2-M2-N2,0)</f>
        <v>3</v>
      </c>
      <c r="R2" s="1">
        <f>IFERROR(Q2*G2,0)</f>
        <v>4290</v>
      </c>
    </row>
    <row r="3" spans="1:18" x14ac:dyDescent="0.3">
      <c r="A3" t="s">
        <v>3472</v>
      </c>
      <c r="B3" t="s">
        <v>3473</v>
      </c>
      <c r="C3" t="s">
        <v>41</v>
      </c>
      <c r="D3">
        <v>1</v>
      </c>
      <c r="E3">
        <v>1</v>
      </c>
      <c r="F3" t="s">
        <v>654</v>
      </c>
      <c r="G3" s="1">
        <v>1205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2410</v>
      </c>
    </row>
    <row r="4" spans="1:18" x14ac:dyDescent="0.3">
      <c r="A4" t="s">
        <v>3474</v>
      </c>
      <c r="B4" t="s">
        <v>3475</v>
      </c>
      <c r="C4" t="s">
        <v>41</v>
      </c>
      <c r="D4">
        <v>1</v>
      </c>
      <c r="E4">
        <v>1</v>
      </c>
      <c r="F4" t="s">
        <v>3476</v>
      </c>
      <c r="G4" s="1">
        <v>1480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2960</v>
      </c>
    </row>
    <row r="5" spans="1:18" x14ac:dyDescent="0.3">
      <c r="A5" t="s">
        <v>3477</v>
      </c>
      <c r="B5" t="s">
        <v>3478</v>
      </c>
      <c r="C5" t="s">
        <v>41</v>
      </c>
      <c r="D5">
        <v>1</v>
      </c>
      <c r="E5">
        <v>1</v>
      </c>
      <c r="F5" t="s">
        <v>3468</v>
      </c>
      <c r="G5" s="1">
        <v>7175</v>
      </c>
      <c r="H5">
        <v>0</v>
      </c>
      <c r="I5">
        <v>0.5</v>
      </c>
      <c r="J5">
        <v>1</v>
      </c>
      <c r="K5">
        <v>1</v>
      </c>
      <c r="L5">
        <f>ROUNDUP((J5*I5)+K5,0)</f>
        <v>2</v>
      </c>
      <c r="M5">
        <v>0</v>
      </c>
      <c r="N5">
        <v>0</v>
      </c>
      <c r="O5">
        <v>2</v>
      </c>
      <c r="P5" s="1">
        <f>IFERROR(M5*G5,0)</f>
        <v>0</v>
      </c>
      <c r="Q5">
        <f>IF(O5-M5-N5&gt;0,O5-M5-N5,0)</f>
        <v>2</v>
      </c>
      <c r="R5" s="1">
        <f>IFERROR(Q5*G5,0)</f>
        <v>14350</v>
      </c>
    </row>
    <row r="6" spans="1:18" x14ac:dyDescent="0.3">
      <c r="A6" t="s">
        <v>3479</v>
      </c>
      <c r="B6" t="s">
        <v>3480</v>
      </c>
      <c r="C6" t="s">
        <v>41</v>
      </c>
      <c r="D6">
        <v>1</v>
      </c>
      <c r="E6">
        <v>1</v>
      </c>
      <c r="F6" t="s">
        <v>3471</v>
      </c>
      <c r="G6" s="1">
        <v>26234</v>
      </c>
      <c r="H6">
        <v>0</v>
      </c>
      <c r="I6">
        <v>0.5</v>
      </c>
      <c r="J6">
        <v>1</v>
      </c>
      <c r="K6">
        <v>1</v>
      </c>
      <c r="L6">
        <f>ROUNDUP((J6*I6)+K6,0)</f>
        <v>2</v>
      </c>
      <c r="M6">
        <v>0</v>
      </c>
      <c r="N6">
        <v>0</v>
      </c>
      <c r="O6">
        <v>2</v>
      </c>
      <c r="P6" s="1">
        <f>IFERROR(M6*G6,0)</f>
        <v>0</v>
      </c>
      <c r="Q6">
        <f>IF(O6-M6-N6&gt;0,O6-M6-N6,0)</f>
        <v>2</v>
      </c>
      <c r="R6" s="1">
        <f>IFERROR(Q6*G6,0)</f>
        <v>52468</v>
      </c>
    </row>
    <row r="7" spans="1:18" x14ac:dyDescent="0.3">
      <c r="A7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R3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2.44140625" bestFit="1" customWidth="1"/>
    <col min="2" max="2" width="12.6640625" bestFit="1" customWidth="1"/>
    <col min="3" max="3" width="10.777343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3481</v>
      </c>
      <c r="B2" t="s">
        <v>3482</v>
      </c>
      <c r="C2" t="s">
        <v>42</v>
      </c>
      <c r="D2">
        <v>1</v>
      </c>
      <c r="E2">
        <v>0</v>
      </c>
      <c r="G2" s="1">
        <v>0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3483</v>
      </c>
      <c r="B2" t="s">
        <v>3484</v>
      </c>
      <c r="C2" t="s">
        <v>43</v>
      </c>
      <c r="D2">
        <v>1</v>
      </c>
      <c r="E2">
        <v>1</v>
      </c>
      <c r="F2" t="s">
        <v>3485</v>
      </c>
      <c r="G2" s="1">
        <v>496.99</v>
      </c>
      <c r="H2">
        <v>0</v>
      </c>
      <c r="I2">
        <v>0.5</v>
      </c>
      <c r="J2">
        <v>1</v>
      </c>
      <c r="K2">
        <v>1</v>
      </c>
      <c r="L2">
        <f>ROUNDUP((J2*I2)+K2,0)</f>
        <v>2</v>
      </c>
      <c r="M2">
        <v>0</v>
      </c>
      <c r="N2">
        <v>0</v>
      </c>
      <c r="O2">
        <v>2</v>
      </c>
      <c r="P2" s="1">
        <f>IFERROR(M2*G2,0)</f>
        <v>0</v>
      </c>
      <c r="Q2">
        <f>IF(O2-M2-N2&gt;0,O2-M2-N2,0)</f>
        <v>2</v>
      </c>
      <c r="R2" s="1">
        <f>IFERROR(Q2*G2,0)</f>
        <v>993.98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R5"/>
  <sheetViews>
    <sheetView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15.5546875" bestFit="1" customWidth="1"/>
    <col min="2" max="2" width="30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3486</v>
      </c>
      <c r="B2" t="s">
        <v>3487</v>
      </c>
      <c r="C2" t="s">
        <v>44</v>
      </c>
      <c r="D2">
        <v>2</v>
      </c>
      <c r="E2">
        <v>11</v>
      </c>
      <c r="F2" t="s">
        <v>3488</v>
      </c>
      <c r="G2" s="1">
        <v>2334</v>
      </c>
      <c r="H2">
        <v>0</v>
      </c>
      <c r="I2">
        <v>0.5</v>
      </c>
      <c r="J2">
        <v>5.5</v>
      </c>
      <c r="K2">
        <v>3</v>
      </c>
      <c r="L2">
        <f>ROUNDUP((J2*I2)+K2,0)</f>
        <v>6</v>
      </c>
      <c r="M2">
        <v>0</v>
      </c>
      <c r="N2">
        <v>0</v>
      </c>
      <c r="O2">
        <v>14</v>
      </c>
      <c r="P2" s="1">
        <f>IFERROR(M2*G2,0)</f>
        <v>0</v>
      </c>
      <c r="Q2">
        <f>IF(O2-M2-N2&gt;0,O2-M2-N2,0)</f>
        <v>14</v>
      </c>
      <c r="R2" s="1">
        <f>IFERROR(Q2*G2,0)</f>
        <v>32676</v>
      </c>
    </row>
    <row r="3" spans="1:18" x14ac:dyDescent="0.3">
      <c r="A3" t="s">
        <v>3489</v>
      </c>
      <c r="B3" t="s">
        <v>3490</v>
      </c>
      <c r="C3" t="s">
        <v>44</v>
      </c>
      <c r="D3">
        <v>1</v>
      </c>
      <c r="E3">
        <v>0</v>
      </c>
      <c r="G3" s="1">
        <v>2334</v>
      </c>
      <c r="H3">
        <v>0</v>
      </c>
      <c r="I3">
        <v>0.5</v>
      </c>
      <c r="J3">
        <v>1</v>
      </c>
      <c r="K3">
        <v>1</v>
      </c>
      <c r="L3">
        <f>ROUNDUP((J3*I3)+K3,0)</f>
        <v>2</v>
      </c>
      <c r="M3">
        <v>0</v>
      </c>
      <c r="N3">
        <v>0</v>
      </c>
      <c r="O3">
        <v>2</v>
      </c>
      <c r="P3" s="1">
        <f>IFERROR(M3*G3,0)</f>
        <v>0</v>
      </c>
      <c r="Q3">
        <f>IF(O3-M3-N3&gt;0,O3-M3-N3,0)</f>
        <v>2</v>
      </c>
      <c r="R3" s="1">
        <f>IFERROR(Q3*G3,0)</f>
        <v>4668</v>
      </c>
    </row>
    <row r="4" spans="1:18" x14ac:dyDescent="0.3">
      <c r="A4" t="s">
        <v>3491</v>
      </c>
      <c r="B4" t="s">
        <v>3492</v>
      </c>
      <c r="C4" t="s">
        <v>44</v>
      </c>
      <c r="D4">
        <v>1</v>
      </c>
      <c r="E4">
        <v>0</v>
      </c>
      <c r="G4" s="1">
        <v>2950</v>
      </c>
      <c r="H4">
        <v>0</v>
      </c>
      <c r="I4">
        <v>0.5</v>
      </c>
      <c r="J4">
        <v>1</v>
      </c>
      <c r="K4">
        <v>1</v>
      </c>
      <c r="L4">
        <f>ROUNDUP((J4*I4)+K4,0)</f>
        <v>2</v>
      </c>
      <c r="M4">
        <v>0</v>
      </c>
      <c r="N4">
        <v>0</v>
      </c>
      <c r="O4">
        <v>2</v>
      </c>
      <c r="P4" s="1">
        <f>IFERROR(M4*G4,0)</f>
        <v>0</v>
      </c>
      <c r="Q4">
        <f>IF(O4-M4-N4&gt;0,O4-M4-N4,0)</f>
        <v>2</v>
      </c>
      <c r="R4" s="1">
        <f>IFERROR(Q4*G4,0)</f>
        <v>5900</v>
      </c>
    </row>
    <row r="5" spans="1:18" x14ac:dyDescent="0.3">
      <c r="A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3493</v>
      </c>
      <c r="B2" t="s">
        <v>3494</v>
      </c>
      <c r="C2" t="s">
        <v>45</v>
      </c>
      <c r="D2">
        <v>17</v>
      </c>
      <c r="E2">
        <v>4</v>
      </c>
      <c r="F2" t="s">
        <v>1073</v>
      </c>
      <c r="G2" s="1">
        <v>14073</v>
      </c>
      <c r="H2">
        <v>4</v>
      </c>
      <c r="I2">
        <v>1.1000000000000001</v>
      </c>
      <c r="J2">
        <v>1</v>
      </c>
      <c r="K2">
        <v>1</v>
      </c>
      <c r="L2">
        <f>ROUNDUP((J2*I2)+K2,0)</f>
        <v>3</v>
      </c>
      <c r="M2">
        <v>0</v>
      </c>
      <c r="N2">
        <v>6</v>
      </c>
      <c r="O2">
        <v>3</v>
      </c>
      <c r="P2" s="1">
        <f>IFERROR(M2*G2,0)</f>
        <v>0</v>
      </c>
      <c r="Q2">
        <f>IF(O2-M2-N2&gt;0,O2-M2-N2,0)</f>
        <v>0</v>
      </c>
      <c r="R2" s="1">
        <f>IFERROR(Q2*G2,0)</f>
        <v>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R3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3495</v>
      </c>
      <c r="B2" t="s">
        <v>3496</v>
      </c>
      <c r="C2" t="s">
        <v>46</v>
      </c>
      <c r="D2">
        <v>1</v>
      </c>
      <c r="E2">
        <v>4</v>
      </c>
      <c r="F2" t="s">
        <v>3497</v>
      </c>
      <c r="G2" s="1">
        <v>750</v>
      </c>
      <c r="H2">
        <v>0</v>
      </c>
      <c r="I2">
        <v>0.5</v>
      </c>
      <c r="J2">
        <v>4</v>
      </c>
      <c r="K2">
        <v>2</v>
      </c>
      <c r="L2">
        <f>ROUNDUP((J2*I2)+K2,0)</f>
        <v>4</v>
      </c>
      <c r="M2">
        <v>0</v>
      </c>
      <c r="N2">
        <v>0</v>
      </c>
      <c r="O2">
        <v>10</v>
      </c>
      <c r="P2" s="1">
        <f>IFERROR(M2*G2,0)</f>
        <v>0</v>
      </c>
      <c r="Q2">
        <f>IF(O2-M2-N2&gt;0,O2-M2-N2,0)</f>
        <v>10</v>
      </c>
      <c r="R2" s="1">
        <f>IFERROR(Q2*G2,0)</f>
        <v>7500</v>
      </c>
    </row>
    <row r="3" spans="1:18" x14ac:dyDescent="0.3">
      <c r="A3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1206"/>
  <sheetViews>
    <sheetView tabSelected="1" workbookViewId="0">
      <pane ySplit="1" topLeftCell="A1198" activePane="bottomLeft" state="frozen"/>
      <selection pane="bottomLeft" activeCell="A1014" sqref="A1014"/>
    </sheetView>
  </sheetViews>
  <sheetFormatPr defaultColWidth="16.44140625" defaultRowHeight="14.4" x14ac:dyDescent="0.3"/>
  <cols>
    <col min="1" max="1" width="22" customWidth="1"/>
    <col min="2" max="2" width="30.88671875" customWidth="1"/>
    <col min="3" max="3" width="12.77734375" bestFit="1" customWidth="1"/>
    <col min="4" max="4" width="18.33203125" bestFit="1" customWidth="1"/>
    <col min="5" max="5" width="20.6640625" bestFit="1" customWidth="1"/>
    <col min="6" max="6" width="48.5546875" bestFit="1" customWidth="1"/>
    <col min="7" max="7" width="11.5546875" bestFit="1" customWidth="1"/>
    <col min="8" max="8" width="15.44140625" bestFit="1" customWidth="1"/>
    <col min="9" max="9" width="20.21875" bestFit="1" customWidth="1"/>
    <col min="10" max="10" width="7.5546875" bestFit="1" customWidth="1"/>
    <col min="11" max="11" width="6.5546875" bestFit="1" customWidth="1"/>
    <col min="12" max="12" width="21.21875" bestFit="1" customWidth="1"/>
    <col min="13" max="13" width="14.6640625" bestFit="1" customWidth="1"/>
    <col min="14" max="14" width="10.88671875" bestFit="1" customWidth="1"/>
    <col min="15" max="15" width="6.88671875" bestFit="1" customWidth="1"/>
    <col min="16" max="16" width="13.109375" bestFit="1" customWidth="1"/>
    <col min="17" max="17" width="14.21875" bestFit="1" customWidth="1"/>
    <col min="18" max="18" width="16.109375" bestFit="1" customWidth="1"/>
  </cols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hidden="1" x14ac:dyDescent="0.3">
      <c r="A2" t="s">
        <v>3498</v>
      </c>
      <c r="B2" t="s">
        <v>3499</v>
      </c>
      <c r="C2" t="s">
        <v>47</v>
      </c>
      <c r="D2">
        <v>1</v>
      </c>
      <c r="E2">
        <v>1</v>
      </c>
      <c r="F2" t="s">
        <v>3500</v>
      </c>
      <c r="G2" s="1">
        <v>6515.6</v>
      </c>
      <c r="H2">
        <v>0</v>
      </c>
      <c r="I2">
        <v>0.5</v>
      </c>
      <c r="J2">
        <v>1</v>
      </c>
      <c r="K2">
        <v>1</v>
      </c>
      <c r="L2">
        <f t="shared" ref="L2:L65" si="0">ROUNDUP((J2*I2)+K2,0)</f>
        <v>2</v>
      </c>
      <c r="M2">
        <v>0</v>
      </c>
      <c r="N2">
        <v>0</v>
      </c>
      <c r="O2">
        <v>2</v>
      </c>
      <c r="P2" s="1">
        <f t="shared" ref="P2:P65" si="1">IFERROR(M2*G2,0)</f>
        <v>0</v>
      </c>
      <c r="Q2">
        <f t="shared" ref="Q2:Q65" si="2">IF(O2-M2-N2&gt;0,O2-M2-N2,0)</f>
        <v>2</v>
      </c>
      <c r="R2" s="1">
        <f t="shared" ref="R2:R65" si="3">IFERROR(Q2*G2,0)</f>
        <v>13031.2</v>
      </c>
    </row>
    <row r="3" spans="1:18" hidden="1" x14ac:dyDescent="0.3">
      <c r="A3" t="s">
        <v>3501</v>
      </c>
      <c r="B3" t="s">
        <v>3502</v>
      </c>
      <c r="C3" t="s">
        <v>47</v>
      </c>
      <c r="D3">
        <v>1</v>
      </c>
      <c r="E3">
        <v>0</v>
      </c>
      <c r="G3" s="1">
        <v>0</v>
      </c>
      <c r="H3">
        <v>0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0</v>
      </c>
    </row>
    <row r="4" spans="1:18" hidden="1" x14ac:dyDescent="0.3">
      <c r="A4" t="s">
        <v>3503</v>
      </c>
      <c r="B4" t="s">
        <v>3504</v>
      </c>
      <c r="C4" t="s">
        <v>47</v>
      </c>
      <c r="D4">
        <v>1</v>
      </c>
      <c r="E4">
        <v>1</v>
      </c>
      <c r="F4" t="s">
        <v>654</v>
      </c>
      <c r="G4" s="1">
        <v>1359</v>
      </c>
      <c r="H4">
        <v>0</v>
      </c>
      <c r="I4">
        <v>0.8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3</v>
      </c>
      <c r="P4" s="1">
        <f t="shared" si="1"/>
        <v>0</v>
      </c>
      <c r="Q4">
        <f t="shared" si="2"/>
        <v>3</v>
      </c>
      <c r="R4" s="1">
        <f t="shared" si="3"/>
        <v>4077</v>
      </c>
    </row>
    <row r="5" spans="1:18" hidden="1" x14ac:dyDescent="0.3">
      <c r="A5" t="s">
        <v>3505</v>
      </c>
      <c r="B5" t="s">
        <v>3506</v>
      </c>
      <c r="C5" t="s">
        <v>47</v>
      </c>
      <c r="D5">
        <v>1</v>
      </c>
      <c r="E5">
        <v>0</v>
      </c>
      <c r="G5" s="1">
        <v>0</v>
      </c>
      <c r="H5">
        <v>0</v>
      </c>
      <c r="I5">
        <v>0.5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2</v>
      </c>
      <c r="P5" s="1">
        <f t="shared" si="1"/>
        <v>0</v>
      </c>
      <c r="Q5">
        <f t="shared" si="2"/>
        <v>2</v>
      </c>
      <c r="R5" s="1">
        <f t="shared" si="3"/>
        <v>0</v>
      </c>
    </row>
    <row r="6" spans="1:18" hidden="1" x14ac:dyDescent="0.3">
      <c r="A6" t="s">
        <v>3507</v>
      </c>
      <c r="B6" t="s">
        <v>3508</v>
      </c>
      <c r="C6" t="s">
        <v>47</v>
      </c>
      <c r="D6">
        <v>1</v>
      </c>
      <c r="E6">
        <v>3</v>
      </c>
      <c r="F6" t="s">
        <v>654</v>
      </c>
      <c r="G6" s="1">
        <v>1591</v>
      </c>
      <c r="H6">
        <v>0</v>
      </c>
      <c r="I6">
        <v>1.2</v>
      </c>
      <c r="J6">
        <v>3</v>
      </c>
      <c r="K6">
        <v>4</v>
      </c>
      <c r="L6">
        <f t="shared" si="0"/>
        <v>8</v>
      </c>
      <c r="M6">
        <v>0</v>
      </c>
      <c r="N6">
        <v>0</v>
      </c>
      <c r="O6">
        <v>10</v>
      </c>
      <c r="P6" s="1">
        <f t="shared" si="1"/>
        <v>0</v>
      </c>
      <c r="Q6">
        <f t="shared" si="2"/>
        <v>10</v>
      </c>
      <c r="R6" s="1">
        <f t="shared" si="3"/>
        <v>15910</v>
      </c>
    </row>
    <row r="7" spans="1:18" hidden="1" x14ac:dyDescent="0.3">
      <c r="A7" t="s">
        <v>3509</v>
      </c>
      <c r="B7" t="s">
        <v>3510</v>
      </c>
      <c r="C7" t="s">
        <v>47</v>
      </c>
      <c r="D7">
        <v>1</v>
      </c>
      <c r="E7">
        <v>1</v>
      </c>
      <c r="F7" t="s">
        <v>654</v>
      </c>
      <c r="G7" s="1">
        <v>1880</v>
      </c>
      <c r="H7">
        <v>0</v>
      </c>
      <c r="I7">
        <v>1.4</v>
      </c>
      <c r="J7">
        <v>1</v>
      </c>
      <c r="K7">
        <v>1</v>
      </c>
      <c r="L7">
        <f t="shared" si="0"/>
        <v>3</v>
      </c>
      <c r="M7">
        <v>0</v>
      </c>
      <c r="N7">
        <v>0</v>
      </c>
      <c r="O7">
        <v>3</v>
      </c>
      <c r="P7" s="1">
        <f t="shared" si="1"/>
        <v>0</v>
      </c>
      <c r="Q7">
        <f t="shared" si="2"/>
        <v>3</v>
      </c>
      <c r="R7" s="1">
        <f t="shared" si="3"/>
        <v>5640</v>
      </c>
    </row>
    <row r="8" spans="1:18" hidden="1" x14ac:dyDescent="0.3">
      <c r="A8" t="s">
        <v>3511</v>
      </c>
      <c r="B8" t="s">
        <v>3512</v>
      </c>
      <c r="C8" t="s">
        <v>47</v>
      </c>
      <c r="D8">
        <v>1</v>
      </c>
      <c r="E8">
        <v>1</v>
      </c>
      <c r="F8" t="s">
        <v>3476</v>
      </c>
      <c r="G8" s="1">
        <v>1630</v>
      </c>
      <c r="H8">
        <v>0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3260</v>
      </c>
    </row>
    <row r="9" spans="1:18" hidden="1" x14ac:dyDescent="0.3">
      <c r="A9" t="s">
        <v>3513</v>
      </c>
      <c r="B9" t="s">
        <v>3514</v>
      </c>
      <c r="C9" t="s">
        <v>47</v>
      </c>
      <c r="D9">
        <v>1</v>
      </c>
      <c r="E9">
        <v>1</v>
      </c>
      <c r="F9" t="s">
        <v>654</v>
      </c>
      <c r="G9" s="1">
        <v>1834</v>
      </c>
      <c r="H9">
        <v>0</v>
      </c>
      <c r="I9">
        <v>1.8</v>
      </c>
      <c r="J9">
        <v>1</v>
      </c>
      <c r="K9">
        <v>2</v>
      </c>
      <c r="L9">
        <f t="shared" si="0"/>
        <v>4</v>
      </c>
      <c r="M9">
        <v>0</v>
      </c>
      <c r="N9">
        <v>0</v>
      </c>
      <c r="O9">
        <v>4</v>
      </c>
      <c r="P9" s="1">
        <f t="shared" si="1"/>
        <v>0</v>
      </c>
      <c r="Q9">
        <f t="shared" si="2"/>
        <v>4</v>
      </c>
      <c r="R9" s="1">
        <f t="shared" si="3"/>
        <v>7336</v>
      </c>
    </row>
    <row r="10" spans="1:18" hidden="1" x14ac:dyDescent="0.3">
      <c r="A10" t="s">
        <v>3515</v>
      </c>
      <c r="B10" t="s">
        <v>3516</v>
      </c>
      <c r="C10" t="s">
        <v>47</v>
      </c>
      <c r="D10">
        <v>10</v>
      </c>
      <c r="E10">
        <v>0</v>
      </c>
      <c r="G10" s="1">
        <v>0</v>
      </c>
      <c r="H10">
        <v>21</v>
      </c>
      <c r="I10">
        <v>0.5</v>
      </c>
      <c r="J10">
        <v>2.5</v>
      </c>
      <c r="K10">
        <v>1</v>
      </c>
      <c r="L10">
        <f t="shared" si="0"/>
        <v>3</v>
      </c>
      <c r="M10">
        <v>0</v>
      </c>
      <c r="N10">
        <v>0</v>
      </c>
      <c r="O10">
        <v>6</v>
      </c>
      <c r="P10" s="1">
        <f t="shared" si="1"/>
        <v>0</v>
      </c>
      <c r="Q10">
        <f t="shared" si="2"/>
        <v>6</v>
      </c>
      <c r="R10" s="1">
        <f t="shared" si="3"/>
        <v>0</v>
      </c>
    </row>
    <row r="11" spans="1:18" hidden="1" x14ac:dyDescent="0.3">
      <c r="A11" t="s">
        <v>3517</v>
      </c>
      <c r="B11" t="s">
        <v>3518</v>
      </c>
      <c r="C11" t="s">
        <v>47</v>
      </c>
      <c r="D11">
        <v>1</v>
      </c>
      <c r="E11">
        <v>0</v>
      </c>
      <c r="G11" s="1">
        <v>0</v>
      </c>
      <c r="H11">
        <v>0</v>
      </c>
      <c r="I11">
        <v>0.5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2</v>
      </c>
      <c r="P11" s="1">
        <f t="shared" si="1"/>
        <v>0</v>
      </c>
      <c r="Q11">
        <f t="shared" si="2"/>
        <v>2</v>
      </c>
      <c r="R11" s="1">
        <f t="shared" si="3"/>
        <v>0</v>
      </c>
    </row>
    <row r="12" spans="1:18" hidden="1" x14ac:dyDescent="0.3">
      <c r="A12" t="s">
        <v>3519</v>
      </c>
      <c r="B12" t="s">
        <v>3520</v>
      </c>
      <c r="C12" t="s">
        <v>47</v>
      </c>
      <c r="D12">
        <v>1</v>
      </c>
      <c r="E12">
        <v>0</v>
      </c>
      <c r="G12" s="1">
        <v>0</v>
      </c>
      <c r="H12">
        <v>20</v>
      </c>
      <c r="I12">
        <v>0.5</v>
      </c>
      <c r="J12">
        <v>20</v>
      </c>
      <c r="K12">
        <v>10</v>
      </c>
      <c r="L12">
        <f t="shared" si="0"/>
        <v>20</v>
      </c>
      <c r="M12">
        <v>0</v>
      </c>
      <c r="N12">
        <v>0</v>
      </c>
      <c r="O12">
        <v>50</v>
      </c>
      <c r="P12" s="1">
        <f t="shared" si="1"/>
        <v>0</v>
      </c>
      <c r="Q12">
        <f t="shared" si="2"/>
        <v>50</v>
      </c>
      <c r="R12" s="1">
        <f t="shared" si="3"/>
        <v>0</v>
      </c>
    </row>
    <row r="13" spans="1:18" hidden="1" x14ac:dyDescent="0.3">
      <c r="A13" t="s">
        <v>3521</v>
      </c>
      <c r="B13" t="s">
        <v>3522</v>
      </c>
      <c r="C13" t="s">
        <v>47</v>
      </c>
      <c r="D13">
        <v>4</v>
      </c>
      <c r="E13">
        <v>3</v>
      </c>
      <c r="F13" t="s">
        <v>206</v>
      </c>
      <c r="G13" s="1">
        <v>4276.18</v>
      </c>
      <c r="H13">
        <v>0</v>
      </c>
      <c r="I13">
        <v>0.5</v>
      </c>
      <c r="J13">
        <v>1</v>
      </c>
      <c r="K13">
        <v>1</v>
      </c>
      <c r="L13">
        <f t="shared" si="0"/>
        <v>2</v>
      </c>
      <c r="M13">
        <v>0</v>
      </c>
      <c r="N13">
        <v>0</v>
      </c>
      <c r="O13">
        <v>2</v>
      </c>
      <c r="P13" s="1">
        <f t="shared" si="1"/>
        <v>0</v>
      </c>
      <c r="Q13">
        <f t="shared" si="2"/>
        <v>2</v>
      </c>
      <c r="R13" s="1">
        <f t="shared" si="3"/>
        <v>8552.36</v>
      </c>
    </row>
    <row r="14" spans="1:18" hidden="1" x14ac:dyDescent="0.3">
      <c r="A14" t="s">
        <v>3523</v>
      </c>
      <c r="B14" t="s">
        <v>3524</v>
      </c>
      <c r="C14" t="s">
        <v>47</v>
      </c>
      <c r="D14">
        <v>1</v>
      </c>
      <c r="E14">
        <v>2</v>
      </c>
      <c r="F14" t="s">
        <v>209</v>
      </c>
      <c r="G14" s="1">
        <v>520</v>
      </c>
      <c r="H14">
        <v>0</v>
      </c>
      <c r="I14">
        <v>0.5</v>
      </c>
      <c r="J14">
        <v>2</v>
      </c>
      <c r="K14">
        <v>1</v>
      </c>
      <c r="L14">
        <f t="shared" si="0"/>
        <v>2</v>
      </c>
      <c r="M14">
        <v>0</v>
      </c>
      <c r="N14">
        <v>0</v>
      </c>
      <c r="O14">
        <v>5</v>
      </c>
      <c r="P14" s="1">
        <f t="shared" si="1"/>
        <v>0</v>
      </c>
      <c r="Q14">
        <f t="shared" si="2"/>
        <v>5</v>
      </c>
      <c r="R14" s="1">
        <f t="shared" si="3"/>
        <v>2600</v>
      </c>
    </row>
    <row r="15" spans="1:18" hidden="1" x14ac:dyDescent="0.3">
      <c r="A15" t="s">
        <v>3525</v>
      </c>
      <c r="B15" t="s">
        <v>3526</v>
      </c>
      <c r="C15" t="s">
        <v>47</v>
      </c>
      <c r="D15">
        <v>6</v>
      </c>
      <c r="E15">
        <v>4</v>
      </c>
      <c r="F15" t="s">
        <v>2536</v>
      </c>
      <c r="G15" s="1">
        <v>1004</v>
      </c>
      <c r="H15">
        <v>0</v>
      </c>
      <c r="I15">
        <v>0.5</v>
      </c>
      <c r="J15">
        <v>1</v>
      </c>
      <c r="K15">
        <v>1</v>
      </c>
      <c r="L15">
        <f t="shared" si="0"/>
        <v>2</v>
      </c>
      <c r="M15">
        <v>0</v>
      </c>
      <c r="N15">
        <v>0</v>
      </c>
      <c r="O15">
        <v>2</v>
      </c>
      <c r="P15" s="1">
        <f t="shared" si="1"/>
        <v>0</v>
      </c>
      <c r="Q15">
        <f t="shared" si="2"/>
        <v>2</v>
      </c>
      <c r="R15" s="1">
        <f t="shared" si="3"/>
        <v>2008</v>
      </c>
    </row>
    <row r="16" spans="1:18" hidden="1" x14ac:dyDescent="0.3">
      <c r="A16" t="s">
        <v>3527</v>
      </c>
      <c r="B16" t="s">
        <v>3528</v>
      </c>
      <c r="C16" t="s">
        <v>47</v>
      </c>
      <c r="D16">
        <v>21</v>
      </c>
      <c r="E16">
        <v>12</v>
      </c>
      <c r="F16" t="s">
        <v>654</v>
      </c>
      <c r="G16" s="1">
        <v>1768.63</v>
      </c>
      <c r="H16">
        <v>1</v>
      </c>
      <c r="I16">
        <v>0.9</v>
      </c>
      <c r="J16">
        <v>1</v>
      </c>
      <c r="K16">
        <v>1</v>
      </c>
      <c r="L16">
        <f t="shared" si="0"/>
        <v>2</v>
      </c>
      <c r="M16">
        <v>0</v>
      </c>
      <c r="N16">
        <v>0</v>
      </c>
      <c r="O16">
        <v>3</v>
      </c>
      <c r="P16" s="1">
        <f t="shared" si="1"/>
        <v>0</v>
      </c>
      <c r="Q16">
        <f t="shared" si="2"/>
        <v>3</v>
      </c>
      <c r="R16" s="1">
        <f t="shared" si="3"/>
        <v>5305.89</v>
      </c>
    </row>
    <row r="17" spans="1:18" hidden="1" x14ac:dyDescent="0.3">
      <c r="A17" t="s">
        <v>3529</v>
      </c>
      <c r="B17" t="s">
        <v>3530</v>
      </c>
      <c r="C17" t="s">
        <v>47</v>
      </c>
      <c r="D17">
        <v>1</v>
      </c>
      <c r="E17">
        <v>1</v>
      </c>
      <c r="F17" t="s">
        <v>3476</v>
      </c>
      <c r="G17" s="1">
        <v>2276</v>
      </c>
      <c r="H17">
        <v>0</v>
      </c>
      <c r="I17">
        <v>0.9</v>
      </c>
      <c r="J17">
        <v>1</v>
      </c>
      <c r="K17">
        <v>1</v>
      </c>
      <c r="L17">
        <f t="shared" si="0"/>
        <v>2</v>
      </c>
      <c r="M17">
        <v>0</v>
      </c>
      <c r="N17">
        <v>0</v>
      </c>
      <c r="O17">
        <v>3</v>
      </c>
      <c r="P17" s="1">
        <f t="shared" si="1"/>
        <v>0</v>
      </c>
      <c r="Q17">
        <f t="shared" si="2"/>
        <v>3</v>
      </c>
      <c r="R17" s="1">
        <f t="shared" si="3"/>
        <v>6828</v>
      </c>
    </row>
    <row r="18" spans="1:18" hidden="1" x14ac:dyDescent="0.3">
      <c r="A18" t="s">
        <v>3531</v>
      </c>
      <c r="B18" t="s">
        <v>3532</v>
      </c>
      <c r="C18" t="s">
        <v>47</v>
      </c>
      <c r="D18">
        <v>20</v>
      </c>
      <c r="E18">
        <v>7</v>
      </c>
      <c r="F18" t="s">
        <v>654</v>
      </c>
      <c r="G18" s="1">
        <v>1917.14</v>
      </c>
      <c r="H18">
        <v>0</v>
      </c>
      <c r="I18">
        <v>0.5</v>
      </c>
      <c r="J18">
        <v>1</v>
      </c>
      <c r="K18">
        <v>1</v>
      </c>
      <c r="L18">
        <f t="shared" si="0"/>
        <v>2</v>
      </c>
      <c r="M18">
        <v>0</v>
      </c>
      <c r="N18">
        <v>0</v>
      </c>
      <c r="O18">
        <v>2</v>
      </c>
      <c r="P18" s="1">
        <f t="shared" si="1"/>
        <v>0</v>
      </c>
      <c r="Q18">
        <f t="shared" si="2"/>
        <v>2</v>
      </c>
      <c r="R18" s="1">
        <f t="shared" si="3"/>
        <v>3834.28</v>
      </c>
    </row>
    <row r="19" spans="1:18" hidden="1" x14ac:dyDescent="0.3">
      <c r="A19" t="s">
        <v>3533</v>
      </c>
      <c r="B19" t="s">
        <v>3534</v>
      </c>
      <c r="C19" t="s">
        <v>47</v>
      </c>
      <c r="D19">
        <v>1</v>
      </c>
      <c r="E19">
        <v>2</v>
      </c>
      <c r="F19" t="s">
        <v>3471</v>
      </c>
      <c r="G19" s="1">
        <v>2430</v>
      </c>
      <c r="H19">
        <v>0</v>
      </c>
      <c r="I19">
        <v>0.5</v>
      </c>
      <c r="J19">
        <v>2</v>
      </c>
      <c r="K19">
        <v>1</v>
      </c>
      <c r="L19">
        <f t="shared" si="0"/>
        <v>2</v>
      </c>
      <c r="M19">
        <v>0</v>
      </c>
      <c r="N19">
        <v>0</v>
      </c>
      <c r="O19">
        <v>5</v>
      </c>
      <c r="P19" s="1">
        <f t="shared" si="1"/>
        <v>0</v>
      </c>
      <c r="Q19">
        <f t="shared" si="2"/>
        <v>5</v>
      </c>
      <c r="R19" s="1">
        <f t="shared" si="3"/>
        <v>12150</v>
      </c>
    </row>
    <row r="20" spans="1:18" hidden="1" x14ac:dyDescent="0.3">
      <c r="A20" t="s">
        <v>3535</v>
      </c>
      <c r="B20" t="s">
        <v>3536</v>
      </c>
      <c r="C20" t="s">
        <v>47</v>
      </c>
      <c r="D20">
        <v>1</v>
      </c>
      <c r="E20">
        <v>0</v>
      </c>
      <c r="G20" s="1">
        <v>0</v>
      </c>
      <c r="H20">
        <v>0</v>
      </c>
      <c r="I20">
        <v>0.5</v>
      </c>
      <c r="J20">
        <v>1</v>
      </c>
      <c r="K20">
        <v>1</v>
      </c>
      <c r="L20">
        <f t="shared" si="0"/>
        <v>2</v>
      </c>
      <c r="M20">
        <v>0</v>
      </c>
      <c r="N20">
        <v>0</v>
      </c>
      <c r="O20">
        <v>2</v>
      </c>
      <c r="P20" s="1">
        <f t="shared" si="1"/>
        <v>0</v>
      </c>
      <c r="Q20">
        <f t="shared" si="2"/>
        <v>2</v>
      </c>
      <c r="R20" s="1">
        <f t="shared" si="3"/>
        <v>0</v>
      </c>
    </row>
    <row r="21" spans="1:18" hidden="1" x14ac:dyDescent="0.3">
      <c r="A21" t="s">
        <v>3537</v>
      </c>
      <c r="B21" t="s">
        <v>3538</v>
      </c>
      <c r="C21" t="s">
        <v>47</v>
      </c>
      <c r="D21">
        <v>1</v>
      </c>
      <c r="E21">
        <v>10</v>
      </c>
      <c r="F21" t="s">
        <v>654</v>
      </c>
      <c r="G21" s="1">
        <v>2681</v>
      </c>
      <c r="H21">
        <v>0</v>
      </c>
      <c r="I21">
        <v>1.4</v>
      </c>
      <c r="J21">
        <v>10</v>
      </c>
      <c r="K21">
        <v>14</v>
      </c>
      <c r="L21">
        <f t="shared" si="0"/>
        <v>28</v>
      </c>
      <c r="M21">
        <v>0</v>
      </c>
      <c r="N21">
        <v>0</v>
      </c>
      <c r="O21">
        <v>34</v>
      </c>
      <c r="P21" s="1">
        <f t="shared" si="1"/>
        <v>0</v>
      </c>
      <c r="Q21">
        <f t="shared" si="2"/>
        <v>34</v>
      </c>
      <c r="R21" s="1">
        <f t="shared" si="3"/>
        <v>91154</v>
      </c>
    </row>
    <row r="22" spans="1:18" hidden="1" x14ac:dyDescent="0.3">
      <c r="A22" t="s">
        <v>3539</v>
      </c>
      <c r="B22" t="s">
        <v>3540</v>
      </c>
      <c r="C22" t="s">
        <v>47</v>
      </c>
      <c r="D22">
        <v>1</v>
      </c>
      <c r="E22">
        <v>1</v>
      </c>
      <c r="F22" t="s">
        <v>3541</v>
      </c>
      <c r="G22" s="1">
        <v>2853.04</v>
      </c>
      <c r="H22">
        <v>0</v>
      </c>
      <c r="I22">
        <v>0.5</v>
      </c>
      <c r="J22">
        <v>1</v>
      </c>
      <c r="K22">
        <v>1</v>
      </c>
      <c r="L22">
        <f t="shared" si="0"/>
        <v>2</v>
      </c>
      <c r="M22">
        <v>0</v>
      </c>
      <c r="N22">
        <v>0</v>
      </c>
      <c r="O22">
        <v>2</v>
      </c>
      <c r="P22" s="1">
        <f t="shared" si="1"/>
        <v>0</v>
      </c>
      <c r="Q22">
        <f t="shared" si="2"/>
        <v>2</v>
      </c>
      <c r="R22" s="1">
        <f t="shared" si="3"/>
        <v>5706.08</v>
      </c>
    </row>
    <row r="23" spans="1:18" hidden="1" x14ac:dyDescent="0.3">
      <c r="A23" t="s">
        <v>3542</v>
      </c>
      <c r="B23" t="s">
        <v>3543</v>
      </c>
      <c r="C23" t="s">
        <v>47</v>
      </c>
      <c r="D23">
        <v>3</v>
      </c>
      <c r="E23">
        <v>37</v>
      </c>
      <c r="F23" t="s">
        <v>3497</v>
      </c>
      <c r="G23" s="1">
        <v>30</v>
      </c>
      <c r="H23">
        <v>0</v>
      </c>
      <c r="I23">
        <v>0.5</v>
      </c>
      <c r="J23">
        <v>12.5</v>
      </c>
      <c r="K23">
        <v>6</v>
      </c>
      <c r="L23">
        <f t="shared" si="0"/>
        <v>13</v>
      </c>
      <c r="M23">
        <v>0</v>
      </c>
      <c r="N23">
        <v>0</v>
      </c>
      <c r="O23">
        <v>31</v>
      </c>
      <c r="P23" s="1">
        <f t="shared" si="1"/>
        <v>0</v>
      </c>
      <c r="Q23">
        <f t="shared" si="2"/>
        <v>31</v>
      </c>
      <c r="R23" s="1">
        <f t="shared" si="3"/>
        <v>930</v>
      </c>
    </row>
    <row r="24" spans="1:18" hidden="1" x14ac:dyDescent="0.3">
      <c r="A24" t="s">
        <v>3544</v>
      </c>
      <c r="B24" t="s">
        <v>3545</v>
      </c>
      <c r="C24" t="s">
        <v>47</v>
      </c>
      <c r="D24">
        <v>1</v>
      </c>
      <c r="E24">
        <v>2</v>
      </c>
      <c r="F24" t="s">
        <v>3546</v>
      </c>
      <c r="G24" s="1">
        <v>876</v>
      </c>
      <c r="H24">
        <v>2</v>
      </c>
      <c r="I24">
        <v>0.5</v>
      </c>
      <c r="J24">
        <v>2</v>
      </c>
      <c r="K24">
        <v>1</v>
      </c>
      <c r="L24">
        <f t="shared" si="0"/>
        <v>2</v>
      </c>
      <c r="M24">
        <v>0</v>
      </c>
      <c r="N24">
        <v>0</v>
      </c>
      <c r="O24">
        <v>5</v>
      </c>
      <c r="P24" s="1">
        <f t="shared" si="1"/>
        <v>0</v>
      </c>
      <c r="Q24">
        <f t="shared" si="2"/>
        <v>5</v>
      </c>
      <c r="R24" s="1">
        <f t="shared" si="3"/>
        <v>4380</v>
      </c>
    </row>
    <row r="25" spans="1:18" hidden="1" x14ac:dyDescent="0.3">
      <c r="A25" t="s">
        <v>3547</v>
      </c>
      <c r="B25" t="s">
        <v>3548</v>
      </c>
      <c r="C25" t="s">
        <v>47</v>
      </c>
      <c r="D25">
        <v>1</v>
      </c>
      <c r="E25">
        <v>0</v>
      </c>
      <c r="G25" s="1">
        <v>0</v>
      </c>
      <c r="H25">
        <v>2</v>
      </c>
      <c r="I25">
        <v>0.5</v>
      </c>
      <c r="J25">
        <v>2</v>
      </c>
      <c r="K25">
        <v>1</v>
      </c>
      <c r="L25">
        <f t="shared" si="0"/>
        <v>2</v>
      </c>
      <c r="M25">
        <v>0</v>
      </c>
      <c r="N25">
        <v>0</v>
      </c>
      <c r="O25">
        <v>5</v>
      </c>
      <c r="P25" s="1">
        <f t="shared" si="1"/>
        <v>0</v>
      </c>
      <c r="Q25">
        <f t="shared" si="2"/>
        <v>5</v>
      </c>
      <c r="R25" s="1">
        <f t="shared" si="3"/>
        <v>0</v>
      </c>
    </row>
    <row r="26" spans="1:18" hidden="1" x14ac:dyDescent="0.3">
      <c r="A26" t="s">
        <v>3549</v>
      </c>
      <c r="B26" t="s">
        <v>3550</v>
      </c>
      <c r="C26" t="s">
        <v>47</v>
      </c>
      <c r="D26">
        <v>1</v>
      </c>
      <c r="E26">
        <v>0</v>
      </c>
      <c r="G26" s="1">
        <v>0</v>
      </c>
      <c r="H26">
        <v>0</v>
      </c>
      <c r="I26">
        <v>0.5</v>
      </c>
      <c r="J26">
        <v>1</v>
      </c>
      <c r="K26">
        <v>1</v>
      </c>
      <c r="L26">
        <f t="shared" si="0"/>
        <v>2</v>
      </c>
      <c r="M26">
        <v>0</v>
      </c>
      <c r="N26">
        <v>0</v>
      </c>
      <c r="O26">
        <v>2</v>
      </c>
      <c r="P26" s="1">
        <f t="shared" si="1"/>
        <v>0</v>
      </c>
      <c r="Q26">
        <f t="shared" si="2"/>
        <v>2</v>
      </c>
      <c r="R26" s="1">
        <f t="shared" si="3"/>
        <v>0</v>
      </c>
    </row>
    <row r="27" spans="1:18" hidden="1" x14ac:dyDescent="0.3">
      <c r="A27" t="s">
        <v>3551</v>
      </c>
      <c r="B27" t="s">
        <v>3552</v>
      </c>
      <c r="C27" t="s">
        <v>47</v>
      </c>
      <c r="D27">
        <v>1</v>
      </c>
      <c r="E27">
        <v>0</v>
      </c>
      <c r="G27" s="1">
        <v>0</v>
      </c>
      <c r="H27">
        <v>0</v>
      </c>
      <c r="I27">
        <v>0.5</v>
      </c>
      <c r="J27">
        <v>1</v>
      </c>
      <c r="K27">
        <v>1</v>
      </c>
      <c r="L27">
        <f t="shared" si="0"/>
        <v>2</v>
      </c>
      <c r="M27">
        <v>0</v>
      </c>
      <c r="N27">
        <v>0</v>
      </c>
      <c r="O27">
        <v>2</v>
      </c>
      <c r="P27" s="1">
        <f t="shared" si="1"/>
        <v>0</v>
      </c>
      <c r="Q27">
        <f t="shared" si="2"/>
        <v>2</v>
      </c>
      <c r="R27" s="1">
        <f t="shared" si="3"/>
        <v>0</v>
      </c>
    </row>
    <row r="28" spans="1:18" hidden="1" x14ac:dyDescent="0.3">
      <c r="A28" t="s">
        <v>3553</v>
      </c>
      <c r="B28" t="s">
        <v>3554</v>
      </c>
      <c r="C28" t="s">
        <v>47</v>
      </c>
      <c r="D28">
        <v>1</v>
      </c>
      <c r="E28">
        <v>0</v>
      </c>
      <c r="G28" s="1">
        <v>0</v>
      </c>
      <c r="H28">
        <v>0</v>
      </c>
      <c r="I28">
        <v>0.5</v>
      </c>
      <c r="J28">
        <v>1</v>
      </c>
      <c r="K28">
        <v>1</v>
      </c>
      <c r="L28">
        <f t="shared" si="0"/>
        <v>2</v>
      </c>
      <c r="M28">
        <v>0</v>
      </c>
      <c r="N28">
        <v>0</v>
      </c>
      <c r="O28">
        <v>2</v>
      </c>
      <c r="P28" s="1">
        <f t="shared" si="1"/>
        <v>0</v>
      </c>
      <c r="Q28">
        <f t="shared" si="2"/>
        <v>2</v>
      </c>
      <c r="R28" s="1">
        <f t="shared" si="3"/>
        <v>0</v>
      </c>
    </row>
    <row r="29" spans="1:18" hidden="1" x14ac:dyDescent="0.3">
      <c r="A29" t="s">
        <v>3555</v>
      </c>
      <c r="B29" t="s">
        <v>3556</v>
      </c>
      <c r="C29" t="s">
        <v>47</v>
      </c>
      <c r="D29">
        <v>1</v>
      </c>
      <c r="E29">
        <v>0</v>
      </c>
      <c r="G29" s="1">
        <v>0</v>
      </c>
      <c r="H29">
        <v>1</v>
      </c>
      <c r="I29">
        <v>0.5</v>
      </c>
      <c r="J29">
        <v>1</v>
      </c>
      <c r="K29">
        <v>1</v>
      </c>
      <c r="L29">
        <f t="shared" si="0"/>
        <v>2</v>
      </c>
      <c r="M29">
        <v>0</v>
      </c>
      <c r="N29">
        <v>0</v>
      </c>
      <c r="O29">
        <v>2</v>
      </c>
      <c r="P29" s="1">
        <f t="shared" si="1"/>
        <v>0</v>
      </c>
      <c r="Q29">
        <f t="shared" si="2"/>
        <v>2</v>
      </c>
      <c r="R29" s="1">
        <f t="shared" si="3"/>
        <v>0</v>
      </c>
    </row>
    <row r="30" spans="1:18" hidden="1" x14ac:dyDescent="0.3">
      <c r="A30" t="s">
        <v>3557</v>
      </c>
      <c r="B30" t="s">
        <v>3558</v>
      </c>
      <c r="C30" t="s">
        <v>47</v>
      </c>
      <c r="D30">
        <v>1</v>
      </c>
      <c r="E30">
        <v>0</v>
      </c>
      <c r="G30" s="1">
        <v>0</v>
      </c>
      <c r="H30">
        <v>2</v>
      </c>
      <c r="I30">
        <v>0.5</v>
      </c>
      <c r="J30">
        <v>2</v>
      </c>
      <c r="K30">
        <v>1</v>
      </c>
      <c r="L30">
        <f t="shared" si="0"/>
        <v>2</v>
      </c>
      <c r="M30">
        <v>0</v>
      </c>
      <c r="N30">
        <v>0</v>
      </c>
      <c r="O30">
        <v>5</v>
      </c>
      <c r="P30" s="1">
        <f t="shared" si="1"/>
        <v>0</v>
      </c>
      <c r="Q30">
        <f t="shared" si="2"/>
        <v>5</v>
      </c>
      <c r="R30" s="1">
        <f t="shared" si="3"/>
        <v>0</v>
      </c>
    </row>
    <row r="31" spans="1:18" hidden="1" x14ac:dyDescent="0.3">
      <c r="A31" t="s">
        <v>3559</v>
      </c>
      <c r="B31" t="s">
        <v>3560</v>
      </c>
      <c r="C31" t="s">
        <v>47</v>
      </c>
      <c r="D31">
        <v>1</v>
      </c>
      <c r="E31">
        <v>1</v>
      </c>
      <c r="F31" t="s">
        <v>77</v>
      </c>
      <c r="G31" s="1">
        <v>1612</v>
      </c>
      <c r="H31">
        <v>0</v>
      </c>
      <c r="I31">
        <v>0.5</v>
      </c>
      <c r="J31">
        <v>1</v>
      </c>
      <c r="K31">
        <v>1</v>
      </c>
      <c r="L31">
        <f t="shared" si="0"/>
        <v>2</v>
      </c>
      <c r="M31">
        <v>0</v>
      </c>
      <c r="N31">
        <v>0</v>
      </c>
      <c r="O31">
        <v>2</v>
      </c>
      <c r="P31" s="1">
        <f t="shared" si="1"/>
        <v>0</v>
      </c>
      <c r="Q31">
        <f t="shared" si="2"/>
        <v>2</v>
      </c>
      <c r="R31" s="1">
        <f t="shared" si="3"/>
        <v>3224</v>
      </c>
    </row>
    <row r="32" spans="1:18" hidden="1" x14ac:dyDescent="0.3">
      <c r="A32" t="s">
        <v>3561</v>
      </c>
      <c r="B32" t="s">
        <v>3562</v>
      </c>
      <c r="C32" t="s">
        <v>47</v>
      </c>
      <c r="D32">
        <v>1</v>
      </c>
      <c r="E32">
        <v>0</v>
      </c>
      <c r="G32" s="1">
        <v>0</v>
      </c>
      <c r="H32">
        <v>0</v>
      </c>
      <c r="I32">
        <v>0.5</v>
      </c>
      <c r="J32">
        <v>1</v>
      </c>
      <c r="K32">
        <v>1</v>
      </c>
      <c r="L32">
        <f t="shared" si="0"/>
        <v>2</v>
      </c>
      <c r="M32">
        <v>0</v>
      </c>
      <c r="N32">
        <v>0</v>
      </c>
      <c r="O32">
        <v>2</v>
      </c>
      <c r="P32" s="1">
        <f t="shared" si="1"/>
        <v>0</v>
      </c>
      <c r="Q32">
        <f t="shared" si="2"/>
        <v>2</v>
      </c>
      <c r="R32" s="1">
        <f t="shared" si="3"/>
        <v>0</v>
      </c>
    </row>
    <row r="33" spans="1:18" hidden="1" x14ac:dyDescent="0.3">
      <c r="A33" t="s">
        <v>3563</v>
      </c>
      <c r="B33" t="s">
        <v>3564</v>
      </c>
      <c r="C33" t="s">
        <v>47</v>
      </c>
      <c r="D33">
        <v>6</v>
      </c>
      <c r="E33">
        <v>4</v>
      </c>
      <c r="F33" t="s">
        <v>3565</v>
      </c>
      <c r="G33" s="1">
        <v>4000</v>
      </c>
      <c r="H33">
        <v>0</v>
      </c>
      <c r="I33">
        <v>0.5</v>
      </c>
      <c r="J33">
        <v>1</v>
      </c>
      <c r="K33">
        <v>1</v>
      </c>
      <c r="L33">
        <f t="shared" si="0"/>
        <v>2</v>
      </c>
      <c r="M33">
        <v>0</v>
      </c>
      <c r="N33">
        <v>0</v>
      </c>
      <c r="O33">
        <v>2</v>
      </c>
      <c r="P33" s="1">
        <f t="shared" si="1"/>
        <v>0</v>
      </c>
      <c r="Q33">
        <f t="shared" si="2"/>
        <v>2</v>
      </c>
      <c r="R33" s="1">
        <f t="shared" si="3"/>
        <v>8000</v>
      </c>
    </row>
    <row r="34" spans="1:18" hidden="1" x14ac:dyDescent="0.3">
      <c r="A34" t="s">
        <v>3566</v>
      </c>
      <c r="B34" t="s">
        <v>3567</v>
      </c>
      <c r="C34" t="s">
        <v>47</v>
      </c>
      <c r="D34">
        <v>1</v>
      </c>
      <c r="E34">
        <v>0</v>
      </c>
      <c r="G34" s="1">
        <v>0</v>
      </c>
      <c r="H34">
        <v>0</v>
      </c>
      <c r="I34">
        <v>0.5</v>
      </c>
      <c r="J34">
        <v>1</v>
      </c>
      <c r="K34">
        <v>1</v>
      </c>
      <c r="L34">
        <f t="shared" si="0"/>
        <v>2</v>
      </c>
      <c r="M34">
        <v>0</v>
      </c>
      <c r="N34">
        <v>0</v>
      </c>
      <c r="O34">
        <v>2</v>
      </c>
      <c r="P34" s="1">
        <f t="shared" si="1"/>
        <v>0</v>
      </c>
      <c r="Q34">
        <f t="shared" si="2"/>
        <v>2</v>
      </c>
      <c r="R34" s="1">
        <f t="shared" si="3"/>
        <v>0</v>
      </c>
    </row>
    <row r="35" spans="1:18" hidden="1" x14ac:dyDescent="0.3">
      <c r="A35" t="s">
        <v>3568</v>
      </c>
      <c r="B35" t="s">
        <v>3569</v>
      </c>
      <c r="C35" t="s">
        <v>47</v>
      </c>
      <c r="D35">
        <v>1</v>
      </c>
      <c r="E35">
        <v>8</v>
      </c>
      <c r="F35" t="s">
        <v>2757</v>
      </c>
      <c r="G35" s="1">
        <v>1635.63</v>
      </c>
      <c r="H35">
        <v>0</v>
      </c>
      <c r="I35">
        <v>2.1</v>
      </c>
      <c r="J35">
        <v>8</v>
      </c>
      <c r="K35">
        <v>17</v>
      </c>
      <c r="L35">
        <f t="shared" si="0"/>
        <v>34</v>
      </c>
      <c r="M35">
        <v>0</v>
      </c>
      <c r="N35">
        <v>0</v>
      </c>
      <c r="O35">
        <v>33</v>
      </c>
      <c r="P35" s="1">
        <f t="shared" si="1"/>
        <v>0</v>
      </c>
      <c r="Q35">
        <f t="shared" si="2"/>
        <v>33</v>
      </c>
      <c r="R35" s="1">
        <f t="shared" si="3"/>
        <v>53975.79</v>
      </c>
    </row>
    <row r="36" spans="1:18" hidden="1" x14ac:dyDescent="0.3">
      <c r="A36" t="s">
        <v>3570</v>
      </c>
      <c r="B36" t="s">
        <v>3571</v>
      </c>
      <c r="C36" t="s">
        <v>47</v>
      </c>
      <c r="D36">
        <v>1</v>
      </c>
      <c r="E36">
        <v>0</v>
      </c>
      <c r="G36" s="1">
        <v>0</v>
      </c>
      <c r="H36">
        <v>0</v>
      </c>
      <c r="I36">
        <v>0.5</v>
      </c>
      <c r="J36">
        <v>1</v>
      </c>
      <c r="K36">
        <v>1</v>
      </c>
      <c r="L36">
        <f t="shared" si="0"/>
        <v>2</v>
      </c>
      <c r="M36">
        <v>0</v>
      </c>
      <c r="N36">
        <v>0</v>
      </c>
      <c r="O36">
        <v>2</v>
      </c>
      <c r="P36" s="1">
        <f t="shared" si="1"/>
        <v>0</v>
      </c>
      <c r="Q36">
        <f t="shared" si="2"/>
        <v>2</v>
      </c>
      <c r="R36" s="1">
        <f t="shared" si="3"/>
        <v>0</v>
      </c>
    </row>
    <row r="37" spans="1:18" hidden="1" x14ac:dyDescent="0.3">
      <c r="A37" t="s">
        <v>3572</v>
      </c>
      <c r="B37" t="s">
        <v>3573</v>
      </c>
      <c r="C37" t="s">
        <v>47</v>
      </c>
      <c r="D37">
        <v>1</v>
      </c>
      <c r="E37">
        <v>5</v>
      </c>
      <c r="F37" t="s">
        <v>209</v>
      </c>
      <c r="G37" s="1">
        <v>0</v>
      </c>
      <c r="H37">
        <v>0</v>
      </c>
      <c r="I37">
        <v>0.5</v>
      </c>
      <c r="J37">
        <v>5</v>
      </c>
      <c r="K37">
        <v>2</v>
      </c>
      <c r="L37">
        <f t="shared" si="0"/>
        <v>5</v>
      </c>
      <c r="M37">
        <v>0</v>
      </c>
      <c r="N37">
        <v>0</v>
      </c>
      <c r="O37">
        <v>12</v>
      </c>
      <c r="P37" s="1">
        <f t="shared" si="1"/>
        <v>0</v>
      </c>
      <c r="Q37">
        <f t="shared" si="2"/>
        <v>12</v>
      </c>
      <c r="R37" s="1">
        <f t="shared" si="3"/>
        <v>0</v>
      </c>
    </row>
    <row r="38" spans="1:18" hidden="1" x14ac:dyDescent="0.3">
      <c r="A38" t="s">
        <v>3574</v>
      </c>
      <c r="B38" t="s">
        <v>3575</v>
      </c>
      <c r="C38" t="s">
        <v>47</v>
      </c>
      <c r="D38">
        <v>1</v>
      </c>
      <c r="E38">
        <v>5</v>
      </c>
      <c r="F38" t="s">
        <v>209</v>
      </c>
      <c r="G38" s="1">
        <v>0</v>
      </c>
      <c r="H38">
        <v>0</v>
      </c>
      <c r="I38">
        <v>0.5</v>
      </c>
      <c r="J38">
        <v>5</v>
      </c>
      <c r="K38">
        <v>2</v>
      </c>
      <c r="L38">
        <f t="shared" si="0"/>
        <v>5</v>
      </c>
      <c r="M38">
        <v>0</v>
      </c>
      <c r="N38">
        <v>0</v>
      </c>
      <c r="O38">
        <v>12</v>
      </c>
      <c r="P38" s="1">
        <f t="shared" si="1"/>
        <v>0</v>
      </c>
      <c r="Q38">
        <f t="shared" si="2"/>
        <v>12</v>
      </c>
      <c r="R38" s="1">
        <f t="shared" si="3"/>
        <v>0</v>
      </c>
    </row>
    <row r="39" spans="1:18" hidden="1" x14ac:dyDescent="0.3">
      <c r="A39" t="s">
        <v>3576</v>
      </c>
      <c r="B39" t="s">
        <v>3577</v>
      </c>
      <c r="C39" t="s">
        <v>47</v>
      </c>
      <c r="D39">
        <v>1</v>
      </c>
      <c r="E39">
        <v>1</v>
      </c>
      <c r="F39" t="s">
        <v>209</v>
      </c>
      <c r="G39" s="1">
        <v>0</v>
      </c>
      <c r="H39">
        <v>0</v>
      </c>
      <c r="I39">
        <v>0.5</v>
      </c>
      <c r="J39">
        <v>1</v>
      </c>
      <c r="K39">
        <v>1</v>
      </c>
      <c r="L39">
        <f t="shared" si="0"/>
        <v>2</v>
      </c>
      <c r="M39">
        <v>0</v>
      </c>
      <c r="N39">
        <v>0</v>
      </c>
      <c r="O39">
        <v>2</v>
      </c>
      <c r="P39" s="1">
        <f t="shared" si="1"/>
        <v>0</v>
      </c>
      <c r="Q39">
        <f t="shared" si="2"/>
        <v>2</v>
      </c>
      <c r="R39" s="1">
        <f t="shared" si="3"/>
        <v>0</v>
      </c>
    </row>
    <row r="40" spans="1:18" hidden="1" x14ac:dyDescent="0.3">
      <c r="A40" t="s">
        <v>3578</v>
      </c>
      <c r="B40" t="s">
        <v>3579</v>
      </c>
      <c r="C40" t="s">
        <v>47</v>
      </c>
      <c r="D40">
        <v>1</v>
      </c>
      <c r="E40">
        <v>0</v>
      </c>
      <c r="G40" s="1">
        <v>0</v>
      </c>
      <c r="H40">
        <v>0</v>
      </c>
      <c r="I40">
        <v>0.5</v>
      </c>
      <c r="J40">
        <v>1</v>
      </c>
      <c r="K40">
        <v>1</v>
      </c>
      <c r="L40">
        <f t="shared" si="0"/>
        <v>2</v>
      </c>
      <c r="M40">
        <v>0</v>
      </c>
      <c r="N40">
        <v>0</v>
      </c>
      <c r="O40">
        <v>2</v>
      </c>
      <c r="P40" s="1">
        <f t="shared" si="1"/>
        <v>0</v>
      </c>
      <c r="Q40">
        <f t="shared" si="2"/>
        <v>2</v>
      </c>
      <c r="R40" s="1">
        <f t="shared" si="3"/>
        <v>0</v>
      </c>
    </row>
    <row r="41" spans="1:18" hidden="1" x14ac:dyDescent="0.3">
      <c r="A41" t="s">
        <v>3580</v>
      </c>
      <c r="B41" t="s">
        <v>3581</v>
      </c>
      <c r="C41" t="s">
        <v>47</v>
      </c>
      <c r="D41">
        <v>1</v>
      </c>
      <c r="E41">
        <v>0</v>
      </c>
      <c r="G41" s="1">
        <v>0</v>
      </c>
      <c r="H41">
        <v>0</v>
      </c>
      <c r="I41">
        <v>0.5</v>
      </c>
      <c r="J41">
        <v>1</v>
      </c>
      <c r="K41">
        <v>1</v>
      </c>
      <c r="L41">
        <f t="shared" si="0"/>
        <v>2</v>
      </c>
      <c r="M41">
        <v>0</v>
      </c>
      <c r="N41">
        <v>0</v>
      </c>
      <c r="O41">
        <v>2</v>
      </c>
      <c r="P41" s="1">
        <f t="shared" si="1"/>
        <v>0</v>
      </c>
      <c r="Q41">
        <f t="shared" si="2"/>
        <v>2</v>
      </c>
      <c r="R41" s="1">
        <f t="shared" si="3"/>
        <v>0</v>
      </c>
    </row>
    <row r="42" spans="1:18" hidden="1" x14ac:dyDescent="0.3">
      <c r="A42" t="s">
        <v>3582</v>
      </c>
      <c r="B42" t="s">
        <v>3583</v>
      </c>
      <c r="C42" t="s">
        <v>47</v>
      </c>
      <c r="D42">
        <v>1</v>
      </c>
      <c r="E42">
        <v>16</v>
      </c>
      <c r="F42" t="s">
        <v>482</v>
      </c>
      <c r="G42" s="1">
        <v>1478</v>
      </c>
      <c r="H42">
        <v>14</v>
      </c>
      <c r="I42">
        <v>0.5</v>
      </c>
      <c r="J42">
        <v>16</v>
      </c>
      <c r="K42">
        <v>8</v>
      </c>
      <c r="L42">
        <f t="shared" si="0"/>
        <v>16</v>
      </c>
      <c r="M42">
        <v>0</v>
      </c>
      <c r="N42">
        <v>0</v>
      </c>
      <c r="O42">
        <v>40</v>
      </c>
      <c r="P42" s="1">
        <f t="shared" si="1"/>
        <v>0</v>
      </c>
      <c r="Q42">
        <f t="shared" si="2"/>
        <v>40</v>
      </c>
      <c r="R42" s="1">
        <f t="shared" si="3"/>
        <v>59120</v>
      </c>
    </row>
    <row r="43" spans="1:18" hidden="1" x14ac:dyDescent="0.3">
      <c r="A43" t="s">
        <v>3584</v>
      </c>
      <c r="B43" t="s">
        <v>3585</v>
      </c>
      <c r="C43" t="s">
        <v>47</v>
      </c>
      <c r="D43">
        <v>1</v>
      </c>
      <c r="E43">
        <v>0</v>
      </c>
      <c r="G43" s="1">
        <v>0</v>
      </c>
      <c r="H43">
        <v>0</v>
      </c>
      <c r="I43">
        <v>0.5</v>
      </c>
      <c r="J43">
        <v>1</v>
      </c>
      <c r="K43">
        <v>1</v>
      </c>
      <c r="L43">
        <f t="shared" si="0"/>
        <v>2</v>
      </c>
      <c r="M43">
        <v>0</v>
      </c>
      <c r="N43">
        <v>0</v>
      </c>
      <c r="O43">
        <v>2</v>
      </c>
      <c r="P43" s="1">
        <f t="shared" si="1"/>
        <v>0</v>
      </c>
      <c r="Q43">
        <f t="shared" si="2"/>
        <v>2</v>
      </c>
      <c r="R43" s="1">
        <f t="shared" si="3"/>
        <v>0</v>
      </c>
    </row>
    <row r="44" spans="1:18" hidden="1" x14ac:dyDescent="0.3">
      <c r="A44" t="s">
        <v>3586</v>
      </c>
      <c r="B44" t="s">
        <v>3587</v>
      </c>
      <c r="C44" t="s">
        <v>47</v>
      </c>
      <c r="D44">
        <v>19</v>
      </c>
      <c r="E44">
        <v>28</v>
      </c>
      <c r="F44" t="s">
        <v>3488</v>
      </c>
      <c r="G44" s="1">
        <v>72.61</v>
      </c>
      <c r="H44">
        <v>0</v>
      </c>
      <c r="I44">
        <v>0.5</v>
      </c>
      <c r="J44">
        <v>1.5</v>
      </c>
      <c r="K44">
        <v>1</v>
      </c>
      <c r="L44">
        <f t="shared" si="0"/>
        <v>2</v>
      </c>
      <c r="M44">
        <v>0</v>
      </c>
      <c r="N44">
        <v>0</v>
      </c>
      <c r="O44">
        <v>4</v>
      </c>
      <c r="P44" s="1">
        <f t="shared" si="1"/>
        <v>0</v>
      </c>
      <c r="Q44">
        <f t="shared" si="2"/>
        <v>4</v>
      </c>
      <c r="R44" s="1">
        <f t="shared" si="3"/>
        <v>290.44</v>
      </c>
    </row>
    <row r="45" spans="1:18" hidden="1" x14ac:dyDescent="0.3">
      <c r="A45" t="s">
        <v>3588</v>
      </c>
      <c r="B45" t="s">
        <v>3589</v>
      </c>
      <c r="C45" t="s">
        <v>47</v>
      </c>
      <c r="D45">
        <v>1</v>
      </c>
      <c r="E45">
        <v>0</v>
      </c>
      <c r="F45" t="s">
        <v>140</v>
      </c>
      <c r="G45" s="1">
        <v>0</v>
      </c>
      <c r="H45">
        <v>0</v>
      </c>
      <c r="I45">
        <v>0.5</v>
      </c>
      <c r="J45">
        <v>1</v>
      </c>
      <c r="K45">
        <v>1</v>
      </c>
      <c r="L45">
        <f t="shared" si="0"/>
        <v>2</v>
      </c>
      <c r="M45">
        <v>0</v>
      </c>
      <c r="N45">
        <v>0</v>
      </c>
      <c r="O45">
        <v>2</v>
      </c>
      <c r="P45" s="1">
        <f t="shared" si="1"/>
        <v>0</v>
      </c>
      <c r="Q45">
        <f t="shared" si="2"/>
        <v>2</v>
      </c>
      <c r="R45" s="1">
        <f t="shared" si="3"/>
        <v>0</v>
      </c>
    </row>
    <row r="46" spans="1:18" hidden="1" x14ac:dyDescent="0.3">
      <c r="A46" t="s">
        <v>3590</v>
      </c>
      <c r="B46" t="s">
        <v>3591</v>
      </c>
      <c r="C46" t="s">
        <v>47</v>
      </c>
      <c r="D46">
        <v>1</v>
      </c>
      <c r="E46">
        <v>0</v>
      </c>
      <c r="G46" s="1">
        <v>0</v>
      </c>
      <c r="H46">
        <v>0</v>
      </c>
      <c r="I46">
        <v>0.5</v>
      </c>
      <c r="J46">
        <v>1</v>
      </c>
      <c r="K46">
        <v>1</v>
      </c>
      <c r="L46">
        <f t="shared" si="0"/>
        <v>2</v>
      </c>
      <c r="M46">
        <v>0</v>
      </c>
      <c r="N46">
        <v>0</v>
      </c>
      <c r="O46">
        <v>2</v>
      </c>
      <c r="P46" s="1">
        <f t="shared" si="1"/>
        <v>0</v>
      </c>
      <c r="Q46">
        <f t="shared" si="2"/>
        <v>2</v>
      </c>
      <c r="R46" s="1">
        <f t="shared" si="3"/>
        <v>0</v>
      </c>
    </row>
    <row r="47" spans="1:18" hidden="1" x14ac:dyDescent="0.3">
      <c r="A47" t="s">
        <v>3592</v>
      </c>
      <c r="B47" t="s">
        <v>3593</v>
      </c>
      <c r="C47" t="s">
        <v>47</v>
      </c>
      <c r="D47">
        <v>1</v>
      </c>
      <c r="E47">
        <v>0</v>
      </c>
      <c r="G47" s="1">
        <v>0</v>
      </c>
      <c r="H47">
        <v>0</v>
      </c>
      <c r="I47">
        <v>0.5</v>
      </c>
      <c r="J47">
        <v>1</v>
      </c>
      <c r="K47">
        <v>1</v>
      </c>
      <c r="L47">
        <f t="shared" si="0"/>
        <v>2</v>
      </c>
      <c r="M47">
        <v>0</v>
      </c>
      <c r="N47">
        <v>0</v>
      </c>
      <c r="O47">
        <v>2</v>
      </c>
      <c r="P47" s="1">
        <f t="shared" si="1"/>
        <v>0</v>
      </c>
      <c r="Q47">
        <f t="shared" si="2"/>
        <v>2</v>
      </c>
      <c r="R47" s="1">
        <f t="shared" si="3"/>
        <v>0</v>
      </c>
    </row>
    <row r="48" spans="1:18" hidden="1" x14ac:dyDescent="0.3">
      <c r="A48" t="s">
        <v>3594</v>
      </c>
      <c r="B48" t="s">
        <v>3595</v>
      </c>
      <c r="C48" t="s">
        <v>47</v>
      </c>
      <c r="D48">
        <v>1</v>
      </c>
      <c r="E48">
        <v>0</v>
      </c>
      <c r="G48" s="1">
        <v>0</v>
      </c>
      <c r="H48">
        <v>0</v>
      </c>
      <c r="I48">
        <v>0.5</v>
      </c>
      <c r="J48">
        <v>1</v>
      </c>
      <c r="K48">
        <v>1</v>
      </c>
      <c r="L48">
        <f t="shared" si="0"/>
        <v>2</v>
      </c>
      <c r="M48">
        <v>0</v>
      </c>
      <c r="N48">
        <v>0</v>
      </c>
      <c r="O48">
        <v>2</v>
      </c>
      <c r="P48" s="1">
        <f t="shared" si="1"/>
        <v>0</v>
      </c>
      <c r="Q48">
        <f t="shared" si="2"/>
        <v>2</v>
      </c>
      <c r="R48" s="1">
        <f t="shared" si="3"/>
        <v>0</v>
      </c>
    </row>
    <row r="49" spans="1:18" hidden="1" x14ac:dyDescent="0.3">
      <c r="A49" t="s">
        <v>3596</v>
      </c>
      <c r="B49" t="s">
        <v>3597</v>
      </c>
      <c r="C49" t="s">
        <v>47</v>
      </c>
      <c r="D49">
        <v>1</v>
      </c>
      <c r="E49">
        <v>0</v>
      </c>
      <c r="G49" s="1">
        <v>0</v>
      </c>
      <c r="H49">
        <v>0</v>
      </c>
      <c r="I49">
        <v>0.5</v>
      </c>
      <c r="J49">
        <v>1</v>
      </c>
      <c r="K49">
        <v>1</v>
      </c>
      <c r="L49">
        <f t="shared" si="0"/>
        <v>2</v>
      </c>
      <c r="M49">
        <v>0</v>
      </c>
      <c r="N49">
        <v>0</v>
      </c>
      <c r="O49">
        <v>2</v>
      </c>
      <c r="P49" s="1">
        <f t="shared" si="1"/>
        <v>0</v>
      </c>
      <c r="Q49">
        <f t="shared" si="2"/>
        <v>2</v>
      </c>
      <c r="R49" s="1">
        <f t="shared" si="3"/>
        <v>0</v>
      </c>
    </row>
    <row r="50" spans="1:18" hidden="1" x14ac:dyDescent="0.3">
      <c r="A50" t="s">
        <v>3598</v>
      </c>
      <c r="B50" t="s">
        <v>3599</v>
      </c>
      <c r="C50" t="s">
        <v>47</v>
      </c>
      <c r="D50">
        <v>1</v>
      </c>
      <c r="E50">
        <v>0</v>
      </c>
      <c r="G50" s="1">
        <v>0</v>
      </c>
      <c r="H50">
        <v>0</v>
      </c>
      <c r="I50">
        <v>0.5</v>
      </c>
      <c r="J50">
        <v>1</v>
      </c>
      <c r="K50">
        <v>1</v>
      </c>
      <c r="L50">
        <f t="shared" si="0"/>
        <v>2</v>
      </c>
      <c r="M50">
        <v>0</v>
      </c>
      <c r="N50">
        <v>0</v>
      </c>
      <c r="O50">
        <v>2</v>
      </c>
      <c r="P50" s="1">
        <f t="shared" si="1"/>
        <v>0</v>
      </c>
      <c r="Q50">
        <f t="shared" si="2"/>
        <v>2</v>
      </c>
      <c r="R50" s="1">
        <f t="shared" si="3"/>
        <v>0</v>
      </c>
    </row>
    <row r="51" spans="1:18" hidden="1" x14ac:dyDescent="0.3">
      <c r="A51" t="s">
        <v>3600</v>
      </c>
      <c r="B51" t="s">
        <v>3601</v>
      </c>
      <c r="C51" t="s">
        <v>47</v>
      </c>
      <c r="D51">
        <v>1</v>
      </c>
      <c r="E51">
        <v>0</v>
      </c>
      <c r="G51" s="1">
        <v>0</v>
      </c>
      <c r="H51">
        <v>0</v>
      </c>
      <c r="I51">
        <v>0.5</v>
      </c>
      <c r="J51">
        <v>1</v>
      </c>
      <c r="K51">
        <v>1</v>
      </c>
      <c r="L51">
        <f t="shared" si="0"/>
        <v>2</v>
      </c>
      <c r="M51">
        <v>0</v>
      </c>
      <c r="N51">
        <v>0</v>
      </c>
      <c r="O51">
        <v>2</v>
      </c>
      <c r="P51" s="1">
        <f t="shared" si="1"/>
        <v>0</v>
      </c>
      <c r="Q51">
        <f t="shared" si="2"/>
        <v>2</v>
      </c>
      <c r="R51" s="1">
        <f t="shared" si="3"/>
        <v>0</v>
      </c>
    </row>
    <row r="52" spans="1:18" hidden="1" x14ac:dyDescent="0.3">
      <c r="A52" t="s">
        <v>3602</v>
      </c>
      <c r="B52" t="s">
        <v>3603</v>
      </c>
      <c r="C52" t="s">
        <v>47</v>
      </c>
      <c r="D52">
        <v>1</v>
      </c>
      <c r="E52">
        <v>8</v>
      </c>
      <c r="F52" t="s">
        <v>2757</v>
      </c>
      <c r="G52" s="1">
        <v>553.54999999999995</v>
      </c>
      <c r="H52">
        <v>0</v>
      </c>
      <c r="I52">
        <v>2.8</v>
      </c>
      <c r="J52">
        <v>8</v>
      </c>
      <c r="K52">
        <v>22</v>
      </c>
      <c r="L52">
        <f t="shared" si="0"/>
        <v>45</v>
      </c>
      <c r="M52">
        <v>0</v>
      </c>
      <c r="N52">
        <v>0</v>
      </c>
      <c r="O52">
        <v>38</v>
      </c>
      <c r="P52" s="1">
        <f t="shared" si="1"/>
        <v>0</v>
      </c>
      <c r="Q52">
        <f t="shared" si="2"/>
        <v>38</v>
      </c>
      <c r="R52" s="1">
        <f t="shared" si="3"/>
        <v>21034.899999999998</v>
      </c>
    </row>
    <row r="53" spans="1:18" hidden="1" x14ac:dyDescent="0.3">
      <c r="A53" t="s">
        <v>3604</v>
      </c>
      <c r="B53" t="s">
        <v>3605</v>
      </c>
      <c r="C53" t="s">
        <v>47</v>
      </c>
      <c r="D53">
        <v>1</v>
      </c>
      <c r="E53">
        <v>0</v>
      </c>
      <c r="G53" s="1">
        <v>0</v>
      </c>
      <c r="H53">
        <v>0</v>
      </c>
      <c r="I53">
        <v>0.5</v>
      </c>
      <c r="J53">
        <v>1</v>
      </c>
      <c r="K53">
        <v>1</v>
      </c>
      <c r="L53">
        <f t="shared" si="0"/>
        <v>2</v>
      </c>
      <c r="M53">
        <v>0</v>
      </c>
      <c r="N53">
        <v>0</v>
      </c>
      <c r="O53">
        <v>2</v>
      </c>
      <c r="P53" s="1">
        <f t="shared" si="1"/>
        <v>0</v>
      </c>
      <c r="Q53">
        <f t="shared" si="2"/>
        <v>2</v>
      </c>
      <c r="R53" s="1">
        <f t="shared" si="3"/>
        <v>0</v>
      </c>
    </row>
    <row r="54" spans="1:18" hidden="1" x14ac:dyDescent="0.3">
      <c r="A54" t="s">
        <v>3606</v>
      </c>
      <c r="B54" t="s">
        <v>3607</v>
      </c>
      <c r="C54" t="s">
        <v>47</v>
      </c>
      <c r="D54">
        <v>1</v>
      </c>
      <c r="E54">
        <v>0</v>
      </c>
      <c r="G54" s="1">
        <v>0</v>
      </c>
      <c r="H54">
        <v>0</v>
      </c>
      <c r="I54">
        <v>0.5</v>
      </c>
      <c r="J54">
        <v>1</v>
      </c>
      <c r="K54">
        <v>1</v>
      </c>
      <c r="L54">
        <f t="shared" si="0"/>
        <v>2</v>
      </c>
      <c r="M54">
        <v>0</v>
      </c>
      <c r="N54">
        <v>0</v>
      </c>
      <c r="O54">
        <v>2</v>
      </c>
      <c r="P54" s="1">
        <f t="shared" si="1"/>
        <v>0</v>
      </c>
      <c r="Q54">
        <f t="shared" si="2"/>
        <v>2</v>
      </c>
      <c r="R54" s="1">
        <f t="shared" si="3"/>
        <v>0</v>
      </c>
    </row>
    <row r="55" spans="1:18" hidden="1" x14ac:dyDescent="0.3">
      <c r="A55" t="s">
        <v>3608</v>
      </c>
      <c r="B55" t="s">
        <v>3609</v>
      </c>
      <c r="C55" t="s">
        <v>47</v>
      </c>
      <c r="D55">
        <v>1</v>
      </c>
      <c r="E55">
        <v>0</v>
      </c>
      <c r="G55" s="1">
        <v>0</v>
      </c>
      <c r="H55">
        <v>0</v>
      </c>
      <c r="I55">
        <v>0.5</v>
      </c>
      <c r="J55">
        <v>1</v>
      </c>
      <c r="K55">
        <v>1</v>
      </c>
      <c r="L55">
        <f t="shared" si="0"/>
        <v>2</v>
      </c>
      <c r="M55">
        <v>0</v>
      </c>
      <c r="N55">
        <v>0</v>
      </c>
      <c r="O55">
        <v>2</v>
      </c>
      <c r="P55" s="1">
        <f t="shared" si="1"/>
        <v>0</v>
      </c>
      <c r="Q55">
        <f t="shared" si="2"/>
        <v>2</v>
      </c>
      <c r="R55" s="1">
        <f t="shared" si="3"/>
        <v>0</v>
      </c>
    </row>
    <row r="56" spans="1:18" hidden="1" x14ac:dyDescent="0.3">
      <c r="A56" t="s">
        <v>3610</v>
      </c>
      <c r="B56" t="s">
        <v>3611</v>
      </c>
      <c r="C56" t="s">
        <v>47</v>
      </c>
      <c r="D56">
        <v>1</v>
      </c>
      <c r="E56">
        <v>0</v>
      </c>
      <c r="G56" s="1">
        <v>0</v>
      </c>
      <c r="H56">
        <v>0</v>
      </c>
      <c r="I56">
        <v>0.5</v>
      </c>
      <c r="J56">
        <v>1</v>
      </c>
      <c r="K56">
        <v>1</v>
      </c>
      <c r="L56">
        <f t="shared" si="0"/>
        <v>2</v>
      </c>
      <c r="M56">
        <v>0</v>
      </c>
      <c r="N56">
        <v>0</v>
      </c>
      <c r="O56">
        <v>2</v>
      </c>
      <c r="P56" s="1">
        <f t="shared" si="1"/>
        <v>0</v>
      </c>
      <c r="Q56">
        <f t="shared" si="2"/>
        <v>2</v>
      </c>
      <c r="R56" s="1">
        <f t="shared" si="3"/>
        <v>0</v>
      </c>
    </row>
    <row r="57" spans="1:18" hidden="1" x14ac:dyDescent="0.3">
      <c r="A57" t="s">
        <v>3612</v>
      </c>
      <c r="B57" t="s">
        <v>3613</v>
      </c>
      <c r="C57" t="s">
        <v>47</v>
      </c>
      <c r="D57">
        <v>1</v>
      </c>
      <c r="E57">
        <v>0</v>
      </c>
      <c r="G57" s="1">
        <v>0</v>
      </c>
      <c r="H57">
        <v>0</v>
      </c>
      <c r="I57">
        <v>0.5</v>
      </c>
      <c r="J57">
        <v>1</v>
      </c>
      <c r="K57">
        <v>1</v>
      </c>
      <c r="L57">
        <f t="shared" si="0"/>
        <v>2</v>
      </c>
      <c r="M57">
        <v>0</v>
      </c>
      <c r="N57">
        <v>0</v>
      </c>
      <c r="O57">
        <v>2</v>
      </c>
      <c r="P57" s="1">
        <f t="shared" si="1"/>
        <v>0</v>
      </c>
      <c r="Q57">
        <f t="shared" si="2"/>
        <v>2</v>
      </c>
      <c r="R57" s="1">
        <f t="shared" si="3"/>
        <v>0</v>
      </c>
    </row>
    <row r="58" spans="1:18" hidden="1" x14ac:dyDescent="0.3">
      <c r="A58" t="s">
        <v>3614</v>
      </c>
      <c r="B58" t="s">
        <v>3615</v>
      </c>
      <c r="C58" t="s">
        <v>47</v>
      </c>
      <c r="D58">
        <v>1</v>
      </c>
      <c r="E58">
        <v>0</v>
      </c>
      <c r="G58" s="1">
        <v>0</v>
      </c>
      <c r="H58">
        <v>0</v>
      </c>
      <c r="I58">
        <v>0.5</v>
      </c>
      <c r="J58">
        <v>1</v>
      </c>
      <c r="K58">
        <v>1</v>
      </c>
      <c r="L58">
        <f t="shared" si="0"/>
        <v>2</v>
      </c>
      <c r="M58">
        <v>0</v>
      </c>
      <c r="N58">
        <v>0</v>
      </c>
      <c r="O58">
        <v>2</v>
      </c>
      <c r="P58" s="1">
        <f t="shared" si="1"/>
        <v>0</v>
      </c>
      <c r="Q58">
        <f t="shared" si="2"/>
        <v>2</v>
      </c>
      <c r="R58" s="1">
        <f t="shared" si="3"/>
        <v>0</v>
      </c>
    </row>
    <row r="59" spans="1:18" hidden="1" x14ac:dyDescent="0.3">
      <c r="A59" t="s">
        <v>3616</v>
      </c>
      <c r="B59" t="s">
        <v>3617</v>
      </c>
      <c r="C59" t="s">
        <v>47</v>
      </c>
      <c r="D59">
        <v>1</v>
      </c>
      <c r="E59">
        <v>4</v>
      </c>
      <c r="F59" t="s">
        <v>2757</v>
      </c>
      <c r="G59" s="1">
        <v>281.92</v>
      </c>
      <c r="H59">
        <v>0</v>
      </c>
      <c r="I59">
        <v>2.8</v>
      </c>
      <c r="J59">
        <v>4</v>
      </c>
      <c r="K59">
        <v>11</v>
      </c>
      <c r="L59">
        <f t="shared" si="0"/>
        <v>23</v>
      </c>
      <c r="M59">
        <v>0</v>
      </c>
      <c r="N59">
        <v>0</v>
      </c>
      <c r="O59">
        <v>19</v>
      </c>
      <c r="P59" s="1">
        <f t="shared" si="1"/>
        <v>0</v>
      </c>
      <c r="Q59">
        <f t="shared" si="2"/>
        <v>19</v>
      </c>
      <c r="R59" s="1">
        <f t="shared" si="3"/>
        <v>5356.4800000000005</v>
      </c>
    </row>
    <row r="60" spans="1:18" hidden="1" x14ac:dyDescent="0.3">
      <c r="A60" t="s">
        <v>3618</v>
      </c>
      <c r="B60" t="s">
        <v>3619</v>
      </c>
      <c r="C60" t="s">
        <v>47</v>
      </c>
      <c r="D60">
        <v>1</v>
      </c>
      <c r="E60">
        <v>0</v>
      </c>
      <c r="G60" s="1">
        <v>0</v>
      </c>
      <c r="H60">
        <v>0</v>
      </c>
      <c r="I60">
        <v>0.5</v>
      </c>
      <c r="J60">
        <v>1</v>
      </c>
      <c r="K60">
        <v>1</v>
      </c>
      <c r="L60">
        <f t="shared" si="0"/>
        <v>2</v>
      </c>
      <c r="M60">
        <v>0</v>
      </c>
      <c r="N60">
        <v>0</v>
      </c>
      <c r="O60">
        <v>2</v>
      </c>
      <c r="P60" s="1">
        <f t="shared" si="1"/>
        <v>0</v>
      </c>
      <c r="Q60">
        <f t="shared" si="2"/>
        <v>2</v>
      </c>
      <c r="R60" s="1">
        <f t="shared" si="3"/>
        <v>0</v>
      </c>
    </row>
    <row r="61" spans="1:18" hidden="1" x14ac:dyDescent="0.3">
      <c r="A61" t="s">
        <v>3620</v>
      </c>
      <c r="B61" t="s">
        <v>3621</v>
      </c>
      <c r="C61" t="s">
        <v>47</v>
      </c>
      <c r="D61">
        <v>1</v>
      </c>
      <c r="E61">
        <v>0</v>
      </c>
      <c r="G61" s="1">
        <v>0</v>
      </c>
      <c r="H61">
        <v>0</v>
      </c>
      <c r="I61">
        <v>0.5</v>
      </c>
      <c r="J61">
        <v>1</v>
      </c>
      <c r="K61">
        <v>1</v>
      </c>
      <c r="L61">
        <f t="shared" si="0"/>
        <v>2</v>
      </c>
      <c r="M61">
        <v>0</v>
      </c>
      <c r="N61">
        <v>0</v>
      </c>
      <c r="O61">
        <v>2</v>
      </c>
      <c r="P61" s="1">
        <f t="shared" si="1"/>
        <v>0</v>
      </c>
      <c r="Q61">
        <f t="shared" si="2"/>
        <v>2</v>
      </c>
      <c r="R61" s="1">
        <f t="shared" si="3"/>
        <v>0</v>
      </c>
    </row>
    <row r="62" spans="1:18" hidden="1" x14ac:dyDescent="0.3">
      <c r="A62" t="s">
        <v>3622</v>
      </c>
      <c r="B62" t="s">
        <v>3623</v>
      </c>
      <c r="C62" t="s">
        <v>47</v>
      </c>
      <c r="D62">
        <v>1</v>
      </c>
      <c r="E62">
        <v>0</v>
      </c>
      <c r="G62" s="1">
        <v>0</v>
      </c>
      <c r="H62">
        <v>0</v>
      </c>
      <c r="I62">
        <v>0.5</v>
      </c>
      <c r="J62">
        <v>1</v>
      </c>
      <c r="K62">
        <v>1</v>
      </c>
      <c r="L62">
        <f t="shared" si="0"/>
        <v>2</v>
      </c>
      <c r="M62">
        <v>0</v>
      </c>
      <c r="N62">
        <v>0</v>
      </c>
      <c r="O62">
        <v>2</v>
      </c>
      <c r="P62" s="1">
        <f t="shared" si="1"/>
        <v>0</v>
      </c>
      <c r="Q62">
        <f t="shared" si="2"/>
        <v>2</v>
      </c>
      <c r="R62" s="1">
        <f t="shared" si="3"/>
        <v>0</v>
      </c>
    </row>
    <row r="63" spans="1:18" hidden="1" x14ac:dyDescent="0.3">
      <c r="A63" t="s">
        <v>3624</v>
      </c>
      <c r="B63" t="s">
        <v>3625</v>
      </c>
      <c r="C63" t="s">
        <v>47</v>
      </c>
      <c r="D63">
        <v>1</v>
      </c>
      <c r="E63">
        <v>4</v>
      </c>
      <c r="F63" t="s">
        <v>2757</v>
      </c>
      <c r="G63" s="1">
        <v>754.81</v>
      </c>
      <c r="H63">
        <v>0</v>
      </c>
      <c r="I63">
        <v>2.8</v>
      </c>
      <c r="J63">
        <v>4</v>
      </c>
      <c r="K63">
        <v>11</v>
      </c>
      <c r="L63">
        <f t="shared" si="0"/>
        <v>23</v>
      </c>
      <c r="M63">
        <v>0</v>
      </c>
      <c r="N63">
        <v>0</v>
      </c>
      <c r="O63">
        <v>19</v>
      </c>
      <c r="P63" s="1">
        <f t="shared" si="1"/>
        <v>0</v>
      </c>
      <c r="Q63">
        <f t="shared" si="2"/>
        <v>19</v>
      </c>
      <c r="R63" s="1">
        <f t="shared" si="3"/>
        <v>14341.39</v>
      </c>
    </row>
    <row r="64" spans="1:18" hidden="1" x14ac:dyDescent="0.3">
      <c r="A64" t="s">
        <v>3626</v>
      </c>
      <c r="B64" t="s">
        <v>3627</v>
      </c>
      <c r="C64" t="s">
        <v>47</v>
      </c>
      <c r="D64">
        <v>1</v>
      </c>
      <c r="E64">
        <v>0</v>
      </c>
      <c r="G64" s="1">
        <v>0</v>
      </c>
      <c r="H64">
        <v>0</v>
      </c>
      <c r="I64">
        <v>0.5</v>
      </c>
      <c r="J64">
        <v>1</v>
      </c>
      <c r="K64">
        <v>1</v>
      </c>
      <c r="L64">
        <f t="shared" si="0"/>
        <v>2</v>
      </c>
      <c r="M64">
        <v>0</v>
      </c>
      <c r="N64">
        <v>0</v>
      </c>
      <c r="O64">
        <v>2</v>
      </c>
      <c r="P64" s="1">
        <f t="shared" si="1"/>
        <v>0</v>
      </c>
      <c r="Q64">
        <f t="shared" si="2"/>
        <v>2</v>
      </c>
      <c r="R64" s="1">
        <f t="shared" si="3"/>
        <v>0</v>
      </c>
    </row>
    <row r="65" spans="1:18" hidden="1" x14ac:dyDescent="0.3">
      <c r="A65" t="s">
        <v>3628</v>
      </c>
      <c r="B65" t="s">
        <v>3629</v>
      </c>
      <c r="C65" t="s">
        <v>47</v>
      </c>
      <c r="D65">
        <v>1</v>
      </c>
      <c r="E65">
        <v>0</v>
      </c>
      <c r="G65" s="1">
        <v>0</v>
      </c>
      <c r="H65">
        <v>0</v>
      </c>
      <c r="I65">
        <v>0.5</v>
      </c>
      <c r="J65">
        <v>1</v>
      </c>
      <c r="K65">
        <v>1</v>
      </c>
      <c r="L65">
        <f t="shared" si="0"/>
        <v>2</v>
      </c>
      <c r="M65">
        <v>0</v>
      </c>
      <c r="N65">
        <v>0</v>
      </c>
      <c r="O65">
        <v>2</v>
      </c>
      <c r="P65" s="1">
        <f t="shared" si="1"/>
        <v>0</v>
      </c>
      <c r="Q65">
        <f t="shared" si="2"/>
        <v>2</v>
      </c>
      <c r="R65" s="1">
        <f t="shared" si="3"/>
        <v>0</v>
      </c>
    </row>
    <row r="66" spans="1:18" hidden="1" x14ac:dyDescent="0.3">
      <c r="A66" t="s">
        <v>3630</v>
      </c>
      <c r="B66" t="s">
        <v>3631</v>
      </c>
      <c r="C66" t="s">
        <v>47</v>
      </c>
      <c r="D66">
        <v>1</v>
      </c>
      <c r="E66">
        <v>0</v>
      </c>
      <c r="G66" s="1">
        <v>0</v>
      </c>
      <c r="H66">
        <v>0</v>
      </c>
      <c r="I66">
        <v>0.5</v>
      </c>
      <c r="J66">
        <v>1</v>
      </c>
      <c r="K66">
        <v>1</v>
      </c>
      <c r="L66">
        <f t="shared" ref="L66:L129" si="4">ROUNDUP((J66*I66)+K66,0)</f>
        <v>2</v>
      </c>
      <c r="M66">
        <v>0</v>
      </c>
      <c r="N66">
        <v>0</v>
      </c>
      <c r="O66">
        <v>2</v>
      </c>
      <c r="P66" s="1">
        <f t="shared" ref="P66:P129" si="5">IFERROR(M66*G66,0)</f>
        <v>0</v>
      </c>
      <c r="Q66">
        <f t="shared" ref="Q66:Q129" si="6">IF(O66-M66-N66&gt;0,O66-M66-N66,0)</f>
        <v>2</v>
      </c>
      <c r="R66" s="1">
        <f t="shared" ref="R66:R129" si="7">IFERROR(Q66*G66,0)</f>
        <v>0</v>
      </c>
    </row>
    <row r="67" spans="1:18" hidden="1" x14ac:dyDescent="0.3">
      <c r="A67" t="s">
        <v>3632</v>
      </c>
      <c r="B67" t="s">
        <v>3633</v>
      </c>
      <c r="C67" t="s">
        <v>47</v>
      </c>
      <c r="D67">
        <v>1</v>
      </c>
      <c r="E67">
        <v>0</v>
      </c>
      <c r="G67" s="1">
        <v>0</v>
      </c>
      <c r="H67">
        <v>0</v>
      </c>
      <c r="I67">
        <v>0.5</v>
      </c>
      <c r="J67">
        <v>1</v>
      </c>
      <c r="K67">
        <v>1</v>
      </c>
      <c r="L67">
        <f t="shared" si="4"/>
        <v>2</v>
      </c>
      <c r="M67">
        <v>0</v>
      </c>
      <c r="N67">
        <v>0</v>
      </c>
      <c r="O67">
        <v>2</v>
      </c>
      <c r="P67" s="1">
        <f t="shared" si="5"/>
        <v>0</v>
      </c>
      <c r="Q67">
        <f t="shared" si="6"/>
        <v>2</v>
      </c>
      <c r="R67" s="1">
        <f t="shared" si="7"/>
        <v>0</v>
      </c>
    </row>
    <row r="68" spans="1:18" hidden="1" x14ac:dyDescent="0.3">
      <c r="A68" t="s">
        <v>3634</v>
      </c>
      <c r="B68" t="s">
        <v>3635</v>
      </c>
      <c r="C68" t="s">
        <v>47</v>
      </c>
      <c r="D68">
        <v>1</v>
      </c>
      <c r="E68">
        <v>0</v>
      </c>
      <c r="G68" s="1">
        <v>0</v>
      </c>
      <c r="H68">
        <v>0</v>
      </c>
      <c r="I68">
        <v>0.5</v>
      </c>
      <c r="J68">
        <v>1</v>
      </c>
      <c r="K68">
        <v>1</v>
      </c>
      <c r="L68">
        <f t="shared" si="4"/>
        <v>2</v>
      </c>
      <c r="M68">
        <v>0</v>
      </c>
      <c r="N68">
        <v>0</v>
      </c>
      <c r="O68">
        <v>2</v>
      </c>
      <c r="P68" s="1">
        <f t="shared" si="5"/>
        <v>0</v>
      </c>
      <c r="Q68">
        <f t="shared" si="6"/>
        <v>2</v>
      </c>
      <c r="R68" s="1">
        <f t="shared" si="7"/>
        <v>0</v>
      </c>
    </row>
    <row r="69" spans="1:18" hidden="1" x14ac:dyDescent="0.3">
      <c r="A69" t="s">
        <v>3636</v>
      </c>
      <c r="B69" t="s">
        <v>3637</v>
      </c>
      <c r="C69" t="s">
        <v>47</v>
      </c>
      <c r="D69">
        <v>1</v>
      </c>
      <c r="E69">
        <v>0</v>
      </c>
      <c r="G69" s="1">
        <v>0</v>
      </c>
      <c r="H69">
        <v>0</v>
      </c>
      <c r="I69">
        <v>0.5</v>
      </c>
      <c r="J69">
        <v>1</v>
      </c>
      <c r="K69">
        <v>1</v>
      </c>
      <c r="L69">
        <f t="shared" si="4"/>
        <v>2</v>
      </c>
      <c r="M69">
        <v>0</v>
      </c>
      <c r="N69">
        <v>0</v>
      </c>
      <c r="O69">
        <v>2</v>
      </c>
      <c r="P69" s="1">
        <f t="shared" si="5"/>
        <v>0</v>
      </c>
      <c r="Q69">
        <f t="shared" si="6"/>
        <v>2</v>
      </c>
      <c r="R69" s="1">
        <f t="shared" si="7"/>
        <v>0</v>
      </c>
    </row>
    <row r="70" spans="1:18" hidden="1" x14ac:dyDescent="0.3">
      <c r="A70" t="s">
        <v>3638</v>
      </c>
      <c r="B70" t="s">
        <v>3639</v>
      </c>
      <c r="C70" t="s">
        <v>47</v>
      </c>
      <c r="D70">
        <v>1</v>
      </c>
      <c r="E70">
        <v>0</v>
      </c>
      <c r="G70" s="1">
        <v>0</v>
      </c>
      <c r="H70">
        <v>0</v>
      </c>
      <c r="I70">
        <v>0.5</v>
      </c>
      <c r="J70">
        <v>1</v>
      </c>
      <c r="K70">
        <v>1</v>
      </c>
      <c r="L70">
        <f t="shared" si="4"/>
        <v>2</v>
      </c>
      <c r="M70">
        <v>0</v>
      </c>
      <c r="N70">
        <v>0</v>
      </c>
      <c r="O70">
        <v>2</v>
      </c>
      <c r="P70" s="1">
        <f t="shared" si="5"/>
        <v>0</v>
      </c>
      <c r="Q70">
        <f t="shared" si="6"/>
        <v>2</v>
      </c>
      <c r="R70" s="1">
        <f t="shared" si="7"/>
        <v>0</v>
      </c>
    </row>
    <row r="71" spans="1:18" hidden="1" x14ac:dyDescent="0.3">
      <c r="A71" t="s">
        <v>3640</v>
      </c>
      <c r="B71" t="s">
        <v>3641</v>
      </c>
      <c r="C71" t="s">
        <v>47</v>
      </c>
      <c r="D71">
        <v>1</v>
      </c>
      <c r="E71">
        <v>0</v>
      </c>
      <c r="G71" s="1">
        <v>0</v>
      </c>
      <c r="H71">
        <v>0</v>
      </c>
      <c r="I71">
        <v>0.5</v>
      </c>
      <c r="J71">
        <v>1</v>
      </c>
      <c r="K71">
        <v>1</v>
      </c>
      <c r="L71">
        <f t="shared" si="4"/>
        <v>2</v>
      </c>
      <c r="M71">
        <v>0</v>
      </c>
      <c r="N71">
        <v>0</v>
      </c>
      <c r="O71">
        <v>2</v>
      </c>
      <c r="P71" s="1">
        <f t="shared" si="5"/>
        <v>0</v>
      </c>
      <c r="Q71">
        <f t="shared" si="6"/>
        <v>2</v>
      </c>
      <c r="R71" s="1">
        <f t="shared" si="7"/>
        <v>0</v>
      </c>
    </row>
    <row r="72" spans="1:18" hidden="1" x14ac:dyDescent="0.3">
      <c r="A72" t="s">
        <v>3642</v>
      </c>
      <c r="B72" t="s">
        <v>3643</v>
      </c>
      <c r="C72" t="s">
        <v>47</v>
      </c>
      <c r="D72">
        <v>1</v>
      </c>
      <c r="E72">
        <v>0</v>
      </c>
      <c r="G72" s="1">
        <v>0</v>
      </c>
      <c r="H72">
        <v>0</v>
      </c>
      <c r="I72">
        <v>0.5</v>
      </c>
      <c r="J72">
        <v>1</v>
      </c>
      <c r="K72">
        <v>1</v>
      </c>
      <c r="L72">
        <f t="shared" si="4"/>
        <v>2</v>
      </c>
      <c r="M72">
        <v>0</v>
      </c>
      <c r="N72">
        <v>0</v>
      </c>
      <c r="O72">
        <v>2</v>
      </c>
      <c r="P72" s="1">
        <f t="shared" si="5"/>
        <v>0</v>
      </c>
      <c r="Q72">
        <f t="shared" si="6"/>
        <v>2</v>
      </c>
      <c r="R72" s="1">
        <f t="shared" si="7"/>
        <v>0</v>
      </c>
    </row>
    <row r="73" spans="1:18" hidden="1" x14ac:dyDescent="0.3">
      <c r="A73" t="s">
        <v>3644</v>
      </c>
      <c r="B73" t="s">
        <v>3645</v>
      </c>
      <c r="C73" t="s">
        <v>47</v>
      </c>
      <c r="D73">
        <v>1</v>
      </c>
      <c r="E73">
        <v>0</v>
      </c>
      <c r="G73" s="1">
        <v>0</v>
      </c>
      <c r="H73">
        <v>0</v>
      </c>
      <c r="I73">
        <v>0.5</v>
      </c>
      <c r="J73">
        <v>1</v>
      </c>
      <c r="K73">
        <v>1</v>
      </c>
      <c r="L73">
        <f t="shared" si="4"/>
        <v>2</v>
      </c>
      <c r="M73">
        <v>0</v>
      </c>
      <c r="N73">
        <v>0</v>
      </c>
      <c r="O73">
        <v>2</v>
      </c>
      <c r="P73" s="1">
        <f t="shared" si="5"/>
        <v>0</v>
      </c>
      <c r="Q73">
        <f t="shared" si="6"/>
        <v>2</v>
      </c>
      <c r="R73" s="1">
        <f t="shared" si="7"/>
        <v>0</v>
      </c>
    </row>
    <row r="74" spans="1:18" hidden="1" x14ac:dyDescent="0.3">
      <c r="A74" t="s">
        <v>3646</v>
      </c>
      <c r="B74" t="s">
        <v>3647</v>
      </c>
      <c r="C74" t="s">
        <v>47</v>
      </c>
      <c r="D74">
        <v>1</v>
      </c>
      <c r="E74">
        <v>0</v>
      </c>
      <c r="G74" s="1">
        <v>0</v>
      </c>
      <c r="H74">
        <v>0</v>
      </c>
      <c r="I74">
        <v>0.5</v>
      </c>
      <c r="J74">
        <v>1</v>
      </c>
      <c r="K74">
        <v>1</v>
      </c>
      <c r="L74">
        <f t="shared" si="4"/>
        <v>2</v>
      </c>
      <c r="M74">
        <v>0</v>
      </c>
      <c r="N74">
        <v>0</v>
      </c>
      <c r="O74">
        <v>2</v>
      </c>
      <c r="P74" s="1">
        <f t="shared" si="5"/>
        <v>0</v>
      </c>
      <c r="Q74">
        <f t="shared" si="6"/>
        <v>2</v>
      </c>
      <c r="R74" s="1">
        <f t="shared" si="7"/>
        <v>0</v>
      </c>
    </row>
    <row r="75" spans="1:18" hidden="1" x14ac:dyDescent="0.3">
      <c r="A75" t="s">
        <v>3648</v>
      </c>
      <c r="B75" t="s">
        <v>3649</v>
      </c>
      <c r="C75" t="s">
        <v>47</v>
      </c>
      <c r="D75">
        <v>1</v>
      </c>
      <c r="E75">
        <v>0</v>
      </c>
      <c r="G75" s="1">
        <v>0</v>
      </c>
      <c r="H75">
        <v>0</v>
      </c>
      <c r="I75">
        <v>0.5</v>
      </c>
      <c r="J75">
        <v>1</v>
      </c>
      <c r="K75">
        <v>1</v>
      </c>
      <c r="L75">
        <f t="shared" si="4"/>
        <v>2</v>
      </c>
      <c r="M75">
        <v>0</v>
      </c>
      <c r="N75">
        <v>0</v>
      </c>
      <c r="O75">
        <v>2</v>
      </c>
      <c r="P75" s="1">
        <f t="shared" si="5"/>
        <v>0</v>
      </c>
      <c r="Q75">
        <f t="shared" si="6"/>
        <v>2</v>
      </c>
      <c r="R75" s="1">
        <f t="shared" si="7"/>
        <v>0</v>
      </c>
    </row>
    <row r="76" spans="1:18" hidden="1" x14ac:dyDescent="0.3">
      <c r="A76" t="s">
        <v>3650</v>
      </c>
      <c r="B76" t="s">
        <v>3651</v>
      </c>
      <c r="C76" t="s">
        <v>47</v>
      </c>
      <c r="D76">
        <v>1</v>
      </c>
      <c r="E76">
        <v>0</v>
      </c>
      <c r="G76" s="1">
        <v>0</v>
      </c>
      <c r="H76">
        <v>0</v>
      </c>
      <c r="I76">
        <v>0.5</v>
      </c>
      <c r="J76">
        <v>1</v>
      </c>
      <c r="K76">
        <v>1</v>
      </c>
      <c r="L76">
        <f t="shared" si="4"/>
        <v>2</v>
      </c>
      <c r="M76">
        <v>0</v>
      </c>
      <c r="N76">
        <v>0</v>
      </c>
      <c r="O76">
        <v>2</v>
      </c>
      <c r="P76" s="1">
        <f t="shared" si="5"/>
        <v>0</v>
      </c>
      <c r="Q76">
        <f t="shared" si="6"/>
        <v>2</v>
      </c>
      <c r="R76" s="1">
        <f t="shared" si="7"/>
        <v>0</v>
      </c>
    </row>
    <row r="77" spans="1:18" hidden="1" x14ac:dyDescent="0.3">
      <c r="A77" t="s">
        <v>3652</v>
      </c>
      <c r="B77" t="s">
        <v>3653</v>
      </c>
      <c r="C77" t="s">
        <v>47</v>
      </c>
      <c r="D77">
        <v>1</v>
      </c>
      <c r="E77">
        <v>0</v>
      </c>
      <c r="G77" s="1">
        <v>0</v>
      </c>
      <c r="H77">
        <v>0</v>
      </c>
      <c r="I77">
        <v>0.5</v>
      </c>
      <c r="J77">
        <v>1</v>
      </c>
      <c r="K77">
        <v>1</v>
      </c>
      <c r="L77">
        <f t="shared" si="4"/>
        <v>2</v>
      </c>
      <c r="M77">
        <v>0</v>
      </c>
      <c r="N77">
        <v>0</v>
      </c>
      <c r="O77">
        <v>2</v>
      </c>
      <c r="P77" s="1">
        <f t="shared" si="5"/>
        <v>0</v>
      </c>
      <c r="Q77">
        <f t="shared" si="6"/>
        <v>2</v>
      </c>
      <c r="R77" s="1">
        <f t="shared" si="7"/>
        <v>0</v>
      </c>
    </row>
    <row r="78" spans="1:18" hidden="1" x14ac:dyDescent="0.3">
      <c r="A78" t="s">
        <v>3654</v>
      </c>
      <c r="B78" t="s">
        <v>3653</v>
      </c>
      <c r="C78" t="s">
        <v>47</v>
      </c>
      <c r="D78">
        <v>1</v>
      </c>
      <c r="E78">
        <v>0</v>
      </c>
      <c r="G78" s="1">
        <v>0</v>
      </c>
      <c r="H78">
        <v>0</v>
      </c>
      <c r="I78">
        <v>0.5</v>
      </c>
      <c r="J78">
        <v>1</v>
      </c>
      <c r="K78">
        <v>1</v>
      </c>
      <c r="L78">
        <f t="shared" si="4"/>
        <v>2</v>
      </c>
      <c r="M78">
        <v>0</v>
      </c>
      <c r="N78">
        <v>0</v>
      </c>
      <c r="O78">
        <v>2</v>
      </c>
      <c r="P78" s="1">
        <f t="shared" si="5"/>
        <v>0</v>
      </c>
      <c r="Q78">
        <f t="shared" si="6"/>
        <v>2</v>
      </c>
      <c r="R78" s="1">
        <f t="shared" si="7"/>
        <v>0</v>
      </c>
    </row>
    <row r="79" spans="1:18" hidden="1" x14ac:dyDescent="0.3">
      <c r="A79" t="s">
        <v>3655</v>
      </c>
      <c r="B79" t="s">
        <v>3656</v>
      </c>
      <c r="C79" t="s">
        <v>47</v>
      </c>
      <c r="D79">
        <v>1</v>
      </c>
      <c r="E79">
        <v>0</v>
      </c>
      <c r="G79" s="1">
        <v>0</v>
      </c>
      <c r="H79">
        <v>0</v>
      </c>
      <c r="I79">
        <v>0.5</v>
      </c>
      <c r="J79">
        <v>1</v>
      </c>
      <c r="K79">
        <v>1</v>
      </c>
      <c r="L79">
        <f t="shared" si="4"/>
        <v>2</v>
      </c>
      <c r="M79">
        <v>0</v>
      </c>
      <c r="N79">
        <v>0</v>
      </c>
      <c r="O79">
        <v>2</v>
      </c>
      <c r="P79" s="1">
        <f t="shared" si="5"/>
        <v>0</v>
      </c>
      <c r="Q79">
        <f t="shared" si="6"/>
        <v>2</v>
      </c>
      <c r="R79" s="1">
        <f t="shared" si="7"/>
        <v>0</v>
      </c>
    </row>
    <row r="80" spans="1:18" hidden="1" x14ac:dyDescent="0.3">
      <c r="A80" t="s">
        <v>3657</v>
      </c>
      <c r="B80" t="s">
        <v>3658</v>
      </c>
      <c r="C80" t="s">
        <v>47</v>
      </c>
      <c r="D80">
        <v>1</v>
      </c>
      <c r="E80">
        <v>0</v>
      </c>
      <c r="G80" s="1">
        <v>0</v>
      </c>
      <c r="H80">
        <v>0</v>
      </c>
      <c r="I80">
        <v>0.5</v>
      </c>
      <c r="J80">
        <v>1</v>
      </c>
      <c r="K80">
        <v>1</v>
      </c>
      <c r="L80">
        <f t="shared" si="4"/>
        <v>2</v>
      </c>
      <c r="M80">
        <v>0</v>
      </c>
      <c r="N80">
        <v>0</v>
      </c>
      <c r="O80">
        <v>2</v>
      </c>
      <c r="P80" s="1">
        <f t="shared" si="5"/>
        <v>0</v>
      </c>
      <c r="Q80">
        <f t="shared" si="6"/>
        <v>2</v>
      </c>
      <c r="R80" s="1">
        <f t="shared" si="7"/>
        <v>0</v>
      </c>
    </row>
    <row r="81" spans="1:18" hidden="1" x14ac:dyDescent="0.3">
      <c r="A81" t="s">
        <v>3659</v>
      </c>
      <c r="B81" t="s">
        <v>3660</v>
      </c>
      <c r="C81" t="s">
        <v>47</v>
      </c>
      <c r="D81">
        <v>1</v>
      </c>
      <c r="E81">
        <v>0</v>
      </c>
      <c r="G81" s="1">
        <v>0</v>
      </c>
      <c r="H81">
        <v>0</v>
      </c>
      <c r="I81">
        <v>0.5</v>
      </c>
      <c r="J81">
        <v>1</v>
      </c>
      <c r="K81">
        <v>1</v>
      </c>
      <c r="L81">
        <f t="shared" si="4"/>
        <v>2</v>
      </c>
      <c r="M81">
        <v>0</v>
      </c>
      <c r="N81">
        <v>0</v>
      </c>
      <c r="O81">
        <v>2</v>
      </c>
      <c r="P81" s="1">
        <f t="shared" si="5"/>
        <v>0</v>
      </c>
      <c r="Q81">
        <f t="shared" si="6"/>
        <v>2</v>
      </c>
      <c r="R81" s="1">
        <f t="shared" si="7"/>
        <v>0</v>
      </c>
    </row>
    <row r="82" spans="1:18" hidden="1" x14ac:dyDescent="0.3">
      <c r="A82" t="s">
        <v>3661</v>
      </c>
      <c r="B82" t="s">
        <v>3662</v>
      </c>
      <c r="C82" t="s">
        <v>47</v>
      </c>
      <c r="D82">
        <v>1</v>
      </c>
      <c r="E82">
        <v>11</v>
      </c>
      <c r="F82" t="s">
        <v>2757</v>
      </c>
      <c r="G82" s="1">
        <v>3198.31</v>
      </c>
      <c r="H82">
        <v>0</v>
      </c>
      <c r="I82">
        <v>2</v>
      </c>
      <c r="J82">
        <v>11</v>
      </c>
      <c r="K82">
        <v>22</v>
      </c>
      <c r="L82">
        <f t="shared" si="4"/>
        <v>44</v>
      </c>
      <c r="M82">
        <v>0</v>
      </c>
      <c r="N82">
        <v>0</v>
      </c>
      <c r="O82">
        <v>44</v>
      </c>
      <c r="P82" s="1">
        <f t="shared" si="5"/>
        <v>0</v>
      </c>
      <c r="Q82">
        <f t="shared" si="6"/>
        <v>44</v>
      </c>
      <c r="R82" s="1">
        <f t="shared" si="7"/>
        <v>140725.63999999998</v>
      </c>
    </row>
    <row r="83" spans="1:18" hidden="1" x14ac:dyDescent="0.3">
      <c r="A83" t="s">
        <v>3663</v>
      </c>
      <c r="B83" t="s">
        <v>3664</v>
      </c>
      <c r="C83" t="s">
        <v>47</v>
      </c>
      <c r="D83">
        <v>1</v>
      </c>
      <c r="E83">
        <v>17</v>
      </c>
      <c r="F83" t="s">
        <v>3665</v>
      </c>
      <c r="G83" s="1">
        <v>2020</v>
      </c>
      <c r="H83">
        <v>17</v>
      </c>
      <c r="I83">
        <v>0.5</v>
      </c>
      <c r="J83">
        <v>17</v>
      </c>
      <c r="K83">
        <v>8</v>
      </c>
      <c r="L83">
        <f t="shared" si="4"/>
        <v>17</v>
      </c>
      <c r="M83">
        <v>0</v>
      </c>
      <c r="N83">
        <v>0</v>
      </c>
      <c r="O83">
        <v>42</v>
      </c>
      <c r="P83" s="1">
        <f t="shared" si="5"/>
        <v>0</v>
      </c>
      <c r="Q83">
        <f t="shared" si="6"/>
        <v>42</v>
      </c>
      <c r="R83" s="1">
        <f t="shared" si="7"/>
        <v>84840</v>
      </c>
    </row>
    <row r="84" spans="1:18" hidden="1" x14ac:dyDescent="0.3">
      <c r="A84" t="s">
        <v>3666</v>
      </c>
      <c r="B84" t="s">
        <v>3667</v>
      </c>
      <c r="C84" t="s">
        <v>47</v>
      </c>
      <c r="D84">
        <v>1</v>
      </c>
      <c r="E84">
        <v>2</v>
      </c>
      <c r="F84" t="s">
        <v>2757</v>
      </c>
      <c r="G84" s="1">
        <v>20655.41</v>
      </c>
      <c r="H84">
        <v>0</v>
      </c>
      <c r="I84">
        <v>1.2</v>
      </c>
      <c r="J84">
        <v>2</v>
      </c>
      <c r="K84">
        <v>2</v>
      </c>
      <c r="L84">
        <f t="shared" si="4"/>
        <v>5</v>
      </c>
      <c r="M84">
        <v>0</v>
      </c>
      <c r="N84">
        <v>0</v>
      </c>
      <c r="O84">
        <v>6</v>
      </c>
      <c r="P84" s="1">
        <f t="shared" si="5"/>
        <v>0</v>
      </c>
      <c r="Q84">
        <f t="shared" si="6"/>
        <v>6</v>
      </c>
      <c r="R84" s="1">
        <f t="shared" si="7"/>
        <v>123932.45999999999</v>
      </c>
    </row>
    <row r="85" spans="1:18" hidden="1" x14ac:dyDescent="0.3">
      <c r="A85" t="s">
        <v>3668</v>
      </c>
      <c r="B85" t="s">
        <v>3669</v>
      </c>
      <c r="C85" t="s">
        <v>47</v>
      </c>
      <c r="D85">
        <v>1</v>
      </c>
      <c r="E85">
        <v>0</v>
      </c>
      <c r="G85" s="1">
        <v>0</v>
      </c>
      <c r="H85">
        <v>0</v>
      </c>
      <c r="I85">
        <v>0.5</v>
      </c>
      <c r="J85">
        <v>1</v>
      </c>
      <c r="K85">
        <v>1</v>
      </c>
      <c r="L85">
        <f t="shared" si="4"/>
        <v>2</v>
      </c>
      <c r="M85">
        <v>0</v>
      </c>
      <c r="N85">
        <v>0</v>
      </c>
      <c r="O85">
        <v>2</v>
      </c>
      <c r="P85" s="1">
        <f t="shared" si="5"/>
        <v>0</v>
      </c>
      <c r="Q85">
        <f t="shared" si="6"/>
        <v>2</v>
      </c>
      <c r="R85" s="1">
        <f t="shared" si="7"/>
        <v>0</v>
      </c>
    </row>
    <row r="86" spans="1:18" hidden="1" x14ac:dyDescent="0.3">
      <c r="A86" t="s">
        <v>3670</v>
      </c>
      <c r="B86" t="s">
        <v>3671</v>
      </c>
      <c r="C86" t="s">
        <v>47</v>
      </c>
      <c r="D86">
        <v>2</v>
      </c>
      <c r="E86">
        <v>120</v>
      </c>
      <c r="F86" t="s">
        <v>209</v>
      </c>
      <c r="G86" s="1">
        <v>35</v>
      </c>
      <c r="H86">
        <v>0</v>
      </c>
      <c r="I86">
        <v>0.5</v>
      </c>
      <c r="J86">
        <v>60</v>
      </c>
      <c r="K86">
        <v>30</v>
      </c>
      <c r="L86">
        <f t="shared" si="4"/>
        <v>60</v>
      </c>
      <c r="M86">
        <v>0</v>
      </c>
      <c r="N86">
        <v>0</v>
      </c>
      <c r="O86">
        <v>150</v>
      </c>
      <c r="P86" s="1">
        <f t="shared" si="5"/>
        <v>0</v>
      </c>
      <c r="Q86">
        <f t="shared" si="6"/>
        <v>150</v>
      </c>
      <c r="R86" s="1">
        <f t="shared" si="7"/>
        <v>5250</v>
      </c>
    </row>
    <row r="87" spans="1:18" hidden="1" x14ac:dyDescent="0.3">
      <c r="A87" t="s">
        <v>3672</v>
      </c>
      <c r="B87" t="s">
        <v>3673</v>
      </c>
      <c r="C87" t="s">
        <v>47</v>
      </c>
      <c r="D87">
        <v>1</v>
      </c>
      <c r="E87">
        <v>0</v>
      </c>
      <c r="G87" s="1">
        <v>0</v>
      </c>
      <c r="H87">
        <v>0</v>
      </c>
      <c r="I87">
        <v>0.5</v>
      </c>
      <c r="J87">
        <v>1</v>
      </c>
      <c r="K87">
        <v>1</v>
      </c>
      <c r="L87">
        <f t="shared" si="4"/>
        <v>2</v>
      </c>
      <c r="M87">
        <v>0</v>
      </c>
      <c r="N87">
        <v>0</v>
      </c>
      <c r="O87">
        <v>2</v>
      </c>
      <c r="P87" s="1">
        <f t="shared" si="5"/>
        <v>0</v>
      </c>
      <c r="Q87">
        <f t="shared" si="6"/>
        <v>2</v>
      </c>
      <c r="R87" s="1">
        <f t="shared" si="7"/>
        <v>0</v>
      </c>
    </row>
    <row r="88" spans="1:18" hidden="1" x14ac:dyDescent="0.3">
      <c r="A88" t="s">
        <v>3674</v>
      </c>
      <c r="B88" t="s">
        <v>3675</v>
      </c>
      <c r="C88" t="s">
        <v>47</v>
      </c>
      <c r="D88">
        <v>1</v>
      </c>
      <c r="E88">
        <v>0</v>
      </c>
      <c r="G88" s="1">
        <v>0</v>
      </c>
      <c r="H88">
        <v>0</v>
      </c>
      <c r="I88">
        <v>0.5</v>
      </c>
      <c r="J88">
        <v>1</v>
      </c>
      <c r="K88">
        <v>1</v>
      </c>
      <c r="L88">
        <f t="shared" si="4"/>
        <v>2</v>
      </c>
      <c r="M88">
        <v>0</v>
      </c>
      <c r="N88">
        <v>0</v>
      </c>
      <c r="O88">
        <v>2</v>
      </c>
      <c r="P88" s="1">
        <f t="shared" si="5"/>
        <v>0</v>
      </c>
      <c r="Q88">
        <f t="shared" si="6"/>
        <v>2</v>
      </c>
      <c r="R88" s="1">
        <f t="shared" si="7"/>
        <v>0</v>
      </c>
    </row>
    <row r="89" spans="1:18" hidden="1" x14ac:dyDescent="0.3">
      <c r="A89" t="s">
        <v>3676</v>
      </c>
      <c r="B89" t="s">
        <v>3677</v>
      </c>
      <c r="C89" t="s">
        <v>47</v>
      </c>
      <c r="D89">
        <v>1</v>
      </c>
      <c r="E89">
        <v>1</v>
      </c>
      <c r="F89" t="s">
        <v>3678</v>
      </c>
      <c r="G89" s="1">
        <v>1500</v>
      </c>
      <c r="H89">
        <v>0</v>
      </c>
      <c r="I89">
        <v>0.8</v>
      </c>
      <c r="J89">
        <v>1</v>
      </c>
      <c r="K89">
        <v>1</v>
      </c>
      <c r="L89">
        <f t="shared" si="4"/>
        <v>2</v>
      </c>
      <c r="M89">
        <v>0</v>
      </c>
      <c r="N89">
        <v>0</v>
      </c>
      <c r="O89">
        <v>3</v>
      </c>
      <c r="P89" s="1">
        <f t="shared" si="5"/>
        <v>0</v>
      </c>
      <c r="Q89">
        <f t="shared" si="6"/>
        <v>3</v>
      </c>
      <c r="R89" s="1">
        <f t="shared" si="7"/>
        <v>4500</v>
      </c>
    </row>
    <row r="90" spans="1:18" hidden="1" x14ac:dyDescent="0.3">
      <c r="A90" t="s">
        <v>3679</v>
      </c>
      <c r="B90" t="s">
        <v>3680</v>
      </c>
      <c r="C90" t="s">
        <v>47</v>
      </c>
      <c r="D90">
        <v>8</v>
      </c>
      <c r="E90">
        <v>12</v>
      </c>
      <c r="F90" t="s">
        <v>2757</v>
      </c>
      <c r="G90" s="1">
        <v>2093.91</v>
      </c>
      <c r="H90">
        <v>2</v>
      </c>
      <c r="I90">
        <v>2.4</v>
      </c>
      <c r="J90">
        <v>1.5</v>
      </c>
      <c r="K90">
        <v>4</v>
      </c>
      <c r="L90">
        <f t="shared" si="4"/>
        <v>8</v>
      </c>
      <c r="M90">
        <v>0</v>
      </c>
      <c r="N90">
        <v>0</v>
      </c>
      <c r="O90">
        <v>7</v>
      </c>
      <c r="P90" s="1">
        <f t="shared" si="5"/>
        <v>0</v>
      </c>
      <c r="Q90">
        <f t="shared" si="6"/>
        <v>7</v>
      </c>
      <c r="R90" s="1">
        <f t="shared" si="7"/>
        <v>14657.369999999999</v>
      </c>
    </row>
    <row r="91" spans="1:18" hidden="1" x14ac:dyDescent="0.3">
      <c r="A91" t="s">
        <v>3681</v>
      </c>
      <c r="B91" t="s">
        <v>3682</v>
      </c>
      <c r="C91" t="s">
        <v>47</v>
      </c>
      <c r="D91">
        <v>1</v>
      </c>
      <c r="E91">
        <v>0</v>
      </c>
      <c r="G91" s="1">
        <v>0</v>
      </c>
      <c r="H91">
        <v>0</v>
      </c>
      <c r="I91">
        <v>0.5</v>
      </c>
      <c r="J91">
        <v>1</v>
      </c>
      <c r="K91">
        <v>1</v>
      </c>
      <c r="L91">
        <f t="shared" si="4"/>
        <v>2</v>
      </c>
      <c r="M91">
        <v>0</v>
      </c>
      <c r="N91">
        <v>0</v>
      </c>
      <c r="O91">
        <v>2</v>
      </c>
      <c r="P91" s="1">
        <f t="shared" si="5"/>
        <v>0</v>
      </c>
      <c r="Q91">
        <f t="shared" si="6"/>
        <v>2</v>
      </c>
      <c r="R91" s="1">
        <f t="shared" si="7"/>
        <v>0</v>
      </c>
    </row>
    <row r="92" spans="1:18" hidden="1" x14ac:dyDescent="0.3">
      <c r="A92" t="s">
        <v>3683</v>
      </c>
      <c r="B92" t="s">
        <v>3684</v>
      </c>
      <c r="C92" t="s">
        <v>47</v>
      </c>
      <c r="D92">
        <v>1</v>
      </c>
      <c r="E92">
        <v>0</v>
      </c>
      <c r="G92" s="1">
        <v>0</v>
      </c>
      <c r="H92">
        <v>0</v>
      </c>
      <c r="I92">
        <v>0.5</v>
      </c>
      <c r="J92">
        <v>1</v>
      </c>
      <c r="K92">
        <v>1</v>
      </c>
      <c r="L92">
        <f t="shared" si="4"/>
        <v>2</v>
      </c>
      <c r="M92">
        <v>0</v>
      </c>
      <c r="N92">
        <v>0</v>
      </c>
      <c r="O92">
        <v>2</v>
      </c>
      <c r="P92" s="1">
        <f t="shared" si="5"/>
        <v>0</v>
      </c>
      <c r="Q92">
        <f t="shared" si="6"/>
        <v>2</v>
      </c>
      <c r="R92" s="1">
        <f t="shared" si="7"/>
        <v>0</v>
      </c>
    </row>
    <row r="93" spans="1:18" hidden="1" x14ac:dyDescent="0.3">
      <c r="A93" t="s">
        <v>3685</v>
      </c>
      <c r="B93" t="s">
        <v>3686</v>
      </c>
      <c r="C93" t="s">
        <v>47</v>
      </c>
      <c r="D93">
        <v>1</v>
      </c>
      <c r="E93">
        <v>20</v>
      </c>
      <c r="F93" t="s">
        <v>209</v>
      </c>
      <c r="G93" s="1">
        <v>75.069999999999993</v>
      </c>
      <c r="H93">
        <v>0</v>
      </c>
      <c r="I93">
        <v>0.5</v>
      </c>
      <c r="J93">
        <v>20</v>
      </c>
      <c r="K93">
        <v>10</v>
      </c>
      <c r="L93">
        <f t="shared" si="4"/>
        <v>20</v>
      </c>
      <c r="M93">
        <v>0</v>
      </c>
      <c r="N93">
        <v>0</v>
      </c>
      <c r="O93">
        <v>50</v>
      </c>
      <c r="P93" s="1">
        <f t="shared" si="5"/>
        <v>0</v>
      </c>
      <c r="Q93">
        <f t="shared" si="6"/>
        <v>50</v>
      </c>
      <c r="R93" s="1">
        <f t="shared" si="7"/>
        <v>3753.4999999999995</v>
      </c>
    </row>
    <row r="94" spans="1:18" hidden="1" x14ac:dyDescent="0.3">
      <c r="A94" t="s">
        <v>3687</v>
      </c>
      <c r="B94" t="s">
        <v>3688</v>
      </c>
      <c r="C94" t="s">
        <v>47</v>
      </c>
      <c r="D94">
        <v>1</v>
      </c>
      <c r="E94">
        <v>0</v>
      </c>
      <c r="G94" s="1">
        <v>0</v>
      </c>
      <c r="H94">
        <v>0</v>
      </c>
      <c r="I94">
        <v>0.5</v>
      </c>
      <c r="J94">
        <v>1</v>
      </c>
      <c r="K94">
        <v>1</v>
      </c>
      <c r="L94">
        <f t="shared" si="4"/>
        <v>2</v>
      </c>
      <c r="M94">
        <v>0</v>
      </c>
      <c r="N94">
        <v>0</v>
      </c>
      <c r="O94">
        <v>2</v>
      </c>
      <c r="P94" s="1">
        <f t="shared" si="5"/>
        <v>0</v>
      </c>
      <c r="Q94">
        <f t="shared" si="6"/>
        <v>2</v>
      </c>
      <c r="R94" s="1">
        <f t="shared" si="7"/>
        <v>0</v>
      </c>
    </row>
    <row r="95" spans="1:18" hidden="1" x14ac:dyDescent="0.3">
      <c r="A95" t="s">
        <v>3689</v>
      </c>
      <c r="B95" t="s">
        <v>3690</v>
      </c>
      <c r="C95" t="s">
        <v>47</v>
      </c>
      <c r="D95">
        <v>1</v>
      </c>
      <c r="E95">
        <v>3</v>
      </c>
      <c r="F95" t="s">
        <v>2757</v>
      </c>
      <c r="G95" s="1">
        <v>3617.41</v>
      </c>
      <c r="H95">
        <v>0</v>
      </c>
      <c r="I95">
        <v>2.7</v>
      </c>
      <c r="J95">
        <v>3</v>
      </c>
      <c r="K95">
        <v>8</v>
      </c>
      <c r="L95">
        <f t="shared" si="4"/>
        <v>17</v>
      </c>
      <c r="M95">
        <v>0</v>
      </c>
      <c r="N95">
        <v>0</v>
      </c>
      <c r="O95">
        <v>14</v>
      </c>
      <c r="P95" s="1">
        <f t="shared" si="5"/>
        <v>0</v>
      </c>
      <c r="Q95">
        <f t="shared" si="6"/>
        <v>14</v>
      </c>
      <c r="R95" s="1">
        <f t="shared" si="7"/>
        <v>50643.74</v>
      </c>
    </row>
    <row r="96" spans="1:18" hidden="1" x14ac:dyDescent="0.3">
      <c r="A96" t="s">
        <v>3691</v>
      </c>
      <c r="B96" t="s">
        <v>3692</v>
      </c>
      <c r="C96" t="s">
        <v>47</v>
      </c>
      <c r="D96">
        <v>1</v>
      </c>
      <c r="E96">
        <v>0</v>
      </c>
      <c r="G96" s="1">
        <v>0</v>
      </c>
      <c r="H96">
        <v>0</v>
      </c>
      <c r="I96">
        <v>0.5</v>
      </c>
      <c r="J96">
        <v>1</v>
      </c>
      <c r="K96">
        <v>1</v>
      </c>
      <c r="L96">
        <f t="shared" si="4"/>
        <v>2</v>
      </c>
      <c r="M96">
        <v>0</v>
      </c>
      <c r="N96">
        <v>0</v>
      </c>
      <c r="O96">
        <v>2</v>
      </c>
      <c r="P96" s="1">
        <f t="shared" si="5"/>
        <v>0</v>
      </c>
      <c r="Q96">
        <f t="shared" si="6"/>
        <v>2</v>
      </c>
      <c r="R96" s="1">
        <f t="shared" si="7"/>
        <v>0</v>
      </c>
    </row>
    <row r="97" spans="1:18" hidden="1" x14ac:dyDescent="0.3">
      <c r="A97" t="s">
        <v>3693</v>
      </c>
      <c r="B97" t="s">
        <v>3694</v>
      </c>
      <c r="C97" t="s">
        <v>47</v>
      </c>
      <c r="D97">
        <v>1</v>
      </c>
      <c r="E97">
        <v>0</v>
      </c>
      <c r="G97" s="1">
        <v>0</v>
      </c>
      <c r="H97">
        <v>0</v>
      </c>
      <c r="I97">
        <v>0.5</v>
      </c>
      <c r="J97">
        <v>1</v>
      </c>
      <c r="K97">
        <v>1</v>
      </c>
      <c r="L97">
        <f t="shared" si="4"/>
        <v>2</v>
      </c>
      <c r="M97">
        <v>0</v>
      </c>
      <c r="N97">
        <v>0</v>
      </c>
      <c r="O97">
        <v>2</v>
      </c>
      <c r="P97" s="1">
        <f t="shared" si="5"/>
        <v>0</v>
      </c>
      <c r="Q97">
        <f t="shared" si="6"/>
        <v>2</v>
      </c>
      <c r="R97" s="1">
        <f t="shared" si="7"/>
        <v>0</v>
      </c>
    </row>
    <row r="98" spans="1:18" hidden="1" x14ac:dyDescent="0.3">
      <c r="A98" t="s">
        <v>3695</v>
      </c>
      <c r="B98" t="s">
        <v>3696</v>
      </c>
      <c r="C98" t="s">
        <v>47</v>
      </c>
      <c r="D98">
        <v>1</v>
      </c>
      <c r="E98">
        <v>0</v>
      </c>
      <c r="G98" s="1">
        <v>0</v>
      </c>
      <c r="H98">
        <v>0</v>
      </c>
      <c r="I98">
        <v>0.5</v>
      </c>
      <c r="J98">
        <v>1</v>
      </c>
      <c r="K98">
        <v>1</v>
      </c>
      <c r="L98">
        <f t="shared" si="4"/>
        <v>2</v>
      </c>
      <c r="M98">
        <v>0</v>
      </c>
      <c r="N98">
        <v>0</v>
      </c>
      <c r="O98">
        <v>2</v>
      </c>
      <c r="P98" s="1">
        <f t="shared" si="5"/>
        <v>0</v>
      </c>
      <c r="Q98">
        <f t="shared" si="6"/>
        <v>2</v>
      </c>
      <c r="R98" s="1">
        <f t="shared" si="7"/>
        <v>0</v>
      </c>
    </row>
    <row r="99" spans="1:18" hidden="1" x14ac:dyDescent="0.3">
      <c r="A99" t="s">
        <v>3697</v>
      </c>
      <c r="B99" t="s">
        <v>3698</v>
      </c>
      <c r="C99" t="s">
        <v>47</v>
      </c>
      <c r="D99">
        <v>1</v>
      </c>
      <c r="E99">
        <v>0</v>
      </c>
      <c r="F99" t="s">
        <v>2757</v>
      </c>
      <c r="G99" s="1">
        <v>0</v>
      </c>
      <c r="H99">
        <v>0</v>
      </c>
      <c r="I99">
        <v>2.7</v>
      </c>
      <c r="J99">
        <v>1</v>
      </c>
      <c r="K99">
        <v>3</v>
      </c>
      <c r="L99">
        <f t="shared" si="4"/>
        <v>6</v>
      </c>
      <c r="M99">
        <v>0</v>
      </c>
      <c r="N99">
        <v>0</v>
      </c>
      <c r="O99">
        <v>5</v>
      </c>
      <c r="P99" s="1">
        <f t="shared" si="5"/>
        <v>0</v>
      </c>
      <c r="Q99">
        <f t="shared" si="6"/>
        <v>5</v>
      </c>
      <c r="R99" s="1">
        <f t="shared" si="7"/>
        <v>0</v>
      </c>
    </row>
    <row r="100" spans="1:18" hidden="1" x14ac:dyDescent="0.3">
      <c r="A100" t="s">
        <v>3699</v>
      </c>
      <c r="B100" t="s">
        <v>3700</v>
      </c>
      <c r="C100" t="s">
        <v>47</v>
      </c>
      <c r="D100">
        <v>1</v>
      </c>
      <c r="E100">
        <v>0</v>
      </c>
      <c r="G100" s="1">
        <v>0</v>
      </c>
      <c r="H100">
        <v>0</v>
      </c>
      <c r="I100">
        <v>0.5</v>
      </c>
      <c r="J100">
        <v>1</v>
      </c>
      <c r="K100">
        <v>1</v>
      </c>
      <c r="L100">
        <f t="shared" si="4"/>
        <v>2</v>
      </c>
      <c r="M100">
        <v>0</v>
      </c>
      <c r="N100">
        <v>0</v>
      </c>
      <c r="O100">
        <v>2</v>
      </c>
      <c r="P100" s="1">
        <f t="shared" si="5"/>
        <v>0</v>
      </c>
      <c r="Q100">
        <f t="shared" si="6"/>
        <v>2</v>
      </c>
      <c r="R100" s="1">
        <f t="shared" si="7"/>
        <v>0</v>
      </c>
    </row>
    <row r="101" spans="1:18" hidden="1" x14ac:dyDescent="0.3">
      <c r="A101" t="s">
        <v>3701</v>
      </c>
      <c r="B101" t="s">
        <v>3702</v>
      </c>
      <c r="C101" t="s">
        <v>47</v>
      </c>
      <c r="D101">
        <v>1</v>
      </c>
      <c r="E101">
        <v>0</v>
      </c>
      <c r="G101" s="1">
        <v>0</v>
      </c>
      <c r="H101">
        <v>0</v>
      </c>
      <c r="I101">
        <v>0.5</v>
      </c>
      <c r="J101">
        <v>1</v>
      </c>
      <c r="K101">
        <v>1</v>
      </c>
      <c r="L101">
        <f t="shared" si="4"/>
        <v>2</v>
      </c>
      <c r="M101">
        <v>0</v>
      </c>
      <c r="N101">
        <v>0</v>
      </c>
      <c r="O101">
        <v>2</v>
      </c>
      <c r="P101" s="1">
        <f t="shared" si="5"/>
        <v>0</v>
      </c>
      <c r="Q101">
        <f t="shared" si="6"/>
        <v>2</v>
      </c>
      <c r="R101" s="1">
        <f t="shared" si="7"/>
        <v>0</v>
      </c>
    </row>
    <row r="102" spans="1:18" hidden="1" x14ac:dyDescent="0.3">
      <c r="A102" t="s">
        <v>3703</v>
      </c>
      <c r="B102" t="s">
        <v>3704</v>
      </c>
      <c r="C102" t="s">
        <v>47</v>
      </c>
      <c r="D102">
        <v>1</v>
      </c>
      <c r="E102">
        <v>0</v>
      </c>
      <c r="G102" s="1">
        <v>0</v>
      </c>
      <c r="H102">
        <v>0</v>
      </c>
      <c r="I102">
        <v>0.5</v>
      </c>
      <c r="J102">
        <v>1</v>
      </c>
      <c r="K102">
        <v>1</v>
      </c>
      <c r="L102">
        <f t="shared" si="4"/>
        <v>2</v>
      </c>
      <c r="M102">
        <v>0</v>
      </c>
      <c r="N102">
        <v>0</v>
      </c>
      <c r="O102">
        <v>2</v>
      </c>
      <c r="P102" s="1">
        <f t="shared" si="5"/>
        <v>0</v>
      </c>
      <c r="Q102">
        <f t="shared" si="6"/>
        <v>2</v>
      </c>
      <c r="R102" s="1">
        <f t="shared" si="7"/>
        <v>0</v>
      </c>
    </row>
    <row r="103" spans="1:18" hidden="1" x14ac:dyDescent="0.3">
      <c r="A103" t="s">
        <v>3705</v>
      </c>
      <c r="B103" t="s">
        <v>3706</v>
      </c>
      <c r="C103" t="s">
        <v>47</v>
      </c>
      <c r="D103">
        <v>1</v>
      </c>
      <c r="E103">
        <v>0</v>
      </c>
      <c r="G103" s="1">
        <v>0</v>
      </c>
      <c r="H103">
        <v>0</v>
      </c>
      <c r="I103">
        <v>0.5</v>
      </c>
      <c r="J103">
        <v>1</v>
      </c>
      <c r="K103">
        <v>1</v>
      </c>
      <c r="L103">
        <f t="shared" si="4"/>
        <v>2</v>
      </c>
      <c r="M103">
        <v>0</v>
      </c>
      <c r="N103">
        <v>0</v>
      </c>
      <c r="O103">
        <v>2</v>
      </c>
      <c r="P103" s="1">
        <f t="shared" si="5"/>
        <v>0</v>
      </c>
      <c r="Q103">
        <f t="shared" si="6"/>
        <v>2</v>
      </c>
      <c r="R103" s="1">
        <f t="shared" si="7"/>
        <v>0</v>
      </c>
    </row>
    <row r="104" spans="1:18" hidden="1" x14ac:dyDescent="0.3">
      <c r="A104" t="s">
        <v>3707</v>
      </c>
      <c r="B104" t="s">
        <v>3708</v>
      </c>
      <c r="C104" t="s">
        <v>47</v>
      </c>
      <c r="D104">
        <v>1</v>
      </c>
      <c r="E104">
        <v>0</v>
      </c>
      <c r="G104" s="1">
        <v>0</v>
      </c>
      <c r="H104">
        <v>0</v>
      </c>
      <c r="I104">
        <v>0.5</v>
      </c>
      <c r="J104">
        <v>1</v>
      </c>
      <c r="K104">
        <v>1</v>
      </c>
      <c r="L104">
        <f t="shared" si="4"/>
        <v>2</v>
      </c>
      <c r="M104">
        <v>0</v>
      </c>
      <c r="N104">
        <v>0</v>
      </c>
      <c r="O104">
        <v>2</v>
      </c>
      <c r="P104" s="1">
        <f t="shared" si="5"/>
        <v>0</v>
      </c>
      <c r="Q104">
        <f t="shared" si="6"/>
        <v>2</v>
      </c>
      <c r="R104" s="1">
        <f t="shared" si="7"/>
        <v>0</v>
      </c>
    </row>
    <row r="105" spans="1:18" hidden="1" x14ac:dyDescent="0.3">
      <c r="A105" t="s">
        <v>3709</v>
      </c>
      <c r="B105" t="s">
        <v>3710</v>
      </c>
      <c r="C105" t="s">
        <v>47</v>
      </c>
      <c r="D105">
        <v>1</v>
      </c>
      <c r="E105">
        <v>0</v>
      </c>
      <c r="G105" s="1">
        <v>0</v>
      </c>
      <c r="H105">
        <v>0</v>
      </c>
      <c r="I105">
        <v>0.5</v>
      </c>
      <c r="J105">
        <v>1</v>
      </c>
      <c r="K105">
        <v>1</v>
      </c>
      <c r="L105">
        <f t="shared" si="4"/>
        <v>2</v>
      </c>
      <c r="M105">
        <v>0</v>
      </c>
      <c r="N105">
        <v>0</v>
      </c>
      <c r="O105">
        <v>2</v>
      </c>
      <c r="P105" s="1">
        <f t="shared" si="5"/>
        <v>0</v>
      </c>
      <c r="Q105">
        <f t="shared" si="6"/>
        <v>2</v>
      </c>
      <c r="R105" s="1">
        <f t="shared" si="7"/>
        <v>0</v>
      </c>
    </row>
    <row r="106" spans="1:18" hidden="1" x14ac:dyDescent="0.3">
      <c r="A106" t="s">
        <v>3711</v>
      </c>
      <c r="B106" t="s">
        <v>3712</v>
      </c>
      <c r="C106" t="s">
        <v>47</v>
      </c>
      <c r="D106">
        <v>1</v>
      </c>
      <c r="E106">
        <v>0</v>
      </c>
      <c r="G106" s="1">
        <v>0</v>
      </c>
      <c r="H106">
        <v>0</v>
      </c>
      <c r="I106">
        <v>0.5</v>
      </c>
      <c r="J106">
        <v>1</v>
      </c>
      <c r="K106">
        <v>1</v>
      </c>
      <c r="L106">
        <f t="shared" si="4"/>
        <v>2</v>
      </c>
      <c r="M106">
        <v>0</v>
      </c>
      <c r="N106">
        <v>0</v>
      </c>
      <c r="O106">
        <v>2</v>
      </c>
      <c r="P106" s="1">
        <f t="shared" si="5"/>
        <v>0</v>
      </c>
      <c r="Q106">
        <f t="shared" si="6"/>
        <v>2</v>
      </c>
      <c r="R106" s="1">
        <f t="shared" si="7"/>
        <v>0</v>
      </c>
    </row>
    <row r="107" spans="1:18" hidden="1" x14ac:dyDescent="0.3">
      <c r="A107" t="s">
        <v>3713</v>
      </c>
      <c r="B107" t="s">
        <v>3714</v>
      </c>
      <c r="C107" t="s">
        <v>47</v>
      </c>
      <c r="D107">
        <v>1</v>
      </c>
      <c r="E107">
        <v>0</v>
      </c>
      <c r="G107" s="1">
        <v>0</v>
      </c>
      <c r="H107">
        <v>0</v>
      </c>
      <c r="I107">
        <v>0.5</v>
      </c>
      <c r="J107">
        <v>1</v>
      </c>
      <c r="K107">
        <v>1</v>
      </c>
      <c r="L107">
        <f t="shared" si="4"/>
        <v>2</v>
      </c>
      <c r="M107">
        <v>0</v>
      </c>
      <c r="N107">
        <v>0</v>
      </c>
      <c r="O107">
        <v>2</v>
      </c>
      <c r="P107" s="1">
        <f t="shared" si="5"/>
        <v>0</v>
      </c>
      <c r="Q107">
        <f t="shared" si="6"/>
        <v>2</v>
      </c>
      <c r="R107" s="1">
        <f t="shared" si="7"/>
        <v>0</v>
      </c>
    </row>
    <row r="108" spans="1:18" hidden="1" x14ac:dyDescent="0.3">
      <c r="A108" t="s">
        <v>3715</v>
      </c>
      <c r="B108" t="s">
        <v>3716</v>
      </c>
      <c r="C108" t="s">
        <v>47</v>
      </c>
      <c r="D108">
        <v>1</v>
      </c>
      <c r="E108">
        <v>0</v>
      </c>
      <c r="G108" s="1">
        <v>0</v>
      </c>
      <c r="H108">
        <v>0</v>
      </c>
      <c r="I108">
        <v>0.5</v>
      </c>
      <c r="J108">
        <v>1</v>
      </c>
      <c r="K108">
        <v>1</v>
      </c>
      <c r="L108">
        <f t="shared" si="4"/>
        <v>2</v>
      </c>
      <c r="M108">
        <v>0</v>
      </c>
      <c r="N108">
        <v>0</v>
      </c>
      <c r="O108">
        <v>2</v>
      </c>
      <c r="P108" s="1">
        <f t="shared" si="5"/>
        <v>0</v>
      </c>
      <c r="Q108">
        <f t="shared" si="6"/>
        <v>2</v>
      </c>
      <c r="R108" s="1">
        <f t="shared" si="7"/>
        <v>0</v>
      </c>
    </row>
    <row r="109" spans="1:18" hidden="1" x14ac:dyDescent="0.3">
      <c r="A109" t="s">
        <v>3717</v>
      </c>
      <c r="B109" t="s">
        <v>3718</v>
      </c>
      <c r="C109" t="s">
        <v>47</v>
      </c>
      <c r="D109">
        <v>1</v>
      </c>
      <c r="E109">
        <v>0</v>
      </c>
      <c r="G109" s="1">
        <v>0</v>
      </c>
      <c r="H109">
        <v>0</v>
      </c>
      <c r="I109">
        <v>0.5</v>
      </c>
      <c r="J109">
        <v>1</v>
      </c>
      <c r="K109">
        <v>1</v>
      </c>
      <c r="L109">
        <f t="shared" si="4"/>
        <v>2</v>
      </c>
      <c r="M109">
        <v>0</v>
      </c>
      <c r="N109">
        <v>0</v>
      </c>
      <c r="O109">
        <v>2</v>
      </c>
      <c r="P109" s="1">
        <f t="shared" si="5"/>
        <v>0</v>
      </c>
      <c r="Q109">
        <f t="shared" si="6"/>
        <v>2</v>
      </c>
      <c r="R109" s="1">
        <f t="shared" si="7"/>
        <v>0</v>
      </c>
    </row>
    <row r="110" spans="1:18" hidden="1" x14ac:dyDescent="0.3">
      <c r="A110" t="s">
        <v>3719</v>
      </c>
      <c r="B110" t="s">
        <v>3720</v>
      </c>
      <c r="C110" t="s">
        <v>47</v>
      </c>
      <c r="D110">
        <v>1</v>
      </c>
      <c r="E110">
        <v>0</v>
      </c>
      <c r="G110" s="1">
        <v>0</v>
      </c>
      <c r="H110">
        <v>0</v>
      </c>
      <c r="I110">
        <v>0.5</v>
      </c>
      <c r="J110">
        <v>1</v>
      </c>
      <c r="K110">
        <v>1</v>
      </c>
      <c r="L110">
        <f t="shared" si="4"/>
        <v>2</v>
      </c>
      <c r="M110">
        <v>0</v>
      </c>
      <c r="N110">
        <v>0</v>
      </c>
      <c r="O110">
        <v>2</v>
      </c>
      <c r="P110" s="1">
        <f t="shared" si="5"/>
        <v>0</v>
      </c>
      <c r="Q110">
        <f t="shared" si="6"/>
        <v>2</v>
      </c>
      <c r="R110" s="1">
        <f t="shared" si="7"/>
        <v>0</v>
      </c>
    </row>
    <row r="111" spans="1:18" hidden="1" x14ac:dyDescent="0.3">
      <c r="A111" t="s">
        <v>3721</v>
      </c>
      <c r="B111" t="s">
        <v>3722</v>
      </c>
      <c r="C111" t="s">
        <v>47</v>
      </c>
      <c r="D111">
        <v>1</v>
      </c>
      <c r="E111">
        <v>0</v>
      </c>
      <c r="G111" s="1">
        <v>0</v>
      </c>
      <c r="H111">
        <v>0</v>
      </c>
      <c r="I111">
        <v>0.5</v>
      </c>
      <c r="J111">
        <v>1</v>
      </c>
      <c r="K111">
        <v>1</v>
      </c>
      <c r="L111">
        <f t="shared" si="4"/>
        <v>2</v>
      </c>
      <c r="M111">
        <v>0</v>
      </c>
      <c r="N111">
        <v>0</v>
      </c>
      <c r="O111">
        <v>2</v>
      </c>
      <c r="P111" s="1">
        <f t="shared" si="5"/>
        <v>0</v>
      </c>
      <c r="Q111">
        <f t="shared" si="6"/>
        <v>2</v>
      </c>
      <c r="R111" s="1">
        <f t="shared" si="7"/>
        <v>0</v>
      </c>
    </row>
    <row r="112" spans="1:18" hidden="1" x14ac:dyDescent="0.3">
      <c r="A112" t="s">
        <v>3723</v>
      </c>
      <c r="B112" t="s">
        <v>3724</v>
      </c>
      <c r="C112" t="s">
        <v>47</v>
      </c>
      <c r="D112">
        <v>1</v>
      </c>
      <c r="E112">
        <v>0</v>
      </c>
      <c r="G112" s="1">
        <v>0</v>
      </c>
      <c r="H112">
        <v>0</v>
      </c>
      <c r="I112">
        <v>0.5</v>
      </c>
      <c r="J112">
        <v>1</v>
      </c>
      <c r="K112">
        <v>1</v>
      </c>
      <c r="L112">
        <f t="shared" si="4"/>
        <v>2</v>
      </c>
      <c r="M112">
        <v>0</v>
      </c>
      <c r="N112">
        <v>0</v>
      </c>
      <c r="O112">
        <v>2</v>
      </c>
      <c r="P112" s="1">
        <f t="shared" si="5"/>
        <v>0</v>
      </c>
      <c r="Q112">
        <f t="shared" si="6"/>
        <v>2</v>
      </c>
      <c r="R112" s="1">
        <f t="shared" si="7"/>
        <v>0</v>
      </c>
    </row>
    <row r="113" spans="1:18" hidden="1" x14ac:dyDescent="0.3">
      <c r="A113" t="s">
        <v>3725</v>
      </c>
      <c r="B113" t="s">
        <v>3726</v>
      </c>
      <c r="C113" t="s">
        <v>47</v>
      </c>
      <c r="D113">
        <v>1</v>
      </c>
      <c r="E113">
        <v>0</v>
      </c>
      <c r="G113" s="1">
        <v>0</v>
      </c>
      <c r="H113">
        <v>0</v>
      </c>
      <c r="I113">
        <v>0.5</v>
      </c>
      <c r="J113">
        <v>1</v>
      </c>
      <c r="K113">
        <v>1</v>
      </c>
      <c r="L113">
        <f t="shared" si="4"/>
        <v>2</v>
      </c>
      <c r="M113">
        <v>0</v>
      </c>
      <c r="N113">
        <v>0</v>
      </c>
      <c r="O113">
        <v>2</v>
      </c>
      <c r="P113" s="1">
        <f t="shared" si="5"/>
        <v>0</v>
      </c>
      <c r="Q113">
        <f t="shared" si="6"/>
        <v>2</v>
      </c>
      <c r="R113" s="1">
        <f t="shared" si="7"/>
        <v>0</v>
      </c>
    </row>
    <row r="114" spans="1:18" hidden="1" x14ac:dyDescent="0.3">
      <c r="A114" t="s">
        <v>3727</v>
      </c>
      <c r="B114" t="s">
        <v>3728</v>
      </c>
      <c r="C114" t="s">
        <v>47</v>
      </c>
      <c r="D114">
        <v>1</v>
      </c>
      <c r="E114">
        <v>0</v>
      </c>
      <c r="G114" s="1">
        <v>0</v>
      </c>
      <c r="H114">
        <v>0</v>
      </c>
      <c r="I114">
        <v>0.5</v>
      </c>
      <c r="J114">
        <v>1</v>
      </c>
      <c r="K114">
        <v>1</v>
      </c>
      <c r="L114">
        <f t="shared" si="4"/>
        <v>2</v>
      </c>
      <c r="M114">
        <v>0</v>
      </c>
      <c r="N114">
        <v>0</v>
      </c>
      <c r="O114">
        <v>2</v>
      </c>
      <c r="P114" s="1">
        <f t="shared" si="5"/>
        <v>0</v>
      </c>
      <c r="Q114">
        <f t="shared" si="6"/>
        <v>2</v>
      </c>
      <c r="R114" s="1">
        <f t="shared" si="7"/>
        <v>0</v>
      </c>
    </row>
    <row r="115" spans="1:18" hidden="1" x14ac:dyDescent="0.3">
      <c r="A115" t="s">
        <v>3729</v>
      </c>
      <c r="B115" t="s">
        <v>3730</v>
      </c>
      <c r="C115" t="s">
        <v>47</v>
      </c>
      <c r="D115">
        <v>1</v>
      </c>
      <c r="E115">
        <v>5</v>
      </c>
      <c r="F115" t="s">
        <v>2757</v>
      </c>
      <c r="G115" s="1">
        <v>4831.25</v>
      </c>
      <c r="H115">
        <v>1</v>
      </c>
      <c r="I115">
        <v>1.4</v>
      </c>
      <c r="J115">
        <v>5</v>
      </c>
      <c r="K115">
        <v>7</v>
      </c>
      <c r="L115">
        <f t="shared" si="4"/>
        <v>14</v>
      </c>
      <c r="M115">
        <v>0</v>
      </c>
      <c r="N115">
        <v>20</v>
      </c>
      <c r="O115">
        <v>17</v>
      </c>
      <c r="P115" s="1">
        <f t="shared" si="5"/>
        <v>0</v>
      </c>
      <c r="Q115">
        <f t="shared" si="6"/>
        <v>0</v>
      </c>
      <c r="R115" s="1">
        <f t="shared" si="7"/>
        <v>0</v>
      </c>
    </row>
    <row r="116" spans="1:18" hidden="1" x14ac:dyDescent="0.3">
      <c r="A116" t="s">
        <v>3731</v>
      </c>
      <c r="B116" t="s">
        <v>3732</v>
      </c>
      <c r="C116" t="s">
        <v>47</v>
      </c>
      <c r="D116">
        <v>1</v>
      </c>
      <c r="E116">
        <v>0</v>
      </c>
      <c r="G116" s="1">
        <v>0</v>
      </c>
      <c r="H116">
        <v>0</v>
      </c>
      <c r="I116">
        <v>0.5</v>
      </c>
      <c r="J116">
        <v>1</v>
      </c>
      <c r="K116">
        <v>1</v>
      </c>
      <c r="L116">
        <f t="shared" si="4"/>
        <v>2</v>
      </c>
      <c r="M116">
        <v>0</v>
      </c>
      <c r="N116">
        <v>0</v>
      </c>
      <c r="O116">
        <v>2</v>
      </c>
      <c r="P116" s="1">
        <f t="shared" si="5"/>
        <v>0</v>
      </c>
      <c r="Q116">
        <f t="shared" si="6"/>
        <v>2</v>
      </c>
      <c r="R116" s="1">
        <f t="shared" si="7"/>
        <v>0</v>
      </c>
    </row>
    <row r="117" spans="1:18" hidden="1" x14ac:dyDescent="0.3">
      <c r="A117" t="s">
        <v>3733</v>
      </c>
      <c r="B117" t="s">
        <v>3734</v>
      </c>
      <c r="C117" t="s">
        <v>47</v>
      </c>
      <c r="D117">
        <v>1</v>
      </c>
      <c r="E117">
        <v>0</v>
      </c>
      <c r="G117" s="1">
        <v>0</v>
      </c>
      <c r="H117">
        <v>0</v>
      </c>
      <c r="I117">
        <v>0.5</v>
      </c>
      <c r="J117">
        <v>1</v>
      </c>
      <c r="K117">
        <v>1</v>
      </c>
      <c r="L117">
        <f t="shared" si="4"/>
        <v>2</v>
      </c>
      <c r="M117">
        <v>0</v>
      </c>
      <c r="N117">
        <v>0</v>
      </c>
      <c r="O117">
        <v>2</v>
      </c>
      <c r="P117" s="1">
        <f t="shared" si="5"/>
        <v>0</v>
      </c>
      <c r="Q117">
        <f t="shared" si="6"/>
        <v>2</v>
      </c>
      <c r="R117" s="1">
        <f t="shared" si="7"/>
        <v>0</v>
      </c>
    </row>
    <row r="118" spans="1:18" hidden="1" x14ac:dyDescent="0.3">
      <c r="A118" t="s">
        <v>3735</v>
      </c>
      <c r="B118" t="s">
        <v>3736</v>
      </c>
      <c r="C118" t="s">
        <v>47</v>
      </c>
      <c r="D118">
        <v>1</v>
      </c>
      <c r="E118">
        <v>0</v>
      </c>
      <c r="G118" s="1">
        <v>0</v>
      </c>
      <c r="H118">
        <v>0</v>
      </c>
      <c r="I118">
        <v>0.5</v>
      </c>
      <c r="J118">
        <v>1</v>
      </c>
      <c r="K118">
        <v>1</v>
      </c>
      <c r="L118">
        <f t="shared" si="4"/>
        <v>2</v>
      </c>
      <c r="M118">
        <v>0</v>
      </c>
      <c r="N118">
        <v>0</v>
      </c>
      <c r="O118">
        <v>2</v>
      </c>
      <c r="P118" s="1">
        <f t="shared" si="5"/>
        <v>0</v>
      </c>
      <c r="Q118">
        <f t="shared" si="6"/>
        <v>2</v>
      </c>
      <c r="R118" s="1">
        <f t="shared" si="7"/>
        <v>0</v>
      </c>
    </row>
    <row r="119" spans="1:18" hidden="1" x14ac:dyDescent="0.3">
      <c r="A119" t="s">
        <v>3737</v>
      </c>
      <c r="B119" t="s">
        <v>3738</v>
      </c>
      <c r="C119" t="s">
        <v>47</v>
      </c>
      <c r="D119">
        <v>1</v>
      </c>
      <c r="E119">
        <v>0</v>
      </c>
      <c r="G119" s="1">
        <v>0</v>
      </c>
      <c r="H119">
        <v>0</v>
      </c>
      <c r="I119">
        <v>0.5</v>
      </c>
      <c r="J119">
        <v>1</v>
      </c>
      <c r="K119">
        <v>1</v>
      </c>
      <c r="L119">
        <f t="shared" si="4"/>
        <v>2</v>
      </c>
      <c r="M119">
        <v>0</v>
      </c>
      <c r="N119">
        <v>0</v>
      </c>
      <c r="O119">
        <v>2</v>
      </c>
      <c r="P119" s="1">
        <f t="shared" si="5"/>
        <v>0</v>
      </c>
      <c r="Q119">
        <f t="shared" si="6"/>
        <v>2</v>
      </c>
      <c r="R119" s="1">
        <f t="shared" si="7"/>
        <v>0</v>
      </c>
    </row>
    <row r="120" spans="1:18" hidden="1" x14ac:dyDescent="0.3">
      <c r="A120" t="s">
        <v>3739</v>
      </c>
      <c r="B120" t="s">
        <v>3740</v>
      </c>
      <c r="C120" t="s">
        <v>47</v>
      </c>
      <c r="D120">
        <v>1</v>
      </c>
      <c r="E120">
        <v>0</v>
      </c>
      <c r="G120" s="1">
        <v>0</v>
      </c>
      <c r="H120">
        <v>0</v>
      </c>
      <c r="I120">
        <v>0.5</v>
      </c>
      <c r="J120">
        <v>1</v>
      </c>
      <c r="K120">
        <v>1</v>
      </c>
      <c r="L120">
        <f t="shared" si="4"/>
        <v>2</v>
      </c>
      <c r="M120">
        <v>0</v>
      </c>
      <c r="N120">
        <v>0</v>
      </c>
      <c r="O120">
        <v>2</v>
      </c>
      <c r="P120" s="1">
        <f t="shared" si="5"/>
        <v>0</v>
      </c>
      <c r="Q120">
        <f t="shared" si="6"/>
        <v>2</v>
      </c>
      <c r="R120" s="1">
        <f t="shared" si="7"/>
        <v>0</v>
      </c>
    </row>
    <row r="121" spans="1:18" hidden="1" x14ac:dyDescent="0.3">
      <c r="A121" t="s">
        <v>3741</v>
      </c>
      <c r="B121" t="s">
        <v>3742</v>
      </c>
      <c r="C121" t="s">
        <v>47</v>
      </c>
      <c r="D121">
        <v>1</v>
      </c>
      <c r="E121">
        <v>0</v>
      </c>
      <c r="G121" s="1">
        <v>0</v>
      </c>
      <c r="H121">
        <v>0</v>
      </c>
      <c r="I121">
        <v>0.5</v>
      </c>
      <c r="J121">
        <v>1</v>
      </c>
      <c r="K121">
        <v>1</v>
      </c>
      <c r="L121">
        <f t="shared" si="4"/>
        <v>2</v>
      </c>
      <c r="M121">
        <v>0</v>
      </c>
      <c r="N121">
        <v>0</v>
      </c>
      <c r="O121">
        <v>2</v>
      </c>
      <c r="P121" s="1">
        <f t="shared" si="5"/>
        <v>0</v>
      </c>
      <c r="Q121">
        <f t="shared" si="6"/>
        <v>2</v>
      </c>
      <c r="R121" s="1">
        <f t="shared" si="7"/>
        <v>0</v>
      </c>
    </row>
    <row r="122" spans="1:18" hidden="1" x14ac:dyDescent="0.3">
      <c r="A122" t="s">
        <v>3743</v>
      </c>
      <c r="B122" t="s">
        <v>3744</v>
      </c>
      <c r="C122" t="s">
        <v>47</v>
      </c>
      <c r="D122">
        <v>1</v>
      </c>
      <c r="E122">
        <v>0</v>
      </c>
      <c r="G122" s="1">
        <v>0</v>
      </c>
      <c r="H122">
        <v>0</v>
      </c>
      <c r="I122">
        <v>0.5</v>
      </c>
      <c r="J122">
        <v>1</v>
      </c>
      <c r="K122">
        <v>1</v>
      </c>
      <c r="L122">
        <f t="shared" si="4"/>
        <v>2</v>
      </c>
      <c r="M122">
        <v>0</v>
      </c>
      <c r="N122">
        <v>0</v>
      </c>
      <c r="O122">
        <v>2</v>
      </c>
      <c r="P122" s="1">
        <f t="shared" si="5"/>
        <v>0</v>
      </c>
      <c r="Q122">
        <f t="shared" si="6"/>
        <v>2</v>
      </c>
      <c r="R122" s="1">
        <f t="shared" si="7"/>
        <v>0</v>
      </c>
    </row>
    <row r="123" spans="1:18" hidden="1" x14ac:dyDescent="0.3">
      <c r="A123" t="s">
        <v>3745</v>
      </c>
      <c r="B123" t="s">
        <v>3746</v>
      </c>
      <c r="C123" t="s">
        <v>47</v>
      </c>
      <c r="D123">
        <v>1</v>
      </c>
      <c r="E123">
        <v>0</v>
      </c>
      <c r="G123" s="1">
        <v>0</v>
      </c>
      <c r="H123">
        <v>0</v>
      </c>
      <c r="I123">
        <v>0.5</v>
      </c>
      <c r="J123">
        <v>1</v>
      </c>
      <c r="K123">
        <v>1</v>
      </c>
      <c r="L123">
        <f t="shared" si="4"/>
        <v>2</v>
      </c>
      <c r="M123">
        <v>0</v>
      </c>
      <c r="N123">
        <v>0</v>
      </c>
      <c r="O123">
        <v>2</v>
      </c>
      <c r="P123" s="1">
        <f t="shared" si="5"/>
        <v>0</v>
      </c>
      <c r="Q123">
        <f t="shared" si="6"/>
        <v>2</v>
      </c>
      <c r="R123" s="1">
        <f t="shared" si="7"/>
        <v>0</v>
      </c>
    </row>
    <row r="124" spans="1:18" hidden="1" x14ac:dyDescent="0.3">
      <c r="A124" t="s">
        <v>3747</v>
      </c>
      <c r="B124" t="s">
        <v>3748</v>
      </c>
      <c r="C124" t="s">
        <v>47</v>
      </c>
      <c r="D124">
        <v>1</v>
      </c>
      <c r="E124">
        <v>0</v>
      </c>
      <c r="F124" t="s">
        <v>3749</v>
      </c>
      <c r="G124" s="1">
        <v>6200</v>
      </c>
      <c r="H124">
        <v>0</v>
      </c>
      <c r="I124">
        <v>0.6</v>
      </c>
      <c r="J124">
        <v>1</v>
      </c>
      <c r="K124">
        <v>1</v>
      </c>
      <c r="L124">
        <f t="shared" si="4"/>
        <v>2</v>
      </c>
      <c r="M124">
        <v>0</v>
      </c>
      <c r="N124">
        <v>0</v>
      </c>
      <c r="O124">
        <v>3</v>
      </c>
      <c r="P124" s="1">
        <f t="shared" si="5"/>
        <v>0</v>
      </c>
      <c r="Q124">
        <f t="shared" si="6"/>
        <v>3</v>
      </c>
      <c r="R124" s="1">
        <f t="shared" si="7"/>
        <v>18600</v>
      </c>
    </row>
    <row r="125" spans="1:18" hidden="1" x14ac:dyDescent="0.3">
      <c r="A125" t="s">
        <v>3750</v>
      </c>
      <c r="B125" t="s">
        <v>3751</v>
      </c>
      <c r="C125" t="s">
        <v>47</v>
      </c>
      <c r="D125">
        <v>1</v>
      </c>
      <c r="E125">
        <v>0</v>
      </c>
      <c r="G125" s="1">
        <v>0</v>
      </c>
      <c r="H125">
        <v>0</v>
      </c>
      <c r="I125">
        <v>0.5</v>
      </c>
      <c r="J125">
        <v>1</v>
      </c>
      <c r="K125">
        <v>1</v>
      </c>
      <c r="L125">
        <f t="shared" si="4"/>
        <v>2</v>
      </c>
      <c r="M125">
        <v>0</v>
      </c>
      <c r="N125">
        <v>0</v>
      </c>
      <c r="O125">
        <v>2</v>
      </c>
      <c r="P125" s="1">
        <f t="shared" si="5"/>
        <v>0</v>
      </c>
      <c r="Q125">
        <f t="shared" si="6"/>
        <v>2</v>
      </c>
      <c r="R125" s="1">
        <f t="shared" si="7"/>
        <v>0</v>
      </c>
    </row>
    <row r="126" spans="1:18" hidden="1" x14ac:dyDescent="0.3">
      <c r="A126" t="s">
        <v>3752</v>
      </c>
      <c r="B126" t="s">
        <v>3753</v>
      </c>
      <c r="C126" t="s">
        <v>47</v>
      </c>
      <c r="D126">
        <v>1</v>
      </c>
      <c r="E126">
        <v>0</v>
      </c>
      <c r="G126" s="1">
        <v>0</v>
      </c>
      <c r="H126">
        <v>0</v>
      </c>
      <c r="I126">
        <v>0.5</v>
      </c>
      <c r="J126">
        <v>1</v>
      </c>
      <c r="K126">
        <v>1</v>
      </c>
      <c r="L126">
        <f t="shared" si="4"/>
        <v>2</v>
      </c>
      <c r="M126">
        <v>0</v>
      </c>
      <c r="N126">
        <v>0</v>
      </c>
      <c r="O126">
        <v>2</v>
      </c>
      <c r="P126" s="1">
        <f t="shared" si="5"/>
        <v>0</v>
      </c>
      <c r="Q126">
        <f t="shared" si="6"/>
        <v>2</v>
      </c>
      <c r="R126" s="1">
        <f t="shared" si="7"/>
        <v>0</v>
      </c>
    </row>
    <row r="127" spans="1:18" hidden="1" x14ac:dyDescent="0.3">
      <c r="A127" t="s">
        <v>3754</v>
      </c>
      <c r="B127" t="s">
        <v>3755</v>
      </c>
      <c r="C127" t="s">
        <v>47</v>
      </c>
      <c r="D127">
        <v>2</v>
      </c>
      <c r="E127">
        <v>4</v>
      </c>
      <c r="F127" t="s">
        <v>3541</v>
      </c>
      <c r="G127" s="1">
        <v>232.51</v>
      </c>
      <c r="H127">
        <v>0</v>
      </c>
      <c r="I127">
        <v>0.5</v>
      </c>
      <c r="J127">
        <v>2</v>
      </c>
      <c r="K127">
        <v>1</v>
      </c>
      <c r="L127">
        <f t="shared" si="4"/>
        <v>2</v>
      </c>
      <c r="M127">
        <v>0</v>
      </c>
      <c r="N127">
        <v>0</v>
      </c>
      <c r="O127">
        <v>5</v>
      </c>
      <c r="P127" s="1">
        <f t="shared" si="5"/>
        <v>0</v>
      </c>
      <c r="Q127">
        <f t="shared" si="6"/>
        <v>5</v>
      </c>
      <c r="R127" s="1">
        <f t="shared" si="7"/>
        <v>1162.55</v>
      </c>
    </row>
    <row r="128" spans="1:18" hidden="1" x14ac:dyDescent="0.3">
      <c r="A128" t="s">
        <v>3756</v>
      </c>
      <c r="B128" t="s">
        <v>3757</v>
      </c>
      <c r="C128" t="s">
        <v>47</v>
      </c>
      <c r="D128">
        <v>1</v>
      </c>
      <c r="E128">
        <v>1</v>
      </c>
      <c r="F128" t="s">
        <v>3758</v>
      </c>
      <c r="G128" s="1">
        <v>1388.54</v>
      </c>
      <c r="H128">
        <v>0</v>
      </c>
      <c r="I128">
        <v>0.5</v>
      </c>
      <c r="J128">
        <v>1</v>
      </c>
      <c r="K128">
        <v>1</v>
      </c>
      <c r="L128">
        <f t="shared" si="4"/>
        <v>2</v>
      </c>
      <c r="M128">
        <v>0</v>
      </c>
      <c r="N128">
        <v>0</v>
      </c>
      <c r="O128">
        <v>2</v>
      </c>
      <c r="P128" s="1">
        <f t="shared" si="5"/>
        <v>0</v>
      </c>
      <c r="Q128">
        <f t="shared" si="6"/>
        <v>2</v>
      </c>
      <c r="R128" s="1">
        <f t="shared" si="7"/>
        <v>2777.08</v>
      </c>
    </row>
    <row r="129" spans="1:18" hidden="1" x14ac:dyDescent="0.3">
      <c r="A129" t="s">
        <v>3759</v>
      </c>
      <c r="B129" t="s">
        <v>3760</v>
      </c>
      <c r="C129" t="s">
        <v>47</v>
      </c>
      <c r="D129">
        <v>1</v>
      </c>
      <c r="E129">
        <v>0</v>
      </c>
      <c r="G129" s="1">
        <v>0</v>
      </c>
      <c r="H129">
        <v>0</v>
      </c>
      <c r="I129">
        <v>0.5</v>
      </c>
      <c r="J129">
        <v>1</v>
      </c>
      <c r="K129">
        <v>1</v>
      </c>
      <c r="L129">
        <f t="shared" si="4"/>
        <v>2</v>
      </c>
      <c r="M129">
        <v>0</v>
      </c>
      <c r="N129">
        <v>0</v>
      </c>
      <c r="O129">
        <v>2</v>
      </c>
      <c r="P129" s="1">
        <f t="shared" si="5"/>
        <v>0</v>
      </c>
      <c r="Q129">
        <f t="shared" si="6"/>
        <v>2</v>
      </c>
      <c r="R129" s="1">
        <f t="shared" si="7"/>
        <v>0</v>
      </c>
    </row>
    <row r="130" spans="1:18" hidden="1" x14ac:dyDescent="0.3">
      <c r="A130" t="s">
        <v>3761</v>
      </c>
      <c r="B130" t="s">
        <v>3762</v>
      </c>
      <c r="C130" t="s">
        <v>47</v>
      </c>
      <c r="D130">
        <v>1</v>
      </c>
      <c r="E130">
        <v>0</v>
      </c>
      <c r="G130" s="1">
        <v>0</v>
      </c>
      <c r="H130">
        <v>0</v>
      </c>
      <c r="I130">
        <v>0.5</v>
      </c>
      <c r="J130">
        <v>1</v>
      </c>
      <c r="K130">
        <v>1</v>
      </c>
      <c r="L130">
        <f t="shared" ref="L130:L193" si="8">ROUNDUP((J130*I130)+K130,0)</f>
        <v>2</v>
      </c>
      <c r="M130">
        <v>0</v>
      </c>
      <c r="N130">
        <v>0</v>
      </c>
      <c r="O130">
        <v>2</v>
      </c>
      <c r="P130" s="1">
        <f t="shared" ref="P130:P193" si="9">IFERROR(M130*G130,0)</f>
        <v>0</v>
      </c>
      <c r="Q130">
        <f t="shared" ref="Q130:Q193" si="10">IF(O130-M130-N130&gt;0,O130-M130-N130,0)</f>
        <v>2</v>
      </c>
      <c r="R130" s="1">
        <f t="shared" ref="R130:R193" si="11">IFERROR(Q130*G130,0)</f>
        <v>0</v>
      </c>
    </row>
    <row r="131" spans="1:18" hidden="1" x14ac:dyDescent="0.3">
      <c r="A131" t="s">
        <v>3763</v>
      </c>
      <c r="B131" t="s">
        <v>3764</v>
      </c>
      <c r="C131" t="s">
        <v>47</v>
      </c>
      <c r="D131">
        <v>1</v>
      </c>
      <c r="E131">
        <v>0</v>
      </c>
      <c r="F131" t="s">
        <v>2757</v>
      </c>
      <c r="G131" s="1">
        <v>0</v>
      </c>
      <c r="H131">
        <v>0</v>
      </c>
      <c r="I131">
        <v>2.7</v>
      </c>
      <c r="J131">
        <v>1</v>
      </c>
      <c r="K131">
        <v>3</v>
      </c>
      <c r="L131">
        <f t="shared" si="8"/>
        <v>6</v>
      </c>
      <c r="M131">
        <v>0</v>
      </c>
      <c r="N131">
        <v>0</v>
      </c>
      <c r="O131">
        <v>5</v>
      </c>
      <c r="P131" s="1">
        <f t="shared" si="9"/>
        <v>0</v>
      </c>
      <c r="Q131">
        <f t="shared" si="10"/>
        <v>5</v>
      </c>
      <c r="R131" s="1">
        <f t="shared" si="11"/>
        <v>0</v>
      </c>
    </row>
    <row r="132" spans="1:18" hidden="1" x14ac:dyDescent="0.3">
      <c r="A132" t="s">
        <v>3765</v>
      </c>
      <c r="B132" t="s">
        <v>3766</v>
      </c>
      <c r="C132" t="s">
        <v>47</v>
      </c>
      <c r="D132">
        <v>1</v>
      </c>
      <c r="E132">
        <v>1</v>
      </c>
      <c r="F132" t="s">
        <v>3541</v>
      </c>
      <c r="G132" s="1">
        <v>83.2</v>
      </c>
      <c r="H132">
        <v>0</v>
      </c>
      <c r="I132">
        <v>2</v>
      </c>
      <c r="J132">
        <v>1</v>
      </c>
      <c r="K132">
        <v>2</v>
      </c>
      <c r="L132">
        <f t="shared" si="8"/>
        <v>4</v>
      </c>
      <c r="M132">
        <v>0</v>
      </c>
      <c r="N132">
        <v>0</v>
      </c>
      <c r="O132">
        <v>4</v>
      </c>
      <c r="P132" s="1">
        <f t="shared" si="9"/>
        <v>0</v>
      </c>
      <c r="Q132">
        <f t="shared" si="10"/>
        <v>4</v>
      </c>
      <c r="R132" s="1">
        <f t="shared" si="11"/>
        <v>332.8</v>
      </c>
    </row>
    <row r="133" spans="1:18" hidden="1" x14ac:dyDescent="0.3">
      <c r="A133" t="s">
        <v>3767</v>
      </c>
      <c r="B133" t="s">
        <v>3768</v>
      </c>
      <c r="C133" t="s">
        <v>47</v>
      </c>
      <c r="D133">
        <v>1</v>
      </c>
      <c r="E133">
        <v>0</v>
      </c>
      <c r="G133" s="1">
        <v>0</v>
      </c>
      <c r="H133">
        <v>0</v>
      </c>
      <c r="I133">
        <v>0.5</v>
      </c>
      <c r="J133">
        <v>1</v>
      </c>
      <c r="K133">
        <v>1</v>
      </c>
      <c r="L133">
        <f t="shared" si="8"/>
        <v>2</v>
      </c>
      <c r="M133">
        <v>0</v>
      </c>
      <c r="N133">
        <v>0</v>
      </c>
      <c r="O133">
        <v>2</v>
      </c>
      <c r="P133" s="1">
        <f t="shared" si="9"/>
        <v>0</v>
      </c>
      <c r="Q133">
        <f t="shared" si="10"/>
        <v>2</v>
      </c>
      <c r="R133" s="1">
        <f t="shared" si="11"/>
        <v>0</v>
      </c>
    </row>
    <row r="134" spans="1:18" hidden="1" x14ac:dyDescent="0.3">
      <c r="A134" t="s">
        <v>3769</v>
      </c>
      <c r="B134" t="s">
        <v>3770</v>
      </c>
      <c r="C134" t="s">
        <v>47</v>
      </c>
      <c r="D134">
        <v>2</v>
      </c>
      <c r="E134">
        <v>5</v>
      </c>
      <c r="F134" t="s">
        <v>654</v>
      </c>
      <c r="G134" s="1">
        <v>11439</v>
      </c>
      <c r="H134">
        <v>2</v>
      </c>
      <c r="I134">
        <v>0.6</v>
      </c>
      <c r="J134">
        <v>2.5</v>
      </c>
      <c r="K134">
        <v>2</v>
      </c>
      <c r="L134">
        <f t="shared" si="8"/>
        <v>4</v>
      </c>
      <c r="M134">
        <v>0</v>
      </c>
      <c r="N134">
        <v>0</v>
      </c>
      <c r="O134">
        <v>7</v>
      </c>
      <c r="P134" s="1">
        <f t="shared" si="9"/>
        <v>0</v>
      </c>
      <c r="Q134">
        <f t="shared" si="10"/>
        <v>7</v>
      </c>
      <c r="R134" s="1">
        <f t="shared" si="11"/>
        <v>80073</v>
      </c>
    </row>
    <row r="135" spans="1:18" hidden="1" x14ac:dyDescent="0.3">
      <c r="A135" t="s">
        <v>3771</v>
      </c>
      <c r="B135" t="s">
        <v>3772</v>
      </c>
      <c r="C135" t="s">
        <v>47</v>
      </c>
      <c r="D135">
        <v>1</v>
      </c>
      <c r="E135">
        <v>0</v>
      </c>
      <c r="G135" s="1">
        <v>0</v>
      </c>
      <c r="H135">
        <v>0</v>
      </c>
      <c r="I135">
        <v>0.5</v>
      </c>
      <c r="J135">
        <v>1</v>
      </c>
      <c r="K135">
        <v>1</v>
      </c>
      <c r="L135">
        <f t="shared" si="8"/>
        <v>2</v>
      </c>
      <c r="M135">
        <v>0</v>
      </c>
      <c r="N135">
        <v>0</v>
      </c>
      <c r="O135">
        <v>2</v>
      </c>
      <c r="P135" s="1">
        <f t="shared" si="9"/>
        <v>0</v>
      </c>
      <c r="Q135">
        <f t="shared" si="10"/>
        <v>2</v>
      </c>
      <c r="R135" s="1">
        <f t="shared" si="11"/>
        <v>0</v>
      </c>
    </row>
    <row r="136" spans="1:18" hidden="1" x14ac:dyDescent="0.3">
      <c r="A136" t="s">
        <v>3773</v>
      </c>
      <c r="B136" t="s">
        <v>3774</v>
      </c>
      <c r="C136" t="s">
        <v>47</v>
      </c>
      <c r="D136">
        <v>1</v>
      </c>
      <c r="E136">
        <v>0</v>
      </c>
      <c r="G136" s="1">
        <v>0</v>
      </c>
      <c r="H136">
        <v>0</v>
      </c>
      <c r="I136">
        <v>0.5</v>
      </c>
      <c r="J136">
        <v>1</v>
      </c>
      <c r="K136">
        <v>1</v>
      </c>
      <c r="L136">
        <f t="shared" si="8"/>
        <v>2</v>
      </c>
      <c r="M136">
        <v>0</v>
      </c>
      <c r="N136">
        <v>0</v>
      </c>
      <c r="O136">
        <v>2</v>
      </c>
      <c r="P136" s="1">
        <f t="shared" si="9"/>
        <v>0</v>
      </c>
      <c r="Q136">
        <f t="shared" si="10"/>
        <v>2</v>
      </c>
      <c r="R136" s="1">
        <f t="shared" si="11"/>
        <v>0</v>
      </c>
    </row>
    <row r="137" spans="1:18" hidden="1" x14ac:dyDescent="0.3">
      <c r="A137" t="s">
        <v>3775</v>
      </c>
      <c r="B137" t="s">
        <v>3776</v>
      </c>
      <c r="C137" t="s">
        <v>47</v>
      </c>
      <c r="D137">
        <v>1</v>
      </c>
      <c r="E137">
        <v>0</v>
      </c>
      <c r="G137" s="1">
        <v>0</v>
      </c>
      <c r="H137">
        <v>0</v>
      </c>
      <c r="I137">
        <v>0.5</v>
      </c>
      <c r="J137">
        <v>1</v>
      </c>
      <c r="K137">
        <v>1</v>
      </c>
      <c r="L137">
        <f t="shared" si="8"/>
        <v>2</v>
      </c>
      <c r="M137">
        <v>0</v>
      </c>
      <c r="N137">
        <v>0</v>
      </c>
      <c r="O137">
        <v>2</v>
      </c>
      <c r="P137" s="1">
        <f t="shared" si="9"/>
        <v>0</v>
      </c>
      <c r="Q137">
        <f t="shared" si="10"/>
        <v>2</v>
      </c>
      <c r="R137" s="1">
        <f t="shared" si="11"/>
        <v>0</v>
      </c>
    </row>
    <row r="138" spans="1:18" hidden="1" x14ac:dyDescent="0.3">
      <c r="A138" t="s">
        <v>3777</v>
      </c>
      <c r="B138" t="s">
        <v>3778</v>
      </c>
      <c r="C138" t="s">
        <v>47</v>
      </c>
      <c r="D138">
        <v>1</v>
      </c>
      <c r="E138">
        <v>0</v>
      </c>
      <c r="F138" t="s">
        <v>2757</v>
      </c>
      <c r="G138" s="1">
        <v>0</v>
      </c>
      <c r="H138">
        <v>0</v>
      </c>
      <c r="I138">
        <v>2</v>
      </c>
      <c r="J138">
        <v>1</v>
      </c>
      <c r="K138">
        <v>2</v>
      </c>
      <c r="L138">
        <f t="shared" si="8"/>
        <v>4</v>
      </c>
      <c r="M138">
        <v>0</v>
      </c>
      <c r="N138">
        <v>30</v>
      </c>
      <c r="O138">
        <v>4</v>
      </c>
      <c r="P138" s="1">
        <f t="shared" si="9"/>
        <v>0</v>
      </c>
      <c r="Q138">
        <f t="shared" si="10"/>
        <v>0</v>
      </c>
      <c r="R138" s="1">
        <f t="shared" si="11"/>
        <v>0</v>
      </c>
    </row>
    <row r="139" spans="1:18" hidden="1" x14ac:dyDescent="0.3">
      <c r="A139" t="s">
        <v>3779</v>
      </c>
      <c r="B139" t="s">
        <v>3780</v>
      </c>
      <c r="C139" t="s">
        <v>47</v>
      </c>
      <c r="D139">
        <v>12</v>
      </c>
      <c r="E139">
        <v>8</v>
      </c>
      <c r="F139" t="s">
        <v>3541</v>
      </c>
      <c r="G139" s="1">
        <v>243.11</v>
      </c>
      <c r="H139">
        <v>0</v>
      </c>
      <c r="I139">
        <v>0.7</v>
      </c>
      <c r="J139">
        <v>1</v>
      </c>
      <c r="K139">
        <v>1</v>
      </c>
      <c r="L139">
        <f t="shared" si="8"/>
        <v>2</v>
      </c>
      <c r="M139">
        <v>0</v>
      </c>
      <c r="N139">
        <v>0</v>
      </c>
      <c r="O139">
        <v>3</v>
      </c>
      <c r="P139" s="1">
        <f t="shared" si="9"/>
        <v>0</v>
      </c>
      <c r="Q139">
        <f t="shared" si="10"/>
        <v>3</v>
      </c>
      <c r="R139" s="1">
        <f t="shared" si="11"/>
        <v>729.33</v>
      </c>
    </row>
    <row r="140" spans="1:18" hidden="1" x14ac:dyDescent="0.3">
      <c r="A140" t="s">
        <v>3781</v>
      </c>
      <c r="B140" t="s">
        <v>3782</v>
      </c>
      <c r="C140" t="s">
        <v>47</v>
      </c>
      <c r="D140">
        <v>1</v>
      </c>
      <c r="E140">
        <v>0</v>
      </c>
      <c r="G140" s="1">
        <v>0</v>
      </c>
      <c r="H140">
        <v>0</v>
      </c>
      <c r="I140">
        <v>0.5</v>
      </c>
      <c r="J140">
        <v>1</v>
      </c>
      <c r="K140">
        <v>1</v>
      </c>
      <c r="L140">
        <f t="shared" si="8"/>
        <v>2</v>
      </c>
      <c r="M140">
        <v>0</v>
      </c>
      <c r="N140">
        <v>0</v>
      </c>
      <c r="O140">
        <v>2</v>
      </c>
      <c r="P140" s="1">
        <f t="shared" si="9"/>
        <v>0</v>
      </c>
      <c r="Q140">
        <f t="shared" si="10"/>
        <v>2</v>
      </c>
      <c r="R140" s="1">
        <f t="shared" si="11"/>
        <v>0</v>
      </c>
    </row>
    <row r="141" spans="1:18" hidden="1" x14ac:dyDescent="0.3">
      <c r="A141" t="s">
        <v>3783</v>
      </c>
      <c r="B141" t="s">
        <v>3784</v>
      </c>
      <c r="C141" t="s">
        <v>47</v>
      </c>
      <c r="D141">
        <v>1</v>
      </c>
      <c r="E141">
        <v>0</v>
      </c>
      <c r="G141" s="1">
        <v>0</v>
      </c>
      <c r="H141">
        <v>0</v>
      </c>
      <c r="I141">
        <v>0.5</v>
      </c>
      <c r="J141">
        <v>1</v>
      </c>
      <c r="K141">
        <v>1</v>
      </c>
      <c r="L141">
        <f t="shared" si="8"/>
        <v>2</v>
      </c>
      <c r="M141">
        <v>0</v>
      </c>
      <c r="N141">
        <v>0</v>
      </c>
      <c r="O141">
        <v>2</v>
      </c>
      <c r="P141" s="1">
        <f t="shared" si="9"/>
        <v>0</v>
      </c>
      <c r="Q141">
        <f t="shared" si="10"/>
        <v>2</v>
      </c>
      <c r="R141" s="1">
        <f t="shared" si="11"/>
        <v>0</v>
      </c>
    </row>
    <row r="142" spans="1:18" hidden="1" x14ac:dyDescent="0.3">
      <c r="A142" t="s">
        <v>3785</v>
      </c>
      <c r="B142" t="s">
        <v>3786</v>
      </c>
      <c r="C142" t="s">
        <v>47</v>
      </c>
      <c r="D142">
        <v>1</v>
      </c>
      <c r="E142">
        <v>0</v>
      </c>
      <c r="F142" t="s">
        <v>2757</v>
      </c>
      <c r="G142" s="1">
        <v>0</v>
      </c>
      <c r="H142">
        <v>0</v>
      </c>
      <c r="I142">
        <v>2.7</v>
      </c>
      <c r="J142">
        <v>1</v>
      </c>
      <c r="K142">
        <v>3</v>
      </c>
      <c r="L142">
        <f t="shared" si="8"/>
        <v>6</v>
      </c>
      <c r="M142">
        <v>0</v>
      </c>
      <c r="N142">
        <v>0</v>
      </c>
      <c r="O142">
        <v>5</v>
      </c>
      <c r="P142" s="1">
        <f t="shared" si="9"/>
        <v>0</v>
      </c>
      <c r="Q142">
        <f t="shared" si="10"/>
        <v>5</v>
      </c>
      <c r="R142" s="1">
        <f t="shared" si="11"/>
        <v>0</v>
      </c>
    </row>
    <row r="143" spans="1:18" hidden="1" x14ac:dyDescent="0.3">
      <c r="A143" t="s">
        <v>3787</v>
      </c>
      <c r="B143" t="s">
        <v>3788</v>
      </c>
      <c r="C143" t="s">
        <v>47</v>
      </c>
      <c r="D143">
        <v>1</v>
      </c>
      <c r="E143">
        <v>0</v>
      </c>
      <c r="G143" s="1">
        <v>0</v>
      </c>
      <c r="H143">
        <v>0</v>
      </c>
      <c r="I143">
        <v>0.5</v>
      </c>
      <c r="J143">
        <v>1</v>
      </c>
      <c r="K143">
        <v>1</v>
      </c>
      <c r="L143">
        <f t="shared" si="8"/>
        <v>2</v>
      </c>
      <c r="M143">
        <v>0</v>
      </c>
      <c r="N143">
        <v>0</v>
      </c>
      <c r="O143">
        <v>2</v>
      </c>
      <c r="P143" s="1">
        <f t="shared" si="9"/>
        <v>0</v>
      </c>
      <c r="Q143">
        <f t="shared" si="10"/>
        <v>2</v>
      </c>
      <c r="R143" s="1">
        <f t="shared" si="11"/>
        <v>0</v>
      </c>
    </row>
    <row r="144" spans="1:18" hidden="1" x14ac:dyDescent="0.3">
      <c r="A144" t="s">
        <v>3789</v>
      </c>
      <c r="B144" t="s">
        <v>3790</v>
      </c>
      <c r="C144" t="s">
        <v>47</v>
      </c>
      <c r="D144">
        <v>1</v>
      </c>
      <c r="E144">
        <v>2</v>
      </c>
      <c r="F144" t="s">
        <v>654</v>
      </c>
      <c r="G144" s="1">
        <v>8185</v>
      </c>
      <c r="H144">
        <v>0</v>
      </c>
      <c r="I144">
        <v>0.5</v>
      </c>
      <c r="J144">
        <v>2</v>
      </c>
      <c r="K144">
        <v>1</v>
      </c>
      <c r="L144">
        <f t="shared" si="8"/>
        <v>2</v>
      </c>
      <c r="M144">
        <v>0</v>
      </c>
      <c r="N144">
        <v>0</v>
      </c>
      <c r="O144">
        <v>5</v>
      </c>
      <c r="P144" s="1">
        <f t="shared" si="9"/>
        <v>0</v>
      </c>
      <c r="Q144">
        <f t="shared" si="10"/>
        <v>5</v>
      </c>
      <c r="R144" s="1">
        <f t="shared" si="11"/>
        <v>40925</v>
      </c>
    </row>
    <row r="145" spans="1:18" hidden="1" x14ac:dyDescent="0.3">
      <c r="A145" t="s">
        <v>3791</v>
      </c>
      <c r="B145" t="s">
        <v>3792</v>
      </c>
      <c r="C145" t="s">
        <v>47</v>
      </c>
      <c r="D145">
        <v>1</v>
      </c>
      <c r="E145">
        <v>3</v>
      </c>
      <c r="F145" t="s">
        <v>3471</v>
      </c>
      <c r="G145" s="1">
        <v>7897.17</v>
      </c>
      <c r="H145">
        <v>0</v>
      </c>
      <c r="I145">
        <v>0.8</v>
      </c>
      <c r="J145">
        <v>3</v>
      </c>
      <c r="K145">
        <v>2</v>
      </c>
      <c r="L145">
        <f t="shared" si="8"/>
        <v>5</v>
      </c>
      <c r="M145">
        <v>0</v>
      </c>
      <c r="N145">
        <v>0</v>
      </c>
      <c r="O145">
        <v>8</v>
      </c>
      <c r="P145" s="1">
        <f t="shared" si="9"/>
        <v>0</v>
      </c>
      <c r="Q145">
        <f t="shared" si="10"/>
        <v>8</v>
      </c>
      <c r="R145" s="1">
        <f t="shared" si="11"/>
        <v>63177.36</v>
      </c>
    </row>
    <row r="146" spans="1:18" hidden="1" x14ac:dyDescent="0.3">
      <c r="A146" t="s">
        <v>3793</v>
      </c>
      <c r="B146" t="s">
        <v>3794</v>
      </c>
      <c r="C146" t="s">
        <v>47</v>
      </c>
      <c r="D146">
        <v>1</v>
      </c>
      <c r="E146">
        <v>0</v>
      </c>
      <c r="G146" s="1">
        <v>0</v>
      </c>
      <c r="H146">
        <v>0</v>
      </c>
      <c r="I146">
        <v>0.5</v>
      </c>
      <c r="J146">
        <v>1</v>
      </c>
      <c r="K146">
        <v>1</v>
      </c>
      <c r="L146">
        <f t="shared" si="8"/>
        <v>2</v>
      </c>
      <c r="M146">
        <v>0</v>
      </c>
      <c r="N146">
        <v>0</v>
      </c>
      <c r="O146">
        <v>2</v>
      </c>
      <c r="P146" s="1">
        <f t="shared" si="9"/>
        <v>0</v>
      </c>
      <c r="Q146">
        <f t="shared" si="10"/>
        <v>2</v>
      </c>
      <c r="R146" s="1">
        <f t="shared" si="11"/>
        <v>0</v>
      </c>
    </row>
    <row r="147" spans="1:18" hidden="1" x14ac:dyDescent="0.3">
      <c r="A147" t="s">
        <v>3795</v>
      </c>
      <c r="B147" t="s">
        <v>3796</v>
      </c>
      <c r="C147" t="s">
        <v>47</v>
      </c>
      <c r="D147">
        <v>1</v>
      </c>
      <c r="E147">
        <v>2</v>
      </c>
      <c r="F147" t="s">
        <v>3541</v>
      </c>
      <c r="G147" s="1">
        <v>220.95</v>
      </c>
      <c r="H147">
        <v>0</v>
      </c>
      <c r="I147">
        <v>0.7</v>
      </c>
      <c r="J147">
        <v>2</v>
      </c>
      <c r="K147">
        <v>1</v>
      </c>
      <c r="L147">
        <f t="shared" si="8"/>
        <v>3</v>
      </c>
      <c r="M147">
        <v>0</v>
      </c>
      <c r="N147">
        <v>0</v>
      </c>
      <c r="O147">
        <v>5</v>
      </c>
      <c r="P147" s="1">
        <f t="shared" si="9"/>
        <v>0</v>
      </c>
      <c r="Q147">
        <f t="shared" si="10"/>
        <v>5</v>
      </c>
      <c r="R147" s="1">
        <f t="shared" si="11"/>
        <v>1104.75</v>
      </c>
    </row>
    <row r="148" spans="1:18" hidden="1" x14ac:dyDescent="0.3">
      <c r="A148" t="s">
        <v>3797</v>
      </c>
      <c r="B148" t="s">
        <v>3798</v>
      </c>
      <c r="C148" t="s">
        <v>47</v>
      </c>
      <c r="D148">
        <v>1</v>
      </c>
      <c r="E148">
        <v>1</v>
      </c>
      <c r="F148" t="s">
        <v>3541</v>
      </c>
      <c r="G148" s="1">
        <v>309.08999999999997</v>
      </c>
      <c r="H148">
        <v>0</v>
      </c>
      <c r="I148">
        <v>0.5</v>
      </c>
      <c r="J148">
        <v>1</v>
      </c>
      <c r="K148">
        <v>1</v>
      </c>
      <c r="L148">
        <f t="shared" si="8"/>
        <v>2</v>
      </c>
      <c r="M148">
        <v>0</v>
      </c>
      <c r="N148">
        <v>0</v>
      </c>
      <c r="O148">
        <v>2</v>
      </c>
      <c r="P148" s="1">
        <f t="shared" si="9"/>
        <v>0</v>
      </c>
      <c r="Q148">
        <f t="shared" si="10"/>
        <v>2</v>
      </c>
      <c r="R148" s="1">
        <f t="shared" si="11"/>
        <v>618.17999999999995</v>
      </c>
    </row>
    <row r="149" spans="1:18" hidden="1" x14ac:dyDescent="0.3">
      <c r="A149" t="s">
        <v>3799</v>
      </c>
      <c r="B149" t="s">
        <v>3800</v>
      </c>
      <c r="C149" t="s">
        <v>47</v>
      </c>
      <c r="D149">
        <v>1</v>
      </c>
      <c r="E149">
        <v>1</v>
      </c>
      <c r="F149" t="s">
        <v>3758</v>
      </c>
      <c r="G149" s="1">
        <v>252.53</v>
      </c>
      <c r="H149">
        <v>0</v>
      </c>
      <c r="I149">
        <v>0.5</v>
      </c>
      <c r="J149">
        <v>1</v>
      </c>
      <c r="K149">
        <v>1</v>
      </c>
      <c r="L149">
        <f t="shared" si="8"/>
        <v>2</v>
      </c>
      <c r="M149">
        <v>0</v>
      </c>
      <c r="N149">
        <v>0</v>
      </c>
      <c r="O149">
        <v>2</v>
      </c>
      <c r="P149" s="1">
        <f t="shared" si="9"/>
        <v>0</v>
      </c>
      <c r="Q149">
        <f t="shared" si="10"/>
        <v>2</v>
      </c>
      <c r="R149" s="1">
        <f t="shared" si="11"/>
        <v>505.06</v>
      </c>
    </row>
    <row r="150" spans="1:18" hidden="1" x14ac:dyDescent="0.3">
      <c r="A150" t="s">
        <v>3801</v>
      </c>
      <c r="B150" t="s">
        <v>3802</v>
      </c>
      <c r="C150" t="s">
        <v>47</v>
      </c>
      <c r="D150">
        <v>1</v>
      </c>
      <c r="E150">
        <v>0</v>
      </c>
      <c r="G150" s="1">
        <v>0</v>
      </c>
      <c r="H150">
        <v>0</v>
      </c>
      <c r="I150">
        <v>0.5</v>
      </c>
      <c r="J150">
        <v>1</v>
      </c>
      <c r="K150">
        <v>1</v>
      </c>
      <c r="L150">
        <f t="shared" si="8"/>
        <v>2</v>
      </c>
      <c r="M150">
        <v>0</v>
      </c>
      <c r="N150">
        <v>0</v>
      </c>
      <c r="O150">
        <v>2</v>
      </c>
      <c r="P150" s="1">
        <f t="shared" si="9"/>
        <v>0</v>
      </c>
      <c r="Q150">
        <f t="shared" si="10"/>
        <v>2</v>
      </c>
      <c r="R150" s="1">
        <f t="shared" si="11"/>
        <v>0</v>
      </c>
    </row>
    <row r="151" spans="1:18" hidden="1" x14ac:dyDescent="0.3">
      <c r="A151" t="s">
        <v>3803</v>
      </c>
      <c r="B151" t="s">
        <v>3804</v>
      </c>
      <c r="C151" t="s">
        <v>47</v>
      </c>
      <c r="D151">
        <v>1</v>
      </c>
      <c r="E151">
        <v>2</v>
      </c>
      <c r="F151" t="s">
        <v>3541</v>
      </c>
      <c r="G151" s="1">
        <v>62.04</v>
      </c>
      <c r="H151">
        <v>0</v>
      </c>
      <c r="I151">
        <v>0.5</v>
      </c>
      <c r="J151">
        <v>2</v>
      </c>
      <c r="K151">
        <v>1</v>
      </c>
      <c r="L151">
        <f t="shared" si="8"/>
        <v>2</v>
      </c>
      <c r="M151">
        <v>0</v>
      </c>
      <c r="N151">
        <v>0</v>
      </c>
      <c r="O151">
        <v>5</v>
      </c>
      <c r="P151" s="1">
        <f t="shared" si="9"/>
        <v>0</v>
      </c>
      <c r="Q151">
        <f t="shared" si="10"/>
        <v>5</v>
      </c>
      <c r="R151" s="1">
        <f t="shared" si="11"/>
        <v>310.2</v>
      </c>
    </row>
    <row r="152" spans="1:18" hidden="1" x14ac:dyDescent="0.3">
      <c r="A152" t="s">
        <v>3805</v>
      </c>
      <c r="B152" t="s">
        <v>3806</v>
      </c>
      <c r="C152" t="s">
        <v>47</v>
      </c>
      <c r="D152">
        <v>1</v>
      </c>
      <c r="E152">
        <v>0</v>
      </c>
      <c r="G152" s="1">
        <v>0</v>
      </c>
      <c r="H152">
        <v>0</v>
      </c>
      <c r="I152">
        <v>0.5</v>
      </c>
      <c r="J152">
        <v>1</v>
      </c>
      <c r="K152">
        <v>1</v>
      </c>
      <c r="L152">
        <f t="shared" si="8"/>
        <v>2</v>
      </c>
      <c r="M152">
        <v>0</v>
      </c>
      <c r="N152">
        <v>0</v>
      </c>
      <c r="O152">
        <v>2</v>
      </c>
      <c r="P152" s="1">
        <f t="shared" si="9"/>
        <v>0</v>
      </c>
      <c r="Q152">
        <f t="shared" si="10"/>
        <v>2</v>
      </c>
      <c r="R152" s="1">
        <f t="shared" si="11"/>
        <v>0</v>
      </c>
    </row>
    <row r="153" spans="1:18" hidden="1" x14ac:dyDescent="0.3">
      <c r="A153" t="s">
        <v>3807</v>
      </c>
      <c r="B153" t="s">
        <v>3808</v>
      </c>
      <c r="C153" t="s">
        <v>47</v>
      </c>
      <c r="D153">
        <v>1</v>
      </c>
      <c r="E153">
        <v>0</v>
      </c>
      <c r="G153" s="1">
        <v>0</v>
      </c>
      <c r="H153">
        <v>0</v>
      </c>
      <c r="I153">
        <v>0.5</v>
      </c>
      <c r="J153">
        <v>1</v>
      </c>
      <c r="K153">
        <v>1</v>
      </c>
      <c r="L153">
        <f t="shared" si="8"/>
        <v>2</v>
      </c>
      <c r="M153">
        <v>0</v>
      </c>
      <c r="N153">
        <v>0</v>
      </c>
      <c r="O153">
        <v>2</v>
      </c>
      <c r="P153" s="1">
        <f t="shared" si="9"/>
        <v>0</v>
      </c>
      <c r="Q153">
        <f t="shared" si="10"/>
        <v>2</v>
      </c>
      <c r="R153" s="1">
        <f t="shared" si="11"/>
        <v>0</v>
      </c>
    </row>
    <row r="154" spans="1:18" hidden="1" x14ac:dyDescent="0.3">
      <c r="A154" t="s">
        <v>3809</v>
      </c>
      <c r="B154" t="s">
        <v>3810</v>
      </c>
      <c r="C154" t="s">
        <v>47</v>
      </c>
      <c r="D154">
        <v>1</v>
      </c>
      <c r="E154">
        <v>0</v>
      </c>
      <c r="G154" s="1">
        <v>0</v>
      </c>
      <c r="H154">
        <v>0</v>
      </c>
      <c r="I154">
        <v>0.5</v>
      </c>
      <c r="J154">
        <v>1</v>
      </c>
      <c r="K154">
        <v>1</v>
      </c>
      <c r="L154">
        <f t="shared" si="8"/>
        <v>2</v>
      </c>
      <c r="M154">
        <v>0</v>
      </c>
      <c r="N154">
        <v>0</v>
      </c>
      <c r="O154">
        <v>2</v>
      </c>
      <c r="P154" s="1">
        <f t="shared" si="9"/>
        <v>0</v>
      </c>
      <c r="Q154">
        <f t="shared" si="10"/>
        <v>2</v>
      </c>
      <c r="R154" s="1">
        <f t="shared" si="11"/>
        <v>0</v>
      </c>
    </row>
    <row r="155" spans="1:18" hidden="1" x14ac:dyDescent="0.3">
      <c r="A155" t="s">
        <v>3811</v>
      </c>
      <c r="B155" t="s">
        <v>3812</v>
      </c>
      <c r="C155" t="s">
        <v>47</v>
      </c>
      <c r="D155">
        <v>1</v>
      </c>
      <c r="E155">
        <v>0</v>
      </c>
      <c r="G155" s="1">
        <v>0</v>
      </c>
      <c r="H155">
        <v>0</v>
      </c>
      <c r="I155">
        <v>0.5</v>
      </c>
      <c r="J155">
        <v>1</v>
      </c>
      <c r="K155">
        <v>1</v>
      </c>
      <c r="L155">
        <f t="shared" si="8"/>
        <v>2</v>
      </c>
      <c r="M155">
        <v>0</v>
      </c>
      <c r="N155">
        <v>0</v>
      </c>
      <c r="O155">
        <v>2</v>
      </c>
      <c r="P155" s="1">
        <f t="shared" si="9"/>
        <v>0</v>
      </c>
      <c r="Q155">
        <f t="shared" si="10"/>
        <v>2</v>
      </c>
      <c r="R155" s="1">
        <f t="shared" si="11"/>
        <v>0</v>
      </c>
    </row>
    <row r="156" spans="1:18" hidden="1" x14ac:dyDescent="0.3">
      <c r="A156" t="s">
        <v>3813</v>
      </c>
      <c r="B156" t="s">
        <v>3814</v>
      </c>
      <c r="C156" t="s">
        <v>47</v>
      </c>
      <c r="D156">
        <v>1</v>
      </c>
      <c r="E156">
        <v>0</v>
      </c>
      <c r="G156" s="1">
        <v>8325</v>
      </c>
      <c r="H156">
        <v>0</v>
      </c>
      <c r="I156">
        <v>0.5</v>
      </c>
      <c r="J156">
        <v>1</v>
      </c>
      <c r="K156">
        <v>1</v>
      </c>
      <c r="L156">
        <f t="shared" si="8"/>
        <v>2</v>
      </c>
      <c r="M156">
        <v>0</v>
      </c>
      <c r="N156">
        <v>0</v>
      </c>
      <c r="O156">
        <v>2</v>
      </c>
      <c r="P156" s="1">
        <f t="shared" si="9"/>
        <v>0</v>
      </c>
      <c r="Q156">
        <f t="shared" si="10"/>
        <v>2</v>
      </c>
      <c r="R156" s="1">
        <f t="shared" si="11"/>
        <v>16650</v>
      </c>
    </row>
    <row r="157" spans="1:18" hidden="1" x14ac:dyDescent="0.3">
      <c r="A157" t="s">
        <v>3815</v>
      </c>
      <c r="B157" t="s">
        <v>3816</v>
      </c>
      <c r="C157" t="s">
        <v>47</v>
      </c>
      <c r="D157">
        <v>1</v>
      </c>
      <c r="E157">
        <v>0</v>
      </c>
      <c r="G157" s="1">
        <v>0</v>
      </c>
      <c r="H157">
        <v>0</v>
      </c>
      <c r="I157">
        <v>0.5</v>
      </c>
      <c r="J157">
        <v>1</v>
      </c>
      <c r="K157">
        <v>1</v>
      </c>
      <c r="L157">
        <f t="shared" si="8"/>
        <v>2</v>
      </c>
      <c r="M157">
        <v>0</v>
      </c>
      <c r="N157">
        <v>0</v>
      </c>
      <c r="O157">
        <v>2</v>
      </c>
      <c r="P157" s="1">
        <f t="shared" si="9"/>
        <v>0</v>
      </c>
      <c r="Q157">
        <f t="shared" si="10"/>
        <v>2</v>
      </c>
      <c r="R157" s="1">
        <f t="shared" si="11"/>
        <v>0</v>
      </c>
    </row>
    <row r="158" spans="1:18" hidden="1" x14ac:dyDescent="0.3">
      <c r="A158" t="s">
        <v>3817</v>
      </c>
      <c r="B158" t="s">
        <v>3818</v>
      </c>
      <c r="C158" t="s">
        <v>47</v>
      </c>
      <c r="D158">
        <v>1</v>
      </c>
      <c r="E158">
        <v>0</v>
      </c>
      <c r="G158" s="1">
        <v>0</v>
      </c>
      <c r="H158">
        <v>0</v>
      </c>
      <c r="I158">
        <v>0.5</v>
      </c>
      <c r="J158">
        <v>1</v>
      </c>
      <c r="K158">
        <v>1</v>
      </c>
      <c r="L158">
        <f t="shared" si="8"/>
        <v>2</v>
      </c>
      <c r="M158">
        <v>0</v>
      </c>
      <c r="N158">
        <v>0</v>
      </c>
      <c r="O158">
        <v>2</v>
      </c>
      <c r="P158" s="1">
        <f t="shared" si="9"/>
        <v>0</v>
      </c>
      <c r="Q158">
        <f t="shared" si="10"/>
        <v>2</v>
      </c>
      <c r="R158" s="1">
        <f t="shared" si="11"/>
        <v>0</v>
      </c>
    </row>
    <row r="159" spans="1:18" hidden="1" x14ac:dyDescent="0.3">
      <c r="A159" t="s">
        <v>3819</v>
      </c>
      <c r="B159" t="s">
        <v>3820</v>
      </c>
      <c r="C159" t="s">
        <v>47</v>
      </c>
      <c r="D159">
        <v>1</v>
      </c>
      <c r="E159">
        <v>0</v>
      </c>
      <c r="G159" s="1">
        <v>0</v>
      </c>
      <c r="H159">
        <v>0</v>
      </c>
      <c r="I159">
        <v>0.5</v>
      </c>
      <c r="J159">
        <v>1</v>
      </c>
      <c r="K159">
        <v>1</v>
      </c>
      <c r="L159">
        <f t="shared" si="8"/>
        <v>2</v>
      </c>
      <c r="M159">
        <v>0</v>
      </c>
      <c r="N159">
        <v>0</v>
      </c>
      <c r="O159">
        <v>2</v>
      </c>
      <c r="P159" s="1">
        <f t="shared" si="9"/>
        <v>0</v>
      </c>
      <c r="Q159">
        <f t="shared" si="10"/>
        <v>2</v>
      </c>
      <c r="R159" s="1">
        <f t="shared" si="11"/>
        <v>0</v>
      </c>
    </row>
    <row r="160" spans="1:18" hidden="1" x14ac:dyDescent="0.3">
      <c r="A160" t="s">
        <v>3821</v>
      </c>
      <c r="B160" t="s">
        <v>3822</v>
      </c>
      <c r="C160" t="s">
        <v>47</v>
      </c>
      <c r="D160">
        <v>1</v>
      </c>
      <c r="E160">
        <v>0</v>
      </c>
      <c r="G160" s="1">
        <v>0</v>
      </c>
      <c r="H160">
        <v>0</v>
      </c>
      <c r="I160">
        <v>0.5</v>
      </c>
      <c r="J160">
        <v>1</v>
      </c>
      <c r="K160">
        <v>1</v>
      </c>
      <c r="L160">
        <f t="shared" si="8"/>
        <v>2</v>
      </c>
      <c r="M160">
        <v>0</v>
      </c>
      <c r="N160">
        <v>0</v>
      </c>
      <c r="O160">
        <v>2</v>
      </c>
      <c r="P160" s="1">
        <f t="shared" si="9"/>
        <v>0</v>
      </c>
      <c r="Q160">
        <f t="shared" si="10"/>
        <v>2</v>
      </c>
      <c r="R160" s="1">
        <f t="shared" si="11"/>
        <v>0</v>
      </c>
    </row>
    <row r="161" spans="1:18" hidden="1" x14ac:dyDescent="0.3">
      <c r="A161" t="s">
        <v>3823</v>
      </c>
      <c r="B161" t="s">
        <v>3824</v>
      </c>
      <c r="C161" t="s">
        <v>47</v>
      </c>
      <c r="D161">
        <v>1</v>
      </c>
      <c r="E161">
        <v>0</v>
      </c>
      <c r="G161" s="1">
        <v>0</v>
      </c>
      <c r="H161">
        <v>0</v>
      </c>
      <c r="I161">
        <v>0.5</v>
      </c>
      <c r="J161">
        <v>1</v>
      </c>
      <c r="K161">
        <v>1</v>
      </c>
      <c r="L161">
        <f t="shared" si="8"/>
        <v>2</v>
      </c>
      <c r="M161">
        <v>0</v>
      </c>
      <c r="N161">
        <v>0</v>
      </c>
      <c r="O161">
        <v>2</v>
      </c>
      <c r="P161" s="1">
        <f t="shared" si="9"/>
        <v>0</v>
      </c>
      <c r="Q161">
        <f t="shared" si="10"/>
        <v>2</v>
      </c>
      <c r="R161" s="1">
        <f t="shared" si="11"/>
        <v>0</v>
      </c>
    </row>
    <row r="162" spans="1:18" hidden="1" x14ac:dyDescent="0.3">
      <c r="A162" t="s">
        <v>3825</v>
      </c>
      <c r="B162" t="s">
        <v>3826</v>
      </c>
      <c r="C162" t="s">
        <v>47</v>
      </c>
      <c r="D162">
        <v>1</v>
      </c>
      <c r="E162">
        <v>0</v>
      </c>
      <c r="G162" s="1">
        <v>0</v>
      </c>
      <c r="H162">
        <v>0</v>
      </c>
      <c r="I162">
        <v>0.5</v>
      </c>
      <c r="J162">
        <v>1</v>
      </c>
      <c r="K162">
        <v>1</v>
      </c>
      <c r="L162">
        <f t="shared" si="8"/>
        <v>2</v>
      </c>
      <c r="M162">
        <v>0</v>
      </c>
      <c r="N162">
        <v>0</v>
      </c>
      <c r="O162">
        <v>2</v>
      </c>
      <c r="P162" s="1">
        <f t="shared" si="9"/>
        <v>0</v>
      </c>
      <c r="Q162">
        <f t="shared" si="10"/>
        <v>2</v>
      </c>
      <c r="R162" s="1">
        <f t="shared" si="11"/>
        <v>0</v>
      </c>
    </row>
    <row r="163" spans="1:18" hidden="1" x14ac:dyDescent="0.3">
      <c r="A163" t="s">
        <v>3827</v>
      </c>
      <c r="B163" t="s">
        <v>3828</v>
      </c>
      <c r="C163" t="s">
        <v>47</v>
      </c>
      <c r="D163">
        <v>1</v>
      </c>
      <c r="E163">
        <v>0</v>
      </c>
      <c r="G163" s="1">
        <v>46620</v>
      </c>
      <c r="H163">
        <v>0</v>
      </c>
      <c r="I163">
        <v>0.5</v>
      </c>
      <c r="J163">
        <v>1</v>
      </c>
      <c r="K163">
        <v>1</v>
      </c>
      <c r="L163">
        <f t="shared" si="8"/>
        <v>2</v>
      </c>
      <c r="M163">
        <v>0</v>
      </c>
      <c r="N163">
        <v>0</v>
      </c>
      <c r="O163">
        <v>2</v>
      </c>
      <c r="P163" s="1">
        <f t="shared" si="9"/>
        <v>0</v>
      </c>
      <c r="Q163">
        <f t="shared" si="10"/>
        <v>2</v>
      </c>
      <c r="R163" s="1">
        <f t="shared" si="11"/>
        <v>93240</v>
      </c>
    </row>
    <row r="164" spans="1:18" hidden="1" x14ac:dyDescent="0.3">
      <c r="A164" t="s">
        <v>3829</v>
      </c>
      <c r="B164" t="s">
        <v>3830</v>
      </c>
      <c r="C164" t="s">
        <v>47</v>
      </c>
      <c r="D164">
        <v>1</v>
      </c>
      <c r="E164">
        <v>0</v>
      </c>
      <c r="G164" s="1">
        <v>0</v>
      </c>
      <c r="H164">
        <v>0</v>
      </c>
      <c r="I164">
        <v>0.5</v>
      </c>
      <c r="J164">
        <v>1</v>
      </c>
      <c r="K164">
        <v>1</v>
      </c>
      <c r="L164">
        <f t="shared" si="8"/>
        <v>2</v>
      </c>
      <c r="M164">
        <v>0</v>
      </c>
      <c r="N164">
        <v>0</v>
      </c>
      <c r="O164">
        <v>2</v>
      </c>
      <c r="P164" s="1">
        <f t="shared" si="9"/>
        <v>0</v>
      </c>
      <c r="Q164">
        <f t="shared" si="10"/>
        <v>2</v>
      </c>
      <c r="R164" s="1">
        <f t="shared" si="11"/>
        <v>0</v>
      </c>
    </row>
    <row r="165" spans="1:18" hidden="1" x14ac:dyDescent="0.3">
      <c r="A165" t="s">
        <v>3831</v>
      </c>
      <c r="B165" t="s">
        <v>3832</v>
      </c>
      <c r="C165" t="s">
        <v>47</v>
      </c>
      <c r="D165">
        <v>1</v>
      </c>
      <c r="E165">
        <v>0</v>
      </c>
      <c r="G165" s="1">
        <v>0</v>
      </c>
      <c r="H165">
        <v>0</v>
      </c>
      <c r="I165">
        <v>0.5</v>
      </c>
      <c r="J165">
        <v>1</v>
      </c>
      <c r="K165">
        <v>1</v>
      </c>
      <c r="L165">
        <f t="shared" si="8"/>
        <v>2</v>
      </c>
      <c r="M165">
        <v>0</v>
      </c>
      <c r="N165">
        <v>0</v>
      </c>
      <c r="O165">
        <v>2</v>
      </c>
      <c r="P165" s="1">
        <f t="shared" si="9"/>
        <v>0</v>
      </c>
      <c r="Q165">
        <f t="shared" si="10"/>
        <v>2</v>
      </c>
      <c r="R165" s="1">
        <f t="shared" si="11"/>
        <v>0</v>
      </c>
    </row>
    <row r="166" spans="1:18" hidden="1" x14ac:dyDescent="0.3">
      <c r="A166" t="s">
        <v>3833</v>
      </c>
      <c r="B166" t="s">
        <v>3834</v>
      </c>
      <c r="C166" t="s">
        <v>47</v>
      </c>
      <c r="D166">
        <v>1</v>
      </c>
      <c r="E166">
        <v>0</v>
      </c>
      <c r="G166" s="1">
        <v>0</v>
      </c>
      <c r="H166">
        <v>0</v>
      </c>
      <c r="I166">
        <v>0.5</v>
      </c>
      <c r="J166">
        <v>1</v>
      </c>
      <c r="K166">
        <v>1</v>
      </c>
      <c r="L166">
        <f t="shared" si="8"/>
        <v>2</v>
      </c>
      <c r="M166">
        <v>0</v>
      </c>
      <c r="N166">
        <v>0</v>
      </c>
      <c r="O166">
        <v>2</v>
      </c>
      <c r="P166" s="1">
        <f t="shared" si="9"/>
        <v>0</v>
      </c>
      <c r="Q166">
        <f t="shared" si="10"/>
        <v>2</v>
      </c>
      <c r="R166" s="1">
        <f t="shared" si="11"/>
        <v>0</v>
      </c>
    </row>
    <row r="167" spans="1:18" hidden="1" x14ac:dyDescent="0.3">
      <c r="A167" t="s">
        <v>3835</v>
      </c>
      <c r="B167" t="s">
        <v>3836</v>
      </c>
      <c r="C167" t="s">
        <v>47</v>
      </c>
      <c r="D167">
        <v>1</v>
      </c>
      <c r="E167">
        <v>8</v>
      </c>
      <c r="F167" t="s">
        <v>3837</v>
      </c>
      <c r="G167" s="1">
        <v>32</v>
      </c>
      <c r="H167">
        <v>0</v>
      </c>
      <c r="I167">
        <v>0.5</v>
      </c>
      <c r="J167">
        <v>8</v>
      </c>
      <c r="K167">
        <v>4</v>
      </c>
      <c r="L167">
        <f t="shared" si="8"/>
        <v>8</v>
      </c>
      <c r="M167">
        <v>0</v>
      </c>
      <c r="N167">
        <v>0</v>
      </c>
      <c r="O167">
        <v>20</v>
      </c>
      <c r="P167" s="1">
        <f t="shared" si="9"/>
        <v>0</v>
      </c>
      <c r="Q167">
        <f t="shared" si="10"/>
        <v>20</v>
      </c>
      <c r="R167" s="1">
        <f t="shared" si="11"/>
        <v>640</v>
      </c>
    </row>
    <row r="168" spans="1:18" hidden="1" x14ac:dyDescent="0.3">
      <c r="A168" t="s">
        <v>3838</v>
      </c>
      <c r="B168" t="s">
        <v>3839</v>
      </c>
      <c r="C168" t="s">
        <v>47</v>
      </c>
      <c r="D168">
        <v>1</v>
      </c>
      <c r="E168">
        <v>8</v>
      </c>
      <c r="F168" t="s">
        <v>3837</v>
      </c>
      <c r="G168" s="1">
        <v>52</v>
      </c>
      <c r="H168">
        <v>0</v>
      </c>
      <c r="I168">
        <v>0.5</v>
      </c>
      <c r="J168">
        <v>8</v>
      </c>
      <c r="K168">
        <v>4</v>
      </c>
      <c r="L168">
        <f t="shared" si="8"/>
        <v>8</v>
      </c>
      <c r="M168">
        <v>0</v>
      </c>
      <c r="N168">
        <v>0</v>
      </c>
      <c r="O168">
        <v>20</v>
      </c>
      <c r="P168" s="1">
        <f t="shared" si="9"/>
        <v>0</v>
      </c>
      <c r="Q168">
        <f t="shared" si="10"/>
        <v>20</v>
      </c>
      <c r="R168" s="1">
        <f t="shared" si="11"/>
        <v>1040</v>
      </c>
    </row>
    <row r="169" spans="1:18" hidden="1" x14ac:dyDescent="0.3">
      <c r="A169" t="s">
        <v>3840</v>
      </c>
      <c r="B169" t="s">
        <v>3841</v>
      </c>
      <c r="C169" t="s">
        <v>47</v>
      </c>
      <c r="D169">
        <v>1</v>
      </c>
      <c r="E169">
        <v>1</v>
      </c>
      <c r="F169" t="s">
        <v>3541</v>
      </c>
      <c r="G169" s="1">
        <v>597.32000000000005</v>
      </c>
      <c r="H169">
        <v>0</v>
      </c>
      <c r="I169">
        <v>1.5</v>
      </c>
      <c r="J169">
        <v>1</v>
      </c>
      <c r="K169">
        <v>2</v>
      </c>
      <c r="L169">
        <f t="shared" si="8"/>
        <v>4</v>
      </c>
      <c r="M169">
        <v>0</v>
      </c>
      <c r="N169">
        <v>0</v>
      </c>
      <c r="O169">
        <v>4</v>
      </c>
      <c r="P169" s="1">
        <f t="shared" si="9"/>
        <v>0</v>
      </c>
      <c r="Q169">
        <f t="shared" si="10"/>
        <v>4</v>
      </c>
      <c r="R169" s="1">
        <f t="shared" si="11"/>
        <v>2389.2800000000002</v>
      </c>
    </row>
    <row r="170" spans="1:18" hidden="1" x14ac:dyDescent="0.3">
      <c r="A170" t="s">
        <v>3842</v>
      </c>
      <c r="B170" t="s">
        <v>3843</v>
      </c>
      <c r="C170" t="s">
        <v>47</v>
      </c>
      <c r="D170">
        <v>1</v>
      </c>
      <c r="E170">
        <v>0</v>
      </c>
      <c r="G170" s="1">
        <v>0</v>
      </c>
      <c r="H170">
        <v>0</v>
      </c>
      <c r="I170">
        <v>0.5</v>
      </c>
      <c r="J170">
        <v>1</v>
      </c>
      <c r="K170">
        <v>1</v>
      </c>
      <c r="L170">
        <f t="shared" si="8"/>
        <v>2</v>
      </c>
      <c r="M170">
        <v>0</v>
      </c>
      <c r="N170">
        <v>0</v>
      </c>
      <c r="O170">
        <v>2</v>
      </c>
      <c r="P170" s="1">
        <f t="shared" si="9"/>
        <v>0</v>
      </c>
      <c r="Q170">
        <f t="shared" si="10"/>
        <v>2</v>
      </c>
      <c r="R170" s="1">
        <f t="shared" si="11"/>
        <v>0</v>
      </c>
    </row>
    <row r="171" spans="1:18" hidden="1" x14ac:dyDescent="0.3">
      <c r="A171" t="s">
        <v>3844</v>
      </c>
      <c r="B171" t="s">
        <v>3845</v>
      </c>
      <c r="C171" t="s">
        <v>47</v>
      </c>
      <c r="D171">
        <v>1</v>
      </c>
      <c r="E171">
        <v>0</v>
      </c>
      <c r="G171" s="1">
        <v>0</v>
      </c>
      <c r="H171">
        <v>0</v>
      </c>
      <c r="I171">
        <v>0.5</v>
      </c>
      <c r="J171">
        <v>1</v>
      </c>
      <c r="K171">
        <v>1</v>
      </c>
      <c r="L171">
        <f t="shared" si="8"/>
        <v>2</v>
      </c>
      <c r="M171">
        <v>0</v>
      </c>
      <c r="N171">
        <v>0</v>
      </c>
      <c r="O171">
        <v>2</v>
      </c>
      <c r="P171" s="1">
        <f t="shared" si="9"/>
        <v>0</v>
      </c>
      <c r="Q171">
        <f t="shared" si="10"/>
        <v>2</v>
      </c>
      <c r="R171" s="1">
        <f t="shared" si="11"/>
        <v>0</v>
      </c>
    </row>
    <row r="172" spans="1:18" hidden="1" x14ac:dyDescent="0.3">
      <c r="A172" t="s">
        <v>3846</v>
      </c>
      <c r="B172" t="s">
        <v>3847</v>
      </c>
      <c r="C172" t="s">
        <v>47</v>
      </c>
      <c r="D172">
        <v>1</v>
      </c>
      <c r="E172">
        <v>0</v>
      </c>
      <c r="G172" s="1">
        <v>85950</v>
      </c>
      <c r="H172">
        <v>0</v>
      </c>
      <c r="I172">
        <v>0.5</v>
      </c>
      <c r="J172">
        <v>1</v>
      </c>
      <c r="K172">
        <v>1</v>
      </c>
      <c r="L172">
        <f t="shared" si="8"/>
        <v>2</v>
      </c>
      <c r="M172">
        <v>0</v>
      </c>
      <c r="N172">
        <v>0</v>
      </c>
      <c r="O172">
        <v>2</v>
      </c>
      <c r="P172" s="1">
        <f t="shared" si="9"/>
        <v>0</v>
      </c>
      <c r="Q172">
        <f t="shared" si="10"/>
        <v>2</v>
      </c>
      <c r="R172" s="1">
        <f t="shared" si="11"/>
        <v>171900</v>
      </c>
    </row>
    <row r="173" spans="1:18" hidden="1" x14ac:dyDescent="0.3">
      <c r="A173" t="s">
        <v>3848</v>
      </c>
      <c r="B173" t="s">
        <v>3849</v>
      </c>
      <c r="C173" t="s">
        <v>47</v>
      </c>
      <c r="D173">
        <v>1</v>
      </c>
      <c r="E173">
        <v>0</v>
      </c>
      <c r="G173" s="1">
        <v>102240</v>
      </c>
      <c r="H173">
        <v>0</v>
      </c>
      <c r="I173">
        <v>0.5</v>
      </c>
      <c r="J173">
        <v>1</v>
      </c>
      <c r="K173">
        <v>1</v>
      </c>
      <c r="L173">
        <f t="shared" si="8"/>
        <v>2</v>
      </c>
      <c r="M173">
        <v>0</v>
      </c>
      <c r="N173">
        <v>0</v>
      </c>
      <c r="O173">
        <v>2</v>
      </c>
      <c r="P173" s="1">
        <f t="shared" si="9"/>
        <v>0</v>
      </c>
      <c r="Q173">
        <f t="shared" si="10"/>
        <v>2</v>
      </c>
      <c r="R173" s="1">
        <f t="shared" si="11"/>
        <v>204480</v>
      </c>
    </row>
    <row r="174" spans="1:18" hidden="1" x14ac:dyDescent="0.3">
      <c r="A174" t="s">
        <v>3850</v>
      </c>
      <c r="B174" t="s">
        <v>3851</v>
      </c>
      <c r="C174" t="s">
        <v>47</v>
      </c>
      <c r="D174">
        <v>1</v>
      </c>
      <c r="E174">
        <v>0</v>
      </c>
      <c r="G174" s="1">
        <v>0</v>
      </c>
      <c r="H174">
        <v>0</v>
      </c>
      <c r="I174">
        <v>0.5</v>
      </c>
      <c r="J174">
        <v>1</v>
      </c>
      <c r="K174">
        <v>1</v>
      </c>
      <c r="L174">
        <f t="shared" si="8"/>
        <v>2</v>
      </c>
      <c r="M174">
        <v>0</v>
      </c>
      <c r="N174">
        <v>0</v>
      </c>
      <c r="O174">
        <v>2</v>
      </c>
      <c r="P174" s="1">
        <f t="shared" si="9"/>
        <v>0</v>
      </c>
      <c r="Q174">
        <f t="shared" si="10"/>
        <v>2</v>
      </c>
      <c r="R174" s="1">
        <f t="shared" si="11"/>
        <v>0</v>
      </c>
    </row>
    <row r="175" spans="1:18" hidden="1" x14ac:dyDescent="0.3">
      <c r="A175" t="s">
        <v>3852</v>
      </c>
      <c r="B175" t="s">
        <v>3853</v>
      </c>
      <c r="C175" t="s">
        <v>47</v>
      </c>
      <c r="D175">
        <v>1</v>
      </c>
      <c r="E175">
        <v>10</v>
      </c>
      <c r="F175" t="s">
        <v>3854</v>
      </c>
      <c r="G175" s="1">
        <v>250</v>
      </c>
      <c r="H175">
        <v>0</v>
      </c>
      <c r="I175">
        <v>1.2</v>
      </c>
      <c r="J175">
        <v>10</v>
      </c>
      <c r="K175">
        <v>12</v>
      </c>
      <c r="L175">
        <f t="shared" si="8"/>
        <v>24</v>
      </c>
      <c r="M175">
        <v>0</v>
      </c>
      <c r="N175">
        <v>0</v>
      </c>
      <c r="O175">
        <v>32</v>
      </c>
      <c r="P175" s="1">
        <f t="shared" si="9"/>
        <v>0</v>
      </c>
      <c r="Q175">
        <f t="shared" si="10"/>
        <v>32</v>
      </c>
      <c r="R175" s="1">
        <f t="shared" si="11"/>
        <v>8000</v>
      </c>
    </row>
    <row r="176" spans="1:18" hidden="1" x14ac:dyDescent="0.3">
      <c r="A176" t="s">
        <v>3855</v>
      </c>
      <c r="B176" t="s">
        <v>3856</v>
      </c>
      <c r="C176" t="s">
        <v>47</v>
      </c>
      <c r="D176">
        <v>1</v>
      </c>
      <c r="E176">
        <v>0</v>
      </c>
      <c r="G176" s="1">
        <v>0</v>
      </c>
      <c r="H176">
        <v>0</v>
      </c>
      <c r="I176">
        <v>0.5</v>
      </c>
      <c r="J176">
        <v>1</v>
      </c>
      <c r="K176">
        <v>1</v>
      </c>
      <c r="L176">
        <f t="shared" si="8"/>
        <v>2</v>
      </c>
      <c r="M176">
        <v>0</v>
      </c>
      <c r="N176">
        <v>0</v>
      </c>
      <c r="O176">
        <v>2</v>
      </c>
      <c r="P176" s="1">
        <f t="shared" si="9"/>
        <v>0</v>
      </c>
      <c r="Q176">
        <f t="shared" si="10"/>
        <v>2</v>
      </c>
      <c r="R176" s="1">
        <f t="shared" si="11"/>
        <v>0</v>
      </c>
    </row>
    <row r="177" spans="1:18" hidden="1" x14ac:dyDescent="0.3">
      <c r="A177" t="s">
        <v>3857</v>
      </c>
      <c r="B177" t="s">
        <v>3858</v>
      </c>
      <c r="C177" t="s">
        <v>47</v>
      </c>
      <c r="D177">
        <v>1</v>
      </c>
      <c r="E177">
        <v>0</v>
      </c>
      <c r="G177" s="1">
        <v>0</v>
      </c>
      <c r="H177">
        <v>0</v>
      </c>
      <c r="I177">
        <v>0.5</v>
      </c>
      <c r="J177">
        <v>1</v>
      </c>
      <c r="K177">
        <v>1</v>
      </c>
      <c r="L177">
        <f t="shared" si="8"/>
        <v>2</v>
      </c>
      <c r="M177">
        <v>0</v>
      </c>
      <c r="N177">
        <v>0</v>
      </c>
      <c r="O177">
        <v>2</v>
      </c>
      <c r="P177" s="1">
        <f t="shared" si="9"/>
        <v>0</v>
      </c>
      <c r="Q177">
        <f t="shared" si="10"/>
        <v>2</v>
      </c>
      <c r="R177" s="1">
        <f t="shared" si="11"/>
        <v>0</v>
      </c>
    </row>
    <row r="178" spans="1:18" hidden="1" x14ac:dyDescent="0.3">
      <c r="A178" t="s">
        <v>3859</v>
      </c>
      <c r="B178" t="s">
        <v>3860</v>
      </c>
      <c r="C178" t="s">
        <v>47</v>
      </c>
      <c r="D178">
        <v>1</v>
      </c>
      <c r="E178">
        <v>0</v>
      </c>
      <c r="G178" s="1">
        <v>0</v>
      </c>
      <c r="H178">
        <v>0</v>
      </c>
      <c r="I178">
        <v>0.5</v>
      </c>
      <c r="J178">
        <v>1</v>
      </c>
      <c r="K178">
        <v>1</v>
      </c>
      <c r="L178">
        <f t="shared" si="8"/>
        <v>2</v>
      </c>
      <c r="M178">
        <v>0</v>
      </c>
      <c r="N178">
        <v>0</v>
      </c>
      <c r="O178">
        <v>2</v>
      </c>
      <c r="P178" s="1">
        <f t="shared" si="9"/>
        <v>0</v>
      </c>
      <c r="Q178">
        <f t="shared" si="10"/>
        <v>2</v>
      </c>
      <c r="R178" s="1">
        <f t="shared" si="11"/>
        <v>0</v>
      </c>
    </row>
    <row r="179" spans="1:18" hidden="1" x14ac:dyDescent="0.3">
      <c r="A179" t="s">
        <v>3861</v>
      </c>
      <c r="B179" t="s">
        <v>3862</v>
      </c>
      <c r="C179" t="s">
        <v>47</v>
      </c>
      <c r="D179">
        <v>1</v>
      </c>
      <c r="E179">
        <v>2</v>
      </c>
      <c r="F179" t="s">
        <v>3863</v>
      </c>
      <c r="G179" s="1">
        <v>14.85</v>
      </c>
      <c r="H179">
        <v>0</v>
      </c>
      <c r="I179">
        <v>0.5</v>
      </c>
      <c r="J179">
        <v>2</v>
      </c>
      <c r="K179">
        <v>1</v>
      </c>
      <c r="L179">
        <f t="shared" si="8"/>
        <v>2</v>
      </c>
      <c r="M179">
        <v>0</v>
      </c>
      <c r="N179">
        <v>0</v>
      </c>
      <c r="O179">
        <v>5</v>
      </c>
      <c r="P179" s="1">
        <f t="shared" si="9"/>
        <v>0</v>
      </c>
      <c r="Q179">
        <f t="shared" si="10"/>
        <v>5</v>
      </c>
      <c r="R179" s="1">
        <f t="shared" si="11"/>
        <v>74.25</v>
      </c>
    </row>
    <row r="180" spans="1:18" hidden="1" x14ac:dyDescent="0.3">
      <c r="A180" t="s">
        <v>3864</v>
      </c>
      <c r="B180" t="s">
        <v>3865</v>
      </c>
      <c r="C180" t="s">
        <v>47</v>
      </c>
      <c r="D180">
        <v>1</v>
      </c>
      <c r="E180">
        <v>3</v>
      </c>
      <c r="F180" t="s">
        <v>3863</v>
      </c>
      <c r="G180" s="1">
        <v>48.51</v>
      </c>
      <c r="H180">
        <v>0</v>
      </c>
      <c r="I180">
        <v>0.5</v>
      </c>
      <c r="J180">
        <v>3</v>
      </c>
      <c r="K180">
        <v>2</v>
      </c>
      <c r="L180">
        <f t="shared" si="8"/>
        <v>4</v>
      </c>
      <c r="M180">
        <v>0</v>
      </c>
      <c r="N180">
        <v>0</v>
      </c>
      <c r="O180">
        <v>8</v>
      </c>
      <c r="P180" s="1">
        <f t="shared" si="9"/>
        <v>0</v>
      </c>
      <c r="Q180">
        <f t="shared" si="10"/>
        <v>8</v>
      </c>
      <c r="R180" s="1">
        <f t="shared" si="11"/>
        <v>388.08</v>
      </c>
    </row>
    <row r="181" spans="1:18" hidden="1" x14ac:dyDescent="0.3">
      <c r="A181" t="s">
        <v>3866</v>
      </c>
      <c r="B181" t="s">
        <v>3867</v>
      </c>
      <c r="C181" t="s">
        <v>47</v>
      </c>
      <c r="D181">
        <v>1</v>
      </c>
      <c r="E181">
        <v>6</v>
      </c>
      <c r="F181" t="s">
        <v>209</v>
      </c>
      <c r="G181" s="1">
        <v>1130.43</v>
      </c>
      <c r="H181">
        <v>0</v>
      </c>
      <c r="I181">
        <v>0.5</v>
      </c>
      <c r="J181">
        <v>6</v>
      </c>
      <c r="K181">
        <v>3</v>
      </c>
      <c r="L181">
        <f t="shared" si="8"/>
        <v>6</v>
      </c>
      <c r="M181">
        <v>0</v>
      </c>
      <c r="N181">
        <v>0</v>
      </c>
      <c r="O181">
        <v>15</v>
      </c>
      <c r="P181" s="1">
        <f t="shared" si="9"/>
        <v>0</v>
      </c>
      <c r="Q181">
        <f t="shared" si="10"/>
        <v>15</v>
      </c>
      <c r="R181" s="1">
        <f t="shared" si="11"/>
        <v>16956.45</v>
      </c>
    </row>
    <row r="182" spans="1:18" hidden="1" x14ac:dyDescent="0.3">
      <c r="A182" t="s">
        <v>3868</v>
      </c>
      <c r="B182" t="s">
        <v>3869</v>
      </c>
      <c r="C182" t="s">
        <v>47</v>
      </c>
      <c r="D182">
        <v>1</v>
      </c>
      <c r="E182">
        <v>20</v>
      </c>
      <c r="F182" t="s">
        <v>2757</v>
      </c>
      <c r="G182" s="1">
        <v>21774.6</v>
      </c>
      <c r="H182">
        <v>0</v>
      </c>
      <c r="I182">
        <v>2.7</v>
      </c>
      <c r="J182">
        <v>20</v>
      </c>
      <c r="K182">
        <v>54</v>
      </c>
      <c r="L182">
        <f t="shared" si="8"/>
        <v>108</v>
      </c>
      <c r="M182">
        <v>0</v>
      </c>
      <c r="N182">
        <v>0</v>
      </c>
      <c r="O182">
        <v>94</v>
      </c>
      <c r="P182" s="1">
        <f t="shared" si="9"/>
        <v>0</v>
      </c>
      <c r="Q182">
        <f t="shared" si="10"/>
        <v>94</v>
      </c>
      <c r="R182" s="1">
        <f t="shared" si="11"/>
        <v>2046812.4</v>
      </c>
    </row>
    <row r="183" spans="1:18" hidden="1" x14ac:dyDescent="0.3">
      <c r="A183" t="s">
        <v>3870</v>
      </c>
      <c r="B183" t="s">
        <v>3871</v>
      </c>
      <c r="C183" t="s">
        <v>47</v>
      </c>
      <c r="D183">
        <v>1</v>
      </c>
      <c r="E183">
        <v>0</v>
      </c>
      <c r="G183" s="1">
        <v>0</v>
      </c>
      <c r="H183">
        <v>0</v>
      </c>
      <c r="I183">
        <v>0.5</v>
      </c>
      <c r="J183">
        <v>1</v>
      </c>
      <c r="K183">
        <v>1</v>
      </c>
      <c r="L183">
        <f t="shared" si="8"/>
        <v>2</v>
      </c>
      <c r="M183">
        <v>0</v>
      </c>
      <c r="N183">
        <v>0</v>
      </c>
      <c r="O183">
        <v>2</v>
      </c>
      <c r="P183" s="1">
        <f t="shared" si="9"/>
        <v>0</v>
      </c>
      <c r="Q183">
        <f t="shared" si="10"/>
        <v>2</v>
      </c>
      <c r="R183" s="1">
        <f t="shared" si="11"/>
        <v>0</v>
      </c>
    </row>
    <row r="184" spans="1:18" hidden="1" x14ac:dyDescent="0.3">
      <c r="A184" t="s">
        <v>3872</v>
      </c>
      <c r="B184" t="s">
        <v>3873</v>
      </c>
      <c r="C184" t="s">
        <v>47</v>
      </c>
      <c r="D184">
        <v>1</v>
      </c>
      <c r="E184">
        <v>0</v>
      </c>
      <c r="G184" s="1">
        <v>0</v>
      </c>
      <c r="H184">
        <v>0</v>
      </c>
      <c r="I184">
        <v>0.5</v>
      </c>
      <c r="J184">
        <v>1</v>
      </c>
      <c r="K184">
        <v>1</v>
      </c>
      <c r="L184">
        <f t="shared" si="8"/>
        <v>2</v>
      </c>
      <c r="M184">
        <v>0</v>
      </c>
      <c r="N184">
        <v>0</v>
      </c>
      <c r="O184">
        <v>2</v>
      </c>
      <c r="P184" s="1">
        <f t="shared" si="9"/>
        <v>0</v>
      </c>
      <c r="Q184">
        <f t="shared" si="10"/>
        <v>2</v>
      </c>
      <c r="R184" s="1">
        <f t="shared" si="11"/>
        <v>0</v>
      </c>
    </row>
    <row r="185" spans="1:18" hidden="1" x14ac:dyDescent="0.3">
      <c r="A185" t="s">
        <v>3874</v>
      </c>
      <c r="B185" t="s">
        <v>3875</v>
      </c>
      <c r="C185" t="s">
        <v>47</v>
      </c>
      <c r="D185">
        <v>1</v>
      </c>
      <c r="E185">
        <v>0</v>
      </c>
      <c r="G185" s="1">
        <v>0</v>
      </c>
      <c r="H185">
        <v>0</v>
      </c>
      <c r="I185">
        <v>0.5</v>
      </c>
      <c r="J185">
        <v>1</v>
      </c>
      <c r="K185">
        <v>1</v>
      </c>
      <c r="L185">
        <f t="shared" si="8"/>
        <v>2</v>
      </c>
      <c r="M185">
        <v>0</v>
      </c>
      <c r="N185">
        <v>0</v>
      </c>
      <c r="O185">
        <v>2</v>
      </c>
      <c r="P185" s="1">
        <f t="shared" si="9"/>
        <v>0</v>
      </c>
      <c r="Q185">
        <f t="shared" si="10"/>
        <v>2</v>
      </c>
      <c r="R185" s="1">
        <f t="shared" si="11"/>
        <v>0</v>
      </c>
    </row>
    <row r="186" spans="1:18" hidden="1" x14ac:dyDescent="0.3">
      <c r="A186" t="s">
        <v>3876</v>
      </c>
      <c r="B186" t="s">
        <v>3875</v>
      </c>
      <c r="C186" t="s">
        <v>47</v>
      </c>
      <c r="D186">
        <v>1</v>
      </c>
      <c r="E186">
        <v>1</v>
      </c>
      <c r="F186" t="s">
        <v>2757</v>
      </c>
      <c r="G186" s="1">
        <v>4281.6400000000003</v>
      </c>
      <c r="H186">
        <v>0</v>
      </c>
      <c r="I186">
        <v>0.9</v>
      </c>
      <c r="J186">
        <v>1</v>
      </c>
      <c r="K186">
        <v>1</v>
      </c>
      <c r="L186">
        <f t="shared" si="8"/>
        <v>2</v>
      </c>
      <c r="M186">
        <v>0</v>
      </c>
      <c r="N186">
        <v>0</v>
      </c>
      <c r="O186">
        <v>3</v>
      </c>
      <c r="P186" s="1">
        <f t="shared" si="9"/>
        <v>0</v>
      </c>
      <c r="Q186">
        <f t="shared" si="10"/>
        <v>3</v>
      </c>
      <c r="R186" s="1">
        <f t="shared" si="11"/>
        <v>12844.920000000002</v>
      </c>
    </row>
    <row r="187" spans="1:18" hidden="1" x14ac:dyDescent="0.3">
      <c r="A187" t="s">
        <v>3877</v>
      </c>
      <c r="B187" t="s">
        <v>3878</v>
      </c>
      <c r="C187" t="s">
        <v>47</v>
      </c>
      <c r="D187">
        <v>1</v>
      </c>
      <c r="E187">
        <v>0</v>
      </c>
      <c r="G187" s="1">
        <v>0</v>
      </c>
      <c r="H187">
        <v>0</v>
      </c>
      <c r="I187">
        <v>0.5</v>
      </c>
      <c r="J187">
        <v>1</v>
      </c>
      <c r="K187">
        <v>1</v>
      </c>
      <c r="L187">
        <f t="shared" si="8"/>
        <v>2</v>
      </c>
      <c r="M187">
        <v>0</v>
      </c>
      <c r="N187">
        <v>0</v>
      </c>
      <c r="O187">
        <v>2</v>
      </c>
      <c r="P187" s="1">
        <f t="shared" si="9"/>
        <v>0</v>
      </c>
      <c r="Q187">
        <f t="shared" si="10"/>
        <v>2</v>
      </c>
      <c r="R187" s="1">
        <f t="shared" si="11"/>
        <v>0</v>
      </c>
    </row>
    <row r="188" spans="1:18" hidden="1" x14ac:dyDescent="0.3">
      <c r="A188" t="s">
        <v>3879</v>
      </c>
      <c r="B188" t="s">
        <v>3880</v>
      </c>
      <c r="C188" t="s">
        <v>47</v>
      </c>
      <c r="D188">
        <v>1</v>
      </c>
      <c r="E188">
        <v>0</v>
      </c>
      <c r="G188" s="1">
        <v>3995</v>
      </c>
      <c r="H188">
        <v>0</v>
      </c>
      <c r="I188">
        <v>0.5</v>
      </c>
      <c r="J188">
        <v>1</v>
      </c>
      <c r="K188">
        <v>1</v>
      </c>
      <c r="L188">
        <f t="shared" si="8"/>
        <v>2</v>
      </c>
      <c r="M188">
        <v>0</v>
      </c>
      <c r="N188">
        <v>0</v>
      </c>
      <c r="O188">
        <v>2</v>
      </c>
      <c r="P188" s="1">
        <f t="shared" si="9"/>
        <v>0</v>
      </c>
      <c r="Q188">
        <f t="shared" si="10"/>
        <v>2</v>
      </c>
      <c r="R188" s="1">
        <f t="shared" si="11"/>
        <v>7990</v>
      </c>
    </row>
    <row r="189" spans="1:18" hidden="1" x14ac:dyDescent="0.3">
      <c r="A189" t="s">
        <v>3881</v>
      </c>
      <c r="B189" t="s">
        <v>3882</v>
      </c>
      <c r="C189" t="s">
        <v>47</v>
      </c>
      <c r="D189">
        <v>1</v>
      </c>
      <c r="E189">
        <v>9</v>
      </c>
      <c r="F189" t="s">
        <v>551</v>
      </c>
      <c r="G189" s="1">
        <v>556</v>
      </c>
      <c r="H189">
        <v>9</v>
      </c>
      <c r="I189">
        <v>0.5</v>
      </c>
      <c r="J189">
        <v>9</v>
      </c>
      <c r="K189">
        <v>4</v>
      </c>
      <c r="L189">
        <f t="shared" si="8"/>
        <v>9</v>
      </c>
      <c r="M189">
        <v>0</v>
      </c>
      <c r="N189">
        <v>0</v>
      </c>
      <c r="O189">
        <v>22</v>
      </c>
      <c r="P189" s="1">
        <f t="shared" si="9"/>
        <v>0</v>
      </c>
      <c r="Q189">
        <f t="shared" si="10"/>
        <v>22</v>
      </c>
      <c r="R189" s="1">
        <f t="shared" si="11"/>
        <v>12232</v>
      </c>
    </row>
    <row r="190" spans="1:18" hidden="1" x14ac:dyDescent="0.3">
      <c r="A190" t="s">
        <v>3883</v>
      </c>
      <c r="B190" t="s">
        <v>3884</v>
      </c>
      <c r="C190" t="s">
        <v>47</v>
      </c>
      <c r="D190">
        <v>1</v>
      </c>
      <c r="E190">
        <v>0</v>
      </c>
      <c r="G190" s="1">
        <v>0</v>
      </c>
      <c r="H190">
        <v>1</v>
      </c>
      <c r="I190">
        <v>0.5</v>
      </c>
      <c r="J190">
        <v>1</v>
      </c>
      <c r="K190">
        <v>1</v>
      </c>
      <c r="L190">
        <f t="shared" si="8"/>
        <v>2</v>
      </c>
      <c r="M190">
        <v>0</v>
      </c>
      <c r="N190">
        <v>0</v>
      </c>
      <c r="O190">
        <v>2</v>
      </c>
      <c r="P190" s="1">
        <f t="shared" si="9"/>
        <v>0</v>
      </c>
      <c r="Q190">
        <f t="shared" si="10"/>
        <v>2</v>
      </c>
      <c r="R190" s="1">
        <f t="shared" si="11"/>
        <v>0</v>
      </c>
    </row>
    <row r="191" spans="1:18" hidden="1" x14ac:dyDescent="0.3">
      <c r="A191" t="s">
        <v>3885</v>
      </c>
      <c r="B191" t="s">
        <v>3886</v>
      </c>
      <c r="C191" t="s">
        <v>47</v>
      </c>
      <c r="D191">
        <v>1</v>
      </c>
      <c r="E191">
        <v>0</v>
      </c>
      <c r="G191" s="1">
        <v>0</v>
      </c>
      <c r="H191">
        <v>0</v>
      </c>
      <c r="I191">
        <v>0.5</v>
      </c>
      <c r="J191">
        <v>1</v>
      </c>
      <c r="K191">
        <v>1</v>
      </c>
      <c r="L191">
        <f t="shared" si="8"/>
        <v>2</v>
      </c>
      <c r="M191">
        <v>0</v>
      </c>
      <c r="N191">
        <v>0</v>
      </c>
      <c r="O191">
        <v>2</v>
      </c>
      <c r="P191" s="1">
        <f t="shared" si="9"/>
        <v>0</v>
      </c>
      <c r="Q191">
        <f t="shared" si="10"/>
        <v>2</v>
      </c>
      <c r="R191" s="1">
        <f t="shared" si="11"/>
        <v>0</v>
      </c>
    </row>
    <row r="192" spans="1:18" hidden="1" x14ac:dyDescent="0.3">
      <c r="A192" t="s">
        <v>3887</v>
      </c>
      <c r="B192" t="s">
        <v>3415</v>
      </c>
      <c r="C192" t="s">
        <v>47</v>
      </c>
      <c r="D192">
        <v>1</v>
      </c>
      <c r="E192">
        <v>1</v>
      </c>
      <c r="F192" t="s">
        <v>3082</v>
      </c>
      <c r="G192" s="1">
        <v>2555.16</v>
      </c>
      <c r="H192">
        <v>0</v>
      </c>
      <c r="I192">
        <v>0.5</v>
      </c>
      <c r="J192">
        <v>1</v>
      </c>
      <c r="K192">
        <v>1</v>
      </c>
      <c r="L192">
        <f t="shared" si="8"/>
        <v>2</v>
      </c>
      <c r="M192">
        <v>0</v>
      </c>
      <c r="N192">
        <v>0</v>
      </c>
      <c r="O192">
        <v>2</v>
      </c>
      <c r="P192" s="1">
        <f t="shared" si="9"/>
        <v>0</v>
      </c>
      <c r="Q192">
        <f t="shared" si="10"/>
        <v>2</v>
      </c>
      <c r="R192" s="1">
        <f t="shared" si="11"/>
        <v>5110.32</v>
      </c>
    </row>
    <row r="193" spans="1:18" hidden="1" x14ac:dyDescent="0.3">
      <c r="A193" t="s">
        <v>3888</v>
      </c>
      <c r="B193" t="s">
        <v>3889</v>
      </c>
      <c r="C193" t="s">
        <v>47</v>
      </c>
      <c r="D193">
        <v>12</v>
      </c>
      <c r="E193">
        <v>8</v>
      </c>
      <c r="F193" t="s">
        <v>3541</v>
      </c>
      <c r="G193" s="1">
        <v>474.51</v>
      </c>
      <c r="H193">
        <v>0</v>
      </c>
      <c r="I193">
        <v>0.7</v>
      </c>
      <c r="J193">
        <v>1</v>
      </c>
      <c r="K193">
        <v>1</v>
      </c>
      <c r="L193">
        <f t="shared" si="8"/>
        <v>2</v>
      </c>
      <c r="M193">
        <v>0</v>
      </c>
      <c r="N193">
        <v>0</v>
      </c>
      <c r="O193">
        <v>3</v>
      </c>
      <c r="P193" s="1">
        <f t="shared" si="9"/>
        <v>0</v>
      </c>
      <c r="Q193">
        <f t="shared" si="10"/>
        <v>3</v>
      </c>
      <c r="R193" s="1">
        <f t="shared" si="11"/>
        <v>1423.53</v>
      </c>
    </row>
    <row r="194" spans="1:18" hidden="1" x14ac:dyDescent="0.3">
      <c r="A194" t="s">
        <v>3890</v>
      </c>
      <c r="B194" t="s">
        <v>3891</v>
      </c>
      <c r="C194" t="s">
        <v>47</v>
      </c>
      <c r="D194">
        <v>1</v>
      </c>
      <c r="E194">
        <v>2</v>
      </c>
      <c r="F194" t="s">
        <v>3541</v>
      </c>
      <c r="G194" s="1">
        <v>72.31</v>
      </c>
      <c r="H194">
        <v>0</v>
      </c>
      <c r="I194">
        <v>0.5</v>
      </c>
      <c r="J194">
        <v>2</v>
      </c>
      <c r="K194">
        <v>1</v>
      </c>
      <c r="L194">
        <f t="shared" ref="L194:L257" si="12">ROUNDUP((J194*I194)+K194,0)</f>
        <v>2</v>
      </c>
      <c r="M194">
        <v>0</v>
      </c>
      <c r="N194">
        <v>0</v>
      </c>
      <c r="O194">
        <v>5</v>
      </c>
      <c r="P194" s="1">
        <f t="shared" ref="P194:P257" si="13">IFERROR(M194*G194,0)</f>
        <v>0</v>
      </c>
      <c r="Q194">
        <f t="shared" ref="Q194:Q257" si="14">IF(O194-M194-N194&gt;0,O194-M194-N194,0)</f>
        <v>5</v>
      </c>
      <c r="R194" s="1">
        <f t="shared" ref="R194:R257" si="15">IFERROR(Q194*G194,0)</f>
        <v>361.55</v>
      </c>
    </row>
    <row r="195" spans="1:18" hidden="1" x14ac:dyDescent="0.3">
      <c r="A195" t="s">
        <v>3892</v>
      </c>
      <c r="B195" t="s">
        <v>3893</v>
      </c>
      <c r="C195" t="s">
        <v>47</v>
      </c>
      <c r="D195">
        <v>7</v>
      </c>
      <c r="E195">
        <v>8</v>
      </c>
      <c r="F195" t="s">
        <v>3541</v>
      </c>
      <c r="G195" s="1">
        <v>74.83</v>
      </c>
      <c r="H195">
        <v>0</v>
      </c>
      <c r="I195">
        <v>0.5</v>
      </c>
      <c r="J195">
        <v>1.5</v>
      </c>
      <c r="K195">
        <v>1</v>
      </c>
      <c r="L195">
        <f t="shared" si="12"/>
        <v>2</v>
      </c>
      <c r="M195">
        <v>0</v>
      </c>
      <c r="N195">
        <v>0</v>
      </c>
      <c r="O195">
        <v>4</v>
      </c>
      <c r="P195" s="1">
        <f t="shared" si="13"/>
        <v>0</v>
      </c>
      <c r="Q195">
        <f t="shared" si="14"/>
        <v>4</v>
      </c>
      <c r="R195" s="1">
        <f t="shared" si="15"/>
        <v>299.32</v>
      </c>
    </row>
    <row r="196" spans="1:18" hidden="1" x14ac:dyDescent="0.3">
      <c r="A196" t="s">
        <v>3894</v>
      </c>
      <c r="B196" t="s">
        <v>3895</v>
      </c>
      <c r="C196" t="s">
        <v>47</v>
      </c>
      <c r="D196">
        <v>6</v>
      </c>
      <c r="E196">
        <v>3</v>
      </c>
      <c r="F196" t="s">
        <v>3541</v>
      </c>
      <c r="G196" s="1">
        <v>77.680000000000007</v>
      </c>
      <c r="H196">
        <v>0</v>
      </c>
      <c r="I196">
        <v>0.5</v>
      </c>
      <c r="J196">
        <v>1</v>
      </c>
      <c r="K196">
        <v>1</v>
      </c>
      <c r="L196">
        <f t="shared" si="12"/>
        <v>2</v>
      </c>
      <c r="M196">
        <v>0</v>
      </c>
      <c r="N196">
        <v>0</v>
      </c>
      <c r="O196">
        <v>2</v>
      </c>
      <c r="P196" s="1">
        <f t="shared" si="13"/>
        <v>0</v>
      </c>
      <c r="Q196">
        <f t="shared" si="14"/>
        <v>2</v>
      </c>
      <c r="R196" s="1">
        <f t="shared" si="15"/>
        <v>155.36000000000001</v>
      </c>
    </row>
    <row r="197" spans="1:18" hidden="1" x14ac:dyDescent="0.3">
      <c r="A197" t="s">
        <v>3896</v>
      </c>
      <c r="B197" t="s">
        <v>3897</v>
      </c>
      <c r="C197" t="s">
        <v>47</v>
      </c>
      <c r="D197">
        <v>1</v>
      </c>
      <c r="E197">
        <v>2</v>
      </c>
      <c r="F197" t="s">
        <v>3082</v>
      </c>
      <c r="G197" s="1">
        <v>3263.14</v>
      </c>
      <c r="H197">
        <v>0</v>
      </c>
      <c r="I197">
        <v>1.1000000000000001</v>
      </c>
      <c r="J197">
        <v>2</v>
      </c>
      <c r="K197">
        <v>2</v>
      </c>
      <c r="L197">
        <f t="shared" si="12"/>
        <v>5</v>
      </c>
      <c r="M197">
        <v>0</v>
      </c>
      <c r="N197">
        <v>0</v>
      </c>
      <c r="O197">
        <v>6</v>
      </c>
      <c r="P197" s="1">
        <f t="shared" si="13"/>
        <v>0</v>
      </c>
      <c r="Q197">
        <f t="shared" si="14"/>
        <v>6</v>
      </c>
      <c r="R197" s="1">
        <f t="shared" si="15"/>
        <v>19578.84</v>
      </c>
    </row>
    <row r="198" spans="1:18" hidden="1" x14ac:dyDescent="0.3">
      <c r="A198" t="s">
        <v>3898</v>
      </c>
      <c r="B198" t="s">
        <v>3899</v>
      </c>
      <c r="C198" t="s">
        <v>47</v>
      </c>
      <c r="D198">
        <v>1</v>
      </c>
      <c r="E198">
        <v>4</v>
      </c>
      <c r="F198" t="s">
        <v>206</v>
      </c>
      <c r="G198" s="1">
        <v>247.02</v>
      </c>
      <c r="H198">
        <v>0</v>
      </c>
      <c r="I198">
        <v>0.5</v>
      </c>
      <c r="J198">
        <v>4</v>
      </c>
      <c r="K198">
        <v>2</v>
      </c>
      <c r="L198">
        <f t="shared" si="12"/>
        <v>4</v>
      </c>
      <c r="M198">
        <v>0</v>
      </c>
      <c r="N198">
        <v>0</v>
      </c>
      <c r="O198">
        <v>10</v>
      </c>
      <c r="P198" s="1">
        <f t="shared" si="13"/>
        <v>0</v>
      </c>
      <c r="Q198">
        <f t="shared" si="14"/>
        <v>10</v>
      </c>
      <c r="R198" s="1">
        <f t="shared" si="15"/>
        <v>2470.2000000000003</v>
      </c>
    </row>
    <row r="199" spans="1:18" hidden="1" x14ac:dyDescent="0.3">
      <c r="A199" t="s">
        <v>3900</v>
      </c>
      <c r="B199" t="s">
        <v>3901</v>
      </c>
      <c r="C199" t="s">
        <v>47</v>
      </c>
      <c r="D199">
        <v>1</v>
      </c>
      <c r="E199">
        <v>4</v>
      </c>
      <c r="F199" t="s">
        <v>3863</v>
      </c>
      <c r="G199" s="1">
        <v>47.03</v>
      </c>
      <c r="H199">
        <v>0</v>
      </c>
      <c r="I199">
        <v>0.5</v>
      </c>
      <c r="J199">
        <v>4</v>
      </c>
      <c r="K199">
        <v>2</v>
      </c>
      <c r="L199">
        <f t="shared" si="12"/>
        <v>4</v>
      </c>
      <c r="M199">
        <v>0</v>
      </c>
      <c r="N199">
        <v>0</v>
      </c>
      <c r="O199">
        <v>10</v>
      </c>
      <c r="P199" s="1">
        <f t="shared" si="13"/>
        <v>0</v>
      </c>
      <c r="Q199">
        <f t="shared" si="14"/>
        <v>10</v>
      </c>
      <c r="R199" s="1">
        <f t="shared" si="15"/>
        <v>470.3</v>
      </c>
    </row>
    <row r="200" spans="1:18" hidden="1" x14ac:dyDescent="0.3">
      <c r="A200" t="s">
        <v>3902</v>
      </c>
      <c r="B200" t="s">
        <v>3903</v>
      </c>
      <c r="C200" t="s">
        <v>47</v>
      </c>
      <c r="D200">
        <v>1</v>
      </c>
      <c r="E200">
        <v>1</v>
      </c>
      <c r="F200" t="s">
        <v>1073</v>
      </c>
      <c r="G200" s="1">
        <v>630</v>
      </c>
      <c r="H200">
        <v>0</v>
      </c>
      <c r="I200">
        <v>0.5</v>
      </c>
      <c r="J200">
        <v>1</v>
      </c>
      <c r="K200">
        <v>1</v>
      </c>
      <c r="L200">
        <f t="shared" si="12"/>
        <v>2</v>
      </c>
      <c r="M200">
        <v>0</v>
      </c>
      <c r="N200">
        <v>0</v>
      </c>
      <c r="O200">
        <v>2</v>
      </c>
      <c r="P200" s="1">
        <f t="shared" si="13"/>
        <v>0</v>
      </c>
      <c r="Q200">
        <f t="shared" si="14"/>
        <v>2</v>
      </c>
      <c r="R200" s="1">
        <f t="shared" si="15"/>
        <v>1260</v>
      </c>
    </row>
    <row r="201" spans="1:18" hidden="1" x14ac:dyDescent="0.3">
      <c r="A201" t="s">
        <v>3904</v>
      </c>
      <c r="B201" t="s">
        <v>3905</v>
      </c>
      <c r="C201" t="s">
        <v>47</v>
      </c>
      <c r="D201">
        <v>1</v>
      </c>
      <c r="E201">
        <v>6</v>
      </c>
      <c r="F201" t="s">
        <v>209</v>
      </c>
      <c r="G201" s="1">
        <v>208.69</v>
      </c>
      <c r="H201">
        <v>0</v>
      </c>
      <c r="I201">
        <v>0.5</v>
      </c>
      <c r="J201">
        <v>6</v>
      </c>
      <c r="K201">
        <v>3</v>
      </c>
      <c r="L201">
        <f t="shared" si="12"/>
        <v>6</v>
      </c>
      <c r="M201">
        <v>0</v>
      </c>
      <c r="N201">
        <v>0</v>
      </c>
      <c r="O201">
        <v>15</v>
      </c>
      <c r="P201" s="1">
        <f t="shared" si="13"/>
        <v>0</v>
      </c>
      <c r="Q201">
        <f t="shared" si="14"/>
        <v>15</v>
      </c>
      <c r="R201" s="1">
        <f t="shared" si="15"/>
        <v>3130.35</v>
      </c>
    </row>
    <row r="202" spans="1:18" hidden="1" x14ac:dyDescent="0.3">
      <c r="A202" t="s">
        <v>3906</v>
      </c>
      <c r="B202" t="s">
        <v>3907</v>
      </c>
      <c r="C202" t="s">
        <v>47</v>
      </c>
      <c r="D202">
        <v>1</v>
      </c>
      <c r="E202">
        <v>0</v>
      </c>
      <c r="G202" s="1">
        <v>0</v>
      </c>
      <c r="H202">
        <v>0</v>
      </c>
      <c r="I202">
        <v>0.5</v>
      </c>
      <c r="J202">
        <v>1</v>
      </c>
      <c r="K202">
        <v>1</v>
      </c>
      <c r="L202">
        <f t="shared" si="12"/>
        <v>2</v>
      </c>
      <c r="M202">
        <v>0</v>
      </c>
      <c r="N202">
        <v>0</v>
      </c>
      <c r="O202">
        <v>2</v>
      </c>
      <c r="P202" s="1">
        <f t="shared" si="13"/>
        <v>0</v>
      </c>
      <c r="Q202">
        <f t="shared" si="14"/>
        <v>2</v>
      </c>
      <c r="R202" s="1">
        <f t="shared" si="15"/>
        <v>0</v>
      </c>
    </row>
    <row r="203" spans="1:18" hidden="1" x14ac:dyDescent="0.3">
      <c r="A203" t="s">
        <v>3908</v>
      </c>
      <c r="B203" t="s">
        <v>3909</v>
      </c>
      <c r="C203" t="s">
        <v>47</v>
      </c>
      <c r="D203">
        <v>1</v>
      </c>
      <c r="E203">
        <v>0</v>
      </c>
      <c r="G203" s="1">
        <v>0</v>
      </c>
      <c r="H203">
        <v>0</v>
      </c>
      <c r="I203">
        <v>0.5</v>
      </c>
      <c r="J203">
        <v>1</v>
      </c>
      <c r="K203">
        <v>1</v>
      </c>
      <c r="L203">
        <f t="shared" si="12"/>
        <v>2</v>
      </c>
      <c r="M203">
        <v>0</v>
      </c>
      <c r="N203">
        <v>0</v>
      </c>
      <c r="O203">
        <v>2</v>
      </c>
      <c r="P203" s="1">
        <f t="shared" si="13"/>
        <v>0</v>
      </c>
      <c r="Q203">
        <f t="shared" si="14"/>
        <v>2</v>
      </c>
      <c r="R203" s="1">
        <f t="shared" si="15"/>
        <v>0</v>
      </c>
    </row>
    <row r="204" spans="1:18" hidden="1" x14ac:dyDescent="0.3">
      <c r="A204" t="s">
        <v>3910</v>
      </c>
      <c r="B204" t="s">
        <v>3911</v>
      </c>
      <c r="C204" t="s">
        <v>47</v>
      </c>
      <c r="D204">
        <v>3</v>
      </c>
      <c r="E204">
        <v>260</v>
      </c>
      <c r="F204" t="s">
        <v>280</v>
      </c>
      <c r="G204" s="1">
        <v>0.2</v>
      </c>
      <c r="H204">
        <v>0</v>
      </c>
      <c r="I204">
        <v>0.5</v>
      </c>
      <c r="J204">
        <v>87</v>
      </c>
      <c r="K204">
        <v>44</v>
      </c>
      <c r="L204">
        <f t="shared" si="12"/>
        <v>88</v>
      </c>
      <c r="M204">
        <v>0</v>
      </c>
      <c r="N204">
        <v>0</v>
      </c>
      <c r="O204">
        <v>218</v>
      </c>
      <c r="P204" s="1">
        <f t="shared" si="13"/>
        <v>0</v>
      </c>
      <c r="Q204">
        <f t="shared" si="14"/>
        <v>218</v>
      </c>
      <c r="R204" s="1">
        <f t="shared" si="15"/>
        <v>43.6</v>
      </c>
    </row>
    <row r="205" spans="1:18" hidden="1" x14ac:dyDescent="0.3">
      <c r="A205" t="s">
        <v>3912</v>
      </c>
      <c r="B205" t="s">
        <v>3913</v>
      </c>
      <c r="C205" t="s">
        <v>47</v>
      </c>
      <c r="D205">
        <v>1</v>
      </c>
      <c r="E205">
        <v>160</v>
      </c>
      <c r="F205" t="s">
        <v>280</v>
      </c>
      <c r="G205" s="1">
        <v>0.12</v>
      </c>
      <c r="H205">
        <v>0</v>
      </c>
      <c r="I205">
        <v>0.5</v>
      </c>
      <c r="J205">
        <v>160</v>
      </c>
      <c r="K205">
        <v>80</v>
      </c>
      <c r="L205">
        <f t="shared" si="12"/>
        <v>160</v>
      </c>
      <c r="M205">
        <v>0</v>
      </c>
      <c r="N205">
        <v>0</v>
      </c>
      <c r="O205">
        <v>400</v>
      </c>
      <c r="P205" s="1">
        <f t="shared" si="13"/>
        <v>0</v>
      </c>
      <c r="Q205">
        <f t="shared" si="14"/>
        <v>400</v>
      </c>
      <c r="R205" s="1">
        <f t="shared" si="15"/>
        <v>48</v>
      </c>
    </row>
    <row r="206" spans="1:18" hidden="1" x14ac:dyDescent="0.3">
      <c r="A206" t="s">
        <v>3914</v>
      </c>
      <c r="B206" t="s">
        <v>3915</v>
      </c>
      <c r="C206" t="s">
        <v>47</v>
      </c>
      <c r="D206">
        <v>4</v>
      </c>
      <c r="E206">
        <v>4</v>
      </c>
      <c r="F206" t="s">
        <v>654</v>
      </c>
      <c r="G206" s="1">
        <v>2509.5</v>
      </c>
      <c r="H206">
        <v>0</v>
      </c>
      <c r="I206">
        <v>0.5</v>
      </c>
      <c r="J206">
        <v>1</v>
      </c>
      <c r="K206">
        <v>1</v>
      </c>
      <c r="L206">
        <f t="shared" si="12"/>
        <v>2</v>
      </c>
      <c r="M206">
        <v>0</v>
      </c>
      <c r="N206">
        <v>0</v>
      </c>
      <c r="O206">
        <v>2</v>
      </c>
      <c r="P206" s="1">
        <f t="shared" si="13"/>
        <v>0</v>
      </c>
      <c r="Q206">
        <f t="shared" si="14"/>
        <v>2</v>
      </c>
      <c r="R206" s="1">
        <f t="shared" si="15"/>
        <v>5019</v>
      </c>
    </row>
    <row r="207" spans="1:18" hidden="1" x14ac:dyDescent="0.3">
      <c r="A207" t="s">
        <v>3916</v>
      </c>
      <c r="B207" t="s">
        <v>3917</v>
      </c>
      <c r="C207" t="s">
        <v>47</v>
      </c>
      <c r="D207">
        <v>1</v>
      </c>
      <c r="E207">
        <v>0</v>
      </c>
      <c r="G207" s="1">
        <v>0</v>
      </c>
      <c r="H207">
        <v>0</v>
      </c>
      <c r="I207">
        <v>0.5</v>
      </c>
      <c r="J207">
        <v>1</v>
      </c>
      <c r="K207">
        <v>1</v>
      </c>
      <c r="L207">
        <f t="shared" si="12"/>
        <v>2</v>
      </c>
      <c r="M207">
        <v>0</v>
      </c>
      <c r="N207">
        <v>0</v>
      </c>
      <c r="O207">
        <v>2</v>
      </c>
      <c r="P207" s="1">
        <f t="shared" si="13"/>
        <v>0</v>
      </c>
      <c r="Q207">
        <f t="shared" si="14"/>
        <v>2</v>
      </c>
      <c r="R207" s="1">
        <f t="shared" si="15"/>
        <v>0</v>
      </c>
    </row>
    <row r="208" spans="1:18" hidden="1" x14ac:dyDescent="0.3">
      <c r="A208" t="s">
        <v>3918</v>
      </c>
      <c r="B208" t="s">
        <v>3919</v>
      </c>
      <c r="C208" t="s">
        <v>47</v>
      </c>
      <c r="D208">
        <v>1</v>
      </c>
      <c r="E208">
        <v>0</v>
      </c>
      <c r="G208" s="1">
        <v>5000</v>
      </c>
      <c r="H208">
        <v>0</v>
      </c>
      <c r="I208">
        <v>0.5</v>
      </c>
      <c r="J208">
        <v>1</v>
      </c>
      <c r="K208">
        <v>1</v>
      </c>
      <c r="L208">
        <f t="shared" si="12"/>
        <v>2</v>
      </c>
      <c r="M208">
        <v>0</v>
      </c>
      <c r="N208">
        <v>0</v>
      </c>
      <c r="O208">
        <v>2</v>
      </c>
      <c r="P208" s="1">
        <f t="shared" si="13"/>
        <v>0</v>
      </c>
      <c r="Q208">
        <f t="shared" si="14"/>
        <v>2</v>
      </c>
      <c r="R208" s="1">
        <f t="shared" si="15"/>
        <v>10000</v>
      </c>
    </row>
    <row r="209" spans="1:18" hidden="1" x14ac:dyDescent="0.3">
      <c r="A209" t="s">
        <v>3920</v>
      </c>
      <c r="B209" t="s">
        <v>3552</v>
      </c>
      <c r="C209" t="s">
        <v>47</v>
      </c>
      <c r="D209">
        <v>1</v>
      </c>
      <c r="E209">
        <v>0</v>
      </c>
      <c r="G209" s="1">
        <v>0</v>
      </c>
      <c r="H209">
        <v>6</v>
      </c>
      <c r="I209">
        <v>0.5</v>
      </c>
      <c r="J209">
        <v>6</v>
      </c>
      <c r="K209">
        <v>3</v>
      </c>
      <c r="L209">
        <f t="shared" si="12"/>
        <v>6</v>
      </c>
      <c r="M209">
        <v>0</v>
      </c>
      <c r="N209">
        <v>0</v>
      </c>
      <c r="O209">
        <v>15</v>
      </c>
      <c r="P209" s="1">
        <f t="shared" si="13"/>
        <v>0</v>
      </c>
      <c r="Q209">
        <f t="shared" si="14"/>
        <v>15</v>
      </c>
      <c r="R209" s="1">
        <f t="shared" si="15"/>
        <v>0</v>
      </c>
    </row>
    <row r="210" spans="1:18" hidden="1" x14ac:dyDescent="0.3">
      <c r="A210" t="s">
        <v>3921</v>
      </c>
      <c r="B210" t="s">
        <v>3922</v>
      </c>
      <c r="C210" t="s">
        <v>47</v>
      </c>
      <c r="D210">
        <v>1</v>
      </c>
      <c r="E210">
        <v>16</v>
      </c>
      <c r="F210" t="s">
        <v>551</v>
      </c>
      <c r="G210" s="1">
        <v>727</v>
      </c>
      <c r="H210">
        <v>16</v>
      </c>
      <c r="I210">
        <v>0.5</v>
      </c>
      <c r="J210">
        <v>16</v>
      </c>
      <c r="K210">
        <v>8</v>
      </c>
      <c r="L210">
        <f t="shared" si="12"/>
        <v>16</v>
      </c>
      <c r="M210">
        <v>0</v>
      </c>
      <c r="N210">
        <v>0</v>
      </c>
      <c r="O210">
        <v>40</v>
      </c>
      <c r="P210" s="1">
        <f t="shared" si="13"/>
        <v>0</v>
      </c>
      <c r="Q210">
        <f t="shared" si="14"/>
        <v>40</v>
      </c>
      <c r="R210" s="1">
        <f t="shared" si="15"/>
        <v>29080</v>
      </c>
    </row>
    <row r="211" spans="1:18" hidden="1" x14ac:dyDescent="0.3">
      <c r="A211" t="s">
        <v>3923</v>
      </c>
      <c r="B211" t="s">
        <v>3924</v>
      </c>
      <c r="C211" t="s">
        <v>47</v>
      </c>
      <c r="D211">
        <v>1</v>
      </c>
      <c r="E211">
        <v>1</v>
      </c>
      <c r="F211" t="s">
        <v>3541</v>
      </c>
      <c r="G211" s="1">
        <v>100.65</v>
      </c>
      <c r="H211">
        <v>0</v>
      </c>
      <c r="I211">
        <v>0.5</v>
      </c>
      <c r="J211">
        <v>1</v>
      </c>
      <c r="K211">
        <v>1</v>
      </c>
      <c r="L211">
        <f t="shared" si="12"/>
        <v>2</v>
      </c>
      <c r="M211">
        <v>0</v>
      </c>
      <c r="N211">
        <v>0</v>
      </c>
      <c r="O211">
        <v>2</v>
      </c>
      <c r="P211" s="1">
        <f t="shared" si="13"/>
        <v>0</v>
      </c>
      <c r="Q211">
        <f t="shared" si="14"/>
        <v>2</v>
      </c>
      <c r="R211" s="1">
        <f t="shared" si="15"/>
        <v>201.3</v>
      </c>
    </row>
    <row r="212" spans="1:18" hidden="1" x14ac:dyDescent="0.3">
      <c r="A212" t="s">
        <v>3925</v>
      </c>
      <c r="B212" t="s">
        <v>3926</v>
      </c>
      <c r="C212" t="s">
        <v>47</v>
      </c>
      <c r="D212">
        <v>42</v>
      </c>
      <c r="E212">
        <v>11</v>
      </c>
      <c r="F212" t="s">
        <v>3541</v>
      </c>
      <c r="G212" s="1">
        <v>102.04</v>
      </c>
      <c r="H212">
        <v>0</v>
      </c>
      <c r="I212">
        <v>0.9</v>
      </c>
      <c r="J212">
        <v>1</v>
      </c>
      <c r="K212">
        <v>1</v>
      </c>
      <c r="L212">
        <f t="shared" si="12"/>
        <v>2</v>
      </c>
      <c r="M212">
        <v>0</v>
      </c>
      <c r="N212">
        <v>0</v>
      </c>
      <c r="O212">
        <v>3</v>
      </c>
      <c r="P212" s="1">
        <f t="shared" si="13"/>
        <v>0</v>
      </c>
      <c r="Q212">
        <f t="shared" si="14"/>
        <v>3</v>
      </c>
      <c r="R212" s="1">
        <f t="shared" si="15"/>
        <v>306.12</v>
      </c>
    </row>
    <row r="213" spans="1:18" hidden="1" x14ac:dyDescent="0.3">
      <c r="A213" t="s">
        <v>3927</v>
      </c>
      <c r="B213" t="s">
        <v>3928</v>
      </c>
      <c r="C213" t="s">
        <v>47</v>
      </c>
      <c r="D213">
        <v>1</v>
      </c>
      <c r="E213">
        <v>0</v>
      </c>
      <c r="G213" s="1">
        <v>0</v>
      </c>
      <c r="H213">
        <v>0</v>
      </c>
      <c r="I213">
        <v>0.5</v>
      </c>
      <c r="J213">
        <v>1</v>
      </c>
      <c r="K213">
        <v>1</v>
      </c>
      <c r="L213">
        <f t="shared" si="12"/>
        <v>2</v>
      </c>
      <c r="M213">
        <v>0</v>
      </c>
      <c r="N213">
        <v>0</v>
      </c>
      <c r="O213">
        <v>2</v>
      </c>
      <c r="P213" s="1">
        <f t="shared" si="13"/>
        <v>0</v>
      </c>
      <c r="Q213">
        <f t="shared" si="14"/>
        <v>2</v>
      </c>
      <c r="R213" s="1">
        <f t="shared" si="15"/>
        <v>0</v>
      </c>
    </row>
    <row r="214" spans="1:18" hidden="1" x14ac:dyDescent="0.3">
      <c r="A214" t="s">
        <v>3929</v>
      </c>
      <c r="B214" t="s">
        <v>3930</v>
      </c>
      <c r="C214" t="s">
        <v>47</v>
      </c>
      <c r="D214">
        <v>1</v>
      </c>
      <c r="E214">
        <v>100</v>
      </c>
      <c r="F214" t="s">
        <v>280</v>
      </c>
      <c r="G214" s="1">
        <v>0.5</v>
      </c>
      <c r="H214">
        <v>0</v>
      </c>
      <c r="I214">
        <v>0.5</v>
      </c>
      <c r="J214">
        <v>100</v>
      </c>
      <c r="K214">
        <v>50</v>
      </c>
      <c r="L214">
        <f t="shared" si="12"/>
        <v>100</v>
      </c>
      <c r="M214">
        <v>0</v>
      </c>
      <c r="N214">
        <v>0</v>
      </c>
      <c r="O214">
        <v>250</v>
      </c>
      <c r="P214" s="1">
        <f t="shared" si="13"/>
        <v>0</v>
      </c>
      <c r="Q214">
        <f t="shared" si="14"/>
        <v>250</v>
      </c>
      <c r="R214" s="1">
        <f t="shared" si="15"/>
        <v>125</v>
      </c>
    </row>
    <row r="215" spans="1:18" hidden="1" x14ac:dyDescent="0.3">
      <c r="A215" t="s">
        <v>3931</v>
      </c>
      <c r="B215" t="s">
        <v>3932</v>
      </c>
      <c r="C215" t="s">
        <v>47</v>
      </c>
      <c r="D215">
        <v>1</v>
      </c>
      <c r="E215">
        <v>100</v>
      </c>
      <c r="F215" t="s">
        <v>280</v>
      </c>
      <c r="G215" s="1">
        <v>0.8</v>
      </c>
      <c r="H215">
        <v>0</v>
      </c>
      <c r="I215">
        <v>0.5</v>
      </c>
      <c r="J215">
        <v>100</v>
      </c>
      <c r="K215">
        <v>50</v>
      </c>
      <c r="L215">
        <f t="shared" si="12"/>
        <v>100</v>
      </c>
      <c r="M215">
        <v>0</v>
      </c>
      <c r="N215">
        <v>0</v>
      </c>
      <c r="O215">
        <v>250</v>
      </c>
      <c r="P215" s="1">
        <f t="shared" si="13"/>
        <v>0</v>
      </c>
      <c r="Q215">
        <f t="shared" si="14"/>
        <v>250</v>
      </c>
      <c r="R215" s="1">
        <f t="shared" si="15"/>
        <v>200</v>
      </c>
    </row>
    <row r="216" spans="1:18" hidden="1" x14ac:dyDescent="0.3">
      <c r="A216" t="s">
        <v>3933</v>
      </c>
      <c r="B216" t="s">
        <v>3934</v>
      </c>
      <c r="C216" t="s">
        <v>47</v>
      </c>
      <c r="D216">
        <v>1</v>
      </c>
      <c r="E216">
        <v>100</v>
      </c>
      <c r="F216" t="s">
        <v>280</v>
      </c>
      <c r="G216" s="1">
        <v>1.8</v>
      </c>
      <c r="H216">
        <v>0</v>
      </c>
      <c r="I216">
        <v>0.5</v>
      </c>
      <c r="J216">
        <v>100</v>
      </c>
      <c r="K216">
        <v>50</v>
      </c>
      <c r="L216">
        <f t="shared" si="12"/>
        <v>100</v>
      </c>
      <c r="M216">
        <v>0</v>
      </c>
      <c r="N216">
        <v>0</v>
      </c>
      <c r="O216">
        <v>250</v>
      </c>
      <c r="P216" s="1">
        <f t="shared" si="13"/>
        <v>0</v>
      </c>
      <c r="Q216">
        <f t="shared" si="14"/>
        <v>250</v>
      </c>
      <c r="R216" s="1">
        <f t="shared" si="15"/>
        <v>450</v>
      </c>
    </row>
    <row r="217" spans="1:18" hidden="1" x14ac:dyDescent="0.3">
      <c r="A217" t="s">
        <v>3935</v>
      </c>
      <c r="B217" t="s">
        <v>3936</v>
      </c>
      <c r="C217" t="s">
        <v>47</v>
      </c>
      <c r="D217">
        <v>1</v>
      </c>
      <c r="E217">
        <v>0</v>
      </c>
      <c r="G217" s="1">
        <v>0</v>
      </c>
      <c r="H217">
        <v>1</v>
      </c>
      <c r="I217">
        <v>0.5</v>
      </c>
      <c r="J217">
        <v>1</v>
      </c>
      <c r="K217">
        <v>1</v>
      </c>
      <c r="L217">
        <f t="shared" si="12"/>
        <v>2</v>
      </c>
      <c r="M217">
        <v>0</v>
      </c>
      <c r="N217">
        <v>0</v>
      </c>
      <c r="O217">
        <v>2</v>
      </c>
      <c r="P217" s="1">
        <f t="shared" si="13"/>
        <v>0</v>
      </c>
      <c r="Q217">
        <f t="shared" si="14"/>
        <v>2</v>
      </c>
      <c r="R217" s="1">
        <f t="shared" si="15"/>
        <v>0</v>
      </c>
    </row>
    <row r="218" spans="1:18" hidden="1" x14ac:dyDescent="0.3">
      <c r="A218" t="s">
        <v>3937</v>
      </c>
      <c r="B218" t="s">
        <v>3938</v>
      </c>
      <c r="C218" t="s">
        <v>47</v>
      </c>
      <c r="D218">
        <v>1</v>
      </c>
      <c r="E218">
        <v>8</v>
      </c>
      <c r="F218" t="s">
        <v>3939</v>
      </c>
      <c r="G218" s="1">
        <v>26</v>
      </c>
      <c r="H218">
        <v>0</v>
      </c>
      <c r="I218">
        <v>0.7</v>
      </c>
      <c r="J218">
        <v>8</v>
      </c>
      <c r="K218">
        <v>6</v>
      </c>
      <c r="L218">
        <f t="shared" si="12"/>
        <v>12</v>
      </c>
      <c r="M218">
        <v>0</v>
      </c>
      <c r="N218">
        <v>0</v>
      </c>
      <c r="O218">
        <v>22</v>
      </c>
      <c r="P218" s="1">
        <f t="shared" si="13"/>
        <v>0</v>
      </c>
      <c r="Q218">
        <f t="shared" si="14"/>
        <v>22</v>
      </c>
      <c r="R218" s="1">
        <f t="shared" si="15"/>
        <v>572</v>
      </c>
    </row>
    <row r="219" spans="1:18" hidden="1" x14ac:dyDescent="0.3">
      <c r="A219" t="s">
        <v>3940</v>
      </c>
      <c r="B219" t="s">
        <v>3941</v>
      </c>
      <c r="C219" t="s">
        <v>47</v>
      </c>
      <c r="D219">
        <v>1</v>
      </c>
      <c r="E219">
        <v>4</v>
      </c>
      <c r="F219" t="s">
        <v>280</v>
      </c>
      <c r="G219" s="1">
        <v>16</v>
      </c>
      <c r="H219">
        <v>0</v>
      </c>
      <c r="I219">
        <v>0.5</v>
      </c>
      <c r="J219">
        <v>4</v>
      </c>
      <c r="K219">
        <v>2</v>
      </c>
      <c r="L219">
        <f t="shared" si="12"/>
        <v>4</v>
      </c>
      <c r="M219">
        <v>0</v>
      </c>
      <c r="N219">
        <v>0</v>
      </c>
      <c r="O219">
        <v>10</v>
      </c>
      <c r="P219" s="1">
        <f t="shared" si="13"/>
        <v>0</v>
      </c>
      <c r="Q219">
        <f t="shared" si="14"/>
        <v>10</v>
      </c>
      <c r="R219" s="1">
        <f t="shared" si="15"/>
        <v>160</v>
      </c>
    </row>
    <row r="220" spans="1:18" hidden="1" x14ac:dyDescent="0.3">
      <c r="A220" t="s">
        <v>3942</v>
      </c>
      <c r="B220" t="s">
        <v>3943</v>
      </c>
      <c r="C220" t="s">
        <v>47</v>
      </c>
      <c r="D220">
        <v>20</v>
      </c>
      <c r="E220">
        <v>360</v>
      </c>
      <c r="F220" t="s">
        <v>280</v>
      </c>
      <c r="G220" s="1">
        <v>1.8</v>
      </c>
      <c r="H220">
        <v>0</v>
      </c>
      <c r="I220">
        <v>0.5</v>
      </c>
      <c r="J220">
        <v>18</v>
      </c>
      <c r="K220">
        <v>9</v>
      </c>
      <c r="L220">
        <f t="shared" si="12"/>
        <v>18</v>
      </c>
      <c r="M220">
        <v>0</v>
      </c>
      <c r="N220">
        <v>0</v>
      </c>
      <c r="O220">
        <v>45</v>
      </c>
      <c r="P220" s="1">
        <f t="shared" si="13"/>
        <v>0</v>
      </c>
      <c r="Q220">
        <f t="shared" si="14"/>
        <v>45</v>
      </c>
      <c r="R220" s="1">
        <f t="shared" si="15"/>
        <v>81</v>
      </c>
    </row>
    <row r="221" spans="1:18" hidden="1" x14ac:dyDescent="0.3">
      <c r="A221" t="s">
        <v>3944</v>
      </c>
      <c r="B221" t="s">
        <v>3945</v>
      </c>
      <c r="C221" t="s">
        <v>47</v>
      </c>
      <c r="D221">
        <v>1</v>
      </c>
      <c r="E221">
        <v>160</v>
      </c>
      <c r="F221" t="s">
        <v>280</v>
      </c>
      <c r="G221" s="1">
        <v>3</v>
      </c>
      <c r="H221">
        <v>0</v>
      </c>
      <c r="I221">
        <v>0.5</v>
      </c>
      <c r="J221">
        <v>160</v>
      </c>
      <c r="K221">
        <v>80</v>
      </c>
      <c r="L221">
        <f t="shared" si="12"/>
        <v>160</v>
      </c>
      <c r="M221">
        <v>0</v>
      </c>
      <c r="N221">
        <v>0</v>
      </c>
      <c r="O221">
        <v>400</v>
      </c>
      <c r="P221" s="1">
        <f t="shared" si="13"/>
        <v>0</v>
      </c>
      <c r="Q221">
        <f t="shared" si="14"/>
        <v>400</v>
      </c>
      <c r="R221" s="1">
        <f t="shared" si="15"/>
        <v>1200</v>
      </c>
    </row>
    <row r="222" spans="1:18" hidden="1" x14ac:dyDescent="0.3">
      <c r="A222" t="s">
        <v>3946</v>
      </c>
      <c r="B222" t="s">
        <v>3947</v>
      </c>
      <c r="C222" t="s">
        <v>47</v>
      </c>
      <c r="D222">
        <v>1</v>
      </c>
      <c r="E222">
        <v>0</v>
      </c>
      <c r="G222" s="1">
        <v>4</v>
      </c>
      <c r="H222">
        <v>0</v>
      </c>
      <c r="I222">
        <v>0.5</v>
      </c>
      <c r="J222">
        <v>1</v>
      </c>
      <c r="K222">
        <v>1</v>
      </c>
      <c r="L222">
        <f t="shared" si="12"/>
        <v>2</v>
      </c>
      <c r="M222">
        <v>0</v>
      </c>
      <c r="N222">
        <v>0</v>
      </c>
      <c r="O222">
        <v>2</v>
      </c>
      <c r="P222" s="1">
        <f t="shared" si="13"/>
        <v>0</v>
      </c>
      <c r="Q222">
        <f t="shared" si="14"/>
        <v>2</v>
      </c>
      <c r="R222" s="1">
        <f t="shared" si="15"/>
        <v>8</v>
      </c>
    </row>
    <row r="223" spans="1:18" hidden="1" x14ac:dyDescent="0.3">
      <c r="A223" t="s">
        <v>3948</v>
      </c>
      <c r="B223" t="s">
        <v>3949</v>
      </c>
      <c r="C223" t="s">
        <v>47</v>
      </c>
      <c r="D223">
        <v>20</v>
      </c>
      <c r="E223">
        <v>288</v>
      </c>
      <c r="F223" t="s">
        <v>280</v>
      </c>
      <c r="G223" s="1">
        <v>4.4000000000000004</v>
      </c>
      <c r="H223">
        <v>0</v>
      </c>
      <c r="I223">
        <v>0.5</v>
      </c>
      <c r="J223">
        <v>14.5</v>
      </c>
      <c r="K223">
        <v>7</v>
      </c>
      <c r="L223">
        <f t="shared" si="12"/>
        <v>15</v>
      </c>
      <c r="M223">
        <v>0</v>
      </c>
      <c r="N223">
        <v>0</v>
      </c>
      <c r="O223">
        <v>36</v>
      </c>
      <c r="P223" s="1">
        <f t="shared" si="13"/>
        <v>0</v>
      </c>
      <c r="Q223">
        <f t="shared" si="14"/>
        <v>36</v>
      </c>
      <c r="R223" s="1">
        <f t="shared" si="15"/>
        <v>158.4</v>
      </c>
    </row>
    <row r="224" spans="1:18" hidden="1" x14ac:dyDescent="0.3">
      <c r="A224" t="s">
        <v>3950</v>
      </c>
      <c r="B224" t="s">
        <v>3951</v>
      </c>
      <c r="C224" t="s">
        <v>47</v>
      </c>
      <c r="D224">
        <v>20</v>
      </c>
      <c r="E224">
        <v>280</v>
      </c>
      <c r="F224" t="s">
        <v>280</v>
      </c>
      <c r="G224" s="1">
        <v>5.9</v>
      </c>
      <c r="H224">
        <v>0</v>
      </c>
      <c r="I224">
        <v>0.5</v>
      </c>
      <c r="J224">
        <v>14</v>
      </c>
      <c r="K224">
        <v>7</v>
      </c>
      <c r="L224">
        <f t="shared" si="12"/>
        <v>14</v>
      </c>
      <c r="M224">
        <v>0</v>
      </c>
      <c r="N224">
        <v>0</v>
      </c>
      <c r="O224">
        <v>35</v>
      </c>
      <c r="P224" s="1">
        <f t="shared" si="13"/>
        <v>0</v>
      </c>
      <c r="Q224">
        <f t="shared" si="14"/>
        <v>35</v>
      </c>
      <c r="R224" s="1">
        <f t="shared" si="15"/>
        <v>206.5</v>
      </c>
    </row>
    <row r="225" spans="1:18" hidden="1" x14ac:dyDescent="0.3">
      <c r="A225" t="s">
        <v>3952</v>
      </c>
      <c r="B225" t="s">
        <v>3953</v>
      </c>
      <c r="C225" t="s">
        <v>47</v>
      </c>
      <c r="D225">
        <v>21</v>
      </c>
      <c r="E225">
        <v>200</v>
      </c>
      <c r="F225" t="s">
        <v>280</v>
      </c>
      <c r="G225" s="1">
        <v>12.5</v>
      </c>
      <c r="H225">
        <v>0</v>
      </c>
      <c r="I225">
        <v>0.5</v>
      </c>
      <c r="J225">
        <v>10</v>
      </c>
      <c r="K225">
        <v>5</v>
      </c>
      <c r="L225">
        <f t="shared" si="12"/>
        <v>10</v>
      </c>
      <c r="M225">
        <v>0</v>
      </c>
      <c r="N225">
        <v>0</v>
      </c>
      <c r="O225">
        <v>25</v>
      </c>
      <c r="P225" s="1">
        <f t="shared" si="13"/>
        <v>0</v>
      </c>
      <c r="Q225">
        <f t="shared" si="14"/>
        <v>25</v>
      </c>
      <c r="R225" s="1">
        <f t="shared" si="15"/>
        <v>312.5</v>
      </c>
    </row>
    <row r="226" spans="1:18" hidden="1" x14ac:dyDescent="0.3">
      <c r="A226" t="s">
        <v>3954</v>
      </c>
      <c r="B226" t="s">
        <v>3955</v>
      </c>
      <c r="C226" t="s">
        <v>47</v>
      </c>
      <c r="D226">
        <v>3</v>
      </c>
      <c r="E226">
        <v>100</v>
      </c>
      <c r="F226" t="s">
        <v>280</v>
      </c>
      <c r="G226" s="1">
        <v>18</v>
      </c>
      <c r="H226">
        <v>0</v>
      </c>
      <c r="I226">
        <v>0.5</v>
      </c>
      <c r="J226">
        <v>33.5</v>
      </c>
      <c r="K226">
        <v>17</v>
      </c>
      <c r="L226">
        <f t="shared" si="12"/>
        <v>34</v>
      </c>
      <c r="M226">
        <v>0</v>
      </c>
      <c r="N226">
        <v>0</v>
      </c>
      <c r="O226">
        <v>84</v>
      </c>
      <c r="P226" s="1">
        <f t="shared" si="13"/>
        <v>0</v>
      </c>
      <c r="Q226">
        <f t="shared" si="14"/>
        <v>84</v>
      </c>
      <c r="R226" s="1">
        <f t="shared" si="15"/>
        <v>1512</v>
      </c>
    </row>
    <row r="227" spans="1:18" hidden="1" x14ac:dyDescent="0.3">
      <c r="A227" t="s">
        <v>3956</v>
      </c>
      <c r="B227" t="s">
        <v>3957</v>
      </c>
      <c r="C227" t="s">
        <v>47</v>
      </c>
      <c r="D227">
        <v>1</v>
      </c>
      <c r="E227">
        <v>60</v>
      </c>
      <c r="F227" t="s">
        <v>280</v>
      </c>
      <c r="G227" s="1">
        <v>20</v>
      </c>
      <c r="H227">
        <v>0</v>
      </c>
      <c r="I227">
        <v>0.5</v>
      </c>
      <c r="J227">
        <v>60</v>
      </c>
      <c r="K227">
        <v>30</v>
      </c>
      <c r="L227">
        <f t="shared" si="12"/>
        <v>60</v>
      </c>
      <c r="M227">
        <v>0</v>
      </c>
      <c r="N227">
        <v>0</v>
      </c>
      <c r="O227">
        <v>150</v>
      </c>
      <c r="P227" s="1">
        <f t="shared" si="13"/>
        <v>0</v>
      </c>
      <c r="Q227">
        <f t="shared" si="14"/>
        <v>150</v>
      </c>
      <c r="R227" s="1">
        <f t="shared" si="15"/>
        <v>3000</v>
      </c>
    </row>
    <row r="228" spans="1:18" hidden="1" x14ac:dyDescent="0.3">
      <c r="A228" t="s">
        <v>3958</v>
      </c>
      <c r="B228" t="s">
        <v>3959</v>
      </c>
      <c r="C228" t="s">
        <v>47</v>
      </c>
      <c r="D228">
        <v>1</v>
      </c>
      <c r="E228">
        <v>20</v>
      </c>
      <c r="F228" t="s">
        <v>280</v>
      </c>
      <c r="G228" s="1">
        <v>11</v>
      </c>
      <c r="H228">
        <v>0</v>
      </c>
      <c r="I228">
        <v>0.7</v>
      </c>
      <c r="J228">
        <v>20</v>
      </c>
      <c r="K228">
        <v>14</v>
      </c>
      <c r="L228">
        <f t="shared" si="12"/>
        <v>28</v>
      </c>
      <c r="M228">
        <v>0</v>
      </c>
      <c r="N228">
        <v>0</v>
      </c>
      <c r="O228">
        <v>54</v>
      </c>
      <c r="P228" s="1">
        <f t="shared" si="13"/>
        <v>0</v>
      </c>
      <c r="Q228">
        <f t="shared" si="14"/>
        <v>54</v>
      </c>
      <c r="R228" s="1">
        <f t="shared" si="15"/>
        <v>594</v>
      </c>
    </row>
    <row r="229" spans="1:18" hidden="1" x14ac:dyDescent="0.3">
      <c r="A229" t="s">
        <v>3960</v>
      </c>
      <c r="B229" t="s">
        <v>3961</v>
      </c>
      <c r="C229" t="s">
        <v>47</v>
      </c>
      <c r="D229">
        <v>1</v>
      </c>
      <c r="E229">
        <v>200</v>
      </c>
      <c r="F229" t="s">
        <v>280</v>
      </c>
      <c r="G229" s="1">
        <v>0.4</v>
      </c>
      <c r="H229">
        <v>0</v>
      </c>
      <c r="I229">
        <v>0.5</v>
      </c>
      <c r="J229">
        <v>200</v>
      </c>
      <c r="K229">
        <v>100</v>
      </c>
      <c r="L229">
        <f t="shared" si="12"/>
        <v>200</v>
      </c>
      <c r="M229">
        <v>0</v>
      </c>
      <c r="N229">
        <v>0</v>
      </c>
      <c r="O229">
        <v>500</v>
      </c>
      <c r="P229" s="1">
        <f t="shared" si="13"/>
        <v>0</v>
      </c>
      <c r="Q229">
        <f t="shared" si="14"/>
        <v>500</v>
      </c>
      <c r="R229" s="1">
        <f t="shared" si="15"/>
        <v>200</v>
      </c>
    </row>
    <row r="230" spans="1:18" hidden="1" x14ac:dyDescent="0.3">
      <c r="A230" t="s">
        <v>3962</v>
      </c>
      <c r="B230" t="s">
        <v>3963</v>
      </c>
      <c r="C230" t="s">
        <v>47</v>
      </c>
      <c r="D230">
        <v>1</v>
      </c>
      <c r="E230">
        <v>160</v>
      </c>
      <c r="F230" t="s">
        <v>280</v>
      </c>
      <c r="G230" s="1">
        <v>0.9</v>
      </c>
      <c r="H230">
        <v>0</v>
      </c>
      <c r="I230">
        <v>0.5</v>
      </c>
      <c r="J230">
        <v>160</v>
      </c>
      <c r="K230">
        <v>80</v>
      </c>
      <c r="L230">
        <f t="shared" si="12"/>
        <v>160</v>
      </c>
      <c r="M230">
        <v>0</v>
      </c>
      <c r="N230">
        <v>0</v>
      </c>
      <c r="O230">
        <v>400</v>
      </c>
      <c r="P230" s="1">
        <f t="shared" si="13"/>
        <v>0</v>
      </c>
      <c r="Q230">
        <f t="shared" si="14"/>
        <v>400</v>
      </c>
      <c r="R230" s="1">
        <f t="shared" si="15"/>
        <v>360</v>
      </c>
    </row>
    <row r="231" spans="1:18" hidden="1" x14ac:dyDescent="0.3">
      <c r="A231" t="s">
        <v>3964</v>
      </c>
      <c r="B231" t="s">
        <v>3965</v>
      </c>
      <c r="C231" t="s">
        <v>47</v>
      </c>
      <c r="D231">
        <v>1</v>
      </c>
      <c r="E231">
        <v>120</v>
      </c>
      <c r="F231" t="s">
        <v>280</v>
      </c>
      <c r="G231" s="1">
        <v>0.4</v>
      </c>
      <c r="H231">
        <v>0</v>
      </c>
      <c r="I231">
        <v>0.5</v>
      </c>
      <c r="J231">
        <v>120</v>
      </c>
      <c r="K231">
        <v>60</v>
      </c>
      <c r="L231">
        <f t="shared" si="12"/>
        <v>120</v>
      </c>
      <c r="M231">
        <v>0</v>
      </c>
      <c r="N231">
        <v>0</v>
      </c>
      <c r="O231">
        <v>300</v>
      </c>
      <c r="P231" s="1">
        <f t="shared" si="13"/>
        <v>0</v>
      </c>
      <c r="Q231">
        <f t="shared" si="14"/>
        <v>300</v>
      </c>
      <c r="R231" s="1">
        <f t="shared" si="15"/>
        <v>120</v>
      </c>
    </row>
    <row r="232" spans="1:18" hidden="1" x14ac:dyDescent="0.3">
      <c r="A232" t="s">
        <v>3966</v>
      </c>
      <c r="B232" t="s">
        <v>3967</v>
      </c>
      <c r="C232" t="s">
        <v>47</v>
      </c>
      <c r="D232">
        <v>1</v>
      </c>
      <c r="E232">
        <v>280</v>
      </c>
      <c r="F232" t="s">
        <v>280</v>
      </c>
      <c r="G232" s="1">
        <v>1.3</v>
      </c>
      <c r="H232">
        <v>0</v>
      </c>
      <c r="I232">
        <v>0.5</v>
      </c>
      <c r="J232">
        <v>280</v>
      </c>
      <c r="K232">
        <v>140</v>
      </c>
      <c r="L232">
        <f t="shared" si="12"/>
        <v>280</v>
      </c>
      <c r="M232">
        <v>0</v>
      </c>
      <c r="N232">
        <v>0</v>
      </c>
      <c r="O232">
        <v>700</v>
      </c>
      <c r="P232" s="1">
        <f t="shared" si="13"/>
        <v>0</v>
      </c>
      <c r="Q232">
        <f t="shared" si="14"/>
        <v>700</v>
      </c>
      <c r="R232" s="1">
        <f t="shared" si="15"/>
        <v>910</v>
      </c>
    </row>
    <row r="233" spans="1:18" hidden="1" x14ac:dyDescent="0.3">
      <c r="A233" t="s">
        <v>3968</v>
      </c>
      <c r="B233" t="s">
        <v>3969</v>
      </c>
      <c r="C233" t="s">
        <v>47</v>
      </c>
      <c r="D233">
        <v>1</v>
      </c>
      <c r="E233">
        <v>120</v>
      </c>
      <c r="F233" t="s">
        <v>280</v>
      </c>
      <c r="G233" s="1">
        <v>0.06</v>
      </c>
      <c r="H233">
        <v>0</v>
      </c>
      <c r="I233">
        <v>0.5</v>
      </c>
      <c r="J233">
        <v>120</v>
      </c>
      <c r="K233">
        <v>60</v>
      </c>
      <c r="L233">
        <f t="shared" si="12"/>
        <v>120</v>
      </c>
      <c r="M233">
        <v>0</v>
      </c>
      <c r="N233">
        <v>0</v>
      </c>
      <c r="O233">
        <v>300</v>
      </c>
      <c r="P233" s="1">
        <f t="shared" si="13"/>
        <v>0</v>
      </c>
      <c r="Q233">
        <f t="shared" si="14"/>
        <v>300</v>
      </c>
      <c r="R233" s="1">
        <f t="shared" si="15"/>
        <v>18</v>
      </c>
    </row>
    <row r="234" spans="1:18" hidden="1" x14ac:dyDescent="0.3">
      <c r="A234" t="s">
        <v>3970</v>
      </c>
      <c r="B234" t="s">
        <v>3971</v>
      </c>
      <c r="C234" t="s">
        <v>47</v>
      </c>
      <c r="D234">
        <v>1</v>
      </c>
      <c r="E234">
        <v>120</v>
      </c>
      <c r="F234" t="s">
        <v>280</v>
      </c>
      <c r="G234" s="1">
        <v>0.15</v>
      </c>
      <c r="H234">
        <v>0</v>
      </c>
      <c r="I234">
        <v>0.5</v>
      </c>
      <c r="J234">
        <v>120</v>
      </c>
      <c r="K234">
        <v>60</v>
      </c>
      <c r="L234">
        <f t="shared" si="12"/>
        <v>120</v>
      </c>
      <c r="M234">
        <v>0</v>
      </c>
      <c r="N234">
        <v>0</v>
      </c>
      <c r="O234">
        <v>300</v>
      </c>
      <c r="P234" s="1">
        <f t="shared" si="13"/>
        <v>0</v>
      </c>
      <c r="Q234">
        <f t="shared" si="14"/>
        <v>300</v>
      </c>
      <c r="R234" s="1">
        <f t="shared" si="15"/>
        <v>45</v>
      </c>
    </row>
    <row r="235" spans="1:18" hidden="1" x14ac:dyDescent="0.3">
      <c r="A235" t="s">
        <v>3972</v>
      </c>
      <c r="B235" t="s">
        <v>3973</v>
      </c>
      <c r="C235" t="s">
        <v>47</v>
      </c>
      <c r="D235">
        <v>1</v>
      </c>
      <c r="E235">
        <v>120</v>
      </c>
      <c r="F235" t="s">
        <v>280</v>
      </c>
      <c r="G235" s="1">
        <v>3</v>
      </c>
      <c r="H235">
        <v>0</v>
      </c>
      <c r="I235">
        <v>0.5</v>
      </c>
      <c r="J235">
        <v>120</v>
      </c>
      <c r="K235">
        <v>60</v>
      </c>
      <c r="L235">
        <f t="shared" si="12"/>
        <v>120</v>
      </c>
      <c r="M235">
        <v>0</v>
      </c>
      <c r="N235">
        <v>0</v>
      </c>
      <c r="O235">
        <v>300</v>
      </c>
      <c r="P235" s="1">
        <f t="shared" si="13"/>
        <v>0</v>
      </c>
      <c r="Q235">
        <f t="shared" si="14"/>
        <v>300</v>
      </c>
      <c r="R235" s="1">
        <f t="shared" si="15"/>
        <v>900</v>
      </c>
    </row>
    <row r="236" spans="1:18" hidden="1" x14ac:dyDescent="0.3">
      <c r="A236" t="s">
        <v>3974</v>
      </c>
      <c r="B236" t="s">
        <v>3975</v>
      </c>
      <c r="C236" t="s">
        <v>47</v>
      </c>
      <c r="D236">
        <v>1</v>
      </c>
      <c r="E236">
        <v>120</v>
      </c>
      <c r="F236" t="s">
        <v>280</v>
      </c>
      <c r="G236" s="1">
        <v>4.5</v>
      </c>
      <c r="H236">
        <v>0</v>
      </c>
      <c r="I236">
        <v>0.5</v>
      </c>
      <c r="J236">
        <v>120</v>
      </c>
      <c r="K236">
        <v>60</v>
      </c>
      <c r="L236">
        <f t="shared" si="12"/>
        <v>120</v>
      </c>
      <c r="M236">
        <v>0</v>
      </c>
      <c r="N236">
        <v>0</v>
      </c>
      <c r="O236">
        <v>300</v>
      </c>
      <c r="P236" s="1">
        <f t="shared" si="13"/>
        <v>0</v>
      </c>
      <c r="Q236">
        <f t="shared" si="14"/>
        <v>300</v>
      </c>
      <c r="R236" s="1">
        <f t="shared" si="15"/>
        <v>1350</v>
      </c>
    </row>
    <row r="237" spans="1:18" hidden="1" x14ac:dyDescent="0.3">
      <c r="A237" t="s">
        <v>3976</v>
      </c>
      <c r="B237" t="s">
        <v>3977</v>
      </c>
      <c r="C237" t="s">
        <v>47</v>
      </c>
      <c r="D237">
        <v>1</v>
      </c>
      <c r="E237">
        <v>80</v>
      </c>
      <c r="F237" t="s">
        <v>280</v>
      </c>
      <c r="G237" s="1">
        <v>45</v>
      </c>
      <c r="H237">
        <v>0</v>
      </c>
      <c r="I237">
        <v>0.5</v>
      </c>
      <c r="J237">
        <v>80</v>
      </c>
      <c r="K237">
        <v>40</v>
      </c>
      <c r="L237">
        <f t="shared" si="12"/>
        <v>80</v>
      </c>
      <c r="M237">
        <v>0</v>
      </c>
      <c r="N237">
        <v>0</v>
      </c>
      <c r="O237">
        <v>200</v>
      </c>
      <c r="P237" s="1">
        <f t="shared" si="13"/>
        <v>0</v>
      </c>
      <c r="Q237">
        <f t="shared" si="14"/>
        <v>200</v>
      </c>
      <c r="R237" s="1">
        <f t="shared" si="15"/>
        <v>9000</v>
      </c>
    </row>
    <row r="238" spans="1:18" hidden="1" x14ac:dyDescent="0.3">
      <c r="A238" t="s">
        <v>3978</v>
      </c>
      <c r="B238" t="s">
        <v>3979</v>
      </c>
      <c r="C238" t="s">
        <v>47</v>
      </c>
      <c r="D238">
        <v>1</v>
      </c>
      <c r="E238">
        <v>8</v>
      </c>
      <c r="F238" t="s">
        <v>280</v>
      </c>
      <c r="G238" s="1">
        <v>15</v>
      </c>
      <c r="H238">
        <v>0</v>
      </c>
      <c r="I238">
        <v>0.5</v>
      </c>
      <c r="J238">
        <v>8</v>
      </c>
      <c r="K238">
        <v>4</v>
      </c>
      <c r="L238">
        <f t="shared" si="12"/>
        <v>8</v>
      </c>
      <c r="M238">
        <v>0</v>
      </c>
      <c r="N238">
        <v>0</v>
      </c>
      <c r="O238">
        <v>20</v>
      </c>
      <c r="P238" s="1">
        <f t="shared" si="13"/>
        <v>0</v>
      </c>
      <c r="Q238">
        <f t="shared" si="14"/>
        <v>20</v>
      </c>
      <c r="R238" s="1">
        <f t="shared" si="15"/>
        <v>300</v>
      </c>
    </row>
    <row r="239" spans="1:18" hidden="1" x14ac:dyDescent="0.3">
      <c r="A239" t="s">
        <v>3980</v>
      </c>
      <c r="B239" t="s">
        <v>3981</v>
      </c>
      <c r="C239" t="s">
        <v>47</v>
      </c>
      <c r="D239">
        <v>1</v>
      </c>
      <c r="E239">
        <v>8</v>
      </c>
      <c r="F239" t="s">
        <v>280</v>
      </c>
      <c r="G239" s="1">
        <v>20</v>
      </c>
      <c r="H239">
        <v>0</v>
      </c>
      <c r="I239">
        <v>0.5</v>
      </c>
      <c r="J239">
        <v>8</v>
      </c>
      <c r="K239">
        <v>4</v>
      </c>
      <c r="L239">
        <f t="shared" si="12"/>
        <v>8</v>
      </c>
      <c r="M239">
        <v>0</v>
      </c>
      <c r="N239">
        <v>0</v>
      </c>
      <c r="O239">
        <v>20</v>
      </c>
      <c r="P239" s="1">
        <f t="shared" si="13"/>
        <v>0</v>
      </c>
      <c r="Q239">
        <f t="shared" si="14"/>
        <v>20</v>
      </c>
      <c r="R239" s="1">
        <f t="shared" si="15"/>
        <v>400</v>
      </c>
    </row>
    <row r="240" spans="1:18" hidden="1" x14ac:dyDescent="0.3">
      <c r="A240" t="s">
        <v>3982</v>
      </c>
      <c r="B240" t="s">
        <v>3983</v>
      </c>
      <c r="C240" t="s">
        <v>47</v>
      </c>
      <c r="D240">
        <v>1</v>
      </c>
      <c r="E240">
        <v>144</v>
      </c>
      <c r="F240" t="s">
        <v>280</v>
      </c>
      <c r="G240" s="1">
        <v>1.8</v>
      </c>
      <c r="H240">
        <v>0</v>
      </c>
      <c r="I240">
        <v>0.5</v>
      </c>
      <c r="J240">
        <v>144</v>
      </c>
      <c r="K240">
        <v>72</v>
      </c>
      <c r="L240">
        <f t="shared" si="12"/>
        <v>144</v>
      </c>
      <c r="M240">
        <v>0</v>
      </c>
      <c r="N240">
        <v>0</v>
      </c>
      <c r="O240">
        <v>360</v>
      </c>
      <c r="P240" s="1">
        <f t="shared" si="13"/>
        <v>0</v>
      </c>
      <c r="Q240">
        <f t="shared" si="14"/>
        <v>360</v>
      </c>
      <c r="R240" s="1">
        <f t="shared" si="15"/>
        <v>648</v>
      </c>
    </row>
    <row r="241" spans="1:18" hidden="1" x14ac:dyDescent="0.3">
      <c r="A241" t="s">
        <v>3984</v>
      </c>
      <c r="B241" t="s">
        <v>3985</v>
      </c>
      <c r="C241" t="s">
        <v>47</v>
      </c>
      <c r="D241">
        <v>1</v>
      </c>
      <c r="E241">
        <v>240</v>
      </c>
      <c r="F241" t="s">
        <v>280</v>
      </c>
      <c r="G241" s="1">
        <v>3.5</v>
      </c>
      <c r="H241">
        <v>0</v>
      </c>
      <c r="I241">
        <v>0.5</v>
      </c>
      <c r="J241">
        <v>240</v>
      </c>
      <c r="K241">
        <v>120</v>
      </c>
      <c r="L241">
        <f t="shared" si="12"/>
        <v>240</v>
      </c>
      <c r="M241">
        <v>0</v>
      </c>
      <c r="N241">
        <v>0</v>
      </c>
      <c r="O241">
        <v>600</v>
      </c>
      <c r="P241" s="1">
        <f t="shared" si="13"/>
        <v>0</v>
      </c>
      <c r="Q241">
        <f t="shared" si="14"/>
        <v>600</v>
      </c>
      <c r="R241" s="1">
        <f t="shared" si="15"/>
        <v>2100</v>
      </c>
    </row>
    <row r="242" spans="1:18" hidden="1" x14ac:dyDescent="0.3">
      <c r="A242" t="s">
        <v>3986</v>
      </c>
      <c r="B242" t="s">
        <v>3987</v>
      </c>
      <c r="C242" t="s">
        <v>47</v>
      </c>
      <c r="D242">
        <v>1</v>
      </c>
      <c r="E242">
        <v>300</v>
      </c>
      <c r="F242" t="s">
        <v>280</v>
      </c>
      <c r="G242" s="1">
        <v>0.3</v>
      </c>
      <c r="H242">
        <v>0</v>
      </c>
      <c r="I242">
        <v>0.5</v>
      </c>
      <c r="J242">
        <v>300</v>
      </c>
      <c r="K242">
        <v>150</v>
      </c>
      <c r="L242">
        <f t="shared" si="12"/>
        <v>300</v>
      </c>
      <c r="M242">
        <v>0</v>
      </c>
      <c r="N242">
        <v>0</v>
      </c>
      <c r="O242">
        <v>750</v>
      </c>
      <c r="P242" s="1">
        <f t="shared" si="13"/>
        <v>0</v>
      </c>
      <c r="Q242">
        <f t="shared" si="14"/>
        <v>750</v>
      </c>
      <c r="R242" s="1">
        <f t="shared" si="15"/>
        <v>225</v>
      </c>
    </row>
    <row r="243" spans="1:18" hidden="1" x14ac:dyDescent="0.3">
      <c r="A243" t="s">
        <v>3988</v>
      </c>
      <c r="B243" t="s">
        <v>3989</v>
      </c>
      <c r="C243" t="s">
        <v>47</v>
      </c>
      <c r="D243">
        <v>1</v>
      </c>
      <c r="E243">
        <v>0</v>
      </c>
      <c r="G243" s="1">
        <v>0</v>
      </c>
      <c r="H243">
        <v>0</v>
      </c>
      <c r="I243">
        <v>0.5</v>
      </c>
      <c r="J243">
        <v>1</v>
      </c>
      <c r="K243">
        <v>1</v>
      </c>
      <c r="L243">
        <f t="shared" si="12"/>
        <v>2</v>
      </c>
      <c r="M243">
        <v>0</v>
      </c>
      <c r="N243">
        <v>0</v>
      </c>
      <c r="O243">
        <v>2</v>
      </c>
      <c r="P243" s="1">
        <f t="shared" si="13"/>
        <v>0</v>
      </c>
      <c r="Q243">
        <f t="shared" si="14"/>
        <v>2</v>
      </c>
      <c r="R243" s="1">
        <f t="shared" si="15"/>
        <v>0</v>
      </c>
    </row>
    <row r="244" spans="1:18" hidden="1" x14ac:dyDescent="0.3">
      <c r="A244" t="s">
        <v>3990</v>
      </c>
      <c r="B244" t="s">
        <v>3991</v>
      </c>
      <c r="C244" t="s">
        <v>47</v>
      </c>
      <c r="D244">
        <v>1</v>
      </c>
      <c r="E244">
        <v>0</v>
      </c>
      <c r="G244" s="1">
        <v>0</v>
      </c>
      <c r="H244">
        <v>0</v>
      </c>
      <c r="I244">
        <v>0.5</v>
      </c>
      <c r="J244">
        <v>1</v>
      </c>
      <c r="K244">
        <v>1</v>
      </c>
      <c r="L244">
        <f t="shared" si="12"/>
        <v>2</v>
      </c>
      <c r="M244">
        <v>0</v>
      </c>
      <c r="N244">
        <v>0</v>
      </c>
      <c r="O244">
        <v>2</v>
      </c>
      <c r="P244" s="1">
        <f t="shared" si="13"/>
        <v>0</v>
      </c>
      <c r="Q244">
        <f t="shared" si="14"/>
        <v>2</v>
      </c>
      <c r="R244" s="1">
        <f t="shared" si="15"/>
        <v>0</v>
      </c>
    </row>
    <row r="245" spans="1:18" hidden="1" x14ac:dyDescent="0.3">
      <c r="A245" t="s">
        <v>3992</v>
      </c>
      <c r="B245" t="s">
        <v>3993</v>
      </c>
      <c r="C245" t="s">
        <v>47</v>
      </c>
      <c r="D245">
        <v>1</v>
      </c>
      <c r="E245">
        <v>3</v>
      </c>
      <c r="F245" t="s">
        <v>482</v>
      </c>
      <c r="G245" s="1">
        <v>653</v>
      </c>
      <c r="H245">
        <v>0</v>
      </c>
      <c r="I245">
        <v>0.5</v>
      </c>
      <c r="J245">
        <v>3</v>
      </c>
      <c r="K245">
        <v>2</v>
      </c>
      <c r="L245">
        <f t="shared" si="12"/>
        <v>4</v>
      </c>
      <c r="M245">
        <v>0</v>
      </c>
      <c r="N245">
        <v>0</v>
      </c>
      <c r="O245">
        <v>8</v>
      </c>
      <c r="P245" s="1">
        <f t="shared" si="13"/>
        <v>0</v>
      </c>
      <c r="Q245">
        <f t="shared" si="14"/>
        <v>8</v>
      </c>
      <c r="R245" s="1">
        <f t="shared" si="15"/>
        <v>5224</v>
      </c>
    </row>
    <row r="246" spans="1:18" hidden="1" x14ac:dyDescent="0.3">
      <c r="A246" t="s">
        <v>3994</v>
      </c>
      <c r="B246" t="s">
        <v>3995</v>
      </c>
      <c r="C246" t="s">
        <v>47</v>
      </c>
      <c r="D246">
        <v>1</v>
      </c>
      <c r="E246">
        <v>2</v>
      </c>
      <c r="F246" t="s">
        <v>206</v>
      </c>
      <c r="G246" s="1">
        <v>54.56</v>
      </c>
      <c r="H246">
        <v>0</v>
      </c>
      <c r="I246">
        <v>0.5</v>
      </c>
      <c r="J246">
        <v>2</v>
      </c>
      <c r="K246">
        <v>1</v>
      </c>
      <c r="L246">
        <f t="shared" si="12"/>
        <v>2</v>
      </c>
      <c r="M246">
        <v>0</v>
      </c>
      <c r="N246">
        <v>0</v>
      </c>
      <c r="O246">
        <v>5</v>
      </c>
      <c r="P246" s="1">
        <f t="shared" si="13"/>
        <v>0</v>
      </c>
      <c r="Q246">
        <f t="shared" si="14"/>
        <v>5</v>
      </c>
      <c r="R246" s="1">
        <f t="shared" si="15"/>
        <v>272.8</v>
      </c>
    </row>
    <row r="247" spans="1:18" hidden="1" x14ac:dyDescent="0.3">
      <c r="A247" t="s">
        <v>3996</v>
      </c>
      <c r="B247" t="s">
        <v>3552</v>
      </c>
      <c r="C247" t="s">
        <v>47</v>
      </c>
      <c r="D247">
        <v>12</v>
      </c>
      <c r="E247">
        <v>0</v>
      </c>
      <c r="G247" s="1">
        <v>0</v>
      </c>
      <c r="H247">
        <v>2</v>
      </c>
      <c r="I247">
        <v>0.5</v>
      </c>
      <c r="J247">
        <v>1</v>
      </c>
      <c r="K247">
        <v>1</v>
      </c>
      <c r="L247">
        <f t="shared" si="12"/>
        <v>2</v>
      </c>
      <c r="M247">
        <v>0</v>
      </c>
      <c r="N247">
        <v>0</v>
      </c>
      <c r="O247">
        <v>2</v>
      </c>
      <c r="P247" s="1">
        <f t="shared" si="13"/>
        <v>0</v>
      </c>
      <c r="Q247">
        <f t="shared" si="14"/>
        <v>2</v>
      </c>
      <c r="R247" s="1">
        <f t="shared" si="15"/>
        <v>0</v>
      </c>
    </row>
    <row r="248" spans="1:18" hidden="1" x14ac:dyDescent="0.3">
      <c r="A248" t="s">
        <v>3997</v>
      </c>
      <c r="B248" t="s">
        <v>3998</v>
      </c>
      <c r="C248" t="s">
        <v>47</v>
      </c>
      <c r="D248">
        <v>1</v>
      </c>
      <c r="E248">
        <v>3</v>
      </c>
      <c r="F248" t="s">
        <v>551</v>
      </c>
      <c r="G248" s="1">
        <v>818</v>
      </c>
      <c r="H248">
        <v>3</v>
      </c>
      <c r="I248">
        <v>0.5</v>
      </c>
      <c r="J248">
        <v>3</v>
      </c>
      <c r="K248">
        <v>2</v>
      </c>
      <c r="L248">
        <f t="shared" si="12"/>
        <v>4</v>
      </c>
      <c r="M248">
        <v>0</v>
      </c>
      <c r="N248">
        <v>0</v>
      </c>
      <c r="O248">
        <v>8</v>
      </c>
      <c r="P248" s="1">
        <f t="shared" si="13"/>
        <v>0</v>
      </c>
      <c r="Q248">
        <f t="shared" si="14"/>
        <v>8</v>
      </c>
      <c r="R248" s="1">
        <f t="shared" si="15"/>
        <v>6544</v>
      </c>
    </row>
    <row r="249" spans="1:18" hidden="1" x14ac:dyDescent="0.3">
      <c r="A249" t="s">
        <v>3999</v>
      </c>
      <c r="B249" t="s">
        <v>4000</v>
      </c>
      <c r="C249" t="s">
        <v>47</v>
      </c>
      <c r="D249">
        <v>1</v>
      </c>
      <c r="E249">
        <v>5</v>
      </c>
      <c r="F249" t="s">
        <v>3541</v>
      </c>
      <c r="G249" s="1">
        <v>159.27000000000001</v>
      </c>
      <c r="H249">
        <v>0</v>
      </c>
      <c r="I249">
        <v>1.9</v>
      </c>
      <c r="J249">
        <v>5</v>
      </c>
      <c r="K249">
        <v>10</v>
      </c>
      <c r="L249">
        <f t="shared" si="12"/>
        <v>20</v>
      </c>
      <c r="M249">
        <v>0</v>
      </c>
      <c r="N249">
        <v>0</v>
      </c>
      <c r="O249">
        <v>20</v>
      </c>
      <c r="P249" s="1">
        <f t="shared" si="13"/>
        <v>0</v>
      </c>
      <c r="Q249">
        <f t="shared" si="14"/>
        <v>20</v>
      </c>
      <c r="R249" s="1">
        <f t="shared" si="15"/>
        <v>3185.4</v>
      </c>
    </row>
    <row r="250" spans="1:18" hidden="1" x14ac:dyDescent="0.3">
      <c r="A250" t="s">
        <v>4001</v>
      </c>
      <c r="B250" t="s">
        <v>4002</v>
      </c>
      <c r="C250" t="s">
        <v>47</v>
      </c>
      <c r="D250">
        <v>1</v>
      </c>
      <c r="E250">
        <v>1</v>
      </c>
      <c r="F250" t="s">
        <v>3541</v>
      </c>
      <c r="G250" s="1">
        <v>154.81</v>
      </c>
      <c r="H250">
        <v>0</v>
      </c>
      <c r="I250">
        <v>0.5</v>
      </c>
      <c r="J250">
        <v>1</v>
      </c>
      <c r="K250">
        <v>1</v>
      </c>
      <c r="L250">
        <f t="shared" si="12"/>
        <v>2</v>
      </c>
      <c r="M250">
        <v>0</v>
      </c>
      <c r="N250">
        <v>0</v>
      </c>
      <c r="O250">
        <v>2</v>
      </c>
      <c r="P250" s="1">
        <f t="shared" si="13"/>
        <v>0</v>
      </c>
      <c r="Q250">
        <f t="shared" si="14"/>
        <v>2</v>
      </c>
      <c r="R250" s="1">
        <f t="shared" si="15"/>
        <v>309.62</v>
      </c>
    </row>
    <row r="251" spans="1:18" hidden="1" x14ac:dyDescent="0.3">
      <c r="A251" t="s">
        <v>4003</v>
      </c>
      <c r="B251" t="s">
        <v>4004</v>
      </c>
      <c r="C251" t="s">
        <v>47</v>
      </c>
      <c r="D251">
        <v>1</v>
      </c>
      <c r="E251">
        <v>2</v>
      </c>
      <c r="F251" t="s">
        <v>3541</v>
      </c>
      <c r="G251" s="1">
        <v>170.11</v>
      </c>
      <c r="H251">
        <v>0</v>
      </c>
      <c r="I251">
        <v>0.5</v>
      </c>
      <c r="J251">
        <v>2</v>
      </c>
      <c r="K251">
        <v>1</v>
      </c>
      <c r="L251">
        <f t="shared" si="12"/>
        <v>2</v>
      </c>
      <c r="M251">
        <v>0</v>
      </c>
      <c r="N251">
        <v>0</v>
      </c>
      <c r="O251">
        <v>5</v>
      </c>
      <c r="P251" s="1">
        <f t="shared" si="13"/>
        <v>0</v>
      </c>
      <c r="Q251">
        <f t="shared" si="14"/>
        <v>5</v>
      </c>
      <c r="R251" s="1">
        <f t="shared" si="15"/>
        <v>850.55000000000007</v>
      </c>
    </row>
    <row r="252" spans="1:18" hidden="1" x14ac:dyDescent="0.3">
      <c r="A252" t="s">
        <v>4005</v>
      </c>
      <c r="B252" t="s">
        <v>4006</v>
      </c>
      <c r="C252" t="s">
        <v>47</v>
      </c>
      <c r="D252">
        <v>1</v>
      </c>
      <c r="E252">
        <v>0</v>
      </c>
      <c r="G252" s="1">
        <v>0</v>
      </c>
      <c r="H252">
        <v>0</v>
      </c>
      <c r="I252">
        <v>0.5</v>
      </c>
      <c r="J252">
        <v>1</v>
      </c>
      <c r="K252">
        <v>1</v>
      </c>
      <c r="L252">
        <f t="shared" si="12"/>
        <v>2</v>
      </c>
      <c r="M252">
        <v>0</v>
      </c>
      <c r="N252">
        <v>0</v>
      </c>
      <c r="O252">
        <v>2</v>
      </c>
      <c r="P252" s="1">
        <f t="shared" si="13"/>
        <v>0</v>
      </c>
      <c r="Q252">
        <f t="shared" si="14"/>
        <v>2</v>
      </c>
      <c r="R252" s="1">
        <f t="shared" si="15"/>
        <v>0</v>
      </c>
    </row>
    <row r="253" spans="1:18" hidden="1" x14ac:dyDescent="0.3">
      <c r="A253" t="s">
        <v>4007</v>
      </c>
      <c r="B253" t="s">
        <v>4008</v>
      </c>
      <c r="C253" t="s">
        <v>47</v>
      </c>
      <c r="D253">
        <v>1</v>
      </c>
      <c r="E253">
        <v>120</v>
      </c>
      <c r="F253" t="s">
        <v>280</v>
      </c>
      <c r="G253" s="1">
        <v>1.5</v>
      </c>
      <c r="H253">
        <v>0</v>
      </c>
      <c r="I253">
        <v>0.5</v>
      </c>
      <c r="J253">
        <v>120</v>
      </c>
      <c r="K253">
        <v>60</v>
      </c>
      <c r="L253">
        <f t="shared" si="12"/>
        <v>120</v>
      </c>
      <c r="M253">
        <v>0</v>
      </c>
      <c r="N253">
        <v>0</v>
      </c>
      <c r="O253">
        <v>300</v>
      </c>
      <c r="P253" s="1">
        <f t="shared" si="13"/>
        <v>0</v>
      </c>
      <c r="Q253">
        <f t="shared" si="14"/>
        <v>300</v>
      </c>
      <c r="R253" s="1">
        <f t="shared" si="15"/>
        <v>450</v>
      </c>
    </row>
    <row r="254" spans="1:18" hidden="1" x14ac:dyDescent="0.3">
      <c r="A254" t="s">
        <v>4009</v>
      </c>
      <c r="B254" t="s">
        <v>4010</v>
      </c>
      <c r="C254" t="s">
        <v>47</v>
      </c>
      <c r="D254">
        <v>9</v>
      </c>
      <c r="E254">
        <v>610</v>
      </c>
      <c r="F254" t="s">
        <v>280</v>
      </c>
      <c r="G254" s="1">
        <v>1.88</v>
      </c>
      <c r="H254">
        <v>0</v>
      </c>
      <c r="I254">
        <v>0.5</v>
      </c>
      <c r="J254">
        <v>68</v>
      </c>
      <c r="K254">
        <v>34</v>
      </c>
      <c r="L254">
        <f t="shared" si="12"/>
        <v>68</v>
      </c>
      <c r="M254">
        <v>0</v>
      </c>
      <c r="N254">
        <v>0</v>
      </c>
      <c r="O254">
        <v>170</v>
      </c>
      <c r="P254" s="1">
        <f t="shared" si="13"/>
        <v>0</v>
      </c>
      <c r="Q254">
        <f t="shared" si="14"/>
        <v>170</v>
      </c>
      <c r="R254" s="1">
        <f t="shared" si="15"/>
        <v>319.59999999999997</v>
      </c>
    </row>
    <row r="255" spans="1:18" hidden="1" x14ac:dyDescent="0.3">
      <c r="A255" t="s">
        <v>4011</v>
      </c>
      <c r="B255" t="s">
        <v>4012</v>
      </c>
      <c r="C255" t="s">
        <v>47</v>
      </c>
      <c r="D255">
        <v>1</v>
      </c>
      <c r="E255">
        <v>200</v>
      </c>
      <c r="F255" t="s">
        <v>280</v>
      </c>
      <c r="G255" s="1">
        <v>0.15</v>
      </c>
      <c r="H255">
        <v>0</v>
      </c>
      <c r="I255">
        <v>0.5</v>
      </c>
      <c r="J255">
        <v>200</v>
      </c>
      <c r="K255">
        <v>100</v>
      </c>
      <c r="L255">
        <f t="shared" si="12"/>
        <v>200</v>
      </c>
      <c r="M255">
        <v>0</v>
      </c>
      <c r="N255">
        <v>0</v>
      </c>
      <c r="O255">
        <v>500</v>
      </c>
      <c r="P255" s="1">
        <f t="shared" si="13"/>
        <v>0</v>
      </c>
      <c r="Q255">
        <f t="shared" si="14"/>
        <v>500</v>
      </c>
      <c r="R255" s="1">
        <f t="shared" si="15"/>
        <v>75</v>
      </c>
    </row>
    <row r="256" spans="1:18" hidden="1" x14ac:dyDescent="0.3">
      <c r="A256" t="s">
        <v>4013</v>
      </c>
      <c r="B256" t="s">
        <v>4014</v>
      </c>
      <c r="C256" t="s">
        <v>47</v>
      </c>
      <c r="D256">
        <v>1</v>
      </c>
      <c r="E256">
        <v>40</v>
      </c>
      <c r="F256" t="s">
        <v>280</v>
      </c>
      <c r="G256" s="1">
        <v>0.9</v>
      </c>
      <c r="H256">
        <v>0</v>
      </c>
      <c r="I256">
        <v>0.5</v>
      </c>
      <c r="J256">
        <v>40</v>
      </c>
      <c r="K256">
        <v>20</v>
      </c>
      <c r="L256">
        <f t="shared" si="12"/>
        <v>40</v>
      </c>
      <c r="M256">
        <v>0</v>
      </c>
      <c r="N256">
        <v>0</v>
      </c>
      <c r="O256">
        <v>100</v>
      </c>
      <c r="P256" s="1">
        <f t="shared" si="13"/>
        <v>0</v>
      </c>
      <c r="Q256">
        <f t="shared" si="14"/>
        <v>100</v>
      </c>
      <c r="R256" s="1">
        <f t="shared" si="15"/>
        <v>90</v>
      </c>
    </row>
    <row r="257" spans="1:18" hidden="1" x14ac:dyDescent="0.3">
      <c r="A257" t="s">
        <v>4015</v>
      </c>
      <c r="B257" t="s">
        <v>4016</v>
      </c>
      <c r="C257" t="s">
        <v>47</v>
      </c>
      <c r="D257">
        <v>17</v>
      </c>
      <c r="E257">
        <v>500</v>
      </c>
      <c r="F257" t="s">
        <v>280</v>
      </c>
      <c r="G257" s="1">
        <v>0.2</v>
      </c>
      <c r="H257">
        <v>0</v>
      </c>
      <c r="I257">
        <v>0.5</v>
      </c>
      <c r="J257">
        <v>29.5</v>
      </c>
      <c r="K257">
        <v>15</v>
      </c>
      <c r="L257">
        <f t="shared" si="12"/>
        <v>30</v>
      </c>
      <c r="M257">
        <v>0</v>
      </c>
      <c r="N257">
        <v>0</v>
      </c>
      <c r="O257">
        <v>74</v>
      </c>
      <c r="P257" s="1">
        <f t="shared" si="13"/>
        <v>0</v>
      </c>
      <c r="Q257">
        <f t="shared" si="14"/>
        <v>74</v>
      </c>
      <c r="R257" s="1">
        <f t="shared" si="15"/>
        <v>14.8</v>
      </c>
    </row>
    <row r="258" spans="1:18" hidden="1" x14ac:dyDescent="0.3">
      <c r="A258" t="s">
        <v>4017</v>
      </c>
      <c r="B258" t="s">
        <v>4018</v>
      </c>
      <c r="C258" t="s">
        <v>47</v>
      </c>
      <c r="D258">
        <v>1</v>
      </c>
      <c r="E258">
        <v>0</v>
      </c>
      <c r="G258" s="1">
        <v>0</v>
      </c>
      <c r="H258">
        <v>0</v>
      </c>
      <c r="I258">
        <v>0.5</v>
      </c>
      <c r="J258">
        <v>1</v>
      </c>
      <c r="K258">
        <v>1</v>
      </c>
      <c r="L258">
        <f t="shared" ref="L258:L321" si="16">ROUNDUP((J258*I258)+K258,0)</f>
        <v>2</v>
      </c>
      <c r="M258">
        <v>0</v>
      </c>
      <c r="N258">
        <v>0</v>
      </c>
      <c r="O258">
        <v>2</v>
      </c>
      <c r="P258" s="1">
        <f t="shared" ref="P258:P321" si="17">IFERROR(M258*G258,0)</f>
        <v>0</v>
      </c>
      <c r="Q258">
        <f t="shared" ref="Q258:Q321" si="18">IF(O258-M258-N258&gt;0,O258-M258-N258,0)</f>
        <v>2</v>
      </c>
      <c r="R258" s="1">
        <f t="shared" ref="R258:R321" si="19">IFERROR(Q258*G258,0)</f>
        <v>0</v>
      </c>
    </row>
    <row r="259" spans="1:18" hidden="1" x14ac:dyDescent="0.3">
      <c r="A259" t="s">
        <v>4019</v>
      </c>
      <c r="B259" t="s">
        <v>4020</v>
      </c>
      <c r="C259" t="s">
        <v>47</v>
      </c>
      <c r="D259">
        <v>1</v>
      </c>
      <c r="E259">
        <v>0</v>
      </c>
      <c r="G259" s="1">
        <v>0</v>
      </c>
      <c r="H259">
        <v>0</v>
      </c>
      <c r="I259">
        <v>0.5</v>
      </c>
      <c r="J259">
        <v>1</v>
      </c>
      <c r="K259">
        <v>1</v>
      </c>
      <c r="L259">
        <f t="shared" si="16"/>
        <v>2</v>
      </c>
      <c r="M259">
        <v>0</v>
      </c>
      <c r="N259">
        <v>0</v>
      </c>
      <c r="O259">
        <v>2</v>
      </c>
      <c r="P259" s="1">
        <f t="shared" si="17"/>
        <v>0</v>
      </c>
      <c r="Q259">
        <f t="shared" si="18"/>
        <v>2</v>
      </c>
      <c r="R259" s="1">
        <f t="shared" si="19"/>
        <v>0</v>
      </c>
    </row>
    <row r="260" spans="1:18" hidden="1" x14ac:dyDescent="0.3">
      <c r="A260" t="s">
        <v>4021</v>
      </c>
      <c r="B260" t="s">
        <v>4022</v>
      </c>
      <c r="C260" t="s">
        <v>47</v>
      </c>
      <c r="D260">
        <v>1</v>
      </c>
      <c r="E260">
        <v>0</v>
      </c>
      <c r="G260" s="1">
        <v>0</v>
      </c>
      <c r="H260">
        <v>0</v>
      </c>
      <c r="I260">
        <v>0.5</v>
      </c>
      <c r="J260">
        <v>1</v>
      </c>
      <c r="K260">
        <v>1</v>
      </c>
      <c r="L260">
        <f t="shared" si="16"/>
        <v>2</v>
      </c>
      <c r="M260">
        <v>0</v>
      </c>
      <c r="N260">
        <v>0</v>
      </c>
      <c r="O260">
        <v>2</v>
      </c>
      <c r="P260" s="1">
        <f t="shared" si="17"/>
        <v>0</v>
      </c>
      <c r="Q260">
        <f t="shared" si="18"/>
        <v>2</v>
      </c>
      <c r="R260" s="1">
        <f t="shared" si="19"/>
        <v>0</v>
      </c>
    </row>
    <row r="261" spans="1:18" hidden="1" x14ac:dyDescent="0.3">
      <c r="A261" t="s">
        <v>4023</v>
      </c>
      <c r="B261" t="s">
        <v>4024</v>
      </c>
      <c r="C261" t="s">
        <v>47</v>
      </c>
      <c r="D261">
        <v>1</v>
      </c>
      <c r="E261">
        <v>0</v>
      </c>
      <c r="G261" s="1">
        <v>0</v>
      </c>
      <c r="H261">
        <v>0</v>
      </c>
      <c r="I261">
        <v>0.5</v>
      </c>
      <c r="J261">
        <v>1</v>
      </c>
      <c r="K261">
        <v>1</v>
      </c>
      <c r="L261">
        <f t="shared" si="16"/>
        <v>2</v>
      </c>
      <c r="M261">
        <v>0</v>
      </c>
      <c r="N261">
        <v>0</v>
      </c>
      <c r="O261">
        <v>2</v>
      </c>
      <c r="P261" s="1">
        <f t="shared" si="17"/>
        <v>0</v>
      </c>
      <c r="Q261">
        <f t="shared" si="18"/>
        <v>2</v>
      </c>
      <c r="R261" s="1">
        <f t="shared" si="19"/>
        <v>0</v>
      </c>
    </row>
    <row r="262" spans="1:18" hidden="1" x14ac:dyDescent="0.3">
      <c r="A262" t="s">
        <v>4025</v>
      </c>
      <c r="B262" t="s">
        <v>4026</v>
      </c>
      <c r="C262" t="s">
        <v>47</v>
      </c>
      <c r="D262">
        <v>1</v>
      </c>
      <c r="E262">
        <v>0</v>
      </c>
      <c r="G262" s="1">
        <v>0</v>
      </c>
      <c r="H262">
        <v>0</v>
      </c>
      <c r="I262">
        <v>0.5</v>
      </c>
      <c r="J262">
        <v>1</v>
      </c>
      <c r="K262">
        <v>1</v>
      </c>
      <c r="L262">
        <f t="shared" si="16"/>
        <v>2</v>
      </c>
      <c r="M262">
        <v>0</v>
      </c>
      <c r="N262">
        <v>0</v>
      </c>
      <c r="O262">
        <v>2</v>
      </c>
      <c r="P262" s="1">
        <f t="shared" si="17"/>
        <v>0</v>
      </c>
      <c r="Q262">
        <f t="shared" si="18"/>
        <v>2</v>
      </c>
      <c r="R262" s="1">
        <f t="shared" si="19"/>
        <v>0</v>
      </c>
    </row>
    <row r="263" spans="1:18" hidden="1" x14ac:dyDescent="0.3">
      <c r="A263" t="s">
        <v>4027</v>
      </c>
      <c r="B263" t="s">
        <v>4028</v>
      </c>
      <c r="C263" t="s">
        <v>47</v>
      </c>
      <c r="D263">
        <v>1</v>
      </c>
      <c r="E263">
        <v>0</v>
      </c>
      <c r="G263" s="1">
        <v>0</v>
      </c>
      <c r="H263">
        <v>0</v>
      </c>
      <c r="I263">
        <v>0.5</v>
      </c>
      <c r="J263">
        <v>1</v>
      </c>
      <c r="K263">
        <v>1</v>
      </c>
      <c r="L263">
        <f t="shared" si="16"/>
        <v>2</v>
      </c>
      <c r="M263">
        <v>0</v>
      </c>
      <c r="N263">
        <v>0</v>
      </c>
      <c r="O263">
        <v>2</v>
      </c>
      <c r="P263" s="1">
        <f t="shared" si="17"/>
        <v>0</v>
      </c>
      <c r="Q263">
        <f t="shared" si="18"/>
        <v>2</v>
      </c>
      <c r="R263" s="1">
        <f t="shared" si="19"/>
        <v>0</v>
      </c>
    </row>
    <row r="264" spans="1:18" hidden="1" x14ac:dyDescent="0.3">
      <c r="A264" t="s">
        <v>4029</v>
      </c>
      <c r="B264" t="s">
        <v>4030</v>
      </c>
      <c r="C264" t="s">
        <v>47</v>
      </c>
      <c r="D264">
        <v>1</v>
      </c>
      <c r="E264">
        <v>0</v>
      </c>
      <c r="G264" s="1">
        <v>0</v>
      </c>
      <c r="H264">
        <v>0</v>
      </c>
      <c r="I264">
        <v>0.5</v>
      </c>
      <c r="J264">
        <v>1</v>
      </c>
      <c r="K264">
        <v>1</v>
      </c>
      <c r="L264">
        <f t="shared" si="16"/>
        <v>2</v>
      </c>
      <c r="M264">
        <v>0</v>
      </c>
      <c r="N264">
        <v>0</v>
      </c>
      <c r="O264">
        <v>2</v>
      </c>
      <c r="P264" s="1">
        <f t="shared" si="17"/>
        <v>0</v>
      </c>
      <c r="Q264">
        <f t="shared" si="18"/>
        <v>2</v>
      </c>
      <c r="R264" s="1">
        <f t="shared" si="19"/>
        <v>0</v>
      </c>
    </row>
    <row r="265" spans="1:18" hidden="1" x14ac:dyDescent="0.3">
      <c r="A265" t="s">
        <v>4031</v>
      </c>
      <c r="B265" t="s">
        <v>4032</v>
      </c>
      <c r="C265" t="s">
        <v>47</v>
      </c>
      <c r="D265">
        <v>1</v>
      </c>
      <c r="E265">
        <v>0</v>
      </c>
      <c r="G265" s="1">
        <v>0</v>
      </c>
      <c r="H265">
        <v>0</v>
      </c>
      <c r="I265">
        <v>0.5</v>
      </c>
      <c r="J265">
        <v>1</v>
      </c>
      <c r="K265">
        <v>1</v>
      </c>
      <c r="L265">
        <f t="shared" si="16"/>
        <v>2</v>
      </c>
      <c r="M265">
        <v>0</v>
      </c>
      <c r="N265">
        <v>0</v>
      </c>
      <c r="O265">
        <v>2</v>
      </c>
      <c r="P265" s="1">
        <f t="shared" si="17"/>
        <v>0</v>
      </c>
      <c r="Q265">
        <f t="shared" si="18"/>
        <v>2</v>
      </c>
      <c r="R265" s="1">
        <f t="shared" si="19"/>
        <v>0</v>
      </c>
    </row>
    <row r="266" spans="1:18" hidden="1" x14ac:dyDescent="0.3">
      <c r="A266" t="s">
        <v>4033</v>
      </c>
      <c r="B266" t="s">
        <v>4034</v>
      </c>
      <c r="C266" t="s">
        <v>47</v>
      </c>
      <c r="D266">
        <v>1</v>
      </c>
      <c r="E266">
        <v>0</v>
      </c>
      <c r="G266" s="1">
        <v>0</v>
      </c>
      <c r="H266">
        <v>0</v>
      </c>
      <c r="I266">
        <v>0.5</v>
      </c>
      <c r="J266">
        <v>1</v>
      </c>
      <c r="K266">
        <v>1</v>
      </c>
      <c r="L266">
        <f t="shared" si="16"/>
        <v>2</v>
      </c>
      <c r="M266">
        <v>0</v>
      </c>
      <c r="N266">
        <v>0</v>
      </c>
      <c r="O266">
        <v>2</v>
      </c>
      <c r="P266" s="1">
        <f t="shared" si="17"/>
        <v>0</v>
      </c>
      <c r="Q266">
        <f t="shared" si="18"/>
        <v>2</v>
      </c>
      <c r="R266" s="1">
        <f t="shared" si="19"/>
        <v>0</v>
      </c>
    </row>
    <row r="267" spans="1:18" hidden="1" x14ac:dyDescent="0.3">
      <c r="A267" t="s">
        <v>4035</v>
      </c>
      <c r="B267" t="s">
        <v>4036</v>
      </c>
      <c r="C267" t="s">
        <v>47</v>
      </c>
      <c r="D267">
        <v>1</v>
      </c>
      <c r="E267">
        <v>0</v>
      </c>
      <c r="G267" s="1">
        <v>0</v>
      </c>
      <c r="H267">
        <v>0</v>
      </c>
      <c r="I267">
        <v>0.5</v>
      </c>
      <c r="J267">
        <v>1</v>
      </c>
      <c r="K267">
        <v>1</v>
      </c>
      <c r="L267">
        <f t="shared" si="16"/>
        <v>2</v>
      </c>
      <c r="M267">
        <v>0</v>
      </c>
      <c r="N267">
        <v>0</v>
      </c>
      <c r="O267">
        <v>2</v>
      </c>
      <c r="P267" s="1">
        <f t="shared" si="17"/>
        <v>0</v>
      </c>
      <c r="Q267">
        <f t="shared" si="18"/>
        <v>2</v>
      </c>
      <c r="R267" s="1">
        <f t="shared" si="19"/>
        <v>0</v>
      </c>
    </row>
    <row r="268" spans="1:18" hidden="1" x14ac:dyDescent="0.3">
      <c r="A268" t="s">
        <v>4037</v>
      </c>
      <c r="B268" t="s">
        <v>4038</v>
      </c>
      <c r="C268" t="s">
        <v>47</v>
      </c>
      <c r="D268">
        <v>1</v>
      </c>
      <c r="E268">
        <v>0</v>
      </c>
      <c r="G268" s="1">
        <v>0</v>
      </c>
      <c r="H268">
        <v>0</v>
      </c>
      <c r="I268">
        <v>0.5</v>
      </c>
      <c r="J268">
        <v>1</v>
      </c>
      <c r="K268">
        <v>1</v>
      </c>
      <c r="L268">
        <f t="shared" si="16"/>
        <v>2</v>
      </c>
      <c r="M268">
        <v>0</v>
      </c>
      <c r="N268">
        <v>0</v>
      </c>
      <c r="O268">
        <v>2</v>
      </c>
      <c r="P268" s="1">
        <f t="shared" si="17"/>
        <v>0</v>
      </c>
      <c r="Q268">
        <f t="shared" si="18"/>
        <v>2</v>
      </c>
      <c r="R268" s="1">
        <f t="shared" si="19"/>
        <v>0</v>
      </c>
    </row>
    <row r="269" spans="1:18" hidden="1" x14ac:dyDescent="0.3">
      <c r="A269" t="s">
        <v>4039</v>
      </c>
      <c r="B269" t="s">
        <v>4040</v>
      </c>
      <c r="C269" t="s">
        <v>47</v>
      </c>
      <c r="D269">
        <v>1</v>
      </c>
      <c r="E269">
        <v>0</v>
      </c>
      <c r="G269" s="1">
        <v>0</v>
      </c>
      <c r="H269">
        <v>0</v>
      </c>
      <c r="I269">
        <v>0.5</v>
      </c>
      <c r="J269">
        <v>1</v>
      </c>
      <c r="K269">
        <v>1</v>
      </c>
      <c r="L269">
        <f t="shared" si="16"/>
        <v>2</v>
      </c>
      <c r="M269">
        <v>0</v>
      </c>
      <c r="N269">
        <v>0</v>
      </c>
      <c r="O269">
        <v>2</v>
      </c>
      <c r="P269" s="1">
        <f t="shared" si="17"/>
        <v>0</v>
      </c>
      <c r="Q269">
        <f t="shared" si="18"/>
        <v>2</v>
      </c>
      <c r="R269" s="1">
        <f t="shared" si="19"/>
        <v>0</v>
      </c>
    </row>
    <row r="270" spans="1:18" hidden="1" x14ac:dyDescent="0.3">
      <c r="A270" t="s">
        <v>4041</v>
      </c>
      <c r="B270" t="s">
        <v>4042</v>
      </c>
      <c r="C270" t="s">
        <v>47</v>
      </c>
      <c r="D270">
        <v>1</v>
      </c>
      <c r="E270">
        <v>0</v>
      </c>
      <c r="G270" s="1">
        <v>0</v>
      </c>
      <c r="H270">
        <v>0</v>
      </c>
      <c r="I270">
        <v>0.5</v>
      </c>
      <c r="J270">
        <v>1</v>
      </c>
      <c r="K270">
        <v>1</v>
      </c>
      <c r="L270">
        <f t="shared" si="16"/>
        <v>2</v>
      </c>
      <c r="M270">
        <v>0</v>
      </c>
      <c r="N270">
        <v>0</v>
      </c>
      <c r="O270">
        <v>2</v>
      </c>
      <c r="P270" s="1">
        <f t="shared" si="17"/>
        <v>0</v>
      </c>
      <c r="Q270">
        <f t="shared" si="18"/>
        <v>2</v>
      </c>
      <c r="R270" s="1">
        <f t="shared" si="19"/>
        <v>0</v>
      </c>
    </row>
    <row r="271" spans="1:18" hidden="1" x14ac:dyDescent="0.3">
      <c r="A271" t="s">
        <v>4043</v>
      </c>
      <c r="B271" t="s">
        <v>4044</v>
      </c>
      <c r="C271" t="s">
        <v>47</v>
      </c>
      <c r="D271">
        <v>1</v>
      </c>
      <c r="E271">
        <v>0</v>
      </c>
      <c r="G271" s="1">
        <v>0</v>
      </c>
      <c r="H271">
        <v>0</v>
      </c>
      <c r="I271">
        <v>0.5</v>
      </c>
      <c r="J271">
        <v>1</v>
      </c>
      <c r="K271">
        <v>1</v>
      </c>
      <c r="L271">
        <f t="shared" si="16"/>
        <v>2</v>
      </c>
      <c r="M271">
        <v>0</v>
      </c>
      <c r="N271">
        <v>0</v>
      </c>
      <c r="O271">
        <v>2</v>
      </c>
      <c r="P271" s="1">
        <f t="shared" si="17"/>
        <v>0</v>
      </c>
      <c r="Q271">
        <f t="shared" si="18"/>
        <v>2</v>
      </c>
      <c r="R271" s="1">
        <f t="shared" si="19"/>
        <v>0</v>
      </c>
    </row>
    <row r="272" spans="1:18" hidden="1" x14ac:dyDescent="0.3">
      <c r="A272" t="s">
        <v>4045</v>
      </c>
      <c r="B272" t="s">
        <v>4046</v>
      </c>
      <c r="C272" t="s">
        <v>47</v>
      </c>
      <c r="D272">
        <v>1</v>
      </c>
      <c r="E272">
        <v>0</v>
      </c>
      <c r="G272" s="1">
        <v>0</v>
      </c>
      <c r="H272">
        <v>0</v>
      </c>
      <c r="I272">
        <v>0.5</v>
      </c>
      <c r="J272">
        <v>1</v>
      </c>
      <c r="K272">
        <v>1</v>
      </c>
      <c r="L272">
        <f t="shared" si="16"/>
        <v>2</v>
      </c>
      <c r="M272">
        <v>0</v>
      </c>
      <c r="N272">
        <v>0</v>
      </c>
      <c r="O272">
        <v>2</v>
      </c>
      <c r="P272" s="1">
        <f t="shared" si="17"/>
        <v>0</v>
      </c>
      <c r="Q272">
        <f t="shared" si="18"/>
        <v>2</v>
      </c>
      <c r="R272" s="1">
        <f t="shared" si="19"/>
        <v>0</v>
      </c>
    </row>
    <row r="273" spans="1:18" hidden="1" x14ac:dyDescent="0.3">
      <c r="A273" t="s">
        <v>4047</v>
      </c>
      <c r="B273" t="s">
        <v>4048</v>
      </c>
      <c r="C273" t="s">
        <v>47</v>
      </c>
      <c r="D273">
        <v>1</v>
      </c>
      <c r="E273">
        <v>0</v>
      </c>
      <c r="G273" s="1">
        <v>0</v>
      </c>
      <c r="H273">
        <v>0</v>
      </c>
      <c r="I273">
        <v>0.5</v>
      </c>
      <c r="J273">
        <v>1</v>
      </c>
      <c r="K273">
        <v>1</v>
      </c>
      <c r="L273">
        <f t="shared" si="16"/>
        <v>2</v>
      </c>
      <c r="M273">
        <v>0</v>
      </c>
      <c r="N273">
        <v>0</v>
      </c>
      <c r="O273">
        <v>2</v>
      </c>
      <c r="P273" s="1">
        <f t="shared" si="17"/>
        <v>0</v>
      </c>
      <c r="Q273">
        <f t="shared" si="18"/>
        <v>2</v>
      </c>
      <c r="R273" s="1">
        <f t="shared" si="19"/>
        <v>0</v>
      </c>
    </row>
    <row r="274" spans="1:18" hidden="1" x14ac:dyDescent="0.3">
      <c r="A274" t="s">
        <v>4049</v>
      </c>
      <c r="B274" t="s">
        <v>4050</v>
      </c>
      <c r="C274" t="s">
        <v>47</v>
      </c>
      <c r="D274">
        <v>1</v>
      </c>
      <c r="E274">
        <v>0</v>
      </c>
      <c r="G274" s="1">
        <v>0</v>
      </c>
      <c r="H274">
        <v>0</v>
      </c>
      <c r="I274">
        <v>0.5</v>
      </c>
      <c r="J274">
        <v>1</v>
      </c>
      <c r="K274">
        <v>1</v>
      </c>
      <c r="L274">
        <f t="shared" si="16"/>
        <v>2</v>
      </c>
      <c r="M274">
        <v>0</v>
      </c>
      <c r="N274">
        <v>0</v>
      </c>
      <c r="O274">
        <v>2</v>
      </c>
      <c r="P274" s="1">
        <f t="shared" si="17"/>
        <v>0</v>
      </c>
      <c r="Q274">
        <f t="shared" si="18"/>
        <v>2</v>
      </c>
      <c r="R274" s="1">
        <f t="shared" si="19"/>
        <v>0</v>
      </c>
    </row>
    <row r="275" spans="1:18" hidden="1" x14ac:dyDescent="0.3">
      <c r="A275" t="s">
        <v>4051</v>
      </c>
      <c r="B275" t="s">
        <v>4052</v>
      </c>
      <c r="C275" t="s">
        <v>47</v>
      </c>
      <c r="D275">
        <v>1</v>
      </c>
      <c r="E275">
        <v>0</v>
      </c>
      <c r="G275" s="1">
        <v>0</v>
      </c>
      <c r="H275">
        <v>0</v>
      </c>
      <c r="I275">
        <v>0.5</v>
      </c>
      <c r="J275">
        <v>1</v>
      </c>
      <c r="K275">
        <v>1</v>
      </c>
      <c r="L275">
        <f t="shared" si="16"/>
        <v>2</v>
      </c>
      <c r="M275">
        <v>0</v>
      </c>
      <c r="N275">
        <v>0</v>
      </c>
      <c r="O275">
        <v>2</v>
      </c>
      <c r="P275" s="1">
        <f t="shared" si="17"/>
        <v>0</v>
      </c>
      <c r="Q275">
        <f t="shared" si="18"/>
        <v>2</v>
      </c>
      <c r="R275" s="1">
        <f t="shared" si="19"/>
        <v>0</v>
      </c>
    </row>
    <row r="276" spans="1:18" hidden="1" x14ac:dyDescent="0.3">
      <c r="A276" t="s">
        <v>4053</v>
      </c>
      <c r="B276" t="s">
        <v>4054</v>
      </c>
      <c r="C276" t="s">
        <v>47</v>
      </c>
      <c r="D276">
        <v>1</v>
      </c>
      <c r="E276">
        <v>0</v>
      </c>
      <c r="G276" s="1">
        <v>0</v>
      </c>
      <c r="H276">
        <v>0</v>
      </c>
      <c r="I276">
        <v>0.5</v>
      </c>
      <c r="J276">
        <v>1</v>
      </c>
      <c r="K276">
        <v>1</v>
      </c>
      <c r="L276">
        <f t="shared" si="16"/>
        <v>2</v>
      </c>
      <c r="M276">
        <v>0</v>
      </c>
      <c r="N276">
        <v>0</v>
      </c>
      <c r="O276">
        <v>2</v>
      </c>
      <c r="P276" s="1">
        <f t="shared" si="17"/>
        <v>0</v>
      </c>
      <c r="Q276">
        <f t="shared" si="18"/>
        <v>2</v>
      </c>
      <c r="R276" s="1">
        <f t="shared" si="19"/>
        <v>0</v>
      </c>
    </row>
    <row r="277" spans="1:18" hidden="1" x14ac:dyDescent="0.3">
      <c r="A277" t="s">
        <v>4055</v>
      </c>
      <c r="B277" t="s">
        <v>4056</v>
      </c>
      <c r="C277" t="s">
        <v>47</v>
      </c>
      <c r="D277">
        <v>1</v>
      </c>
      <c r="E277">
        <v>0</v>
      </c>
      <c r="G277" s="1">
        <v>0</v>
      </c>
      <c r="H277">
        <v>0</v>
      </c>
      <c r="I277">
        <v>0.5</v>
      </c>
      <c r="J277">
        <v>1</v>
      </c>
      <c r="K277">
        <v>1</v>
      </c>
      <c r="L277">
        <f t="shared" si="16"/>
        <v>2</v>
      </c>
      <c r="M277">
        <v>0</v>
      </c>
      <c r="N277">
        <v>0</v>
      </c>
      <c r="O277">
        <v>2</v>
      </c>
      <c r="P277" s="1">
        <f t="shared" si="17"/>
        <v>0</v>
      </c>
      <c r="Q277">
        <f t="shared" si="18"/>
        <v>2</v>
      </c>
      <c r="R277" s="1">
        <f t="shared" si="19"/>
        <v>0</v>
      </c>
    </row>
    <row r="278" spans="1:18" hidden="1" x14ac:dyDescent="0.3">
      <c r="A278" t="s">
        <v>4057</v>
      </c>
      <c r="B278" t="s">
        <v>4058</v>
      </c>
      <c r="C278" t="s">
        <v>47</v>
      </c>
      <c r="D278">
        <v>1</v>
      </c>
      <c r="E278">
        <v>0</v>
      </c>
      <c r="G278" s="1">
        <v>0</v>
      </c>
      <c r="H278">
        <v>0</v>
      </c>
      <c r="I278">
        <v>0.5</v>
      </c>
      <c r="J278">
        <v>1</v>
      </c>
      <c r="K278">
        <v>1</v>
      </c>
      <c r="L278">
        <f t="shared" si="16"/>
        <v>2</v>
      </c>
      <c r="M278">
        <v>0</v>
      </c>
      <c r="N278">
        <v>0</v>
      </c>
      <c r="O278">
        <v>2</v>
      </c>
      <c r="P278" s="1">
        <f t="shared" si="17"/>
        <v>0</v>
      </c>
      <c r="Q278">
        <f t="shared" si="18"/>
        <v>2</v>
      </c>
      <c r="R278" s="1">
        <f t="shared" si="19"/>
        <v>0</v>
      </c>
    </row>
    <row r="279" spans="1:18" hidden="1" x14ac:dyDescent="0.3">
      <c r="A279" t="s">
        <v>4059</v>
      </c>
      <c r="B279" t="s">
        <v>4060</v>
      </c>
      <c r="C279" t="s">
        <v>47</v>
      </c>
      <c r="D279">
        <v>1</v>
      </c>
      <c r="E279">
        <v>0</v>
      </c>
      <c r="G279" s="1">
        <v>0</v>
      </c>
      <c r="H279">
        <v>0</v>
      </c>
      <c r="I279">
        <v>0.5</v>
      </c>
      <c r="J279">
        <v>1</v>
      </c>
      <c r="K279">
        <v>1</v>
      </c>
      <c r="L279">
        <f t="shared" si="16"/>
        <v>2</v>
      </c>
      <c r="M279">
        <v>0</v>
      </c>
      <c r="N279">
        <v>0</v>
      </c>
      <c r="O279">
        <v>2</v>
      </c>
      <c r="P279" s="1">
        <f t="shared" si="17"/>
        <v>0</v>
      </c>
      <c r="Q279">
        <f t="shared" si="18"/>
        <v>2</v>
      </c>
      <c r="R279" s="1">
        <f t="shared" si="19"/>
        <v>0</v>
      </c>
    </row>
    <row r="280" spans="1:18" hidden="1" x14ac:dyDescent="0.3">
      <c r="A280" t="s">
        <v>4061</v>
      </c>
      <c r="B280" t="s">
        <v>4062</v>
      </c>
      <c r="C280" t="s">
        <v>47</v>
      </c>
      <c r="D280">
        <v>1</v>
      </c>
      <c r="E280">
        <v>0</v>
      </c>
      <c r="G280" s="1">
        <v>0</v>
      </c>
      <c r="H280">
        <v>0</v>
      </c>
      <c r="I280">
        <v>0.5</v>
      </c>
      <c r="J280">
        <v>1</v>
      </c>
      <c r="K280">
        <v>1</v>
      </c>
      <c r="L280">
        <f t="shared" si="16"/>
        <v>2</v>
      </c>
      <c r="M280">
        <v>0</v>
      </c>
      <c r="N280">
        <v>0</v>
      </c>
      <c r="O280">
        <v>2</v>
      </c>
      <c r="P280" s="1">
        <f t="shared" si="17"/>
        <v>0</v>
      </c>
      <c r="Q280">
        <f t="shared" si="18"/>
        <v>2</v>
      </c>
      <c r="R280" s="1">
        <f t="shared" si="19"/>
        <v>0</v>
      </c>
    </row>
    <row r="281" spans="1:18" hidden="1" x14ac:dyDescent="0.3">
      <c r="A281" t="s">
        <v>4063</v>
      </c>
      <c r="B281" t="s">
        <v>4064</v>
      </c>
      <c r="C281" t="s">
        <v>47</v>
      </c>
      <c r="D281">
        <v>1</v>
      </c>
      <c r="E281">
        <v>0</v>
      </c>
      <c r="G281" s="1">
        <v>0</v>
      </c>
      <c r="H281">
        <v>0</v>
      </c>
      <c r="I281">
        <v>0.5</v>
      </c>
      <c r="J281">
        <v>1</v>
      </c>
      <c r="K281">
        <v>1</v>
      </c>
      <c r="L281">
        <f t="shared" si="16"/>
        <v>2</v>
      </c>
      <c r="M281">
        <v>0</v>
      </c>
      <c r="N281">
        <v>0</v>
      </c>
      <c r="O281">
        <v>2</v>
      </c>
      <c r="P281" s="1">
        <f t="shared" si="17"/>
        <v>0</v>
      </c>
      <c r="Q281">
        <f t="shared" si="18"/>
        <v>2</v>
      </c>
      <c r="R281" s="1">
        <f t="shared" si="19"/>
        <v>0</v>
      </c>
    </row>
    <row r="282" spans="1:18" hidden="1" x14ac:dyDescent="0.3">
      <c r="A282" t="s">
        <v>4065</v>
      </c>
      <c r="B282" t="s">
        <v>4062</v>
      </c>
      <c r="C282" t="s">
        <v>47</v>
      </c>
      <c r="D282">
        <v>1</v>
      </c>
      <c r="E282">
        <v>0</v>
      </c>
      <c r="G282" s="1">
        <v>0</v>
      </c>
      <c r="H282">
        <v>0</v>
      </c>
      <c r="I282">
        <v>0.5</v>
      </c>
      <c r="J282">
        <v>1</v>
      </c>
      <c r="K282">
        <v>1</v>
      </c>
      <c r="L282">
        <f t="shared" si="16"/>
        <v>2</v>
      </c>
      <c r="M282">
        <v>0</v>
      </c>
      <c r="N282">
        <v>0</v>
      </c>
      <c r="O282">
        <v>2</v>
      </c>
      <c r="P282" s="1">
        <f t="shared" si="17"/>
        <v>0</v>
      </c>
      <c r="Q282">
        <f t="shared" si="18"/>
        <v>2</v>
      </c>
      <c r="R282" s="1">
        <f t="shared" si="19"/>
        <v>0</v>
      </c>
    </row>
    <row r="283" spans="1:18" hidden="1" x14ac:dyDescent="0.3">
      <c r="A283" t="s">
        <v>4066</v>
      </c>
      <c r="B283" t="s">
        <v>4067</v>
      </c>
      <c r="C283" t="s">
        <v>47</v>
      </c>
      <c r="D283">
        <v>1</v>
      </c>
      <c r="E283">
        <v>4</v>
      </c>
      <c r="F283" t="s">
        <v>3863</v>
      </c>
      <c r="G283" s="1">
        <v>83.34</v>
      </c>
      <c r="H283">
        <v>0</v>
      </c>
      <c r="I283">
        <v>0.5</v>
      </c>
      <c r="J283">
        <v>4</v>
      </c>
      <c r="K283">
        <v>2</v>
      </c>
      <c r="L283">
        <f t="shared" si="16"/>
        <v>4</v>
      </c>
      <c r="M283">
        <v>0</v>
      </c>
      <c r="N283">
        <v>0</v>
      </c>
      <c r="O283">
        <v>10</v>
      </c>
      <c r="P283" s="1">
        <f t="shared" si="17"/>
        <v>0</v>
      </c>
      <c r="Q283">
        <f t="shared" si="18"/>
        <v>10</v>
      </c>
      <c r="R283" s="1">
        <f t="shared" si="19"/>
        <v>833.40000000000009</v>
      </c>
    </row>
    <row r="284" spans="1:18" hidden="1" x14ac:dyDescent="0.3">
      <c r="A284" t="s">
        <v>4068</v>
      </c>
      <c r="B284" t="s">
        <v>4069</v>
      </c>
      <c r="C284" t="s">
        <v>47</v>
      </c>
      <c r="D284">
        <v>1</v>
      </c>
      <c r="E284">
        <v>4</v>
      </c>
      <c r="F284" t="s">
        <v>3863</v>
      </c>
      <c r="G284" s="1">
        <v>86.31</v>
      </c>
      <c r="H284">
        <v>0</v>
      </c>
      <c r="I284">
        <v>0.5</v>
      </c>
      <c r="J284">
        <v>4</v>
      </c>
      <c r="K284">
        <v>2</v>
      </c>
      <c r="L284">
        <f t="shared" si="16"/>
        <v>4</v>
      </c>
      <c r="M284">
        <v>0</v>
      </c>
      <c r="N284">
        <v>0</v>
      </c>
      <c r="O284">
        <v>10</v>
      </c>
      <c r="P284" s="1">
        <f t="shared" si="17"/>
        <v>0</v>
      </c>
      <c r="Q284">
        <f t="shared" si="18"/>
        <v>10</v>
      </c>
      <c r="R284" s="1">
        <f t="shared" si="19"/>
        <v>863.1</v>
      </c>
    </row>
    <row r="285" spans="1:18" hidden="1" x14ac:dyDescent="0.3">
      <c r="A285" t="s">
        <v>4070</v>
      </c>
      <c r="B285" t="s">
        <v>4071</v>
      </c>
      <c r="C285" t="s">
        <v>47</v>
      </c>
      <c r="D285">
        <v>1</v>
      </c>
      <c r="E285">
        <v>0</v>
      </c>
      <c r="G285" s="1">
        <v>0</v>
      </c>
      <c r="H285">
        <v>0</v>
      </c>
      <c r="I285">
        <v>0.5</v>
      </c>
      <c r="J285">
        <v>1</v>
      </c>
      <c r="K285">
        <v>1</v>
      </c>
      <c r="L285">
        <f t="shared" si="16"/>
        <v>2</v>
      </c>
      <c r="M285">
        <v>0</v>
      </c>
      <c r="N285">
        <v>0</v>
      </c>
      <c r="O285">
        <v>2</v>
      </c>
      <c r="P285" s="1">
        <f t="shared" si="17"/>
        <v>0</v>
      </c>
      <c r="Q285">
        <f t="shared" si="18"/>
        <v>2</v>
      </c>
      <c r="R285" s="1">
        <f t="shared" si="19"/>
        <v>0</v>
      </c>
    </row>
    <row r="286" spans="1:18" hidden="1" x14ac:dyDescent="0.3">
      <c r="A286" t="s">
        <v>4072</v>
      </c>
      <c r="B286" t="s">
        <v>4073</v>
      </c>
      <c r="C286" t="s">
        <v>47</v>
      </c>
      <c r="D286">
        <v>20</v>
      </c>
      <c r="E286">
        <v>904</v>
      </c>
      <c r="F286" t="s">
        <v>280</v>
      </c>
      <c r="G286" s="1">
        <v>1</v>
      </c>
      <c r="H286">
        <v>0</v>
      </c>
      <c r="I286">
        <v>0.5</v>
      </c>
      <c r="J286">
        <v>45.5</v>
      </c>
      <c r="K286">
        <v>23</v>
      </c>
      <c r="L286">
        <f t="shared" si="16"/>
        <v>46</v>
      </c>
      <c r="M286">
        <v>0</v>
      </c>
      <c r="N286">
        <v>0</v>
      </c>
      <c r="O286">
        <v>114</v>
      </c>
      <c r="P286" s="1">
        <f t="shared" si="17"/>
        <v>0</v>
      </c>
      <c r="Q286">
        <f t="shared" si="18"/>
        <v>114</v>
      </c>
      <c r="R286" s="1">
        <f t="shared" si="19"/>
        <v>114</v>
      </c>
    </row>
    <row r="287" spans="1:18" hidden="1" x14ac:dyDescent="0.3">
      <c r="A287" t="s">
        <v>4074</v>
      </c>
      <c r="B287" t="s">
        <v>4075</v>
      </c>
      <c r="C287" t="s">
        <v>47</v>
      </c>
      <c r="D287">
        <v>1</v>
      </c>
      <c r="E287">
        <v>160</v>
      </c>
      <c r="F287" t="s">
        <v>3488</v>
      </c>
      <c r="G287" s="1">
        <v>5</v>
      </c>
      <c r="H287">
        <v>0</v>
      </c>
      <c r="I287">
        <v>0.7</v>
      </c>
      <c r="J287">
        <v>160</v>
      </c>
      <c r="K287">
        <v>112</v>
      </c>
      <c r="L287">
        <f t="shared" si="16"/>
        <v>224</v>
      </c>
      <c r="M287">
        <v>0</v>
      </c>
      <c r="N287">
        <v>0</v>
      </c>
      <c r="O287">
        <v>432</v>
      </c>
      <c r="P287" s="1">
        <f t="shared" si="17"/>
        <v>0</v>
      </c>
      <c r="Q287">
        <f t="shared" si="18"/>
        <v>432</v>
      </c>
      <c r="R287" s="1">
        <f t="shared" si="19"/>
        <v>2160</v>
      </c>
    </row>
    <row r="288" spans="1:18" hidden="1" x14ac:dyDescent="0.3">
      <c r="A288" t="s">
        <v>4076</v>
      </c>
      <c r="B288" t="s">
        <v>4077</v>
      </c>
      <c r="C288" t="s">
        <v>47</v>
      </c>
      <c r="D288">
        <v>1</v>
      </c>
      <c r="E288">
        <v>0</v>
      </c>
      <c r="G288" s="1">
        <v>0</v>
      </c>
      <c r="H288">
        <v>0</v>
      </c>
      <c r="I288">
        <v>0.5</v>
      </c>
      <c r="J288">
        <v>1</v>
      </c>
      <c r="K288">
        <v>1</v>
      </c>
      <c r="L288">
        <f t="shared" si="16"/>
        <v>2</v>
      </c>
      <c r="M288">
        <v>0</v>
      </c>
      <c r="N288">
        <v>0</v>
      </c>
      <c r="O288">
        <v>2</v>
      </c>
      <c r="P288" s="1">
        <f t="shared" si="17"/>
        <v>0</v>
      </c>
      <c r="Q288">
        <f t="shared" si="18"/>
        <v>2</v>
      </c>
      <c r="R288" s="1">
        <f t="shared" si="19"/>
        <v>0</v>
      </c>
    </row>
    <row r="289" spans="1:18" hidden="1" x14ac:dyDescent="0.3">
      <c r="A289" t="s">
        <v>4078</v>
      </c>
      <c r="B289" t="s">
        <v>4079</v>
      </c>
      <c r="C289" t="s">
        <v>47</v>
      </c>
      <c r="D289">
        <v>1</v>
      </c>
      <c r="E289">
        <v>0</v>
      </c>
      <c r="G289" s="1">
        <v>0</v>
      </c>
      <c r="H289">
        <v>0</v>
      </c>
      <c r="I289">
        <v>0.5</v>
      </c>
      <c r="J289">
        <v>1</v>
      </c>
      <c r="K289">
        <v>1</v>
      </c>
      <c r="L289">
        <f t="shared" si="16"/>
        <v>2</v>
      </c>
      <c r="M289">
        <v>0</v>
      </c>
      <c r="N289">
        <v>0</v>
      </c>
      <c r="O289">
        <v>2</v>
      </c>
      <c r="P289" s="1">
        <f t="shared" si="17"/>
        <v>0</v>
      </c>
      <c r="Q289">
        <f t="shared" si="18"/>
        <v>2</v>
      </c>
      <c r="R289" s="1">
        <f t="shared" si="19"/>
        <v>0</v>
      </c>
    </row>
    <row r="290" spans="1:18" hidden="1" x14ac:dyDescent="0.3">
      <c r="A290" t="s">
        <v>4080</v>
      </c>
      <c r="B290" t="s">
        <v>4081</v>
      </c>
      <c r="C290" t="s">
        <v>47</v>
      </c>
      <c r="D290">
        <v>2</v>
      </c>
      <c r="E290">
        <v>4</v>
      </c>
      <c r="F290" t="s">
        <v>140</v>
      </c>
      <c r="G290" s="1">
        <v>1536.76</v>
      </c>
      <c r="H290">
        <v>0</v>
      </c>
      <c r="I290">
        <v>0.5</v>
      </c>
      <c r="J290">
        <v>2</v>
      </c>
      <c r="K290">
        <v>1</v>
      </c>
      <c r="L290">
        <f t="shared" si="16"/>
        <v>2</v>
      </c>
      <c r="M290">
        <v>0</v>
      </c>
      <c r="N290">
        <v>0</v>
      </c>
      <c r="O290">
        <v>5</v>
      </c>
      <c r="P290" s="1">
        <f t="shared" si="17"/>
        <v>0</v>
      </c>
      <c r="Q290">
        <f t="shared" si="18"/>
        <v>5</v>
      </c>
      <c r="R290" s="1">
        <f t="shared" si="19"/>
        <v>7683.8</v>
      </c>
    </row>
    <row r="291" spans="1:18" hidden="1" x14ac:dyDescent="0.3">
      <c r="A291" t="s">
        <v>4082</v>
      </c>
      <c r="B291" t="s">
        <v>4083</v>
      </c>
      <c r="C291" t="s">
        <v>47</v>
      </c>
      <c r="D291">
        <v>1</v>
      </c>
      <c r="E291">
        <v>0</v>
      </c>
      <c r="G291" s="1">
        <v>6000</v>
      </c>
      <c r="H291">
        <v>0</v>
      </c>
      <c r="I291">
        <v>0.5</v>
      </c>
      <c r="J291">
        <v>1</v>
      </c>
      <c r="K291">
        <v>1</v>
      </c>
      <c r="L291">
        <f t="shared" si="16"/>
        <v>2</v>
      </c>
      <c r="M291">
        <v>0</v>
      </c>
      <c r="N291">
        <v>0</v>
      </c>
      <c r="O291">
        <v>2</v>
      </c>
      <c r="P291" s="1">
        <f t="shared" si="17"/>
        <v>0</v>
      </c>
      <c r="Q291">
        <f t="shared" si="18"/>
        <v>2</v>
      </c>
      <c r="R291" s="1">
        <f t="shared" si="19"/>
        <v>12000</v>
      </c>
    </row>
    <row r="292" spans="1:18" hidden="1" x14ac:dyDescent="0.3">
      <c r="A292" t="s">
        <v>4084</v>
      </c>
      <c r="B292" t="s">
        <v>3991</v>
      </c>
      <c r="C292" t="s">
        <v>47</v>
      </c>
      <c r="D292">
        <v>1</v>
      </c>
      <c r="E292">
        <v>0</v>
      </c>
      <c r="G292" s="1">
        <v>0</v>
      </c>
      <c r="H292">
        <v>1</v>
      </c>
      <c r="I292">
        <v>0.5</v>
      </c>
      <c r="J292">
        <v>1</v>
      </c>
      <c r="K292">
        <v>1</v>
      </c>
      <c r="L292">
        <f t="shared" si="16"/>
        <v>2</v>
      </c>
      <c r="M292">
        <v>0</v>
      </c>
      <c r="N292">
        <v>0</v>
      </c>
      <c r="O292">
        <v>2</v>
      </c>
      <c r="P292" s="1">
        <f t="shared" si="17"/>
        <v>0</v>
      </c>
      <c r="Q292">
        <f t="shared" si="18"/>
        <v>2</v>
      </c>
      <c r="R292" s="1">
        <f t="shared" si="19"/>
        <v>0</v>
      </c>
    </row>
    <row r="293" spans="1:18" hidden="1" x14ac:dyDescent="0.3">
      <c r="A293" t="s">
        <v>4085</v>
      </c>
      <c r="B293" t="s">
        <v>4086</v>
      </c>
      <c r="C293" t="s">
        <v>47</v>
      </c>
      <c r="D293">
        <v>1</v>
      </c>
      <c r="E293">
        <v>0</v>
      </c>
      <c r="G293" s="1">
        <v>0</v>
      </c>
      <c r="H293">
        <v>0</v>
      </c>
      <c r="I293">
        <v>0.5</v>
      </c>
      <c r="J293">
        <v>1</v>
      </c>
      <c r="K293">
        <v>1</v>
      </c>
      <c r="L293">
        <f t="shared" si="16"/>
        <v>2</v>
      </c>
      <c r="M293">
        <v>0</v>
      </c>
      <c r="N293">
        <v>0</v>
      </c>
      <c r="O293">
        <v>2</v>
      </c>
      <c r="P293" s="1">
        <f t="shared" si="17"/>
        <v>0</v>
      </c>
      <c r="Q293">
        <f t="shared" si="18"/>
        <v>2</v>
      </c>
      <c r="R293" s="1">
        <f t="shared" si="19"/>
        <v>0</v>
      </c>
    </row>
    <row r="294" spans="1:18" hidden="1" x14ac:dyDescent="0.3">
      <c r="A294" t="s">
        <v>4087</v>
      </c>
      <c r="B294" t="s">
        <v>3552</v>
      </c>
      <c r="C294" t="s">
        <v>47</v>
      </c>
      <c r="D294">
        <v>1</v>
      </c>
      <c r="E294">
        <v>0</v>
      </c>
      <c r="G294" s="1">
        <v>0</v>
      </c>
      <c r="H294">
        <v>1</v>
      </c>
      <c r="I294">
        <v>0.5</v>
      </c>
      <c r="J294">
        <v>1</v>
      </c>
      <c r="K294">
        <v>1</v>
      </c>
      <c r="L294">
        <f t="shared" si="16"/>
        <v>2</v>
      </c>
      <c r="M294">
        <v>0</v>
      </c>
      <c r="N294">
        <v>0</v>
      </c>
      <c r="O294">
        <v>2</v>
      </c>
      <c r="P294" s="1">
        <f t="shared" si="17"/>
        <v>0</v>
      </c>
      <c r="Q294">
        <f t="shared" si="18"/>
        <v>2</v>
      </c>
      <c r="R294" s="1">
        <f t="shared" si="19"/>
        <v>0</v>
      </c>
    </row>
    <row r="295" spans="1:18" hidden="1" x14ac:dyDescent="0.3">
      <c r="A295" t="s">
        <v>4088</v>
      </c>
      <c r="B295" t="s">
        <v>4089</v>
      </c>
      <c r="C295" t="s">
        <v>47</v>
      </c>
      <c r="D295">
        <v>20</v>
      </c>
      <c r="E295">
        <v>372</v>
      </c>
      <c r="F295" t="s">
        <v>4090</v>
      </c>
      <c r="G295" s="1">
        <v>28.55</v>
      </c>
      <c r="H295">
        <v>0</v>
      </c>
      <c r="I295">
        <v>0.5</v>
      </c>
      <c r="J295">
        <v>19</v>
      </c>
      <c r="K295">
        <v>10</v>
      </c>
      <c r="L295">
        <f t="shared" si="16"/>
        <v>20</v>
      </c>
      <c r="M295">
        <v>0</v>
      </c>
      <c r="N295">
        <v>0</v>
      </c>
      <c r="O295">
        <v>48</v>
      </c>
      <c r="P295" s="1">
        <f t="shared" si="17"/>
        <v>0</v>
      </c>
      <c r="Q295">
        <f t="shared" si="18"/>
        <v>48</v>
      </c>
      <c r="R295" s="1">
        <f t="shared" si="19"/>
        <v>1370.4</v>
      </c>
    </row>
    <row r="296" spans="1:18" hidden="1" x14ac:dyDescent="0.3">
      <c r="A296" t="s">
        <v>4091</v>
      </c>
      <c r="B296" t="s">
        <v>4092</v>
      </c>
      <c r="C296" t="s">
        <v>47</v>
      </c>
      <c r="D296">
        <v>1</v>
      </c>
      <c r="E296">
        <v>0</v>
      </c>
      <c r="G296" s="1">
        <v>0</v>
      </c>
      <c r="H296">
        <v>0</v>
      </c>
      <c r="I296">
        <v>0.5</v>
      </c>
      <c r="J296">
        <v>1</v>
      </c>
      <c r="K296">
        <v>1</v>
      </c>
      <c r="L296">
        <f t="shared" si="16"/>
        <v>2</v>
      </c>
      <c r="M296">
        <v>0</v>
      </c>
      <c r="N296">
        <v>0</v>
      </c>
      <c r="O296">
        <v>2</v>
      </c>
      <c r="P296" s="1">
        <f t="shared" si="17"/>
        <v>0</v>
      </c>
      <c r="Q296">
        <f t="shared" si="18"/>
        <v>2</v>
      </c>
      <c r="R296" s="1">
        <f t="shared" si="19"/>
        <v>0</v>
      </c>
    </row>
    <row r="297" spans="1:18" hidden="1" x14ac:dyDescent="0.3">
      <c r="A297" t="s">
        <v>4093</v>
      </c>
      <c r="B297" t="s">
        <v>4094</v>
      </c>
      <c r="C297" t="s">
        <v>47</v>
      </c>
      <c r="D297">
        <v>1</v>
      </c>
      <c r="E297">
        <v>0</v>
      </c>
      <c r="G297" s="1">
        <v>0</v>
      </c>
      <c r="H297">
        <v>0</v>
      </c>
      <c r="I297">
        <v>0.5</v>
      </c>
      <c r="J297">
        <v>1</v>
      </c>
      <c r="K297">
        <v>1</v>
      </c>
      <c r="L297">
        <f t="shared" si="16"/>
        <v>2</v>
      </c>
      <c r="M297">
        <v>0</v>
      </c>
      <c r="N297">
        <v>0</v>
      </c>
      <c r="O297">
        <v>2</v>
      </c>
      <c r="P297" s="1">
        <f t="shared" si="17"/>
        <v>0</v>
      </c>
      <c r="Q297">
        <f t="shared" si="18"/>
        <v>2</v>
      </c>
      <c r="R297" s="1">
        <f t="shared" si="19"/>
        <v>0</v>
      </c>
    </row>
    <row r="298" spans="1:18" hidden="1" x14ac:dyDescent="0.3">
      <c r="A298" t="s">
        <v>4095</v>
      </c>
      <c r="B298" t="s">
        <v>4096</v>
      </c>
      <c r="C298" t="s">
        <v>47</v>
      </c>
      <c r="D298">
        <v>1</v>
      </c>
      <c r="E298">
        <v>6</v>
      </c>
      <c r="F298" t="s">
        <v>654</v>
      </c>
      <c r="G298" s="1">
        <v>3406</v>
      </c>
      <c r="H298">
        <v>0</v>
      </c>
      <c r="I298">
        <v>1</v>
      </c>
      <c r="J298">
        <v>6</v>
      </c>
      <c r="K298">
        <v>6</v>
      </c>
      <c r="L298">
        <f t="shared" si="16"/>
        <v>12</v>
      </c>
      <c r="M298">
        <v>0</v>
      </c>
      <c r="N298">
        <v>0</v>
      </c>
      <c r="O298">
        <v>18</v>
      </c>
      <c r="P298" s="1">
        <f t="shared" si="17"/>
        <v>0</v>
      </c>
      <c r="Q298">
        <f t="shared" si="18"/>
        <v>18</v>
      </c>
      <c r="R298" s="1">
        <f t="shared" si="19"/>
        <v>61308</v>
      </c>
    </row>
    <row r="299" spans="1:18" hidden="1" x14ac:dyDescent="0.3">
      <c r="A299" t="s">
        <v>4097</v>
      </c>
      <c r="B299" t="s">
        <v>3552</v>
      </c>
      <c r="C299" t="s">
        <v>47</v>
      </c>
      <c r="D299">
        <v>2</v>
      </c>
      <c r="E299">
        <v>0</v>
      </c>
      <c r="G299" s="1">
        <v>0</v>
      </c>
      <c r="H299">
        <v>3</v>
      </c>
      <c r="I299">
        <v>0.5</v>
      </c>
      <c r="J299">
        <v>1.5</v>
      </c>
      <c r="K299">
        <v>1</v>
      </c>
      <c r="L299">
        <f t="shared" si="16"/>
        <v>2</v>
      </c>
      <c r="M299">
        <v>0</v>
      </c>
      <c r="N299">
        <v>0</v>
      </c>
      <c r="O299">
        <v>4</v>
      </c>
      <c r="P299" s="1">
        <f t="shared" si="17"/>
        <v>0</v>
      </c>
      <c r="Q299">
        <f t="shared" si="18"/>
        <v>4</v>
      </c>
      <c r="R299" s="1">
        <f t="shared" si="19"/>
        <v>0</v>
      </c>
    </row>
    <row r="300" spans="1:18" hidden="1" x14ac:dyDescent="0.3">
      <c r="A300" t="s">
        <v>4098</v>
      </c>
      <c r="B300" t="s">
        <v>4079</v>
      </c>
      <c r="C300" t="s">
        <v>47</v>
      </c>
      <c r="D300">
        <v>1</v>
      </c>
      <c r="E300">
        <v>0</v>
      </c>
      <c r="G300" s="1">
        <v>0</v>
      </c>
      <c r="H300">
        <v>0</v>
      </c>
      <c r="I300">
        <v>0.5</v>
      </c>
      <c r="J300">
        <v>1</v>
      </c>
      <c r="K300">
        <v>1</v>
      </c>
      <c r="L300">
        <f t="shared" si="16"/>
        <v>2</v>
      </c>
      <c r="M300">
        <v>0</v>
      </c>
      <c r="N300">
        <v>0</v>
      </c>
      <c r="O300">
        <v>2</v>
      </c>
      <c r="P300" s="1">
        <f t="shared" si="17"/>
        <v>0</v>
      </c>
      <c r="Q300">
        <f t="shared" si="18"/>
        <v>2</v>
      </c>
      <c r="R300" s="1">
        <f t="shared" si="19"/>
        <v>0</v>
      </c>
    </row>
    <row r="301" spans="1:18" hidden="1" x14ac:dyDescent="0.3">
      <c r="A301" t="s">
        <v>4099</v>
      </c>
      <c r="B301" t="s">
        <v>4100</v>
      </c>
      <c r="C301" t="s">
        <v>47</v>
      </c>
      <c r="D301">
        <v>1</v>
      </c>
      <c r="E301">
        <v>0</v>
      </c>
      <c r="G301" s="1">
        <v>0</v>
      </c>
      <c r="H301">
        <v>1</v>
      </c>
      <c r="I301">
        <v>0.5</v>
      </c>
      <c r="J301">
        <v>1</v>
      </c>
      <c r="K301">
        <v>1</v>
      </c>
      <c r="L301">
        <f t="shared" si="16"/>
        <v>2</v>
      </c>
      <c r="M301">
        <v>0</v>
      </c>
      <c r="N301">
        <v>0</v>
      </c>
      <c r="O301">
        <v>2</v>
      </c>
      <c r="P301" s="1">
        <f t="shared" si="17"/>
        <v>0</v>
      </c>
      <c r="Q301">
        <f t="shared" si="18"/>
        <v>2</v>
      </c>
      <c r="R301" s="1">
        <f t="shared" si="19"/>
        <v>0</v>
      </c>
    </row>
    <row r="302" spans="1:18" hidden="1" x14ac:dyDescent="0.3">
      <c r="A302" t="s">
        <v>4101</v>
      </c>
      <c r="B302" t="s">
        <v>4102</v>
      </c>
      <c r="C302" t="s">
        <v>47</v>
      </c>
      <c r="D302">
        <v>1</v>
      </c>
      <c r="E302">
        <v>4</v>
      </c>
      <c r="F302" t="s">
        <v>3488</v>
      </c>
      <c r="G302" s="1">
        <v>0</v>
      </c>
      <c r="H302">
        <v>0</v>
      </c>
      <c r="I302">
        <v>0.5</v>
      </c>
      <c r="J302">
        <v>4</v>
      </c>
      <c r="K302">
        <v>2</v>
      </c>
      <c r="L302">
        <f t="shared" si="16"/>
        <v>4</v>
      </c>
      <c r="M302">
        <v>0</v>
      </c>
      <c r="N302">
        <v>0</v>
      </c>
      <c r="O302">
        <v>10</v>
      </c>
      <c r="P302" s="1">
        <f t="shared" si="17"/>
        <v>0</v>
      </c>
      <c r="Q302">
        <f t="shared" si="18"/>
        <v>10</v>
      </c>
      <c r="R302" s="1">
        <f t="shared" si="19"/>
        <v>0</v>
      </c>
    </row>
    <row r="303" spans="1:18" hidden="1" x14ac:dyDescent="0.3">
      <c r="A303" t="s">
        <v>4103</v>
      </c>
      <c r="B303" t="s">
        <v>4104</v>
      </c>
      <c r="C303" t="s">
        <v>47</v>
      </c>
      <c r="D303">
        <v>1</v>
      </c>
      <c r="E303">
        <v>0</v>
      </c>
      <c r="G303" s="1">
        <v>2650</v>
      </c>
      <c r="H303">
        <v>0</v>
      </c>
      <c r="I303">
        <v>0.5</v>
      </c>
      <c r="J303">
        <v>1</v>
      </c>
      <c r="K303">
        <v>1</v>
      </c>
      <c r="L303">
        <f t="shared" si="16"/>
        <v>2</v>
      </c>
      <c r="M303">
        <v>0</v>
      </c>
      <c r="N303">
        <v>0</v>
      </c>
      <c r="O303">
        <v>2</v>
      </c>
      <c r="P303" s="1">
        <f t="shared" si="17"/>
        <v>0</v>
      </c>
      <c r="Q303">
        <f t="shared" si="18"/>
        <v>2</v>
      </c>
      <c r="R303" s="1">
        <f t="shared" si="19"/>
        <v>5300</v>
      </c>
    </row>
    <row r="304" spans="1:18" hidden="1" x14ac:dyDescent="0.3">
      <c r="A304" t="s">
        <v>4105</v>
      </c>
      <c r="B304" t="s">
        <v>4106</v>
      </c>
      <c r="C304" t="s">
        <v>47</v>
      </c>
      <c r="D304">
        <v>1</v>
      </c>
      <c r="E304">
        <v>1</v>
      </c>
      <c r="F304" t="s">
        <v>3471</v>
      </c>
      <c r="G304" s="1">
        <v>4071</v>
      </c>
      <c r="H304">
        <v>0</v>
      </c>
      <c r="I304">
        <v>1.8</v>
      </c>
      <c r="J304">
        <v>1</v>
      </c>
      <c r="K304">
        <v>2</v>
      </c>
      <c r="L304">
        <f t="shared" si="16"/>
        <v>4</v>
      </c>
      <c r="M304">
        <v>0</v>
      </c>
      <c r="N304">
        <v>0</v>
      </c>
      <c r="O304">
        <v>4</v>
      </c>
      <c r="P304" s="1">
        <f t="shared" si="17"/>
        <v>0</v>
      </c>
      <c r="Q304">
        <f t="shared" si="18"/>
        <v>4</v>
      </c>
      <c r="R304" s="1">
        <f t="shared" si="19"/>
        <v>16284</v>
      </c>
    </row>
    <row r="305" spans="1:18" hidden="1" x14ac:dyDescent="0.3">
      <c r="A305" t="s">
        <v>4107</v>
      </c>
      <c r="B305" t="s">
        <v>4108</v>
      </c>
      <c r="C305" t="s">
        <v>47</v>
      </c>
      <c r="D305">
        <v>1</v>
      </c>
      <c r="E305">
        <v>0</v>
      </c>
      <c r="G305" s="1">
        <v>0</v>
      </c>
      <c r="H305">
        <v>0</v>
      </c>
      <c r="I305">
        <v>0.5</v>
      </c>
      <c r="J305">
        <v>1</v>
      </c>
      <c r="K305">
        <v>1</v>
      </c>
      <c r="L305">
        <f t="shared" si="16"/>
        <v>2</v>
      </c>
      <c r="M305">
        <v>0</v>
      </c>
      <c r="N305">
        <v>0</v>
      </c>
      <c r="O305">
        <v>2</v>
      </c>
      <c r="P305" s="1">
        <f t="shared" si="17"/>
        <v>0</v>
      </c>
      <c r="Q305">
        <f t="shared" si="18"/>
        <v>2</v>
      </c>
      <c r="R305" s="1">
        <f t="shared" si="19"/>
        <v>0</v>
      </c>
    </row>
    <row r="306" spans="1:18" hidden="1" x14ac:dyDescent="0.3">
      <c r="A306" t="s">
        <v>4109</v>
      </c>
      <c r="B306" t="s">
        <v>3552</v>
      </c>
      <c r="C306" t="s">
        <v>47</v>
      </c>
      <c r="D306">
        <v>1</v>
      </c>
      <c r="E306">
        <v>0</v>
      </c>
      <c r="G306" s="1">
        <v>0</v>
      </c>
      <c r="H306">
        <v>0</v>
      </c>
      <c r="I306">
        <v>0.5</v>
      </c>
      <c r="J306">
        <v>1</v>
      </c>
      <c r="K306">
        <v>1</v>
      </c>
      <c r="L306">
        <f t="shared" si="16"/>
        <v>2</v>
      </c>
      <c r="M306">
        <v>0</v>
      </c>
      <c r="N306">
        <v>0</v>
      </c>
      <c r="O306">
        <v>2</v>
      </c>
      <c r="P306" s="1">
        <f t="shared" si="17"/>
        <v>0</v>
      </c>
      <c r="Q306">
        <f t="shared" si="18"/>
        <v>2</v>
      </c>
      <c r="R306" s="1">
        <f t="shared" si="19"/>
        <v>0</v>
      </c>
    </row>
    <row r="307" spans="1:18" hidden="1" x14ac:dyDescent="0.3">
      <c r="A307" t="s">
        <v>4110</v>
      </c>
      <c r="B307" t="s">
        <v>4111</v>
      </c>
      <c r="C307" t="s">
        <v>47</v>
      </c>
      <c r="D307">
        <v>1</v>
      </c>
      <c r="E307">
        <v>20</v>
      </c>
      <c r="F307" t="s">
        <v>209</v>
      </c>
      <c r="G307" s="1">
        <v>15</v>
      </c>
      <c r="H307">
        <v>0</v>
      </c>
      <c r="I307">
        <v>0.5</v>
      </c>
      <c r="J307">
        <v>20</v>
      </c>
      <c r="K307">
        <v>10</v>
      </c>
      <c r="L307">
        <f t="shared" si="16"/>
        <v>20</v>
      </c>
      <c r="M307">
        <v>0</v>
      </c>
      <c r="N307">
        <v>0</v>
      </c>
      <c r="O307">
        <v>50</v>
      </c>
      <c r="P307" s="1">
        <f t="shared" si="17"/>
        <v>0</v>
      </c>
      <c r="Q307">
        <f t="shared" si="18"/>
        <v>50</v>
      </c>
      <c r="R307" s="1">
        <f t="shared" si="19"/>
        <v>750</v>
      </c>
    </row>
    <row r="308" spans="1:18" hidden="1" x14ac:dyDescent="0.3">
      <c r="A308" t="s">
        <v>4112</v>
      </c>
      <c r="B308" t="s">
        <v>4113</v>
      </c>
      <c r="C308" t="s">
        <v>47</v>
      </c>
      <c r="D308">
        <v>1</v>
      </c>
      <c r="E308">
        <v>20</v>
      </c>
      <c r="F308" t="s">
        <v>209</v>
      </c>
      <c r="G308" s="1">
        <v>29.65</v>
      </c>
      <c r="H308">
        <v>0</v>
      </c>
      <c r="I308">
        <v>0.5</v>
      </c>
      <c r="J308">
        <v>20</v>
      </c>
      <c r="K308">
        <v>10</v>
      </c>
      <c r="L308">
        <f t="shared" si="16"/>
        <v>20</v>
      </c>
      <c r="M308">
        <v>0</v>
      </c>
      <c r="N308">
        <v>0</v>
      </c>
      <c r="O308">
        <v>50</v>
      </c>
      <c r="P308" s="1">
        <f t="shared" si="17"/>
        <v>0</v>
      </c>
      <c r="Q308">
        <f t="shared" si="18"/>
        <v>50</v>
      </c>
      <c r="R308" s="1">
        <f t="shared" si="19"/>
        <v>1482.5</v>
      </c>
    </row>
    <row r="309" spans="1:18" hidden="1" x14ac:dyDescent="0.3">
      <c r="A309" t="s">
        <v>4114</v>
      </c>
      <c r="B309" t="s">
        <v>4115</v>
      </c>
      <c r="C309" t="s">
        <v>47</v>
      </c>
      <c r="D309">
        <v>1</v>
      </c>
      <c r="E309">
        <v>4</v>
      </c>
      <c r="F309" t="s">
        <v>209</v>
      </c>
      <c r="G309" s="1">
        <v>95</v>
      </c>
      <c r="H309">
        <v>0</v>
      </c>
      <c r="I309">
        <v>0.5</v>
      </c>
      <c r="J309">
        <v>4</v>
      </c>
      <c r="K309">
        <v>2</v>
      </c>
      <c r="L309">
        <f t="shared" si="16"/>
        <v>4</v>
      </c>
      <c r="M309">
        <v>0</v>
      </c>
      <c r="N309">
        <v>0</v>
      </c>
      <c r="O309">
        <v>10</v>
      </c>
      <c r="P309" s="1">
        <f t="shared" si="17"/>
        <v>0</v>
      </c>
      <c r="Q309">
        <f t="shared" si="18"/>
        <v>10</v>
      </c>
      <c r="R309" s="1">
        <f t="shared" si="19"/>
        <v>950</v>
      </c>
    </row>
    <row r="310" spans="1:18" hidden="1" x14ac:dyDescent="0.3">
      <c r="A310" t="s">
        <v>4116</v>
      </c>
      <c r="B310" t="s">
        <v>4117</v>
      </c>
      <c r="C310" t="s">
        <v>47</v>
      </c>
      <c r="D310">
        <v>1</v>
      </c>
      <c r="E310">
        <v>0</v>
      </c>
      <c r="G310" s="1">
        <v>7000</v>
      </c>
      <c r="H310">
        <v>0</v>
      </c>
      <c r="I310">
        <v>0.5</v>
      </c>
      <c r="J310">
        <v>1</v>
      </c>
      <c r="K310">
        <v>1</v>
      </c>
      <c r="L310">
        <f t="shared" si="16"/>
        <v>2</v>
      </c>
      <c r="M310">
        <v>0</v>
      </c>
      <c r="N310">
        <v>0</v>
      </c>
      <c r="O310">
        <v>2</v>
      </c>
      <c r="P310" s="1">
        <f t="shared" si="17"/>
        <v>0</v>
      </c>
      <c r="Q310">
        <f t="shared" si="18"/>
        <v>2</v>
      </c>
      <c r="R310" s="1">
        <f t="shared" si="19"/>
        <v>14000</v>
      </c>
    </row>
    <row r="311" spans="1:18" hidden="1" x14ac:dyDescent="0.3">
      <c r="A311" t="s">
        <v>4118</v>
      </c>
      <c r="B311" t="s">
        <v>4119</v>
      </c>
      <c r="C311" t="s">
        <v>47</v>
      </c>
      <c r="D311">
        <v>1</v>
      </c>
      <c r="E311">
        <v>20</v>
      </c>
      <c r="F311" t="s">
        <v>209</v>
      </c>
      <c r="G311" s="1">
        <v>13.67</v>
      </c>
      <c r="H311">
        <v>0</v>
      </c>
      <c r="I311">
        <v>0.5</v>
      </c>
      <c r="J311">
        <v>20</v>
      </c>
      <c r="K311">
        <v>10</v>
      </c>
      <c r="L311">
        <f t="shared" si="16"/>
        <v>20</v>
      </c>
      <c r="M311">
        <v>0</v>
      </c>
      <c r="N311">
        <v>0</v>
      </c>
      <c r="O311">
        <v>50</v>
      </c>
      <c r="P311" s="1">
        <f t="shared" si="17"/>
        <v>0</v>
      </c>
      <c r="Q311">
        <f t="shared" si="18"/>
        <v>50</v>
      </c>
      <c r="R311" s="1">
        <f t="shared" si="19"/>
        <v>683.5</v>
      </c>
    </row>
    <row r="312" spans="1:18" hidden="1" x14ac:dyDescent="0.3">
      <c r="A312" t="s">
        <v>4120</v>
      </c>
      <c r="B312" t="s">
        <v>4121</v>
      </c>
      <c r="C312" t="s">
        <v>47</v>
      </c>
      <c r="D312">
        <v>1</v>
      </c>
      <c r="E312">
        <v>0</v>
      </c>
      <c r="G312" s="1">
        <v>0</v>
      </c>
      <c r="H312">
        <v>0</v>
      </c>
      <c r="I312">
        <v>0.5</v>
      </c>
      <c r="J312">
        <v>1</v>
      </c>
      <c r="K312">
        <v>1</v>
      </c>
      <c r="L312">
        <f t="shared" si="16"/>
        <v>2</v>
      </c>
      <c r="M312">
        <v>0</v>
      </c>
      <c r="N312">
        <v>0</v>
      </c>
      <c r="O312">
        <v>2</v>
      </c>
      <c r="P312" s="1">
        <f t="shared" si="17"/>
        <v>0</v>
      </c>
      <c r="Q312">
        <f t="shared" si="18"/>
        <v>2</v>
      </c>
      <c r="R312" s="1">
        <f t="shared" si="19"/>
        <v>0</v>
      </c>
    </row>
    <row r="313" spans="1:18" hidden="1" x14ac:dyDescent="0.3">
      <c r="A313" t="s">
        <v>4122</v>
      </c>
      <c r="B313" t="s">
        <v>4123</v>
      </c>
      <c r="C313" t="s">
        <v>47</v>
      </c>
      <c r="D313">
        <v>20</v>
      </c>
      <c r="E313">
        <v>312</v>
      </c>
      <c r="F313" t="s">
        <v>3488</v>
      </c>
      <c r="G313" s="1">
        <v>26.34</v>
      </c>
      <c r="H313">
        <v>0</v>
      </c>
      <c r="I313">
        <v>0.5</v>
      </c>
      <c r="J313">
        <v>16</v>
      </c>
      <c r="K313">
        <v>8</v>
      </c>
      <c r="L313">
        <f t="shared" si="16"/>
        <v>16</v>
      </c>
      <c r="M313">
        <v>0</v>
      </c>
      <c r="N313">
        <v>0</v>
      </c>
      <c r="O313">
        <v>40</v>
      </c>
      <c r="P313" s="1">
        <f t="shared" si="17"/>
        <v>0</v>
      </c>
      <c r="Q313">
        <f t="shared" si="18"/>
        <v>40</v>
      </c>
      <c r="R313" s="1">
        <f t="shared" si="19"/>
        <v>1053.5999999999999</v>
      </c>
    </row>
    <row r="314" spans="1:18" hidden="1" x14ac:dyDescent="0.3">
      <c r="A314" t="s">
        <v>4124</v>
      </c>
      <c r="B314" t="s">
        <v>4125</v>
      </c>
      <c r="C314" t="s">
        <v>47</v>
      </c>
      <c r="D314">
        <v>26</v>
      </c>
      <c r="E314">
        <v>12</v>
      </c>
      <c r="F314" t="s">
        <v>77</v>
      </c>
      <c r="G314" s="1">
        <v>291.5</v>
      </c>
      <c r="H314">
        <v>8</v>
      </c>
      <c r="I314">
        <v>0.5</v>
      </c>
      <c r="J314">
        <v>1</v>
      </c>
      <c r="K314">
        <v>1</v>
      </c>
      <c r="L314">
        <f t="shared" si="16"/>
        <v>2</v>
      </c>
      <c r="M314">
        <v>0</v>
      </c>
      <c r="N314">
        <v>0</v>
      </c>
      <c r="O314">
        <v>2</v>
      </c>
      <c r="P314" s="1">
        <f t="shared" si="17"/>
        <v>0</v>
      </c>
      <c r="Q314">
        <f t="shared" si="18"/>
        <v>2</v>
      </c>
      <c r="R314" s="1">
        <f t="shared" si="19"/>
        <v>583</v>
      </c>
    </row>
    <row r="315" spans="1:18" hidden="1" x14ac:dyDescent="0.3">
      <c r="A315" t="s">
        <v>4126</v>
      </c>
      <c r="B315" t="s">
        <v>3991</v>
      </c>
      <c r="C315" t="s">
        <v>47</v>
      </c>
      <c r="D315">
        <v>1</v>
      </c>
      <c r="E315">
        <v>0</v>
      </c>
      <c r="G315" s="1">
        <v>0</v>
      </c>
      <c r="H315">
        <v>2</v>
      </c>
      <c r="I315">
        <v>0.5</v>
      </c>
      <c r="J315">
        <v>2</v>
      </c>
      <c r="K315">
        <v>1</v>
      </c>
      <c r="L315">
        <f t="shared" si="16"/>
        <v>2</v>
      </c>
      <c r="M315">
        <v>0</v>
      </c>
      <c r="N315">
        <v>0</v>
      </c>
      <c r="O315">
        <v>5</v>
      </c>
      <c r="P315" s="1">
        <f t="shared" si="17"/>
        <v>0</v>
      </c>
      <c r="Q315">
        <f t="shared" si="18"/>
        <v>5</v>
      </c>
      <c r="R315" s="1">
        <f t="shared" si="19"/>
        <v>0</v>
      </c>
    </row>
    <row r="316" spans="1:18" hidden="1" x14ac:dyDescent="0.3">
      <c r="A316" t="s">
        <v>4127</v>
      </c>
      <c r="B316" t="s">
        <v>4128</v>
      </c>
      <c r="C316" t="s">
        <v>47</v>
      </c>
      <c r="D316">
        <v>1</v>
      </c>
      <c r="E316">
        <v>0</v>
      </c>
      <c r="G316" s="1">
        <v>0</v>
      </c>
      <c r="H316">
        <v>0</v>
      </c>
      <c r="I316">
        <v>0.5</v>
      </c>
      <c r="J316">
        <v>1</v>
      </c>
      <c r="K316">
        <v>1</v>
      </c>
      <c r="L316">
        <f t="shared" si="16"/>
        <v>2</v>
      </c>
      <c r="M316">
        <v>0</v>
      </c>
      <c r="N316">
        <v>0</v>
      </c>
      <c r="O316">
        <v>2</v>
      </c>
      <c r="P316" s="1">
        <f t="shared" si="17"/>
        <v>0</v>
      </c>
      <c r="Q316">
        <f t="shared" si="18"/>
        <v>2</v>
      </c>
      <c r="R316" s="1">
        <f t="shared" si="19"/>
        <v>0</v>
      </c>
    </row>
    <row r="317" spans="1:18" hidden="1" x14ac:dyDescent="0.3">
      <c r="A317" t="s">
        <v>4129</v>
      </c>
      <c r="B317" t="s">
        <v>4130</v>
      </c>
      <c r="C317" t="s">
        <v>47</v>
      </c>
      <c r="D317">
        <v>1</v>
      </c>
      <c r="E317">
        <v>0</v>
      </c>
      <c r="G317" s="1">
        <v>0</v>
      </c>
      <c r="H317">
        <v>0</v>
      </c>
      <c r="I317">
        <v>0.5</v>
      </c>
      <c r="J317">
        <v>1</v>
      </c>
      <c r="K317">
        <v>1</v>
      </c>
      <c r="L317">
        <f t="shared" si="16"/>
        <v>2</v>
      </c>
      <c r="M317">
        <v>0</v>
      </c>
      <c r="N317">
        <v>0</v>
      </c>
      <c r="O317">
        <v>2</v>
      </c>
      <c r="P317" s="1">
        <f t="shared" si="17"/>
        <v>0</v>
      </c>
      <c r="Q317">
        <f t="shared" si="18"/>
        <v>2</v>
      </c>
      <c r="R317" s="1">
        <f t="shared" si="19"/>
        <v>0</v>
      </c>
    </row>
    <row r="318" spans="1:18" hidden="1" x14ac:dyDescent="0.3">
      <c r="A318" t="s">
        <v>4131</v>
      </c>
      <c r="B318" t="s">
        <v>4132</v>
      </c>
      <c r="C318" t="s">
        <v>47</v>
      </c>
      <c r="D318">
        <v>1</v>
      </c>
      <c r="E318">
        <v>0</v>
      </c>
      <c r="G318" s="1">
        <v>0</v>
      </c>
      <c r="H318">
        <v>0</v>
      </c>
      <c r="I318">
        <v>0.5</v>
      </c>
      <c r="J318">
        <v>1</v>
      </c>
      <c r="K318">
        <v>1</v>
      </c>
      <c r="L318">
        <f t="shared" si="16"/>
        <v>2</v>
      </c>
      <c r="M318">
        <v>0</v>
      </c>
      <c r="N318">
        <v>0</v>
      </c>
      <c r="O318">
        <v>2</v>
      </c>
      <c r="P318" s="1">
        <f t="shared" si="17"/>
        <v>0</v>
      </c>
      <c r="Q318">
        <f t="shared" si="18"/>
        <v>2</v>
      </c>
      <c r="R318" s="1">
        <f t="shared" si="19"/>
        <v>0</v>
      </c>
    </row>
    <row r="319" spans="1:18" hidden="1" x14ac:dyDescent="0.3">
      <c r="A319" t="s">
        <v>4133</v>
      </c>
      <c r="B319" t="s">
        <v>3375</v>
      </c>
      <c r="C319" t="s">
        <v>47</v>
      </c>
      <c r="D319">
        <v>1</v>
      </c>
      <c r="E319">
        <v>1</v>
      </c>
      <c r="F319" t="s">
        <v>3082</v>
      </c>
      <c r="G319" s="1">
        <v>7245.65</v>
      </c>
      <c r="H319">
        <v>0</v>
      </c>
      <c r="I319">
        <v>1.4</v>
      </c>
      <c r="J319">
        <v>1</v>
      </c>
      <c r="K319">
        <v>1</v>
      </c>
      <c r="L319">
        <f t="shared" si="16"/>
        <v>3</v>
      </c>
      <c r="M319">
        <v>0</v>
      </c>
      <c r="N319">
        <v>0</v>
      </c>
      <c r="O319">
        <v>3</v>
      </c>
      <c r="P319" s="1">
        <f t="shared" si="17"/>
        <v>0</v>
      </c>
      <c r="Q319">
        <f t="shared" si="18"/>
        <v>3</v>
      </c>
      <c r="R319" s="1">
        <f t="shared" si="19"/>
        <v>21736.949999999997</v>
      </c>
    </row>
    <row r="320" spans="1:18" hidden="1" x14ac:dyDescent="0.3">
      <c r="A320" t="s">
        <v>4134</v>
      </c>
      <c r="B320" t="s">
        <v>3379</v>
      </c>
      <c r="C320" t="s">
        <v>47</v>
      </c>
      <c r="D320">
        <v>1</v>
      </c>
      <c r="E320">
        <v>1</v>
      </c>
      <c r="F320" t="s">
        <v>3082</v>
      </c>
      <c r="G320" s="1">
        <v>7797.41</v>
      </c>
      <c r="H320">
        <v>0</v>
      </c>
      <c r="I320">
        <v>1.4</v>
      </c>
      <c r="J320">
        <v>1</v>
      </c>
      <c r="K320">
        <v>1</v>
      </c>
      <c r="L320">
        <f t="shared" si="16"/>
        <v>3</v>
      </c>
      <c r="M320">
        <v>0</v>
      </c>
      <c r="N320">
        <v>0</v>
      </c>
      <c r="O320">
        <v>3</v>
      </c>
      <c r="P320" s="1">
        <f t="shared" si="17"/>
        <v>0</v>
      </c>
      <c r="Q320">
        <f t="shared" si="18"/>
        <v>3</v>
      </c>
      <c r="R320" s="1">
        <f t="shared" si="19"/>
        <v>23392.23</v>
      </c>
    </row>
    <row r="321" spans="1:18" hidden="1" x14ac:dyDescent="0.3">
      <c r="A321" t="s">
        <v>4135</v>
      </c>
      <c r="B321" t="s">
        <v>3389</v>
      </c>
      <c r="C321" t="s">
        <v>47</v>
      </c>
      <c r="D321">
        <v>1</v>
      </c>
      <c r="E321">
        <v>2</v>
      </c>
      <c r="F321" t="s">
        <v>3082</v>
      </c>
      <c r="G321" s="1">
        <v>7098.6</v>
      </c>
      <c r="H321">
        <v>0</v>
      </c>
      <c r="I321">
        <v>1.4</v>
      </c>
      <c r="J321">
        <v>2</v>
      </c>
      <c r="K321">
        <v>3</v>
      </c>
      <c r="L321">
        <f t="shared" si="16"/>
        <v>6</v>
      </c>
      <c r="M321">
        <v>0</v>
      </c>
      <c r="N321">
        <v>0</v>
      </c>
      <c r="O321">
        <v>7</v>
      </c>
      <c r="P321" s="1">
        <f t="shared" si="17"/>
        <v>0</v>
      </c>
      <c r="Q321">
        <f t="shared" si="18"/>
        <v>7</v>
      </c>
      <c r="R321" s="1">
        <f t="shared" si="19"/>
        <v>49690.200000000004</v>
      </c>
    </row>
    <row r="322" spans="1:18" hidden="1" x14ac:dyDescent="0.3">
      <c r="A322" t="s">
        <v>4136</v>
      </c>
      <c r="B322" t="s">
        <v>4137</v>
      </c>
      <c r="C322" t="s">
        <v>47</v>
      </c>
      <c r="D322">
        <v>13</v>
      </c>
      <c r="E322">
        <v>10</v>
      </c>
      <c r="F322" t="s">
        <v>3082</v>
      </c>
      <c r="G322" s="1">
        <v>4363.4799999999996</v>
      </c>
      <c r="H322">
        <v>2</v>
      </c>
      <c r="I322">
        <v>1.1000000000000001</v>
      </c>
      <c r="J322">
        <v>1</v>
      </c>
      <c r="K322">
        <v>1</v>
      </c>
      <c r="L322">
        <f t="shared" ref="L322:L385" si="20">ROUNDUP((J322*I322)+K322,0)</f>
        <v>3</v>
      </c>
      <c r="M322">
        <v>0</v>
      </c>
      <c r="N322">
        <v>0</v>
      </c>
      <c r="O322">
        <v>3</v>
      </c>
      <c r="P322" s="1">
        <f t="shared" ref="P322:P385" si="21">IFERROR(M322*G322,0)</f>
        <v>0</v>
      </c>
      <c r="Q322">
        <f t="shared" ref="Q322:Q385" si="22">IF(O322-M322-N322&gt;0,O322-M322-N322,0)</f>
        <v>3</v>
      </c>
      <c r="R322" s="1">
        <f t="shared" ref="R322:R385" si="23">IFERROR(Q322*G322,0)</f>
        <v>13090.439999999999</v>
      </c>
    </row>
    <row r="323" spans="1:18" hidden="1" x14ac:dyDescent="0.3">
      <c r="A323" t="s">
        <v>4138</v>
      </c>
      <c r="B323" t="s">
        <v>4139</v>
      </c>
      <c r="C323" t="s">
        <v>47</v>
      </c>
      <c r="D323">
        <v>1</v>
      </c>
      <c r="E323">
        <v>50</v>
      </c>
      <c r="F323" t="s">
        <v>654</v>
      </c>
      <c r="G323" s="1">
        <v>39</v>
      </c>
      <c r="H323">
        <v>0</v>
      </c>
      <c r="I323">
        <v>0.8</v>
      </c>
      <c r="J323">
        <v>50</v>
      </c>
      <c r="K323">
        <v>40</v>
      </c>
      <c r="L323">
        <f t="shared" si="20"/>
        <v>80</v>
      </c>
      <c r="M323">
        <v>0</v>
      </c>
      <c r="N323">
        <v>0</v>
      </c>
      <c r="O323">
        <v>140</v>
      </c>
      <c r="P323" s="1">
        <f t="shared" si="21"/>
        <v>0</v>
      </c>
      <c r="Q323">
        <f t="shared" si="22"/>
        <v>140</v>
      </c>
      <c r="R323" s="1">
        <f t="shared" si="23"/>
        <v>5460</v>
      </c>
    </row>
    <row r="324" spans="1:18" hidden="1" x14ac:dyDescent="0.3">
      <c r="A324" t="s">
        <v>4140</v>
      </c>
      <c r="B324" t="s">
        <v>4141</v>
      </c>
      <c r="C324" t="s">
        <v>47</v>
      </c>
      <c r="D324">
        <v>4</v>
      </c>
      <c r="E324">
        <v>2</v>
      </c>
      <c r="F324" t="s">
        <v>4142</v>
      </c>
      <c r="G324" s="1">
        <v>3845.58</v>
      </c>
      <c r="H324">
        <v>0</v>
      </c>
      <c r="I324">
        <v>0.5</v>
      </c>
      <c r="J324">
        <v>1</v>
      </c>
      <c r="K324">
        <v>1</v>
      </c>
      <c r="L324">
        <f t="shared" si="20"/>
        <v>2</v>
      </c>
      <c r="M324">
        <v>0</v>
      </c>
      <c r="N324">
        <v>0</v>
      </c>
      <c r="O324">
        <v>2</v>
      </c>
      <c r="P324" s="1">
        <f t="shared" si="21"/>
        <v>0</v>
      </c>
      <c r="Q324">
        <f t="shared" si="22"/>
        <v>2</v>
      </c>
      <c r="R324" s="1">
        <f t="shared" si="23"/>
        <v>7691.16</v>
      </c>
    </row>
    <row r="325" spans="1:18" hidden="1" x14ac:dyDescent="0.3">
      <c r="A325" t="s">
        <v>4143</v>
      </c>
      <c r="B325" t="s">
        <v>4144</v>
      </c>
      <c r="C325" t="s">
        <v>47</v>
      </c>
      <c r="D325">
        <v>1</v>
      </c>
      <c r="E325">
        <v>0</v>
      </c>
      <c r="G325" s="1">
        <v>0</v>
      </c>
      <c r="H325">
        <v>0</v>
      </c>
      <c r="I325">
        <v>0.5</v>
      </c>
      <c r="J325">
        <v>1</v>
      </c>
      <c r="K325">
        <v>1</v>
      </c>
      <c r="L325">
        <f t="shared" si="20"/>
        <v>2</v>
      </c>
      <c r="M325">
        <v>0</v>
      </c>
      <c r="N325">
        <v>0</v>
      </c>
      <c r="O325">
        <v>2</v>
      </c>
      <c r="P325" s="1">
        <f t="shared" si="21"/>
        <v>0</v>
      </c>
      <c r="Q325">
        <f t="shared" si="22"/>
        <v>2</v>
      </c>
      <c r="R325" s="1">
        <f t="shared" si="23"/>
        <v>0</v>
      </c>
    </row>
    <row r="326" spans="1:18" hidden="1" x14ac:dyDescent="0.3">
      <c r="A326" t="s">
        <v>4145</v>
      </c>
      <c r="B326" t="s">
        <v>4146</v>
      </c>
      <c r="C326" t="s">
        <v>47</v>
      </c>
      <c r="D326">
        <v>11</v>
      </c>
      <c r="E326">
        <v>8</v>
      </c>
      <c r="F326" t="s">
        <v>206</v>
      </c>
      <c r="G326" s="1">
        <v>196.3</v>
      </c>
      <c r="H326">
        <v>0</v>
      </c>
      <c r="I326">
        <v>0.5</v>
      </c>
      <c r="J326">
        <v>1</v>
      </c>
      <c r="K326">
        <v>1</v>
      </c>
      <c r="L326">
        <f t="shared" si="20"/>
        <v>2</v>
      </c>
      <c r="M326">
        <v>0</v>
      </c>
      <c r="N326">
        <v>0</v>
      </c>
      <c r="O326">
        <v>2</v>
      </c>
      <c r="P326" s="1">
        <f t="shared" si="21"/>
        <v>0</v>
      </c>
      <c r="Q326">
        <f t="shared" si="22"/>
        <v>2</v>
      </c>
      <c r="R326" s="1">
        <f t="shared" si="23"/>
        <v>392.6</v>
      </c>
    </row>
    <row r="327" spans="1:18" hidden="1" x14ac:dyDescent="0.3">
      <c r="A327" t="s">
        <v>4147</v>
      </c>
      <c r="B327" t="s">
        <v>4148</v>
      </c>
      <c r="C327" t="s">
        <v>47</v>
      </c>
      <c r="D327">
        <v>1</v>
      </c>
      <c r="E327">
        <v>0</v>
      </c>
      <c r="G327" s="1">
        <v>0</v>
      </c>
      <c r="H327">
        <v>0</v>
      </c>
      <c r="I327">
        <v>0.5</v>
      </c>
      <c r="J327">
        <v>1</v>
      </c>
      <c r="K327">
        <v>1</v>
      </c>
      <c r="L327">
        <f t="shared" si="20"/>
        <v>2</v>
      </c>
      <c r="M327">
        <v>0</v>
      </c>
      <c r="N327">
        <v>0</v>
      </c>
      <c r="O327">
        <v>2</v>
      </c>
      <c r="P327" s="1">
        <f t="shared" si="21"/>
        <v>0</v>
      </c>
      <c r="Q327">
        <f t="shared" si="22"/>
        <v>2</v>
      </c>
      <c r="R327" s="1">
        <f t="shared" si="23"/>
        <v>0</v>
      </c>
    </row>
    <row r="328" spans="1:18" hidden="1" x14ac:dyDescent="0.3">
      <c r="A328" t="s">
        <v>4149</v>
      </c>
      <c r="B328" t="s">
        <v>4150</v>
      </c>
      <c r="C328" t="s">
        <v>47</v>
      </c>
      <c r="D328">
        <v>1</v>
      </c>
      <c r="E328">
        <v>0</v>
      </c>
      <c r="G328" s="1">
        <v>0</v>
      </c>
      <c r="H328">
        <v>0</v>
      </c>
      <c r="I328">
        <v>0.5</v>
      </c>
      <c r="J328">
        <v>1</v>
      </c>
      <c r="K328">
        <v>1</v>
      </c>
      <c r="L328">
        <f t="shared" si="20"/>
        <v>2</v>
      </c>
      <c r="M328">
        <v>0</v>
      </c>
      <c r="N328">
        <v>0</v>
      </c>
      <c r="O328">
        <v>2</v>
      </c>
      <c r="P328" s="1">
        <f t="shared" si="21"/>
        <v>0</v>
      </c>
      <c r="Q328">
        <f t="shared" si="22"/>
        <v>2</v>
      </c>
      <c r="R328" s="1">
        <f t="shared" si="23"/>
        <v>0</v>
      </c>
    </row>
    <row r="329" spans="1:18" hidden="1" x14ac:dyDescent="0.3">
      <c r="A329" t="s">
        <v>4151</v>
      </c>
      <c r="B329" t="s">
        <v>4152</v>
      </c>
      <c r="C329" t="s">
        <v>47</v>
      </c>
      <c r="D329">
        <v>1</v>
      </c>
      <c r="E329">
        <v>0</v>
      </c>
      <c r="G329" s="1">
        <v>0</v>
      </c>
      <c r="H329">
        <v>0</v>
      </c>
      <c r="I329">
        <v>0.5</v>
      </c>
      <c r="J329">
        <v>1</v>
      </c>
      <c r="K329">
        <v>1</v>
      </c>
      <c r="L329">
        <f t="shared" si="20"/>
        <v>2</v>
      </c>
      <c r="M329">
        <v>0</v>
      </c>
      <c r="N329">
        <v>0</v>
      </c>
      <c r="O329">
        <v>2</v>
      </c>
      <c r="P329" s="1">
        <f t="shared" si="21"/>
        <v>0</v>
      </c>
      <c r="Q329">
        <f t="shared" si="22"/>
        <v>2</v>
      </c>
      <c r="R329" s="1">
        <f t="shared" si="23"/>
        <v>0</v>
      </c>
    </row>
    <row r="330" spans="1:18" hidden="1" x14ac:dyDescent="0.3">
      <c r="A330" t="s">
        <v>4153</v>
      </c>
      <c r="B330" t="s">
        <v>4154</v>
      </c>
      <c r="C330" t="s">
        <v>47</v>
      </c>
      <c r="D330">
        <v>1</v>
      </c>
      <c r="E330">
        <v>1</v>
      </c>
      <c r="F330" t="s">
        <v>2757</v>
      </c>
      <c r="G330" s="1">
        <v>453.03</v>
      </c>
      <c r="H330">
        <v>0</v>
      </c>
      <c r="I330">
        <v>2.1</v>
      </c>
      <c r="J330">
        <v>1</v>
      </c>
      <c r="K330">
        <v>2</v>
      </c>
      <c r="L330">
        <f t="shared" si="20"/>
        <v>5</v>
      </c>
      <c r="M330">
        <v>0</v>
      </c>
      <c r="N330">
        <v>0</v>
      </c>
      <c r="O330">
        <v>4</v>
      </c>
      <c r="P330" s="1">
        <f t="shared" si="21"/>
        <v>0</v>
      </c>
      <c r="Q330">
        <f t="shared" si="22"/>
        <v>4</v>
      </c>
      <c r="R330" s="1">
        <f t="shared" si="23"/>
        <v>1812.12</v>
      </c>
    </row>
    <row r="331" spans="1:18" hidden="1" x14ac:dyDescent="0.3">
      <c r="A331" t="s">
        <v>4155</v>
      </c>
      <c r="B331" t="s">
        <v>4156</v>
      </c>
      <c r="C331" t="s">
        <v>47</v>
      </c>
      <c r="D331">
        <v>3</v>
      </c>
      <c r="E331">
        <v>3</v>
      </c>
      <c r="F331" t="s">
        <v>3488</v>
      </c>
      <c r="G331" s="1">
        <v>2796.67</v>
      </c>
      <c r="H331">
        <v>0</v>
      </c>
      <c r="I331">
        <v>0.5</v>
      </c>
      <c r="J331">
        <v>1</v>
      </c>
      <c r="K331">
        <v>1</v>
      </c>
      <c r="L331">
        <f t="shared" si="20"/>
        <v>2</v>
      </c>
      <c r="M331">
        <v>0</v>
      </c>
      <c r="N331">
        <v>0</v>
      </c>
      <c r="O331">
        <v>2</v>
      </c>
      <c r="P331" s="1">
        <f t="shared" si="21"/>
        <v>0</v>
      </c>
      <c r="Q331">
        <f t="shared" si="22"/>
        <v>2</v>
      </c>
      <c r="R331" s="1">
        <f t="shared" si="23"/>
        <v>5593.34</v>
      </c>
    </row>
    <row r="332" spans="1:18" hidden="1" x14ac:dyDescent="0.3">
      <c r="A332" t="s">
        <v>4157</v>
      </c>
      <c r="B332" t="s">
        <v>4158</v>
      </c>
      <c r="C332" t="s">
        <v>47</v>
      </c>
      <c r="D332">
        <v>1</v>
      </c>
      <c r="E332">
        <v>3</v>
      </c>
      <c r="F332" t="s">
        <v>3471</v>
      </c>
      <c r="G332" s="1">
        <v>4393.13</v>
      </c>
      <c r="H332">
        <v>0</v>
      </c>
      <c r="I332">
        <v>0.5</v>
      </c>
      <c r="J332">
        <v>3</v>
      </c>
      <c r="K332">
        <v>2</v>
      </c>
      <c r="L332">
        <f t="shared" si="20"/>
        <v>4</v>
      </c>
      <c r="M332">
        <v>0</v>
      </c>
      <c r="N332">
        <v>0</v>
      </c>
      <c r="O332">
        <v>8</v>
      </c>
      <c r="P332" s="1">
        <f t="shared" si="21"/>
        <v>0</v>
      </c>
      <c r="Q332">
        <f t="shared" si="22"/>
        <v>8</v>
      </c>
      <c r="R332" s="1">
        <f t="shared" si="23"/>
        <v>35145.040000000001</v>
      </c>
    </row>
    <row r="333" spans="1:18" hidden="1" x14ac:dyDescent="0.3">
      <c r="A333" t="s">
        <v>4159</v>
      </c>
      <c r="B333" t="s">
        <v>4160</v>
      </c>
      <c r="C333" t="s">
        <v>47</v>
      </c>
      <c r="D333">
        <v>1</v>
      </c>
      <c r="E333">
        <v>1</v>
      </c>
      <c r="F333" t="s">
        <v>654</v>
      </c>
      <c r="G333" s="1">
        <v>5755</v>
      </c>
      <c r="H333">
        <v>0</v>
      </c>
      <c r="I333">
        <v>1.5</v>
      </c>
      <c r="J333">
        <v>1</v>
      </c>
      <c r="K333">
        <v>2</v>
      </c>
      <c r="L333">
        <f t="shared" si="20"/>
        <v>4</v>
      </c>
      <c r="M333">
        <v>0</v>
      </c>
      <c r="N333">
        <v>0</v>
      </c>
      <c r="O333">
        <v>4</v>
      </c>
      <c r="P333" s="1">
        <f t="shared" si="21"/>
        <v>0</v>
      </c>
      <c r="Q333">
        <f t="shared" si="22"/>
        <v>4</v>
      </c>
      <c r="R333" s="1">
        <f t="shared" si="23"/>
        <v>23020</v>
      </c>
    </row>
    <row r="334" spans="1:18" hidden="1" x14ac:dyDescent="0.3">
      <c r="A334" t="s">
        <v>4161</v>
      </c>
      <c r="B334" t="s">
        <v>4162</v>
      </c>
      <c r="C334" t="s">
        <v>47</v>
      </c>
      <c r="D334">
        <v>1</v>
      </c>
      <c r="E334">
        <v>0</v>
      </c>
      <c r="G334" s="1">
        <v>0</v>
      </c>
      <c r="H334">
        <v>0</v>
      </c>
      <c r="I334">
        <v>0.5</v>
      </c>
      <c r="J334">
        <v>1</v>
      </c>
      <c r="K334">
        <v>1</v>
      </c>
      <c r="L334">
        <f t="shared" si="20"/>
        <v>2</v>
      </c>
      <c r="M334">
        <v>0</v>
      </c>
      <c r="N334">
        <v>0</v>
      </c>
      <c r="O334">
        <v>2</v>
      </c>
      <c r="P334" s="1">
        <f t="shared" si="21"/>
        <v>0</v>
      </c>
      <c r="Q334">
        <f t="shared" si="22"/>
        <v>2</v>
      </c>
      <c r="R334" s="1">
        <f t="shared" si="23"/>
        <v>0</v>
      </c>
    </row>
    <row r="335" spans="1:18" hidden="1" x14ac:dyDescent="0.3">
      <c r="A335" t="s">
        <v>4163</v>
      </c>
      <c r="B335" t="s">
        <v>4164</v>
      </c>
      <c r="C335" t="s">
        <v>47</v>
      </c>
      <c r="D335">
        <v>1</v>
      </c>
      <c r="E335">
        <v>0</v>
      </c>
      <c r="G335" s="1">
        <v>0</v>
      </c>
      <c r="H335">
        <v>0</v>
      </c>
      <c r="I335">
        <v>0.5</v>
      </c>
      <c r="J335">
        <v>1</v>
      </c>
      <c r="K335">
        <v>1</v>
      </c>
      <c r="L335">
        <f t="shared" si="20"/>
        <v>2</v>
      </c>
      <c r="M335">
        <v>0</v>
      </c>
      <c r="N335">
        <v>0</v>
      </c>
      <c r="O335">
        <v>2</v>
      </c>
      <c r="P335" s="1">
        <f t="shared" si="21"/>
        <v>0</v>
      </c>
      <c r="Q335">
        <f t="shared" si="22"/>
        <v>2</v>
      </c>
      <c r="R335" s="1">
        <f t="shared" si="23"/>
        <v>0</v>
      </c>
    </row>
    <row r="336" spans="1:18" hidden="1" x14ac:dyDescent="0.3">
      <c r="A336" t="s">
        <v>4165</v>
      </c>
      <c r="B336" t="s">
        <v>4166</v>
      </c>
      <c r="C336" t="s">
        <v>47</v>
      </c>
      <c r="D336">
        <v>1</v>
      </c>
      <c r="E336">
        <v>8</v>
      </c>
      <c r="F336" t="s">
        <v>3546</v>
      </c>
      <c r="G336" s="1">
        <v>281</v>
      </c>
      <c r="H336">
        <v>0</v>
      </c>
      <c r="I336">
        <v>0.5</v>
      </c>
      <c r="J336">
        <v>8</v>
      </c>
      <c r="K336">
        <v>4</v>
      </c>
      <c r="L336">
        <f t="shared" si="20"/>
        <v>8</v>
      </c>
      <c r="M336">
        <v>0</v>
      </c>
      <c r="N336">
        <v>0</v>
      </c>
      <c r="O336">
        <v>20</v>
      </c>
      <c r="P336" s="1">
        <f t="shared" si="21"/>
        <v>0</v>
      </c>
      <c r="Q336">
        <f t="shared" si="22"/>
        <v>20</v>
      </c>
      <c r="R336" s="1">
        <f t="shared" si="23"/>
        <v>5620</v>
      </c>
    </row>
    <row r="337" spans="1:18" hidden="1" x14ac:dyDescent="0.3">
      <c r="A337" t="s">
        <v>4167</v>
      </c>
      <c r="B337" t="s">
        <v>4168</v>
      </c>
      <c r="C337" t="s">
        <v>47</v>
      </c>
      <c r="D337">
        <v>1</v>
      </c>
      <c r="E337">
        <v>0</v>
      </c>
      <c r="G337" s="1">
        <v>890</v>
      </c>
      <c r="H337">
        <v>0</v>
      </c>
      <c r="I337">
        <v>0.5</v>
      </c>
      <c r="J337">
        <v>1</v>
      </c>
      <c r="K337">
        <v>1</v>
      </c>
      <c r="L337">
        <f t="shared" si="20"/>
        <v>2</v>
      </c>
      <c r="M337">
        <v>0</v>
      </c>
      <c r="N337">
        <v>0</v>
      </c>
      <c r="O337">
        <v>2</v>
      </c>
      <c r="P337" s="1">
        <f t="shared" si="21"/>
        <v>0</v>
      </c>
      <c r="Q337">
        <f t="shared" si="22"/>
        <v>2</v>
      </c>
      <c r="R337" s="1">
        <f t="shared" si="23"/>
        <v>1780</v>
      </c>
    </row>
    <row r="338" spans="1:18" hidden="1" x14ac:dyDescent="0.3">
      <c r="A338" t="s">
        <v>4169</v>
      </c>
      <c r="B338" t="s">
        <v>4170</v>
      </c>
      <c r="C338" t="s">
        <v>47</v>
      </c>
      <c r="D338">
        <v>1</v>
      </c>
      <c r="E338">
        <v>0</v>
      </c>
      <c r="G338" s="1">
        <v>8000</v>
      </c>
      <c r="H338">
        <v>0</v>
      </c>
      <c r="I338">
        <v>0.5</v>
      </c>
      <c r="J338">
        <v>1</v>
      </c>
      <c r="K338">
        <v>1</v>
      </c>
      <c r="L338">
        <f t="shared" si="20"/>
        <v>2</v>
      </c>
      <c r="M338">
        <v>0</v>
      </c>
      <c r="N338">
        <v>0</v>
      </c>
      <c r="O338">
        <v>2</v>
      </c>
      <c r="P338" s="1">
        <f t="shared" si="21"/>
        <v>0</v>
      </c>
      <c r="Q338">
        <f t="shared" si="22"/>
        <v>2</v>
      </c>
      <c r="R338" s="1">
        <f t="shared" si="23"/>
        <v>16000</v>
      </c>
    </row>
    <row r="339" spans="1:18" hidden="1" x14ac:dyDescent="0.3">
      <c r="A339" t="s">
        <v>4171</v>
      </c>
      <c r="B339" t="s">
        <v>4121</v>
      </c>
      <c r="C339" t="s">
        <v>47</v>
      </c>
      <c r="D339">
        <v>1</v>
      </c>
      <c r="E339">
        <v>0</v>
      </c>
      <c r="G339" s="1">
        <v>0</v>
      </c>
      <c r="H339">
        <v>0</v>
      </c>
      <c r="I339">
        <v>0.5</v>
      </c>
      <c r="J339">
        <v>1</v>
      </c>
      <c r="K339">
        <v>1</v>
      </c>
      <c r="L339">
        <f t="shared" si="20"/>
        <v>2</v>
      </c>
      <c r="M339">
        <v>0</v>
      </c>
      <c r="N339">
        <v>0</v>
      </c>
      <c r="O339">
        <v>2</v>
      </c>
      <c r="P339" s="1">
        <f t="shared" si="21"/>
        <v>0</v>
      </c>
      <c r="Q339">
        <f t="shared" si="22"/>
        <v>2</v>
      </c>
      <c r="R339" s="1">
        <f t="shared" si="23"/>
        <v>0</v>
      </c>
    </row>
    <row r="340" spans="1:18" hidden="1" x14ac:dyDescent="0.3">
      <c r="A340" t="s">
        <v>4172</v>
      </c>
      <c r="B340" t="s">
        <v>3554</v>
      </c>
      <c r="C340" t="s">
        <v>47</v>
      </c>
      <c r="D340">
        <v>1</v>
      </c>
      <c r="E340">
        <v>3</v>
      </c>
      <c r="F340" t="s">
        <v>1073</v>
      </c>
      <c r="G340" s="1">
        <v>1630</v>
      </c>
      <c r="H340">
        <v>0</v>
      </c>
      <c r="I340">
        <v>1.7</v>
      </c>
      <c r="J340">
        <v>3</v>
      </c>
      <c r="K340">
        <v>5</v>
      </c>
      <c r="L340">
        <f t="shared" si="20"/>
        <v>11</v>
      </c>
      <c r="M340">
        <v>0</v>
      </c>
      <c r="N340">
        <v>0</v>
      </c>
      <c r="O340">
        <v>11</v>
      </c>
      <c r="P340" s="1">
        <f t="shared" si="21"/>
        <v>0</v>
      </c>
      <c r="Q340">
        <f t="shared" si="22"/>
        <v>11</v>
      </c>
      <c r="R340" s="1">
        <f t="shared" si="23"/>
        <v>17930</v>
      </c>
    </row>
    <row r="341" spans="1:18" hidden="1" x14ac:dyDescent="0.3">
      <c r="A341" t="s">
        <v>4173</v>
      </c>
      <c r="B341" t="s">
        <v>4174</v>
      </c>
      <c r="C341" t="s">
        <v>47</v>
      </c>
      <c r="D341">
        <v>1</v>
      </c>
      <c r="E341">
        <v>0</v>
      </c>
      <c r="G341" s="1">
        <v>0</v>
      </c>
      <c r="H341">
        <v>0</v>
      </c>
      <c r="I341">
        <v>0.5</v>
      </c>
      <c r="J341">
        <v>1</v>
      </c>
      <c r="K341">
        <v>1</v>
      </c>
      <c r="L341">
        <f t="shared" si="20"/>
        <v>2</v>
      </c>
      <c r="M341">
        <v>0</v>
      </c>
      <c r="N341">
        <v>0</v>
      </c>
      <c r="O341">
        <v>2</v>
      </c>
      <c r="P341" s="1">
        <f t="shared" si="21"/>
        <v>0</v>
      </c>
      <c r="Q341">
        <f t="shared" si="22"/>
        <v>2</v>
      </c>
      <c r="R341" s="1">
        <f t="shared" si="23"/>
        <v>0</v>
      </c>
    </row>
    <row r="342" spans="1:18" hidden="1" x14ac:dyDescent="0.3">
      <c r="A342" t="s">
        <v>4175</v>
      </c>
      <c r="B342" t="s">
        <v>4176</v>
      </c>
      <c r="C342" t="s">
        <v>47</v>
      </c>
      <c r="D342">
        <v>20</v>
      </c>
      <c r="E342">
        <v>248</v>
      </c>
      <c r="F342" t="s">
        <v>3488</v>
      </c>
      <c r="G342" s="1">
        <v>24.7</v>
      </c>
      <c r="H342">
        <v>0</v>
      </c>
      <c r="I342">
        <v>0.5</v>
      </c>
      <c r="J342">
        <v>12.5</v>
      </c>
      <c r="K342">
        <v>6</v>
      </c>
      <c r="L342">
        <f t="shared" si="20"/>
        <v>13</v>
      </c>
      <c r="M342">
        <v>0</v>
      </c>
      <c r="N342">
        <v>0</v>
      </c>
      <c r="O342">
        <v>31</v>
      </c>
      <c r="P342" s="1">
        <f t="shared" si="21"/>
        <v>0</v>
      </c>
      <c r="Q342">
        <f t="shared" si="22"/>
        <v>31</v>
      </c>
      <c r="R342" s="1">
        <f t="shared" si="23"/>
        <v>765.69999999999993</v>
      </c>
    </row>
    <row r="343" spans="1:18" hidden="1" x14ac:dyDescent="0.3">
      <c r="A343" t="s">
        <v>4177</v>
      </c>
      <c r="B343" t="s">
        <v>3808</v>
      </c>
      <c r="C343" t="s">
        <v>47</v>
      </c>
      <c r="D343">
        <v>1</v>
      </c>
      <c r="E343">
        <v>3</v>
      </c>
      <c r="F343" t="s">
        <v>3546</v>
      </c>
      <c r="G343" s="1">
        <v>309</v>
      </c>
      <c r="H343">
        <v>3</v>
      </c>
      <c r="I343">
        <v>0.5</v>
      </c>
      <c r="J343">
        <v>3</v>
      </c>
      <c r="K343">
        <v>2</v>
      </c>
      <c r="L343">
        <f t="shared" si="20"/>
        <v>4</v>
      </c>
      <c r="M343">
        <v>0</v>
      </c>
      <c r="N343">
        <v>0</v>
      </c>
      <c r="O343">
        <v>8</v>
      </c>
      <c r="P343" s="1">
        <f t="shared" si="21"/>
        <v>0</v>
      </c>
      <c r="Q343">
        <f t="shared" si="22"/>
        <v>8</v>
      </c>
      <c r="R343" s="1">
        <f t="shared" si="23"/>
        <v>2472</v>
      </c>
    </row>
    <row r="344" spans="1:18" hidden="1" x14ac:dyDescent="0.3">
      <c r="A344" t="s">
        <v>4178</v>
      </c>
      <c r="B344" t="s">
        <v>4179</v>
      </c>
      <c r="C344" t="s">
        <v>47</v>
      </c>
      <c r="D344">
        <v>1</v>
      </c>
      <c r="E344">
        <v>48</v>
      </c>
      <c r="F344" t="s">
        <v>4180</v>
      </c>
      <c r="G344" s="1">
        <v>0</v>
      </c>
      <c r="H344">
        <v>0</v>
      </c>
      <c r="I344">
        <v>0.5</v>
      </c>
      <c r="J344">
        <v>48</v>
      </c>
      <c r="K344">
        <v>24</v>
      </c>
      <c r="L344">
        <f t="shared" si="20"/>
        <v>48</v>
      </c>
      <c r="M344">
        <v>0</v>
      </c>
      <c r="N344">
        <v>0</v>
      </c>
      <c r="O344">
        <v>120</v>
      </c>
      <c r="P344" s="1">
        <f t="shared" si="21"/>
        <v>0</v>
      </c>
      <c r="Q344">
        <f t="shared" si="22"/>
        <v>120</v>
      </c>
      <c r="R344" s="1">
        <f t="shared" si="23"/>
        <v>0</v>
      </c>
    </row>
    <row r="345" spans="1:18" hidden="1" x14ac:dyDescent="0.3">
      <c r="A345" t="s">
        <v>4181</v>
      </c>
      <c r="B345" t="s">
        <v>4182</v>
      </c>
      <c r="C345" t="s">
        <v>47</v>
      </c>
      <c r="D345">
        <v>1</v>
      </c>
      <c r="E345">
        <v>0</v>
      </c>
      <c r="G345" s="1">
        <v>62</v>
      </c>
      <c r="H345">
        <v>0</v>
      </c>
      <c r="I345">
        <v>0.5</v>
      </c>
      <c r="J345">
        <v>1</v>
      </c>
      <c r="K345">
        <v>1</v>
      </c>
      <c r="L345">
        <f t="shared" si="20"/>
        <v>2</v>
      </c>
      <c r="M345">
        <v>0</v>
      </c>
      <c r="N345">
        <v>0</v>
      </c>
      <c r="O345">
        <v>2</v>
      </c>
      <c r="P345" s="1">
        <f t="shared" si="21"/>
        <v>0</v>
      </c>
      <c r="Q345">
        <f t="shared" si="22"/>
        <v>2</v>
      </c>
      <c r="R345" s="1">
        <f t="shared" si="23"/>
        <v>124</v>
      </c>
    </row>
    <row r="346" spans="1:18" hidden="1" x14ac:dyDescent="0.3">
      <c r="A346" t="s">
        <v>4183</v>
      </c>
      <c r="B346" t="s">
        <v>4182</v>
      </c>
      <c r="C346" t="s">
        <v>47</v>
      </c>
      <c r="D346">
        <v>1</v>
      </c>
      <c r="E346">
        <v>0</v>
      </c>
      <c r="G346" s="1">
        <v>0</v>
      </c>
      <c r="H346">
        <v>0</v>
      </c>
      <c r="I346">
        <v>0.5</v>
      </c>
      <c r="J346">
        <v>1</v>
      </c>
      <c r="K346">
        <v>1</v>
      </c>
      <c r="L346">
        <f t="shared" si="20"/>
        <v>2</v>
      </c>
      <c r="M346">
        <v>0</v>
      </c>
      <c r="N346">
        <v>0</v>
      </c>
      <c r="O346">
        <v>2</v>
      </c>
      <c r="P346" s="1">
        <f t="shared" si="21"/>
        <v>0</v>
      </c>
      <c r="Q346">
        <f t="shared" si="22"/>
        <v>2</v>
      </c>
      <c r="R346" s="1">
        <f t="shared" si="23"/>
        <v>0</v>
      </c>
    </row>
    <row r="347" spans="1:18" hidden="1" x14ac:dyDescent="0.3">
      <c r="A347" t="s">
        <v>4184</v>
      </c>
      <c r="B347" t="s">
        <v>4185</v>
      </c>
      <c r="C347" t="s">
        <v>47</v>
      </c>
      <c r="D347">
        <v>1</v>
      </c>
      <c r="E347">
        <v>0</v>
      </c>
      <c r="G347" s="1">
        <v>0</v>
      </c>
      <c r="H347">
        <v>0</v>
      </c>
      <c r="I347">
        <v>0.5</v>
      </c>
      <c r="J347">
        <v>1</v>
      </c>
      <c r="K347">
        <v>1</v>
      </c>
      <c r="L347">
        <f t="shared" si="20"/>
        <v>2</v>
      </c>
      <c r="M347">
        <v>0</v>
      </c>
      <c r="N347">
        <v>0</v>
      </c>
      <c r="O347">
        <v>2</v>
      </c>
      <c r="P347" s="1">
        <f t="shared" si="21"/>
        <v>0</v>
      </c>
      <c r="Q347">
        <f t="shared" si="22"/>
        <v>2</v>
      </c>
      <c r="R347" s="1">
        <f t="shared" si="23"/>
        <v>0</v>
      </c>
    </row>
    <row r="348" spans="1:18" hidden="1" x14ac:dyDescent="0.3">
      <c r="A348" t="s">
        <v>4186</v>
      </c>
      <c r="B348" t="s">
        <v>4187</v>
      </c>
      <c r="C348" t="s">
        <v>47</v>
      </c>
      <c r="D348">
        <v>1</v>
      </c>
      <c r="E348">
        <v>4</v>
      </c>
      <c r="F348" t="s">
        <v>206</v>
      </c>
      <c r="G348" s="1">
        <v>124.88</v>
      </c>
      <c r="H348">
        <v>0</v>
      </c>
      <c r="I348">
        <v>0.5</v>
      </c>
      <c r="J348">
        <v>4</v>
      </c>
      <c r="K348">
        <v>2</v>
      </c>
      <c r="L348">
        <f t="shared" si="20"/>
        <v>4</v>
      </c>
      <c r="M348">
        <v>0</v>
      </c>
      <c r="N348">
        <v>0</v>
      </c>
      <c r="O348">
        <v>10</v>
      </c>
      <c r="P348" s="1">
        <f t="shared" si="21"/>
        <v>0</v>
      </c>
      <c r="Q348">
        <f t="shared" si="22"/>
        <v>10</v>
      </c>
      <c r="R348" s="1">
        <f t="shared" si="23"/>
        <v>1248.8</v>
      </c>
    </row>
    <row r="349" spans="1:18" hidden="1" x14ac:dyDescent="0.3">
      <c r="A349" t="s">
        <v>4188</v>
      </c>
      <c r="B349" t="s">
        <v>4189</v>
      </c>
      <c r="C349" t="s">
        <v>47</v>
      </c>
      <c r="D349">
        <v>1</v>
      </c>
      <c r="E349">
        <v>12</v>
      </c>
      <c r="F349" t="s">
        <v>87</v>
      </c>
      <c r="G349" s="1">
        <v>0</v>
      </c>
      <c r="H349">
        <v>0</v>
      </c>
      <c r="I349">
        <v>0.5</v>
      </c>
      <c r="J349">
        <v>12</v>
      </c>
      <c r="K349">
        <v>6</v>
      </c>
      <c r="L349">
        <f t="shared" si="20"/>
        <v>12</v>
      </c>
      <c r="M349">
        <v>0</v>
      </c>
      <c r="N349">
        <v>0</v>
      </c>
      <c r="O349">
        <v>30</v>
      </c>
      <c r="P349" s="1">
        <f t="shared" si="21"/>
        <v>0</v>
      </c>
      <c r="Q349">
        <f t="shared" si="22"/>
        <v>30</v>
      </c>
      <c r="R349" s="1">
        <f t="shared" si="23"/>
        <v>0</v>
      </c>
    </row>
    <row r="350" spans="1:18" hidden="1" x14ac:dyDescent="0.3">
      <c r="A350" t="s">
        <v>4190</v>
      </c>
      <c r="B350" t="s">
        <v>3554</v>
      </c>
      <c r="C350" t="s">
        <v>47</v>
      </c>
      <c r="D350">
        <v>1</v>
      </c>
      <c r="E350">
        <v>1</v>
      </c>
      <c r="F350" t="s">
        <v>77</v>
      </c>
      <c r="G350" s="1">
        <v>1751.25</v>
      </c>
      <c r="H350">
        <v>0</v>
      </c>
      <c r="I350">
        <v>0.5</v>
      </c>
      <c r="J350">
        <v>1</v>
      </c>
      <c r="K350">
        <v>1</v>
      </c>
      <c r="L350">
        <f t="shared" si="20"/>
        <v>2</v>
      </c>
      <c r="M350">
        <v>0</v>
      </c>
      <c r="N350">
        <v>0</v>
      </c>
      <c r="O350">
        <v>2</v>
      </c>
      <c r="P350" s="1">
        <f t="shared" si="21"/>
        <v>0</v>
      </c>
      <c r="Q350">
        <f t="shared" si="22"/>
        <v>2</v>
      </c>
      <c r="R350" s="1">
        <f t="shared" si="23"/>
        <v>3502.5</v>
      </c>
    </row>
    <row r="351" spans="1:18" hidden="1" x14ac:dyDescent="0.3">
      <c r="A351" t="s">
        <v>4191</v>
      </c>
      <c r="B351" t="s">
        <v>4192</v>
      </c>
      <c r="C351" t="s">
        <v>47</v>
      </c>
      <c r="D351">
        <v>1</v>
      </c>
      <c r="E351">
        <v>0</v>
      </c>
      <c r="G351" s="1">
        <v>0</v>
      </c>
      <c r="H351">
        <v>3</v>
      </c>
      <c r="I351">
        <v>0.5</v>
      </c>
      <c r="J351">
        <v>3</v>
      </c>
      <c r="K351">
        <v>2</v>
      </c>
      <c r="L351">
        <f t="shared" si="20"/>
        <v>4</v>
      </c>
      <c r="M351">
        <v>0</v>
      </c>
      <c r="N351">
        <v>0</v>
      </c>
      <c r="O351">
        <v>8</v>
      </c>
      <c r="P351" s="1">
        <f t="shared" si="21"/>
        <v>0</v>
      </c>
      <c r="Q351">
        <f t="shared" si="22"/>
        <v>8</v>
      </c>
      <c r="R351" s="1">
        <f t="shared" si="23"/>
        <v>0</v>
      </c>
    </row>
    <row r="352" spans="1:18" hidden="1" x14ac:dyDescent="0.3">
      <c r="A352" t="s">
        <v>4193</v>
      </c>
      <c r="B352" t="s">
        <v>4194</v>
      </c>
      <c r="C352" t="s">
        <v>47</v>
      </c>
      <c r="D352">
        <v>1</v>
      </c>
      <c r="E352">
        <v>1</v>
      </c>
      <c r="F352" t="s">
        <v>77</v>
      </c>
      <c r="G352" s="1">
        <v>1766.25</v>
      </c>
      <c r="H352">
        <v>0</v>
      </c>
      <c r="I352">
        <v>0.9</v>
      </c>
      <c r="J352">
        <v>1</v>
      </c>
      <c r="K352">
        <v>1</v>
      </c>
      <c r="L352">
        <f t="shared" si="20"/>
        <v>2</v>
      </c>
      <c r="M352">
        <v>0</v>
      </c>
      <c r="N352">
        <v>0</v>
      </c>
      <c r="O352">
        <v>3</v>
      </c>
      <c r="P352" s="1">
        <f t="shared" si="21"/>
        <v>0</v>
      </c>
      <c r="Q352">
        <f t="shared" si="22"/>
        <v>3</v>
      </c>
      <c r="R352" s="1">
        <f t="shared" si="23"/>
        <v>5298.75</v>
      </c>
    </row>
    <row r="353" spans="1:18" hidden="1" x14ac:dyDescent="0.3">
      <c r="A353" t="s">
        <v>4195</v>
      </c>
      <c r="B353" t="s">
        <v>4196</v>
      </c>
      <c r="C353" t="s">
        <v>47</v>
      </c>
      <c r="D353">
        <v>1</v>
      </c>
      <c r="E353">
        <v>0</v>
      </c>
      <c r="G353" s="1">
        <v>0</v>
      </c>
      <c r="H353">
        <v>0</v>
      </c>
      <c r="I353">
        <v>0.5</v>
      </c>
      <c r="J353">
        <v>1</v>
      </c>
      <c r="K353">
        <v>1</v>
      </c>
      <c r="L353">
        <f t="shared" si="20"/>
        <v>2</v>
      </c>
      <c r="M353">
        <v>0</v>
      </c>
      <c r="N353">
        <v>0</v>
      </c>
      <c r="O353">
        <v>2</v>
      </c>
      <c r="P353" s="1">
        <f t="shared" si="21"/>
        <v>0</v>
      </c>
      <c r="Q353">
        <f t="shared" si="22"/>
        <v>2</v>
      </c>
      <c r="R353" s="1">
        <f t="shared" si="23"/>
        <v>0</v>
      </c>
    </row>
    <row r="354" spans="1:18" hidden="1" x14ac:dyDescent="0.3">
      <c r="A354" t="s">
        <v>4197</v>
      </c>
      <c r="B354" t="s">
        <v>3548</v>
      </c>
      <c r="C354" t="s">
        <v>47</v>
      </c>
      <c r="D354">
        <v>1</v>
      </c>
      <c r="E354">
        <v>0</v>
      </c>
      <c r="G354" s="1">
        <v>0</v>
      </c>
      <c r="H354">
        <v>0</v>
      </c>
      <c r="I354">
        <v>0.5</v>
      </c>
      <c r="J354">
        <v>1</v>
      </c>
      <c r="K354">
        <v>1</v>
      </c>
      <c r="L354">
        <f t="shared" si="20"/>
        <v>2</v>
      </c>
      <c r="M354">
        <v>0</v>
      </c>
      <c r="N354">
        <v>0</v>
      </c>
      <c r="O354">
        <v>2</v>
      </c>
      <c r="P354" s="1">
        <f t="shared" si="21"/>
        <v>0</v>
      </c>
      <c r="Q354">
        <f t="shared" si="22"/>
        <v>2</v>
      </c>
      <c r="R354" s="1">
        <f t="shared" si="23"/>
        <v>0</v>
      </c>
    </row>
    <row r="355" spans="1:18" hidden="1" x14ac:dyDescent="0.3">
      <c r="A355" t="s">
        <v>4198</v>
      </c>
      <c r="B355" t="s">
        <v>4199</v>
      </c>
      <c r="C355" t="s">
        <v>47</v>
      </c>
      <c r="D355">
        <v>1</v>
      </c>
      <c r="E355">
        <v>1</v>
      </c>
      <c r="F355" t="s">
        <v>77</v>
      </c>
      <c r="G355" s="1">
        <v>2428</v>
      </c>
      <c r="H355">
        <v>0</v>
      </c>
      <c r="I355">
        <v>0.5</v>
      </c>
      <c r="J355">
        <v>1</v>
      </c>
      <c r="K355">
        <v>1</v>
      </c>
      <c r="L355">
        <f t="shared" si="20"/>
        <v>2</v>
      </c>
      <c r="M355">
        <v>0</v>
      </c>
      <c r="N355">
        <v>0</v>
      </c>
      <c r="O355">
        <v>2</v>
      </c>
      <c r="P355" s="1">
        <f t="shared" si="21"/>
        <v>0</v>
      </c>
      <c r="Q355">
        <f t="shared" si="22"/>
        <v>2</v>
      </c>
      <c r="R355" s="1">
        <f t="shared" si="23"/>
        <v>4856</v>
      </c>
    </row>
    <row r="356" spans="1:18" hidden="1" x14ac:dyDescent="0.3">
      <c r="A356" t="s">
        <v>4200</v>
      </c>
      <c r="B356" t="s">
        <v>3552</v>
      </c>
      <c r="C356" t="s">
        <v>47</v>
      </c>
      <c r="D356">
        <v>1</v>
      </c>
      <c r="E356">
        <v>0</v>
      </c>
      <c r="G356" s="1">
        <v>0</v>
      </c>
      <c r="H356">
        <v>0</v>
      </c>
      <c r="I356">
        <v>0.5</v>
      </c>
      <c r="J356">
        <v>1</v>
      </c>
      <c r="K356">
        <v>1</v>
      </c>
      <c r="L356">
        <f t="shared" si="20"/>
        <v>2</v>
      </c>
      <c r="M356">
        <v>0</v>
      </c>
      <c r="N356">
        <v>0</v>
      </c>
      <c r="O356">
        <v>2</v>
      </c>
      <c r="P356" s="1">
        <f t="shared" si="21"/>
        <v>0</v>
      </c>
      <c r="Q356">
        <f t="shared" si="22"/>
        <v>2</v>
      </c>
      <c r="R356" s="1">
        <f t="shared" si="23"/>
        <v>0</v>
      </c>
    </row>
    <row r="357" spans="1:18" hidden="1" x14ac:dyDescent="0.3">
      <c r="A357" t="s">
        <v>4201</v>
      </c>
      <c r="B357" t="s">
        <v>4202</v>
      </c>
      <c r="C357" t="s">
        <v>47</v>
      </c>
      <c r="D357">
        <v>20</v>
      </c>
      <c r="E357">
        <v>256</v>
      </c>
      <c r="F357" t="s">
        <v>3488</v>
      </c>
      <c r="G357" s="1">
        <v>26.38</v>
      </c>
      <c r="H357">
        <v>0</v>
      </c>
      <c r="I357">
        <v>0.5</v>
      </c>
      <c r="J357">
        <v>13</v>
      </c>
      <c r="K357">
        <v>6</v>
      </c>
      <c r="L357">
        <f t="shared" si="20"/>
        <v>13</v>
      </c>
      <c r="M357">
        <v>0</v>
      </c>
      <c r="N357">
        <v>0</v>
      </c>
      <c r="O357">
        <v>32</v>
      </c>
      <c r="P357" s="1">
        <f t="shared" si="21"/>
        <v>0</v>
      </c>
      <c r="Q357">
        <f t="shared" si="22"/>
        <v>32</v>
      </c>
      <c r="R357" s="1">
        <f t="shared" si="23"/>
        <v>844.16</v>
      </c>
    </row>
    <row r="358" spans="1:18" hidden="1" x14ac:dyDescent="0.3">
      <c r="A358" t="s">
        <v>4203</v>
      </c>
      <c r="B358" t="s">
        <v>3808</v>
      </c>
      <c r="C358" t="s">
        <v>47</v>
      </c>
      <c r="D358">
        <v>23</v>
      </c>
      <c r="E358">
        <v>17</v>
      </c>
      <c r="F358" t="s">
        <v>3546</v>
      </c>
      <c r="G358" s="1">
        <v>386</v>
      </c>
      <c r="H358">
        <v>2</v>
      </c>
      <c r="I358">
        <v>0.5</v>
      </c>
      <c r="J358">
        <v>1</v>
      </c>
      <c r="K358">
        <v>1</v>
      </c>
      <c r="L358">
        <f t="shared" si="20"/>
        <v>2</v>
      </c>
      <c r="M358">
        <v>0</v>
      </c>
      <c r="N358">
        <v>0</v>
      </c>
      <c r="O358">
        <v>2</v>
      </c>
      <c r="P358" s="1">
        <f t="shared" si="21"/>
        <v>0</v>
      </c>
      <c r="Q358">
        <f t="shared" si="22"/>
        <v>2</v>
      </c>
      <c r="R358" s="1">
        <f t="shared" si="23"/>
        <v>772</v>
      </c>
    </row>
    <row r="359" spans="1:18" hidden="1" x14ac:dyDescent="0.3">
      <c r="A359" t="s">
        <v>4204</v>
      </c>
      <c r="B359" t="s">
        <v>4205</v>
      </c>
      <c r="C359" t="s">
        <v>47</v>
      </c>
      <c r="D359">
        <v>1</v>
      </c>
      <c r="E359">
        <v>0</v>
      </c>
      <c r="G359" s="1">
        <v>0</v>
      </c>
      <c r="H359">
        <v>0</v>
      </c>
      <c r="I359">
        <v>0.5</v>
      </c>
      <c r="J359">
        <v>1</v>
      </c>
      <c r="K359">
        <v>1</v>
      </c>
      <c r="L359">
        <f t="shared" si="20"/>
        <v>2</v>
      </c>
      <c r="M359">
        <v>0</v>
      </c>
      <c r="N359">
        <v>0</v>
      </c>
      <c r="O359">
        <v>2</v>
      </c>
      <c r="P359" s="1">
        <f t="shared" si="21"/>
        <v>0</v>
      </c>
      <c r="Q359">
        <f t="shared" si="22"/>
        <v>2</v>
      </c>
      <c r="R359" s="1">
        <f t="shared" si="23"/>
        <v>0</v>
      </c>
    </row>
    <row r="360" spans="1:18" hidden="1" x14ac:dyDescent="0.3">
      <c r="A360" t="s">
        <v>4206</v>
      </c>
      <c r="B360" t="s">
        <v>3558</v>
      </c>
      <c r="C360" t="s">
        <v>47</v>
      </c>
      <c r="D360">
        <v>1</v>
      </c>
      <c r="E360">
        <v>0</v>
      </c>
      <c r="G360" s="1">
        <v>0</v>
      </c>
      <c r="H360">
        <v>1</v>
      </c>
      <c r="I360">
        <v>0.5</v>
      </c>
      <c r="J360">
        <v>1</v>
      </c>
      <c r="K360">
        <v>1</v>
      </c>
      <c r="L360">
        <f t="shared" si="20"/>
        <v>2</v>
      </c>
      <c r="M360">
        <v>0</v>
      </c>
      <c r="N360">
        <v>0</v>
      </c>
      <c r="O360">
        <v>2</v>
      </c>
      <c r="P360" s="1">
        <f t="shared" si="21"/>
        <v>0</v>
      </c>
      <c r="Q360">
        <f t="shared" si="22"/>
        <v>2</v>
      </c>
      <c r="R360" s="1">
        <f t="shared" si="23"/>
        <v>0</v>
      </c>
    </row>
    <row r="361" spans="1:18" hidden="1" x14ac:dyDescent="0.3">
      <c r="A361" t="s">
        <v>4207</v>
      </c>
      <c r="B361" t="s">
        <v>4208</v>
      </c>
      <c r="C361" t="s">
        <v>47</v>
      </c>
      <c r="D361">
        <v>1</v>
      </c>
      <c r="E361">
        <v>6</v>
      </c>
      <c r="F361" t="s">
        <v>3665</v>
      </c>
      <c r="G361" s="1">
        <v>407.5</v>
      </c>
      <c r="H361">
        <v>0</v>
      </c>
      <c r="I361">
        <v>0.5</v>
      </c>
      <c r="J361">
        <v>6</v>
      </c>
      <c r="K361">
        <v>3</v>
      </c>
      <c r="L361">
        <f t="shared" si="20"/>
        <v>6</v>
      </c>
      <c r="M361">
        <v>0</v>
      </c>
      <c r="N361">
        <v>0</v>
      </c>
      <c r="O361">
        <v>15</v>
      </c>
      <c r="P361" s="1">
        <f t="shared" si="21"/>
        <v>0</v>
      </c>
      <c r="Q361">
        <f t="shared" si="22"/>
        <v>15</v>
      </c>
      <c r="R361" s="1">
        <f t="shared" si="23"/>
        <v>6112.5</v>
      </c>
    </row>
    <row r="362" spans="1:18" hidden="1" x14ac:dyDescent="0.3">
      <c r="A362" t="s">
        <v>4209</v>
      </c>
      <c r="B362" t="s">
        <v>4205</v>
      </c>
      <c r="C362" t="s">
        <v>47</v>
      </c>
      <c r="D362">
        <v>1</v>
      </c>
      <c r="E362">
        <v>0</v>
      </c>
      <c r="G362" s="1">
        <v>0</v>
      </c>
      <c r="H362">
        <v>1</v>
      </c>
      <c r="I362">
        <v>0.5</v>
      </c>
      <c r="J362">
        <v>1</v>
      </c>
      <c r="K362">
        <v>1</v>
      </c>
      <c r="L362">
        <f t="shared" si="20"/>
        <v>2</v>
      </c>
      <c r="M362">
        <v>0</v>
      </c>
      <c r="N362">
        <v>0</v>
      </c>
      <c r="O362">
        <v>2</v>
      </c>
      <c r="P362" s="1">
        <f t="shared" si="21"/>
        <v>0</v>
      </c>
      <c r="Q362">
        <f t="shared" si="22"/>
        <v>2</v>
      </c>
      <c r="R362" s="1">
        <f t="shared" si="23"/>
        <v>0</v>
      </c>
    </row>
    <row r="363" spans="1:18" hidden="1" x14ac:dyDescent="0.3">
      <c r="A363" t="s">
        <v>4210</v>
      </c>
      <c r="B363" t="s">
        <v>3991</v>
      </c>
      <c r="C363" t="s">
        <v>47</v>
      </c>
      <c r="D363">
        <v>1</v>
      </c>
      <c r="E363">
        <v>0</v>
      </c>
      <c r="G363" s="1">
        <v>0</v>
      </c>
      <c r="H363">
        <v>3</v>
      </c>
      <c r="I363">
        <v>0.5</v>
      </c>
      <c r="J363">
        <v>3</v>
      </c>
      <c r="K363">
        <v>2</v>
      </c>
      <c r="L363">
        <f t="shared" si="20"/>
        <v>4</v>
      </c>
      <c r="M363">
        <v>0</v>
      </c>
      <c r="N363">
        <v>0</v>
      </c>
      <c r="O363">
        <v>8</v>
      </c>
      <c r="P363" s="1">
        <f t="shared" si="21"/>
        <v>0</v>
      </c>
      <c r="Q363">
        <f t="shared" si="22"/>
        <v>8</v>
      </c>
      <c r="R363" s="1">
        <f t="shared" si="23"/>
        <v>0</v>
      </c>
    </row>
    <row r="364" spans="1:18" hidden="1" x14ac:dyDescent="0.3">
      <c r="A364" t="s">
        <v>4211</v>
      </c>
      <c r="B364" t="s">
        <v>4212</v>
      </c>
      <c r="C364" t="s">
        <v>47</v>
      </c>
      <c r="D364">
        <v>1</v>
      </c>
      <c r="E364">
        <v>0</v>
      </c>
      <c r="G364" s="1">
        <v>0</v>
      </c>
      <c r="H364">
        <v>0</v>
      </c>
      <c r="I364">
        <v>0.5</v>
      </c>
      <c r="J364">
        <v>1</v>
      </c>
      <c r="K364">
        <v>1</v>
      </c>
      <c r="L364">
        <f t="shared" si="20"/>
        <v>2</v>
      </c>
      <c r="M364">
        <v>0</v>
      </c>
      <c r="N364">
        <v>0</v>
      </c>
      <c r="O364">
        <v>2</v>
      </c>
      <c r="P364" s="1">
        <f t="shared" si="21"/>
        <v>0</v>
      </c>
      <c r="Q364">
        <f t="shared" si="22"/>
        <v>2</v>
      </c>
      <c r="R364" s="1">
        <f t="shared" si="23"/>
        <v>0</v>
      </c>
    </row>
    <row r="365" spans="1:18" hidden="1" x14ac:dyDescent="0.3">
      <c r="A365" t="s">
        <v>4213</v>
      </c>
      <c r="B365" t="s">
        <v>4214</v>
      </c>
      <c r="C365" t="s">
        <v>47</v>
      </c>
      <c r="D365">
        <v>1</v>
      </c>
      <c r="E365">
        <v>0</v>
      </c>
      <c r="G365" s="1">
        <v>0</v>
      </c>
      <c r="H365">
        <v>0</v>
      </c>
      <c r="I365">
        <v>0.5</v>
      </c>
      <c r="J365">
        <v>1</v>
      </c>
      <c r="K365">
        <v>1</v>
      </c>
      <c r="L365">
        <f t="shared" si="20"/>
        <v>2</v>
      </c>
      <c r="M365">
        <v>0</v>
      </c>
      <c r="N365">
        <v>0</v>
      </c>
      <c r="O365">
        <v>2</v>
      </c>
      <c r="P365" s="1">
        <f t="shared" si="21"/>
        <v>0</v>
      </c>
      <c r="Q365">
        <f t="shared" si="22"/>
        <v>2</v>
      </c>
      <c r="R365" s="1">
        <f t="shared" si="23"/>
        <v>0</v>
      </c>
    </row>
    <row r="366" spans="1:18" hidden="1" x14ac:dyDescent="0.3">
      <c r="A366" t="s">
        <v>4215</v>
      </c>
      <c r="B366" t="s">
        <v>4086</v>
      </c>
      <c r="C366" t="s">
        <v>47</v>
      </c>
      <c r="D366">
        <v>1</v>
      </c>
      <c r="E366">
        <v>0</v>
      </c>
      <c r="F366" t="s">
        <v>1073</v>
      </c>
      <c r="G366" s="1">
        <v>0</v>
      </c>
      <c r="H366">
        <v>0</v>
      </c>
      <c r="I366">
        <v>1.6</v>
      </c>
      <c r="J366">
        <v>1</v>
      </c>
      <c r="K366">
        <v>2</v>
      </c>
      <c r="L366">
        <f t="shared" si="20"/>
        <v>4</v>
      </c>
      <c r="M366">
        <v>0</v>
      </c>
      <c r="N366">
        <v>0</v>
      </c>
      <c r="O366">
        <v>4</v>
      </c>
      <c r="P366" s="1">
        <f t="shared" si="21"/>
        <v>0</v>
      </c>
      <c r="Q366">
        <f t="shared" si="22"/>
        <v>4</v>
      </c>
      <c r="R366" s="1">
        <f t="shared" si="23"/>
        <v>0</v>
      </c>
    </row>
    <row r="367" spans="1:18" hidden="1" x14ac:dyDescent="0.3">
      <c r="A367" t="s">
        <v>4216</v>
      </c>
      <c r="B367" t="s">
        <v>3554</v>
      </c>
      <c r="C367" t="s">
        <v>47</v>
      </c>
      <c r="D367">
        <v>1</v>
      </c>
      <c r="E367">
        <v>1</v>
      </c>
      <c r="F367" t="s">
        <v>1073</v>
      </c>
      <c r="G367" s="1">
        <v>2200</v>
      </c>
      <c r="H367">
        <v>0</v>
      </c>
      <c r="I367">
        <v>0.5</v>
      </c>
      <c r="J367">
        <v>1</v>
      </c>
      <c r="K367">
        <v>1</v>
      </c>
      <c r="L367">
        <f t="shared" si="20"/>
        <v>2</v>
      </c>
      <c r="M367">
        <v>0</v>
      </c>
      <c r="N367">
        <v>0</v>
      </c>
      <c r="O367">
        <v>2</v>
      </c>
      <c r="P367" s="1">
        <f t="shared" si="21"/>
        <v>0</v>
      </c>
      <c r="Q367">
        <f t="shared" si="22"/>
        <v>2</v>
      </c>
      <c r="R367" s="1">
        <f t="shared" si="23"/>
        <v>4400</v>
      </c>
    </row>
    <row r="368" spans="1:18" hidden="1" x14ac:dyDescent="0.3">
      <c r="A368" t="s">
        <v>4217</v>
      </c>
      <c r="B368" t="s">
        <v>4218</v>
      </c>
      <c r="C368" t="s">
        <v>47</v>
      </c>
      <c r="D368">
        <v>1</v>
      </c>
      <c r="E368">
        <v>1</v>
      </c>
      <c r="F368" t="s">
        <v>77</v>
      </c>
      <c r="G368" s="1">
        <v>1766.25</v>
      </c>
      <c r="H368">
        <v>0</v>
      </c>
      <c r="I368">
        <v>0.9</v>
      </c>
      <c r="J368">
        <v>1</v>
      </c>
      <c r="K368">
        <v>1</v>
      </c>
      <c r="L368">
        <f t="shared" si="20"/>
        <v>2</v>
      </c>
      <c r="M368">
        <v>0</v>
      </c>
      <c r="N368">
        <v>0</v>
      </c>
      <c r="O368">
        <v>3</v>
      </c>
      <c r="P368" s="1">
        <f t="shared" si="21"/>
        <v>0</v>
      </c>
      <c r="Q368">
        <f t="shared" si="22"/>
        <v>3</v>
      </c>
      <c r="R368" s="1">
        <f t="shared" si="23"/>
        <v>5298.75</v>
      </c>
    </row>
    <row r="369" spans="1:18" hidden="1" x14ac:dyDescent="0.3">
      <c r="A369" t="s">
        <v>4219</v>
      </c>
      <c r="B369" t="s">
        <v>3554</v>
      </c>
      <c r="C369" t="s">
        <v>47</v>
      </c>
      <c r="D369">
        <v>14</v>
      </c>
      <c r="E369">
        <v>6</v>
      </c>
      <c r="F369" t="s">
        <v>77</v>
      </c>
      <c r="G369" s="1">
        <v>1382.5</v>
      </c>
      <c r="H369">
        <v>2</v>
      </c>
      <c r="I369">
        <v>0.9</v>
      </c>
      <c r="J369">
        <v>1</v>
      </c>
      <c r="K369">
        <v>1</v>
      </c>
      <c r="L369">
        <f t="shared" si="20"/>
        <v>2</v>
      </c>
      <c r="M369">
        <v>0</v>
      </c>
      <c r="N369">
        <v>0</v>
      </c>
      <c r="O369">
        <v>3</v>
      </c>
      <c r="P369" s="1">
        <f t="shared" si="21"/>
        <v>0</v>
      </c>
      <c r="Q369">
        <f t="shared" si="22"/>
        <v>3</v>
      </c>
      <c r="R369" s="1">
        <f t="shared" si="23"/>
        <v>4147.5</v>
      </c>
    </row>
    <row r="370" spans="1:18" hidden="1" x14ac:dyDescent="0.3">
      <c r="A370" t="s">
        <v>4220</v>
      </c>
      <c r="B370" t="s">
        <v>3554</v>
      </c>
      <c r="C370" t="s">
        <v>47</v>
      </c>
      <c r="D370">
        <v>1</v>
      </c>
      <c r="E370">
        <v>0</v>
      </c>
      <c r="G370" s="1">
        <v>0</v>
      </c>
      <c r="H370">
        <v>0</v>
      </c>
      <c r="I370">
        <v>0.5</v>
      </c>
      <c r="J370">
        <v>1</v>
      </c>
      <c r="K370">
        <v>1</v>
      </c>
      <c r="L370">
        <f t="shared" si="20"/>
        <v>2</v>
      </c>
      <c r="M370">
        <v>0</v>
      </c>
      <c r="N370">
        <v>0</v>
      </c>
      <c r="O370">
        <v>2</v>
      </c>
      <c r="P370" s="1">
        <f t="shared" si="21"/>
        <v>0</v>
      </c>
      <c r="Q370">
        <f t="shared" si="22"/>
        <v>2</v>
      </c>
      <c r="R370" s="1">
        <f t="shared" si="23"/>
        <v>0</v>
      </c>
    </row>
    <row r="371" spans="1:18" hidden="1" x14ac:dyDescent="0.3">
      <c r="A371" t="s">
        <v>4221</v>
      </c>
      <c r="B371" t="s">
        <v>3554</v>
      </c>
      <c r="C371" t="s">
        <v>47</v>
      </c>
      <c r="D371">
        <v>1</v>
      </c>
      <c r="E371">
        <v>1</v>
      </c>
      <c r="F371" t="s">
        <v>77</v>
      </c>
      <c r="G371" s="1">
        <v>1837.5</v>
      </c>
      <c r="H371">
        <v>1</v>
      </c>
      <c r="I371">
        <v>0.5</v>
      </c>
      <c r="J371">
        <v>1</v>
      </c>
      <c r="K371">
        <v>1</v>
      </c>
      <c r="L371">
        <f t="shared" si="20"/>
        <v>2</v>
      </c>
      <c r="M371">
        <v>0</v>
      </c>
      <c r="N371">
        <v>0</v>
      </c>
      <c r="O371">
        <v>2</v>
      </c>
      <c r="P371" s="1">
        <f t="shared" si="21"/>
        <v>0</v>
      </c>
      <c r="Q371">
        <f t="shared" si="22"/>
        <v>2</v>
      </c>
      <c r="R371" s="1">
        <f t="shared" si="23"/>
        <v>3675</v>
      </c>
    </row>
    <row r="372" spans="1:18" hidden="1" x14ac:dyDescent="0.3">
      <c r="A372" t="s">
        <v>4222</v>
      </c>
      <c r="B372" t="s">
        <v>4223</v>
      </c>
      <c r="C372" t="s">
        <v>47</v>
      </c>
      <c r="D372">
        <v>1</v>
      </c>
      <c r="E372">
        <v>4</v>
      </c>
      <c r="F372" t="s">
        <v>124</v>
      </c>
      <c r="G372" s="1">
        <v>10527.25</v>
      </c>
      <c r="H372">
        <v>3</v>
      </c>
      <c r="I372">
        <v>1.6</v>
      </c>
      <c r="J372">
        <v>4</v>
      </c>
      <c r="K372">
        <v>6</v>
      </c>
      <c r="L372">
        <f t="shared" si="20"/>
        <v>13</v>
      </c>
      <c r="M372">
        <v>0</v>
      </c>
      <c r="N372">
        <v>0</v>
      </c>
      <c r="O372">
        <v>14</v>
      </c>
      <c r="P372" s="1">
        <f t="shared" si="21"/>
        <v>0</v>
      </c>
      <c r="Q372">
        <f t="shared" si="22"/>
        <v>14</v>
      </c>
      <c r="R372" s="1">
        <f t="shared" si="23"/>
        <v>147381.5</v>
      </c>
    </row>
    <row r="373" spans="1:18" hidden="1" x14ac:dyDescent="0.3">
      <c r="A373" t="s">
        <v>4224</v>
      </c>
      <c r="B373" t="s">
        <v>4225</v>
      </c>
      <c r="C373" t="s">
        <v>47</v>
      </c>
      <c r="D373">
        <v>1</v>
      </c>
      <c r="E373">
        <v>1</v>
      </c>
      <c r="F373" t="s">
        <v>482</v>
      </c>
      <c r="G373" s="1">
        <v>1203</v>
      </c>
      <c r="H373">
        <v>0</v>
      </c>
      <c r="I373">
        <v>0.5</v>
      </c>
      <c r="J373">
        <v>1</v>
      </c>
      <c r="K373">
        <v>1</v>
      </c>
      <c r="L373">
        <f t="shared" si="20"/>
        <v>2</v>
      </c>
      <c r="M373">
        <v>0</v>
      </c>
      <c r="N373">
        <v>0</v>
      </c>
      <c r="O373">
        <v>2</v>
      </c>
      <c r="P373" s="1">
        <f t="shared" si="21"/>
        <v>0</v>
      </c>
      <c r="Q373">
        <f t="shared" si="22"/>
        <v>2</v>
      </c>
      <c r="R373" s="1">
        <f t="shared" si="23"/>
        <v>2406</v>
      </c>
    </row>
    <row r="374" spans="1:18" hidden="1" x14ac:dyDescent="0.3">
      <c r="A374" t="s">
        <v>4226</v>
      </c>
      <c r="B374" t="s">
        <v>4227</v>
      </c>
      <c r="C374" t="s">
        <v>47</v>
      </c>
      <c r="D374">
        <v>1</v>
      </c>
      <c r="E374">
        <v>0</v>
      </c>
      <c r="F374" t="s">
        <v>4228</v>
      </c>
      <c r="G374" s="1">
        <v>0</v>
      </c>
      <c r="H374">
        <v>0</v>
      </c>
      <c r="I374">
        <v>0.5</v>
      </c>
      <c r="J374">
        <v>1</v>
      </c>
      <c r="K374">
        <v>1</v>
      </c>
      <c r="L374">
        <f t="shared" si="20"/>
        <v>2</v>
      </c>
      <c r="M374">
        <v>0</v>
      </c>
      <c r="N374">
        <v>0</v>
      </c>
      <c r="O374">
        <v>2</v>
      </c>
      <c r="P374" s="1">
        <f t="shared" si="21"/>
        <v>0</v>
      </c>
      <c r="Q374">
        <f t="shared" si="22"/>
        <v>2</v>
      </c>
      <c r="R374" s="1">
        <f t="shared" si="23"/>
        <v>0</v>
      </c>
    </row>
    <row r="375" spans="1:18" hidden="1" x14ac:dyDescent="0.3">
      <c r="A375" t="s">
        <v>4229</v>
      </c>
      <c r="B375" t="s">
        <v>4230</v>
      </c>
      <c r="C375" t="s">
        <v>47</v>
      </c>
      <c r="D375">
        <v>16</v>
      </c>
      <c r="E375">
        <v>184</v>
      </c>
      <c r="F375" t="s">
        <v>3488</v>
      </c>
      <c r="G375" s="1">
        <v>39.82</v>
      </c>
      <c r="H375">
        <v>0</v>
      </c>
      <c r="I375">
        <v>0.5</v>
      </c>
      <c r="J375">
        <v>11.5</v>
      </c>
      <c r="K375">
        <v>6</v>
      </c>
      <c r="L375">
        <f t="shared" si="20"/>
        <v>12</v>
      </c>
      <c r="M375">
        <v>0</v>
      </c>
      <c r="N375">
        <v>0</v>
      </c>
      <c r="O375">
        <v>29</v>
      </c>
      <c r="P375" s="1">
        <f t="shared" si="21"/>
        <v>0</v>
      </c>
      <c r="Q375">
        <f t="shared" si="22"/>
        <v>29</v>
      </c>
      <c r="R375" s="1">
        <f t="shared" si="23"/>
        <v>1154.78</v>
      </c>
    </row>
    <row r="376" spans="1:18" hidden="1" x14ac:dyDescent="0.3">
      <c r="A376" t="s">
        <v>4231</v>
      </c>
      <c r="B376" t="s">
        <v>4232</v>
      </c>
      <c r="C376" t="s">
        <v>47</v>
      </c>
      <c r="D376">
        <v>1</v>
      </c>
      <c r="E376">
        <v>0</v>
      </c>
      <c r="G376" s="1">
        <v>0</v>
      </c>
      <c r="H376">
        <v>0</v>
      </c>
      <c r="I376">
        <v>0.5</v>
      </c>
      <c r="J376">
        <v>1</v>
      </c>
      <c r="K376">
        <v>1</v>
      </c>
      <c r="L376">
        <f t="shared" si="20"/>
        <v>2</v>
      </c>
      <c r="M376">
        <v>0</v>
      </c>
      <c r="N376">
        <v>0</v>
      </c>
      <c r="O376">
        <v>2</v>
      </c>
      <c r="P376" s="1">
        <f t="shared" si="21"/>
        <v>0</v>
      </c>
      <c r="Q376">
        <f t="shared" si="22"/>
        <v>2</v>
      </c>
      <c r="R376" s="1">
        <f t="shared" si="23"/>
        <v>0</v>
      </c>
    </row>
    <row r="377" spans="1:18" hidden="1" x14ac:dyDescent="0.3">
      <c r="A377" t="s">
        <v>4233</v>
      </c>
      <c r="B377" t="s">
        <v>3808</v>
      </c>
      <c r="C377" t="s">
        <v>47</v>
      </c>
      <c r="D377">
        <v>2</v>
      </c>
      <c r="E377">
        <v>2</v>
      </c>
      <c r="F377" t="s">
        <v>3546</v>
      </c>
      <c r="G377" s="1">
        <v>455</v>
      </c>
      <c r="H377">
        <v>0</v>
      </c>
      <c r="I377">
        <v>0.5</v>
      </c>
      <c r="J377">
        <v>1</v>
      </c>
      <c r="K377">
        <v>1</v>
      </c>
      <c r="L377">
        <f t="shared" si="20"/>
        <v>2</v>
      </c>
      <c r="M377">
        <v>0</v>
      </c>
      <c r="N377">
        <v>0</v>
      </c>
      <c r="O377">
        <v>2</v>
      </c>
      <c r="P377" s="1">
        <f t="shared" si="21"/>
        <v>0</v>
      </c>
      <c r="Q377">
        <f t="shared" si="22"/>
        <v>2</v>
      </c>
      <c r="R377" s="1">
        <f t="shared" si="23"/>
        <v>910</v>
      </c>
    </row>
    <row r="378" spans="1:18" hidden="1" x14ac:dyDescent="0.3">
      <c r="A378" t="s">
        <v>4234</v>
      </c>
      <c r="B378" t="s">
        <v>4205</v>
      </c>
      <c r="C378" t="s">
        <v>47</v>
      </c>
      <c r="D378">
        <v>1</v>
      </c>
      <c r="E378">
        <v>1</v>
      </c>
      <c r="F378" t="s">
        <v>482</v>
      </c>
      <c r="G378" s="1">
        <v>1110</v>
      </c>
      <c r="H378">
        <v>0</v>
      </c>
      <c r="I378">
        <v>1.6</v>
      </c>
      <c r="J378">
        <v>1</v>
      </c>
      <c r="K378">
        <v>2</v>
      </c>
      <c r="L378">
        <f t="shared" si="20"/>
        <v>4</v>
      </c>
      <c r="M378">
        <v>0</v>
      </c>
      <c r="N378">
        <v>0</v>
      </c>
      <c r="O378">
        <v>4</v>
      </c>
      <c r="P378" s="1">
        <f t="shared" si="21"/>
        <v>0</v>
      </c>
      <c r="Q378">
        <f t="shared" si="22"/>
        <v>4</v>
      </c>
      <c r="R378" s="1">
        <f t="shared" si="23"/>
        <v>4440</v>
      </c>
    </row>
    <row r="379" spans="1:18" hidden="1" x14ac:dyDescent="0.3">
      <c r="A379" t="s">
        <v>4235</v>
      </c>
      <c r="B379" t="s">
        <v>4236</v>
      </c>
      <c r="C379" t="s">
        <v>47</v>
      </c>
      <c r="D379">
        <v>1</v>
      </c>
      <c r="E379">
        <v>0</v>
      </c>
      <c r="G379" s="1">
        <v>0</v>
      </c>
      <c r="H379">
        <v>0</v>
      </c>
      <c r="I379">
        <v>0.5</v>
      </c>
      <c r="J379">
        <v>1</v>
      </c>
      <c r="K379">
        <v>1</v>
      </c>
      <c r="L379">
        <f t="shared" si="20"/>
        <v>2</v>
      </c>
      <c r="M379">
        <v>0</v>
      </c>
      <c r="N379">
        <v>0</v>
      </c>
      <c r="O379">
        <v>2</v>
      </c>
      <c r="P379" s="1">
        <f t="shared" si="21"/>
        <v>0</v>
      </c>
      <c r="Q379">
        <f t="shared" si="22"/>
        <v>2</v>
      </c>
      <c r="R379" s="1">
        <f t="shared" si="23"/>
        <v>0</v>
      </c>
    </row>
    <row r="380" spans="1:18" hidden="1" x14ac:dyDescent="0.3">
      <c r="A380" t="s">
        <v>4237</v>
      </c>
      <c r="B380" t="s">
        <v>4238</v>
      </c>
      <c r="C380" t="s">
        <v>47</v>
      </c>
      <c r="D380">
        <v>1</v>
      </c>
      <c r="E380">
        <v>0</v>
      </c>
      <c r="G380" s="1">
        <v>0</v>
      </c>
      <c r="H380">
        <v>0</v>
      </c>
      <c r="I380">
        <v>0.5</v>
      </c>
      <c r="J380">
        <v>1</v>
      </c>
      <c r="K380">
        <v>1</v>
      </c>
      <c r="L380">
        <f t="shared" si="20"/>
        <v>2</v>
      </c>
      <c r="M380">
        <v>0</v>
      </c>
      <c r="N380">
        <v>0</v>
      </c>
      <c r="O380">
        <v>2</v>
      </c>
      <c r="P380" s="1">
        <f t="shared" si="21"/>
        <v>0</v>
      </c>
      <c r="Q380">
        <f t="shared" si="22"/>
        <v>2</v>
      </c>
      <c r="R380" s="1">
        <f t="shared" si="23"/>
        <v>0</v>
      </c>
    </row>
    <row r="381" spans="1:18" hidden="1" x14ac:dyDescent="0.3">
      <c r="A381" t="s">
        <v>4239</v>
      </c>
      <c r="B381" t="s">
        <v>4240</v>
      </c>
      <c r="C381" t="s">
        <v>47</v>
      </c>
      <c r="D381">
        <v>1</v>
      </c>
      <c r="E381">
        <v>0</v>
      </c>
      <c r="G381" s="1">
        <v>0</v>
      </c>
      <c r="H381">
        <v>0</v>
      </c>
      <c r="I381">
        <v>0.5</v>
      </c>
      <c r="J381">
        <v>1</v>
      </c>
      <c r="K381">
        <v>1</v>
      </c>
      <c r="L381">
        <f t="shared" si="20"/>
        <v>2</v>
      </c>
      <c r="M381">
        <v>0</v>
      </c>
      <c r="N381">
        <v>0</v>
      </c>
      <c r="O381">
        <v>2</v>
      </c>
      <c r="P381" s="1">
        <f t="shared" si="21"/>
        <v>0</v>
      </c>
      <c r="Q381">
        <f t="shared" si="22"/>
        <v>2</v>
      </c>
      <c r="R381" s="1">
        <f t="shared" si="23"/>
        <v>0</v>
      </c>
    </row>
    <row r="382" spans="1:18" hidden="1" x14ac:dyDescent="0.3">
      <c r="A382" t="s">
        <v>4241</v>
      </c>
      <c r="B382" t="s">
        <v>4242</v>
      </c>
      <c r="C382" t="s">
        <v>47</v>
      </c>
      <c r="D382">
        <v>1</v>
      </c>
      <c r="E382">
        <v>3</v>
      </c>
      <c r="F382" t="s">
        <v>2634</v>
      </c>
      <c r="G382" s="1">
        <v>5313.2</v>
      </c>
      <c r="H382">
        <v>3</v>
      </c>
      <c r="I382">
        <v>0.9</v>
      </c>
      <c r="J382">
        <v>3</v>
      </c>
      <c r="K382">
        <v>3</v>
      </c>
      <c r="L382">
        <f t="shared" si="20"/>
        <v>6</v>
      </c>
      <c r="M382">
        <v>0</v>
      </c>
      <c r="N382">
        <v>0</v>
      </c>
      <c r="O382">
        <v>9</v>
      </c>
      <c r="P382" s="1">
        <f t="shared" si="21"/>
        <v>0</v>
      </c>
      <c r="Q382">
        <f t="shared" si="22"/>
        <v>9</v>
      </c>
      <c r="R382" s="1">
        <f t="shared" si="23"/>
        <v>47818.799999999996</v>
      </c>
    </row>
    <row r="383" spans="1:18" hidden="1" x14ac:dyDescent="0.3">
      <c r="A383" t="s">
        <v>4243</v>
      </c>
      <c r="B383" t="s">
        <v>4244</v>
      </c>
      <c r="C383" t="s">
        <v>47</v>
      </c>
      <c r="D383">
        <v>1</v>
      </c>
      <c r="E383">
        <v>0</v>
      </c>
      <c r="G383" s="1">
        <v>0</v>
      </c>
      <c r="H383">
        <v>0</v>
      </c>
      <c r="I383">
        <v>0.5</v>
      </c>
      <c r="J383">
        <v>1</v>
      </c>
      <c r="K383">
        <v>1</v>
      </c>
      <c r="L383">
        <f t="shared" si="20"/>
        <v>2</v>
      </c>
      <c r="M383">
        <v>0</v>
      </c>
      <c r="N383">
        <v>0</v>
      </c>
      <c r="O383">
        <v>2</v>
      </c>
      <c r="P383" s="1">
        <f t="shared" si="21"/>
        <v>0</v>
      </c>
      <c r="Q383">
        <f t="shared" si="22"/>
        <v>2</v>
      </c>
      <c r="R383" s="1">
        <f t="shared" si="23"/>
        <v>0</v>
      </c>
    </row>
    <row r="384" spans="1:18" hidden="1" x14ac:dyDescent="0.3">
      <c r="A384" t="s">
        <v>4245</v>
      </c>
      <c r="B384" t="s">
        <v>4246</v>
      </c>
      <c r="C384" t="s">
        <v>47</v>
      </c>
      <c r="D384">
        <v>1</v>
      </c>
      <c r="E384">
        <v>0</v>
      </c>
      <c r="G384" s="1">
        <v>0</v>
      </c>
      <c r="H384">
        <v>0</v>
      </c>
      <c r="I384">
        <v>0.5</v>
      </c>
      <c r="J384">
        <v>1</v>
      </c>
      <c r="K384">
        <v>1</v>
      </c>
      <c r="L384">
        <f t="shared" si="20"/>
        <v>2</v>
      </c>
      <c r="M384">
        <v>0</v>
      </c>
      <c r="N384">
        <v>0</v>
      </c>
      <c r="O384">
        <v>2</v>
      </c>
      <c r="P384" s="1">
        <f t="shared" si="21"/>
        <v>0</v>
      </c>
      <c r="Q384">
        <f t="shared" si="22"/>
        <v>2</v>
      </c>
      <c r="R384" s="1">
        <f t="shared" si="23"/>
        <v>0</v>
      </c>
    </row>
    <row r="385" spans="1:18" hidden="1" x14ac:dyDescent="0.3">
      <c r="A385" t="s">
        <v>4247</v>
      </c>
      <c r="B385" t="s">
        <v>4248</v>
      </c>
      <c r="C385" t="s">
        <v>47</v>
      </c>
      <c r="D385">
        <v>1</v>
      </c>
      <c r="E385">
        <v>0</v>
      </c>
      <c r="G385" s="1">
        <v>0</v>
      </c>
      <c r="H385">
        <v>4</v>
      </c>
      <c r="I385">
        <v>0.5</v>
      </c>
      <c r="J385">
        <v>4</v>
      </c>
      <c r="K385">
        <v>2</v>
      </c>
      <c r="L385">
        <f t="shared" si="20"/>
        <v>4</v>
      </c>
      <c r="M385">
        <v>0</v>
      </c>
      <c r="N385">
        <v>0</v>
      </c>
      <c r="O385">
        <v>10</v>
      </c>
      <c r="P385" s="1">
        <f t="shared" si="21"/>
        <v>0</v>
      </c>
      <c r="Q385">
        <f t="shared" si="22"/>
        <v>10</v>
      </c>
      <c r="R385" s="1">
        <f t="shared" si="23"/>
        <v>0</v>
      </c>
    </row>
    <row r="386" spans="1:18" hidden="1" x14ac:dyDescent="0.3">
      <c r="A386" t="s">
        <v>4249</v>
      </c>
      <c r="B386" t="s">
        <v>4250</v>
      </c>
      <c r="C386" t="s">
        <v>47</v>
      </c>
      <c r="D386">
        <v>1</v>
      </c>
      <c r="E386">
        <v>10</v>
      </c>
      <c r="F386" t="s">
        <v>2634</v>
      </c>
      <c r="G386" s="1">
        <v>3763.11</v>
      </c>
      <c r="H386">
        <v>0</v>
      </c>
      <c r="I386">
        <v>0.9</v>
      </c>
      <c r="J386">
        <v>10</v>
      </c>
      <c r="K386">
        <v>9</v>
      </c>
      <c r="L386">
        <f t="shared" ref="L386:L449" si="24">ROUNDUP((J386*I386)+K386,0)</f>
        <v>18</v>
      </c>
      <c r="M386">
        <v>0</v>
      </c>
      <c r="N386">
        <v>0</v>
      </c>
      <c r="O386">
        <v>29</v>
      </c>
      <c r="P386" s="1">
        <f t="shared" ref="P386:P449" si="25">IFERROR(M386*G386,0)</f>
        <v>0</v>
      </c>
      <c r="Q386">
        <f t="shared" ref="Q386:Q449" si="26">IF(O386-M386-N386&gt;0,O386-M386-N386,0)</f>
        <v>29</v>
      </c>
      <c r="R386" s="1">
        <f t="shared" ref="R386:R449" si="27">IFERROR(Q386*G386,0)</f>
        <v>109130.19</v>
      </c>
    </row>
    <row r="387" spans="1:18" hidden="1" x14ac:dyDescent="0.3">
      <c r="A387" t="s">
        <v>4251</v>
      </c>
      <c r="B387" t="s">
        <v>4251</v>
      </c>
      <c r="C387" t="s">
        <v>47</v>
      </c>
      <c r="D387">
        <v>1</v>
      </c>
      <c r="E387">
        <v>10</v>
      </c>
      <c r="F387" t="s">
        <v>4252</v>
      </c>
      <c r="G387" s="1">
        <v>92.5</v>
      </c>
      <c r="H387">
        <v>0</v>
      </c>
      <c r="I387">
        <v>0.5</v>
      </c>
      <c r="J387">
        <v>10</v>
      </c>
      <c r="K387">
        <v>5</v>
      </c>
      <c r="L387">
        <f t="shared" si="24"/>
        <v>10</v>
      </c>
      <c r="M387">
        <v>0</v>
      </c>
      <c r="N387">
        <v>0</v>
      </c>
      <c r="O387">
        <v>25</v>
      </c>
      <c r="P387" s="1">
        <f t="shared" si="25"/>
        <v>0</v>
      </c>
      <c r="Q387">
        <f t="shared" si="26"/>
        <v>25</v>
      </c>
      <c r="R387" s="1">
        <f t="shared" si="27"/>
        <v>2312.5</v>
      </c>
    </row>
    <row r="388" spans="1:18" hidden="1" x14ac:dyDescent="0.3">
      <c r="A388" t="s">
        <v>4253</v>
      </c>
      <c r="B388" t="s">
        <v>4254</v>
      </c>
      <c r="C388" t="s">
        <v>47</v>
      </c>
      <c r="D388">
        <v>1</v>
      </c>
      <c r="E388">
        <v>16</v>
      </c>
      <c r="F388" t="s">
        <v>4090</v>
      </c>
      <c r="G388" s="1">
        <v>14</v>
      </c>
      <c r="H388">
        <v>0</v>
      </c>
      <c r="I388">
        <v>0.5</v>
      </c>
      <c r="J388">
        <v>16</v>
      </c>
      <c r="K388">
        <v>8</v>
      </c>
      <c r="L388">
        <f t="shared" si="24"/>
        <v>16</v>
      </c>
      <c r="M388">
        <v>0</v>
      </c>
      <c r="N388">
        <v>0</v>
      </c>
      <c r="O388">
        <v>40</v>
      </c>
      <c r="P388" s="1">
        <f t="shared" si="25"/>
        <v>0</v>
      </c>
      <c r="Q388">
        <f t="shared" si="26"/>
        <v>40</v>
      </c>
      <c r="R388" s="1">
        <f t="shared" si="27"/>
        <v>560</v>
      </c>
    </row>
    <row r="389" spans="1:18" hidden="1" x14ac:dyDescent="0.3">
      <c r="A389" t="s">
        <v>4255</v>
      </c>
      <c r="B389" t="s">
        <v>4256</v>
      </c>
      <c r="C389" t="s">
        <v>47</v>
      </c>
      <c r="D389">
        <v>1</v>
      </c>
      <c r="E389">
        <v>1</v>
      </c>
      <c r="F389" t="s">
        <v>654</v>
      </c>
      <c r="G389" s="1">
        <v>5648</v>
      </c>
      <c r="H389">
        <v>0</v>
      </c>
      <c r="I389">
        <v>1.7</v>
      </c>
      <c r="J389">
        <v>1</v>
      </c>
      <c r="K389">
        <v>2</v>
      </c>
      <c r="L389">
        <f t="shared" si="24"/>
        <v>4</v>
      </c>
      <c r="M389">
        <v>0</v>
      </c>
      <c r="N389">
        <v>0</v>
      </c>
      <c r="O389">
        <v>4</v>
      </c>
      <c r="P389" s="1">
        <f t="shared" si="25"/>
        <v>0</v>
      </c>
      <c r="Q389">
        <f t="shared" si="26"/>
        <v>4</v>
      </c>
      <c r="R389" s="1">
        <f t="shared" si="27"/>
        <v>22592</v>
      </c>
    </row>
    <row r="390" spans="1:18" hidden="1" x14ac:dyDescent="0.3">
      <c r="A390" t="s">
        <v>4257</v>
      </c>
      <c r="B390" t="s">
        <v>4258</v>
      </c>
      <c r="C390" t="s">
        <v>47</v>
      </c>
      <c r="D390">
        <v>7</v>
      </c>
      <c r="E390">
        <v>6</v>
      </c>
      <c r="F390" t="s">
        <v>654</v>
      </c>
      <c r="G390" s="1">
        <v>5973</v>
      </c>
      <c r="H390">
        <v>0</v>
      </c>
      <c r="I390">
        <v>1.4</v>
      </c>
      <c r="J390">
        <v>1</v>
      </c>
      <c r="K390">
        <v>1</v>
      </c>
      <c r="L390">
        <f t="shared" si="24"/>
        <v>3</v>
      </c>
      <c r="M390">
        <v>0</v>
      </c>
      <c r="N390">
        <v>0</v>
      </c>
      <c r="O390">
        <v>3</v>
      </c>
      <c r="P390" s="1">
        <f t="shared" si="25"/>
        <v>0</v>
      </c>
      <c r="Q390">
        <f t="shared" si="26"/>
        <v>3</v>
      </c>
      <c r="R390" s="1">
        <f t="shared" si="27"/>
        <v>17919</v>
      </c>
    </row>
    <row r="391" spans="1:18" hidden="1" x14ac:dyDescent="0.3">
      <c r="A391" t="s">
        <v>4259</v>
      </c>
      <c r="B391" t="s">
        <v>4260</v>
      </c>
      <c r="C391" t="s">
        <v>47</v>
      </c>
      <c r="D391">
        <v>10</v>
      </c>
      <c r="E391">
        <v>1</v>
      </c>
      <c r="F391" t="s">
        <v>654</v>
      </c>
      <c r="G391" s="1">
        <v>6176</v>
      </c>
      <c r="H391">
        <v>1</v>
      </c>
      <c r="I391">
        <v>0.7</v>
      </c>
      <c r="J391">
        <v>1</v>
      </c>
      <c r="K391">
        <v>1</v>
      </c>
      <c r="L391">
        <f t="shared" si="24"/>
        <v>2</v>
      </c>
      <c r="M391">
        <v>0</v>
      </c>
      <c r="N391">
        <v>0</v>
      </c>
      <c r="O391">
        <v>3</v>
      </c>
      <c r="P391" s="1">
        <f t="shared" si="25"/>
        <v>0</v>
      </c>
      <c r="Q391">
        <f t="shared" si="26"/>
        <v>3</v>
      </c>
      <c r="R391" s="1">
        <f t="shared" si="27"/>
        <v>18528</v>
      </c>
    </row>
    <row r="392" spans="1:18" hidden="1" x14ac:dyDescent="0.3">
      <c r="A392" t="s">
        <v>4261</v>
      </c>
      <c r="B392" t="s">
        <v>4262</v>
      </c>
      <c r="C392" t="s">
        <v>47</v>
      </c>
      <c r="D392">
        <v>3</v>
      </c>
      <c r="E392">
        <v>51</v>
      </c>
      <c r="F392" t="s">
        <v>3497</v>
      </c>
      <c r="G392" s="1">
        <v>30</v>
      </c>
      <c r="H392">
        <v>0</v>
      </c>
      <c r="I392">
        <v>0.5</v>
      </c>
      <c r="J392">
        <v>17</v>
      </c>
      <c r="K392">
        <v>8</v>
      </c>
      <c r="L392">
        <f t="shared" si="24"/>
        <v>17</v>
      </c>
      <c r="M392">
        <v>0</v>
      </c>
      <c r="N392">
        <v>0</v>
      </c>
      <c r="O392">
        <v>42</v>
      </c>
      <c r="P392" s="1">
        <f t="shared" si="25"/>
        <v>0</v>
      </c>
      <c r="Q392">
        <f t="shared" si="26"/>
        <v>42</v>
      </c>
      <c r="R392" s="1">
        <f t="shared" si="27"/>
        <v>1260</v>
      </c>
    </row>
    <row r="393" spans="1:18" hidden="1" x14ac:dyDescent="0.3">
      <c r="A393" t="s">
        <v>4263</v>
      </c>
      <c r="B393" t="s">
        <v>4264</v>
      </c>
      <c r="C393" t="s">
        <v>47</v>
      </c>
      <c r="D393">
        <v>1</v>
      </c>
      <c r="E393">
        <v>80</v>
      </c>
      <c r="F393" t="s">
        <v>1073</v>
      </c>
      <c r="G393" s="1">
        <v>310</v>
      </c>
      <c r="H393">
        <v>80</v>
      </c>
      <c r="I393">
        <v>0.5</v>
      </c>
      <c r="J393">
        <v>80</v>
      </c>
      <c r="K393">
        <v>40</v>
      </c>
      <c r="L393">
        <f t="shared" si="24"/>
        <v>80</v>
      </c>
      <c r="M393">
        <v>0</v>
      </c>
      <c r="N393">
        <v>0</v>
      </c>
      <c r="O393">
        <v>200</v>
      </c>
      <c r="P393" s="1">
        <f t="shared" si="25"/>
        <v>0</v>
      </c>
      <c r="Q393">
        <f t="shared" si="26"/>
        <v>200</v>
      </c>
      <c r="R393" s="1">
        <f t="shared" si="27"/>
        <v>62000</v>
      </c>
    </row>
    <row r="394" spans="1:18" hidden="1" x14ac:dyDescent="0.3">
      <c r="A394" t="s">
        <v>4265</v>
      </c>
      <c r="B394" t="s">
        <v>3991</v>
      </c>
      <c r="C394" t="s">
        <v>47</v>
      </c>
      <c r="D394">
        <v>1</v>
      </c>
      <c r="E394">
        <v>0</v>
      </c>
      <c r="G394" s="1">
        <v>0</v>
      </c>
      <c r="H394">
        <v>0</v>
      </c>
      <c r="I394">
        <v>0.5</v>
      </c>
      <c r="J394">
        <v>1</v>
      </c>
      <c r="K394">
        <v>1</v>
      </c>
      <c r="L394">
        <f t="shared" si="24"/>
        <v>2</v>
      </c>
      <c r="M394">
        <v>0</v>
      </c>
      <c r="N394">
        <v>0</v>
      </c>
      <c r="O394">
        <v>2</v>
      </c>
      <c r="P394" s="1">
        <f t="shared" si="25"/>
        <v>0</v>
      </c>
      <c r="Q394">
        <f t="shared" si="26"/>
        <v>2</v>
      </c>
      <c r="R394" s="1">
        <f t="shared" si="27"/>
        <v>0</v>
      </c>
    </row>
    <row r="395" spans="1:18" hidden="1" x14ac:dyDescent="0.3">
      <c r="A395" t="s">
        <v>4266</v>
      </c>
      <c r="B395" t="s">
        <v>3554</v>
      </c>
      <c r="C395" t="s">
        <v>47</v>
      </c>
      <c r="D395">
        <v>1</v>
      </c>
      <c r="E395">
        <v>2</v>
      </c>
      <c r="F395" t="s">
        <v>77</v>
      </c>
      <c r="G395" s="1">
        <v>2681.25</v>
      </c>
      <c r="H395">
        <v>0</v>
      </c>
      <c r="I395">
        <v>0.7</v>
      </c>
      <c r="J395">
        <v>2</v>
      </c>
      <c r="K395">
        <v>1</v>
      </c>
      <c r="L395">
        <f t="shared" si="24"/>
        <v>3</v>
      </c>
      <c r="M395">
        <v>0</v>
      </c>
      <c r="N395">
        <v>0</v>
      </c>
      <c r="O395">
        <v>5</v>
      </c>
      <c r="P395" s="1">
        <f t="shared" si="25"/>
        <v>0</v>
      </c>
      <c r="Q395">
        <f t="shared" si="26"/>
        <v>5</v>
      </c>
      <c r="R395" s="1">
        <f t="shared" si="27"/>
        <v>13406.25</v>
      </c>
    </row>
    <row r="396" spans="1:18" hidden="1" x14ac:dyDescent="0.3">
      <c r="A396" t="s">
        <v>4267</v>
      </c>
      <c r="B396" t="s">
        <v>4268</v>
      </c>
      <c r="C396" t="s">
        <v>47</v>
      </c>
      <c r="D396">
        <v>1</v>
      </c>
      <c r="E396">
        <v>5</v>
      </c>
      <c r="F396" t="s">
        <v>77</v>
      </c>
      <c r="G396" s="1">
        <v>1522.65</v>
      </c>
      <c r="H396">
        <v>0</v>
      </c>
      <c r="I396">
        <v>0.8</v>
      </c>
      <c r="J396">
        <v>5</v>
      </c>
      <c r="K396">
        <v>4</v>
      </c>
      <c r="L396">
        <f t="shared" si="24"/>
        <v>8</v>
      </c>
      <c r="M396">
        <v>0</v>
      </c>
      <c r="N396">
        <v>0</v>
      </c>
      <c r="O396">
        <v>14</v>
      </c>
      <c r="P396" s="1">
        <f t="shared" si="25"/>
        <v>0</v>
      </c>
      <c r="Q396">
        <f t="shared" si="26"/>
        <v>14</v>
      </c>
      <c r="R396" s="1">
        <f t="shared" si="27"/>
        <v>21317.100000000002</v>
      </c>
    </row>
    <row r="397" spans="1:18" hidden="1" x14ac:dyDescent="0.3">
      <c r="A397" t="s">
        <v>4269</v>
      </c>
      <c r="B397" t="s">
        <v>4270</v>
      </c>
      <c r="C397" t="s">
        <v>47</v>
      </c>
      <c r="D397">
        <v>1</v>
      </c>
      <c r="E397">
        <v>0</v>
      </c>
      <c r="G397" s="1">
        <v>0</v>
      </c>
      <c r="H397">
        <v>0</v>
      </c>
      <c r="I397">
        <v>0.5</v>
      </c>
      <c r="J397">
        <v>1</v>
      </c>
      <c r="K397">
        <v>1</v>
      </c>
      <c r="L397">
        <f t="shared" si="24"/>
        <v>2</v>
      </c>
      <c r="M397">
        <v>0</v>
      </c>
      <c r="N397">
        <v>0</v>
      </c>
      <c r="O397">
        <v>2</v>
      </c>
      <c r="P397" s="1">
        <f t="shared" si="25"/>
        <v>0</v>
      </c>
      <c r="Q397">
        <f t="shared" si="26"/>
        <v>2</v>
      </c>
      <c r="R397" s="1">
        <f t="shared" si="27"/>
        <v>0</v>
      </c>
    </row>
    <row r="398" spans="1:18" hidden="1" x14ac:dyDescent="0.3">
      <c r="A398" t="s">
        <v>4271</v>
      </c>
      <c r="B398" t="s">
        <v>4272</v>
      </c>
      <c r="C398" t="s">
        <v>47</v>
      </c>
      <c r="D398">
        <v>21</v>
      </c>
      <c r="E398">
        <v>132</v>
      </c>
      <c r="F398" t="s">
        <v>4273</v>
      </c>
      <c r="G398" s="1">
        <v>47.37</v>
      </c>
      <c r="H398">
        <v>1</v>
      </c>
      <c r="I398">
        <v>0.5</v>
      </c>
      <c r="J398">
        <v>6.5</v>
      </c>
      <c r="K398">
        <v>3</v>
      </c>
      <c r="L398">
        <f t="shared" si="24"/>
        <v>7</v>
      </c>
      <c r="M398">
        <v>0</v>
      </c>
      <c r="N398">
        <v>0</v>
      </c>
      <c r="O398">
        <v>16</v>
      </c>
      <c r="P398" s="1">
        <f t="shared" si="25"/>
        <v>0</v>
      </c>
      <c r="Q398">
        <f t="shared" si="26"/>
        <v>16</v>
      </c>
      <c r="R398" s="1">
        <f t="shared" si="27"/>
        <v>757.92</v>
      </c>
    </row>
    <row r="399" spans="1:18" hidden="1" x14ac:dyDescent="0.3">
      <c r="A399" t="s">
        <v>4274</v>
      </c>
      <c r="B399" t="s">
        <v>4275</v>
      </c>
      <c r="C399" t="s">
        <v>47</v>
      </c>
      <c r="D399">
        <v>9</v>
      </c>
      <c r="E399">
        <v>13</v>
      </c>
      <c r="F399" t="s">
        <v>3546</v>
      </c>
      <c r="G399" s="1">
        <v>546.5</v>
      </c>
      <c r="H399">
        <v>1</v>
      </c>
      <c r="I399">
        <v>0.5</v>
      </c>
      <c r="J399">
        <v>1.5</v>
      </c>
      <c r="K399">
        <v>1</v>
      </c>
      <c r="L399">
        <f t="shared" si="24"/>
        <v>2</v>
      </c>
      <c r="M399">
        <v>0</v>
      </c>
      <c r="N399">
        <v>0</v>
      </c>
      <c r="O399">
        <v>4</v>
      </c>
      <c r="P399" s="1">
        <f t="shared" si="25"/>
        <v>0</v>
      </c>
      <c r="Q399">
        <f t="shared" si="26"/>
        <v>4</v>
      </c>
      <c r="R399" s="1">
        <f t="shared" si="27"/>
        <v>2186</v>
      </c>
    </row>
    <row r="400" spans="1:18" hidden="1" x14ac:dyDescent="0.3">
      <c r="A400" t="s">
        <v>4276</v>
      </c>
      <c r="B400" t="s">
        <v>4205</v>
      </c>
      <c r="C400" t="s">
        <v>47</v>
      </c>
      <c r="D400">
        <v>1</v>
      </c>
      <c r="E400">
        <v>6</v>
      </c>
      <c r="F400" t="s">
        <v>482</v>
      </c>
      <c r="G400" s="1">
        <v>1110</v>
      </c>
      <c r="H400">
        <v>0</v>
      </c>
      <c r="I400">
        <v>1.9</v>
      </c>
      <c r="J400">
        <v>6</v>
      </c>
      <c r="K400">
        <v>11</v>
      </c>
      <c r="L400">
        <f t="shared" si="24"/>
        <v>23</v>
      </c>
      <c r="M400">
        <v>0</v>
      </c>
      <c r="N400">
        <v>0</v>
      </c>
      <c r="O400">
        <v>23</v>
      </c>
      <c r="P400" s="1">
        <f t="shared" si="25"/>
        <v>0</v>
      </c>
      <c r="Q400">
        <f t="shared" si="26"/>
        <v>23</v>
      </c>
      <c r="R400" s="1">
        <f t="shared" si="27"/>
        <v>25530</v>
      </c>
    </row>
    <row r="401" spans="1:18" hidden="1" x14ac:dyDescent="0.3">
      <c r="A401" t="s">
        <v>4277</v>
      </c>
      <c r="B401" t="s">
        <v>4278</v>
      </c>
      <c r="C401" t="s">
        <v>47</v>
      </c>
      <c r="D401">
        <v>1</v>
      </c>
      <c r="E401">
        <v>4</v>
      </c>
      <c r="F401" t="s">
        <v>206</v>
      </c>
      <c r="G401" s="1">
        <v>112.71</v>
      </c>
      <c r="H401">
        <v>0</v>
      </c>
      <c r="I401">
        <v>0.5</v>
      </c>
      <c r="J401">
        <v>4</v>
      </c>
      <c r="K401">
        <v>2</v>
      </c>
      <c r="L401">
        <f t="shared" si="24"/>
        <v>4</v>
      </c>
      <c r="M401">
        <v>0</v>
      </c>
      <c r="N401">
        <v>0</v>
      </c>
      <c r="O401">
        <v>10</v>
      </c>
      <c r="P401" s="1">
        <f t="shared" si="25"/>
        <v>0</v>
      </c>
      <c r="Q401">
        <f t="shared" si="26"/>
        <v>10</v>
      </c>
      <c r="R401" s="1">
        <f t="shared" si="27"/>
        <v>1127.0999999999999</v>
      </c>
    </row>
    <row r="402" spans="1:18" hidden="1" x14ac:dyDescent="0.3">
      <c r="A402" t="s">
        <v>4279</v>
      </c>
      <c r="B402" t="s">
        <v>4280</v>
      </c>
      <c r="C402" t="s">
        <v>47</v>
      </c>
      <c r="D402">
        <v>1</v>
      </c>
      <c r="E402">
        <v>1</v>
      </c>
      <c r="F402" t="s">
        <v>3863</v>
      </c>
      <c r="G402" s="1">
        <v>238.5</v>
      </c>
      <c r="H402">
        <v>0</v>
      </c>
      <c r="I402">
        <v>0.5</v>
      </c>
      <c r="J402">
        <v>1</v>
      </c>
      <c r="K402">
        <v>1</v>
      </c>
      <c r="L402">
        <f t="shared" si="24"/>
        <v>2</v>
      </c>
      <c r="M402">
        <v>0</v>
      </c>
      <c r="N402">
        <v>0</v>
      </c>
      <c r="O402">
        <v>2</v>
      </c>
      <c r="P402" s="1">
        <f t="shared" si="25"/>
        <v>0</v>
      </c>
      <c r="Q402">
        <f t="shared" si="26"/>
        <v>2</v>
      </c>
      <c r="R402" s="1">
        <f t="shared" si="27"/>
        <v>477</v>
      </c>
    </row>
    <row r="403" spans="1:18" hidden="1" x14ac:dyDescent="0.3">
      <c r="A403" t="s">
        <v>4281</v>
      </c>
      <c r="B403" t="s">
        <v>4282</v>
      </c>
      <c r="C403" t="s">
        <v>47</v>
      </c>
      <c r="D403">
        <v>1</v>
      </c>
      <c r="E403">
        <v>1</v>
      </c>
      <c r="F403" t="s">
        <v>3863</v>
      </c>
      <c r="G403" s="1">
        <v>973.32</v>
      </c>
      <c r="H403">
        <v>0</v>
      </c>
      <c r="I403">
        <v>0.5</v>
      </c>
      <c r="J403">
        <v>1</v>
      </c>
      <c r="K403">
        <v>1</v>
      </c>
      <c r="L403">
        <f t="shared" si="24"/>
        <v>2</v>
      </c>
      <c r="M403">
        <v>0</v>
      </c>
      <c r="N403">
        <v>0</v>
      </c>
      <c r="O403">
        <v>2</v>
      </c>
      <c r="P403" s="1">
        <f t="shared" si="25"/>
        <v>0</v>
      </c>
      <c r="Q403">
        <f t="shared" si="26"/>
        <v>2</v>
      </c>
      <c r="R403" s="1">
        <f t="shared" si="27"/>
        <v>1946.64</v>
      </c>
    </row>
    <row r="404" spans="1:18" hidden="1" x14ac:dyDescent="0.3">
      <c r="A404" t="s">
        <v>4283</v>
      </c>
      <c r="B404" t="s">
        <v>4284</v>
      </c>
      <c r="C404" t="s">
        <v>47</v>
      </c>
      <c r="D404">
        <v>1</v>
      </c>
      <c r="E404">
        <v>1</v>
      </c>
      <c r="F404" t="s">
        <v>3546</v>
      </c>
      <c r="G404" s="1">
        <v>541</v>
      </c>
      <c r="H404">
        <v>0</v>
      </c>
      <c r="I404">
        <v>0.5</v>
      </c>
      <c r="J404">
        <v>1</v>
      </c>
      <c r="K404">
        <v>1</v>
      </c>
      <c r="L404">
        <f t="shared" si="24"/>
        <v>2</v>
      </c>
      <c r="M404">
        <v>0</v>
      </c>
      <c r="N404">
        <v>0</v>
      </c>
      <c r="O404">
        <v>2</v>
      </c>
      <c r="P404" s="1">
        <f t="shared" si="25"/>
        <v>0</v>
      </c>
      <c r="Q404">
        <f t="shared" si="26"/>
        <v>2</v>
      </c>
      <c r="R404" s="1">
        <f t="shared" si="27"/>
        <v>1082</v>
      </c>
    </row>
    <row r="405" spans="1:18" hidden="1" x14ac:dyDescent="0.3">
      <c r="A405" t="s">
        <v>4285</v>
      </c>
      <c r="B405" t="s">
        <v>4286</v>
      </c>
      <c r="C405" t="s">
        <v>47</v>
      </c>
      <c r="D405">
        <v>1</v>
      </c>
      <c r="E405">
        <v>0</v>
      </c>
      <c r="F405" t="s">
        <v>4287</v>
      </c>
      <c r="G405" s="1">
        <v>0</v>
      </c>
      <c r="H405">
        <v>0</v>
      </c>
      <c r="I405">
        <v>0.5</v>
      </c>
      <c r="J405">
        <v>1</v>
      </c>
      <c r="K405">
        <v>1</v>
      </c>
      <c r="L405">
        <f t="shared" si="24"/>
        <v>2</v>
      </c>
      <c r="M405">
        <v>0</v>
      </c>
      <c r="N405">
        <v>0</v>
      </c>
      <c r="O405">
        <v>2</v>
      </c>
      <c r="P405" s="1">
        <f t="shared" si="25"/>
        <v>0</v>
      </c>
      <c r="Q405">
        <f t="shared" si="26"/>
        <v>2</v>
      </c>
      <c r="R405" s="1">
        <f t="shared" si="27"/>
        <v>0</v>
      </c>
    </row>
    <row r="406" spans="1:18" hidden="1" x14ac:dyDescent="0.3">
      <c r="A406" t="s">
        <v>4288</v>
      </c>
      <c r="B406" t="s">
        <v>4289</v>
      </c>
      <c r="C406" t="s">
        <v>47</v>
      </c>
      <c r="D406">
        <v>1</v>
      </c>
      <c r="E406">
        <v>0</v>
      </c>
      <c r="F406" t="s">
        <v>4287</v>
      </c>
      <c r="G406" s="1">
        <v>0</v>
      </c>
      <c r="H406">
        <v>0</v>
      </c>
      <c r="I406">
        <v>0.5</v>
      </c>
      <c r="J406">
        <v>1</v>
      </c>
      <c r="K406">
        <v>1</v>
      </c>
      <c r="L406">
        <f t="shared" si="24"/>
        <v>2</v>
      </c>
      <c r="M406">
        <v>0</v>
      </c>
      <c r="N406">
        <v>0</v>
      </c>
      <c r="O406">
        <v>2</v>
      </c>
      <c r="P406" s="1">
        <f t="shared" si="25"/>
        <v>0</v>
      </c>
      <c r="Q406">
        <f t="shared" si="26"/>
        <v>2</v>
      </c>
      <c r="R406" s="1">
        <f t="shared" si="27"/>
        <v>0</v>
      </c>
    </row>
    <row r="407" spans="1:18" hidden="1" x14ac:dyDescent="0.3">
      <c r="A407" t="s">
        <v>4290</v>
      </c>
      <c r="B407" t="s">
        <v>4291</v>
      </c>
      <c r="C407" t="s">
        <v>47</v>
      </c>
      <c r="D407">
        <v>1</v>
      </c>
      <c r="E407">
        <v>0</v>
      </c>
      <c r="G407" s="1">
        <v>0</v>
      </c>
      <c r="H407">
        <v>2</v>
      </c>
      <c r="I407">
        <v>0.5</v>
      </c>
      <c r="J407">
        <v>2</v>
      </c>
      <c r="K407">
        <v>1</v>
      </c>
      <c r="L407">
        <f t="shared" si="24"/>
        <v>2</v>
      </c>
      <c r="M407">
        <v>0</v>
      </c>
      <c r="N407">
        <v>0</v>
      </c>
      <c r="O407">
        <v>5</v>
      </c>
      <c r="P407" s="1">
        <f t="shared" si="25"/>
        <v>0</v>
      </c>
      <c r="Q407">
        <f t="shared" si="26"/>
        <v>5</v>
      </c>
      <c r="R407" s="1">
        <f t="shared" si="27"/>
        <v>0</v>
      </c>
    </row>
    <row r="408" spans="1:18" hidden="1" x14ac:dyDescent="0.3">
      <c r="A408" t="s">
        <v>4292</v>
      </c>
      <c r="B408" t="s">
        <v>4293</v>
      </c>
      <c r="C408" t="s">
        <v>47</v>
      </c>
      <c r="D408">
        <v>1</v>
      </c>
      <c r="E408">
        <v>0</v>
      </c>
      <c r="G408" s="1">
        <v>0</v>
      </c>
      <c r="H408">
        <v>2</v>
      </c>
      <c r="I408">
        <v>0.5</v>
      </c>
      <c r="J408">
        <v>2</v>
      </c>
      <c r="K408">
        <v>1</v>
      </c>
      <c r="L408">
        <f t="shared" si="24"/>
        <v>2</v>
      </c>
      <c r="M408">
        <v>0</v>
      </c>
      <c r="N408">
        <v>0</v>
      </c>
      <c r="O408">
        <v>5</v>
      </c>
      <c r="P408" s="1">
        <f t="shared" si="25"/>
        <v>0</v>
      </c>
      <c r="Q408">
        <f t="shared" si="26"/>
        <v>5</v>
      </c>
      <c r="R408" s="1">
        <f t="shared" si="27"/>
        <v>0</v>
      </c>
    </row>
    <row r="409" spans="1:18" hidden="1" x14ac:dyDescent="0.3">
      <c r="A409" t="s">
        <v>4294</v>
      </c>
      <c r="B409" t="s">
        <v>4295</v>
      </c>
      <c r="C409" t="s">
        <v>47</v>
      </c>
      <c r="D409">
        <v>1</v>
      </c>
      <c r="E409">
        <v>0</v>
      </c>
      <c r="G409" s="1">
        <v>0</v>
      </c>
      <c r="H409">
        <v>4</v>
      </c>
      <c r="I409">
        <v>0.5</v>
      </c>
      <c r="J409">
        <v>4</v>
      </c>
      <c r="K409">
        <v>2</v>
      </c>
      <c r="L409">
        <f t="shared" si="24"/>
        <v>4</v>
      </c>
      <c r="M409">
        <v>0</v>
      </c>
      <c r="N409">
        <v>0</v>
      </c>
      <c r="O409">
        <v>10</v>
      </c>
      <c r="P409" s="1">
        <f t="shared" si="25"/>
        <v>0</v>
      </c>
      <c r="Q409">
        <f t="shared" si="26"/>
        <v>10</v>
      </c>
      <c r="R409" s="1">
        <f t="shared" si="27"/>
        <v>0</v>
      </c>
    </row>
    <row r="410" spans="1:18" hidden="1" x14ac:dyDescent="0.3">
      <c r="A410" t="s">
        <v>4296</v>
      </c>
      <c r="B410" t="s">
        <v>4297</v>
      </c>
      <c r="C410" t="s">
        <v>47</v>
      </c>
      <c r="D410">
        <v>1</v>
      </c>
      <c r="E410">
        <v>0</v>
      </c>
      <c r="G410" s="1">
        <v>0</v>
      </c>
      <c r="H410">
        <v>2</v>
      </c>
      <c r="I410">
        <v>0.5</v>
      </c>
      <c r="J410">
        <v>2</v>
      </c>
      <c r="K410">
        <v>1</v>
      </c>
      <c r="L410">
        <f t="shared" si="24"/>
        <v>2</v>
      </c>
      <c r="M410">
        <v>0</v>
      </c>
      <c r="N410">
        <v>0</v>
      </c>
      <c r="O410">
        <v>5</v>
      </c>
      <c r="P410" s="1">
        <f t="shared" si="25"/>
        <v>0</v>
      </c>
      <c r="Q410">
        <f t="shared" si="26"/>
        <v>5</v>
      </c>
      <c r="R410" s="1">
        <f t="shared" si="27"/>
        <v>0</v>
      </c>
    </row>
    <row r="411" spans="1:18" hidden="1" x14ac:dyDescent="0.3">
      <c r="A411" t="s">
        <v>4298</v>
      </c>
      <c r="B411" t="s">
        <v>4299</v>
      </c>
      <c r="C411" t="s">
        <v>47</v>
      </c>
      <c r="D411">
        <v>1</v>
      </c>
      <c r="E411">
        <v>0</v>
      </c>
      <c r="G411" s="1">
        <v>0</v>
      </c>
      <c r="H411">
        <v>2</v>
      </c>
      <c r="I411">
        <v>0.5</v>
      </c>
      <c r="J411">
        <v>2</v>
      </c>
      <c r="K411">
        <v>1</v>
      </c>
      <c r="L411">
        <f t="shared" si="24"/>
        <v>2</v>
      </c>
      <c r="M411">
        <v>0</v>
      </c>
      <c r="N411">
        <v>0</v>
      </c>
      <c r="O411">
        <v>5</v>
      </c>
      <c r="P411" s="1">
        <f t="shared" si="25"/>
        <v>0</v>
      </c>
      <c r="Q411">
        <f t="shared" si="26"/>
        <v>5</v>
      </c>
      <c r="R411" s="1">
        <f t="shared" si="27"/>
        <v>0</v>
      </c>
    </row>
    <row r="412" spans="1:18" hidden="1" x14ac:dyDescent="0.3">
      <c r="A412" t="s">
        <v>4300</v>
      </c>
      <c r="B412" t="s">
        <v>4301</v>
      </c>
      <c r="C412" t="s">
        <v>47</v>
      </c>
      <c r="D412">
        <v>1</v>
      </c>
      <c r="E412">
        <v>0</v>
      </c>
      <c r="G412" s="1">
        <v>0</v>
      </c>
      <c r="H412">
        <v>2</v>
      </c>
      <c r="I412">
        <v>0.5</v>
      </c>
      <c r="J412">
        <v>2</v>
      </c>
      <c r="K412">
        <v>1</v>
      </c>
      <c r="L412">
        <f t="shared" si="24"/>
        <v>2</v>
      </c>
      <c r="M412">
        <v>0</v>
      </c>
      <c r="N412">
        <v>0</v>
      </c>
      <c r="O412">
        <v>5</v>
      </c>
      <c r="P412" s="1">
        <f t="shared" si="25"/>
        <v>0</v>
      </c>
      <c r="Q412">
        <f t="shared" si="26"/>
        <v>5</v>
      </c>
      <c r="R412" s="1">
        <f t="shared" si="27"/>
        <v>0</v>
      </c>
    </row>
    <row r="413" spans="1:18" hidden="1" x14ac:dyDescent="0.3">
      <c r="A413" t="s">
        <v>4302</v>
      </c>
      <c r="B413" t="s">
        <v>4303</v>
      </c>
      <c r="C413" t="s">
        <v>47</v>
      </c>
      <c r="D413">
        <v>1</v>
      </c>
      <c r="E413">
        <v>14</v>
      </c>
      <c r="F413" t="s">
        <v>4090</v>
      </c>
      <c r="G413" s="1">
        <v>14</v>
      </c>
      <c r="H413">
        <v>0</v>
      </c>
      <c r="I413">
        <v>0.5</v>
      </c>
      <c r="J413">
        <v>14</v>
      </c>
      <c r="K413">
        <v>7</v>
      </c>
      <c r="L413">
        <f t="shared" si="24"/>
        <v>14</v>
      </c>
      <c r="M413">
        <v>0</v>
      </c>
      <c r="N413">
        <v>0</v>
      </c>
      <c r="O413">
        <v>35</v>
      </c>
      <c r="P413" s="1">
        <f t="shared" si="25"/>
        <v>0</v>
      </c>
      <c r="Q413">
        <f t="shared" si="26"/>
        <v>35</v>
      </c>
      <c r="R413" s="1">
        <f t="shared" si="27"/>
        <v>490</v>
      </c>
    </row>
    <row r="414" spans="1:18" hidden="1" x14ac:dyDescent="0.3">
      <c r="A414" t="s">
        <v>4304</v>
      </c>
      <c r="B414" t="s">
        <v>4305</v>
      </c>
      <c r="C414" t="s">
        <v>47</v>
      </c>
      <c r="D414">
        <v>1</v>
      </c>
      <c r="E414">
        <v>10</v>
      </c>
      <c r="F414" t="s">
        <v>3837</v>
      </c>
      <c r="G414" s="1">
        <v>80</v>
      </c>
      <c r="H414">
        <v>0</v>
      </c>
      <c r="I414">
        <v>0.5</v>
      </c>
      <c r="J414">
        <v>10</v>
      </c>
      <c r="K414">
        <v>5</v>
      </c>
      <c r="L414">
        <f t="shared" si="24"/>
        <v>10</v>
      </c>
      <c r="M414">
        <v>0</v>
      </c>
      <c r="N414">
        <v>0</v>
      </c>
      <c r="O414">
        <v>25</v>
      </c>
      <c r="P414" s="1">
        <f t="shared" si="25"/>
        <v>0</v>
      </c>
      <c r="Q414">
        <f t="shared" si="26"/>
        <v>25</v>
      </c>
      <c r="R414" s="1">
        <f t="shared" si="27"/>
        <v>2000</v>
      </c>
    </row>
    <row r="415" spans="1:18" hidden="1" x14ac:dyDescent="0.3">
      <c r="A415" t="s">
        <v>4306</v>
      </c>
      <c r="B415" t="s">
        <v>4307</v>
      </c>
      <c r="C415" t="s">
        <v>47</v>
      </c>
      <c r="D415">
        <v>3</v>
      </c>
      <c r="E415">
        <v>41</v>
      </c>
      <c r="F415" t="s">
        <v>3497</v>
      </c>
      <c r="G415" s="1">
        <v>30</v>
      </c>
      <c r="H415">
        <v>0</v>
      </c>
      <c r="I415">
        <v>0.5</v>
      </c>
      <c r="J415">
        <v>14</v>
      </c>
      <c r="K415">
        <v>7</v>
      </c>
      <c r="L415">
        <f t="shared" si="24"/>
        <v>14</v>
      </c>
      <c r="M415">
        <v>0</v>
      </c>
      <c r="N415">
        <v>0</v>
      </c>
      <c r="O415">
        <v>35</v>
      </c>
      <c r="P415" s="1">
        <f t="shared" si="25"/>
        <v>0</v>
      </c>
      <c r="Q415">
        <f t="shared" si="26"/>
        <v>35</v>
      </c>
      <c r="R415" s="1">
        <f t="shared" si="27"/>
        <v>1050</v>
      </c>
    </row>
    <row r="416" spans="1:18" hidden="1" x14ac:dyDescent="0.3">
      <c r="A416" t="s">
        <v>4308</v>
      </c>
      <c r="B416" t="s">
        <v>4309</v>
      </c>
      <c r="C416" t="s">
        <v>47</v>
      </c>
      <c r="D416">
        <v>1</v>
      </c>
      <c r="E416">
        <v>1</v>
      </c>
      <c r="F416" t="s">
        <v>77</v>
      </c>
      <c r="G416" s="1">
        <v>1901.25</v>
      </c>
      <c r="H416">
        <v>0</v>
      </c>
      <c r="I416">
        <v>0.9</v>
      </c>
      <c r="J416">
        <v>1</v>
      </c>
      <c r="K416">
        <v>1</v>
      </c>
      <c r="L416">
        <f t="shared" si="24"/>
        <v>2</v>
      </c>
      <c r="M416">
        <v>0</v>
      </c>
      <c r="N416">
        <v>0</v>
      </c>
      <c r="O416">
        <v>3</v>
      </c>
      <c r="P416" s="1">
        <f t="shared" si="25"/>
        <v>0</v>
      </c>
      <c r="Q416">
        <f t="shared" si="26"/>
        <v>3</v>
      </c>
      <c r="R416" s="1">
        <f t="shared" si="27"/>
        <v>5703.75</v>
      </c>
    </row>
    <row r="417" spans="1:18" hidden="1" x14ac:dyDescent="0.3">
      <c r="A417" t="s">
        <v>4310</v>
      </c>
      <c r="B417" t="s">
        <v>4311</v>
      </c>
      <c r="C417" t="s">
        <v>47</v>
      </c>
      <c r="D417">
        <v>1</v>
      </c>
      <c r="E417">
        <v>2</v>
      </c>
      <c r="F417" t="s">
        <v>77</v>
      </c>
      <c r="G417" s="1">
        <v>607.14</v>
      </c>
      <c r="H417">
        <v>0</v>
      </c>
      <c r="I417">
        <v>0.9</v>
      </c>
      <c r="J417">
        <v>2</v>
      </c>
      <c r="K417">
        <v>2</v>
      </c>
      <c r="L417">
        <f t="shared" si="24"/>
        <v>4</v>
      </c>
      <c r="M417">
        <v>0</v>
      </c>
      <c r="N417">
        <v>0</v>
      </c>
      <c r="O417">
        <v>6</v>
      </c>
      <c r="P417" s="1">
        <f t="shared" si="25"/>
        <v>0</v>
      </c>
      <c r="Q417">
        <f t="shared" si="26"/>
        <v>6</v>
      </c>
      <c r="R417" s="1">
        <f t="shared" si="27"/>
        <v>3642.84</v>
      </c>
    </row>
    <row r="418" spans="1:18" hidden="1" x14ac:dyDescent="0.3">
      <c r="A418" t="s">
        <v>4312</v>
      </c>
      <c r="B418" t="s">
        <v>4313</v>
      </c>
      <c r="C418" t="s">
        <v>47</v>
      </c>
      <c r="D418">
        <v>1</v>
      </c>
      <c r="E418">
        <v>4</v>
      </c>
      <c r="F418" t="s">
        <v>482</v>
      </c>
      <c r="G418" s="1">
        <v>1014</v>
      </c>
      <c r="H418">
        <v>4</v>
      </c>
      <c r="I418">
        <v>0.5</v>
      </c>
      <c r="J418">
        <v>4</v>
      </c>
      <c r="K418">
        <v>2</v>
      </c>
      <c r="L418">
        <f t="shared" si="24"/>
        <v>4</v>
      </c>
      <c r="M418">
        <v>0</v>
      </c>
      <c r="N418">
        <v>0</v>
      </c>
      <c r="O418">
        <v>10</v>
      </c>
      <c r="P418" s="1">
        <f t="shared" si="25"/>
        <v>0</v>
      </c>
      <c r="Q418">
        <f t="shared" si="26"/>
        <v>10</v>
      </c>
      <c r="R418" s="1">
        <f t="shared" si="27"/>
        <v>10140</v>
      </c>
    </row>
    <row r="419" spans="1:18" hidden="1" x14ac:dyDescent="0.3">
      <c r="A419" t="s">
        <v>4314</v>
      </c>
      <c r="B419" t="s">
        <v>3554</v>
      </c>
      <c r="C419" t="s">
        <v>47</v>
      </c>
      <c r="D419">
        <v>18</v>
      </c>
      <c r="E419">
        <v>0</v>
      </c>
      <c r="F419" t="s">
        <v>4228</v>
      </c>
      <c r="G419" s="1">
        <v>0</v>
      </c>
      <c r="H419">
        <v>4</v>
      </c>
      <c r="I419">
        <v>0.7</v>
      </c>
      <c r="J419">
        <v>1</v>
      </c>
      <c r="K419">
        <v>1</v>
      </c>
      <c r="L419">
        <f t="shared" si="24"/>
        <v>2</v>
      </c>
      <c r="M419">
        <v>0</v>
      </c>
      <c r="N419">
        <v>0</v>
      </c>
      <c r="O419">
        <v>3</v>
      </c>
      <c r="P419" s="1">
        <f t="shared" si="25"/>
        <v>0</v>
      </c>
      <c r="Q419">
        <f t="shared" si="26"/>
        <v>3</v>
      </c>
      <c r="R419" s="1">
        <f t="shared" si="27"/>
        <v>0</v>
      </c>
    </row>
    <row r="420" spans="1:18" hidden="1" x14ac:dyDescent="0.3">
      <c r="A420" t="s">
        <v>4315</v>
      </c>
      <c r="B420" t="s">
        <v>4316</v>
      </c>
      <c r="C420" t="s">
        <v>47</v>
      </c>
      <c r="D420">
        <v>19</v>
      </c>
      <c r="E420">
        <v>111</v>
      </c>
      <c r="F420" t="s">
        <v>3488</v>
      </c>
      <c r="G420" s="1">
        <v>28.72</v>
      </c>
      <c r="H420">
        <v>0</v>
      </c>
      <c r="I420">
        <v>0.5</v>
      </c>
      <c r="J420">
        <v>6</v>
      </c>
      <c r="K420">
        <v>3</v>
      </c>
      <c r="L420">
        <f t="shared" si="24"/>
        <v>6</v>
      </c>
      <c r="M420">
        <v>0</v>
      </c>
      <c r="N420">
        <v>0</v>
      </c>
      <c r="O420">
        <v>15</v>
      </c>
      <c r="P420" s="1">
        <f t="shared" si="25"/>
        <v>0</v>
      </c>
      <c r="Q420">
        <f t="shared" si="26"/>
        <v>15</v>
      </c>
      <c r="R420" s="1">
        <f t="shared" si="27"/>
        <v>430.79999999999995</v>
      </c>
    </row>
    <row r="421" spans="1:18" hidden="1" x14ac:dyDescent="0.3">
      <c r="A421" t="s">
        <v>4317</v>
      </c>
      <c r="B421" t="s">
        <v>4318</v>
      </c>
      <c r="C421" t="s">
        <v>47</v>
      </c>
      <c r="D421">
        <v>4</v>
      </c>
      <c r="E421">
        <v>12</v>
      </c>
      <c r="F421" t="s">
        <v>3546</v>
      </c>
      <c r="G421" s="1">
        <v>686.4</v>
      </c>
      <c r="H421">
        <v>2</v>
      </c>
      <c r="I421">
        <v>0.5</v>
      </c>
      <c r="J421">
        <v>3</v>
      </c>
      <c r="K421">
        <v>2</v>
      </c>
      <c r="L421">
        <f t="shared" si="24"/>
        <v>4</v>
      </c>
      <c r="M421">
        <v>0</v>
      </c>
      <c r="N421">
        <v>0</v>
      </c>
      <c r="O421">
        <v>8</v>
      </c>
      <c r="P421" s="1">
        <f t="shared" si="25"/>
        <v>0</v>
      </c>
      <c r="Q421">
        <f t="shared" si="26"/>
        <v>8</v>
      </c>
      <c r="R421" s="1">
        <f t="shared" si="27"/>
        <v>5491.2</v>
      </c>
    </row>
    <row r="422" spans="1:18" hidden="1" x14ac:dyDescent="0.3">
      <c r="A422" t="s">
        <v>4319</v>
      </c>
      <c r="B422" t="s">
        <v>4320</v>
      </c>
      <c r="C422" t="s">
        <v>47</v>
      </c>
      <c r="D422">
        <v>1</v>
      </c>
      <c r="E422">
        <v>0</v>
      </c>
      <c r="G422" s="1">
        <v>0</v>
      </c>
      <c r="H422">
        <v>0</v>
      </c>
      <c r="I422">
        <v>0.5</v>
      </c>
      <c r="J422">
        <v>1</v>
      </c>
      <c r="K422">
        <v>1</v>
      </c>
      <c r="L422">
        <f t="shared" si="24"/>
        <v>2</v>
      </c>
      <c r="M422">
        <v>0</v>
      </c>
      <c r="N422">
        <v>0</v>
      </c>
      <c r="O422">
        <v>2</v>
      </c>
      <c r="P422" s="1">
        <f t="shared" si="25"/>
        <v>0</v>
      </c>
      <c r="Q422">
        <f t="shared" si="26"/>
        <v>2</v>
      </c>
      <c r="R422" s="1">
        <f t="shared" si="27"/>
        <v>0</v>
      </c>
    </row>
    <row r="423" spans="1:18" hidden="1" x14ac:dyDescent="0.3">
      <c r="A423" t="s">
        <v>4321</v>
      </c>
      <c r="B423" t="s">
        <v>3808</v>
      </c>
      <c r="C423" t="s">
        <v>47</v>
      </c>
      <c r="D423">
        <v>1</v>
      </c>
      <c r="E423">
        <v>6</v>
      </c>
      <c r="F423" t="s">
        <v>4322</v>
      </c>
      <c r="G423" s="1">
        <v>1092.5</v>
      </c>
      <c r="H423">
        <v>6</v>
      </c>
      <c r="I423">
        <v>0.5</v>
      </c>
      <c r="J423">
        <v>6</v>
      </c>
      <c r="K423">
        <v>3</v>
      </c>
      <c r="L423">
        <f t="shared" si="24"/>
        <v>6</v>
      </c>
      <c r="M423">
        <v>0</v>
      </c>
      <c r="N423">
        <v>0</v>
      </c>
      <c r="O423">
        <v>15</v>
      </c>
      <c r="P423" s="1">
        <f t="shared" si="25"/>
        <v>0</v>
      </c>
      <c r="Q423">
        <f t="shared" si="26"/>
        <v>15</v>
      </c>
      <c r="R423" s="1">
        <f t="shared" si="27"/>
        <v>16387.5</v>
      </c>
    </row>
    <row r="424" spans="1:18" hidden="1" x14ac:dyDescent="0.3">
      <c r="A424" t="s">
        <v>4323</v>
      </c>
      <c r="B424" t="s">
        <v>4324</v>
      </c>
      <c r="C424" t="s">
        <v>47</v>
      </c>
      <c r="D424">
        <v>1</v>
      </c>
      <c r="E424">
        <v>2</v>
      </c>
      <c r="F424" t="s">
        <v>482</v>
      </c>
      <c r="G424" s="1">
        <v>1598</v>
      </c>
      <c r="H424">
        <v>2</v>
      </c>
      <c r="I424">
        <v>0.5</v>
      </c>
      <c r="J424">
        <v>2</v>
      </c>
      <c r="K424">
        <v>1</v>
      </c>
      <c r="L424">
        <f t="shared" si="24"/>
        <v>2</v>
      </c>
      <c r="M424">
        <v>0</v>
      </c>
      <c r="N424">
        <v>0</v>
      </c>
      <c r="O424">
        <v>5</v>
      </c>
      <c r="P424" s="1">
        <f t="shared" si="25"/>
        <v>0</v>
      </c>
      <c r="Q424">
        <f t="shared" si="26"/>
        <v>5</v>
      </c>
      <c r="R424" s="1">
        <f t="shared" si="27"/>
        <v>7990</v>
      </c>
    </row>
    <row r="425" spans="1:18" hidden="1" x14ac:dyDescent="0.3">
      <c r="A425" t="s">
        <v>4325</v>
      </c>
      <c r="B425" t="s">
        <v>4326</v>
      </c>
      <c r="C425" t="s">
        <v>47</v>
      </c>
      <c r="D425">
        <v>1</v>
      </c>
      <c r="E425">
        <v>0</v>
      </c>
      <c r="F425" t="s">
        <v>1073</v>
      </c>
      <c r="G425" s="1">
        <v>0</v>
      </c>
      <c r="H425">
        <v>0</v>
      </c>
      <c r="I425">
        <v>1.5</v>
      </c>
      <c r="J425">
        <v>1</v>
      </c>
      <c r="K425">
        <v>2</v>
      </c>
      <c r="L425">
        <f t="shared" si="24"/>
        <v>4</v>
      </c>
      <c r="M425">
        <v>0</v>
      </c>
      <c r="N425">
        <v>0</v>
      </c>
      <c r="O425">
        <v>4</v>
      </c>
      <c r="P425" s="1">
        <f t="shared" si="25"/>
        <v>0</v>
      </c>
      <c r="Q425">
        <f t="shared" si="26"/>
        <v>4</v>
      </c>
      <c r="R425" s="1">
        <f t="shared" si="27"/>
        <v>0</v>
      </c>
    </row>
    <row r="426" spans="1:18" hidden="1" x14ac:dyDescent="0.3">
      <c r="A426" t="s">
        <v>4327</v>
      </c>
      <c r="B426" t="s">
        <v>4328</v>
      </c>
      <c r="C426" t="s">
        <v>47</v>
      </c>
      <c r="D426">
        <v>1</v>
      </c>
      <c r="E426">
        <v>12</v>
      </c>
      <c r="F426" t="s">
        <v>4329</v>
      </c>
      <c r="G426" s="1">
        <v>50.22</v>
      </c>
      <c r="H426">
        <v>0</v>
      </c>
      <c r="I426">
        <v>0.5</v>
      </c>
      <c r="J426">
        <v>12</v>
      </c>
      <c r="K426">
        <v>6</v>
      </c>
      <c r="L426">
        <f t="shared" si="24"/>
        <v>12</v>
      </c>
      <c r="M426">
        <v>0</v>
      </c>
      <c r="N426">
        <v>0</v>
      </c>
      <c r="O426">
        <v>30</v>
      </c>
      <c r="P426" s="1">
        <f t="shared" si="25"/>
        <v>0</v>
      </c>
      <c r="Q426">
        <f t="shared" si="26"/>
        <v>30</v>
      </c>
      <c r="R426" s="1">
        <f t="shared" si="27"/>
        <v>1506.6</v>
      </c>
    </row>
    <row r="427" spans="1:18" hidden="1" x14ac:dyDescent="0.3">
      <c r="A427" t="s">
        <v>4330</v>
      </c>
      <c r="B427" t="s">
        <v>4331</v>
      </c>
      <c r="C427" t="s">
        <v>47</v>
      </c>
      <c r="D427">
        <v>1</v>
      </c>
      <c r="E427">
        <v>0</v>
      </c>
      <c r="G427" s="1">
        <v>0</v>
      </c>
      <c r="H427">
        <v>0</v>
      </c>
      <c r="I427">
        <v>0.5</v>
      </c>
      <c r="J427">
        <v>1</v>
      </c>
      <c r="K427">
        <v>1</v>
      </c>
      <c r="L427">
        <f t="shared" si="24"/>
        <v>2</v>
      </c>
      <c r="M427">
        <v>0</v>
      </c>
      <c r="N427">
        <v>0</v>
      </c>
      <c r="O427">
        <v>2</v>
      </c>
      <c r="P427" s="1">
        <f t="shared" si="25"/>
        <v>0</v>
      </c>
      <c r="Q427">
        <f t="shared" si="26"/>
        <v>2</v>
      </c>
      <c r="R427" s="1">
        <f t="shared" si="27"/>
        <v>0</v>
      </c>
    </row>
    <row r="428" spans="1:18" hidden="1" x14ac:dyDescent="0.3">
      <c r="A428" t="s">
        <v>4332</v>
      </c>
      <c r="B428" t="s">
        <v>4333</v>
      </c>
      <c r="C428" t="s">
        <v>47</v>
      </c>
      <c r="D428">
        <v>1</v>
      </c>
      <c r="E428">
        <v>2</v>
      </c>
      <c r="F428" t="s">
        <v>3541</v>
      </c>
      <c r="G428" s="1">
        <v>174.26</v>
      </c>
      <c r="H428">
        <v>0</v>
      </c>
      <c r="I428">
        <v>0.5</v>
      </c>
      <c r="J428">
        <v>2</v>
      </c>
      <c r="K428">
        <v>1</v>
      </c>
      <c r="L428">
        <f t="shared" si="24"/>
        <v>2</v>
      </c>
      <c r="M428">
        <v>0</v>
      </c>
      <c r="N428">
        <v>0</v>
      </c>
      <c r="O428">
        <v>5</v>
      </c>
      <c r="P428" s="1">
        <f t="shared" si="25"/>
        <v>0</v>
      </c>
      <c r="Q428">
        <f t="shared" si="26"/>
        <v>5</v>
      </c>
      <c r="R428" s="1">
        <f t="shared" si="27"/>
        <v>871.3</v>
      </c>
    </row>
    <row r="429" spans="1:18" hidden="1" x14ac:dyDescent="0.3">
      <c r="A429" t="s">
        <v>4334</v>
      </c>
      <c r="B429" t="s">
        <v>4335</v>
      </c>
      <c r="C429" t="s">
        <v>47</v>
      </c>
      <c r="D429">
        <v>1</v>
      </c>
      <c r="E429">
        <v>0</v>
      </c>
      <c r="G429" s="1">
        <v>0</v>
      </c>
      <c r="H429">
        <v>0</v>
      </c>
      <c r="I429">
        <v>0.5</v>
      </c>
      <c r="J429">
        <v>1</v>
      </c>
      <c r="K429">
        <v>1</v>
      </c>
      <c r="L429">
        <f t="shared" si="24"/>
        <v>2</v>
      </c>
      <c r="M429">
        <v>0</v>
      </c>
      <c r="N429">
        <v>0</v>
      </c>
      <c r="O429">
        <v>2</v>
      </c>
      <c r="P429" s="1">
        <f t="shared" si="25"/>
        <v>0</v>
      </c>
      <c r="Q429">
        <f t="shared" si="26"/>
        <v>2</v>
      </c>
      <c r="R429" s="1">
        <f t="shared" si="27"/>
        <v>0</v>
      </c>
    </row>
    <row r="430" spans="1:18" hidden="1" x14ac:dyDescent="0.3">
      <c r="A430" t="s">
        <v>4336</v>
      </c>
      <c r="B430" t="s">
        <v>4337</v>
      </c>
      <c r="C430" t="s">
        <v>47</v>
      </c>
      <c r="D430">
        <v>1</v>
      </c>
      <c r="E430">
        <v>1</v>
      </c>
      <c r="F430" t="s">
        <v>654</v>
      </c>
      <c r="G430" s="1">
        <v>7076</v>
      </c>
      <c r="H430">
        <v>0</v>
      </c>
      <c r="I430">
        <v>1.9</v>
      </c>
      <c r="J430">
        <v>1</v>
      </c>
      <c r="K430">
        <v>2</v>
      </c>
      <c r="L430">
        <f t="shared" si="24"/>
        <v>4</v>
      </c>
      <c r="M430">
        <v>0</v>
      </c>
      <c r="N430">
        <v>0</v>
      </c>
      <c r="O430">
        <v>4</v>
      </c>
      <c r="P430" s="1">
        <f t="shared" si="25"/>
        <v>0</v>
      </c>
      <c r="Q430">
        <f t="shared" si="26"/>
        <v>4</v>
      </c>
      <c r="R430" s="1">
        <f t="shared" si="27"/>
        <v>28304</v>
      </c>
    </row>
    <row r="431" spans="1:18" hidden="1" x14ac:dyDescent="0.3">
      <c r="A431" t="s">
        <v>4338</v>
      </c>
      <c r="B431" t="s">
        <v>4339</v>
      </c>
      <c r="C431" t="s">
        <v>47</v>
      </c>
      <c r="D431">
        <v>1</v>
      </c>
      <c r="E431">
        <v>25</v>
      </c>
      <c r="F431" t="s">
        <v>3497</v>
      </c>
      <c r="G431" s="1">
        <v>30</v>
      </c>
      <c r="H431">
        <v>0</v>
      </c>
      <c r="I431">
        <v>0.5</v>
      </c>
      <c r="J431">
        <v>25</v>
      </c>
      <c r="K431">
        <v>12</v>
      </c>
      <c r="L431">
        <f t="shared" si="24"/>
        <v>25</v>
      </c>
      <c r="M431">
        <v>0</v>
      </c>
      <c r="N431">
        <v>0</v>
      </c>
      <c r="O431">
        <v>62</v>
      </c>
      <c r="P431" s="1">
        <f t="shared" si="25"/>
        <v>0</v>
      </c>
      <c r="Q431">
        <f t="shared" si="26"/>
        <v>62</v>
      </c>
      <c r="R431" s="1">
        <f t="shared" si="27"/>
        <v>1860</v>
      </c>
    </row>
    <row r="432" spans="1:18" hidden="1" x14ac:dyDescent="0.3">
      <c r="A432" t="s">
        <v>4340</v>
      </c>
      <c r="B432" t="s">
        <v>4341</v>
      </c>
      <c r="C432" t="s">
        <v>47</v>
      </c>
      <c r="D432">
        <v>1</v>
      </c>
      <c r="E432">
        <v>0</v>
      </c>
      <c r="G432" s="1">
        <v>0</v>
      </c>
      <c r="H432">
        <v>0</v>
      </c>
      <c r="I432">
        <v>0.5</v>
      </c>
      <c r="J432">
        <v>1</v>
      </c>
      <c r="K432">
        <v>1</v>
      </c>
      <c r="L432">
        <f t="shared" si="24"/>
        <v>2</v>
      </c>
      <c r="M432">
        <v>0</v>
      </c>
      <c r="N432">
        <v>0</v>
      </c>
      <c r="O432">
        <v>2</v>
      </c>
      <c r="P432" s="1">
        <f t="shared" si="25"/>
        <v>0</v>
      </c>
      <c r="Q432">
        <f t="shared" si="26"/>
        <v>2</v>
      </c>
      <c r="R432" s="1">
        <f t="shared" si="27"/>
        <v>0</v>
      </c>
    </row>
    <row r="433" spans="1:18" hidden="1" x14ac:dyDescent="0.3">
      <c r="A433" t="s">
        <v>4342</v>
      </c>
      <c r="B433" t="s">
        <v>4343</v>
      </c>
      <c r="C433" t="s">
        <v>47</v>
      </c>
      <c r="D433">
        <v>1</v>
      </c>
      <c r="E433">
        <v>1</v>
      </c>
      <c r="F433" t="s">
        <v>2757</v>
      </c>
      <c r="G433" s="1">
        <v>1482.96</v>
      </c>
      <c r="H433">
        <v>0</v>
      </c>
      <c r="I433">
        <v>2.2000000000000002</v>
      </c>
      <c r="J433">
        <v>1</v>
      </c>
      <c r="K433">
        <v>2</v>
      </c>
      <c r="L433">
        <f t="shared" si="24"/>
        <v>5</v>
      </c>
      <c r="M433">
        <v>0</v>
      </c>
      <c r="N433">
        <v>0</v>
      </c>
      <c r="O433">
        <v>4</v>
      </c>
      <c r="P433" s="1">
        <f t="shared" si="25"/>
        <v>0</v>
      </c>
      <c r="Q433">
        <f t="shared" si="26"/>
        <v>4</v>
      </c>
      <c r="R433" s="1">
        <f t="shared" si="27"/>
        <v>5931.84</v>
      </c>
    </row>
    <row r="434" spans="1:18" hidden="1" x14ac:dyDescent="0.3">
      <c r="A434" t="s">
        <v>4344</v>
      </c>
      <c r="B434" t="s">
        <v>3581</v>
      </c>
      <c r="C434" t="s">
        <v>47</v>
      </c>
      <c r="D434">
        <v>1</v>
      </c>
      <c r="E434">
        <v>0</v>
      </c>
      <c r="G434" s="1">
        <v>0</v>
      </c>
      <c r="H434">
        <v>0</v>
      </c>
      <c r="I434">
        <v>0.5</v>
      </c>
      <c r="J434">
        <v>1</v>
      </c>
      <c r="K434">
        <v>1</v>
      </c>
      <c r="L434">
        <f t="shared" si="24"/>
        <v>2</v>
      </c>
      <c r="M434">
        <v>0</v>
      </c>
      <c r="N434">
        <v>0</v>
      </c>
      <c r="O434">
        <v>2</v>
      </c>
      <c r="P434" s="1">
        <f t="shared" si="25"/>
        <v>0</v>
      </c>
      <c r="Q434">
        <f t="shared" si="26"/>
        <v>2</v>
      </c>
      <c r="R434" s="1">
        <f t="shared" si="27"/>
        <v>0</v>
      </c>
    </row>
    <row r="435" spans="1:18" hidden="1" x14ac:dyDescent="0.3">
      <c r="A435" t="s">
        <v>4345</v>
      </c>
      <c r="B435" t="s">
        <v>4346</v>
      </c>
      <c r="C435" t="s">
        <v>47</v>
      </c>
      <c r="D435">
        <v>2</v>
      </c>
      <c r="E435">
        <v>2</v>
      </c>
      <c r="F435" t="s">
        <v>124</v>
      </c>
      <c r="G435" s="1">
        <v>2911.14</v>
      </c>
      <c r="H435">
        <v>1</v>
      </c>
      <c r="I435">
        <v>0.5</v>
      </c>
      <c r="J435">
        <v>1</v>
      </c>
      <c r="K435">
        <v>1</v>
      </c>
      <c r="L435">
        <f t="shared" si="24"/>
        <v>2</v>
      </c>
      <c r="M435">
        <v>0</v>
      </c>
      <c r="N435">
        <v>0</v>
      </c>
      <c r="O435">
        <v>2</v>
      </c>
      <c r="P435" s="1">
        <f t="shared" si="25"/>
        <v>0</v>
      </c>
      <c r="Q435">
        <f t="shared" si="26"/>
        <v>2</v>
      </c>
      <c r="R435" s="1">
        <f t="shared" si="27"/>
        <v>5822.28</v>
      </c>
    </row>
    <row r="436" spans="1:18" hidden="1" x14ac:dyDescent="0.3">
      <c r="A436" t="s">
        <v>4347</v>
      </c>
      <c r="B436" t="s">
        <v>4348</v>
      </c>
      <c r="C436" t="s">
        <v>47</v>
      </c>
      <c r="D436">
        <v>19</v>
      </c>
      <c r="E436">
        <v>36</v>
      </c>
      <c r="F436" t="s">
        <v>3488</v>
      </c>
      <c r="G436" s="1">
        <v>43.84</v>
      </c>
      <c r="H436">
        <v>0</v>
      </c>
      <c r="I436">
        <v>0.5</v>
      </c>
      <c r="J436">
        <v>2</v>
      </c>
      <c r="K436">
        <v>1</v>
      </c>
      <c r="L436">
        <f t="shared" si="24"/>
        <v>2</v>
      </c>
      <c r="M436">
        <v>0</v>
      </c>
      <c r="N436">
        <v>0</v>
      </c>
      <c r="O436">
        <v>5</v>
      </c>
      <c r="P436" s="1">
        <f t="shared" si="25"/>
        <v>0</v>
      </c>
      <c r="Q436">
        <f t="shared" si="26"/>
        <v>5</v>
      </c>
      <c r="R436" s="1">
        <f t="shared" si="27"/>
        <v>219.20000000000002</v>
      </c>
    </row>
    <row r="437" spans="1:18" hidden="1" x14ac:dyDescent="0.3">
      <c r="A437" t="s">
        <v>4349</v>
      </c>
      <c r="B437" t="s">
        <v>3808</v>
      </c>
      <c r="C437" t="s">
        <v>47</v>
      </c>
      <c r="D437">
        <v>1</v>
      </c>
      <c r="E437">
        <v>1</v>
      </c>
      <c r="F437" t="s">
        <v>1073</v>
      </c>
      <c r="G437" s="1">
        <v>1002.78</v>
      </c>
      <c r="H437">
        <v>0</v>
      </c>
      <c r="I437">
        <v>1.4</v>
      </c>
      <c r="J437">
        <v>1</v>
      </c>
      <c r="K437">
        <v>1</v>
      </c>
      <c r="L437">
        <f t="shared" si="24"/>
        <v>3</v>
      </c>
      <c r="M437">
        <v>0</v>
      </c>
      <c r="N437">
        <v>0</v>
      </c>
      <c r="O437">
        <v>3</v>
      </c>
      <c r="P437" s="1">
        <f t="shared" si="25"/>
        <v>0</v>
      </c>
      <c r="Q437">
        <f t="shared" si="26"/>
        <v>3</v>
      </c>
      <c r="R437" s="1">
        <f t="shared" si="27"/>
        <v>3008.34</v>
      </c>
    </row>
    <row r="438" spans="1:18" hidden="1" x14ac:dyDescent="0.3">
      <c r="A438" t="s">
        <v>4350</v>
      </c>
      <c r="B438" t="s">
        <v>4351</v>
      </c>
      <c r="C438" t="s">
        <v>47</v>
      </c>
      <c r="D438">
        <v>1</v>
      </c>
      <c r="E438">
        <v>4</v>
      </c>
      <c r="F438" t="s">
        <v>3541</v>
      </c>
      <c r="G438" s="1">
        <v>134.30000000000001</v>
      </c>
      <c r="H438">
        <v>0</v>
      </c>
      <c r="I438">
        <v>0.5</v>
      </c>
      <c r="J438">
        <v>4</v>
      </c>
      <c r="K438">
        <v>2</v>
      </c>
      <c r="L438">
        <f t="shared" si="24"/>
        <v>4</v>
      </c>
      <c r="M438">
        <v>0</v>
      </c>
      <c r="N438">
        <v>0</v>
      </c>
      <c r="O438">
        <v>10</v>
      </c>
      <c r="P438" s="1">
        <f t="shared" si="25"/>
        <v>0</v>
      </c>
      <c r="Q438">
        <f t="shared" si="26"/>
        <v>10</v>
      </c>
      <c r="R438" s="1">
        <f t="shared" si="27"/>
        <v>1343</v>
      </c>
    </row>
    <row r="439" spans="1:18" hidden="1" x14ac:dyDescent="0.3">
      <c r="A439" t="s">
        <v>4352</v>
      </c>
      <c r="B439" t="s">
        <v>4353</v>
      </c>
      <c r="C439" t="s">
        <v>47</v>
      </c>
      <c r="D439">
        <v>1</v>
      </c>
      <c r="E439">
        <v>2</v>
      </c>
      <c r="F439" t="s">
        <v>3541</v>
      </c>
      <c r="G439" s="1">
        <v>186.29</v>
      </c>
      <c r="H439">
        <v>0</v>
      </c>
      <c r="I439">
        <v>0.5</v>
      </c>
      <c r="J439">
        <v>2</v>
      </c>
      <c r="K439">
        <v>1</v>
      </c>
      <c r="L439">
        <f t="shared" si="24"/>
        <v>2</v>
      </c>
      <c r="M439">
        <v>0</v>
      </c>
      <c r="N439">
        <v>0</v>
      </c>
      <c r="O439">
        <v>5</v>
      </c>
      <c r="P439" s="1">
        <f t="shared" si="25"/>
        <v>0</v>
      </c>
      <c r="Q439">
        <f t="shared" si="26"/>
        <v>5</v>
      </c>
      <c r="R439" s="1">
        <f t="shared" si="27"/>
        <v>931.44999999999993</v>
      </c>
    </row>
    <row r="440" spans="1:18" hidden="1" x14ac:dyDescent="0.3">
      <c r="A440" t="s">
        <v>4354</v>
      </c>
      <c r="B440" t="s">
        <v>4355</v>
      </c>
      <c r="C440" t="s">
        <v>47</v>
      </c>
      <c r="D440">
        <v>1</v>
      </c>
      <c r="E440">
        <v>0</v>
      </c>
      <c r="G440" s="1">
        <v>0</v>
      </c>
      <c r="H440">
        <v>1</v>
      </c>
      <c r="I440">
        <v>0.5</v>
      </c>
      <c r="J440">
        <v>1</v>
      </c>
      <c r="K440">
        <v>1</v>
      </c>
      <c r="L440">
        <f t="shared" si="24"/>
        <v>2</v>
      </c>
      <c r="M440">
        <v>0</v>
      </c>
      <c r="N440">
        <v>0</v>
      </c>
      <c r="O440">
        <v>2</v>
      </c>
      <c r="P440" s="1">
        <f t="shared" si="25"/>
        <v>0</v>
      </c>
      <c r="Q440">
        <f t="shared" si="26"/>
        <v>2</v>
      </c>
      <c r="R440" s="1">
        <f t="shared" si="27"/>
        <v>0</v>
      </c>
    </row>
    <row r="441" spans="1:18" hidden="1" x14ac:dyDescent="0.3">
      <c r="A441" t="s">
        <v>4356</v>
      </c>
      <c r="B441" t="s">
        <v>4357</v>
      </c>
      <c r="C441" t="s">
        <v>47</v>
      </c>
      <c r="D441">
        <v>1</v>
      </c>
      <c r="E441">
        <v>1</v>
      </c>
      <c r="F441" t="s">
        <v>3541</v>
      </c>
      <c r="G441" s="1">
        <v>223.66</v>
      </c>
      <c r="H441">
        <v>0</v>
      </c>
      <c r="I441">
        <v>0.5</v>
      </c>
      <c r="J441">
        <v>1</v>
      </c>
      <c r="K441">
        <v>1</v>
      </c>
      <c r="L441">
        <f t="shared" si="24"/>
        <v>2</v>
      </c>
      <c r="M441">
        <v>0</v>
      </c>
      <c r="N441">
        <v>0</v>
      </c>
      <c r="O441">
        <v>2</v>
      </c>
      <c r="P441" s="1">
        <f t="shared" si="25"/>
        <v>0</v>
      </c>
      <c r="Q441">
        <f t="shared" si="26"/>
        <v>2</v>
      </c>
      <c r="R441" s="1">
        <f t="shared" si="27"/>
        <v>447.32</v>
      </c>
    </row>
    <row r="442" spans="1:18" hidden="1" x14ac:dyDescent="0.3">
      <c r="A442" t="s">
        <v>4358</v>
      </c>
      <c r="B442" t="s">
        <v>4359</v>
      </c>
      <c r="C442" t="s">
        <v>47</v>
      </c>
      <c r="D442">
        <v>4</v>
      </c>
      <c r="E442">
        <v>300</v>
      </c>
      <c r="F442" t="s">
        <v>3863</v>
      </c>
      <c r="G442" s="1">
        <v>5.42</v>
      </c>
      <c r="H442">
        <v>0</v>
      </c>
      <c r="I442">
        <v>0.5</v>
      </c>
      <c r="J442">
        <v>75</v>
      </c>
      <c r="K442">
        <v>38</v>
      </c>
      <c r="L442">
        <f t="shared" si="24"/>
        <v>76</v>
      </c>
      <c r="M442">
        <v>0</v>
      </c>
      <c r="N442">
        <v>0</v>
      </c>
      <c r="O442">
        <v>188</v>
      </c>
      <c r="P442" s="1">
        <f t="shared" si="25"/>
        <v>0</v>
      </c>
      <c r="Q442">
        <f t="shared" si="26"/>
        <v>188</v>
      </c>
      <c r="R442" s="1">
        <f t="shared" si="27"/>
        <v>1018.96</v>
      </c>
    </row>
    <row r="443" spans="1:18" hidden="1" x14ac:dyDescent="0.3">
      <c r="A443" t="s">
        <v>4360</v>
      </c>
      <c r="B443" t="s">
        <v>4361</v>
      </c>
      <c r="C443" t="s">
        <v>47</v>
      </c>
      <c r="D443">
        <v>1</v>
      </c>
      <c r="E443">
        <v>14</v>
      </c>
      <c r="F443" t="s">
        <v>3046</v>
      </c>
      <c r="G443" s="1">
        <v>34.78</v>
      </c>
      <c r="H443">
        <v>0</v>
      </c>
      <c r="I443">
        <v>0.5</v>
      </c>
      <c r="J443">
        <v>14</v>
      </c>
      <c r="K443">
        <v>7</v>
      </c>
      <c r="L443">
        <f t="shared" si="24"/>
        <v>14</v>
      </c>
      <c r="M443">
        <v>0</v>
      </c>
      <c r="N443">
        <v>0</v>
      </c>
      <c r="O443">
        <v>35</v>
      </c>
      <c r="P443" s="1">
        <f t="shared" si="25"/>
        <v>0</v>
      </c>
      <c r="Q443">
        <f t="shared" si="26"/>
        <v>35</v>
      </c>
      <c r="R443" s="1">
        <f t="shared" si="27"/>
        <v>1217.3</v>
      </c>
    </row>
    <row r="444" spans="1:18" hidden="1" x14ac:dyDescent="0.3">
      <c r="A444" t="s">
        <v>4362</v>
      </c>
      <c r="B444" t="s">
        <v>4363</v>
      </c>
      <c r="C444" t="s">
        <v>47</v>
      </c>
      <c r="D444">
        <v>1</v>
      </c>
      <c r="E444">
        <v>3</v>
      </c>
      <c r="F444" t="s">
        <v>181</v>
      </c>
      <c r="G444" s="1">
        <v>1308</v>
      </c>
      <c r="H444">
        <v>0</v>
      </c>
      <c r="I444">
        <v>0.8</v>
      </c>
      <c r="J444">
        <v>3</v>
      </c>
      <c r="K444">
        <v>2</v>
      </c>
      <c r="L444">
        <f t="shared" si="24"/>
        <v>5</v>
      </c>
      <c r="M444">
        <v>0</v>
      </c>
      <c r="N444">
        <v>0</v>
      </c>
      <c r="O444">
        <v>8</v>
      </c>
      <c r="P444" s="1">
        <f t="shared" si="25"/>
        <v>0</v>
      </c>
      <c r="Q444">
        <f t="shared" si="26"/>
        <v>8</v>
      </c>
      <c r="R444" s="1">
        <f t="shared" si="27"/>
        <v>10464</v>
      </c>
    </row>
    <row r="445" spans="1:18" hidden="1" x14ac:dyDescent="0.3">
      <c r="A445" t="s">
        <v>4364</v>
      </c>
      <c r="B445" t="s">
        <v>4365</v>
      </c>
      <c r="C445" t="s">
        <v>47</v>
      </c>
      <c r="D445">
        <v>1</v>
      </c>
      <c r="E445">
        <v>0</v>
      </c>
      <c r="G445" s="1">
        <v>0</v>
      </c>
      <c r="H445">
        <v>24</v>
      </c>
      <c r="I445">
        <v>0.5</v>
      </c>
      <c r="J445">
        <v>24</v>
      </c>
      <c r="K445">
        <v>12</v>
      </c>
      <c r="L445">
        <f t="shared" si="24"/>
        <v>24</v>
      </c>
      <c r="M445">
        <v>0</v>
      </c>
      <c r="N445">
        <v>0</v>
      </c>
      <c r="O445">
        <v>60</v>
      </c>
      <c r="P445" s="1">
        <f t="shared" si="25"/>
        <v>0</v>
      </c>
      <c r="Q445">
        <f t="shared" si="26"/>
        <v>60</v>
      </c>
      <c r="R445" s="1">
        <f t="shared" si="27"/>
        <v>0</v>
      </c>
    </row>
    <row r="446" spans="1:18" hidden="1" x14ac:dyDescent="0.3">
      <c r="A446" t="s">
        <v>4366</v>
      </c>
      <c r="B446" t="s">
        <v>4367</v>
      </c>
      <c r="C446" t="s">
        <v>47</v>
      </c>
      <c r="D446">
        <v>1</v>
      </c>
      <c r="E446">
        <v>0</v>
      </c>
      <c r="G446" s="1">
        <v>0</v>
      </c>
      <c r="H446">
        <v>23</v>
      </c>
      <c r="I446">
        <v>0.5</v>
      </c>
      <c r="J446">
        <v>23</v>
      </c>
      <c r="K446">
        <v>12</v>
      </c>
      <c r="L446">
        <f t="shared" si="24"/>
        <v>24</v>
      </c>
      <c r="M446">
        <v>0</v>
      </c>
      <c r="N446">
        <v>0</v>
      </c>
      <c r="O446">
        <v>58</v>
      </c>
      <c r="P446" s="1">
        <f t="shared" si="25"/>
        <v>0</v>
      </c>
      <c r="Q446">
        <f t="shared" si="26"/>
        <v>58</v>
      </c>
      <c r="R446" s="1">
        <f t="shared" si="27"/>
        <v>0</v>
      </c>
    </row>
    <row r="447" spans="1:18" hidden="1" x14ac:dyDescent="0.3">
      <c r="A447" t="s">
        <v>4368</v>
      </c>
      <c r="B447" t="s">
        <v>4365</v>
      </c>
      <c r="C447" t="s">
        <v>47</v>
      </c>
      <c r="D447">
        <v>1</v>
      </c>
      <c r="E447">
        <v>0</v>
      </c>
      <c r="G447" s="1">
        <v>0</v>
      </c>
      <c r="H447">
        <v>0</v>
      </c>
      <c r="I447">
        <v>0.5</v>
      </c>
      <c r="J447">
        <v>1</v>
      </c>
      <c r="K447">
        <v>1</v>
      </c>
      <c r="L447">
        <f t="shared" si="24"/>
        <v>2</v>
      </c>
      <c r="M447">
        <v>0</v>
      </c>
      <c r="N447">
        <v>0</v>
      </c>
      <c r="O447">
        <v>2</v>
      </c>
      <c r="P447" s="1">
        <f t="shared" si="25"/>
        <v>0</v>
      </c>
      <c r="Q447">
        <f t="shared" si="26"/>
        <v>2</v>
      </c>
      <c r="R447" s="1">
        <f t="shared" si="27"/>
        <v>0</v>
      </c>
    </row>
    <row r="448" spans="1:18" hidden="1" x14ac:dyDescent="0.3">
      <c r="A448" t="s">
        <v>4369</v>
      </c>
      <c r="B448" t="s">
        <v>4370</v>
      </c>
      <c r="C448" t="s">
        <v>47</v>
      </c>
      <c r="D448">
        <v>1</v>
      </c>
      <c r="E448">
        <v>0</v>
      </c>
      <c r="G448" s="1">
        <v>0</v>
      </c>
      <c r="H448">
        <v>0</v>
      </c>
      <c r="I448">
        <v>0.5</v>
      </c>
      <c r="J448">
        <v>1</v>
      </c>
      <c r="K448">
        <v>1</v>
      </c>
      <c r="L448">
        <f t="shared" si="24"/>
        <v>2</v>
      </c>
      <c r="M448">
        <v>0</v>
      </c>
      <c r="N448">
        <v>0</v>
      </c>
      <c r="O448">
        <v>2</v>
      </c>
      <c r="P448" s="1">
        <f t="shared" si="25"/>
        <v>0</v>
      </c>
      <c r="Q448">
        <f t="shared" si="26"/>
        <v>2</v>
      </c>
      <c r="R448" s="1">
        <f t="shared" si="27"/>
        <v>0</v>
      </c>
    </row>
    <row r="449" spans="1:18" hidden="1" x14ac:dyDescent="0.3">
      <c r="A449" t="s">
        <v>4371</v>
      </c>
      <c r="B449" t="s">
        <v>4372</v>
      </c>
      <c r="C449" t="s">
        <v>47</v>
      </c>
      <c r="D449">
        <v>1</v>
      </c>
      <c r="E449">
        <v>0</v>
      </c>
      <c r="G449" s="1">
        <v>0</v>
      </c>
      <c r="H449">
        <v>0</v>
      </c>
      <c r="I449">
        <v>0.5</v>
      </c>
      <c r="J449">
        <v>1</v>
      </c>
      <c r="K449">
        <v>1</v>
      </c>
      <c r="L449">
        <f t="shared" si="24"/>
        <v>2</v>
      </c>
      <c r="M449">
        <v>0</v>
      </c>
      <c r="N449">
        <v>0</v>
      </c>
      <c r="O449">
        <v>2</v>
      </c>
      <c r="P449" s="1">
        <f t="shared" si="25"/>
        <v>0</v>
      </c>
      <c r="Q449">
        <f t="shared" si="26"/>
        <v>2</v>
      </c>
      <c r="R449" s="1">
        <f t="shared" si="27"/>
        <v>0</v>
      </c>
    </row>
    <row r="450" spans="1:18" hidden="1" x14ac:dyDescent="0.3">
      <c r="A450" t="s">
        <v>4373</v>
      </c>
      <c r="B450" t="s">
        <v>4374</v>
      </c>
      <c r="C450" t="s">
        <v>47</v>
      </c>
      <c r="D450">
        <v>1</v>
      </c>
      <c r="E450">
        <v>0</v>
      </c>
      <c r="G450" s="1">
        <v>0</v>
      </c>
      <c r="H450">
        <v>0</v>
      </c>
      <c r="I450">
        <v>0.5</v>
      </c>
      <c r="J450">
        <v>1</v>
      </c>
      <c r="K450">
        <v>1</v>
      </c>
      <c r="L450">
        <f t="shared" ref="L450:L513" si="28">ROUNDUP((J450*I450)+K450,0)</f>
        <v>2</v>
      </c>
      <c r="M450">
        <v>0</v>
      </c>
      <c r="N450">
        <v>0</v>
      </c>
      <c r="O450">
        <v>2</v>
      </c>
      <c r="P450" s="1">
        <f t="shared" ref="P450:P513" si="29">IFERROR(M450*G450,0)</f>
        <v>0</v>
      </c>
      <c r="Q450">
        <f t="shared" ref="Q450:Q513" si="30">IF(O450-M450-N450&gt;0,O450-M450-N450,0)</f>
        <v>2</v>
      </c>
      <c r="R450" s="1">
        <f t="shared" ref="R450:R513" si="31">IFERROR(Q450*G450,0)</f>
        <v>0</v>
      </c>
    </row>
    <row r="451" spans="1:18" hidden="1" x14ac:dyDescent="0.3">
      <c r="A451" t="s">
        <v>4375</v>
      </c>
      <c r="B451" t="s">
        <v>4376</v>
      </c>
      <c r="C451" t="s">
        <v>47</v>
      </c>
      <c r="D451">
        <v>1</v>
      </c>
      <c r="E451">
        <v>1</v>
      </c>
      <c r="F451" t="s">
        <v>3500</v>
      </c>
      <c r="G451" s="1">
        <v>2560</v>
      </c>
      <c r="H451">
        <v>0</v>
      </c>
      <c r="I451">
        <v>0.5</v>
      </c>
      <c r="J451">
        <v>1</v>
      </c>
      <c r="K451">
        <v>1</v>
      </c>
      <c r="L451">
        <f t="shared" si="28"/>
        <v>2</v>
      </c>
      <c r="M451">
        <v>0</v>
      </c>
      <c r="N451">
        <v>0</v>
      </c>
      <c r="O451">
        <v>2</v>
      </c>
      <c r="P451" s="1">
        <f t="shared" si="29"/>
        <v>0</v>
      </c>
      <c r="Q451">
        <f t="shared" si="30"/>
        <v>2</v>
      </c>
      <c r="R451" s="1">
        <f t="shared" si="31"/>
        <v>5120</v>
      </c>
    </row>
    <row r="452" spans="1:18" hidden="1" x14ac:dyDescent="0.3">
      <c r="A452" t="s">
        <v>4377</v>
      </c>
      <c r="B452" t="s">
        <v>4378</v>
      </c>
      <c r="C452" t="s">
        <v>47</v>
      </c>
      <c r="D452">
        <v>1</v>
      </c>
      <c r="E452">
        <v>2</v>
      </c>
      <c r="F452" t="s">
        <v>3500</v>
      </c>
      <c r="G452" s="1">
        <v>960</v>
      </c>
      <c r="H452">
        <v>0</v>
      </c>
      <c r="I452">
        <v>0.5</v>
      </c>
      <c r="J452">
        <v>2</v>
      </c>
      <c r="K452">
        <v>1</v>
      </c>
      <c r="L452">
        <f t="shared" si="28"/>
        <v>2</v>
      </c>
      <c r="M452">
        <v>0</v>
      </c>
      <c r="N452">
        <v>0</v>
      </c>
      <c r="O452">
        <v>5</v>
      </c>
      <c r="P452" s="1">
        <f t="shared" si="29"/>
        <v>0</v>
      </c>
      <c r="Q452">
        <f t="shared" si="30"/>
        <v>5</v>
      </c>
      <c r="R452" s="1">
        <f t="shared" si="31"/>
        <v>4800</v>
      </c>
    </row>
    <row r="453" spans="1:18" hidden="1" x14ac:dyDescent="0.3">
      <c r="A453" t="s">
        <v>4379</v>
      </c>
      <c r="B453" t="s">
        <v>4380</v>
      </c>
      <c r="C453" t="s">
        <v>47</v>
      </c>
      <c r="D453">
        <v>1</v>
      </c>
      <c r="E453">
        <v>200</v>
      </c>
      <c r="F453" t="s">
        <v>3485</v>
      </c>
      <c r="G453" s="1">
        <v>183.23</v>
      </c>
      <c r="H453">
        <v>0</v>
      </c>
      <c r="I453">
        <v>0.5</v>
      </c>
      <c r="J453">
        <v>200</v>
      </c>
      <c r="K453">
        <v>100</v>
      </c>
      <c r="L453">
        <f t="shared" si="28"/>
        <v>200</v>
      </c>
      <c r="M453">
        <v>0</v>
      </c>
      <c r="N453">
        <v>0</v>
      </c>
      <c r="O453">
        <v>500</v>
      </c>
      <c r="P453" s="1">
        <f t="shared" si="29"/>
        <v>0</v>
      </c>
      <c r="Q453">
        <f t="shared" si="30"/>
        <v>500</v>
      </c>
      <c r="R453" s="1">
        <f t="shared" si="31"/>
        <v>91615</v>
      </c>
    </row>
    <row r="454" spans="1:18" hidden="1" x14ac:dyDescent="0.3">
      <c r="A454" t="s">
        <v>4381</v>
      </c>
      <c r="B454" t="s">
        <v>4382</v>
      </c>
      <c r="C454" t="s">
        <v>47</v>
      </c>
      <c r="D454">
        <v>1</v>
      </c>
      <c r="E454">
        <v>5</v>
      </c>
      <c r="F454" t="s">
        <v>3485</v>
      </c>
      <c r="G454" s="1">
        <v>776.58</v>
      </c>
      <c r="H454">
        <v>0</v>
      </c>
      <c r="I454">
        <v>0.5</v>
      </c>
      <c r="J454">
        <v>5</v>
      </c>
      <c r="K454">
        <v>2</v>
      </c>
      <c r="L454">
        <f t="shared" si="28"/>
        <v>5</v>
      </c>
      <c r="M454">
        <v>0</v>
      </c>
      <c r="N454">
        <v>0</v>
      </c>
      <c r="O454">
        <v>12</v>
      </c>
      <c r="P454" s="1">
        <f t="shared" si="29"/>
        <v>0</v>
      </c>
      <c r="Q454">
        <f t="shared" si="30"/>
        <v>12</v>
      </c>
      <c r="R454" s="1">
        <f t="shared" si="31"/>
        <v>9318.9600000000009</v>
      </c>
    </row>
    <row r="455" spans="1:18" hidden="1" x14ac:dyDescent="0.3">
      <c r="A455" t="s">
        <v>4383</v>
      </c>
      <c r="B455" t="s">
        <v>4384</v>
      </c>
      <c r="C455" t="s">
        <v>47</v>
      </c>
      <c r="D455">
        <v>1</v>
      </c>
      <c r="E455">
        <v>0</v>
      </c>
      <c r="G455" s="1">
        <v>0</v>
      </c>
      <c r="H455">
        <v>0</v>
      </c>
      <c r="I455">
        <v>0.5</v>
      </c>
      <c r="J455">
        <v>1</v>
      </c>
      <c r="K455">
        <v>1</v>
      </c>
      <c r="L455">
        <f t="shared" si="28"/>
        <v>2</v>
      </c>
      <c r="M455">
        <v>0</v>
      </c>
      <c r="N455">
        <v>0</v>
      </c>
      <c r="O455">
        <v>2</v>
      </c>
      <c r="P455" s="1">
        <f t="shared" si="29"/>
        <v>0</v>
      </c>
      <c r="Q455">
        <f t="shared" si="30"/>
        <v>2</v>
      </c>
      <c r="R455" s="1">
        <f t="shared" si="31"/>
        <v>0</v>
      </c>
    </row>
    <row r="456" spans="1:18" hidden="1" x14ac:dyDescent="0.3">
      <c r="A456" t="s">
        <v>4385</v>
      </c>
      <c r="B456" t="s">
        <v>4386</v>
      </c>
      <c r="C456" t="s">
        <v>47</v>
      </c>
      <c r="D456">
        <v>1</v>
      </c>
      <c r="E456">
        <v>7</v>
      </c>
      <c r="F456" t="s">
        <v>3485</v>
      </c>
      <c r="G456" s="1">
        <v>785.66</v>
      </c>
      <c r="H456">
        <v>0</v>
      </c>
      <c r="I456">
        <v>0.5</v>
      </c>
      <c r="J456">
        <v>7</v>
      </c>
      <c r="K456">
        <v>4</v>
      </c>
      <c r="L456">
        <f t="shared" si="28"/>
        <v>8</v>
      </c>
      <c r="M456">
        <v>0</v>
      </c>
      <c r="N456">
        <v>0</v>
      </c>
      <c r="O456">
        <v>18</v>
      </c>
      <c r="P456" s="1">
        <f t="shared" si="29"/>
        <v>0</v>
      </c>
      <c r="Q456">
        <f t="shared" si="30"/>
        <v>18</v>
      </c>
      <c r="R456" s="1">
        <f t="shared" si="31"/>
        <v>14141.88</v>
      </c>
    </row>
    <row r="457" spans="1:18" hidden="1" x14ac:dyDescent="0.3">
      <c r="A457" t="s">
        <v>4387</v>
      </c>
      <c r="B457" t="s">
        <v>4388</v>
      </c>
      <c r="C457" t="s">
        <v>47</v>
      </c>
      <c r="D457">
        <v>1</v>
      </c>
      <c r="E457">
        <v>0</v>
      </c>
      <c r="G457" s="1">
        <v>0</v>
      </c>
      <c r="H457">
        <v>0</v>
      </c>
      <c r="I457">
        <v>0.5</v>
      </c>
      <c r="J457">
        <v>1</v>
      </c>
      <c r="K457">
        <v>1</v>
      </c>
      <c r="L457">
        <f t="shared" si="28"/>
        <v>2</v>
      </c>
      <c r="M457">
        <v>0</v>
      </c>
      <c r="N457">
        <v>0</v>
      </c>
      <c r="O457">
        <v>2</v>
      </c>
      <c r="P457" s="1">
        <f t="shared" si="29"/>
        <v>0</v>
      </c>
      <c r="Q457">
        <f t="shared" si="30"/>
        <v>2</v>
      </c>
      <c r="R457" s="1">
        <f t="shared" si="31"/>
        <v>0</v>
      </c>
    </row>
    <row r="458" spans="1:18" hidden="1" x14ac:dyDescent="0.3">
      <c r="A458" t="s">
        <v>4389</v>
      </c>
      <c r="B458" t="s">
        <v>4390</v>
      </c>
      <c r="C458" t="s">
        <v>47</v>
      </c>
      <c r="D458">
        <v>1</v>
      </c>
      <c r="E458">
        <v>100</v>
      </c>
      <c r="F458" t="s">
        <v>4391</v>
      </c>
      <c r="G458" s="1">
        <v>47.06</v>
      </c>
      <c r="H458">
        <v>0</v>
      </c>
      <c r="I458">
        <v>0.5</v>
      </c>
      <c r="J458">
        <v>100</v>
      </c>
      <c r="K458">
        <v>50</v>
      </c>
      <c r="L458">
        <f t="shared" si="28"/>
        <v>100</v>
      </c>
      <c r="M458">
        <v>0</v>
      </c>
      <c r="N458">
        <v>0</v>
      </c>
      <c r="O458">
        <v>250</v>
      </c>
      <c r="P458" s="1">
        <f t="shared" si="29"/>
        <v>0</v>
      </c>
      <c r="Q458">
        <f t="shared" si="30"/>
        <v>250</v>
      </c>
      <c r="R458" s="1">
        <f t="shared" si="31"/>
        <v>11765</v>
      </c>
    </row>
    <row r="459" spans="1:18" hidden="1" x14ac:dyDescent="0.3">
      <c r="A459" t="s">
        <v>4392</v>
      </c>
      <c r="B459" t="s">
        <v>4393</v>
      </c>
      <c r="C459" t="s">
        <v>47</v>
      </c>
      <c r="D459">
        <v>1</v>
      </c>
      <c r="E459">
        <v>3</v>
      </c>
      <c r="F459" t="s">
        <v>3485</v>
      </c>
      <c r="G459" s="1">
        <v>80.5</v>
      </c>
      <c r="H459">
        <v>0</v>
      </c>
      <c r="I459">
        <v>0.5</v>
      </c>
      <c r="J459">
        <v>3</v>
      </c>
      <c r="K459">
        <v>2</v>
      </c>
      <c r="L459">
        <f t="shared" si="28"/>
        <v>4</v>
      </c>
      <c r="M459">
        <v>0</v>
      </c>
      <c r="N459">
        <v>0</v>
      </c>
      <c r="O459">
        <v>8</v>
      </c>
      <c r="P459" s="1">
        <f t="shared" si="29"/>
        <v>0</v>
      </c>
      <c r="Q459">
        <f t="shared" si="30"/>
        <v>8</v>
      </c>
      <c r="R459" s="1">
        <f t="shared" si="31"/>
        <v>644</v>
      </c>
    </row>
    <row r="460" spans="1:18" hidden="1" x14ac:dyDescent="0.3">
      <c r="A460" t="s">
        <v>4394</v>
      </c>
      <c r="B460" t="s">
        <v>4395</v>
      </c>
      <c r="C460" t="s">
        <v>47</v>
      </c>
      <c r="D460">
        <v>1</v>
      </c>
      <c r="E460">
        <v>0</v>
      </c>
      <c r="G460" s="1">
        <v>0</v>
      </c>
      <c r="H460">
        <v>0</v>
      </c>
      <c r="I460">
        <v>0.5</v>
      </c>
      <c r="J460">
        <v>1</v>
      </c>
      <c r="K460">
        <v>1</v>
      </c>
      <c r="L460">
        <f t="shared" si="28"/>
        <v>2</v>
      </c>
      <c r="M460">
        <v>0</v>
      </c>
      <c r="N460">
        <v>0</v>
      </c>
      <c r="O460">
        <v>2</v>
      </c>
      <c r="P460" s="1">
        <f t="shared" si="29"/>
        <v>0</v>
      </c>
      <c r="Q460">
        <f t="shared" si="30"/>
        <v>2</v>
      </c>
      <c r="R460" s="1">
        <f t="shared" si="31"/>
        <v>0</v>
      </c>
    </row>
    <row r="461" spans="1:18" hidden="1" x14ac:dyDescent="0.3">
      <c r="A461" t="s">
        <v>4396</v>
      </c>
      <c r="B461" t="s">
        <v>4397</v>
      </c>
      <c r="C461" t="s">
        <v>47</v>
      </c>
      <c r="D461">
        <v>13</v>
      </c>
      <c r="E461">
        <v>0</v>
      </c>
      <c r="G461" s="1">
        <v>813.27</v>
      </c>
      <c r="H461">
        <v>24</v>
      </c>
      <c r="I461">
        <v>0.5</v>
      </c>
      <c r="J461">
        <v>2</v>
      </c>
      <c r="K461">
        <v>1</v>
      </c>
      <c r="L461">
        <f t="shared" si="28"/>
        <v>2</v>
      </c>
      <c r="M461">
        <v>0</v>
      </c>
      <c r="N461">
        <v>0</v>
      </c>
      <c r="O461">
        <v>5</v>
      </c>
      <c r="P461" s="1">
        <f t="shared" si="29"/>
        <v>0</v>
      </c>
      <c r="Q461">
        <f t="shared" si="30"/>
        <v>5</v>
      </c>
      <c r="R461" s="1">
        <f t="shared" si="31"/>
        <v>4066.35</v>
      </c>
    </row>
    <row r="462" spans="1:18" hidden="1" x14ac:dyDescent="0.3">
      <c r="A462" t="s">
        <v>4398</v>
      </c>
      <c r="B462" t="s">
        <v>4399</v>
      </c>
      <c r="C462" t="s">
        <v>47</v>
      </c>
      <c r="D462">
        <v>29</v>
      </c>
      <c r="E462">
        <v>16</v>
      </c>
      <c r="F462" t="s">
        <v>661</v>
      </c>
      <c r="G462" s="1">
        <v>53.46</v>
      </c>
      <c r="H462">
        <v>839</v>
      </c>
      <c r="I462">
        <v>0.5</v>
      </c>
      <c r="J462">
        <v>29</v>
      </c>
      <c r="K462">
        <v>14</v>
      </c>
      <c r="L462">
        <f t="shared" si="28"/>
        <v>29</v>
      </c>
      <c r="M462">
        <v>0</v>
      </c>
      <c r="N462">
        <v>0</v>
      </c>
      <c r="O462">
        <v>72</v>
      </c>
      <c r="P462" s="1">
        <f t="shared" si="29"/>
        <v>0</v>
      </c>
      <c r="Q462">
        <f t="shared" si="30"/>
        <v>72</v>
      </c>
      <c r="R462" s="1">
        <f t="shared" si="31"/>
        <v>3849.12</v>
      </c>
    </row>
    <row r="463" spans="1:18" hidden="1" x14ac:dyDescent="0.3">
      <c r="A463" t="s">
        <v>4400</v>
      </c>
      <c r="B463" t="s">
        <v>4206</v>
      </c>
      <c r="C463" t="s">
        <v>47</v>
      </c>
      <c r="D463">
        <v>1</v>
      </c>
      <c r="E463">
        <v>1</v>
      </c>
      <c r="F463" t="s">
        <v>72</v>
      </c>
      <c r="G463" s="1">
        <v>2479</v>
      </c>
      <c r="H463">
        <v>0</v>
      </c>
      <c r="I463">
        <v>0.8</v>
      </c>
      <c r="J463">
        <v>1</v>
      </c>
      <c r="K463">
        <v>1</v>
      </c>
      <c r="L463">
        <f t="shared" si="28"/>
        <v>2</v>
      </c>
      <c r="M463">
        <v>0</v>
      </c>
      <c r="N463">
        <v>0</v>
      </c>
      <c r="O463">
        <v>3</v>
      </c>
      <c r="P463" s="1">
        <f t="shared" si="29"/>
        <v>0</v>
      </c>
      <c r="Q463">
        <f t="shared" si="30"/>
        <v>3</v>
      </c>
      <c r="R463" s="1">
        <f t="shared" si="31"/>
        <v>7437</v>
      </c>
    </row>
    <row r="464" spans="1:18" hidden="1" x14ac:dyDescent="0.3">
      <c r="A464" t="s">
        <v>4401</v>
      </c>
      <c r="B464" t="s">
        <v>4402</v>
      </c>
      <c r="C464" t="s">
        <v>47</v>
      </c>
      <c r="D464">
        <v>1</v>
      </c>
      <c r="E464">
        <v>1</v>
      </c>
      <c r="F464" t="s">
        <v>4403</v>
      </c>
      <c r="G464" s="1">
        <v>7252.17</v>
      </c>
      <c r="H464">
        <v>0</v>
      </c>
      <c r="I464">
        <v>0.5</v>
      </c>
      <c r="J464">
        <v>1</v>
      </c>
      <c r="K464">
        <v>1</v>
      </c>
      <c r="L464">
        <f t="shared" si="28"/>
        <v>2</v>
      </c>
      <c r="M464">
        <v>0</v>
      </c>
      <c r="N464">
        <v>0</v>
      </c>
      <c r="O464">
        <v>2</v>
      </c>
      <c r="P464" s="1">
        <f t="shared" si="29"/>
        <v>0</v>
      </c>
      <c r="Q464">
        <f t="shared" si="30"/>
        <v>2</v>
      </c>
      <c r="R464" s="1">
        <f t="shared" si="31"/>
        <v>14504.34</v>
      </c>
    </row>
    <row r="465" spans="1:18" hidden="1" x14ac:dyDescent="0.3">
      <c r="A465" t="s">
        <v>4404</v>
      </c>
      <c r="B465" t="s">
        <v>4405</v>
      </c>
      <c r="C465" t="s">
        <v>47</v>
      </c>
      <c r="D465">
        <v>18</v>
      </c>
      <c r="E465">
        <v>3</v>
      </c>
      <c r="F465" t="s">
        <v>2301</v>
      </c>
      <c r="G465" s="1">
        <v>0</v>
      </c>
      <c r="H465">
        <v>4</v>
      </c>
      <c r="I465">
        <v>0.6</v>
      </c>
      <c r="J465">
        <v>1</v>
      </c>
      <c r="K465">
        <v>1</v>
      </c>
      <c r="L465">
        <f t="shared" si="28"/>
        <v>2</v>
      </c>
      <c r="M465">
        <v>0</v>
      </c>
      <c r="N465">
        <v>0</v>
      </c>
      <c r="O465">
        <v>3</v>
      </c>
      <c r="P465" s="1">
        <f t="shared" si="29"/>
        <v>0</v>
      </c>
      <c r="Q465">
        <f t="shared" si="30"/>
        <v>3</v>
      </c>
      <c r="R465" s="1">
        <f t="shared" si="31"/>
        <v>0</v>
      </c>
    </row>
    <row r="466" spans="1:18" hidden="1" x14ac:dyDescent="0.3">
      <c r="A466" t="s">
        <v>4406</v>
      </c>
      <c r="B466" t="s">
        <v>4407</v>
      </c>
      <c r="C466" t="s">
        <v>47</v>
      </c>
      <c r="D466">
        <v>1</v>
      </c>
      <c r="E466">
        <v>0</v>
      </c>
      <c r="G466" s="1">
        <v>1200.58</v>
      </c>
      <c r="H466">
        <v>0</v>
      </c>
      <c r="I466">
        <v>0.5</v>
      </c>
      <c r="J466">
        <v>1</v>
      </c>
      <c r="K466">
        <v>1</v>
      </c>
      <c r="L466">
        <f t="shared" si="28"/>
        <v>2</v>
      </c>
      <c r="M466">
        <v>0</v>
      </c>
      <c r="N466">
        <v>0</v>
      </c>
      <c r="O466">
        <v>2</v>
      </c>
      <c r="P466" s="1">
        <f t="shared" si="29"/>
        <v>0</v>
      </c>
      <c r="Q466">
        <f t="shared" si="30"/>
        <v>2</v>
      </c>
      <c r="R466" s="1">
        <f t="shared" si="31"/>
        <v>2401.16</v>
      </c>
    </row>
    <row r="467" spans="1:18" hidden="1" x14ac:dyDescent="0.3">
      <c r="A467" t="s">
        <v>4408</v>
      </c>
      <c r="B467" t="s">
        <v>4409</v>
      </c>
      <c r="C467" t="s">
        <v>47</v>
      </c>
      <c r="D467">
        <v>1</v>
      </c>
      <c r="E467">
        <v>100</v>
      </c>
      <c r="F467" t="s">
        <v>4090</v>
      </c>
      <c r="G467" s="1">
        <v>112</v>
      </c>
      <c r="H467">
        <v>0</v>
      </c>
      <c r="I467">
        <v>0.6</v>
      </c>
      <c r="J467">
        <v>100</v>
      </c>
      <c r="K467">
        <v>60</v>
      </c>
      <c r="L467">
        <f t="shared" si="28"/>
        <v>120</v>
      </c>
      <c r="M467">
        <v>0</v>
      </c>
      <c r="N467">
        <v>0</v>
      </c>
      <c r="O467">
        <v>260</v>
      </c>
      <c r="P467" s="1">
        <f t="shared" si="29"/>
        <v>0</v>
      </c>
      <c r="Q467">
        <f t="shared" si="30"/>
        <v>260</v>
      </c>
      <c r="R467" s="1">
        <f t="shared" si="31"/>
        <v>29120</v>
      </c>
    </row>
    <row r="468" spans="1:18" hidden="1" x14ac:dyDescent="0.3">
      <c r="A468" t="s">
        <v>4410</v>
      </c>
      <c r="B468" t="s">
        <v>4411</v>
      </c>
      <c r="C468" t="s">
        <v>47</v>
      </c>
      <c r="D468">
        <v>9</v>
      </c>
      <c r="E468">
        <v>0</v>
      </c>
      <c r="G468" s="1">
        <v>0</v>
      </c>
      <c r="H468">
        <v>11</v>
      </c>
      <c r="I468">
        <v>0.5</v>
      </c>
      <c r="J468">
        <v>1.5</v>
      </c>
      <c r="K468">
        <v>1</v>
      </c>
      <c r="L468">
        <f t="shared" si="28"/>
        <v>2</v>
      </c>
      <c r="M468">
        <v>0</v>
      </c>
      <c r="N468">
        <v>0</v>
      </c>
      <c r="O468">
        <v>4</v>
      </c>
      <c r="P468" s="1">
        <f t="shared" si="29"/>
        <v>0</v>
      </c>
      <c r="Q468">
        <f t="shared" si="30"/>
        <v>4</v>
      </c>
      <c r="R468" s="1">
        <f t="shared" si="31"/>
        <v>0</v>
      </c>
    </row>
    <row r="469" spans="1:18" hidden="1" x14ac:dyDescent="0.3">
      <c r="A469" t="s">
        <v>4412</v>
      </c>
      <c r="B469" t="s">
        <v>4413</v>
      </c>
      <c r="C469" t="s">
        <v>47</v>
      </c>
      <c r="D469">
        <v>4</v>
      </c>
      <c r="E469">
        <v>0</v>
      </c>
      <c r="G469" s="1">
        <v>0</v>
      </c>
      <c r="H469">
        <v>2</v>
      </c>
      <c r="I469">
        <v>0.5</v>
      </c>
      <c r="J469">
        <v>1</v>
      </c>
      <c r="K469">
        <v>1</v>
      </c>
      <c r="L469">
        <f t="shared" si="28"/>
        <v>2</v>
      </c>
      <c r="M469">
        <v>0</v>
      </c>
      <c r="N469">
        <v>0</v>
      </c>
      <c r="O469">
        <v>2</v>
      </c>
      <c r="P469" s="1">
        <f t="shared" si="29"/>
        <v>0</v>
      </c>
      <c r="Q469">
        <f t="shared" si="30"/>
        <v>2</v>
      </c>
      <c r="R469" s="1">
        <f t="shared" si="31"/>
        <v>0</v>
      </c>
    </row>
    <row r="470" spans="1:18" hidden="1" x14ac:dyDescent="0.3">
      <c r="A470" t="s">
        <v>4414</v>
      </c>
      <c r="B470" t="s">
        <v>4415</v>
      </c>
      <c r="C470" t="s">
        <v>47</v>
      </c>
      <c r="D470">
        <v>12</v>
      </c>
      <c r="E470">
        <v>129</v>
      </c>
      <c r="F470" t="s">
        <v>181</v>
      </c>
      <c r="G470" s="1">
        <v>29.97</v>
      </c>
      <c r="H470">
        <v>0</v>
      </c>
      <c r="I470">
        <v>0.6</v>
      </c>
      <c r="J470">
        <v>11</v>
      </c>
      <c r="K470">
        <v>7</v>
      </c>
      <c r="L470">
        <f t="shared" si="28"/>
        <v>14</v>
      </c>
      <c r="M470">
        <v>0</v>
      </c>
      <c r="N470">
        <v>0</v>
      </c>
      <c r="O470">
        <v>29</v>
      </c>
      <c r="P470" s="1">
        <f t="shared" si="29"/>
        <v>0</v>
      </c>
      <c r="Q470">
        <f t="shared" si="30"/>
        <v>29</v>
      </c>
      <c r="R470" s="1">
        <f t="shared" si="31"/>
        <v>869.13</v>
      </c>
    </row>
    <row r="471" spans="1:18" hidden="1" x14ac:dyDescent="0.3">
      <c r="A471" t="s">
        <v>4416</v>
      </c>
      <c r="B471" t="s">
        <v>4417</v>
      </c>
      <c r="C471" t="s">
        <v>47</v>
      </c>
      <c r="D471">
        <v>1</v>
      </c>
      <c r="E471">
        <v>0</v>
      </c>
      <c r="G471" s="1">
        <v>0</v>
      </c>
      <c r="H471">
        <v>4</v>
      </c>
      <c r="I471">
        <v>0.5</v>
      </c>
      <c r="J471">
        <v>4</v>
      </c>
      <c r="K471">
        <v>2</v>
      </c>
      <c r="L471">
        <f t="shared" si="28"/>
        <v>4</v>
      </c>
      <c r="M471">
        <v>0</v>
      </c>
      <c r="N471">
        <v>0</v>
      </c>
      <c r="O471">
        <v>10</v>
      </c>
      <c r="P471" s="1">
        <f t="shared" si="29"/>
        <v>0</v>
      </c>
      <c r="Q471">
        <f t="shared" si="30"/>
        <v>10</v>
      </c>
      <c r="R471" s="1">
        <f t="shared" si="31"/>
        <v>0</v>
      </c>
    </row>
    <row r="472" spans="1:18" hidden="1" x14ac:dyDescent="0.3">
      <c r="A472" t="s">
        <v>4418</v>
      </c>
      <c r="B472" t="s">
        <v>4419</v>
      </c>
      <c r="C472" t="s">
        <v>47</v>
      </c>
      <c r="D472">
        <v>1</v>
      </c>
      <c r="E472">
        <v>0</v>
      </c>
      <c r="G472" s="1">
        <v>0</v>
      </c>
      <c r="H472">
        <v>4</v>
      </c>
      <c r="I472">
        <v>0.5</v>
      </c>
      <c r="J472">
        <v>4</v>
      </c>
      <c r="K472">
        <v>2</v>
      </c>
      <c r="L472">
        <f t="shared" si="28"/>
        <v>4</v>
      </c>
      <c r="M472">
        <v>0</v>
      </c>
      <c r="N472">
        <v>0</v>
      </c>
      <c r="O472">
        <v>10</v>
      </c>
      <c r="P472" s="1">
        <f t="shared" si="29"/>
        <v>0</v>
      </c>
      <c r="Q472">
        <f t="shared" si="30"/>
        <v>10</v>
      </c>
      <c r="R472" s="1">
        <f t="shared" si="31"/>
        <v>0</v>
      </c>
    </row>
    <row r="473" spans="1:18" hidden="1" x14ac:dyDescent="0.3">
      <c r="A473" t="s">
        <v>4420</v>
      </c>
      <c r="B473" t="s">
        <v>4421</v>
      </c>
      <c r="C473" t="s">
        <v>47</v>
      </c>
      <c r="D473">
        <v>1</v>
      </c>
      <c r="E473">
        <v>0</v>
      </c>
      <c r="G473" s="1">
        <v>0</v>
      </c>
      <c r="H473">
        <v>1</v>
      </c>
      <c r="I473">
        <v>0.5</v>
      </c>
      <c r="J473">
        <v>1</v>
      </c>
      <c r="K473">
        <v>1</v>
      </c>
      <c r="L473">
        <f t="shared" si="28"/>
        <v>2</v>
      </c>
      <c r="M473">
        <v>0</v>
      </c>
      <c r="N473">
        <v>0</v>
      </c>
      <c r="O473">
        <v>2</v>
      </c>
      <c r="P473" s="1">
        <f t="shared" si="29"/>
        <v>0</v>
      </c>
      <c r="Q473">
        <f t="shared" si="30"/>
        <v>2</v>
      </c>
      <c r="R473" s="1">
        <f t="shared" si="31"/>
        <v>0</v>
      </c>
    </row>
    <row r="474" spans="1:18" hidden="1" x14ac:dyDescent="0.3">
      <c r="A474" t="s">
        <v>4422</v>
      </c>
      <c r="B474" t="s">
        <v>4423</v>
      </c>
      <c r="C474" t="s">
        <v>47</v>
      </c>
      <c r="D474">
        <v>1</v>
      </c>
      <c r="E474">
        <v>0</v>
      </c>
      <c r="G474" s="1">
        <v>0</v>
      </c>
      <c r="H474">
        <v>2</v>
      </c>
      <c r="I474">
        <v>0.5</v>
      </c>
      <c r="J474">
        <v>2</v>
      </c>
      <c r="K474">
        <v>1</v>
      </c>
      <c r="L474">
        <f t="shared" si="28"/>
        <v>2</v>
      </c>
      <c r="M474">
        <v>0</v>
      </c>
      <c r="N474">
        <v>0</v>
      </c>
      <c r="O474">
        <v>5</v>
      </c>
      <c r="P474" s="1">
        <f t="shared" si="29"/>
        <v>0</v>
      </c>
      <c r="Q474">
        <f t="shared" si="30"/>
        <v>5</v>
      </c>
      <c r="R474" s="1">
        <f t="shared" si="31"/>
        <v>0</v>
      </c>
    </row>
    <row r="475" spans="1:18" hidden="1" x14ac:dyDescent="0.3">
      <c r="A475" t="s">
        <v>4424</v>
      </c>
      <c r="B475" t="s">
        <v>4425</v>
      </c>
      <c r="C475" t="s">
        <v>47</v>
      </c>
      <c r="D475">
        <v>1</v>
      </c>
      <c r="E475">
        <v>0</v>
      </c>
      <c r="G475" s="1">
        <v>0</v>
      </c>
      <c r="H475">
        <v>1</v>
      </c>
      <c r="I475">
        <v>0.5</v>
      </c>
      <c r="J475">
        <v>1</v>
      </c>
      <c r="K475">
        <v>1</v>
      </c>
      <c r="L475">
        <f t="shared" si="28"/>
        <v>2</v>
      </c>
      <c r="M475">
        <v>0</v>
      </c>
      <c r="N475">
        <v>0</v>
      </c>
      <c r="O475">
        <v>2</v>
      </c>
      <c r="P475" s="1">
        <f t="shared" si="29"/>
        <v>0</v>
      </c>
      <c r="Q475">
        <f t="shared" si="30"/>
        <v>2</v>
      </c>
      <c r="R475" s="1">
        <f t="shared" si="31"/>
        <v>0</v>
      </c>
    </row>
    <row r="476" spans="1:18" hidden="1" x14ac:dyDescent="0.3">
      <c r="A476" t="s">
        <v>4426</v>
      </c>
      <c r="B476" t="s">
        <v>4421</v>
      </c>
      <c r="C476" t="s">
        <v>47</v>
      </c>
      <c r="D476">
        <v>1</v>
      </c>
      <c r="E476">
        <v>0</v>
      </c>
      <c r="G476" s="1">
        <v>0</v>
      </c>
      <c r="H476">
        <v>2</v>
      </c>
      <c r="I476">
        <v>0.5</v>
      </c>
      <c r="J476">
        <v>2</v>
      </c>
      <c r="K476">
        <v>1</v>
      </c>
      <c r="L476">
        <f t="shared" si="28"/>
        <v>2</v>
      </c>
      <c r="M476">
        <v>0</v>
      </c>
      <c r="N476">
        <v>0</v>
      </c>
      <c r="O476">
        <v>5</v>
      </c>
      <c r="P476" s="1">
        <f t="shared" si="29"/>
        <v>0</v>
      </c>
      <c r="Q476">
        <f t="shared" si="30"/>
        <v>5</v>
      </c>
      <c r="R476" s="1">
        <f t="shared" si="31"/>
        <v>0</v>
      </c>
    </row>
    <row r="477" spans="1:18" hidden="1" x14ac:dyDescent="0.3">
      <c r="A477" t="s">
        <v>4427</v>
      </c>
      <c r="B477" t="s">
        <v>4428</v>
      </c>
      <c r="C477" t="s">
        <v>47</v>
      </c>
      <c r="D477">
        <v>1</v>
      </c>
      <c r="E477">
        <v>0</v>
      </c>
      <c r="G477" s="1">
        <v>0</v>
      </c>
      <c r="H477">
        <v>1</v>
      </c>
      <c r="I477">
        <v>0.5</v>
      </c>
      <c r="J477">
        <v>1</v>
      </c>
      <c r="K477">
        <v>1</v>
      </c>
      <c r="L477">
        <f t="shared" si="28"/>
        <v>2</v>
      </c>
      <c r="M477">
        <v>0</v>
      </c>
      <c r="N477">
        <v>0</v>
      </c>
      <c r="O477">
        <v>2</v>
      </c>
      <c r="P477" s="1">
        <f t="shared" si="29"/>
        <v>0</v>
      </c>
      <c r="Q477">
        <f t="shared" si="30"/>
        <v>2</v>
      </c>
      <c r="R477" s="1">
        <f t="shared" si="31"/>
        <v>0</v>
      </c>
    </row>
    <row r="478" spans="1:18" hidden="1" x14ac:dyDescent="0.3">
      <c r="A478" t="s">
        <v>4429</v>
      </c>
      <c r="B478" t="s">
        <v>4430</v>
      </c>
      <c r="C478" t="s">
        <v>47</v>
      </c>
      <c r="D478">
        <v>1</v>
      </c>
      <c r="E478">
        <v>0</v>
      </c>
      <c r="G478" s="1">
        <v>0</v>
      </c>
      <c r="H478">
        <v>1</v>
      </c>
      <c r="I478">
        <v>0.5</v>
      </c>
      <c r="J478">
        <v>1</v>
      </c>
      <c r="K478">
        <v>1</v>
      </c>
      <c r="L478">
        <f t="shared" si="28"/>
        <v>2</v>
      </c>
      <c r="M478">
        <v>0</v>
      </c>
      <c r="N478">
        <v>0</v>
      </c>
      <c r="O478">
        <v>2</v>
      </c>
      <c r="P478" s="1">
        <f t="shared" si="29"/>
        <v>0</v>
      </c>
      <c r="Q478">
        <f t="shared" si="30"/>
        <v>2</v>
      </c>
      <c r="R478" s="1">
        <f t="shared" si="31"/>
        <v>0</v>
      </c>
    </row>
    <row r="479" spans="1:18" hidden="1" x14ac:dyDescent="0.3">
      <c r="A479" t="s">
        <v>4431</v>
      </c>
      <c r="B479" t="s">
        <v>4432</v>
      </c>
      <c r="C479" t="s">
        <v>47</v>
      </c>
      <c r="D479">
        <v>1</v>
      </c>
      <c r="E479">
        <v>0</v>
      </c>
      <c r="G479" s="1">
        <v>0</v>
      </c>
      <c r="H479">
        <v>1</v>
      </c>
      <c r="I479">
        <v>0.5</v>
      </c>
      <c r="J479">
        <v>1</v>
      </c>
      <c r="K479">
        <v>1</v>
      </c>
      <c r="L479">
        <f t="shared" si="28"/>
        <v>2</v>
      </c>
      <c r="M479">
        <v>0</v>
      </c>
      <c r="N479">
        <v>0</v>
      </c>
      <c r="O479">
        <v>2</v>
      </c>
      <c r="P479" s="1">
        <f t="shared" si="29"/>
        <v>0</v>
      </c>
      <c r="Q479">
        <f t="shared" si="30"/>
        <v>2</v>
      </c>
      <c r="R479" s="1">
        <f t="shared" si="31"/>
        <v>0</v>
      </c>
    </row>
    <row r="480" spans="1:18" hidden="1" x14ac:dyDescent="0.3">
      <c r="A480" t="s">
        <v>4433</v>
      </c>
      <c r="B480" t="s">
        <v>4434</v>
      </c>
      <c r="C480" t="s">
        <v>47</v>
      </c>
      <c r="D480">
        <v>1</v>
      </c>
      <c r="E480">
        <v>0</v>
      </c>
      <c r="G480" s="1">
        <v>0</v>
      </c>
      <c r="H480">
        <v>1</v>
      </c>
      <c r="I480">
        <v>0.5</v>
      </c>
      <c r="J480">
        <v>1</v>
      </c>
      <c r="K480">
        <v>1</v>
      </c>
      <c r="L480">
        <f t="shared" si="28"/>
        <v>2</v>
      </c>
      <c r="M480">
        <v>0</v>
      </c>
      <c r="N480">
        <v>0</v>
      </c>
      <c r="O480">
        <v>2</v>
      </c>
      <c r="P480" s="1">
        <f t="shared" si="29"/>
        <v>0</v>
      </c>
      <c r="Q480">
        <f t="shared" si="30"/>
        <v>2</v>
      </c>
      <c r="R480" s="1">
        <f t="shared" si="31"/>
        <v>0</v>
      </c>
    </row>
    <row r="481" spans="1:18" hidden="1" x14ac:dyDescent="0.3">
      <c r="A481" t="s">
        <v>4435</v>
      </c>
      <c r="B481" t="s">
        <v>4436</v>
      </c>
      <c r="C481" t="s">
        <v>47</v>
      </c>
      <c r="D481">
        <v>1</v>
      </c>
      <c r="E481">
        <v>0</v>
      </c>
      <c r="G481" s="1">
        <v>0</v>
      </c>
      <c r="H481">
        <v>2</v>
      </c>
      <c r="I481">
        <v>0.5</v>
      </c>
      <c r="J481">
        <v>2</v>
      </c>
      <c r="K481">
        <v>1</v>
      </c>
      <c r="L481">
        <f t="shared" si="28"/>
        <v>2</v>
      </c>
      <c r="M481">
        <v>0</v>
      </c>
      <c r="N481">
        <v>0</v>
      </c>
      <c r="O481">
        <v>5</v>
      </c>
      <c r="P481" s="1">
        <f t="shared" si="29"/>
        <v>0</v>
      </c>
      <c r="Q481">
        <f t="shared" si="30"/>
        <v>5</v>
      </c>
      <c r="R481" s="1">
        <f t="shared" si="31"/>
        <v>0</v>
      </c>
    </row>
    <row r="482" spans="1:18" hidden="1" x14ac:dyDescent="0.3">
      <c r="A482" t="s">
        <v>4437</v>
      </c>
      <c r="B482" t="s">
        <v>4438</v>
      </c>
      <c r="C482" t="s">
        <v>47</v>
      </c>
      <c r="D482">
        <v>1</v>
      </c>
      <c r="E482">
        <v>0</v>
      </c>
      <c r="G482" s="1">
        <v>0</v>
      </c>
      <c r="H482">
        <v>2</v>
      </c>
      <c r="I482">
        <v>0.5</v>
      </c>
      <c r="J482">
        <v>2</v>
      </c>
      <c r="K482">
        <v>1</v>
      </c>
      <c r="L482">
        <f t="shared" si="28"/>
        <v>2</v>
      </c>
      <c r="M482">
        <v>0</v>
      </c>
      <c r="N482">
        <v>0</v>
      </c>
      <c r="O482">
        <v>5</v>
      </c>
      <c r="P482" s="1">
        <f t="shared" si="29"/>
        <v>0</v>
      </c>
      <c r="Q482">
        <f t="shared" si="30"/>
        <v>5</v>
      </c>
      <c r="R482" s="1">
        <f t="shared" si="31"/>
        <v>0</v>
      </c>
    </row>
    <row r="483" spans="1:18" hidden="1" x14ac:dyDescent="0.3">
      <c r="A483" t="s">
        <v>4439</v>
      </c>
      <c r="B483" t="s">
        <v>4440</v>
      </c>
      <c r="C483" t="s">
        <v>47</v>
      </c>
      <c r="D483">
        <v>1</v>
      </c>
      <c r="E483">
        <v>0</v>
      </c>
      <c r="G483" s="1">
        <v>0</v>
      </c>
      <c r="H483">
        <v>1</v>
      </c>
      <c r="I483">
        <v>0.5</v>
      </c>
      <c r="J483">
        <v>1</v>
      </c>
      <c r="K483">
        <v>1</v>
      </c>
      <c r="L483">
        <f t="shared" si="28"/>
        <v>2</v>
      </c>
      <c r="M483">
        <v>0</v>
      </c>
      <c r="N483">
        <v>0</v>
      </c>
      <c r="O483">
        <v>2</v>
      </c>
      <c r="P483" s="1">
        <f t="shared" si="29"/>
        <v>0</v>
      </c>
      <c r="Q483">
        <f t="shared" si="30"/>
        <v>2</v>
      </c>
      <c r="R483" s="1">
        <f t="shared" si="31"/>
        <v>0</v>
      </c>
    </row>
    <row r="484" spans="1:18" hidden="1" x14ac:dyDescent="0.3">
      <c r="A484" t="s">
        <v>4441</v>
      </c>
      <c r="B484" t="s">
        <v>4442</v>
      </c>
      <c r="C484" t="s">
        <v>47</v>
      </c>
      <c r="D484">
        <v>1</v>
      </c>
      <c r="E484">
        <v>0</v>
      </c>
      <c r="G484" s="1">
        <v>0</v>
      </c>
      <c r="H484">
        <v>1</v>
      </c>
      <c r="I484">
        <v>0.5</v>
      </c>
      <c r="J484">
        <v>1</v>
      </c>
      <c r="K484">
        <v>1</v>
      </c>
      <c r="L484">
        <f t="shared" si="28"/>
        <v>2</v>
      </c>
      <c r="M484">
        <v>0</v>
      </c>
      <c r="N484">
        <v>0</v>
      </c>
      <c r="O484">
        <v>2</v>
      </c>
      <c r="P484" s="1">
        <f t="shared" si="29"/>
        <v>0</v>
      </c>
      <c r="Q484">
        <f t="shared" si="30"/>
        <v>2</v>
      </c>
      <c r="R484" s="1">
        <f t="shared" si="31"/>
        <v>0</v>
      </c>
    </row>
    <row r="485" spans="1:18" hidden="1" x14ac:dyDescent="0.3">
      <c r="A485" t="s">
        <v>4443</v>
      </c>
      <c r="B485" t="s">
        <v>4444</v>
      </c>
      <c r="C485" t="s">
        <v>47</v>
      </c>
      <c r="D485">
        <v>1</v>
      </c>
      <c r="E485">
        <v>0</v>
      </c>
      <c r="G485" s="1">
        <v>0</v>
      </c>
      <c r="H485">
        <v>1</v>
      </c>
      <c r="I485">
        <v>0.5</v>
      </c>
      <c r="J485">
        <v>1</v>
      </c>
      <c r="K485">
        <v>1</v>
      </c>
      <c r="L485">
        <f t="shared" si="28"/>
        <v>2</v>
      </c>
      <c r="M485">
        <v>0</v>
      </c>
      <c r="N485">
        <v>0</v>
      </c>
      <c r="O485">
        <v>2</v>
      </c>
      <c r="P485" s="1">
        <f t="shared" si="29"/>
        <v>0</v>
      </c>
      <c r="Q485">
        <f t="shared" si="30"/>
        <v>2</v>
      </c>
      <c r="R485" s="1">
        <f t="shared" si="31"/>
        <v>0</v>
      </c>
    </row>
    <row r="486" spans="1:18" hidden="1" x14ac:dyDescent="0.3">
      <c r="A486" t="s">
        <v>4445</v>
      </c>
      <c r="B486" t="s">
        <v>4446</v>
      </c>
      <c r="C486" t="s">
        <v>47</v>
      </c>
      <c r="D486">
        <v>9</v>
      </c>
      <c r="E486">
        <v>2</v>
      </c>
      <c r="F486" t="s">
        <v>2536</v>
      </c>
      <c r="G486" s="1">
        <v>490</v>
      </c>
      <c r="H486">
        <v>1</v>
      </c>
      <c r="I486">
        <v>0.5</v>
      </c>
      <c r="J486">
        <v>1</v>
      </c>
      <c r="K486">
        <v>1</v>
      </c>
      <c r="L486">
        <f t="shared" si="28"/>
        <v>2</v>
      </c>
      <c r="M486">
        <v>0</v>
      </c>
      <c r="N486">
        <v>0</v>
      </c>
      <c r="O486">
        <v>2</v>
      </c>
      <c r="P486" s="1">
        <f t="shared" si="29"/>
        <v>0</v>
      </c>
      <c r="Q486">
        <f t="shared" si="30"/>
        <v>2</v>
      </c>
      <c r="R486" s="1">
        <f t="shared" si="31"/>
        <v>980</v>
      </c>
    </row>
    <row r="487" spans="1:18" hidden="1" x14ac:dyDescent="0.3">
      <c r="A487" t="s">
        <v>4447</v>
      </c>
      <c r="B487" t="s">
        <v>4448</v>
      </c>
      <c r="C487" t="s">
        <v>47</v>
      </c>
      <c r="D487">
        <v>1</v>
      </c>
      <c r="E487">
        <v>0</v>
      </c>
      <c r="G487" s="1">
        <v>0</v>
      </c>
      <c r="H487">
        <v>9</v>
      </c>
      <c r="I487">
        <v>0.5</v>
      </c>
      <c r="J487">
        <v>9</v>
      </c>
      <c r="K487">
        <v>4</v>
      </c>
      <c r="L487">
        <f t="shared" si="28"/>
        <v>9</v>
      </c>
      <c r="M487">
        <v>0</v>
      </c>
      <c r="N487">
        <v>0</v>
      </c>
      <c r="O487">
        <v>22</v>
      </c>
      <c r="P487" s="1">
        <f t="shared" si="29"/>
        <v>0</v>
      </c>
      <c r="Q487">
        <f t="shared" si="30"/>
        <v>22</v>
      </c>
      <c r="R487" s="1">
        <f t="shared" si="31"/>
        <v>0</v>
      </c>
    </row>
    <row r="488" spans="1:18" hidden="1" x14ac:dyDescent="0.3">
      <c r="A488" t="s">
        <v>4449</v>
      </c>
      <c r="B488" t="s">
        <v>4450</v>
      </c>
      <c r="C488" t="s">
        <v>47</v>
      </c>
      <c r="D488">
        <v>1</v>
      </c>
      <c r="E488">
        <v>0</v>
      </c>
      <c r="G488" s="1">
        <v>0</v>
      </c>
      <c r="H488">
        <v>6</v>
      </c>
      <c r="I488">
        <v>0.5</v>
      </c>
      <c r="J488">
        <v>6</v>
      </c>
      <c r="K488">
        <v>3</v>
      </c>
      <c r="L488">
        <f t="shared" si="28"/>
        <v>6</v>
      </c>
      <c r="M488">
        <v>0</v>
      </c>
      <c r="N488">
        <v>0</v>
      </c>
      <c r="O488">
        <v>15</v>
      </c>
      <c r="P488" s="1">
        <f t="shared" si="29"/>
        <v>0</v>
      </c>
      <c r="Q488">
        <f t="shared" si="30"/>
        <v>15</v>
      </c>
      <c r="R488" s="1">
        <f t="shared" si="31"/>
        <v>0</v>
      </c>
    </row>
    <row r="489" spans="1:18" hidden="1" x14ac:dyDescent="0.3">
      <c r="A489" t="s">
        <v>4451</v>
      </c>
      <c r="B489" t="s">
        <v>4452</v>
      </c>
      <c r="C489" t="s">
        <v>47</v>
      </c>
      <c r="D489">
        <v>1</v>
      </c>
      <c r="E489">
        <v>0</v>
      </c>
      <c r="G489" s="1">
        <v>0</v>
      </c>
      <c r="H489">
        <v>0</v>
      </c>
      <c r="I489">
        <v>0.5</v>
      </c>
      <c r="J489">
        <v>1</v>
      </c>
      <c r="K489">
        <v>1</v>
      </c>
      <c r="L489">
        <f t="shared" si="28"/>
        <v>2</v>
      </c>
      <c r="M489">
        <v>0</v>
      </c>
      <c r="N489">
        <v>0</v>
      </c>
      <c r="O489">
        <v>2</v>
      </c>
      <c r="P489" s="1">
        <f t="shared" si="29"/>
        <v>0</v>
      </c>
      <c r="Q489">
        <f t="shared" si="30"/>
        <v>2</v>
      </c>
      <c r="R489" s="1">
        <f t="shared" si="31"/>
        <v>0</v>
      </c>
    </row>
    <row r="490" spans="1:18" hidden="1" x14ac:dyDescent="0.3">
      <c r="A490" t="s">
        <v>4453</v>
      </c>
      <c r="B490" t="s">
        <v>4454</v>
      </c>
      <c r="C490" t="s">
        <v>47</v>
      </c>
      <c r="D490">
        <v>1</v>
      </c>
      <c r="E490">
        <v>1</v>
      </c>
      <c r="F490" t="s">
        <v>4455</v>
      </c>
      <c r="G490" s="1">
        <v>3473.5</v>
      </c>
      <c r="H490">
        <v>0</v>
      </c>
      <c r="I490">
        <v>0.5</v>
      </c>
      <c r="J490">
        <v>1</v>
      </c>
      <c r="K490">
        <v>1</v>
      </c>
      <c r="L490">
        <f t="shared" si="28"/>
        <v>2</v>
      </c>
      <c r="M490">
        <v>0</v>
      </c>
      <c r="N490">
        <v>0</v>
      </c>
      <c r="O490">
        <v>2</v>
      </c>
      <c r="P490" s="1">
        <f t="shared" si="29"/>
        <v>0</v>
      </c>
      <c r="Q490">
        <f t="shared" si="30"/>
        <v>2</v>
      </c>
      <c r="R490" s="1">
        <f t="shared" si="31"/>
        <v>6947</v>
      </c>
    </row>
    <row r="491" spans="1:18" hidden="1" x14ac:dyDescent="0.3">
      <c r="A491" t="s">
        <v>4456</v>
      </c>
      <c r="B491" t="s">
        <v>4457</v>
      </c>
      <c r="C491" t="s">
        <v>47</v>
      </c>
      <c r="D491">
        <v>18</v>
      </c>
      <c r="E491">
        <v>9.92</v>
      </c>
      <c r="F491" t="s">
        <v>3678</v>
      </c>
      <c r="G491" s="1">
        <v>210</v>
      </c>
      <c r="H491">
        <v>0</v>
      </c>
      <c r="I491">
        <v>0.5</v>
      </c>
      <c r="J491">
        <v>1</v>
      </c>
      <c r="K491">
        <v>1</v>
      </c>
      <c r="L491">
        <f t="shared" si="28"/>
        <v>2</v>
      </c>
      <c r="M491">
        <v>0</v>
      </c>
      <c r="N491">
        <v>0</v>
      </c>
      <c r="O491">
        <v>2</v>
      </c>
      <c r="P491" s="1">
        <f t="shared" si="29"/>
        <v>0</v>
      </c>
      <c r="Q491">
        <f t="shared" si="30"/>
        <v>2</v>
      </c>
      <c r="R491" s="1">
        <f t="shared" si="31"/>
        <v>420</v>
      </c>
    </row>
    <row r="492" spans="1:18" hidden="1" x14ac:dyDescent="0.3">
      <c r="A492" t="s">
        <v>4458</v>
      </c>
      <c r="B492" t="s">
        <v>4459</v>
      </c>
      <c r="C492" t="s">
        <v>47</v>
      </c>
      <c r="D492">
        <v>1</v>
      </c>
      <c r="E492">
        <v>3.05</v>
      </c>
      <c r="F492" t="s">
        <v>3678</v>
      </c>
      <c r="G492" s="1">
        <v>210</v>
      </c>
      <c r="H492">
        <v>0</v>
      </c>
      <c r="I492">
        <v>0.8</v>
      </c>
      <c r="J492">
        <v>3.5</v>
      </c>
      <c r="K492">
        <v>3</v>
      </c>
      <c r="L492">
        <f t="shared" si="28"/>
        <v>6</v>
      </c>
      <c r="M492">
        <v>0</v>
      </c>
      <c r="N492">
        <v>0</v>
      </c>
      <c r="O492">
        <v>10</v>
      </c>
      <c r="P492" s="1">
        <f t="shared" si="29"/>
        <v>0</v>
      </c>
      <c r="Q492">
        <f t="shared" si="30"/>
        <v>10</v>
      </c>
      <c r="R492" s="1">
        <f t="shared" si="31"/>
        <v>2100</v>
      </c>
    </row>
    <row r="493" spans="1:18" hidden="1" x14ac:dyDescent="0.3">
      <c r="A493" t="s">
        <v>4460</v>
      </c>
      <c r="B493" t="s">
        <v>4457</v>
      </c>
      <c r="C493" t="s">
        <v>47</v>
      </c>
      <c r="D493">
        <v>1</v>
      </c>
      <c r="E493">
        <v>4.96</v>
      </c>
      <c r="F493" t="s">
        <v>3678</v>
      </c>
      <c r="G493" s="1">
        <v>210</v>
      </c>
      <c r="H493">
        <v>0</v>
      </c>
      <c r="I493">
        <v>0.5</v>
      </c>
      <c r="J493">
        <v>5</v>
      </c>
      <c r="K493">
        <v>2</v>
      </c>
      <c r="L493">
        <f t="shared" si="28"/>
        <v>5</v>
      </c>
      <c r="M493">
        <v>0</v>
      </c>
      <c r="N493">
        <v>0</v>
      </c>
      <c r="O493">
        <v>12</v>
      </c>
      <c r="P493" s="1">
        <f t="shared" si="29"/>
        <v>0</v>
      </c>
      <c r="Q493">
        <f t="shared" si="30"/>
        <v>12</v>
      </c>
      <c r="R493" s="1">
        <f t="shared" si="31"/>
        <v>2520</v>
      </c>
    </row>
    <row r="494" spans="1:18" hidden="1" x14ac:dyDescent="0.3">
      <c r="A494" t="s">
        <v>4461</v>
      </c>
      <c r="B494" t="s">
        <v>4462</v>
      </c>
      <c r="C494" t="s">
        <v>47</v>
      </c>
      <c r="D494">
        <v>1</v>
      </c>
      <c r="E494">
        <v>2.48</v>
      </c>
      <c r="F494" t="s">
        <v>3678</v>
      </c>
      <c r="G494" s="1">
        <v>219.14</v>
      </c>
      <c r="H494">
        <v>0</v>
      </c>
      <c r="I494">
        <v>0.8</v>
      </c>
      <c r="J494">
        <v>2.5</v>
      </c>
      <c r="K494">
        <v>2</v>
      </c>
      <c r="L494">
        <f t="shared" si="28"/>
        <v>4</v>
      </c>
      <c r="M494">
        <v>0</v>
      </c>
      <c r="N494">
        <v>0</v>
      </c>
      <c r="O494">
        <v>7</v>
      </c>
      <c r="P494" s="1">
        <f t="shared" si="29"/>
        <v>0</v>
      </c>
      <c r="Q494">
        <f t="shared" si="30"/>
        <v>7</v>
      </c>
      <c r="R494" s="1">
        <f t="shared" si="31"/>
        <v>1533.98</v>
      </c>
    </row>
    <row r="495" spans="1:18" hidden="1" x14ac:dyDescent="0.3">
      <c r="A495" t="s">
        <v>4463</v>
      </c>
      <c r="B495" t="s">
        <v>4464</v>
      </c>
      <c r="C495" t="s">
        <v>47</v>
      </c>
      <c r="D495">
        <v>1</v>
      </c>
      <c r="E495">
        <v>0</v>
      </c>
      <c r="G495" s="1">
        <v>0</v>
      </c>
      <c r="H495">
        <v>0</v>
      </c>
      <c r="I495">
        <v>0.5</v>
      </c>
      <c r="J495">
        <v>1</v>
      </c>
      <c r="K495">
        <v>1</v>
      </c>
      <c r="L495">
        <f t="shared" si="28"/>
        <v>2</v>
      </c>
      <c r="M495">
        <v>0</v>
      </c>
      <c r="N495">
        <v>0</v>
      </c>
      <c r="O495">
        <v>2</v>
      </c>
      <c r="P495" s="1">
        <f t="shared" si="29"/>
        <v>0</v>
      </c>
      <c r="Q495">
        <f t="shared" si="30"/>
        <v>2</v>
      </c>
      <c r="R495" s="1">
        <f t="shared" si="31"/>
        <v>0</v>
      </c>
    </row>
    <row r="496" spans="1:18" hidden="1" x14ac:dyDescent="0.3">
      <c r="A496" t="s">
        <v>4465</v>
      </c>
      <c r="B496" t="s">
        <v>4466</v>
      </c>
      <c r="C496" t="s">
        <v>47</v>
      </c>
      <c r="D496">
        <v>1</v>
      </c>
      <c r="E496">
        <v>0</v>
      </c>
      <c r="G496" s="1">
        <v>0</v>
      </c>
      <c r="H496">
        <v>1</v>
      </c>
      <c r="I496">
        <v>0.5</v>
      </c>
      <c r="J496">
        <v>1</v>
      </c>
      <c r="K496">
        <v>1</v>
      </c>
      <c r="L496">
        <f t="shared" si="28"/>
        <v>2</v>
      </c>
      <c r="M496">
        <v>0</v>
      </c>
      <c r="N496">
        <v>0</v>
      </c>
      <c r="O496">
        <v>2</v>
      </c>
      <c r="P496" s="1">
        <f t="shared" si="29"/>
        <v>0</v>
      </c>
      <c r="Q496">
        <f t="shared" si="30"/>
        <v>2</v>
      </c>
      <c r="R496" s="1">
        <f t="shared" si="31"/>
        <v>0</v>
      </c>
    </row>
    <row r="497" spans="1:18" hidden="1" x14ac:dyDescent="0.3">
      <c r="A497" t="s">
        <v>4467</v>
      </c>
      <c r="B497" t="s">
        <v>4468</v>
      </c>
      <c r="C497" t="s">
        <v>47</v>
      </c>
      <c r="D497">
        <v>1</v>
      </c>
      <c r="E497">
        <v>0</v>
      </c>
      <c r="G497" s="1">
        <v>0</v>
      </c>
      <c r="H497">
        <v>0</v>
      </c>
      <c r="I497">
        <v>0.5</v>
      </c>
      <c r="J497">
        <v>1</v>
      </c>
      <c r="K497">
        <v>1</v>
      </c>
      <c r="L497">
        <f t="shared" si="28"/>
        <v>2</v>
      </c>
      <c r="M497">
        <v>0</v>
      </c>
      <c r="N497">
        <v>0</v>
      </c>
      <c r="O497">
        <v>2</v>
      </c>
      <c r="P497" s="1">
        <f t="shared" si="29"/>
        <v>0</v>
      </c>
      <c r="Q497">
        <f t="shared" si="30"/>
        <v>2</v>
      </c>
      <c r="R497" s="1">
        <f t="shared" si="31"/>
        <v>0</v>
      </c>
    </row>
    <row r="498" spans="1:18" hidden="1" x14ac:dyDescent="0.3">
      <c r="A498" t="s">
        <v>4469</v>
      </c>
      <c r="B498" t="s">
        <v>4470</v>
      </c>
      <c r="C498" t="s">
        <v>47</v>
      </c>
      <c r="D498">
        <v>1</v>
      </c>
      <c r="E498">
        <v>0</v>
      </c>
      <c r="G498" s="1">
        <v>0</v>
      </c>
      <c r="H498">
        <v>0</v>
      </c>
      <c r="I498">
        <v>0.5</v>
      </c>
      <c r="J498">
        <v>1</v>
      </c>
      <c r="K498">
        <v>1</v>
      </c>
      <c r="L498">
        <f t="shared" si="28"/>
        <v>2</v>
      </c>
      <c r="M498">
        <v>0</v>
      </c>
      <c r="N498">
        <v>0</v>
      </c>
      <c r="O498">
        <v>2</v>
      </c>
      <c r="P498" s="1">
        <f t="shared" si="29"/>
        <v>0</v>
      </c>
      <c r="Q498">
        <f t="shared" si="30"/>
        <v>2</v>
      </c>
      <c r="R498" s="1">
        <f t="shared" si="31"/>
        <v>0</v>
      </c>
    </row>
    <row r="499" spans="1:18" hidden="1" x14ac:dyDescent="0.3">
      <c r="A499" t="s">
        <v>4471</v>
      </c>
      <c r="B499" t="s">
        <v>4472</v>
      </c>
      <c r="C499" t="s">
        <v>47</v>
      </c>
      <c r="D499">
        <v>11</v>
      </c>
      <c r="E499">
        <v>1</v>
      </c>
      <c r="F499" t="s">
        <v>181</v>
      </c>
      <c r="G499" s="1">
        <v>43708</v>
      </c>
      <c r="H499">
        <v>2</v>
      </c>
      <c r="I499">
        <v>0.7</v>
      </c>
      <c r="J499">
        <v>1</v>
      </c>
      <c r="K499">
        <v>1</v>
      </c>
      <c r="L499">
        <f t="shared" si="28"/>
        <v>2</v>
      </c>
      <c r="M499">
        <v>0</v>
      </c>
      <c r="N499">
        <v>0</v>
      </c>
      <c r="O499">
        <v>3</v>
      </c>
      <c r="P499" s="1">
        <f t="shared" si="29"/>
        <v>0</v>
      </c>
      <c r="Q499">
        <f t="shared" si="30"/>
        <v>3</v>
      </c>
      <c r="R499" s="1">
        <f t="shared" si="31"/>
        <v>131124</v>
      </c>
    </row>
    <row r="500" spans="1:18" hidden="1" x14ac:dyDescent="0.3">
      <c r="A500" t="s">
        <v>4473</v>
      </c>
      <c r="B500" t="s">
        <v>4474</v>
      </c>
      <c r="C500" t="s">
        <v>47</v>
      </c>
      <c r="D500">
        <v>1</v>
      </c>
      <c r="E500">
        <v>0</v>
      </c>
      <c r="G500" s="1">
        <v>0</v>
      </c>
      <c r="H500">
        <v>0</v>
      </c>
      <c r="I500">
        <v>0.5</v>
      </c>
      <c r="J500">
        <v>1</v>
      </c>
      <c r="K500">
        <v>1</v>
      </c>
      <c r="L500">
        <f t="shared" si="28"/>
        <v>2</v>
      </c>
      <c r="M500">
        <v>0</v>
      </c>
      <c r="N500">
        <v>0</v>
      </c>
      <c r="O500">
        <v>2</v>
      </c>
      <c r="P500" s="1">
        <f t="shared" si="29"/>
        <v>0</v>
      </c>
      <c r="Q500">
        <f t="shared" si="30"/>
        <v>2</v>
      </c>
      <c r="R500" s="1">
        <f t="shared" si="31"/>
        <v>0</v>
      </c>
    </row>
    <row r="501" spans="1:18" hidden="1" x14ac:dyDescent="0.3">
      <c r="A501" t="s">
        <v>4475</v>
      </c>
      <c r="B501" t="s">
        <v>4476</v>
      </c>
      <c r="C501" t="s">
        <v>47</v>
      </c>
      <c r="D501">
        <v>1</v>
      </c>
      <c r="E501">
        <v>0</v>
      </c>
      <c r="G501" s="1">
        <v>0</v>
      </c>
      <c r="H501">
        <v>0</v>
      </c>
      <c r="I501">
        <v>0.5</v>
      </c>
      <c r="J501">
        <v>1</v>
      </c>
      <c r="K501">
        <v>1</v>
      </c>
      <c r="L501">
        <f t="shared" si="28"/>
        <v>2</v>
      </c>
      <c r="M501">
        <v>0</v>
      </c>
      <c r="N501">
        <v>0</v>
      </c>
      <c r="O501">
        <v>2</v>
      </c>
      <c r="P501" s="1">
        <f t="shared" si="29"/>
        <v>0</v>
      </c>
      <c r="Q501">
        <f t="shared" si="30"/>
        <v>2</v>
      </c>
      <c r="R501" s="1">
        <f t="shared" si="31"/>
        <v>0</v>
      </c>
    </row>
    <row r="502" spans="1:18" hidden="1" x14ac:dyDescent="0.3">
      <c r="A502" t="s">
        <v>4477</v>
      </c>
      <c r="B502" t="s">
        <v>4478</v>
      </c>
      <c r="C502" t="s">
        <v>47</v>
      </c>
      <c r="D502">
        <v>1</v>
      </c>
      <c r="E502">
        <v>0</v>
      </c>
      <c r="G502" s="1">
        <v>0</v>
      </c>
      <c r="H502">
        <v>0</v>
      </c>
      <c r="I502">
        <v>0.5</v>
      </c>
      <c r="J502">
        <v>1</v>
      </c>
      <c r="K502">
        <v>1</v>
      </c>
      <c r="L502">
        <f t="shared" si="28"/>
        <v>2</v>
      </c>
      <c r="M502">
        <v>0</v>
      </c>
      <c r="N502">
        <v>0</v>
      </c>
      <c r="O502">
        <v>2</v>
      </c>
      <c r="P502" s="1">
        <f t="shared" si="29"/>
        <v>0</v>
      </c>
      <c r="Q502">
        <f t="shared" si="30"/>
        <v>2</v>
      </c>
      <c r="R502" s="1">
        <f t="shared" si="31"/>
        <v>0</v>
      </c>
    </row>
    <row r="503" spans="1:18" hidden="1" x14ac:dyDescent="0.3">
      <c r="A503" t="s">
        <v>4479</v>
      </c>
      <c r="B503" t="s">
        <v>4480</v>
      </c>
      <c r="C503" t="s">
        <v>47</v>
      </c>
      <c r="D503">
        <v>1</v>
      </c>
      <c r="E503">
        <v>0</v>
      </c>
      <c r="G503" s="1">
        <v>0</v>
      </c>
      <c r="H503">
        <v>0</v>
      </c>
      <c r="I503">
        <v>0.5</v>
      </c>
      <c r="J503">
        <v>1</v>
      </c>
      <c r="K503">
        <v>1</v>
      </c>
      <c r="L503">
        <f t="shared" si="28"/>
        <v>2</v>
      </c>
      <c r="M503">
        <v>0</v>
      </c>
      <c r="N503">
        <v>0</v>
      </c>
      <c r="O503">
        <v>2</v>
      </c>
      <c r="P503" s="1">
        <f t="shared" si="29"/>
        <v>0</v>
      </c>
      <c r="Q503">
        <f t="shared" si="30"/>
        <v>2</v>
      </c>
      <c r="R503" s="1">
        <f t="shared" si="31"/>
        <v>0</v>
      </c>
    </row>
    <row r="504" spans="1:18" hidden="1" x14ac:dyDescent="0.3">
      <c r="A504" t="s">
        <v>4481</v>
      </c>
      <c r="B504" t="s">
        <v>4482</v>
      </c>
      <c r="C504" t="s">
        <v>47</v>
      </c>
      <c r="D504">
        <v>1</v>
      </c>
      <c r="E504">
        <v>0</v>
      </c>
      <c r="G504" s="1">
        <v>0</v>
      </c>
      <c r="H504">
        <v>0</v>
      </c>
      <c r="I504">
        <v>0.5</v>
      </c>
      <c r="J504">
        <v>1</v>
      </c>
      <c r="K504">
        <v>1</v>
      </c>
      <c r="L504">
        <f t="shared" si="28"/>
        <v>2</v>
      </c>
      <c r="M504">
        <v>0</v>
      </c>
      <c r="N504">
        <v>0</v>
      </c>
      <c r="O504">
        <v>2</v>
      </c>
      <c r="P504" s="1">
        <f t="shared" si="29"/>
        <v>0</v>
      </c>
      <c r="Q504">
        <f t="shared" si="30"/>
        <v>2</v>
      </c>
      <c r="R504" s="1">
        <f t="shared" si="31"/>
        <v>0</v>
      </c>
    </row>
    <row r="505" spans="1:18" hidden="1" x14ac:dyDescent="0.3">
      <c r="A505" t="s">
        <v>4483</v>
      </c>
      <c r="B505" t="s">
        <v>4484</v>
      </c>
      <c r="C505" t="s">
        <v>47</v>
      </c>
      <c r="D505">
        <v>1</v>
      </c>
      <c r="E505">
        <v>1</v>
      </c>
      <c r="F505" t="s">
        <v>181</v>
      </c>
      <c r="G505" s="1">
        <v>212333</v>
      </c>
      <c r="H505">
        <v>1</v>
      </c>
      <c r="I505">
        <v>0.6</v>
      </c>
      <c r="J505">
        <v>1</v>
      </c>
      <c r="K505">
        <v>1</v>
      </c>
      <c r="L505">
        <f t="shared" si="28"/>
        <v>2</v>
      </c>
      <c r="M505">
        <v>0</v>
      </c>
      <c r="N505">
        <v>0</v>
      </c>
      <c r="O505">
        <v>3</v>
      </c>
      <c r="P505" s="1">
        <f t="shared" si="29"/>
        <v>0</v>
      </c>
      <c r="Q505">
        <f t="shared" si="30"/>
        <v>3</v>
      </c>
      <c r="R505" s="1">
        <f t="shared" si="31"/>
        <v>636999</v>
      </c>
    </row>
    <row r="506" spans="1:18" hidden="1" x14ac:dyDescent="0.3">
      <c r="A506" t="s">
        <v>4485</v>
      </c>
      <c r="B506" t="s">
        <v>4486</v>
      </c>
      <c r="C506" t="s">
        <v>47</v>
      </c>
      <c r="D506">
        <v>1</v>
      </c>
      <c r="E506">
        <v>0</v>
      </c>
      <c r="G506" s="1">
        <v>0</v>
      </c>
      <c r="H506">
        <v>0</v>
      </c>
      <c r="I506">
        <v>0.5</v>
      </c>
      <c r="J506">
        <v>1</v>
      </c>
      <c r="K506">
        <v>1</v>
      </c>
      <c r="L506">
        <f t="shared" si="28"/>
        <v>2</v>
      </c>
      <c r="M506">
        <v>0</v>
      </c>
      <c r="N506">
        <v>0</v>
      </c>
      <c r="O506">
        <v>2</v>
      </c>
      <c r="P506" s="1">
        <f t="shared" si="29"/>
        <v>0</v>
      </c>
      <c r="Q506">
        <f t="shared" si="30"/>
        <v>2</v>
      </c>
      <c r="R506" s="1">
        <f t="shared" si="31"/>
        <v>0</v>
      </c>
    </row>
    <row r="507" spans="1:18" hidden="1" x14ac:dyDescent="0.3">
      <c r="A507" t="s">
        <v>4487</v>
      </c>
      <c r="B507" t="s">
        <v>4488</v>
      </c>
      <c r="C507" t="s">
        <v>47</v>
      </c>
      <c r="D507">
        <v>1</v>
      </c>
      <c r="E507">
        <v>0</v>
      </c>
      <c r="G507" s="1">
        <v>0</v>
      </c>
      <c r="H507">
        <v>0</v>
      </c>
      <c r="I507">
        <v>0.5</v>
      </c>
      <c r="J507">
        <v>1</v>
      </c>
      <c r="K507">
        <v>1</v>
      </c>
      <c r="L507">
        <f t="shared" si="28"/>
        <v>2</v>
      </c>
      <c r="M507">
        <v>0</v>
      </c>
      <c r="N507">
        <v>0</v>
      </c>
      <c r="O507">
        <v>2</v>
      </c>
      <c r="P507" s="1">
        <f t="shared" si="29"/>
        <v>0</v>
      </c>
      <c r="Q507">
        <f t="shared" si="30"/>
        <v>2</v>
      </c>
      <c r="R507" s="1">
        <f t="shared" si="31"/>
        <v>0</v>
      </c>
    </row>
    <row r="508" spans="1:18" hidden="1" x14ac:dyDescent="0.3">
      <c r="A508" t="s">
        <v>4489</v>
      </c>
      <c r="B508" t="s">
        <v>4490</v>
      </c>
      <c r="C508" t="s">
        <v>47</v>
      </c>
      <c r="D508">
        <v>1</v>
      </c>
      <c r="E508">
        <v>0</v>
      </c>
      <c r="G508" s="1">
        <v>0</v>
      </c>
      <c r="H508">
        <v>0</v>
      </c>
      <c r="I508">
        <v>0.5</v>
      </c>
      <c r="J508">
        <v>1</v>
      </c>
      <c r="K508">
        <v>1</v>
      </c>
      <c r="L508">
        <f t="shared" si="28"/>
        <v>2</v>
      </c>
      <c r="M508">
        <v>0</v>
      </c>
      <c r="N508">
        <v>0</v>
      </c>
      <c r="O508">
        <v>2</v>
      </c>
      <c r="P508" s="1">
        <f t="shared" si="29"/>
        <v>0</v>
      </c>
      <c r="Q508">
        <f t="shared" si="30"/>
        <v>2</v>
      </c>
      <c r="R508" s="1">
        <f t="shared" si="31"/>
        <v>0</v>
      </c>
    </row>
    <row r="509" spans="1:18" hidden="1" x14ac:dyDescent="0.3">
      <c r="A509" t="s">
        <v>4491</v>
      </c>
      <c r="B509" t="s">
        <v>4492</v>
      </c>
      <c r="C509" t="s">
        <v>47</v>
      </c>
      <c r="D509">
        <v>1</v>
      </c>
      <c r="E509">
        <v>0</v>
      </c>
      <c r="G509" s="1">
        <v>0</v>
      </c>
      <c r="H509">
        <v>0</v>
      </c>
      <c r="I509">
        <v>0.5</v>
      </c>
      <c r="J509">
        <v>1</v>
      </c>
      <c r="K509">
        <v>1</v>
      </c>
      <c r="L509">
        <f t="shared" si="28"/>
        <v>2</v>
      </c>
      <c r="M509">
        <v>0</v>
      </c>
      <c r="N509">
        <v>0</v>
      </c>
      <c r="O509">
        <v>2</v>
      </c>
      <c r="P509" s="1">
        <f t="shared" si="29"/>
        <v>0</v>
      </c>
      <c r="Q509">
        <f t="shared" si="30"/>
        <v>2</v>
      </c>
      <c r="R509" s="1">
        <f t="shared" si="31"/>
        <v>0</v>
      </c>
    </row>
    <row r="510" spans="1:18" hidden="1" x14ac:dyDescent="0.3">
      <c r="A510" t="s">
        <v>4493</v>
      </c>
      <c r="B510" t="s">
        <v>4494</v>
      </c>
      <c r="C510" t="s">
        <v>47</v>
      </c>
      <c r="D510">
        <v>1</v>
      </c>
      <c r="E510">
        <v>0</v>
      </c>
      <c r="G510" s="1">
        <v>0</v>
      </c>
      <c r="H510">
        <v>0</v>
      </c>
      <c r="I510">
        <v>0.5</v>
      </c>
      <c r="J510">
        <v>1</v>
      </c>
      <c r="K510">
        <v>1</v>
      </c>
      <c r="L510">
        <f t="shared" si="28"/>
        <v>2</v>
      </c>
      <c r="M510">
        <v>0</v>
      </c>
      <c r="N510">
        <v>0</v>
      </c>
      <c r="O510">
        <v>2</v>
      </c>
      <c r="P510" s="1">
        <f t="shared" si="29"/>
        <v>0</v>
      </c>
      <c r="Q510">
        <f t="shared" si="30"/>
        <v>2</v>
      </c>
      <c r="R510" s="1">
        <f t="shared" si="31"/>
        <v>0</v>
      </c>
    </row>
    <row r="511" spans="1:18" hidden="1" x14ac:dyDescent="0.3">
      <c r="A511" t="s">
        <v>4495</v>
      </c>
      <c r="B511" t="s">
        <v>4496</v>
      </c>
      <c r="C511" t="s">
        <v>47</v>
      </c>
      <c r="D511">
        <v>1</v>
      </c>
      <c r="E511">
        <v>0</v>
      </c>
      <c r="G511" s="1">
        <v>0</v>
      </c>
      <c r="H511">
        <v>0</v>
      </c>
      <c r="I511">
        <v>0.5</v>
      </c>
      <c r="J511">
        <v>1</v>
      </c>
      <c r="K511">
        <v>1</v>
      </c>
      <c r="L511">
        <f t="shared" si="28"/>
        <v>2</v>
      </c>
      <c r="M511">
        <v>0</v>
      </c>
      <c r="N511">
        <v>0</v>
      </c>
      <c r="O511">
        <v>2</v>
      </c>
      <c r="P511" s="1">
        <f t="shared" si="29"/>
        <v>0</v>
      </c>
      <c r="Q511">
        <f t="shared" si="30"/>
        <v>2</v>
      </c>
      <c r="R511" s="1">
        <f t="shared" si="31"/>
        <v>0</v>
      </c>
    </row>
    <row r="512" spans="1:18" hidden="1" x14ac:dyDescent="0.3">
      <c r="A512" t="s">
        <v>4497</v>
      </c>
      <c r="B512" t="s">
        <v>4498</v>
      </c>
      <c r="C512" t="s">
        <v>47</v>
      </c>
      <c r="D512">
        <v>1</v>
      </c>
      <c r="E512">
        <v>2</v>
      </c>
      <c r="F512" t="s">
        <v>1073</v>
      </c>
      <c r="G512" s="1">
        <v>31900</v>
      </c>
      <c r="H512">
        <v>0</v>
      </c>
      <c r="I512">
        <v>0.5</v>
      </c>
      <c r="J512">
        <v>2</v>
      </c>
      <c r="K512">
        <v>1</v>
      </c>
      <c r="L512">
        <f t="shared" si="28"/>
        <v>2</v>
      </c>
      <c r="M512">
        <v>0</v>
      </c>
      <c r="N512">
        <v>0</v>
      </c>
      <c r="O512">
        <v>5</v>
      </c>
      <c r="P512" s="1">
        <f t="shared" si="29"/>
        <v>0</v>
      </c>
      <c r="Q512">
        <f t="shared" si="30"/>
        <v>5</v>
      </c>
      <c r="R512" s="1">
        <f t="shared" si="31"/>
        <v>159500</v>
      </c>
    </row>
    <row r="513" spans="1:18" hidden="1" x14ac:dyDescent="0.3">
      <c r="A513" t="s">
        <v>4499</v>
      </c>
      <c r="B513" t="s">
        <v>4500</v>
      </c>
      <c r="C513" t="s">
        <v>47</v>
      </c>
      <c r="D513">
        <v>1</v>
      </c>
      <c r="E513">
        <v>0</v>
      </c>
      <c r="G513" s="1">
        <v>0</v>
      </c>
      <c r="H513">
        <v>0</v>
      </c>
      <c r="I513">
        <v>0.5</v>
      </c>
      <c r="J513">
        <v>1</v>
      </c>
      <c r="K513">
        <v>1</v>
      </c>
      <c r="L513">
        <f t="shared" si="28"/>
        <v>2</v>
      </c>
      <c r="M513">
        <v>0</v>
      </c>
      <c r="N513">
        <v>0</v>
      </c>
      <c r="O513">
        <v>2</v>
      </c>
      <c r="P513" s="1">
        <f t="shared" si="29"/>
        <v>0</v>
      </c>
      <c r="Q513">
        <f t="shared" si="30"/>
        <v>2</v>
      </c>
      <c r="R513" s="1">
        <f t="shared" si="31"/>
        <v>0</v>
      </c>
    </row>
    <row r="514" spans="1:18" hidden="1" x14ac:dyDescent="0.3">
      <c r="A514" t="s">
        <v>4501</v>
      </c>
      <c r="B514" t="s">
        <v>4502</v>
      </c>
      <c r="C514" t="s">
        <v>47</v>
      </c>
      <c r="D514">
        <v>1</v>
      </c>
      <c r="E514">
        <v>0</v>
      </c>
      <c r="G514" s="1">
        <v>0</v>
      </c>
      <c r="H514">
        <v>0</v>
      </c>
      <c r="I514">
        <v>0.5</v>
      </c>
      <c r="J514">
        <v>1</v>
      </c>
      <c r="K514">
        <v>1</v>
      </c>
      <c r="L514">
        <f t="shared" ref="L514:L577" si="32">ROUNDUP((J514*I514)+K514,0)</f>
        <v>2</v>
      </c>
      <c r="M514">
        <v>0</v>
      </c>
      <c r="N514">
        <v>0</v>
      </c>
      <c r="O514">
        <v>2</v>
      </c>
      <c r="P514" s="1">
        <f t="shared" ref="P514:P577" si="33">IFERROR(M514*G514,0)</f>
        <v>0</v>
      </c>
      <c r="Q514">
        <f t="shared" ref="Q514:Q577" si="34">IF(O514-M514-N514&gt;0,O514-M514-N514,0)</f>
        <v>2</v>
      </c>
      <c r="R514" s="1">
        <f t="shared" ref="R514:R577" si="35">IFERROR(Q514*G514,0)</f>
        <v>0</v>
      </c>
    </row>
    <row r="515" spans="1:18" hidden="1" x14ac:dyDescent="0.3">
      <c r="A515" t="s">
        <v>4503</v>
      </c>
      <c r="B515" t="s">
        <v>4504</v>
      </c>
      <c r="C515" t="s">
        <v>47</v>
      </c>
      <c r="D515">
        <v>1</v>
      </c>
      <c r="E515">
        <v>0</v>
      </c>
      <c r="G515" s="1">
        <v>0</v>
      </c>
      <c r="H515">
        <v>0</v>
      </c>
      <c r="I515">
        <v>0.5</v>
      </c>
      <c r="J515">
        <v>1</v>
      </c>
      <c r="K515">
        <v>1</v>
      </c>
      <c r="L515">
        <f t="shared" si="32"/>
        <v>2</v>
      </c>
      <c r="M515">
        <v>0</v>
      </c>
      <c r="N515">
        <v>0</v>
      </c>
      <c r="O515">
        <v>2</v>
      </c>
      <c r="P515" s="1">
        <f t="shared" si="33"/>
        <v>0</v>
      </c>
      <c r="Q515">
        <f t="shared" si="34"/>
        <v>2</v>
      </c>
      <c r="R515" s="1">
        <f t="shared" si="35"/>
        <v>0</v>
      </c>
    </row>
    <row r="516" spans="1:18" hidden="1" x14ac:dyDescent="0.3">
      <c r="A516" t="s">
        <v>4505</v>
      </c>
      <c r="B516" t="s">
        <v>4506</v>
      </c>
      <c r="C516" t="s">
        <v>47</v>
      </c>
      <c r="D516">
        <v>1</v>
      </c>
      <c r="E516">
        <v>0</v>
      </c>
      <c r="G516" s="1">
        <v>0</v>
      </c>
      <c r="H516">
        <v>0</v>
      </c>
      <c r="I516">
        <v>0.5</v>
      </c>
      <c r="J516">
        <v>1</v>
      </c>
      <c r="K516">
        <v>1</v>
      </c>
      <c r="L516">
        <f t="shared" si="32"/>
        <v>2</v>
      </c>
      <c r="M516">
        <v>0</v>
      </c>
      <c r="N516">
        <v>0</v>
      </c>
      <c r="O516">
        <v>2</v>
      </c>
      <c r="P516" s="1">
        <f t="shared" si="33"/>
        <v>0</v>
      </c>
      <c r="Q516">
        <f t="shared" si="34"/>
        <v>2</v>
      </c>
      <c r="R516" s="1">
        <f t="shared" si="35"/>
        <v>0</v>
      </c>
    </row>
    <row r="517" spans="1:18" hidden="1" x14ac:dyDescent="0.3">
      <c r="A517" t="s">
        <v>4507</v>
      </c>
      <c r="B517" t="s">
        <v>4508</v>
      </c>
      <c r="C517" t="s">
        <v>47</v>
      </c>
      <c r="D517">
        <v>1</v>
      </c>
      <c r="E517">
        <v>0</v>
      </c>
      <c r="G517" s="1">
        <v>0</v>
      </c>
      <c r="H517">
        <v>0</v>
      </c>
      <c r="I517">
        <v>0.5</v>
      </c>
      <c r="J517">
        <v>1</v>
      </c>
      <c r="K517">
        <v>1</v>
      </c>
      <c r="L517">
        <f t="shared" si="32"/>
        <v>2</v>
      </c>
      <c r="M517">
        <v>0</v>
      </c>
      <c r="N517">
        <v>0</v>
      </c>
      <c r="O517">
        <v>2</v>
      </c>
      <c r="P517" s="1">
        <f t="shared" si="33"/>
        <v>0</v>
      </c>
      <c r="Q517">
        <f t="shared" si="34"/>
        <v>2</v>
      </c>
      <c r="R517" s="1">
        <f t="shared" si="35"/>
        <v>0</v>
      </c>
    </row>
    <row r="518" spans="1:18" hidden="1" x14ac:dyDescent="0.3">
      <c r="A518" t="s">
        <v>4509</v>
      </c>
      <c r="B518" t="s">
        <v>4510</v>
      </c>
      <c r="C518" t="s">
        <v>47</v>
      </c>
      <c r="D518">
        <v>1</v>
      </c>
      <c r="E518">
        <v>0</v>
      </c>
      <c r="G518" s="1">
        <v>0</v>
      </c>
      <c r="H518">
        <v>0</v>
      </c>
      <c r="I518">
        <v>0.5</v>
      </c>
      <c r="J518">
        <v>1</v>
      </c>
      <c r="K518">
        <v>1</v>
      </c>
      <c r="L518">
        <f t="shared" si="32"/>
        <v>2</v>
      </c>
      <c r="M518">
        <v>0</v>
      </c>
      <c r="N518">
        <v>0</v>
      </c>
      <c r="O518">
        <v>2</v>
      </c>
      <c r="P518" s="1">
        <f t="shared" si="33"/>
        <v>0</v>
      </c>
      <c r="Q518">
        <f t="shared" si="34"/>
        <v>2</v>
      </c>
      <c r="R518" s="1">
        <f t="shared" si="35"/>
        <v>0</v>
      </c>
    </row>
    <row r="519" spans="1:18" hidden="1" x14ac:dyDescent="0.3">
      <c r="A519" t="s">
        <v>4511</v>
      </c>
      <c r="B519" t="s">
        <v>4512</v>
      </c>
      <c r="C519" t="s">
        <v>47</v>
      </c>
      <c r="D519">
        <v>1</v>
      </c>
      <c r="E519">
        <v>0</v>
      </c>
      <c r="G519" s="1">
        <v>0</v>
      </c>
      <c r="H519">
        <v>0</v>
      </c>
      <c r="I519">
        <v>0.5</v>
      </c>
      <c r="J519">
        <v>1</v>
      </c>
      <c r="K519">
        <v>1</v>
      </c>
      <c r="L519">
        <f t="shared" si="32"/>
        <v>2</v>
      </c>
      <c r="M519">
        <v>0</v>
      </c>
      <c r="N519">
        <v>0</v>
      </c>
      <c r="O519">
        <v>2</v>
      </c>
      <c r="P519" s="1">
        <f t="shared" si="33"/>
        <v>0</v>
      </c>
      <c r="Q519">
        <f t="shared" si="34"/>
        <v>2</v>
      </c>
      <c r="R519" s="1">
        <f t="shared" si="35"/>
        <v>0</v>
      </c>
    </row>
    <row r="520" spans="1:18" hidden="1" x14ac:dyDescent="0.3">
      <c r="A520" t="s">
        <v>4513</v>
      </c>
      <c r="B520" t="s">
        <v>4514</v>
      </c>
      <c r="C520" t="s">
        <v>47</v>
      </c>
      <c r="D520">
        <v>1</v>
      </c>
      <c r="E520">
        <v>0</v>
      </c>
      <c r="G520" s="1">
        <v>0</v>
      </c>
      <c r="H520">
        <v>0</v>
      </c>
      <c r="I520">
        <v>0.5</v>
      </c>
      <c r="J520">
        <v>1</v>
      </c>
      <c r="K520">
        <v>1</v>
      </c>
      <c r="L520">
        <f t="shared" si="32"/>
        <v>2</v>
      </c>
      <c r="M520">
        <v>0</v>
      </c>
      <c r="N520">
        <v>0</v>
      </c>
      <c r="O520">
        <v>2</v>
      </c>
      <c r="P520" s="1">
        <f t="shared" si="33"/>
        <v>0</v>
      </c>
      <c r="Q520">
        <f t="shared" si="34"/>
        <v>2</v>
      </c>
      <c r="R520" s="1">
        <f t="shared" si="35"/>
        <v>0</v>
      </c>
    </row>
    <row r="521" spans="1:18" hidden="1" x14ac:dyDescent="0.3">
      <c r="A521" t="s">
        <v>4515</v>
      </c>
      <c r="B521" t="s">
        <v>4516</v>
      </c>
      <c r="C521" t="s">
        <v>47</v>
      </c>
      <c r="D521">
        <v>1</v>
      </c>
      <c r="E521">
        <v>0</v>
      </c>
      <c r="G521" s="1">
        <v>0</v>
      </c>
      <c r="H521">
        <v>0</v>
      </c>
      <c r="I521">
        <v>0.5</v>
      </c>
      <c r="J521">
        <v>1</v>
      </c>
      <c r="K521">
        <v>1</v>
      </c>
      <c r="L521">
        <f t="shared" si="32"/>
        <v>2</v>
      </c>
      <c r="M521">
        <v>0</v>
      </c>
      <c r="N521">
        <v>0</v>
      </c>
      <c r="O521">
        <v>2</v>
      </c>
      <c r="P521" s="1">
        <f t="shared" si="33"/>
        <v>0</v>
      </c>
      <c r="Q521">
        <f t="shared" si="34"/>
        <v>2</v>
      </c>
      <c r="R521" s="1">
        <f t="shared" si="35"/>
        <v>0</v>
      </c>
    </row>
    <row r="522" spans="1:18" hidden="1" x14ac:dyDescent="0.3">
      <c r="A522" t="s">
        <v>4517</v>
      </c>
      <c r="B522" t="s">
        <v>4518</v>
      </c>
      <c r="C522" t="s">
        <v>47</v>
      </c>
      <c r="D522">
        <v>1</v>
      </c>
      <c r="E522">
        <v>0</v>
      </c>
      <c r="G522" s="1">
        <v>0</v>
      </c>
      <c r="H522">
        <v>0</v>
      </c>
      <c r="I522">
        <v>0.5</v>
      </c>
      <c r="J522">
        <v>1</v>
      </c>
      <c r="K522">
        <v>1</v>
      </c>
      <c r="L522">
        <f t="shared" si="32"/>
        <v>2</v>
      </c>
      <c r="M522">
        <v>0</v>
      </c>
      <c r="N522">
        <v>0</v>
      </c>
      <c r="O522">
        <v>2</v>
      </c>
      <c r="P522" s="1">
        <f t="shared" si="33"/>
        <v>0</v>
      </c>
      <c r="Q522">
        <f t="shared" si="34"/>
        <v>2</v>
      </c>
      <c r="R522" s="1">
        <f t="shared" si="35"/>
        <v>0</v>
      </c>
    </row>
    <row r="523" spans="1:18" hidden="1" x14ac:dyDescent="0.3">
      <c r="A523" t="s">
        <v>4519</v>
      </c>
      <c r="B523" t="s">
        <v>4520</v>
      </c>
      <c r="C523" t="s">
        <v>47</v>
      </c>
      <c r="D523">
        <v>1</v>
      </c>
      <c r="E523">
        <v>0</v>
      </c>
      <c r="G523" s="1">
        <v>0</v>
      </c>
      <c r="H523">
        <v>0</v>
      </c>
      <c r="I523">
        <v>0.5</v>
      </c>
      <c r="J523">
        <v>1</v>
      </c>
      <c r="K523">
        <v>1</v>
      </c>
      <c r="L523">
        <f t="shared" si="32"/>
        <v>2</v>
      </c>
      <c r="M523">
        <v>0</v>
      </c>
      <c r="N523">
        <v>0</v>
      </c>
      <c r="O523">
        <v>2</v>
      </c>
      <c r="P523" s="1">
        <f t="shared" si="33"/>
        <v>0</v>
      </c>
      <c r="Q523">
        <f t="shared" si="34"/>
        <v>2</v>
      </c>
      <c r="R523" s="1">
        <f t="shared" si="35"/>
        <v>0</v>
      </c>
    </row>
    <row r="524" spans="1:18" hidden="1" x14ac:dyDescent="0.3">
      <c r="A524" t="s">
        <v>4521</v>
      </c>
      <c r="B524" t="s">
        <v>4522</v>
      </c>
      <c r="C524" t="s">
        <v>47</v>
      </c>
      <c r="D524">
        <v>2</v>
      </c>
      <c r="E524">
        <v>1</v>
      </c>
      <c r="F524" t="s">
        <v>1073</v>
      </c>
      <c r="G524" s="1">
        <v>53900</v>
      </c>
      <c r="H524">
        <v>0</v>
      </c>
      <c r="I524">
        <v>0.7</v>
      </c>
      <c r="J524">
        <v>1</v>
      </c>
      <c r="K524">
        <v>1</v>
      </c>
      <c r="L524">
        <f t="shared" si="32"/>
        <v>2</v>
      </c>
      <c r="M524">
        <v>0</v>
      </c>
      <c r="N524">
        <v>0</v>
      </c>
      <c r="O524">
        <v>3</v>
      </c>
      <c r="P524" s="1">
        <f t="shared" si="33"/>
        <v>0</v>
      </c>
      <c r="Q524">
        <f t="shared" si="34"/>
        <v>3</v>
      </c>
      <c r="R524" s="1">
        <f t="shared" si="35"/>
        <v>161700</v>
      </c>
    </row>
    <row r="525" spans="1:18" hidden="1" x14ac:dyDescent="0.3">
      <c r="A525" t="s">
        <v>4523</v>
      </c>
      <c r="B525" t="s">
        <v>4524</v>
      </c>
      <c r="C525" t="s">
        <v>47</v>
      </c>
      <c r="D525">
        <v>1</v>
      </c>
      <c r="E525">
        <v>0</v>
      </c>
      <c r="G525" s="1">
        <v>0</v>
      </c>
      <c r="H525">
        <v>0</v>
      </c>
      <c r="I525">
        <v>0.5</v>
      </c>
      <c r="J525">
        <v>1</v>
      </c>
      <c r="K525">
        <v>1</v>
      </c>
      <c r="L525">
        <f t="shared" si="32"/>
        <v>2</v>
      </c>
      <c r="M525">
        <v>0</v>
      </c>
      <c r="N525">
        <v>0</v>
      </c>
      <c r="O525">
        <v>2</v>
      </c>
      <c r="P525" s="1">
        <f t="shared" si="33"/>
        <v>0</v>
      </c>
      <c r="Q525">
        <f t="shared" si="34"/>
        <v>2</v>
      </c>
      <c r="R525" s="1">
        <f t="shared" si="35"/>
        <v>0</v>
      </c>
    </row>
    <row r="526" spans="1:18" hidden="1" x14ac:dyDescent="0.3">
      <c r="A526" t="s">
        <v>4525</v>
      </c>
      <c r="B526" t="s">
        <v>4526</v>
      </c>
      <c r="C526" t="s">
        <v>47</v>
      </c>
      <c r="D526">
        <v>1</v>
      </c>
      <c r="E526">
        <v>0</v>
      </c>
      <c r="G526" s="1">
        <v>0</v>
      </c>
      <c r="H526">
        <v>0</v>
      </c>
      <c r="I526">
        <v>0.5</v>
      </c>
      <c r="J526">
        <v>1</v>
      </c>
      <c r="K526">
        <v>1</v>
      </c>
      <c r="L526">
        <f t="shared" si="32"/>
        <v>2</v>
      </c>
      <c r="M526">
        <v>0</v>
      </c>
      <c r="N526">
        <v>0</v>
      </c>
      <c r="O526">
        <v>2</v>
      </c>
      <c r="P526" s="1">
        <f t="shared" si="33"/>
        <v>0</v>
      </c>
      <c r="Q526">
        <f t="shared" si="34"/>
        <v>2</v>
      </c>
      <c r="R526" s="1">
        <f t="shared" si="35"/>
        <v>0</v>
      </c>
    </row>
    <row r="527" spans="1:18" hidden="1" x14ac:dyDescent="0.3">
      <c r="A527" t="s">
        <v>4527</v>
      </c>
      <c r="B527" t="s">
        <v>4528</v>
      </c>
      <c r="C527" t="s">
        <v>47</v>
      </c>
      <c r="D527">
        <v>42</v>
      </c>
      <c r="E527">
        <v>4</v>
      </c>
      <c r="F527" t="s">
        <v>3082</v>
      </c>
      <c r="G527" s="1">
        <v>6923.88</v>
      </c>
      <c r="H527">
        <v>1</v>
      </c>
      <c r="I527">
        <v>0.9</v>
      </c>
      <c r="J527">
        <v>1</v>
      </c>
      <c r="K527">
        <v>1</v>
      </c>
      <c r="L527">
        <f t="shared" si="32"/>
        <v>2</v>
      </c>
      <c r="M527">
        <v>0</v>
      </c>
      <c r="N527">
        <v>0</v>
      </c>
      <c r="O527">
        <v>3</v>
      </c>
      <c r="P527" s="1">
        <f t="shared" si="33"/>
        <v>0</v>
      </c>
      <c r="Q527">
        <f t="shared" si="34"/>
        <v>3</v>
      </c>
      <c r="R527" s="1">
        <f t="shared" si="35"/>
        <v>20771.64</v>
      </c>
    </row>
    <row r="528" spans="1:18" hidden="1" x14ac:dyDescent="0.3">
      <c r="A528" t="s">
        <v>4529</v>
      </c>
      <c r="B528" t="s">
        <v>4530</v>
      </c>
      <c r="C528" t="s">
        <v>47</v>
      </c>
      <c r="D528">
        <v>1</v>
      </c>
      <c r="E528">
        <v>1</v>
      </c>
      <c r="F528" t="s">
        <v>2646</v>
      </c>
      <c r="G528" s="1">
        <v>6267</v>
      </c>
      <c r="H528">
        <v>0</v>
      </c>
      <c r="I528">
        <v>0.9</v>
      </c>
      <c r="J528">
        <v>1</v>
      </c>
      <c r="K528">
        <v>1</v>
      </c>
      <c r="L528">
        <f t="shared" si="32"/>
        <v>2</v>
      </c>
      <c r="M528">
        <v>0</v>
      </c>
      <c r="N528">
        <v>0</v>
      </c>
      <c r="O528">
        <v>3</v>
      </c>
      <c r="P528" s="1">
        <f t="shared" si="33"/>
        <v>0</v>
      </c>
      <c r="Q528">
        <f t="shared" si="34"/>
        <v>3</v>
      </c>
      <c r="R528" s="1">
        <f t="shared" si="35"/>
        <v>18801</v>
      </c>
    </row>
    <row r="529" spans="1:18" hidden="1" x14ac:dyDescent="0.3">
      <c r="A529" t="s">
        <v>4531</v>
      </c>
      <c r="B529" t="s">
        <v>4532</v>
      </c>
      <c r="C529" t="s">
        <v>47</v>
      </c>
      <c r="D529">
        <v>1</v>
      </c>
      <c r="E529">
        <v>0</v>
      </c>
      <c r="G529" s="1">
        <v>0</v>
      </c>
      <c r="H529">
        <v>0</v>
      </c>
      <c r="I529">
        <v>0.5</v>
      </c>
      <c r="J529">
        <v>1</v>
      </c>
      <c r="K529">
        <v>1</v>
      </c>
      <c r="L529">
        <f t="shared" si="32"/>
        <v>2</v>
      </c>
      <c r="M529">
        <v>0</v>
      </c>
      <c r="N529">
        <v>0</v>
      </c>
      <c r="O529">
        <v>2</v>
      </c>
      <c r="P529" s="1">
        <f t="shared" si="33"/>
        <v>0</v>
      </c>
      <c r="Q529">
        <f t="shared" si="34"/>
        <v>2</v>
      </c>
      <c r="R529" s="1">
        <f t="shared" si="35"/>
        <v>0</v>
      </c>
    </row>
    <row r="530" spans="1:18" hidden="1" x14ac:dyDescent="0.3">
      <c r="A530" t="s">
        <v>4533</v>
      </c>
      <c r="B530" t="s">
        <v>4534</v>
      </c>
      <c r="C530" t="s">
        <v>47</v>
      </c>
      <c r="D530">
        <v>1</v>
      </c>
      <c r="E530">
        <v>7</v>
      </c>
      <c r="F530" t="s">
        <v>77</v>
      </c>
      <c r="G530" s="1">
        <v>3636.07</v>
      </c>
      <c r="H530">
        <v>0</v>
      </c>
      <c r="I530">
        <v>0.5</v>
      </c>
      <c r="J530">
        <v>7</v>
      </c>
      <c r="K530">
        <v>4</v>
      </c>
      <c r="L530">
        <f t="shared" si="32"/>
        <v>8</v>
      </c>
      <c r="M530">
        <v>0</v>
      </c>
      <c r="N530">
        <v>0</v>
      </c>
      <c r="O530">
        <v>18</v>
      </c>
      <c r="P530" s="1">
        <f t="shared" si="33"/>
        <v>0</v>
      </c>
      <c r="Q530">
        <f t="shared" si="34"/>
        <v>18</v>
      </c>
      <c r="R530" s="1">
        <f t="shared" si="35"/>
        <v>65449.26</v>
      </c>
    </row>
    <row r="531" spans="1:18" hidden="1" x14ac:dyDescent="0.3">
      <c r="A531" t="s">
        <v>4535</v>
      </c>
      <c r="B531" t="s">
        <v>4536</v>
      </c>
      <c r="C531" t="s">
        <v>47</v>
      </c>
      <c r="D531">
        <v>1</v>
      </c>
      <c r="E531">
        <v>1</v>
      </c>
      <c r="F531" t="s">
        <v>3485</v>
      </c>
      <c r="G531" s="1">
        <v>230.1</v>
      </c>
      <c r="H531">
        <v>0</v>
      </c>
      <c r="I531">
        <v>0.5</v>
      </c>
      <c r="J531">
        <v>1</v>
      </c>
      <c r="K531">
        <v>1</v>
      </c>
      <c r="L531">
        <f t="shared" si="32"/>
        <v>2</v>
      </c>
      <c r="M531">
        <v>0</v>
      </c>
      <c r="N531">
        <v>0</v>
      </c>
      <c r="O531">
        <v>2</v>
      </c>
      <c r="P531" s="1">
        <f t="shared" si="33"/>
        <v>0</v>
      </c>
      <c r="Q531">
        <f t="shared" si="34"/>
        <v>2</v>
      </c>
      <c r="R531" s="1">
        <f t="shared" si="35"/>
        <v>460.2</v>
      </c>
    </row>
    <row r="532" spans="1:18" hidden="1" x14ac:dyDescent="0.3">
      <c r="A532" t="s">
        <v>4537</v>
      </c>
      <c r="B532" t="s">
        <v>4538</v>
      </c>
      <c r="C532" t="s">
        <v>47</v>
      </c>
      <c r="D532">
        <v>13</v>
      </c>
      <c r="E532">
        <v>42</v>
      </c>
      <c r="F532" t="s">
        <v>4539</v>
      </c>
      <c r="G532" s="1">
        <v>645.02</v>
      </c>
      <c r="H532">
        <v>1</v>
      </c>
      <c r="I532">
        <v>0.5</v>
      </c>
      <c r="J532">
        <v>3.5</v>
      </c>
      <c r="K532">
        <v>2</v>
      </c>
      <c r="L532">
        <f t="shared" si="32"/>
        <v>4</v>
      </c>
      <c r="M532">
        <v>0</v>
      </c>
      <c r="N532">
        <v>0</v>
      </c>
      <c r="O532">
        <v>9</v>
      </c>
      <c r="P532" s="1">
        <f t="shared" si="33"/>
        <v>0</v>
      </c>
      <c r="Q532">
        <f t="shared" si="34"/>
        <v>9</v>
      </c>
      <c r="R532" s="1">
        <f t="shared" si="35"/>
        <v>5805.18</v>
      </c>
    </row>
    <row r="533" spans="1:18" hidden="1" x14ac:dyDescent="0.3">
      <c r="A533" t="s">
        <v>4540</v>
      </c>
      <c r="B533" t="s">
        <v>4541</v>
      </c>
      <c r="C533" t="s">
        <v>47</v>
      </c>
      <c r="D533">
        <v>1</v>
      </c>
      <c r="E533">
        <v>0</v>
      </c>
      <c r="G533" s="1">
        <v>0</v>
      </c>
      <c r="H533">
        <v>0</v>
      </c>
      <c r="I533">
        <v>0.5</v>
      </c>
      <c r="J533">
        <v>1</v>
      </c>
      <c r="K533">
        <v>1</v>
      </c>
      <c r="L533">
        <f t="shared" si="32"/>
        <v>2</v>
      </c>
      <c r="M533">
        <v>0</v>
      </c>
      <c r="N533">
        <v>0</v>
      </c>
      <c r="O533">
        <v>2</v>
      </c>
      <c r="P533" s="1">
        <f t="shared" si="33"/>
        <v>0</v>
      </c>
      <c r="Q533">
        <f t="shared" si="34"/>
        <v>2</v>
      </c>
      <c r="R533" s="1">
        <f t="shared" si="35"/>
        <v>0</v>
      </c>
    </row>
    <row r="534" spans="1:18" hidden="1" x14ac:dyDescent="0.3">
      <c r="A534" t="s">
        <v>4542</v>
      </c>
      <c r="B534" t="s">
        <v>4543</v>
      </c>
      <c r="C534" t="s">
        <v>47</v>
      </c>
      <c r="D534">
        <v>1</v>
      </c>
      <c r="E534">
        <v>0</v>
      </c>
      <c r="G534" s="1">
        <v>0</v>
      </c>
      <c r="H534">
        <v>0</v>
      </c>
      <c r="I534">
        <v>0.5</v>
      </c>
      <c r="J534">
        <v>1</v>
      </c>
      <c r="K534">
        <v>1</v>
      </c>
      <c r="L534">
        <f t="shared" si="32"/>
        <v>2</v>
      </c>
      <c r="M534">
        <v>0</v>
      </c>
      <c r="N534">
        <v>0</v>
      </c>
      <c r="O534">
        <v>2</v>
      </c>
      <c r="P534" s="1">
        <f t="shared" si="33"/>
        <v>0</v>
      </c>
      <c r="Q534">
        <f t="shared" si="34"/>
        <v>2</v>
      </c>
      <c r="R534" s="1">
        <f t="shared" si="35"/>
        <v>0</v>
      </c>
    </row>
    <row r="535" spans="1:18" hidden="1" x14ac:dyDescent="0.3">
      <c r="A535" t="s">
        <v>4544</v>
      </c>
      <c r="B535" t="s">
        <v>4545</v>
      </c>
      <c r="C535" t="s">
        <v>47</v>
      </c>
      <c r="D535">
        <v>1</v>
      </c>
      <c r="E535">
        <v>0</v>
      </c>
      <c r="G535" s="1">
        <v>0</v>
      </c>
      <c r="H535">
        <v>0</v>
      </c>
      <c r="I535">
        <v>0.5</v>
      </c>
      <c r="J535">
        <v>1</v>
      </c>
      <c r="K535">
        <v>1</v>
      </c>
      <c r="L535">
        <f t="shared" si="32"/>
        <v>2</v>
      </c>
      <c r="M535">
        <v>0</v>
      </c>
      <c r="N535">
        <v>0</v>
      </c>
      <c r="O535">
        <v>2</v>
      </c>
      <c r="P535" s="1">
        <f t="shared" si="33"/>
        <v>0</v>
      </c>
      <c r="Q535">
        <f t="shared" si="34"/>
        <v>2</v>
      </c>
      <c r="R535" s="1">
        <f t="shared" si="35"/>
        <v>0</v>
      </c>
    </row>
    <row r="536" spans="1:18" hidden="1" x14ac:dyDescent="0.3">
      <c r="A536" t="s">
        <v>4546</v>
      </c>
      <c r="B536" t="s">
        <v>4547</v>
      </c>
      <c r="C536" t="s">
        <v>47</v>
      </c>
      <c r="D536">
        <v>1</v>
      </c>
      <c r="E536">
        <v>1</v>
      </c>
      <c r="F536" t="s">
        <v>1073</v>
      </c>
      <c r="G536" s="1">
        <v>7868</v>
      </c>
      <c r="H536">
        <v>1</v>
      </c>
      <c r="I536">
        <v>0.6</v>
      </c>
      <c r="J536">
        <v>1</v>
      </c>
      <c r="K536">
        <v>1</v>
      </c>
      <c r="L536">
        <f t="shared" si="32"/>
        <v>2</v>
      </c>
      <c r="M536">
        <v>0</v>
      </c>
      <c r="N536">
        <v>0</v>
      </c>
      <c r="O536">
        <v>3</v>
      </c>
      <c r="P536" s="1">
        <f t="shared" si="33"/>
        <v>0</v>
      </c>
      <c r="Q536">
        <f t="shared" si="34"/>
        <v>3</v>
      </c>
      <c r="R536" s="1">
        <f t="shared" si="35"/>
        <v>23604</v>
      </c>
    </row>
    <row r="537" spans="1:18" hidden="1" x14ac:dyDescent="0.3">
      <c r="A537" t="s">
        <v>4548</v>
      </c>
      <c r="B537" t="s">
        <v>4549</v>
      </c>
      <c r="C537" t="s">
        <v>47</v>
      </c>
      <c r="D537">
        <v>13</v>
      </c>
      <c r="E537">
        <v>7</v>
      </c>
      <c r="F537" t="s">
        <v>1073</v>
      </c>
      <c r="G537" s="1">
        <v>16392</v>
      </c>
      <c r="H537">
        <v>6</v>
      </c>
      <c r="I537">
        <v>1.2</v>
      </c>
      <c r="J537">
        <v>1</v>
      </c>
      <c r="K537">
        <v>1</v>
      </c>
      <c r="L537">
        <f t="shared" si="32"/>
        <v>3</v>
      </c>
      <c r="M537">
        <v>0</v>
      </c>
      <c r="N537">
        <v>0</v>
      </c>
      <c r="O537">
        <v>3</v>
      </c>
      <c r="P537" s="1">
        <f t="shared" si="33"/>
        <v>0</v>
      </c>
      <c r="Q537">
        <f t="shared" si="34"/>
        <v>3</v>
      </c>
      <c r="R537" s="1">
        <f t="shared" si="35"/>
        <v>49176</v>
      </c>
    </row>
    <row r="538" spans="1:18" hidden="1" x14ac:dyDescent="0.3">
      <c r="A538" t="s">
        <v>4550</v>
      </c>
      <c r="B538" t="s">
        <v>4551</v>
      </c>
      <c r="C538" t="s">
        <v>47</v>
      </c>
      <c r="D538">
        <v>1</v>
      </c>
      <c r="E538">
        <v>1</v>
      </c>
      <c r="F538" t="s">
        <v>124</v>
      </c>
      <c r="G538" s="1">
        <v>8453.75</v>
      </c>
      <c r="H538">
        <v>1</v>
      </c>
      <c r="I538">
        <v>0.5</v>
      </c>
      <c r="J538">
        <v>1</v>
      </c>
      <c r="K538">
        <v>1</v>
      </c>
      <c r="L538">
        <f t="shared" si="32"/>
        <v>2</v>
      </c>
      <c r="M538">
        <v>0</v>
      </c>
      <c r="N538">
        <v>0</v>
      </c>
      <c r="O538">
        <v>2</v>
      </c>
      <c r="P538" s="1">
        <f t="shared" si="33"/>
        <v>0</v>
      </c>
      <c r="Q538">
        <f t="shared" si="34"/>
        <v>2</v>
      </c>
      <c r="R538" s="1">
        <f t="shared" si="35"/>
        <v>16907.5</v>
      </c>
    </row>
    <row r="539" spans="1:18" hidden="1" x14ac:dyDescent="0.3">
      <c r="A539" t="s">
        <v>4552</v>
      </c>
      <c r="B539" t="s">
        <v>4553</v>
      </c>
      <c r="C539" t="s">
        <v>47</v>
      </c>
      <c r="D539">
        <v>1</v>
      </c>
      <c r="E539">
        <v>1</v>
      </c>
      <c r="F539" t="s">
        <v>1995</v>
      </c>
      <c r="G539" s="1">
        <v>9999</v>
      </c>
      <c r="H539">
        <v>0</v>
      </c>
      <c r="I539">
        <v>0.5</v>
      </c>
      <c r="J539">
        <v>1</v>
      </c>
      <c r="K539">
        <v>1</v>
      </c>
      <c r="L539">
        <f t="shared" si="32"/>
        <v>2</v>
      </c>
      <c r="M539">
        <v>0</v>
      </c>
      <c r="N539">
        <v>0</v>
      </c>
      <c r="O539">
        <v>2</v>
      </c>
      <c r="P539" s="1">
        <f t="shared" si="33"/>
        <v>0</v>
      </c>
      <c r="Q539">
        <f t="shared" si="34"/>
        <v>2</v>
      </c>
      <c r="R539" s="1">
        <f t="shared" si="35"/>
        <v>19998</v>
      </c>
    </row>
    <row r="540" spans="1:18" hidden="1" x14ac:dyDescent="0.3">
      <c r="A540" t="s">
        <v>4075</v>
      </c>
      <c r="B540" t="s">
        <v>4554</v>
      </c>
      <c r="C540" t="s">
        <v>47</v>
      </c>
      <c r="D540">
        <v>7</v>
      </c>
      <c r="E540">
        <v>1006</v>
      </c>
      <c r="F540" t="s">
        <v>3488</v>
      </c>
      <c r="G540" s="1">
        <v>5.6</v>
      </c>
      <c r="H540">
        <v>0</v>
      </c>
      <c r="I540">
        <v>0.5</v>
      </c>
      <c r="J540">
        <v>144</v>
      </c>
      <c r="K540">
        <v>72</v>
      </c>
      <c r="L540">
        <f t="shared" si="32"/>
        <v>144</v>
      </c>
      <c r="M540">
        <v>0</v>
      </c>
      <c r="N540">
        <v>0</v>
      </c>
      <c r="O540">
        <v>360</v>
      </c>
      <c r="P540" s="1">
        <f t="shared" si="33"/>
        <v>0</v>
      </c>
      <c r="Q540">
        <f t="shared" si="34"/>
        <v>360</v>
      </c>
      <c r="R540" s="1">
        <f t="shared" si="35"/>
        <v>2015.9999999999998</v>
      </c>
    </row>
    <row r="541" spans="1:18" hidden="1" x14ac:dyDescent="0.3">
      <c r="A541" t="s">
        <v>4555</v>
      </c>
      <c r="B541" t="s">
        <v>4556</v>
      </c>
      <c r="C541" t="s">
        <v>47</v>
      </c>
      <c r="D541">
        <v>1</v>
      </c>
      <c r="E541">
        <v>1</v>
      </c>
      <c r="F541" t="s">
        <v>4557</v>
      </c>
      <c r="G541" s="1">
        <v>2195.15</v>
      </c>
      <c r="H541">
        <v>0</v>
      </c>
      <c r="I541">
        <v>0.5</v>
      </c>
      <c r="J541">
        <v>1</v>
      </c>
      <c r="K541">
        <v>1</v>
      </c>
      <c r="L541">
        <f t="shared" si="32"/>
        <v>2</v>
      </c>
      <c r="M541">
        <v>0</v>
      </c>
      <c r="N541">
        <v>0</v>
      </c>
      <c r="O541">
        <v>2</v>
      </c>
      <c r="P541" s="1">
        <f t="shared" si="33"/>
        <v>0</v>
      </c>
      <c r="Q541">
        <f t="shared" si="34"/>
        <v>2</v>
      </c>
      <c r="R541" s="1">
        <f t="shared" si="35"/>
        <v>4390.3</v>
      </c>
    </row>
    <row r="542" spans="1:18" hidden="1" x14ac:dyDescent="0.3">
      <c r="A542" t="s">
        <v>4558</v>
      </c>
      <c r="B542" t="s">
        <v>4559</v>
      </c>
      <c r="C542" t="s">
        <v>47</v>
      </c>
      <c r="D542">
        <v>1</v>
      </c>
      <c r="E542">
        <v>0</v>
      </c>
      <c r="G542" s="1">
        <v>0</v>
      </c>
      <c r="H542">
        <v>1</v>
      </c>
      <c r="I542">
        <v>0.5</v>
      </c>
      <c r="J542">
        <v>1</v>
      </c>
      <c r="K542">
        <v>1</v>
      </c>
      <c r="L542">
        <f t="shared" si="32"/>
        <v>2</v>
      </c>
      <c r="M542">
        <v>0</v>
      </c>
      <c r="N542">
        <v>0</v>
      </c>
      <c r="O542">
        <v>2</v>
      </c>
      <c r="P542" s="1">
        <f t="shared" si="33"/>
        <v>0</v>
      </c>
      <c r="Q542">
        <f t="shared" si="34"/>
        <v>2</v>
      </c>
      <c r="R542" s="1">
        <f t="shared" si="35"/>
        <v>0</v>
      </c>
    </row>
    <row r="543" spans="1:18" hidden="1" x14ac:dyDescent="0.3">
      <c r="A543" t="s">
        <v>4560</v>
      </c>
      <c r="B543" t="s">
        <v>4561</v>
      </c>
      <c r="C543" t="s">
        <v>47</v>
      </c>
      <c r="D543">
        <v>1</v>
      </c>
      <c r="E543">
        <v>0</v>
      </c>
      <c r="G543" s="1">
        <v>0</v>
      </c>
      <c r="H543">
        <v>0</v>
      </c>
      <c r="I543">
        <v>0.5</v>
      </c>
      <c r="J543">
        <v>1</v>
      </c>
      <c r="K543">
        <v>1</v>
      </c>
      <c r="L543">
        <f t="shared" si="32"/>
        <v>2</v>
      </c>
      <c r="M543">
        <v>0</v>
      </c>
      <c r="N543">
        <v>0</v>
      </c>
      <c r="O543">
        <v>2</v>
      </c>
      <c r="P543" s="1">
        <f t="shared" si="33"/>
        <v>0</v>
      </c>
      <c r="Q543">
        <f t="shared" si="34"/>
        <v>2</v>
      </c>
      <c r="R543" s="1">
        <f t="shared" si="35"/>
        <v>0</v>
      </c>
    </row>
    <row r="544" spans="1:18" hidden="1" x14ac:dyDescent="0.3">
      <c r="A544" t="s">
        <v>4562</v>
      </c>
      <c r="B544" t="s">
        <v>4563</v>
      </c>
      <c r="C544" t="s">
        <v>47</v>
      </c>
      <c r="D544">
        <v>1</v>
      </c>
      <c r="E544">
        <v>0</v>
      </c>
      <c r="G544" s="1">
        <v>0</v>
      </c>
      <c r="H544">
        <v>0</v>
      </c>
      <c r="I544">
        <v>0.5</v>
      </c>
      <c r="J544">
        <v>1</v>
      </c>
      <c r="K544">
        <v>1</v>
      </c>
      <c r="L544">
        <f t="shared" si="32"/>
        <v>2</v>
      </c>
      <c r="M544">
        <v>0</v>
      </c>
      <c r="N544">
        <v>0</v>
      </c>
      <c r="O544">
        <v>2</v>
      </c>
      <c r="P544" s="1">
        <f t="shared" si="33"/>
        <v>0</v>
      </c>
      <c r="Q544">
        <f t="shared" si="34"/>
        <v>2</v>
      </c>
      <c r="R544" s="1">
        <f t="shared" si="35"/>
        <v>0</v>
      </c>
    </row>
    <row r="545" spans="1:18" hidden="1" x14ac:dyDescent="0.3">
      <c r="A545" t="s">
        <v>4564</v>
      </c>
      <c r="B545" t="s">
        <v>4565</v>
      </c>
      <c r="C545" t="s">
        <v>47</v>
      </c>
      <c r="D545">
        <v>1</v>
      </c>
      <c r="E545">
        <v>200</v>
      </c>
      <c r="F545" t="s">
        <v>3485</v>
      </c>
      <c r="G545" s="1">
        <v>111.3</v>
      </c>
      <c r="H545">
        <v>0</v>
      </c>
      <c r="I545">
        <v>0.5</v>
      </c>
      <c r="J545">
        <v>200</v>
      </c>
      <c r="K545">
        <v>100</v>
      </c>
      <c r="L545">
        <f t="shared" si="32"/>
        <v>200</v>
      </c>
      <c r="M545">
        <v>0</v>
      </c>
      <c r="N545">
        <v>0</v>
      </c>
      <c r="O545">
        <v>500</v>
      </c>
      <c r="P545" s="1">
        <f t="shared" si="33"/>
        <v>0</v>
      </c>
      <c r="Q545">
        <f t="shared" si="34"/>
        <v>500</v>
      </c>
      <c r="R545" s="1">
        <f t="shared" si="35"/>
        <v>55650</v>
      </c>
    </row>
    <row r="546" spans="1:18" hidden="1" x14ac:dyDescent="0.3">
      <c r="A546" t="s">
        <v>4566</v>
      </c>
      <c r="B546" t="s">
        <v>4567</v>
      </c>
      <c r="C546" t="s">
        <v>47</v>
      </c>
      <c r="D546">
        <v>1</v>
      </c>
      <c r="E546">
        <v>0</v>
      </c>
      <c r="G546" s="1">
        <v>0</v>
      </c>
      <c r="H546">
        <v>0</v>
      </c>
      <c r="I546">
        <v>0.5</v>
      </c>
      <c r="J546">
        <v>1</v>
      </c>
      <c r="K546">
        <v>1</v>
      </c>
      <c r="L546">
        <f t="shared" si="32"/>
        <v>2</v>
      </c>
      <c r="M546">
        <v>0</v>
      </c>
      <c r="N546">
        <v>0</v>
      </c>
      <c r="O546">
        <v>2</v>
      </c>
      <c r="P546" s="1">
        <f t="shared" si="33"/>
        <v>0</v>
      </c>
      <c r="Q546">
        <f t="shared" si="34"/>
        <v>2</v>
      </c>
      <c r="R546" s="1">
        <f t="shared" si="35"/>
        <v>0</v>
      </c>
    </row>
    <row r="547" spans="1:18" hidden="1" x14ac:dyDescent="0.3">
      <c r="A547" t="s">
        <v>4568</v>
      </c>
      <c r="B547" t="s">
        <v>4569</v>
      </c>
      <c r="C547" t="s">
        <v>47</v>
      </c>
      <c r="D547">
        <v>1</v>
      </c>
      <c r="E547">
        <v>0</v>
      </c>
      <c r="G547" s="1">
        <v>0</v>
      </c>
      <c r="H547">
        <v>0</v>
      </c>
      <c r="I547">
        <v>0.5</v>
      </c>
      <c r="J547">
        <v>1</v>
      </c>
      <c r="K547">
        <v>1</v>
      </c>
      <c r="L547">
        <f t="shared" si="32"/>
        <v>2</v>
      </c>
      <c r="M547">
        <v>0</v>
      </c>
      <c r="N547">
        <v>0</v>
      </c>
      <c r="O547">
        <v>2</v>
      </c>
      <c r="P547" s="1">
        <f t="shared" si="33"/>
        <v>0</v>
      </c>
      <c r="Q547">
        <f t="shared" si="34"/>
        <v>2</v>
      </c>
      <c r="R547" s="1">
        <f t="shared" si="35"/>
        <v>0</v>
      </c>
    </row>
    <row r="548" spans="1:18" hidden="1" x14ac:dyDescent="0.3">
      <c r="A548" t="s">
        <v>4570</v>
      </c>
      <c r="B548" t="s">
        <v>4571</v>
      </c>
      <c r="C548" t="s">
        <v>47</v>
      </c>
      <c r="D548">
        <v>1</v>
      </c>
      <c r="E548">
        <v>0</v>
      </c>
      <c r="G548" s="1">
        <v>0</v>
      </c>
      <c r="H548">
        <v>0</v>
      </c>
      <c r="I548">
        <v>0.5</v>
      </c>
      <c r="J548">
        <v>1</v>
      </c>
      <c r="K548">
        <v>1</v>
      </c>
      <c r="L548">
        <f t="shared" si="32"/>
        <v>2</v>
      </c>
      <c r="M548">
        <v>0</v>
      </c>
      <c r="N548">
        <v>0</v>
      </c>
      <c r="O548">
        <v>2</v>
      </c>
      <c r="P548" s="1">
        <f t="shared" si="33"/>
        <v>0</v>
      </c>
      <c r="Q548">
        <f t="shared" si="34"/>
        <v>2</v>
      </c>
      <c r="R548" s="1">
        <f t="shared" si="35"/>
        <v>0</v>
      </c>
    </row>
    <row r="549" spans="1:18" hidden="1" x14ac:dyDescent="0.3">
      <c r="A549" t="s">
        <v>4572</v>
      </c>
      <c r="B549" t="s">
        <v>4573</v>
      </c>
      <c r="C549" t="s">
        <v>47</v>
      </c>
      <c r="D549">
        <v>1</v>
      </c>
      <c r="E549">
        <v>0</v>
      </c>
      <c r="G549" s="1">
        <v>0</v>
      </c>
      <c r="H549">
        <v>0</v>
      </c>
      <c r="I549">
        <v>0.5</v>
      </c>
      <c r="J549">
        <v>1</v>
      </c>
      <c r="K549">
        <v>1</v>
      </c>
      <c r="L549">
        <f t="shared" si="32"/>
        <v>2</v>
      </c>
      <c r="M549">
        <v>0</v>
      </c>
      <c r="N549">
        <v>0</v>
      </c>
      <c r="O549">
        <v>2</v>
      </c>
      <c r="P549" s="1">
        <f t="shared" si="33"/>
        <v>0</v>
      </c>
      <c r="Q549">
        <f t="shared" si="34"/>
        <v>2</v>
      </c>
      <c r="R549" s="1">
        <f t="shared" si="35"/>
        <v>0</v>
      </c>
    </row>
    <row r="550" spans="1:18" hidden="1" x14ac:dyDescent="0.3">
      <c r="A550" t="s">
        <v>4574</v>
      </c>
      <c r="B550" t="s">
        <v>4575</v>
      </c>
      <c r="C550" t="s">
        <v>47</v>
      </c>
      <c r="D550">
        <v>1</v>
      </c>
      <c r="E550">
        <v>0</v>
      </c>
      <c r="G550" s="1">
        <v>0</v>
      </c>
      <c r="H550">
        <v>0</v>
      </c>
      <c r="I550">
        <v>0.5</v>
      </c>
      <c r="J550">
        <v>1</v>
      </c>
      <c r="K550">
        <v>1</v>
      </c>
      <c r="L550">
        <f t="shared" si="32"/>
        <v>2</v>
      </c>
      <c r="M550">
        <v>0</v>
      </c>
      <c r="N550">
        <v>0</v>
      </c>
      <c r="O550">
        <v>2</v>
      </c>
      <c r="P550" s="1">
        <f t="shared" si="33"/>
        <v>0</v>
      </c>
      <c r="Q550">
        <f t="shared" si="34"/>
        <v>2</v>
      </c>
      <c r="R550" s="1">
        <f t="shared" si="35"/>
        <v>0</v>
      </c>
    </row>
    <row r="551" spans="1:18" hidden="1" x14ac:dyDescent="0.3">
      <c r="A551" t="s">
        <v>4576</v>
      </c>
      <c r="B551" t="s">
        <v>4577</v>
      </c>
      <c r="C551" t="s">
        <v>47</v>
      </c>
      <c r="D551">
        <v>1</v>
      </c>
      <c r="E551">
        <v>0</v>
      </c>
      <c r="G551" s="1">
        <v>0</v>
      </c>
      <c r="H551">
        <v>0</v>
      </c>
      <c r="I551">
        <v>0.5</v>
      </c>
      <c r="J551">
        <v>1</v>
      </c>
      <c r="K551">
        <v>1</v>
      </c>
      <c r="L551">
        <f t="shared" si="32"/>
        <v>2</v>
      </c>
      <c r="M551">
        <v>0</v>
      </c>
      <c r="N551">
        <v>0</v>
      </c>
      <c r="O551">
        <v>2</v>
      </c>
      <c r="P551" s="1">
        <f t="shared" si="33"/>
        <v>0</v>
      </c>
      <c r="Q551">
        <f t="shared" si="34"/>
        <v>2</v>
      </c>
      <c r="R551" s="1">
        <f t="shared" si="35"/>
        <v>0</v>
      </c>
    </row>
    <row r="552" spans="1:18" hidden="1" x14ac:dyDescent="0.3">
      <c r="A552" t="s">
        <v>4578</v>
      </c>
      <c r="B552" t="s">
        <v>4579</v>
      </c>
      <c r="C552" t="s">
        <v>47</v>
      </c>
      <c r="D552">
        <v>1</v>
      </c>
      <c r="E552">
        <v>1</v>
      </c>
      <c r="F552" t="s">
        <v>4580</v>
      </c>
      <c r="G552" s="1">
        <v>1750</v>
      </c>
      <c r="H552">
        <v>0</v>
      </c>
      <c r="I552">
        <v>0.5</v>
      </c>
      <c r="J552">
        <v>1</v>
      </c>
      <c r="K552">
        <v>1</v>
      </c>
      <c r="L552">
        <f t="shared" si="32"/>
        <v>2</v>
      </c>
      <c r="M552">
        <v>0</v>
      </c>
      <c r="N552">
        <v>0</v>
      </c>
      <c r="O552">
        <v>2</v>
      </c>
      <c r="P552" s="1">
        <f t="shared" si="33"/>
        <v>0</v>
      </c>
      <c r="Q552">
        <f t="shared" si="34"/>
        <v>2</v>
      </c>
      <c r="R552" s="1">
        <f t="shared" si="35"/>
        <v>3500</v>
      </c>
    </row>
    <row r="553" spans="1:18" hidden="1" x14ac:dyDescent="0.3">
      <c r="A553" t="s">
        <v>4581</v>
      </c>
      <c r="B553" t="s">
        <v>4582</v>
      </c>
      <c r="C553" t="s">
        <v>47</v>
      </c>
      <c r="D553">
        <v>1</v>
      </c>
      <c r="E553">
        <v>0</v>
      </c>
      <c r="G553" s="1">
        <v>0</v>
      </c>
      <c r="H553">
        <v>0</v>
      </c>
      <c r="I553">
        <v>0.5</v>
      </c>
      <c r="J553">
        <v>1</v>
      </c>
      <c r="K553">
        <v>1</v>
      </c>
      <c r="L553">
        <f t="shared" si="32"/>
        <v>2</v>
      </c>
      <c r="M553">
        <v>0</v>
      </c>
      <c r="N553">
        <v>0</v>
      </c>
      <c r="O553">
        <v>2</v>
      </c>
      <c r="P553" s="1">
        <f t="shared" si="33"/>
        <v>0</v>
      </c>
      <c r="Q553">
        <f t="shared" si="34"/>
        <v>2</v>
      </c>
      <c r="R553" s="1">
        <f t="shared" si="35"/>
        <v>0</v>
      </c>
    </row>
    <row r="554" spans="1:18" hidden="1" x14ac:dyDescent="0.3">
      <c r="A554" t="s">
        <v>4583</v>
      </c>
      <c r="B554" t="s">
        <v>4583</v>
      </c>
      <c r="C554" t="s">
        <v>47</v>
      </c>
      <c r="D554">
        <v>19</v>
      </c>
      <c r="E554">
        <v>0</v>
      </c>
      <c r="F554" t="s">
        <v>77</v>
      </c>
      <c r="G554" s="1">
        <v>0</v>
      </c>
      <c r="H554">
        <v>80</v>
      </c>
      <c r="I554">
        <v>0.5</v>
      </c>
      <c r="J554">
        <v>4.5</v>
      </c>
      <c r="K554">
        <v>2</v>
      </c>
      <c r="L554">
        <f t="shared" si="32"/>
        <v>5</v>
      </c>
      <c r="M554">
        <v>0</v>
      </c>
      <c r="N554">
        <v>0</v>
      </c>
      <c r="O554">
        <v>11</v>
      </c>
      <c r="P554" s="1">
        <f t="shared" si="33"/>
        <v>0</v>
      </c>
      <c r="Q554">
        <f t="shared" si="34"/>
        <v>11</v>
      </c>
      <c r="R554" s="1">
        <f t="shared" si="35"/>
        <v>0</v>
      </c>
    </row>
    <row r="555" spans="1:18" hidden="1" x14ac:dyDescent="0.3">
      <c r="A555" t="s">
        <v>4584</v>
      </c>
      <c r="B555" t="s">
        <v>4584</v>
      </c>
      <c r="C555" t="s">
        <v>47</v>
      </c>
      <c r="D555">
        <v>13</v>
      </c>
      <c r="E555">
        <v>0</v>
      </c>
      <c r="G555" s="1">
        <v>0</v>
      </c>
      <c r="H555">
        <v>7</v>
      </c>
      <c r="I555">
        <v>0.5</v>
      </c>
      <c r="J555">
        <v>1</v>
      </c>
      <c r="K555">
        <v>1</v>
      </c>
      <c r="L555">
        <f t="shared" si="32"/>
        <v>2</v>
      </c>
      <c r="M555">
        <v>0</v>
      </c>
      <c r="N555">
        <v>0</v>
      </c>
      <c r="O555">
        <v>2</v>
      </c>
      <c r="P555" s="1">
        <f t="shared" si="33"/>
        <v>0</v>
      </c>
      <c r="Q555">
        <f t="shared" si="34"/>
        <v>2</v>
      </c>
      <c r="R555" s="1">
        <f t="shared" si="35"/>
        <v>0</v>
      </c>
    </row>
    <row r="556" spans="1:18" hidden="1" x14ac:dyDescent="0.3">
      <c r="A556" t="s">
        <v>4585</v>
      </c>
      <c r="B556" t="s">
        <v>4586</v>
      </c>
      <c r="C556" t="s">
        <v>47</v>
      </c>
      <c r="D556">
        <v>1</v>
      </c>
      <c r="E556">
        <v>0</v>
      </c>
      <c r="G556" s="1">
        <v>0</v>
      </c>
      <c r="H556">
        <v>4</v>
      </c>
      <c r="I556">
        <v>0.5</v>
      </c>
      <c r="J556">
        <v>4</v>
      </c>
      <c r="K556">
        <v>2</v>
      </c>
      <c r="L556">
        <f t="shared" si="32"/>
        <v>4</v>
      </c>
      <c r="M556">
        <v>0</v>
      </c>
      <c r="N556">
        <v>0</v>
      </c>
      <c r="O556">
        <v>10</v>
      </c>
      <c r="P556" s="1">
        <f t="shared" si="33"/>
        <v>0</v>
      </c>
      <c r="Q556">
        <f t="shared" si="34"/>
        <v>10</v>
      </c>
      <c r="R556" s="1">
        <f t="shared" si="35"/>
        <v>0</v>
      </c>
    </row>
    <row r="557" spans="1:18" hidden="1" x14ac:dyDescent="0.3">
      <c r="A557" t="s">
        <v>4587</v>
      </c>
      <c r="B557" t="s">
        <v>4588</v>
      </c>
      <c r="C557" t="s">
        <v>47</v>
      </c>
      <c r="D557">
        <v>1</v>
      </c>
      <c r="E557">
        <v>0</v>
      </c>
      <c r="G557" s="1">
        <v>0</v>
      </c>
      <c r="H557">
        <v>0</v>
      </c>
      <c r="I557">
        <v>0.5</v>
      </c>
      <c r="J557">
        <v>1</v>
      </c>
      <c r="K557">
        <v>1</v>
      </c>
      <c r="L557">
        <f t="shared" si="32"/>
        <v>2</v>
      </c>
      <c r="M557">
        <v>0</v>
      </c>
      <c r="N557">
        <v>0</v>
      </c>
      <c r="O557">
        <v>2</v>
      </c>
      <c r="P557" s="1">
        <f t="shared" si="33"/>
        <v>0</v>
      </c>
      <c r="Q557">
        <f t="shared" si="34"/>
        <v>2</v>
      </c>
      <c r="R557" s="1">
        <f t="shared" si="35"/>
        <v>0</v>
      </c>
    </row>
    <row r="558" spans="1:18" hidden="1" x14ac:dyDescent="0.3">
      <c r="A558" t="s">
        <v>4589</v>
      </c>
      <c r="B558" t="s">
        <v>4589</v>
      </c>
      <c r="C558" t="s">
        <v>47</v>
      </c>
      <c r="D558">
        <v>1</v>
      </c>
      <c r="E558">
        <v>0</v>
      </c>
      <c r="G558" s="1">
        <v>0</v>
      </c>
      <c r="H558">
        <v>0</v>
      </c>
      <c r="I558">
        <v>0.5</v>
      </c>
      <c r="J558">
        <v>1</v>
      </c>
      <c r="K558">
        <v>1</v>
      </c>
      <c r="L558">
        <f t="shared" si="32"/>
        <v>2</v>
      </c>
      <c r="M558">
        <v>0</v>
      </c>
      <c r="N558">
        <v>0</v>
      </c>
      <c r="O558">
        <v>2</v>
      </c>
      <c r="P558" s="1">
        <f t="shared" si="33"/>
        <v>0</v>
      </c>
      <c r="Q558">
        <f t="shared" si="34"/>
        <v>2</v>
      </c>
      <c r="R558" s="1">
        <f t="shared" si="35"/>
        <v>0</v>
      </c>
    </row>
    <row r="559" spans="1:18" hidden="1" x14ac:dyDescent="0.3">
      <c r="A559" t="s">
        <v>4590</v>
      </c>
      <c r="B559" t="s">
        <v>4591</v>
      </c>
      <c r="C559" t="s">
        <v>47</v>
      </c>
      <c r="D559">
        <v>1</v>
      </c>
      <c r="E559">
        <v>2</v>
      </c>
      <c r="F559" t="s">
        <v>3046</v>
      </c>
      <c r="G559" s="1">
        <v>406.11</v>
      </c>
      <c r="H559">
        <v>0</v>
      </c>
      <c r="I559">
        <v>0.5</v>
      </c>
      <c r="J559">
        <v>2</v>
      </c>
      <c r="K559">
        <v>1</v>
      </c>
      <c r="L559">
        <f t="shared" si="32"/>
        <v>2</v>
      </c>
      <c r="M559">
        <v>0</v>
      </c>
      <c r="N559">
        <v>0</v>
      </c>
      <c r="O559">
        <v>5</v>
      </c>
      <c r="P559" s="1">
        <f t="shared" si="33"/>
        <v>0</v>
      </c>
      <c r="Q559">
        <f t="shared" si="34"/>
        <v>5</v>
      </c>
      <c r="R559" s="1">
        <f t="shared" si="35"/>
        <v>2030.5500000000002</v>
      </c>
    </row>
    <row r="560" spans="1:18" hidden="1" x14ac:dyDescent="0.3">
      <c r="A560" t="s">
        <v>4592</v>
      </c>
      <c r="B560" t="s">
        <v>4593</v>
      </c>
      <c r="C560" t="s">
        <v>47</v>
      </c>
      <c r="D560">
        <v>1</v>
      </c>
      <c r="E560">
        <v>2</v>
      </c>
      <c r="F560" t="s">
        <v>3046</v>
      </c>
      <c r="G560" s="1">
        <v>406.11</v>
      </c>
      <c r="H560">
        <v>0</v>
      </c>
      <c r="I560">
        <v>0.5</v>
      </c>
      <c r="J560">
        <v>2</v>
      </c>
      <c r="K560">
        <v>1</v>
      </c>
      <c r="L560">
        <f t="shared" si="32"/>
        <v>2</v>
      </c>
      <c r="M560">
        <v>0</v>
      </c>
      <c r="N560">
        <v>0</v>
      </c>
      <c r="O560">
        <v>5</v>
      </c>
      <c r="P560" s="1">
        <f t="shared" si="33"/>
        <v>0</v>
      </c>
      <c r="Q560">
        <f t="shared" si="34"/>
        <v>5</v>
      </c>
      <c r="R560" s="1">
        <f t="shared" si="35"/>
        <v>2030.5500000000002</v>
      </c>
    </row>
    <row r="561" spans="1:18" hidden="1" x14ac:dyDescent="0.3">
      <c r="A561" t="s">
        <v>4594</v>
      </c>
      <c r="B561" t="s">
        <v>4595</v>
      </c>
      <c r="C561" t="s">
        <v>47</v>
      </c>
      <c r="D561">
        <v>1</v>
      </c>
      <c r="E561">
        <v>1</v>
      </c>
      <c r="F561" t="s">
        <v>3046</v>
      </c>
      <c r="G561" s="1">
        <v>303.48</v>
      </c>
      <c r="H561">
        <v>0</v>
      </c>
      <c r="I561">
        <v>0.5</v>
      </c>
      <c r="J561">
        <v>1</v>
      </c>
      <c r="K561">
        <v>1</v>
      </c>
      <c r="L561">
        <f t="shared" si="32"/>
        <v>2</v>
      </c>
      <c r="M561">
        <v>0</v>
      </c>
      <c r="N561">
        <v>0</v>
      </c>
      <c r="O561">
        <v>2</v>
      </c>
      <c r="P561" s="1">
        <f t="shared" si="33"/>
        <v>0</v>
      </c>
      <c r="Q561">
        <f t="shared" si="34"/>
        <v>2</v>
      </c>
      <c r="R561" s="1">
        <f t="shared" si="35"/>
        <v>606.96</v>
      </c>
    </row>
    <row r="562" spans="1:18" hidden="1" x14ac:dyDescent="0.3">
      <c r="A562" t="s">
        <v>4596</v>
      </c>
      <c r="B562" t="s">
        <v>4597</v>
      </c>
      <c r="C562" t="s">
        <v>47</v>
      </c>
      <c r="D562">
        <v>1</v>
      </c>
      <c r="E562">
        <v>1</v>
      </c>
      <c r="F562" t="s">
        <v>3046</v>
      </c>
      <c r="G562" s="1">
        <v>303.48</v>
      </c>
      <c r="H562">
        <v>0</v>
      </c>
      <c r="I562">
        <v>0.5</v>
      </c>
      <c r="J562">
        <v>1</v>
      </c>
      <c r="K562">
        <v>1</v>
      </c>
      <c r="L562">
        <f t="shared" si="32"/>
        <v>2</v>
      </c>
      <c r="M562">
        <v>0</v>
      </c>
      <c r="N562">
        <v>0</v>
      </c>
      <c r="O562">
        <v>2</v>
      </c>
      <c r="P562" s="1">
        <f t="shared" si="33"/>
        <v>0</v>
      </c>
      <c r="Q562">
        <f t="shared" si="34"/>
        <v>2</v>
      </c>
      <c r="R562" s="1">
        <f t="shared" si="35"/>
        <v>606.96</v>
      </c>
    </row>
    <row r="563" spans="1:18" hidden="1" x14ac:dyDescent="0.3">
      <c r="A563" t="s">
        <v>4598</v>
      </c>
      <c r="B563" t="s">
        <v>4599</v>
      </c>
      <c r="C563" t="s">
        <v>47</v>
      </c>
      <c r="D563">
        <v>1</v>
      </c>
      <c r="E563">
        <v>2</v>
      </c>
      <c r="F563" t="s">
        <v>3046</v>
      </c>
      <c r="G563" s="1">
        <v>303.48</v>
      </c>
      <c r="H563">
        <v>0</v>
      </c>
      <c r="I563">
        <v>0.5</v>
      </c>
      <c r="J563">
        <v>2</v>
      </c>
      <c r="K563">
        <v>1</v>
      </c>
      <c r="L563">
        <f t="shared" si="32"/>
        <v>2</v>
      </c>
      <c r="M563">
        <v>0</v>
      </c>
      <c r="N563">
        <v>0</v>
      </c>
      <c r="O563">
        <v>5</v>
      </c>
      <c r="P563" s="1">
        <f t="shared" si="33"/>
        <v>0</v>
      </c>
      <c r="Q563">
        <f t="shared" si="34"/>
        <v>5</v>
      </c>
      <c r="R563" s="1">
        <f t="shared" si="35"/>
        <v>1517.4</v>
      </c>
    </row>
    <row r="564" spans="1:18" hidden="1" x14ac:dyDescent="0.3">
      <c r="A564" t="s">
        <v>4600</v>
      </c>
      <c r="B564" t="s">
        <v>4601</v>
      </c>
      <c r="C564" t="s">
        <v>47</v>
      </c>
      <c r="D564">
        <v>1</v>
      </c>
      <c r="E564">
        <v>0</v>
      </c>
      <c r="G564" s="1">
        <v>0</v>
      </c>
      <c r="H564">
        <v>0</v>
      </c>
      <c r="I564">
        <v>0.5</v>
      </c>
      <c r="J564">
        <v>1</v>
      </c>
      <c r="K564">
        <v>1</v>
      </c>
      <c r="L564">
        <f t="shared" si="32"/>
        <v>2</v>
      </c>
      <c r="M564">
        <v>0</v>
      </c>
      <c r="N564">
        <v>0</v>
      </c>
      <c r="O564">
        <v>2</v>
      </c>
      <c r="P564" s="1">
        <f t="shared" si="33"/>
        <v>0</v>
      </c>
      <c r="Q564">
        <f t="shared" si="34"/>
        <v>2</v>
      </c>
      <c r="R564" s="1">
        <f t="shared" si="35"/>
        <v>0</v>
      </c>
    </row>
    <row r="565" spans="1:18" hidden="1" x14ac:dyDescent="0.3">
      <c r="A565" t="s">
        <v>4602</v>
      </c>
      <c r="B565" t="s">
        <v>4601</v>
      </c>
      <c r="C565" t="s">
        <v>47</v>
      </c>
      <c r="D565">
        <v>1</v>
      </c>
      <c r="E565">
        <v>0</v>
      </c>
      <c r="G565" s="1">
        <v>0</v>
      </c>
      <c r="H565">
        <v>0</v>
      </c>
      <c r="I565">
        <v>0.5</v>
      </c>
      <c r="J565">
        <v>1</v>
      </c>
      <c r="K565">
        <v>1</v>
      </c>
      <c r="L565">
        <f t="shared" si="32"/>
        <v>2</v>
      </c>
      <c r="M565">
        <v>0</v>
      </c>
      <c r="N565">
        <v>0</v>
      </c>
      <c r="O565">
        <v>2</v>
      </c>
      <c r="P565" s="1">
        <f t="shared" si="33"/>
        <v>0</v>
      </c>
      <c r="Q565">
        <f t="shared" si="34"/>
        <v>2</v>
      </c>
      <c r="R565" s="1">
        <f t="shared" si="35"/>
        <v>0</v>
      </c>
    </row>
    <row r="566" spans="1:18" hidden="1" x14ac:dyDescent="0.3">
      <c r="A566" t="s">
        <v>4603</v>
      </c>
      <c r="B566" t="s">
        <v>4604</v>
      </c>
      <c r="C566" t="s">
        <v>47</v>
      </c>
      <c r="D566">
        <v>1</v>
      </c>
      <c r="E566">
        <v>64</v>
      </c>
      <c r="F566" t="s">
        <v>4605</v>
      </c>
      <c r="G566" s="1">
        <v>37</v>
      </c>
      <c r="H566">
        <v>0</v>
      </c>
      <c r="I566">
        <v>0.8</v>
      </c>
      <c r="J566">
        <v>64</v>
      </c>
      <c r="K566">
        <v>51</v>
      </c>
      <c r="L566">
        <f t="shared" si="32"/>
        <v>103</v>
      </c>
      <c r="M566">
        <v>0</v>
      </c>
      <c r="N566">
        <v>0</v>
      </c>
      <c r="O566">
        <v>179</v>
      </c>
      <c r="P566" s="1">
        <f t="shared" si="33"/>
        <v>0</v>
      </c>
      <c r="Q566">
        <f t="shared" si="34"/>
        <v>179</v>
      </c>
      <c r="R566" s="1">
        <f t="shared" si="35"/>
        <v>6623</v>
      </c>
    </row>
    <row r="567" spans="1:18" hidden="1" x14ac:dyDescent="0.3">
      <c r="A567" t="s">
        <v>4606</v>
      </c>
      <c r="B567" t="s">
        <v>2897</v>
      </c>
      <c r="C567" t="s">
        <v>47</v>
      </c>
      <c r="D567">
        <v>1</v>
      </c>
      <c r="E567">
        <v>0</v>
      </c>
      <c r="G567" s="1">
        <v>0</v>
      </c>
      <c r="H567">
        <v>0</v>
      </c>
      <c r="I567">
        <v>0.5</v>
      </c>
      <c r="J567">
        <v>1</v>
      </c>
      <c r="K567">
        <v>1</v>
      </c>
      <c r="L567">
        <f t="shared" si="32"/>
        <v>2</v>
      </c>
      <c r="M567">
        <v>0</v>
      </c>
      <c r="N567">
        <v>0</v>
      </c>
      <c r="O567">
        <v>2</v>
      </c>
      <c r="P567" s="1">
        <f t="shared" si="33"/>
        <v>0</v>
      </c>
      <c r="Q567">
        <f t="shared" si="34"/>
        <v>2</v>
      </c>
      <c r="R567" s="1">
        <f t="shared" si="35"/>
        <v>0</v>
      </c>
    </row>
    <row r="568" spans="1:18" hidden="1" x14ac:dyDescent="0.3">
      <c r="A568" t="s">
        <v>4607</v>
      </c>
      <c r="B568" t="s">
        <v>4608</v>
      </c>
      <c r="C568" t="s">
        <v>47</v>
      </c>
      <c r="D568">
        <v>1</v>
      </c>
      <c r="E568">
        <v>0</v>
      </c>
      <c r="G568" s="1">
        <v>0</v>
      </c>
      <c r="H568">
        <v>0</v>
      </c>
      <c r="I568">
        <v>0.5</v>
      </c>
      <c r="J568">
        <v>1</v>
      </c>
      <c r="K568">
        <v>1</v>
      </c>
      <c r="L568">
        <f t="shared" si="32"/>
        <v>2</v>
      </c>
      <c r="M568">
        <v>0</v>
      </c>
      <c r="N568">
        <v>0</v>
      </c>
      <c r="O568">
        <v>2</v>
      </c>
      <c r="P568" s="1">
        <f t="shared" si="33"/>
        <v>0</v>
      </c>
      <c r="Q568">
        <f t="shared" si="34"/>
        <v>2</v>
      </c>
      <c r="R568" s="1">
        <f t="shared" si="35"/>
        <v>0</v>
      </c>
    </row>
    <row r="569" spans="1:18" hidden="1" x14ac:dyDescent="0.3">
      <c r="A569" t="s">
        <v>4609</v>
      </c>
      <c r="B569" t="s">
        <v>4610</v>
      </c>
      <c r="C569" t="s">
        <v>47</v>
      </c>
      <c r="D569">
        <v>1</v>
      </c>
      <c r="E569">
        <v>0</v>
      </c>
      <c r="G569" s="1">
        <v>0</v>
      </c>
      <c r="H569">
        <v>0</v>
      </c>
      <c r="I569">
        <v>0.5</v>
      </c>
      <c r="J569">
        <v>1</v>
      </c>
      <c r="K569">
        <v>1</v>
      </c>
      <c r="L569">
        <f t="shared" si="32"/>
        <v>2</v>
      </c>
      <c r="M569">
        <v>0</v>
      </c>
      <c r="N569">
        <v>0</v>
      </c>
      <c r="O569">
        <v>2</v>
      </c>
      <c r="P569" s="1">
        <f t="shared" si="33"/>
        <v>0</v>
      </c>
      <c r="Q569">
        <f t="shared" si="34"/>
        <v>2</v>
      </c>
      <c r="R569" s="1">
        <f t="shared" si="35"/>
        <v>0</v>
      </c>
    </row>
    <row r="570" spans="1:18" hidden="1" x14ac:dyDescent="0.3">
      <c r="A570" t="s">
        <v>4611</v>
      </c>
      <c r="B570" t="s">
        <v>4612</v>
      </c>
      <c r="C570" t="s">
        <v>47</v>
      </c>
      <c r="D570">
        <v>1</v>
      </c>
      <c r="E570">
        <v>1</v>
      </c>
      <c r="F570" t="s">
        <v>4613</v>
      </c>
      <c r="G570" s="1">
        <v>61919.67</v>
      </c>
      <c r="H570">
        <v>1</v>
      </c>
      <c r="I570">
        <v>0.9</v>
      </c>
      <c r="J570">
        <v>1</v>
      </c>
      <c r="K570">
        <v>1</v>
      </c>
      <c r="L570">
        <f t="shared" si="32"/>
        <v>2</v>
      </c>
      <c r="M570">
        <v>0</v>
      </c>
      <c r="N570">
        <v>0</v>
      </c>
      <c r="O570">
        <v>3</v>
      </c>
      <c r="P570" s="1">
        <f t="shared" si="33"/>
        <v>0</v>
      </c>
      <c r="Q570">
        <f t="shared" si="34"/>
        <v>3</v>
      </c>
      <c r="R570" s="1">
        <f t="shared" si="35"/>
        <v>185759.01</v>
      </c>
    </row>
    <row r="571" spans="1:18" hidden="1" x14ac:dyDescent="0.3">
      <c r="A571" t="s">
        <v>4614</v>
      </c>
      <c r="B571" t="s">
        <v>4615</v>
      </c>
      <c r="C571" t="s">
        <v>47</v>
      </c>
      <c r="D571">
        <v>1</v>
      </c>
      <c r="E571">
        <v>0</v>
      </c>
      <c r="G571" s="1">
        <v>0</v>
      </c>
      <c r="H571">
        <v>0</v>
      </c>
      <c r="I571">
        <v>0.5</v>
      </c>
      <c r="J571">
        <v>1</v>
      </c>
      <c r="K571">
        <v>1</v>
      </c>
      <c r="L571">
        <f t="shared" si="32"/>
        <v>2</v>
      </c>
      <c r="M571">
        <v>0</v>
      </c>
      <c r="N571">
        <v>0</v>
      </c>
      <c r="O571">
        <v>2</v>
      </c>
      <c r="P571" s="1">
        <f t="shared" si="33"/>
        <v>0</v>
      </c>
      <c r="Q571">
        <f t="shared" si="34"/>
        <v>2</v>
      </c>
      <c r="R571" s="1">
        <f t="shared" si="35"/>
        <v>0</v>
      </c>
    </row>
    <row r="572" spans="1:18" hidden="1" x14ac:dyDescent="0.3">
      <c r="A572" t="s">
        <v>4616</v>
      </c>
      <c r="B572" t="s">
        <v>4617</v>
      </c>
      <c r="C572" t="s">
        <v>47</v>
      </c>
      <c r="D572">
        <v>1</v>
      </c>
      <c r="E572">
        <v>2</v>
      </c>
      <c r="F572" t="s">
        <v>3678</v>
      </c>
      <c r="G572" s="1">
        <v>115</v>
      </c>
      <c r="H572">
        <v>0</v>
      </c>
      <c r="I572">
        <v>0.9</v>
      </c>
      <c r="J572">
        <v>2</v>
      </c>
      <c r="K572">
        <v>2</v>
      </c>
      <c r="L572">
        <f t="shared" si="32"/>
        <v>4</v>
      </c>
      <c r="M572">
        <v>0</v>
      </c>
      <c r="N572">
        <v>0</v>
      </c>
      <c r="O572">
        <v>6</v>
      </c>
      <c r="P572" s="1">
        <f t="shared" si="33"/>
        <v>0</v>
      </c>
      <c r="Q572">
        <f t="shared" si="34"/>
        <v>6</v>
      </c>
      <c r="R572" s="1">
        <f t="shared" si="35"/>
        <v>690</v>
      </c>
    </row>
    <row r="573" spans="1:18" hidden="1" x14ac:dyDescent="0.3">
      <c r="A573" t="s">
        <v>4618</v>
      </c>
      <c r="B573" t="s">
        <v>4619</v>
      </c>
      <c r="C573" t="s">
        <v>47</v>
      </c>
      <c r="D573">
        <v>1</v>
      </c>
      <c r="E573">
        <v>0</v>
      </c>
      <c r="G573" s="1">
        <v>0</v>
      </c>
      <c r="H573">
        <v>0</v>
      </c>
      <c r="I573">
        <v>0.5</v>
      </c>
      <c r="J573">
        <v>1</v>
      </c>
      <c r="K573">
        <v>1</v>
      </c>
      <c r="L573">
        <f t="shared" si="32"/>
        <v>2</v>
      </c>
      <c r="M573">
        <v>0</v>
      </c>
      <c r="N573">
        <v>0</v>
      </c>
      <c r="O573">
        <v>2</v>
      </c>
      <c r="P573" s="1">
        <f t="shared" si="33"/>
        <v>0</v>
      </c>
      <c r="Q573">
        <f t="shared" si="34"/>
        <v>2</v>
      </c>
      <c r="R573" s="1">
        <f t="shared" si="35"/>
        <v>0</v>
      </c>
    </row>
    <row r="574" spans="1:18" hidden="1" x14ac:dyDescent="0.3">
      <c r="A574" t="s">
        <v>4620</v>
      </c>
      <c r="B574" t="s">
        <v>4621</v>
      </c>
      <c r="C574" t="s">
        <v>47</v>
      </c>
      <c r="D574">
        <v>13</v>
      </c>
      <c r="E574">
        <v>12</v>
      </c>
      <c r="F574" t="s">
        <v>4622</v>
      </c>
      <c r="G574" s="1">
        <v>1426.82</v>
      </c>
      <c r="H574">
        <v>0</v>
      </c>
      <c r="I574">
        <v>0.5</v>
      </c>
      <c r="J574">
        <v>1</v>
      </c>
      <c r="K574">
        <v>1</v>
      </c>
      <c r="L574">
        <f t="shared" si="32"/>
        <v>2</v>
      </c>
      <c r="M574">
        <v>0</v>
      </c>
      <c r="N574">
        <v>0</v>
      </c>
      <c r="O574">
        <v>2</v>
      </c>
      <c r="P574" s="1">
        <f t="shared" si="33"/>
        <v>0</v>
      </c>
      <c r="Q574">
        <f t="shared" si="34"/>
        <v>2</v>
      </c>
      <c r="R574" s="1">
        <f t="shared" si="35"/>
        <v>2853.64</v>
      </c>
    </row>
    <row r="575" spans="1:18" hidden="1" x14ac:dyDescent="0.3">
      <c r="A575" t="s">
        <v>4623</v>
      </c>
      <c r="B575" t="s">
        <v>4624</v>
      </c>
      <c r="C575" t="s">
        <v>47</v>
      </c>
      <c r="D575">
        <v>1</v>
      </c>
      <c r="E575">
        <v>1</v>
      </c>
      <c r="F575" t="s">
        <v>3046</v>
      </c>
      <c r="G575" s="1">
        <v>260</v>
      </c>
      <c r="H575">
        <v>0</v>
      </c>
      <c r="I575">
        <v>0.5</v>
      </c>
      <c r="J575">
        <v>1</v>
      </c>
      <c r="K575">
        <v>1</v>
      </c>
      <c r="L575">
        <f t="shared" si="32"/>
        <v>2</v>
      </c>
      <c r="M575">
        <v>0</v>
      </c>
      <c r="N575">
        <v>0</v>
      </c>
      <c r="O575">
        <v>2</v>
      </c>
      <c r="P575" s="1">
        <f t="shared" si="33"/>
        <v>0</v>
      </c>
      <c r="Q575">
        <f t="shared" si="34"/>
        <v>2</v>
      </c>
      <c r="R575" s="1">
        <f t="shared" si="35"/>
        <v>520</v>
      </c>
    </row>
    <row r="576" spans="1:18" hidden="1" x14ac:dyDescent="0.3">
      <c r="A576" t="s">
        <v>4625</v>
      </c>
      <c r="B576" t="s">
        <v>4626</v>
      </c>
      <c r="C576" t="s">
        <v>47</v>
      </c>
      <c r="D576">
        <v>1</v>
      </c>
      <c r="E576">
        <v>1</v>
      </c>
      <c r="F576" t="s">
        <v>3046</v>
      </c>
      <c r="G576" s="1">
        <v>260</v>
      </c>
      <c r="H576">
        <v>0</v>
      </c>
      <c r="I576">
        <v>0.5</v>
      </c>
      <c r="J576">
        <v>1</v>
      </c>
      <c r="K576">
        <v>1</v>
      </c>
      <c r="L576">
        <f t="shared" si="32"/>
        <v>2</v>
      </c>
      <c r="M576">
        <v>0</v>
      </c>
      <c r="N576">
        <v>0</v>
      </c>
      <c r="O576">
        <v>2</v>
      </c>
      <c r="P576" s="1">
        <f t="shared" si="33"/>
        <v>0</v>
      </c>
      <c r="Q576">
        <f t="shared" si="34"/>
        <v>2</v>
      </c>
      <c r="R576" s="1">
        <f t="shared" si="35"/>
        <v>520</v>
      </c>
    </row>
    <row r="577" spans="1:18" hidden="1" x14ac:dyDescent="0.3">
      <c r="A577" t="s">
        <v>4627</v>
      </c>
      <c r="B577" t="s">
        <v>4628</v>
      </c>
      <c r="C577" t="s">
        <v>47</v>
      </c>
      <c r="D577">
        <v>1</v>
      </c>
      <c r="E577">
        <v>2</v>
      </c>
      <c r="F577" t="s">
        <v>3046</v>
      </c>
      <c r="G577" s="1">
        <v>260</v>
      </c>
      <c r="H577">
        <v>0</v>
      </c>
      <c r="I577">
        <v>0.5</v>
      </c>
      <c r="J577">
        <v>2</v>
      </c>
      <c r="K577">
        <v>1</v>
      </c>
      <c r="L577">
        <f t="shared" si="32"/>
        <v>2</v>
      </c>
      <c r="M577">
        <v>0</v>
      </c>
      <c r="N577">
        <v>0</v>
      </c>
      <c r="O577">
        <v>5</v>
      </c>
      <c r="P577" s="1">
        <f t="shared" si="33"/>
        <v>0</v>
      </c>
      <c r="Q577">
        <f t="shared" si="34"/>
        <v>5</v>
      </c>
      <c r="R577" s="1">
        <f t="shared" si="35"/>
        <v>1300</v>
      </c>
    </row>
    <row r="578" spans="1:18" hidden="1" x14ac:dyDescent="0.3">
      <c r="A578" t="s">
        <v>4629</v>
      </c>
      <c r="B578" t="s">
        <v>4630</v>
      </c>
      <c r="C578" t="s">
        <v>47</v>
      </c>
      <c r="D578">
        <v>1</v>
      </c>
      <c r="E578">
        <v>2</v>
      </c>
      <c r="F578" t="s">
        <v>3046</v>
      </c>
      <c r="G578" s="1">
        <v>372.2</v>
      </c>
      <c r="H578">
        <v>0</v>
      </c>
      <c r="I578">
        <v>0.5</v>
      </c>
      <c r="J578">
        <v>2</v>
      </c>
      <c r="K578">
        <v>1</v>
      </c>
      <c r="L578">
        <f t="shared" ref="L578:L641" si="36">ROUNDUP((J578*I578)+K578,0)</f>
        <v>2</v>
      </c>
      <c r="M578">
        <v>0</v>
      </c>
      <c r="N578">
        <v>0</v>
      </c>
      <c r="O578">
        <v>5</v>
      </c>
      <c r="P578" s="1">
        <f t="shared" ref="P578:P641" si="37">IFERROR(M578*G578,0)</f>
        <v>0</v>
      </c>
      <c r="Q578">
        <f t="shared" ref="Q578:Q641" si="38">IF(O578-M578-N578&gt;0,O578-M578-N578,0)</f>
        <v>5</v>
      </c>
      <c r="R578" s="1">
        <f t="shared" ref="R578:R641" si="39">IFERROR(Q578*G578,0)</f>
        <v>1861</v>
      </c>
    </row>
    <row r="579" spans="1:18" hidden="1" x14ac:dyDescent="0.3">
      <c r="A579" t="s">
        <v>4631</v>
      </c>
      <c r="B579" t="s">
        <v>4632</v>
      </c>
      <c r="C579" t="s">
        <v>47</v>
      </c>
      <c r="D579">
        <v>1</v>
      </c>
      <c r="E579">
        <v>0</v>
      </c>
      <c r="G579" s="1">
        <v>0</v>
      </c>
      <c r="H579">
        <v>0</v>
      </c>
      <c r="I579">
        <v>0.5</v>
      </c>
      <c r="J579">
        <v>1</v>
      </c>
      <c r="K579">
        <v>1</v>
      </c>
      <c r="L579">
        <f t="shared" si="36"/>
        <v>2</v>
      </c>
      <c r="M579">
        <v>0</v>
      </c>
      <c r="N579">
        <v>0</v>
      </c>
      <c r="O579">
        <v>2</v>
      </c>
      <c r="P579" s="1">
        <f t="shared" si="37"/>
        <v>0</v>
      </c>
      <c r="Q579">
        <f t="shared" si="38"/>
        <v>2</v>
      </c>
      <c r="R579" s="1">
        <f t="shared" si="39"/>
        <v>0</v>
      </c>
    </row>
    <row r="580" spans="1:18" hidden="1" x14ac:dyDescent="0.3">
      <c r="A580" t="s">
        <v>4633</v>
      </c>
      <c r="B580" t="s">
        <v>4634</v>
      </c>
      <c r="C580" t="s">
        <v>47</v>
      </c>
      <c r="D580">
        <v>1</v>
      </c>
      <c r="E580">
        <v>0</v>
      </c>
      <c r="G580" s="1">
        <v>0</v>
      </c>
      <c r="H580">
        <v>0</v>
      </c>
      <c r="I580">
        <v>0.5</v>
      </c>
      <c r="J580">
        <v>1</v>
      </c>
      <c r="K580">
        <v>1</v>
      </c>
      <c r="L580">
        <f t="shared" si="36"/>
        <v>2</v>
      </c>
      <c r="M580">
        <v>0</v>
      </c>
      <c r="N580">
        <v>0</v>
      </c>
      <c r="O580">
        <v>2</v>
      </c>
      <c r="P580" s="1">
        <f t="shared" si="37"/>
        <v>0</v>
      </c>
      <c r="Q580">
        <f t="shared" si="38"/>
        <v>2</v>
      </c>
      <c r="R580" s="1">
        <f t="shared" si="39"/>
        <v>0</v>
      </c>
    </row>
    <row r="581" spans="1:18" hidden="1" x14ac:dyDescent="0.3">
      <c r="A581" t="s">
        <v>4635</v>
      </c>
      <c r="B581" t="s">
        <v>4636</v>
      </c>
      <c r="C581" t="s">
        <v>47</v>
      </c>
      <c r="D581">
        <v>11</v>
      </c>
      <c r="E581">
        <v>2</v>
      </c>
      <c r="F581" t="s">
        <v>4637</v>
      </c>
      <c r="G581" s="1">
        <v>11250</v>
      </c>
      <c r="H581">
        <v>0</v>
      </c>
      <c r="I581">
        <v>0.5</v>
      </c>
      <c r="J581">
        <v>1</v>
      </c>
      <c r="K581">
        <v>1</v>
      </c>
      <c r="L581">
        <f t="shared" si="36"/>
        <v>2</v>
      </c>
      <c r="M581">
        <v>0</v>
      </c>
      <c r="N581">
        <v>0</v>
      </c>
      <c r="O581">
        <v>2</v>
      </c>
      <c r="P581" s="1">
        <f t="shared" si="37"/>
        <v>0</v>
      </c>
      <c r="Q581">
        <f t="shared" si="38"/>
        <v>2</v>
      </c>
      <c r="R581" s="1">
        <f t="shared" si="39"/>
        <v>22500</v>
      </c>
    </row>
    <row r="582" spans="1:18" hidden="1" x14ac:dyDescent="0.3">
      <c r="A582" t="s">
        <v>4638</v>
      </c>
      <c r="B582" t="s">
        <v>4639</v>
      </c>
      <c r="C582" t="s">
        <v>47</v>
      </c>
      <c r="D582">
        <v>1</v>
      </c>
      <c r="E582">
        <v>100</v>
      </c>
      <c r="F582" t="s">
        <v>4391</v>
      </c>
      <c r="G582" s="1">
        <v>17.45</v>
      </c>
      <c r="H582">
        <v>0</v>
      </c>
      <c r="I582">
        <v>0.5</v>
      </c>
      <c r="J582">
        <v>100</v>
      </c>
      <c r="K582">
        <v>50</v>
      </c>
      <c r="L582">
        <f t="shared" si="36"/>
        <v>100</v>
      </c>
      <c r="M582">
        <v>0</v>
      </c>
      <c r="N582">
        <v>0</v>
      </c>
      <c r="O582">
        <v>250</v>
      </c>
      <c r="P582" s="1">
        <f t="shared" si="37"/>
        <v>0</v>
      </c>
      <c r="Q582">
        <f t="shared" si="38"/>
        <v>250</v>
      </c>
      <c r="R582" s="1">
        <f t="shared" si="39"/>
        <v>4362.5</v>
      </c>
    </row>
    <row r="583" spans="1:18" hidden="1" x14ac:dyDescent="0.3">
      <c r="A583" t="s">
        <v>4640</v>
      </c>
      <c r="B583" t="s">
        <v>4641</v>
      </c>
      <c r="C583" t="s">
        <v>47</v>
      </c>
      <c r="D583">
        <v>1</v>
      </c>
      <c r="E583">
        <v>100</v>
      </c>
      <c r="F583" t="s">
        <v>4391</v>
      </c>
      <c r="G583" s="1">
        <v>27.96</v>
      </c>
      <c r="H583">
        <v>0</v>
      </c>
      <c r="I583">
        <v>0.5</v>
      </c>
      <c r="J583">
        <v>100</v>
      </c>
      <c r="K583">
        <v>50</v>
      </c>
      <c r="L583">
        <f t="shared" si="36"/>
        <v>100</v>
      </c>
      <c r="M583">
        <v>0</v>
      </c>
      <c r="N583">
        <v>0</v>
      </c>
      <c r="O583">
        <v>250</v>
      </c>
      <c r="P583" s="1">
        <f t="shared" si="37"/>
        <v>0</v>
      </c>
      <c r="Q583">
        <f t="shared" si="38"/>
        <v>250</v>
      </c>
      <c r="R583" s="1">
        <f t="shared" si="39"/>
        <v>6990</v>
      </c>
    </row>
    <row r="584" spans="1:18" hidden="1" x14ac:dyDescent="0.3">
      <c r="A584" t="s">
        <v>4642</v>
      </c>
      <c r="B584" t="s">
        <v>4643</v>
      </c>
      <c r="C584" t="s">
        <v>47</v>
      </c>
      <c r="D584">
        <v>1</v>
      </c>
      <c r="E584">
        <v>0</v>
      </c>
      <c r="G584" s="1">
        <v>0</v>
      </c>
      <c r="H584">
        <v>2</v>
      </c>
      <c r="I584">
        <v>0.5</v>
      </c>
      <c r="J584">
        <v>2</v>
      </c>
      <c r="K584">
        <v>1</v>
      </c>
      <c r="L584">
        <f t="shared" si="36"/>
        <v>2</v>
      </c>
      <c r="M584">
        <v>0</v>
      </c>
      <c r="N584">
        <v>0</v>
      </c>
      <c r="O584">
        <v>5</v>
      </c>
      <c r="P584" s="1">
        <f t="shared" si="37"/>
        <v>0</v>
      </c>
      <c r="Q584">
        <f t="shared" si="38"/>
        <v>5</v>
      </c>
      <c r="R584" s="1">
        <f t="shared" si="39"/>
        <v>0</v>
      </c>
    </row>
    <row r="585" spans="1:18" hidden="1" x14ac:dyDescent="0.3">
      <c r="A585" t="s">
        <v>4644</v>
      </c>
      <c r="B585" t="s">
        <v>4643</v>
      </c>
      <c r="C585" t="s">
        <v>47</v>
      </c>
      <c r="D585">
        <v>1</v>
      </c>
      <c r="E585">
        <v>0</v>
      </c>
      <c r="G585" s="1">
        <v>0</v>
      </c>
      <c r="H585">
        <v>1</v>
      </c>
      <c r="I585">
        <v>0.5</v>
      </c>
      <c r="J585">
        <v>1</v>
      </c>
      <c r="K585">
        <v>1</v>
      </c>
      <c r="L585">
        <f t="shared" si="36"/>
        <v>2</v>
      </c>
      <c r="M585">
        <v>0</v>
      </c>
      <c r="N585">
        <v>0</v>
      </c>
      <c r="O585">
        <v>2</v>
      </c>
      <c r="P585" s="1">
        <f t="shared" si="37"/>
        <v>0</v>
      </c>
      <c r="Q585">
        <f t="shared" si="38"/>
        <v>2</v>
      </c>
      <c r="R585" s="1">
        <f t="shared" si="39"/>
        <v>0</v>
      </c>
    </row>
    <row r="586" spans="1:18" hidden="1" x14ac:dyDescent="0.3">
      <c r="A586" t="s">
        <v>4645</v>
      </c>
      <c r="B586" t="s">
        <v>4646</v>
      </c>
      <c r="C586" t="s">
        <v>47</v>
      </c>
      <c r="D586">
        <v>1</v>
      </c>
      <c r="E586">
        <v>0</v>
      </c>
      <c r="G586" s="1">
        <v>0</v>
      </c>
      <c r="H586">
        <v>0</v>
      </c>
      <c r="I586">
        <v>0.5</v>
      </c>
      <c r="J586">
        <v>1</v>
      </c>
      <c r="K586">
        <v>1</v>
      </c>
      <c r="L586">
        <f t="shared" si="36"/>
        <v>2</v>
      </c>
      <c r="M586">
        <v>0</v>
      </c>
      <c r="N586">
        <v>0</v>
      </c>
      <c r="O586">
        <v>2</v>
      </c>
      <c r="P586" s="1">
        <f t="shared" si="37"/>
        <v>0</v>
      </c>
      <c r="Q586">
        <f t="shared" si="38"/>
        <v>2</v>
      </c>
      <c r="R586" s="1">
        <f t="shared" si="39"/>
        <v>0</v>
      </c>
    </row>
    <row r="587" spans="1:18" hidden="1" x14ac:dyDescent="0.3">
      <c r="A587" t="s">
        <v>4647</v>
      </c>
      <c r="B587" t="s">
        <v>4648</v>
      </c>
      <c r="C587" t="s">
        <v>47</v>
      </c>
      <c r="D587">
        <v>1</v>
      </c>
      <c r="E587">
        <v>0</v>
      </c>
      <c r="G587" s="1">
        <v>0</v>
      </c>
      <c r="H587">
        <v>0</v>
      </c>
      <c r="I587">
        <v>0.5</v>
      </c>
      <c r="J587">
        <v>1</v>
      </c>
      <c r="K587">
        <v>1</v>
      </c>
      <c r="L587">
        <f t="shared" si="36"/>
        <v>2</v>
      </c>
      <c r="M587">
        <v>0</v>
      </c>
      <c r="N587">
        <v>0</v>
      </c>
      <c r="O587">
        <v>2</v>
      </c>
      <c r="P587" s="1">
        <f t="shared" si="37"/>
        <v>0</v>
      </c>
      <c r="Q587">
        <f t="shared" si="38"/>
        <v>2</v>
      </c>
      <c r="R587" s="1">
        <f t="shared" si="39"/>
        <v>0</v>
      </c>
    </row>
    <row r="588" spans="1:18" hidden="1" x14ac:dyDescent="0.3">
      <c r="A588" t="s">
        <v>4649</v>
      </c>
      <c r="B588" t="s">
        <v>4650</v>
      </c>
      <c r="C588" t="s">
        <v>47</v>
      </c>
      <c r="D588">
        <v>1</v>
      </c>
      <c r="E588">
        <v>0</v>
      </c>
      <c r="G588" s="1">
        <v>0</v>
      </c>
      <c r="H588">
        <v>0</v>
      </c>
      <c r="I588">
        <v>0.5</v>
      </c>
      <c r="J588">
        <v>1</v>
      </c>
      <c r="K588">
        <v>1</v>
      </c>
      <c r="L588">
        <f t="shared" si="36"/>
        <v>2</v>
      </c>
      <c r="M588">
        <v>0</v>
      </c>
      <c r="N588">
        <v>0</v>
      </c>
      <c r="O588">
        <v>2</v>
      </c>
      <c r="P588" s="1">
        <f t="shared" si="37"/>
        <v>0</v>
      </c>
      <c r="Q588">
        <f t="shared" si="38"/>
        <v>2</v>
      </c>
      <c r="R588" s="1">
        <f t="shared" si="39"/>
        <v>0</v>
      </c>
    </row>
    <row r="589" spans="1:18" hidden="1" x14ac:dyDescent="0.3">
      <c r="A589" t="s">
        <v>4651</v>
      </c>
      <c r="B589" t="s">
        <v>4652</v>
      </c>
      <c r="C589" t="s">
        <v>47</v>
      </c>
      <c r="D589">
        <v>1</v>
      </c>
      <c r="E589">
        <v>0</v>
      </c>
      <c r="G589" s="1">
        <v>0</v>
      </c>
      <c r="H589">
        <v>0</v>
      </c>
      <c r="I589">
        <v>0.5</v>
      </c>
      <c r="J589">
        <v>1</v>
      </c>
      <c r="K589">
        <v>1</v>
      </c>
      <c r="L589">
        <f t="shared" si="36"/>
        <v>2</v>
      </c>
      <c r="M589">
        <v>0</v>
      </c>
      <c r="N589">
        <v>0</v>
      </c>
      <c r="O589">
        <v>2</v>
      </c>
      <c r="P589" s="1">
        <f t="shared" si="37"/>
        <v>0</v>
      </c>
      <c r="Q589">
        <f t="shared" si="38"/>
        <v>2</v>
      </c>
      <c r="R589" s="1">
        <f t="shared" si="39"/>
        <v>0</v>
      </c>
    </row>
    <row r="590" spans="1:18" hidden="1" x14ac:dyDescent="0.3">
      <c r="A590" t="s">
        <v>4653</v>
      </c>
      <c r="B590" t="s">
        <v>4654</v>
      </c>
      <c r="C590" t="s">
        <v>47</v>
      </c>
      <c r="D590">
        <v>1</v>
      </c>
      <c r="E590">
        <v>0</v>
      </c>
      <c r="G590" s="1">
        <v>0</v>
      </c>
      <c r="H590">
        <v>0</v>
      </c>
      <c r="I590">
        <v>0.5</v>
      </c>
      <c r="J590">
        <v>1</v>
      </c>
      <c r="K590">
        <v>1</v>
      </c>
      <c r="L590">
        <f t="shared" si="36"/>
        <v>2</v>
      </c>
      <c r="M590">
        <v>0</v>
      </c>
      <c r="N590">
        <v>0</v>
      </c>
      <c r="O590">
        <v>2</v>
      </c>
      <c r="P590" s="1">
        <f t="shared" si="37"/>
        <v>0</v>
      </c>
      <c r="Q590">
        <f t="shared" si="38"/>
        <v>2</v>
      </c>
      <c r="R590" s="1">
        <f t="shared" si="39"/>
        <v>0</v>
      </c>
    </row>
    <row r="591" spans="1:18" hidden="1" x14ac:dyDescent="0.3">
      <c r="A591" t="s">
        <v>4655</v>
      </c>
      <c r="B591" t="s">
        <v>4656</v>
      </c>
      <c r="C591" t="s">
        <v>47</v>
      </c>
      <c r="D591">
        <v>1</v>
      </c>
      <c r="E591">
        <v>0</v>
      </c>
      <c r="G591" s="1">
        <v>0</v>
      </c>
      <c r="H591">
        <v>8</v>
      </c>
      <c r="I591">
        <v>0.5</v>
      </c>
      <c r="J591">
        <v>8</v>
      </c>
      <c r="K591">
        <v>4</v>
      </c>
      <c r="L591">
        <f t="shared" si="36"/>
        <v>8</v>
      </c>
      <c r="M591">
        <v>0</v>
      </c>
      <c r="N591">
        <v>0</v>
      </c>
      <c r="O591">
        <v>20</v>
      </c>
      <c r="P591" s="1">
        <f t="shared" si="37"/>
        <v>0</v>
      </c>
      <c r="Q591">
        <f t="shared" si="38"/>
        <v>20</v>
      </c>
      <c r="R591" s="1">
        <f t="shared" si="39"/>
        <v>0</v>
      </c>
    </row>
    <row r="592" spans="1:18" hidden="1" x14ac:dyDescent="0.3">
      <c r="A592" t="s">
        <v>4657</v>
      </c>
      <c r="B592" t="s">
        <v>4658</v>
      </c>
      <c r="C592" t="s">
        <v>47</v>
      </c>
      <c r="D592">
        <v>1</v>
      </c>
      <c r="E592">
        <v>0</v>
      </c>
      <c r="G592" s="1">
        <v>0</v>
      </c>
      <c r="H592">
        <v>1</v>
      </c>
      <c r="I592">
        <v>0.5</v>
      </c>
      <c r="J592">
        <v>1</v>
      </c>
      <c r="K592">
        <v>1</v>
      </c>
      <c r="L592">
        <f t="shared" si="36"/>
        <v>2</v>
      </c>
      <c r="M592">
        <v>0</v>
      </c>
      <c r="N592">
        <v>0</v>
      </c>
      <c r="O592">
        <v>2</v>
      </c>
      <c r="P592" s="1">
        <f t="shared" si="37"/>
        <v>0</v>
      </c>
      <c r="Q592">
        <f t="shared" si="38"/>
        <v>2</v>
      </c>
      <c r="R592" s="1">
        <f t="shared" si="39"/>
        <v>0</v>
      </c>
    </row>
    <row r="593" spans="1:18" hidden="1" x14ac:dyDescent="0.3">
      <c r="A593" t="s">
        <v>4659</v>
      </c>
      <c r="B593" t="s">
        <v>4660</v>
      </c>
      <c r="C593" t="s">
        <v>47</v>
      </c>
      <c r="D593">
        <v>1</v>
      </c>
      <c r="E593">
        <v>2</v>
      </c>
      <c r="F593" t="s">
        <v>79</v>
      </c>
      <c r="G593" s="1">
        <v>273229.14</v>
      </c>
      <c r="H593">
        <v>0</v>
      </c>
      <c r="I593">
        <v>0.5</v>
      </c>
      <c r="J593">
        <v>2</v>
      </c>
      <c r="K593">
        <v>1</v>
      </c>
      <c r="L593">
        <f t="shared" si="36"/>
        <v>2</v>
      </c>
      <c r="M593">
        <v>0</v>
      </c>
      <c r="N593">
        <v>0</v>
      </c>
      <c r="O593">
        <v>5</v>
      </c>
      <c r="P593" s="1">
        <f t="shared" si="37"/>
        <v>0</v>
      </c>
      <c r="Q593">
        <f t="shared" si="38"/>
        <v>5</v>
      </c>
      <c r="R593" s="1">
        <f t="shared" si="39"/>
        <v>1366145.7000000002</v>
      </c>
    </row>
    <row r="594" spans="1:18" hidden="1" x14ac:dyDescent="0.3">
      <c r="A594" t="s">
        <v>4661</v>
      </c>
      <c r="B594" t="s">
        <v>4662</v>
      </c>
      <c r="C594" t="s">
        <v>47</v>
      </c>
      <c r="D594">
        <v>1</v>
      </c>
      <c r="E594">
        <v>8</v>
      </c>
      <c r="F594" t="s">
        <v>4663</v>
      </c>
      <c r="G594" s="1">
        <v>940.5</v>
      </c>
      <c r="H594">
        <v>8</v>
      </c>
      <c r="I594">
        <v>1.1000000000000001</v>
      </c>
      <c r="J594">
        <v>8</v>
      </c>
      <c r="K594">
        <v>9</v>
      </c>
      <c r="L594">
        <f t="shared" si="36"/>
        <v>18</v>
      </c>
      <c r="M594">
        <v>0</v>
      </c>
      <c r="N594">
        <v>0</v>
      </c>
      <c r="O594">
        <v>25</v>
      </c>
      <c r="P594" s="1">
        <f t="shared" si="37"/>
        <v>0</v>
      </c>
      <c r="Q594">
        <f t="shared" si="38"/>
        <v>25</v>
      </c>
      <c r="R594" s="1">
        <f t="shared" si="39"/>
        <v>23512.5</v>
      </c>
    </row>
    <row r="595" spans="1:18" hidden="1" x14ac:dyDescent="0.3">
      <c r="A595" t="s">
        <v>4664</v>
      </c>
      <c r="B595" t="s">
        <v>4665</v>
      </c>
      <c r="C595" t="s">
        <v>47</v>
      </c>
      <c r="D595">
        <v>1</v>
      </c>
      <c r="E595">
        <v>0</v>
      </c>
      <c r="G595" s="1">
        <v>0</v>
      </c>
      <c r="H595">
        <v>0</v>
      </c>
      <c r="I595">
        <v>0.5</v>
      </c>
      <c r="J595">
        <v>1</v>
      </c>
      <c r="K595">
        <v>1</v>
      </c>
      <c r="L595">
        <f t="shared" si="36"/>
        <v>2</v>
      </c>
      <c r="M595">
        <v>0</v>
      </c>
      <c r="N595">
        <v>0</v>
      </c>
      <c r="O595">
        <v>2</v>
      </c>
      <c r="P595" s="1">
        <f t="shared" si="37"/>
        <v>0</v>
      </c>
      <c r="Q595">
        <f t="shared" si="38"/>
        <v>2</v>
      </c>
      <c r="R595" s="1">
        <f t="shared" si="39"/>
        <v>0</v>
      </c>
    </row>
    <row r="596" spans="1:18" hidden="1" x14ac:dyDescent="0.3">
      <c r="A596" t="s">
        <v>4666</v>
      </c>
      <c r="B596" t="s">
        <v>4667</v>
      </c>
      <c r="C596" t="s">
        <v>47</v>
      </c>
      <c r="D596">
        <v>14</v>
      </c>
      <c r="E596">
        <v>16</v>
      </c>
      <c r="F596" t="s">
        <v>482</v>
      </c>
      <c r="G596" s="1">
        <v>97</v>
      </c>
      <c r="H596">
        <v>16</v>
      </c>
      <c r="I596">
        <v>1.5</v>
      </c>
      <c r="J596">
        <v>1.5</v>
      </c>
      <c r="K596">
        <v>2</v>
      </c>
      <c r="L596">
        <f t="shared" si="36"/>
        <v>5</v>
      </c>
      <c r="M596">
        <v>0</v>
      </c>
      <c r="N596">
        <v>0</v>
      </c>
      <c r="O596">
        <v>5</v>
      </c>
      <c r="P596" s="1">
        <f t="shared" si="37"/>
        <v>0</v>
      </c>
      <c r="Q596">
        <f t="shared" si="38"/>
        <v>5</v>
      </c>
      <c r="R596" s="1">
        <f t="shared" si="39"/>
        <v>485</v>
      </c>
    </row>
    <row r="597" spans="1:18" hidden="1" x14ac:dyDescent="0.3">
      <c r="A597" t="s">
        <v>4668</v>
      </c>
      <c r="B597" t="s">
        <v>4669</v>
      </c>
      <c r="C597" t="s">
        <v>47</v>
      </c>
      <c r="D597">
        <v>1</v>
      </c>
      <c r="E597">
        <v>6</v>
      </c>
      <c r="F597" t="s">
        <v>124</v>
      </c>
      <c r="G597" s="1">
        <v>800</v>
      </c>
      <c r="H597">
        <v>1</v>
      </c>
      <c r="I597">
        <v>1.2</v>
      </c>
      <c r="J597">
        <v>6</v>
      </c>
      <c r="K597">
        <v>7</v>
      </c>
      <c r="L597">
        <f t="shared" si="36"/>
        <v>15</v>
      </c>
      <c r="M597">
        <v>0</v>
      </c>
      <c r="N597">
        <v>0</v>
      </c>
      <c r="O597">
        <v>19</v>
      </c>
      <c r="P597" s="1">
        <f t="shared" si="37"/>
        <v>0</v>
      </c>
      <c r="Q597">
        <f t="shared" si="38"/>
        <v>19</v>
      </c>
      <c r="R597" s="1">
        <f t="shared" si="39"/>
        <v>15200</v>
      </c>
    </row>
    <row r="598" spans="1:18" hidden="1" x14ac:dyDescent="0.3">
      <c r="A598" t="s">
        <v>4670</v>
      </c>
      <c r="B598" t="s">
        <v>4671</v>
      </c>
      <c r="C598" t="s">
        <v>47</v>
      </c>
      <c r="D598">
        <v>11</v>
      </c>
      <c r="E598">
        <v>13</v>
      </c>
      <c r="F598" t="s">
        <v>181</v>
      </c>
      <c r="G598" s="1">
        <v>95.46</v>
      </c>
      <c r="H598">
        <v>0</v>
      </c>
      <c r="I598">
        <v>0.5</v>
      </c>
      <c r="J598">
        <v>1.5</v>
      </c>
      <c r="K598">
        <v>1</v>
      </c>
      <c r="L598">
        <f t="shared" si="36"/>
        <v>2</v>
      </c>
      <c r="M598">
        <v>0</v>
      </c>
      <c r="N598">
        <v>0</v>
      </c>
      <c r="O598">
        <v>4</v>
      </c>
      <c r="P598" s="1">
        <f t="shared" si="37"/>
        <v>0</v>
      </c>
      <c r="Q598">
        <f t="shared" si="38"/>
        <v>4</v>
      </c>
      <c r="R598" s="1">
        <f t="shared" si="39"/>
        <v>381.84</v>
      </c>
    </row>
    <row r="599" spans="1:18" hidden="1" x14ac:dyDescent="0.3">
      <c r="A599" t="s">
        <v>4672</v>
      </c>
      <c r="B599" t="s">
        <v>4673</v>
      </c>
      <c r="C599" t="s">
        <v>47</v>
      </c>
      <c r="D599">
        <v>7</v>
      </c>
      <c r="E599">
        <v>112</v>
      </c>
      <c r="F599" t="s">
        <v>1073</v>
      </c>
      <c r="G599" s="1">
        <v>3446.25</v>
      </c>
      <c r="H599">
        <v>49</v>
      </c>
      <c r="I599">
        <v>0.5</v>
      </c>
      <c r="J599">
        <v>16</v>
      </c>
      <c r="K599">
        <v>8</v>
      </c>
      <c r="L599">
        <f t="shared" si="36"/>
        <v>16</v>
      </c>
      <c r="M599">
        <v>0</v>
      </c>
      <c r="N599">
        <v>0</v>
      </c>
      <c r="O599">
        <v>40</v>
      </c>
      <c r="P599" s="1">
        <f t="shared" si="37"/>
        <v>0</v>
      </c>
      <c r="Q599">
        <f t="shared" si="38"/>
        <v>40</v>
      </c>
      <c r="R599" s="1">
        <f t="shared" si="39"/>
        <v>137850</v>
      </c>
    </row>
    <row r="600" spans="1:18" hidden="1" x14ac:dyDescent="0.3">
      <c r="A600" t="s">
        <v>4674</v>
      </c>
      <c r="B600" t="s">
        <v>4675</v>
      </c>
      <c r="C600" t="s">
        <v>47</v>
      </c>
      <c r="D600">
        <v>1</v>
      </c>
      <c r="E600">
        <v>0</v>
      </c>
      <c r="G600" s="1">
        <v>1691.38</v>
      </c>
      <c r="H600">
        <v>0</v>
      </c>
      <c r="I600">
        <v>0.5</v>
      </c>
      <c r="J600">
        <v>1</v>
      </c>
      <c r="K600">
        <v>1</v>
      </c>
      <c r="L600">
        <f t="shared" si="36"/>
        <v>2</v>
      </c>
      <c r="M600">
        <v>0</v>
      </c>
      <c r="N600">
        <v>0</v>
      </c>
      <c r="O600">
        <v>2</v>
      </c>
      <c r="P600" s="1">
        <f t="shared" si="37"/>
        <v>0</v>
      </c>
      <c r="Q600">
        <f t="shared" si="38"/>
        <v>2</v>
      </c>
      <c r="R600" s="1">
        <f t="shared" si="39"/>
        <v>3382.76</v>
      </c>
    </row>
    <row r="601" spans="1:18" hidden="1" x14ac:dyDescent="0.3">
      <c r="A601" t="s">
        <v>4676</v>
      </c>
      <c r="B601" t="s">
        <v>4677</v>
      </c>
      <c r="C601" t="s">
        <v>47</v>
      </c>
      <c r="D601">
        <v>1</v>
      </c>
      <c r="E601">
        <v>0</v>
      </c>
      <c r="G601" s="1">
        <v>1816.67</v>
      </c>
      <c r="H601">
        <v>0</v>
      </c>
      <c r="I601">
        <v>0.5</v>
      </c>
      <c r="J601">
        <v>1</v>
      </c>
      <c r="K601">
        <v>1</v>
      </c>
      <c r="L601">
        <f t="shared" si="36"/>
        <v>2</v>
      </c>
      <c r="M601">
        <v>0</v>
      </c>
      <c r="N601">
        <v>0</v>
      </c>
      <c r="O601">
        <v>2</v>
      </c>
      <c r="P601" s="1">
        <f t="shared" si="37"/>
        <v>0</v>
      </c>
      <c r="Q601">
        <f t="shared" si="38"/>
        <v>2</v>
      </c>
      <c r="R601" s="1">
        <f t="shared" si="39"/>
        <v>3633.34</v>
      </c>
    </row>
    <row r="602" spans="1:18" hidden="1" x14ac:dyDescent="0.3">
      <c r="A602" t="s">
        <v>4678</v>
      </c>
      <c r="B602" t="s">
        <v>4679</v>
      </c>
      <c r="C602" t="s">
        <v>47</v>
      </c>
      <c r="D602">
        <v>26</v>
      </c>
      <c r="E602">
        <v>0</v>
      </c>
      <c r="G602" s="1">
        <v>0</v>
      </c>
      <c r="H602">
        <v>33</v>
      </c>
      <c r="I602">
        <v>0.5</v>
      </c>
      <c r="J602">
        <v>1.5</v>
      </c>
      <c r="K602">
        <v>1</v>
      </c>
      <c r="L602">
        <f t="shared" si="36"/>
        <v>2</v>
      </c>
      <c r="M602">
        <v>0</v>
      </c>
      <c r="N602">
        <v>0</v>
      </c>
      <c r="O602">
        <v>4</v>
      </c>
      <c r="P602" s="1">
        <f t="shared" si="37"/>
        <v>0</v>
      </c>
      <c r="Q602">
        <f t="shared" si="38"/>
        <v>4</v>
      </c>
      <c r="R602" s="1">
        <f t="shared" si="39"/>
        <v>0</v>
      </c>
    </row>
    <row r="603" spans="1:18" hidden="1" x14ac:dyDescent="0.3">
      <c r="A603" t="s">
        <v>4680</v>
      </c>
      <c r="B603" t="s">
        <v>4681</v>
      </c>
      <c r="C603" t="s">
        <v>47</v>
      </c>
      <c r="D603">
        <v>1</v>
      </c>
      <c r="E603">
        <v>0</v>
      </c>
      <c r="G603" s="1">
        <v>0</v>
      </c>
      <c r="H603">
        <v>0</v>
      </c>
      <c r="I603">
        <v>0.5</v>
      </c>
      <c r="J603">
        <v>1</v>
      </c>
      <c r="K603">
        <v>1</v>
      </c>
      <c r="L603">
        <f t="shared" si="36"/>
        <v>2</v>
      </c>
      <c r="M603">
        <v>0</v>
      </c>
      <c r="N603">
        <v>0</v>
      </c>
      <c r="O603">
        <v>2</v>
      </c>
      <c r="P603" s="1">
        <f t="shared" si="37"/>
        <v>0</v>
      </c>
      <c r="Q603">
        <f t="shared" si="38"/>
        <v>2</v>
      </c>
      <c r="R603" s="1">
        <f t="shared" si="39"/>
        <v>0</v>
      </c>
    </row>
    <row r="604" spans="1:18" hidden="1" x14ac:dyDescent="0.3">
      <c r="A604" t="s">
        <v>4682</v>
      </c>
      <c r="B604" t="s">
        <v>4683</v>
      </c>
      <c r="C604" t="s">
        <v>47</v>
      </c>
      <c r="D604">
        <v>1</v>
      </c>
      <c r="E604">
        <v>0</v>
      </c>
      <c r="G604" s="1">
        <v>0</v>
      </c>
      <c r="H604">
        <v>3</v>
      </c>
      <c r="I604">
        <v>0.5</v>
      </c>
      <c r="J604">
        <v>3</v>
      </c>
      <c r="K604">
        <v>2</v>
      </c>
      <c r="L604">
        <f t="shared" si="36"/>
        <v>4</v>
      </c>
      <c r="M604">
        <v>0</v>
      </c>
      <c r="N604">
        <v>0</v>
      </c>
      <c r="O604">
        <v>8</v>
      </c>
      <c r="P604" s="1">
        <f t="shared" si="37"/>
        <v>0</v>
      </c>
      <c r="Q604">
        <f t="shared" si="38"/>
        <v>8</v>
      </c>
      <c r="R604" s="1">
        <f t="shared" si="39"/>
        <v>0</v>
      </c>
    </row>
    <row r="605" spans="1:18" hidden="1" x14ac:dyDescent="0.3">
      <c r="A605" t="s">
        <v>4684</v>
      </c>
      <c r="B605" t="s">
        <v>4685</v>
      </c>
      <c r="C605" t="s">
        <v>47</v>
      </c>
      <c r="D605">
        <v>1</v>
      </c>
      <c r="E605">
        <v>1</v>
      </c>
      <c r="F605" t="s">
        <v>4329</v>
      </c>
      <c r="G605" s="1">
        <v>6032.72</v>
      </c>
      <c r="H605">
        <v>1</v>
      </c>
      <c r="I605">
        <v>0.5</v>
      </c>
      <c r="J605">
        <v>1</v>
      </c>
      <c r="K605">
        <v>1</v>
      </c>
      <c r="L605">
        <f t="shared" si="36"/>
        <v>2</v>
      </c>
      <c r="M605">
        <v>0</v>
      </c>
      <c r="N605">
        <v>0</v>
      </c>
      <c r="O605">
        <v>2</v>
      </c>
      <c r="P605" s="1">
        <f t="shared" si="37"/>
        <v>0</v>
      </c>
      <c r="Q605">
        <f t="shared" si="38"/>
        <v>2</v>
      </c>
      <c r="R605" s="1">
        <f t="shared" si="39"/>
        <v>12065.44</v>
      </c>
    </row>
    <row r="606" spans="1:18" hidden="1" x14ac:dyDescent="0.3">
      <c r="A606" t="s">
        <v>4686</v>
      </c>
      <c r="B606" t="s">
        <v>4687</v>
      </c>
      <c r="C606" t="s">
        <v>47</v>
      </c>
      <c r="D606">
        <v>1</v>
      </c>
      <c r="E606">
        <v>0</v>
      </c>
      <c r="G606" s="1">
        <v>0</v>
      </c>
      <c r="H606">
        <v>0</v>
      </c>
      <c r="I606">
        <v>0.5</v>
      </c>
      <c r="J606">
        <v>1</v>
      </c>
      <c r="K606">
        <v>1</v>
      </c>
      <c r="L606">
        <f t="shared" si="36"/>
        <v>2</v>
      </c>
      <c r="M606">
        <v>0</v>
      </c>
      <c r="N606">
        <v>0</v>
      </c>
      <c r="O606">
        <v>2</v>
      </c>
      <c r="P606" s="1">
        <f t="shared" si="37"/>
        <v>0</v>
      </c>
      <c r="Q606">
        <f t="shared" si="38"/>
        <v>2</v>
      </c>
      <c r="R606" s="1">
        <f t="shared" si="39"/>
        <v>0</v>
      </c>
    </row>
    <row r="607" spans="1:18" hidden="1" x14ac:dyDescent="0.3">
      <c r="A607" t="s">
        <v>4688</v>
      </c>
      <c r="B607" t="s">
        <v>4689</v>
      </c>
      <c r="C607" t="s">
        <v>47</v>
      </c>
      <c r="D607">
        <v>1</v>
      </c>
      <c r="E607">
        <v>0</v>
      </c>
      <c r="G607" s="1">
        <v>0</v>
      </c>
      <c r="H607">
        <v>0</v>
      </c>
      <c r="I607">
        <v>0.5</v>
      </c>
      <c r="J607">
        <v>1</v>
      </c>
      <c r="K607">
        <v>1</v>
      </c>
      <c r="L607">
        <f t="shared" si="36"/>
        <v>2</v>
      </c>
      <c r="M607">
        <v>0</v>
      </c>
      <c r="N607">
        <v>0</v>
      </c>
      <c r="O607">
        <v>2</v>
      </c>
      <c r="P607" s="1">
        <f t="shared" si="37"/>
        <v>0</v>
      </c>
      <c r="Q607">
        <f t="shared" si="38"/>
        <v>2</v>
      </c>
      <c r="R607" s="1">
        <f t="shared" si="39"/>
        <v>0</v>
      </c>
    </row>
    <row r="608" spans="1:18" hidden="1" x14ac:dyDescent="0.3">
      <c r="A608" t="s">
        <v>4690</v>
      </c>
      <c r="B608" t="s">
        <v>4691</v>
      </c>
      <c r="C608" t="s">
        <v>47</v>
      </c>
      <c r="D608">
        <v>1</v>
      </c>
      <c r="E608">
        <v>0</v>
      </c>
      <c r="G608" s="1">
        <v>0</v>
      </c>
      <c r="H608">
        <v>0</v>
      </c>
      <c r="I608">
        <v>0.5</v>
      </c>
      <c r="J608">
        <v>1</v>
      </c>
      <c r="K608">
        <v>1</v>
      </c>
      <c r="L608">
        <f t="shared" si="36"/>
        <v>2</v>
      </c>
      <c r="M608">
        <v>0</v>
      </c>
      <c r="N608">
        <v>0</v>
      </c>
      <c r="O608">
        <v>2</v>
      </c>
      <c r="P608" s="1">
        <f t="shared" si="37"/>
        <v>0</v>
      </c>
      <c r="Q608">
        <f t="shared" si="38"/>
        <v>2</v>
      </c>
      <c r="R608" s="1">
        <f t="shared" si="39"/>
        <v>0</v>
      </c>
    </row>
    <row r="609" spans="1:18" hidden="1" x14ac:dyDescent="0.3">
      <c r="A609" t="s">
        <v>4692</v>
      </c>
      <c r="B609" t="s">
        <v>4693</v>
      </c>
      <c r="C609" t="s">
        <v>47</v>
      </c>
      <c r="D609">
        <v>1</v>
      </c>
      <c r="E609">
        <v>130</v>
      </c>
      <c r="F609" t="s">
        <v>3485</v>
      </c>
      <c r="G609" s="1">
        <v>0</v>
      </c>
      <c r="H609">
        <v>0</v>
      </c>
      <c r="I609">
        <v>0.5</v>
      </c>
      <c r="J609">
        <v>130</v>
      </c>
      <c r="K609">
        <v>65</v>
      </c>
      <c r="L609">
        <f t="shared" si="36"/>
        <v>130</v>
      </c>
      <c r="M609">
        <v>0</v>
      </c>
      <c r="N609">
        <v>0</v>
      </c>
      <c r="O609">
        <v>325</v>
      </c>
      <c r="P609" s="1">
        <f t="shared" si="37"/>
        <v>0</v>
      </c>
      <c r="Q609">
        <f t="shared" si="38"/>
        <v>325</v>
      </c>
      <c r="R609" s="1">
        <f t="shared" si="39"/>
        <v>0</v>
      </c>
    </row>
    <row r="610" spans="1:18" hidden="1" x14ac:dyDescent="0.3">
      <c r="A610" t="s">
        <v>4694</v>
      </c>
      <c r="B610" t="s">
        <v>4695</v>
      </c>
      <c r="C610" t="s">
        <v>47</v>
      </c>
      <c r="D610">
        <v>1</v>
      </c>
      <c r="E610">
        <v>0</v>
      </c>
      <c r="G610" s="1">
        <v>375.22</v>
      </c>
      <c r="H610">
        <v>0</v>
      </c>
      <c r="I610">
        <v>0.5</v>
      </c>
      <c r="J610">
        <v>1</v>
      </c>
      <c r="K610">
        <v>1</v>
      </c>
      <c r="L610">
        <f t="shared" si="36"/>
        <v>2</v>
      </c>
      <c r="M610">
        <v>0</v>
      </c>
      <c r="N610">
        <v>0</v>
      </c>
      <c r="O610">
        <v>2</v>
      </c>
      <c r="P610" s="1">
        <f t="shared" si="37"/>
        <v>0</v>
      </c>
      <c r="Q610">
        <f t="shared" si="38"/>
        <v>2</v>
      </c>
      <c r="R610" s="1">
        <f t="shared" si="39"/>
        <v>750.44</v>
      </c>
    </row>
    <row r="611" spans="1:18" hidden="1" x14ac:dyDescent="0.3">
      <c r="A611" t="s">
        <v>4696</v>
      </c>
      <c r="B611" t="s">
        <v>4697</v>
      </c>
      <c r="C611" t="s">
        <v>47</v>
      </c>
      <c r="D611">
        <v>1</v>
      </c>
      <c r="E611">
        <v>0</v>
      </c>
      <c r="G611" s="1">
        <v>0</v>
      </c>
      <c r="H611">
        <v>0</v>
      </c>
      <c r="I611">
        <v>0.5</v>
      </c>
      <c r="J611">
        <v>1</v>
      </c>
      <c r="K611">
        <v>1</v>
      </c>
      <c r="L611">
        <f t="shared" si="36"/>
        <v>2</v>
      </c>
      <c r="M611">
        <v>0</v>
      </c>
      <c r="N611">
        <v>0</v>
      </c>
      <c r="O611">
        <v>2</v>
      </c>
      <c r="P611" s="1">
        <f t="shared" si="37"/>
        <v>0</v>
      </c>
      <c r="Q611">
        <f t="shared" si="38"/>
        <v>2</v>
      </c>
      <c r="R611" s="1">
        <f t="shared" si="39"/>
        <v>0</v>
      </c>
    </row>
    <row r="612" spans="1:18" hidden="1" x14ac:dyDescent="0.3">
      <c r="A612" t="s">
        <v>4698</v>
      </c>
      <c r="B612" t="s">
        <v>4697</v>
      </c>
      <c r="C612" t="s">
        <v>47</v>
      </c>
      <c r="D612">
        <v>1</v>
      </c>
      <c r="E612">
        <v>0</v>
      </c>
      <c r="G612" s="1">
        <v>0</v>
      </c>
      <c r="H612">
        <v>0</v>
      </c>
      <c r="I612">
        <v>0.5</v>
      </c>
      <c r="J612">
        <v>1</v>
      </c>
      <c r="K612">
        <v>1</v>
      </c>
      <c r="L612">
        <f t="shared" si="36"/>
        <v>2</v>
      </c>
      <c r="M612">
        <v>0</v>
      </c>
      <c r="N612">
        <v>0</v>
      </c>
      <c r="O612">
        <v>2</v>
      </c>
      <c r="P612" s="1">
        <f t="shared" si="37"/>
        <v>0</v>
      </c>
      <c r="Q612">
        <f t="shared" si="38"/>
        <v>2</v>
      </c>
      <c r="R612" s="1">
        <f t="shared" si="39"/>
        <v>0</v>
      </c>
    </row>
    <row r="613" spans="1:18" hidden="1" x14ac:dyDescent="0.3">
      <c r="A613" t="s">
        <v>4699</v>
      </c>
      <c r="B613" t="s">
        <v>4700</v>
      </c>
      <c r="C613" t="s">
        <v>47</v>
      </c>
      <c r="D613">
        <v>1</v>
      </c>
      <c r="E613">
        <v>0</v>
      </c>
      <c r="G613" s="1">
        <v>0</v>
      </c>
      <c r="H613">
        <v>0</v>
      </c>
      <c r="I613">
        <v>0.5</v>
      </c>
      <c r="J613">
        <v>1</v>
      </c>
      <c r="K613">
        <v>1</v>
      </c>
      <c r="L613">
        <f t="shared" si="36"/>
        <v>2</v>
      </c>
      <c r="M613">
        <v>0</v>
      </c>
      <c r="N613">
        <v>0</v>
      </c>
      <c r="O613">
        <v>2</v>
      </c>
      <c r="P613" s="1">
        <f t="shared" si="37"/>
        <v>0</v>
      </c>
      <c r="Q613">
        <f t="shared" si="38"/>
        <v>2</v>
      </c>
      <c r="R613" s="1">
        <f t="shared" si="39"/>
        <v>0</v>
      </c>
    </row>
    <row r="614" spans="1:18" hidden="1" x14ac:dyDescent="0.3">
      <c r="A614" t="s">
        <v>4701</v>
      </c>
      <c r="B614" t="s">
        <v>4702</v>
      </c>
      <c r="C614" t="s">
        <v>47</v>
      </c>
      <c r="D614">
        <v>1</v>
      </c>
      <c r="E614">
        <v>0</v>
      </c>
      <c r="G614" s="1">
        <v>0</v>
      </c>
      <c r="H614">
        <v>0</v>
      </c>
      <c r="I614">
        <v>0.5</v>
      </c>
      <c r="J614">
        <v>1</v>
      </c>
      <c r="K614">
        <v>1</v>
      </c>
      <c r="L614">
        <f t="shared" si="36"/>
        <v>2</v>
      </c>
      <c r="M614">
        <v>0</v>
      </c>
      <c r="N614">
        <v>0</v>
      </c>
      <c r="O614">
        <v>2</v>
      </c>
      <c r="P614" s="1">
        <f t="shared" si="37"/>
        <v>0</v>
      </c>
      <c r="Q614">
        <f t="shared" si="38"/>
        <v>2</v>
      </c>
      <c r="R614" s="1">
        <f t="shared" si="39"/>
        <v>0</v>
      </c>
    </row>
    <row r="615" spans="1:18" hidden="1" x14ac:dyDescent="0.3">
      <c r="A615" t="s">
        <v>4703</v>
      </c>
      <c r="B615" t="s">
        <v>4704</v>
      </c>
      <c r="C615" t="s">
        <v>47</v>
      </c>
      <c r="D615">
        <v>1</v>
      </c>
      <c r="E615">
        <v>0</v>
      </c>
      <c r="G615" s="1">
        <v>0</v>
      </c>
      <c r="H615">
        <v>0</v>
      </c>
      <c r="I615">
        <v>0.5</v>
      </c>
      <c r="J615">
        <v>1</v>
      </c>
      <c r="K615">
        <v>1</v>
      </c>
      <c r="L615">
        <f t="shared" si="36"/>
        <v>2</v>
      </c>
      <c r="M615">
        <v>0</v>
      </c>
      <c r="N615">
        <v>0</v>
      </c>
      <c r="O615">
        <v>2</v>
      </c>
      <c r="P615" s="1">
        <f t="shared" si="37"/>
        <v>0</v>
      </c>
      <c r="Q615">
        <f t="shared" si="38"/>
        <v>2</v>
      </c>
      <c r="R615" s="1">
        <f t="shared" si="39"/>
        <v>0</v>
      </c>
    </row>
    <row r="616" spans="1:18" hidden="1" x14ac:dyDescent="0.3">
      <c r="A616" t="s">
        <v>4705</v>
      </c>
      <c r="B616" t="s">
        <v>4706</v>
      </c>
      <c r="C616" t="s">
        <v>47</v>
      </c>
      <c r="D616">
        <v>1</v>
      </c>
      <c r="E616">
        <v>0</v>
      </c>
      <c r="G616" s="1">
        <v>0</v>
      </c>
      <c r="H616">
        <v>0</v>
      </c>
      <c r="I616">
        <v>0.5</v>
      </c>
      <c r="J616">
        <v>1</v>
      </c>
      <c r="K616">
        <v>1</v>
      </c>
      <c r="L616">
        <f t="shared" si="36"/>
        <v>2</v>
      </c>
      <c r="M616">
        <v>0</v>
      </c>
      <c r="N616">
        <v>0</v>
      </c>
      <c r="O616">
        <v>2</v>
      </c>
      <c r="P616" s="1">
        <f t="shared" si="37"/>
        <v>0</v>
      </c>
      <c r="Q616">
        <f t="shared" si="38"/>
        <v>2</v>
      </c>
      <c r="R616" s="1">
        <f t="shared" si="39"/>
        <v>0</v>
      </c>
    </row>
    <row r="617" spans="1:18" hidden="1" x14ac:dyDescent="0.3">
      <c r="A617" t="s">
        <v>4707</v>
      </c>
      <c r="B617" t="s">
        <v>4708</v>
      </c>
      <c r="C617" t="s">
        <v>47</v>
      </c>
      <c r="D617">
        <v>1</v>
      </c>
      <c r="E617">
        <v>43</v>
      </c>
      <c r="F617" t="s">
        <v>3678</v>
      </c>
      <c r="G617" s="1">
        <v>0</v>
      </c>
      <c r="H617">
        <v>0</v>
      </c>
      <c r="I617">
        <v>0.5</v>
      </c>
      <c r="J617">
        <v>43</v>
      </c>
      <c r="K617">
        <v>22</v>
      </c>
      <c r="L617">
        <f t="shared" si="36"/>
        <v>44</v>
      </c>
      <c r="M617">
        <v>0</v>
      </c>
      <c r="N617">
        <v>0</v>
      </c>
      <c r="O617">
        <v>108</v>
      </c>
      <c r="P617" s="1">
        <f t="shared" si="37"/>
        <v>0</v>
      </c>
      <c r="Q617">
        <f t="shared" si="38"/>
        <v>108</v>
      </c>
      <c r="R617" s="1">
        <f t="shared" si="39"/>
        <v>0</v>
      </c>
    </row>
    <row r="618" spans="1:18" hidden="1" x14ac:dyDescent="0.3">
      <c r="A618" t="s">
        <v>4709</v>
      </c>
      <c r="B618" t="s">
        <v>4710</v>
      </c>
      <c r="C618" t="s">
        <v>47</v>
      </c>
      <c r="D618">
        <v>1</v>
      </c>
      <c r="E618">
        <v>0</v>
      </c>
      <c r="G618" s="1">
        <v>0</v>
      </c>
      <c r="H618">
        <v>6</v>
      </c>
      <c r="I618">
        <v>0.5</v>
      </c>
      <c r="J618">
        <v>6</v>
      </c>
      <c r="K618">
        <v>3</v>
      </c>
      <c r="L618">
        <f t="shared" si="36"/>
        <v>6</v>
      </c>
      <c r="M618">
        <v>0</v>
      </c>
      <c r="N618">
        <v>0</v>
      </c>
      <c r="O618">
        <v>15</v>
      </c>
      <c r="P618" s="1">
        <f t="shared" si="37"/>
        <v>0</v>
      </c>
      <c r="Q618">
        <f t="shared" si="38"/>
        <v>15</v>
      </c>
      <c r="R618" s="1">
        <f t="shared" si="39"/>
        <v>0</v>
      </c>
    </row>
    <row r="619" spans="1:18" hidden="1" x14ac:dyDescent="0.3">
      <c r="A619" t="s">
        <v>4711</v>
      </c>
      <c r="B619" t="s">
        <v>4712</v>
      </c>
      <c r="C619" t="s">
        <v>47</v>
      </c>
      <c r="D619">
        <v>31</v>
      </c>
      <c r="E619">
        <v>18</v>
      </c>
      <c r="F619" t="s">
        <v>4713</v>
      </c>
      <c r="G619" s="1">
        <v>0</v>
      </c>
      <c r="H619">
        <v>39</v>
      </c>
      <c r="I619">
        <v>0.5</v>
      </c>
      <c r="J619">
        <v>1.5</v>
      </c>
      <c r="K619">
        <v>1</v>
      </c>
      <c r="L619">
        <f t="shared" si="36"/>
        <v>2</v>
      </c>
      <c r="M619">
        <v>0</v>
      </c>
      <c r="N619">
        <v>0</v>
      </c>
      <c r="O619">
        <v>4</v>
      </c>
      <c r="P619" s="1">
        <f t="shared" si="37"/>
        <v>0</v>
      </c>
      <c r="Q619">
        <f t="shared" si="38"/>
        <v>4</v>
      </c>
      <c r="R619" s="1">
        <f t="shared" si="39"/>
        <v>0</v>
      </c>
    </row>
    <row r="620" spans="1:18" hidden="1" x14ac:dyDescent="0.3">
      <c r="A620" t="s">
        <v>4714</v>
      </c>
      <c r="B620" t="s">
        <v>4711</v>
      </c>
      <c r="C620" t="s">
        <v>47</v>
      </c>
      <c r="D620">
        <v>1</v>
      </c>
      <c r="E620">
        <v>0</v>
      </c>
      <c r="G620" s="1">
        <v>7831.76</v>
      </c>
      <c r="H620">
        <v>0</v>
      </c>
      <c r="I620">
        <v>0.5</v>
      </c>
      <c r="J620">
        <v>1</v>
      </c>
      <c r="K620">
        <v>1</v>
      </c>
      <c r="L620">
        <f t="shared" si="36"/>
        <v>2</v>
      </c>
      <c r="M620">
        <v>0</v>
      </c>
      <c r="N620">
        <v>0</v>
      </c>
      <c r="O620">
        <v>2</v>
      </c>
      <c r="P620" s="1">
        <f t="shared" si="37"/>
        <v>0</v>
      </c>
      <c r="Q620">
        <f t="shared" si="38"/>
        <v>2</v>
      </c>
      <c r="R620" s="1">
        <f t="shared" si="39"/>
        <v>15663.52</v>
      </c>
    </row>
    <row r="621" spans="1:18" hidden="1" x14ac:dyDescent="0.3">
      <c r="A621" t="s">
        <v>4715</v>
      </c>
      <c r="B621" t="s">
        <v>4716</v>
      </c>
      <c r="C621" t="s">
        <v>47</v>
      </c>
      <c r="D621">
        <v>31</v>
      </c>
      <c r="E621">
        <v>1</v>
      </c>
      <c r="F621" t="s">
        <v>3500</v>
      </c>
      <c r="G621" s="1">
        <v>169.4</v>
      </c>
      <c r="H621">
        <v>7</v>
      </c>
      <c r="I621">
        <v>0.5</v>
      </c>
      <c r="J621">
        <v>1</v>
      </c>
      <c r="K621">
        <v>1</v>
      </c>
      <c r="L621">
        <f t="shared" si="36"/>
        <v>2</v>
      </c>
      <c r="M621">
        <v>0</v>
      </c>
      <c r="N621">
        <v>0</v>
      </c>
      <c r="O621">
        <v>2</v>
      </c>
      <c r="P621" s="1">
        <f t="shared" si="37"/>
        <v>0</v>
      </c>
      <c r="Q621">
        <f t="shared" si="38"/>
        <v>2</v>
      </c>
      <c r="R621" s="1">
        <f t="shared" si="39"/>
        <v>338.8</v>
      </c>
    </row>
    <row r="622" spans="1:18" hidden="1" x14ac:dyDescent="0.3">
      <c r="A622" t="s">
        <v>4717</v>
      </c>
      <c r="B622" t="s">
        <v>4718</v>
      </c>
      <c r="C622" t="s">
        <v>47</v>
      </c>
      <c r="D622">
        <v>1</v>
      </c>
      <c r="E622">
        <v>3</v>
      </c>
      <c r="F622" t="s">
        <v>181</v>
      </c>
      <c r="G622" s="1">
        <v>172</v>
      </c>
      <c r="H622">
        <v>0</v>
      </c>
      <c r="I622">
        <v>0.8</v>
      </c>
      <c r="J622">
        <v>3</v>
      </c>
      <c r="K622">
        <v>2</v>
      </c>
      <c r="L622">
        <f t="shared" si="36"/>
        <v>5</v>
      </c>
      <c r="M622">
        <v>0</v>
      </c>
      <c r="N622">
        <v>0</v>
      </c>
      <c r="O622">
        <v>8</v>
      </c>
      <c r="P622" s="1">
        <f t="shared" si="37"/>
        <v>0</v>
      </c>
      <c r="Q622">
        <f t="shared" si="38"/>
        <v>8</v>
      </c>
      <c r="R622" s="1">
        <f t="shared" si="39"/>
        <v>1376</v>
      </c>
    </row>
    <row r="623" spans="1:18" hidden="1" x14ac:dyDescent="0.3">
      <c r="A623" t="s">
        <v>4719</v>
      </c>
      <c r="B623" t="s">
        <v>4720</v>
      </c>
      <c r="C623" t="s">
        <v>47</v>
      </c>
      <c r="D623">
        <v>1</v>
      </c>
      <c r="E623">
        <v>0</v>
      </c>
      <c r="G623" s="1">
        <v>0</v>
      </c>
      <c r="H623">
        <v>2</v>
      </c>
      <c r="I623">
        <v>0.5</v>
      </c>
      <c r="J623">
        <v>2</v>
      </c>
      <c r="K623">
        <v>1</v>
      </c>
      <c r="L623">
        <f t="shared" si="36"/>
        <v>2</v>
      </c>
      <c r="M623">
        <v>0</v>
      </c>
      <c r="N623">
        <v>0</v>
      </c>
      <c r="O623">
        <v>5</v>
      </c>
      <c r="P623" s="1">
        <f t="shared" si="37"/>
        <v>0</v>
      </c>
      <c r="Q623">
        <f t="shared" si="38"/>
        <v>5</v>
      </c>
      <c r="R623" s="1">
        <f t="shared" si="39"/>
        <v>0</v>
      </c>
    </row>
    <row r="624" spans="1:18" hidden="1" x14ac:dyDescent="0.3">
      <c r="A624" t="s">
        <v>4721</v>
      </c>
      <c r="B624" t="s">
        <v>4722</v>
      </c>
      <c r="C624" t="s">
        <v>47</v>
      </c>
      <c r="D624">
        <v>1</v>
      </c>
      <c r="E624">
        <v>0</v>
      </c>
      <c r="G624" s="1">
        <v>0</v>
      </c>
      <c r="H624">
        <v>2</v>
      </c>
      <c r="I624">
        <v>0.5</v>
      </c>
      <c r="J624">
        <v>2</v>
      </c>
      <c r="K624">
        <v>1</v>
      </c>
      <c r="L624">
        <f t="shared" si="36"/>
        <v>2</v>
      </c>
      <c r="M624">
        <v>0</v>
      </c>
      <c r="N624">
        <v>0</v>
      </c>
      <c r="O624">
        <v>5</v>
      </c>
      <c r="P624" s="1">
        <f t="shared" si="37"/>
        <v>0</v>
      </c>
      <c r="Q624">
        <f t="shared" si="38"/>
        <v>5</v>
      </c>
      <c r="R624" s="1">
        <f t="shared" si="39"/>
        <v>0</v>
      </c>
    </row>
    <row r="625" spans="1:18" hidden="1" x14ac:dyDescent="0.3">
      <c r="A625" t="s">
        <v>4723</v>
      </c>
      <c r="B625" t="s">
        <v>4432</v>
      </c>
      <c r="C625" t="s">
        <v>47</v>
      </c>
      <c r="D625">
        <v>1</v>
      </c>
      <c r="E625">
        <v>0</v>
      </c>
      <c r="G625" s="1">
        <v>0</v>
      </c>
      <c r="H625">
        <v>1</v>
      </c>
      <c r="I625">
        <v>0.5</v>
      </c>
      <c r="J625">
        <v>1</v>
      </c>
      <c r="K625">
        <v>1</v>
      </c>
      <c r="L625">
        <f t="shared" si="36"/>
        <v>2</v>
      </c>
      <c r="M625">
        <v>0</v>
      </c>
      <c r="N625">
        <v>0</v>
      </c>
      <c r="O625">
        <v>2</v>
      </c>
      <c r="P625" s="1">
        <f t="shared" si="37"/>
        <v>0</v>
      </c>
      <c r="Q625">
        <f t="shared" si="38"/>
        <v>2</v>
      </c>
      <c r="R625" s="1">
        <f t="shared" si="39"/>
        <v>0</v>
      </c>
    </row>
    <row r="626" spans="1:18" hidden="1" x14ac:dyDescent="0.3">
      <c r="A626" t="s">
        <v>4724</v>
      </c>
      <c r="B626" t="s">
        <v>4725</v>
      </c>
      <c r="C626" t="s">
        <v>47</v>
      </c>
      <c r="D626">
        <v>1</v>
      </c>
      <c r="E626">
        <v>0</v>
      </c>
      <c r="G626" s="1">
        <v>0</v>
      </c>
      <c r="H626">
        <v>2</v>
      </c>
      <c r="I626">
        <v>0.5</v>
      </c>
      <c r="J626">
        <v>2</v>
      </c>
      <c r="K626">
        <v>1</v>
      </c>
      <c r="L626">
        <f t="shared" si="36"/>
        <v>2</v>
      </c>
      <c r="M626">
        <v>0</v>
      </c>
      <c r="N626">
        <v>0</v>
      </c>
      <c r="O626">
        <v>5</v>
      </c>
      <c r="P626" s="1">
        <f t="shared" si="37"/>
        <v>0</v>
      </c>
      <c r="Q626">
        <f t="shared" si="38"/>
        <v>5</v>
      </c>
      <c r="R626" s="1">
        <f t="shared" si="39"/>
        <v>0</v>
      </c>
    </row>
    <row r="627" spans="1:18" hidden="1" x14ac:dyDescent="0.3">
      <c r="A627" t="s">
        <v>4726</v>
      </c>
      <c r="B627" t="s">
        <v>4727</v>
      </c>
      <c r="C627" t="s">
        <v>47</v>
      </c>
      <c r="D627">
        <v>1</v>
      </c>
      <c r="E627">
        <v>0</v>
      </c>
      <c r="G627" s="1">
        <v>0</v>
      </c>
      <c r="H627">
        <v>1</v>
      </c>
      <c r="I627">
        <v>0.5</v>
      </c>
      <c r="J627">
        <v>1</v>
      </c>
      <c r="K627">
        <v>1</v>
      </c>
      <c r="L627">
        <f t="shared" si="36"/>
        <v>2</v>
      </c>
      <c r="M627">
        <v>0</v>
      </c>
      <c r="N627">
        <v>0</v>
      </c>
      <c r="O627">
        <v>2</v>
      </c>
      <c r="P627" s="1">
        <f t="shared" si="37"/>
        <v>0</v>
      </c>
      <c r="Q627">
        <f t="shared" si="38"/>
        <v>2</v>
      </c>
      <c r="R627" s="1">
        <f t="shared" si="39"/>
        <v>0</v>
      </c>
    </row>
    <row r="628" spans="1:18" hidden="1" x14ac:dyDescent="0.3">
      <c r="A628" t="s">
        <v>4728</v>
      </c>
      <c r="B628" t="s">
        <v>4729</v>
      </c>
      <c r="C628" t="s">
        <v>47</v>
      </c>
      <c r="D628">
        <v>1</v>
      </c>
      <c r="E628">
        <v>0</v>
      </c>
      <c r="G628" s="1">
        <v>0</v>
      </c>
      <c r="H628">
        <v>1</v>
      </c>
      <c r="I628">
        <v>0.5</v>
      </c>
      <c r="J628">
        <v>1</v>
      </c>
      <c r="K628">
        <v>1</v>
      </c>
      <c r="L628">
        <f t="shared" si="36"/>
        <v>2</v>
      </c>
      <c r="M628">
        <v>0</v>
      </c>
      <c r="N628">
        <v>0</v>
      </c>
      <c r="O628">
        <v>2</v>
      </c>
      <c r="P628" s="1">
        <f t="shared" si="37"/>
        <v>0</v>
      </c>
      <c r="Q628">
        <f t="shared" si="38"/>
        <v>2</v>
      </c>
      <c r="R628" s="1">
        <f t="shared" si="39"/>
        <v>0</v>
      </c>
    </row>
    <row r="629" spans="1:18" hidden="1" x14ac:dyDescent="0.3">
      <c r="A629" t="s">
        <v>4730</v>
      </c>
      <c r="B629" t="s">
        <v>4731</v>
      </c>
      <c r="C629" t="s">
        <v>47</v>
      </c>
      <c r="D629">
        <v>1</v>
      </c>
      <c r="E629">
        <v>0</v>
      </c>
      <c r="G629" s="1">
        <v>0</v>
      </c>
      <c r="H629">
        <v>0</v>
      </c>
      <c r="I629">
        <v>0.5</v>
      </c>
      <c r="J629">
        <v>1</v>
      </c>
      <c r="K629">
        <v>1</v>
      </c>
      <c r="L629">
        <f t="shared" si="36"/>
        <v>2</v>
      </c>
      <c r="M629">
        <v>0</v>
      </c>
      <c r="N629">
        <v>0</v>
      </c>
      <c r="O629">
        <v>2</v>
      </c>
      <c r="P629" s="1">
        <f t="shared" si="37"/>
        <v>0</v>
      </c>
      <c r="Q629">
        <f t="shared" si="38"/>
        <v>2</v>
      </c>
      <c r="R629" s="1">
        <f t="shared" si="39"/>
        <v>0</v>
      </c>
    </row>
    <row r="630" spans="1:18" hidden="1" x14ac:dyDescent="0.3">
      <c r="A630" t="s">
        <v>4732</v>
      </c>
      <c r="B630" t="s">
        <v>4733</v>
      </c>
      <c r="C630" t="s">
        <v>47</v>
      </c>
      <c r="D630">
        <v>1</v>
      </c>
      <c r="E630">
        <v>0</v>
      </c>
      <c r="G630" s="1">
        <v>0</v>
      </c>
      <c r="H630">
        <v>0</v>
      </c>
      <c r="I630">
        <v>0.5</v>
      </c>
      <c r="J630">
        <v>1</v>
      </c>
      <c r="K630">
        <v>1</v>
      </c>
      <c r="L630">
        <f t="shared" si="36"/>
        <v>2</v>
      </c>
      <c r="M630">
        <v>0</v>
      </c>
      <c r="N630">
        <v>0</v>
      </c>
      <c r="O630">
        <v>2</v>
      </c>
      <c r="P630" s="1">
        <f t="shared" si="37"/>
        <v>0</v>
      </c>
      <c r="Q630">
        <f t="shared" si="38"/>
        <v>2</v>
      </c>
      <c r="R630" s="1">
        <f t="shared" si="39"/>
        <v>0</v>
      </c>
    </row>
    <row r="631" spans="1:18" hidden="1" x14ac:dyDescent="0.3">
      <c r="A631" t="s">
        <v>4734</v>
      </c>
      <c r="B631" t="s">
        <v>4735</v>
      </c>
      <c r="C631" t="s">
        <v>47</v>
      </c>
      <c r="D631">
        <v>1</v>
      </c>
      <c r="E631">
        <v>2</v>
      </c>
      <c r="F631" t="s">
        <v>2757</v>
      </c>
      <c r="G631" s="1">
        <v>793.07</v>
      </c>
      <c r="H631">
        <v>2</v>
      </c>
      <c r="I631">
        <v>2.2000000000000002</v>
      </c>
      <c r="J631">
        <v>2</v>
      </c>
      <c r="K631">
        <v>4</v>
      </c>
      <c r="L631">
        <f t="shared" si="36"/>
        <v>9</v>
      </c>
      <c r="M631">
        <v>0</v>
      </c>
      <c r="N631">
        <v>0</v>
      </c>
      <c r="O631">
        <v>8</v>
      </c>
      <c r="P631" s="1">
        <f t="shared" si="37"/>
        <v>0</v>
      </c>
      <c r="Q631">
        <f t="shared" si="38"/>
        <v>8</v>
      </c>
      <c r="R631" s="1">
        <f t="shared" si="39"/>
        <v>6344.56</v>
      </c>
    </row>
    <row r="632" spans="1:18" hidden="1" x14ac:dyDescent="0.3">
      <c r="A632" t="s">
        <v>4736</v>
      </c>
      <c r="B632" t="s">
        <v>4737</v>
      </c>
      <c r="C632" t="s">
        <v>47</v>
      </c>
      <c r="D632">
        <v>1</v>
      </c>
      <c r="E632">
        <v>0</v>
      </c>
      <c r="G632" s="1">
        <v>0</v>
      </c>
      <c r="H632">
        <v>0</v>
      </c>
      <c r="I632">
        <v>0.5</v>
      </c>
      <c r="J632">
        <v>1</v>
      </c>
      <c r="K632">
        <v>1</v>
      </c>
      <c r="L632">
        <f t="shared" si="36"/>
        <v>2</v>
      </c>
      <c r="M632">
        <v>0</v>
      </c>
      <c r="N632">
        <v>0</v>
      </c>
      <c r="O632">
        <v>2</v>
      </c>
      <c r="P632" s="1">
        <f t="shared" si="37"/>
        <v>0</v>
      </c>
      <c r="Q632">
        <f t="shared" si="38"/>
        <v>2</v>
      </c>
      <c r="R632" s="1">
        <f t="shared" si="39"/>
        <v>0</v>
      </c>
    </row>
    <row r="633" spans="1:18" hidden="1" x14ac:dyDescent="0.3">
      <c r="A633" t="s">
        <v>4738</v>
      </c>
      <c r="B633" t="s">
        <v>4739</v>
      </c>
      <c r="C633" t="s">
        <v>47</v>
      </c>
      <c r="D633">
        <v>1</v>
      </c>
      <c r="E633">
        <v>0</v>
      </c>
      <c r="G633" s="1">
        <v>0</v>
      </c>
      <c r="H633">
        <v>0</v>
      </c>
      <c r="I633">
        <v>0.5</v>
      </c>
      <c r="J633">
        <v>1</v>
      </c>
      <c r="K633">
        <v>1</v>
      </c>
      <c r="L633">
        <f t="shared" si="36"/>
        <v>2</v>
      </c>
      <c r="M633">
        <v>0</v>
      </c>
      <c r="N633">
        <v>0</v>
      </c>
      <c r="O633">
        <v>2</v>
      </c>
      <c r="P633" s="1">
        <f t="shared" si="37"/>
        <v>0</v>
      </c>
      <c r="Q633">
        <f t="shared" si="38"/>
        <v>2</v>
      </c>
      <c r="R633" s="1">
        <f t="shared" si="39"/>
        <v>0</v>
      </c>
    </row>
    <row r="634" spans="1:18" hidden="1" x14ac:dyDescent="0.3">
      <c r="A634" t="s">
        <v>4740</v>
      </c>
      <c r="B634" t="s">
        <v>4741</v>
      </c>
      <c r="C634" t="s">
        <v>47</v>
      </c>
      <c r="D634">
        <v>1</v>
      </c>
      <c r="E634">
        <v>0</v>
      </c>
      <c r="G634" s="1">
        <v>0</v>
      </c>
      <c r="H634">
        <v>0</v>
      </c>
      <c r="I634">
        <v>0.5</v>
      </c>
      <c r="J634">
        <v>1</v>
      </c>
      <c r="K634">
        <v>1</v>
      </c>
      <c r="L634">
        <f t="shared" si="36"/>
        <v>2</v>
      </c>
      <c r="M634">
        <v>0</v>
      </c>
      <c r="N634">
        <v>0</v>
      </c>
      <c r="O634">
        <v>2</v>
      </c>
      <c r="P634" s="1">
        <f t="shared" si="37"/>
        <v>0</v>
      </c>
      <c r="Q634">
        <f t="shared" si="38"/>
        <v>2</v>
      </c>
      <c r="R634" s="1">
        <f t="shared" si="39"/>
        <v>0</v>
      </c>
    </row>
    <row r="635" spans="1:18" hidden="1" x14ac:dyDescent="0.3">
      <c r="A635" t="s">
        <v>4742</v>
      </c>
      <c r="B635" t="s">
        <v>4743</v>
      </c>
      <c r="C635" t="s">
        <v>47</v>
      </c>
      <c r="D635">
        <v>1</v>
      </c>
      <c r="E635">
        <v>2</v>
      </c>
      <c r="F635" t="s">
        <v>2757</v>
      </c>
      <c r="G635" s="1">
        <v>14037.31</v>
      </c>
      <c r="H635">
        <v>2</v>
      </c>
      <c r="I635">
        <v>2.2000000000000002</v>
      </c>
      <c r="J635">
        <v>2</v>
      </c>
      <c r="K635">
        <v>4</v>
      </c>
      <c r="L635">
        <f t="shared" si="36"/>
        <v>9</v>
      </c>
      <c r="M635">
        <v>0</v>
      </c>
      <c r="N635">
        <v>0</v>
      </c>
      <c r="O635">
        <v>8</v>
      </c>
      <c r="P635" s="1">
        <f t="shared" si="37"/>
        <v>0</v>
      </c>
      <c r="Q635">
        <f t="shared" si="38"/>
        <v>8</v>
      </c>
      <c r="R635" s="1">
        <f t="shared" si="39"/>
        <v>112298.48</v>
      </c>
    </row>
    <row r="636" spans="1:18" hidden="1" x14ac:dyDescent="0.3">
      <c r="A636" t="s">
        <v>4744</v>
      </c>
      <c r="B636" t="s">
        <v>4745</v>
      </c>
      <c r="C636" t="s">
        <v>47</v>
      </c>
      <c r="D636">
        <v>1</v>
      </c>
      <c r="E636">
        <v>0</v>
      </c>
      <c r="G636" s="1">
        <v>0</v>
      </c>
      <c r="H636">
        <v>0</v>
      </c>
      <c r="I636">
        <v>0.5</v>
      </c>
      <c r="J636">
        <v>1</v>
      </c>
      <c r="K636">
        <v>1</v>
      </c>
      <c r="L636">
        <f t="shared" si="36"/>
        <v>2</v>
      </c>
      <c r="M636">
        <v>0</v>
      </c>
      <c r="N636">
        <v>0</v>
      </c>
      <c r="O636">
        <v>2</v>
      </c>
      <c r="P636" s="1">
        <f t="shared" si="37"/>
        <v>0</v>
      </c>
      <c r="Q636">
        <f t="shared" si="38"/>
        <v>2</v>
      </c>
      <c r="R636" s="1">
        <f t="shared" si="39"/>
        <v>0</v>
      </c>
    </row>
    <row r="637" spans="1:18" hidden="1" x14ac:dyDescent="0.3">
      <c r="A637" t="s">
        <v>4746</v>
      </c>
      <c r="B637" t="s">
        <v>4747</v>
      </c>
      <c r="C637" t="s">
        <v>47</v>
      </c>
      <c r="D637">
        <v>1</v>
      </c>
      <c r="E637">
        <v>0</v>
      </c>
      <c r="G637" s="1">
        <v>0</v>
      </c>
      <c r="H637">
        <v>0</v>
      </c>
      <c r="I637">
        <v>0.5</v>
      </c>
      <c r="J637">
        <v>1</v>
      </c>
      <c r="K637">
        <v>1</v>
      </c>
      <c r="L637">
        <f t="shared" si="36"/>
        <v>2</v>
      </c>
      <c r="M637">
        <v>0</v>
      </c>
      <c r="N637">
        <v>0</v>
      </c>
      <c r="O637">
        <v>2</v>
      </c>
      <c r="P637" s="1">
        <f t="shared" si="37"/>
        <v>0</v>
      </c>
      <c r="Q637">
        <f t="shared" si="38"/>
        <v>2</v>
      </c>
      <c r="R637" s="1">
        <f t="shared" si="39"/>
        <v>0</v>
      </c>
    </row>
    <row r="638" spans="1:18" hidden="1" x14ac:dyDescent="0.3">
      <c r="A638" t="s">
        <v>4748</v>
      </c>
      <c r="B638" t="s">
        <v>4749</v>
      </c>
      <c r="C638" t="s">
        <v>47</v>
      </c>
      <c r="D638">
        <v>1</v>
      </c>
      <c r="E638">
        <v>0</v>
      </c>
      <c r="G638" s="1">
        <v>0</v>
      </c>
      <c r="H638">
        <v>0</v>
      </c>
      <c r="I638">
        <v>0.5</v>
      </c>
      <c r="J638">
        <v>1</v>
      </c>
      <c r="K638">
        <v>1</v>
      </c>
      <c r="L638">
        <f t="shared" si="36"/>
        <v>2</v>
      </c>
      <c r="M638">
        <v>0</v>
      </c>
      <c r="N638">
        <v>0</v>
      </c>
      <c r="O638">
        <v>2</v>
      </c>
      <c r="P638" s="1">
        <f t="shared" si="37"/>
        <v>0</v>
      </c>
      <c r="Q638">
        <f t="shared" si="38"/>
        <v>2</v>
      </c>
      <c r="R638" s="1">
        <f t="shared" si="39"/>
        <v>0</v>
      </c>
    </row>
    <row r="639" spans="1:18" hidden="1" x14ac:dyDescent="0.3">
      <c r="A639" t="s">
        <v>4750</v>
      </c>
      <c r="B639" t="s">
        <v>4751</v>
      </c>
      <c r="C639" t="s">
        <v>47</v>
      </c>
      <c r="D639">
        <v>1</v>
      </c>
      <c r="E639">
        <v>1</v>
      </c>
      <c r="F639" t="s">
        <v>2757</v>
      </c>
      <c r="G639" s="1">
        <v>20527.39</v>
      </c>
      <c r="H639">
        <v>0</v>
      </c>
      <c r="I639">
        <v>0.9</v>
      </c>
      <c r="J639">
        <v>1</v>
      </c>
      <c r="K639">
        <v>1</v>
      </c>
      <c r="L639">
        <f t="shared" si="36"/>
        <v>2</v>
      </c>
      <c r="M639">
        <v>0</v>
      </c>
      <c r="N639">
        <v>0</v>
      </c>
      <c r="O639">
        <v>3</v>
      </c>
      <c r="P639" s="1">
        <f t="shared" si="37"/>
        <v>0</v>
      </c>
      <c r="Q639">
        <f t="shared" si="38"/>
        <v>3</v>
      </c>
      <c r="R639" s="1">
        <f t="shared" si="39"/>
        <v>61582.17</v>
      </c>
    </row>
    <row r="640" spans="1:18" hidden="1" x14ac:dyDescent="0.3">
      <c r="A640" t="s">
        <v>4752</v>
      </c>
      <c r="B640" t="s">
        <v>4753</v>
      </c>
      <c r="C640" t="s">
        <v>47</v>
      </c>
      <c r="D640">
        <v>1</v>
      </c>
      <c r="E640">
        <v>0</v>
      </c>
      <c r="G640" s="1">
        <v>0</v>
      </c>
      <c r="H640">
        <v>0</v>
      </c>
      <c r="I640">
        <v>0.5</v>
      </c>
      <c r="J640">
        <v>1</v>
      </c>
      <c r="K640">
        <v>1</v>
      </c>
      <c r="L640">
        <f t="shared" si="36"/>
        <v>2</v>
      </c>
      <c r="M640">
        <v>0</v>
      </c>
      <c r="N640">
        <v>0</v>
      </c>
      <c r="O640">
        <v>2</v>
      </c>
      <c r="P640" s="1">
        <f t="shared" si="37"/>
        <v>0</v>
      </c>
      <c r="Q640">
        <f t="shared" si="38"/>
        <v>2</v>
      </c>
      <c r="R640" s="1">
        <f t="shared" si="39"/>
        <v>0</v>
      </c>
    </row>
    <row r="641" spans="1:18" hidden="1" x14ac:dyDescent="0.3">
      <c r="A641" t="s">
        <v>4754</v>
      </c>
      <c r="B641" t="s">
        <v>4755</v>
      </c>
      <c r="C641" t="s">
        <v>47</v>
      </c>
      <c r="D641">
        <v>1</v>
      </c>
      <c r="E641">
        <v>0</v>
      </c>
      <c r="G641" s="1">
        <v>0</v>
      </c>
      <c r="H641">
        <v>1</v>
      </c>
      <c r="I641">
        <v>0.5</v>
      </c>
      <c r="J641">
        <v>1</v>
      </c>
      <c r="K641">
        <v>1</v>
      </c>
      <c r="L641">
        <f t="shared" si="36"/>
        <v>2</v>
      </c>
      <c r="M641">
        <v>0</v>
      </c>
      <c r="N641">
        <v>0</v>
      </c>
      <c r="O641">
        <v>2</v>
      </c>
      <c r="P641" s="1">
        <f t="shared" si="37"/>
        <v>0</v>
      </c>
      <c r="Q641">
        <f t="shared" si="38"/>
        <v>2</v>
      </c>
      <c r="R641" s="1">
        <f t="shared" si="39"/>
        <v>0</v>
      </c>
    </row>
    <row r="642" spans="1:18" hidden="1" x14ac:dyDescent="0.3">
      <c r="A642" t="s">
        <v>4756</v>
      </c>
      <c r="B642" t="s">
        <v>4757</v>
      </c>
      <c r="C642" t="s">
        <v>47</v>
      </c>
      <c r="D642">
        <v>1</v>
      </c>
      <c r="E642">
        <v>4</v>
      </c>
      <c r="F642" t="s">
        <v>4758</v>
      </c>
      <c r="G642" s="1">
        <v>291.06</v>
      </c>
      <c r="H642">
        <v>0</v>
      </c>
      <c r="I642">
        <v>0.5</v>
      </c>
      <c r="J642">
        <v>4</v>
      </c>
      <c r="K642">
        <v>2</v>
      </c>
      <c r="L642">
        <f t="shared" ref="L642:L705" si="40">ROUNDUP((J642*I642)+K642,0)</f>
        <v>4</v>
      </c>
      <c r="M642">
        <v>0</v>
      </c>
      <c r="N642">
        <v>0</v>
      </c>
      <c r="O642">
        <v>10</v>
      </c>
      <c r="P642" s="1">
        <f t="shared" ref="P642:P705" si="41">IFERROR(M642*G642,0)</f>
        <v>0</v>
      </c>
      <c r="Q642">
        <f t="shared" ref="Q642:Q705" si="42">IF(O642-M642-N642&gt;0,O642-M642-N642,0)</f>
        <v>10</v>
      </c>
      <c r="R642" s="1">
        <f t="shared" ref="R642:R705" si="43">IFERROR(Q642*G642,0)</f>
        <v>2910.6</v>
      </c>
    </row>
    <row r="643" spans="1:18" hidden="1" x14ac:dyDescent="0.3">
      <c r="A643" t="s">
        <v>4759</v>
      </c>
      <c r="B643" t="s">
        <v>73</v>
      </c>
      <c r="C643" t="s">
        <v>47</v>
      </c>
      <c r="D643">
        <v>1</v>
      </c>
      <c r="E643">
        <v>0</v>
      </c>
      <c r="G643" s="1">
        <v>0</v>
      </c>
      <c r="H643">
        <v>40</v>
      </c>
      <c r="I643">
        <v>0.5</v>
      </c>
      <c r="J643">
        <v>40</v>
      </c>
      <c r="K643">
        <v>20</v>
      </c>
      <c r="L643">
        <f t="shared" si="40"/>
        <v>40</v>
      </c>
      <c r="M643">
        <v>0</v>
      </c>
      <c r="N643">
        <v>0</v>
      </c>
      <c r="O643">
        <v>100</v>
      </c>
      <c r="P643" s="1">
        <f t="shared" si="41"/>
        <v>0</v>
      </c>
      <c r="Q643">
        <f t="shared" si="42"/>
        <v>100</v>
      </c>
      <c r="R643" s="1">
        <f t="shared" si="43"/>
        <v>0</v>
      </c>
    </row>
    <row r="644" spans="1:18" hidden="1" x14ac:dyDescent="0.3">
      <c r="A644" t="s">
        <v>4760</v>
      </c>
      <c r="B644" t="s">
        <v>4761</v>
      </c>
      <c r="C644" t="s">
        <v>47</v>
      </c>
      <c r="D644">
        <v>1</v>
      </c>
      <c r="E644">
        <v>0</v>
      </c>
      <c r="G644" s="1">
        <v>0</v>
      </c>
      <c r="H644">
        <v>1</v>
      </c>
      <c r="I644">
        <v>0.5</v>
      </c>
      <c r="J644">
        <v>1</v>
      </c>
      <c r="K644">
        <v>1</v>
      </c>
      <c r="L644">
        <f t="shared" si="40"/>
        <v>2</v>
      </c>
      <c r="M644">
        <v>0</v>
      </c>
      <c r="N644">
        <v>0</v>
      </c>
      <c r="O644">
        <v>2</v>
      </c>
      <c r="P644" s="1">
        <f t="shared" si="41"/>
        <v>0</v>
      </c>
      <c r="Q644">
        <f t="shared" si="42"/>
        <v>2</v>
      </c>
      <c r="R644" s="1">
        <f t="shared" si="43"/>
        <v>0</v>
      </c>
    </row>
    <row r="645" spans="1:18" hidden="1" x14ac:dyDescent="0.3">
      <c r="A645" t="s">
        <v>4762</v>
      </c>
      <c r="B645" t="s">
        <v>4763</v>
      </c>
      <c r="C645" t="s">
        <v>47</v>
      </c>
      <c r="D645">
        <v>3</v>
      </c>
      <c r="E645">
        <v>2</v>
      </c>
      <c r="F645" t="s">
        <v>3471</v>
      </c>
      <c r="G645" s="1">
        <v>4555.6499999999996</v>
      </c>
      <c r="H645">
        <v>0</v>
      </c>
      <c r="I645">
        <v>0.7</v>
      </c>
      <c r="J645">
        <v>1</v>
      </c>
      <c r="K645">
        <v>1</v>
      </c>
      <c r="L645">
        <f t="shared" si="40"/>
        <v>2</v>
      </c>
      <c r="M645">
        <v>0</v>
      </c>
      <c r="N645">
        <v>0</v>
      </c>
      <c r="O645">
        <v>3</v>
      </c>
      <c r="P645" s="1">
        <f t="shared" si="41"/>
        <v>0</v>
      </c>
      <c r="Q645">
        <f t="shared" si="42"/>
        <v>3</v>
      </c>
      <c r="R645" s="1">
        <f t="shared" si="43"/>
        <v>13666.949999999999</v>
      </c>
    </row>
    <row r="646" spans="1:18" hidden="1" x14ac:dyDescent="0.3">
      <c r="A646" t="s">
        <v>4764</v>
      </c>
      <c r="B646" t="s">
        <v>4765</v>
      </c>
      <c r="C646" t="s">
        <v>47</v>
      </c>
      <c r="D646">
        <v>1</v>
      </c>
      <c r="E646">
        <v>0</v>
      </c>
      <c r="G646" s="1">
        <v>0</v>
      </c>
      <c r="H646">
        <v>0</v>
      </c>
      <c r="I646">
        <v>0.5</v>
      </c>
      <c r="J646">
        <v>1</v>
      </c>
      <c r="K646">
        <v>1</v>
      </c>
      <c r="L646">
        <f t="shared" si="40"/>
        <v>2</v>
      </c>
      <c r="M646">
        <v>0</v>
      </c>
      <c r="N646">
        <v>0</v>
      </c>
      <c r="O646">
        <v>2</v>
      </c>
      <c r="P646" s="1">
        <f t="shared" si="41"/>
        <v>0</v>
      </c>
      <c r="Q646">
        <f t="shared" si="42"/>
        <v>2</v>
      </c>
      <c r="R646" s="1">
        <f t="shared" si="43"/>
        <v>0</v>
      </c>
    </row>
    <row r="647" spans="1:18" hidden="1" x14ac:dyDescent="0.3">
      <c r="A647" t="s">
        <v>4766</v>
      </c>
      <c r="B647" t="s">
        <v>4767</v>
      </c>
      <c r="C647" t="s">
        <v>47</v>
      </c>
      <c r="D647">
        <v>1</v>
      </c>
      <c r="E647">
        <v>0</v>
      </c>
      <c r="G647" s="1">
        <v>0</v>
      </c>
      <c r="H647">
        <v>0</v>
      </c>
      <c r="I647">
        <v>0.5</v>
      </c>
      <c r="J647">
        <v>1</v>
      </c>
      <c r="K647">
        <v>1</v>
      </c>
      <c r="L647">
        <f t="shared" si="40"/>
        <v>2</v>
      </c>
      <c r="M647">
        <v>0</v>
      </c>
      <c r="N647">
        <v>0</v>
      </c>
      <c r="O647">
        <v>2</v>
      </c>
      <c r="P647" s="1">
        <f t="shared" si="41"/>
        <v>0</v>
      </c>
      <c r="Q647">
        <f t="shared" si="42"/>
        <v>2</v>
      </c>
      <c r="R647" s="1">
        <f t="shared" si="43"/>
        <v>0</v>
      </c>
    </row>
    <row r="648" spans="1:18" hidden="1" x14ac:dyDescent="0.3">
      <c r="A648" t="s">
        <v>4768</v>
      </c>
      <c r="B648" t="s">
        <v>4769</v>
      </c>
      <c r="C648" t="s">
        <v>47</v>
      </c>
      <c r="D648">
        <v>1</v>
      </c>
      <c r="E648">
        <v>24</v>
      </c>
      <c r="F648" t="s">
        <v>4770</v>
      </c>
      <c r="G648" s="1">
        <v>305</v>
      </c>
      <c r="H648">
        <v>0</v>
      </c>
      <c r="I648">
        <v>0.5</v>
      </c>
      <c r="J648">
        <v>24</v>
      </c>
      <c r="K648">
        <v>12</v>
      </c>
      <c r="L648">
        <f t="shared" si="40"/>
        <v>24</v>
      </c>
      <c r="M648">
        <v>0</v>
      </c>
      <c r="N648">
        <v>0</v>
      </c>
      <c r="O648">
        <v>60</v>
      </c>
      <c r="P648" s="1">
        <f t="shared" si="41"/>
        <v>0</v>
      </c>
      <c r="Q648">
        <f t="shared" si="42"/>
        <v>60</v>
      </c>
      <c r="R648" s="1">
        <f t="shared" si="43"/>
        <v>18300</v>
      </c>
    </row>
    <row r="649" spans="1:18" hidden="1" x14ac:dyDescent="0.3">
      <c r="A649" t="s">
        <v>4771</v>
      </c>
      <c r="B649" t="s">
        <v>4772</v>
      </c>
      <c r="C649" t="s">
        <v>47</v>
      </c>
      <c r="D649">
        <v>1</v>
      </c>
      <c r="E649">
        <v>4</v>
      </c>
      <c r="F649" t="s">
        <v>3500</v>
      </c>
      <c r="G649" s="1">
        <v>9480</v>
      </c>
      <c r="H649">
        <v>0</v>
      </c>
      <c r="I649">
        <v>0.5</v>
      </c>
      <c r="J649">
        <v>4</v>
      </c>
      <c r="K649">
        <v>2</v>
      </c>
      <c r="L649">
        <f t="shared" si="40"/>
        <v>4</v>
      </c>
      <c r="M649">
        <v>0</v>
      </c>
      <c r="N649">
        <v>0</v>
      </c>
      <c r="O649">
        <v>10</v>
      </c>
      <c r="P649" s="1">
        <f t="shared" si="41"/>
        <v>0</v>
      </c>
      <c r="Q649">
        <f t="shared" si="42"/>
        <v>10</v>
      </c>
      <c r="R649" s="1">
        <f t="shared" si="43"/>
        <v>94800</v>
      </c>
    </row>
    <row r="650" spans="1:18" hidden="1" x14ac:dyDescent="0.3">
      <c r="A650" t="s">
        <v>4773</v>
      </c>
      <c r="B650" t="s">
        <v>4774</v>
      </c>
      <c r="C650" t="s">
        <v>47</v>
      </c>
      <c r="D650">
        <v>1</v>
      </c>
      <c r="E650">
        <v>18</v>
      </c>
      <c r="F650" t="s">
        <v>3485</v>
      </c>
      <c r="G650" s="1">
        <v>75.599999999999994</v>
      </c>
      <c r="H650">
        <v>0</v>
      </c>
      <c r="I650">
        <v>1.6</v>
      </c>
      <c r="J650">
        <v>18</v>
      </c>
      <c r="K650">
        <v>29</v>
      </c>
      <c r="L650">
        <f t="shared" si="40"/>
        <v>58</v>
      </c>
      <c r="M650">
        <v>0</v>
      </c>
      <c r="N650">
        <v>0</v>
      </c>
      <c r="O650">
        <v>65</v>
      </c>
      <c r="P650" s="1">
        <f t="shared" si="41"/>
        <v>0</v>
      </c>
      <c r="Q650">
        <f t="shared" si="42"/>
        <v>65</v>
      </c>
      <c r="R650" s="1">
        <f t="shared" si="43"/>
        <v>4914</v>
      </c>
    </row>
    <row r="651" spans="1:18" hidden="1" x14ac:dyDescent="0.3">
      <c r="A651" t="s">
        <v>4775</v>
      </c>
      <c r="B651" t="s">
        <v>4776</v>
      </c>
      <c r="C651" t="s">
        <v>47</v>
      </c>
      <c r="D651">
        <v>1</v>
      </c>
      <c r="E651">
        <v>0</v>
      </c>
      <c r="G651" s="1">
        <v>0</v>
      </c>
      <c r="H651">
        <v>0</v>
      </c>
      <c r="I651">
        <v>0.5</v>
      </c>
      <c r="J651">
        <v>1</v>
      </c>
      <c r="K651">
        <v>1</v>
      </c>
      <c r="L651">
        <f t="shared" si="40"/>
        <v>2</v>
      </c>
      <c r="M651">
        <v>0</v>
      </c>
      <c r="N651">
        <v>0</v>
      </c>
      <c r="O651">
        <v>2</v>
      </c>
      <c r="P651" s="1">
        <f t="shared" si="41"/>
        <v>0</v>
      </c>
      <c r="Q651">
        <f t="shared" si="42"/>
        <v>2</v>
      </c>
      <c r="R651" s="1">
        <f t="shared" si="43"/>
        <v>0</v>
      </c>
    </row>
    <row r="652" spans="1:18" hidden="1" x14ac:dyDescent="0.3">
      <c r="A652" t="s">
        <v>4777</v>
      </c>
      <c r="B652" t="s">
        <v>4778</v>
      </c>
      <c r="C652" t="s">
        <v>47</v>
      </c>
      <c r="D652">
        <v>1</v>
      </c>
      <c r="E652">
        <v>0</v>
      </c>
      <c r="G652" s="1">
        <v>0</v>
      </c>
      <c r="H652">
        <v>0</v>
      </c>
      <c r="I652">
        <v>0.5</v>
      </c>
      <c r="J652">
        <v>1</v>
      </c>
      <c r="K652">
        <v>1</v>
      </c>
      <c r="L652">
        <f t="shared" si="40"/>
        <v>2</v>
      </c>
      <c r="M652">
        <v>0</v>
      </c>
      <c r="N652">
        <v>0</v>
      </c>
      <c r="O652">
        <v>2</v>
      </c>
      <c r="P652" s="1">
        <f t="shared" si="41"/>
        <v>0</v>
      </c>
      <c r="Q652">
        <f t="shared" si="42"/>
        <v>2</v>
      </c>
      <c r="R652" s="1">
        <f t="shared" si="43"/>
        <v>0</v>
      </c>
    </row>
    <row r="653" spans="1:18" hidden="1" x14ac:dyDescent="0.3">
      <c r="A653" t="s">
        <v>69</v>
      </c>
      <c r="B653" t="s">
        <v>4779</v>
      </c>
      <c r="C653" t="s">
        <v>47</v>
      </c>
      <c r="D653">
        <v>1</v>
      </c>
      <c r="E653">
        <v>0</v>
      </c>
      <c r="G653" s="1">
        <v>0</v>
      </c>
      <c r="H653">
        <v>4</v>
      </c>
      <c r="I653">
        <v>0.5</v>
      </c>
      <c r="J653">
        <v>4</v>
      </c>
      <c r="K653">
        <v>2</v>
      </c>
      <c r="L653">
        <f t="shared" si="40"/>
        <v>4</v>
      </c>
      <c r="M653">
        <v>0</v>
      </c>
      <c r="N653">
        <v>0</v>
      </c>
      <c r="O653">
        <v>10</v>
      </c>
      <c r="P653" s="1">
        <f t="shared" si="41"/>
        <v>0</v>
      </c>
      <c r="Q653">
        <f t="shared" si="42"/>
        <v>10</v>
      </c>
      <c r="R653" s="1">
        <f t="shared" si="43"/>
        <v>0</v>
      </c>
    </row>
    <row r="654" spans="1:18" hidden="1" x14ac:dyDescent="0.3">
      <c r="A654" t="s">
        <v>4780</v>
      </c>
      <c r="B654" t="s">
        <v>4781</v>
      </c>
      <c r="C654" t="s">
        <v>47</v>
      </c>
      <c r="D654">
        <v>1</v>
      </c>
      <c r="E654">
        <v>1</v>
      </c>
      <c r="F654" t="s">
        <v>181</v>
      </c>
      <c r="G654" s="1">
        <v>172</v>
      </c>
      <c r="H654">
        <v>0</v>
      </c>
      <c r="I654">
        <v>0.8</v>
      </c>
      <c r="J654">
        <v>1</v>
      </c>
      <c r="K654">
        <v>1</v>
      </c>
      <c r="L654">
        <f t="shared" si="40"/>
        <v>2</v>
      </c>
      <c r="M654">
        <v>0</v>
      </c>
      <c r="N654">
        <v>0</v>
      </c>
      <c r="O654">
        <v>3</v>
      </c>
      <c r="P654" s="1">
        <f t="shared" si="41"/>
        <v>0</v>
      </c>
      <c r="Q654">
        <f t="shared" si="42"/>
        <v>3</v>
      </c>
      <c r="R654" s="1">
        <f t="shared" si="43"/>
        <v>516</v>
      </c>
    </row>
    <row r="655" spans="1:18" hidden="1" x14ac:dyDescent="0.3">
      <c r="A655" t="s">
        <v>4782</v>
      </c>
      <c r="B655" t="s">
        <v>4783</v>
      </c>
      <c r="C655" t="s">
        <v>47</v>
      </c>
      <c r="D655">
        <v>1</v>
      </c>
      <c r="E655">
        <v>0</v>
      </c>
      <c r="G655" s="1">
        <v>0</v>
      </c>
      <c r="H655">
        <v>0</v>
      </c>
      <c r="I655">
        <v>0.5</v>
      </c>
      <c r="J655">
        <v>1</v>
      </c>
      <c r="K655">
        <v>1</v>
      </c>
      <c r="L655">
        <f t="shared" si="40"/>
        <v>2</v>
      </c>
      <c r="M655">
        <v>0</v>
      </c>
      <c r="N655">
        <v>0</v>
      </c>
      <c r="O655">
        <v>2</v>
      </c>
      <c r="P655" s="1">
        <f t="shared" si="41"/>
        <v>0</v>
      </c>
      <c r="Q655">
        <f t="shared" si="42"/>
        <v>2</v>
      </c>
      <c r="R655" s="1">
        <f t="shared" si="43"/>
        <v>0</v>
      </c>
    </row>
    <row r="656" spans="1:18" hidden="1" x14ac:dyDescent="0.3">
      <c r="A656" t="s">
        <v>4784</v>
      </c>
      <c r="B656" t="s">
        <v>4784</v>
      </c>
      <c r="C656" t="s">
        <v>47</v>
      </c>
      <c r="D656">
        <v>1</v>
      </c>
      <c r="E656">
        <v>0</v>
      </c>
      <c r="G656" s="1">
        <v>0</v>
      </c>
      <c r="H656">
        <v>0</v>
      </c>
      <c r="I656">
        <v>0.5</v>
      </c>
      <c r="J656">
        <v>1</v>
      </c>
      <c r="K656">
        <v>1</v>
      </c>
      <c r="L656">
        <f t="shared" si="40"/>
        <v>2</v>
      </c>
      <c r="M656">
        <v>0</v>
      </c>
      <c r="N656">
        <v>0</v>
      </c>
      <c r="O656">
        <v>2</v>
      </c>
      <c r="P656" s="1">
        <f t="shared" si="41"/>
        <v>0</v>
      </c>
      <c r="Q656">
        <f t="shared" si="42"/>
        <v>2</v>
      </c>
      <c r="R656" s="1">
        <f t="shared" si="43"/>
        <v>0</v>
      </c>
    </row>
    <row r="657" spans="1:18" hidden="1" x14ac:dyDescent="0.3">
      <c r="A657" t="s">
        <v>4785</v>
      </c>
      <c r="B657" t="s">
        <v>4785</v>
      </c>
      <c r="C657" t="s">
        <v>47</v>
      </c>
      <c r="D657">
        <v>1</v>
      </c>
      <c r="E657">
        <v>0</v>
      </c>
      <c r="G657" s="1">
        <v>0</v>
      </c>
      <c r="H657">
        <v>0</v>
      </c>
      <c r="I657">
        <v>0.5</v>
      </c>
      <c r="J657">
        <v>1</v>
      </c>
      <c r="K657">
        <v>1</v>
      </c>
      <c r="L657">
        <f t="shared" si="40"/>
        <v>2</v>
      </c>
      <c r="M657">
        <v>0</v>
      </c>
      <c r="N657">
        <v>0</v>
      </c>
      <c r="O657">
        <v>2</v>
      </c>
      <c r="P657" s="1">
        <f t="shared" si="41"/>
        <v>0</v>
      </c>
      <c r="Q657">
        <f t="shared" si="42"/>
        <v>2</v>
      </c>
      <c r="R657" s="1">
        <f t="shared" si="43"/>
        <v>0</v>
      </c>
    </row>
    <row r="658" spans="1:18" hidden="1" x14ac:dyDescent="0.3">
      <c r="A658" t="s">
        <v>4786</v>
      </c>
      <c r="B658" t="s">
        <v>4787</v>
      </c>
      <c r="C658" t="s">
        <v>47</v>
      </c>
      <c r="D658">
        <v>1</v>
      </c>
      <c r="E658">
        <v>0</v>
      </c>
      <c r="G658" s="1">
        <v>0</v>
      </c>
      <c r="H658">
        <v>1</v>
      </c>
      <c r="I658">
        <v>0.5</v>
      </c>
      <c r="J658">
        <v>1</v>
      </c>
      <c r="K658">
        <v>1</v>
      </c>
      <c r="L658">
        <f t="shared" si="40"/>
        <v>2</v>
      </c>
      <c r="M658">
        <v>0</v>
      </c>
      <c r="N658">
        <v>0</v>
      </c>
      <c r="O658">
        <v>2</v>
      </c>
      <c r="P658" s="1">
        <f t="shared" si="41"/>
        <v>0</v>
      </c>
      <c r="Q658">
        <f t="shared" si="42"/>
        <v>2</v>
      </c>
      <c r="R658" s="1">
        <f t="shared" si="43"/>
        <v>0</v>
      </c>
    </row>
    <row r="659" spans="1:18" hidden="1" x14ac:dyDescent="0.3">
      <c r="A659" t="s">
        <v>4788</v>
      </c>
      <c r="B659" t="s">
        <v>4789</v>
      </c>
      <c r="C659" t="s">
        <v>47</v>
      </c>
      <c r="D659">
        <v>1</v>
      </c>
      <c r="E659">
        <v>3</v>
      </c>
      <c r="F659" t="s">
        <v>4273</v>
      </c>
      <c r="G659" s="1">
        <v>785</v>
      </c>
      <c r="H659">
        <v>0</v>
      </c>
      <c r="I659">
        <v>0.9</v>
      </c>
      <c r="J659">
        <v>3</v>
      </c>
      <c r="K659">
        <v>3</v>
      </c>
      <c r="L659">
        <f t="shared" si="40"/>
        <v>6</v>
      </c>
      <c r="M659">
        <v>0</v>
      </c>
      <c r="N659">
        <v>0</v>
      </c>
      <c r="O659">
        <v>9</v>
      </c>
      <c r="P659" s="1">
        <f t="shared" si="41"/>
        <v>0</v>
      </c>
      <c r="Q659">
        <f t="shared" si="42"/>
        <v>9</v>
      </c>
      <c r="R659" s="1">
        <f t="shared" si="43"/>
        <v>7065</v>
      </c>
    </row>
    <row r="660" spans="1:18" hidden="1" x14ac:dyDescent="0.3">
      <c r="A660" t="s">
        <v>4790</v>
      </c>
      <c r="B660" t="s">
        <v>4791</v>
      </c>
      <c r="C660" t="s">
        <v>47</v>
      </c>
      <c r="D660">
        <v>1</v>
      </c>
      <c r="E660">
        <v>2</v>
      </c>
      <c r="F660" t="s">
        <v>140</v>
      </c>
      <c r="G660" s="1">
        <v>276.43</v>
      </c>
      <c r="H660">
        <v>0</v>
      </c>
      <c r="I660">
        <v>0.5</v>
      </c>
      <c r="J660">
        <v>2</v>
      </c>
      <c r="K660">
        <v>1</v>
      </c>
      <c r="L660">
        <f t="shared" si="40"/>
        <v>2</v>
      </c>
      <c r="M660">
        <v>0</v>
      </c>
      <c r="N660">
        <v>0</v>
      </c>
      <c r="O660">
        <v>5</v>
      </c>
      <c r="P660" s="1">
        <f t="shared" si="41"/>
        <v>0</v>
      </c>
      <c r="Q660">
        <f t="shared" si="42"/>
        <v>5</v>
      </c>
      <c r="R660" s="1">
        <f t="shared" si="43"/>
        <v>1382.15</v>
      </c>
    </row>
    <row r="661" spans="1:18" hidden="1" x14ac:dyDescent="0.3">
      <c r="A661" t="s">
        <v>4792</v>
      </c>
      <c r="B661" t="s">
        <v>4793</v>
      </c>
      <c r="C661" t="s">
        <v>47</v>
      </c>
      <c r="D661">
        <v>1</v>
      </c>
      <c r="E661">
        <v>0</v>
      </c>
      <c r="G661" s="1">
        <v>0</v>
      </c>
      <c r="H661">
        <v>0</v>
      </c>
      <c r="I661">
        <v>0.5</v>
      </c>
      <c r="J661">
        <v>1</v>
      </c>
      <c r="K661">
        <v>1</v>
      </c>
      <c r="L661">
        <f t="shared" si="40"/>
        <v>2</v>
      </c>
      <c r="M661">
        <v>0</v>
      </c>
      <c r="N661">
        <v>0</v>
      </c>
      <c r="O661">
        <v>2</v>
      </c>
      <c r="P661" s="1">
        <f t="shared" si="41"/>
        <v>0</v>
      </c>
      <c r="Q661">
        <f t="shared" si="42"/>
        <v>2</v>
      </c>
      <c r="R661" s="1">
        <f t="shared" si="43"/>
        <v>0</v>
      </c>
    </row>
    <row r="662" spans="1:18" hidden="1" x14ac:dyDescent="0.3">
      <c r="A662" t="s">
        <v>4794</v>
      </c>
      <c r="B662" t="s">
        <v>4795</v>
      </c>
      <c r="C662" t="s">
        <v>47</v>
      </c>
      <c r="D662">
        <v>1</v>
      </c>
      <c r="E662">
        <v>0</v>
      </c>
      <c r="G662" s="1">
        <v>0</v>
      </c>
      <c r="H662">
        <v>0</v>
      </c>
      <c r="I662">
        <v>0.5</v>
      </c>
      <c r="J662">
        <v>1</v>
      </c>
      <c r="K662">
        <v>1</v>
      </c>
      <c r="L662">
        <f t="shared" si="40"/>
        <v>2</v>
      </c>
      <c r="M662">
        <v>0</v>
      </c>
      <c r="N662">
        <v>0</v>
      </c>
      <c r="O662">
        <v>2</v>
      </c>
      <c r="P662" s="1">
        <f t="shared" si="41"/>
        <v>0</v>
      </c>
      <c r="Q662">
        <f t="shared" si="42"/>
        <v>2</v>
      </c>
      <c r="R662" s="1">
        <f t="shared" si="43"/>
        <v>0</v>
      </c>
    </row>
    <row r="663" spans="1:18" hidden="1" x14ac:dyDescent="0.3">
      <c r="A663" t="s">
        <v>4796</v>
      </c>
      <c r="B663" t="s">
        <v>4797</v>
      </c>
      <c r="C663" t="s">
        <v>47</v>
      </c>
      <c r="D663">
        <v>1</v>
      </c>
      <c r="E663">
        <v>0</v>
      </c>
      <c r="G663" s="1">
        <v>0</v>
      </c>
      <c r="H663">
        <v>1</v>
      </c>
      <c r="I663">
        <v>0.5</v>
      </c>
      <c r="J663">
        <v>1</v>
      </c>
      <c r="K663">
        <v>1</v>
      </c>
      <c r="L663">
        <f t="shared" si="40"/>
        <v>2</v>
      </c>
      <c r="M663">
        <v>0</v>
      </c>
      <c r="N663">
        <v>0</v>
      </c>
      <c r="O663">
        <v>2</v>
      </c>
      <c r="P663" s="1">
        <f t="shared" si="41"/>
        <v>0</v>
      </c>
      <c r="Q663">
        <f t="shared" si="42"/>
        <v>2</v>
      </c>
      <c r="R663" s="1">
        <f t="shared" si="43"/>
        <v>0</v>
      </c>
    </row>
    <row r="664" spans="1:18" hidden="1" x14ac:dyDescent="0.3">
      <c r="A664" t="s">
        <v>4798</v>
      </c>
      <c r="B664" t="s">
        <v>4799</v>
      </c>
      <c r="C664" t="s">
        <v>47</v>
      </c>
      <c r="D664">
        <v>21</v>
      </c>
      <c r="E664">
        <v>5700</v>
      </c>
      <c r="F664" t="s">
        <v>280</v>
      </c>
      <c r="G664" s="1">
        <v>0</v>
      </c>
      <c r="H664">
        <v>0</v>
      </c>
      <c r="I664">
        <v>0.5</v>
      </c>
      <c r="J664">
        <v>271.5</v>
      </c>
      <c r="K664">
        <v>136</v>
      </c>
      <c r="L664">
        <f t="shared" si="40"/>
        <v>272</v>
      </c>
      <c r="M664">
        <v>0</v>
      </c>
      <c r="N664">
        <v>0</v>
      </c>
      <c r="O664">
        <v>679</v>
      </c>
      <c r="P664" s="1">
        <f t="shared" si="41"/>
        <v>0</v>
      </c>
      <c r="Q664">
        <f t="shared" si="42"/>
        <v>679</v>
      </c>
      <c r="R664" s="1">
        <f t="shared" si="43"/>
        <v>0</v>
      </c>
    </row>
    <row r="665" spans="1:18" hidden="1" x14ac:dyDescent="0.3">
      <c r="A665" t="s">
        <v>4800</v>
      </c>
      <c r="B665" t="s">
        <v>4801</v>
      </c>
      <c r="C665" t="s">
        <v>47</v>
      </c>
      <c r="D665">
        <v>32</v>
      </c>
      <c r="E665">
        <v>152</v>
      </c>
      <c r="F665" t="s">
        <v>3439</v>
      </c>
      <c r="G665" s="1">
        <v>0</v>
      </c>
      <c r="H665">
        <v>2</v>
      </c>
      <c r="I665">
        <v>1</v>
      </c>
      <c r="J665">
        <v>5</v>
      </c>
      <c r="K665">
        <v>5</v>
      </c>
      <c r="L665">
        <f t="shared" si="40"/>
        <v>10</v>
      </c>
      <c r="M665">
        <v>0</v>
      </c>
      <c r="N665">
        <v>0</v>
      </c>
      <c r="O665">
        <v>15</v>
      </c>
      <c r="P665" s="1">
        <f t="shared" si="41"/>
        <v>0</v>
      </c>
      <c r="Q665">
        <f t="shared" si="42"/>
        <v>15</v>
      </c>
      <c r="R665" s="1">
        <f t="shared" si="43"/>
        <v>0</v>
      </c>
    </row>
    <row r="666" spans="1:18" hidden="1" x14ac:dyDescent="0.3">
      <c r="A666" t="s">
        <v>4802</v>
      </c>
      <c r="B666" t="s">
        <v>4803</v>
      </c>
      <c r="C666" t="s">
        <v>47</v>
      </c>
      <c r="D666">
        <v>1</v>
      </c>
      <c r="E666">
        <v>0</v>
      </c>
      <c r="G666" s="1">
        <v>3965.08</v>
      </c>
      <c r="H666">
        <v>0</v>
      </c>
      <c r="I666">
        <v>0.5</v>
      </c>
      <c r="J666">
        <v>1</v>
      </c>
      <c r="K666">
        <v>1</v>
      </c>
      <c r="L666">
        <f t="shared" si="40"/>
        <v>2</v>
      </c>
      <c r="M666">
        <v>0</v>
      </c>
      <c r="N666">
        <v>0</v>
      </c>
      <c r="O666">
        <v>2</v>
      </c>
      <c r="P666" s="1">
        <f t="shared" si="41"/>
        <v>0</v>
      </c>
      <c r="Q666">
        <f t="shared" si="42"/>
        <v>2</v>
      </c>
      <c r="R666" s="1">
        <f t="shared" si="43"/>
        <v>7930.16</v>
      </c>
    </row>
    <row r="667" spans="1:18" hidden="1" x14ac:dyDescent="0.3">
      <c r="A667" t="s">
        <v>4804</v>
      </c>
      <c r="B667" t="s">
        <v>4805</v>
      </c>
      <c r="C667" t="s">
        <v>47</v>
      </c>
      <c r="D667">
        <v>1</v>
      </c>
      <c r="E667">
        <v>0</v>
      </c>
      <c r="G667" s="1">
        <v>49865.97</v>
      </c>
      <c r="H667">
        <v>0</v>
      </c>
      <c r="I667">
        <v>0.5</v>
      </c>
      <c r="J667">
        <v>1</v>
      </c>
      <c r="K667">
        <v>1</v>
      </c>
      <c r="L667">
        <f t="shared" si="40"/>
        <v>2</v>
      </c>
      <c r="M667">
        <v>0</v>
      </c>
      <c r="N667">
        <v>0</v>
      </c>
      <c r="O667">
        <v>2</v>
      </c>
      <c r="P667" s="1">
        <f t="shared" si="41"/>
        <v>0</v>
      </c>
      <c r="Q667">
        <f t="shared" si="42"/>
        <v>2</v>
      </c>
      <c r="R667" s="1">
        <f t="shared" si="43"/>
        <v>99731.94</v>
      </c>
    </row>
    <row r="668" spans="1:18" hidden="1" x14ac:dyDescent="0.3">
      <c r="A668" t="s">
        <v>4806</v>
      </c>
      <c r="B668" t="s">
        <v>4807</v>
      </c>
      <c r="C668" t="s">
        <v>47</v>
      </c>
      <c r="D668">
        <v>1</v>
      </c>
      <c r="E668">
        <v>0</v>
      </c>
      <c r="G668" s="1">
        <v>45859.31</v>
      </c>
      <c r="H668">
        <v>0</v>
      </c>
      <c r="I668">
        <v>0.5</v>
      </c>
      <c r="J668">
        <v>1</v>
      </c>
      <c r="K668">
        <v>1</v>
      </c>
      <c r="L668">
        <f t="shared" si="40"/>
        <v>2</v>
      </c>
      <c r="M668">
        <v>0</v>
      </c>
      <c r="N668">
        <v>0</v>
      </c>
      <c r="O668">
        <v>2</v>
      </c>
      <c r="P668" s="1">
        <f t="shared" si="41"/>
        <v>0</v>
      </c>
      <c r="Q668">
        <f t="shared" si="42"/>
        <v>2</v>
      </c>
      <c r="R668" s="1">
        <f t="shared" si="43"/>
        <v>91718.62</v>
      </c>
    </row>
    <row r="669" spans="1:18" hidden="1" x14ac:dyDescent="0.3">
      <c r="A669" t="s">
        <v>4808</v>
      </c>
      <c r="B669" t="s">
        <v>4809</v>
      </c>
      <c r="C669" t="s">
        <v>47</v>
      </c>
      <c r="D669">
        <v>1</v>
      </c>
      <c r="E669">
        <v>0</v>
      </c>
      <c r="G669" s="1">
        <v>62457.77</v>
      </c>
      <c r="H669">
        <v>0</v>
      </c>
      <c r="I669">
        <v>0.5</v>
      </c>
      <c r="J669">
        <v>1</v>
      </c>
      <c r="K669">
        <v>1</v>
      </c>
      <c r="L669">
        <f t="shared" si="40"/>
        <v>2</v>
      </c>
      <c r="M669">
        <v>0</v>
      </c>
      <c r="N669">
        <v>0</v>
      </c>
      <c r="O669">
        <v>2</v>
      </c>
      <c r="P669" s="1">
        <f t="shared" si="41"/>
        <v>0</v>
      </c>
      <c r="Q669">
        <f t="shared" si="42"/>
        <v>2</v>
      </c>
      <c r="R669" s="1">
        <f t="shared" si="43"/>
        <v>124915.54</v>
      </c>
    </row>
    <row r="670" spans="1:18" hidden="1" x14ac:dyDescent="0.3">
      <c r="A670" t="s">
        <v>4810</v>
      </c>
      <c r="B670" t="s">
        <v>4811</v>
      </c>
      <c r="C670" t="s">
        <v>47</v>
      </c>
      <c r="D670">
        <v>1</v>
      </c>
      <c r="E670">
        <v>0</v>
      </c>
      <c r="G670" s="1">
        <v>0</v>
      </c>
      <c r="H670">
        <v>0</v>
      </c>
      <c r="I670">
        <v>0.5</v>
      </c>
      <c r="J670">
        <v>1</v>
      </c>
      <c r="K670">
        <v>1</v>
      </c>
      <c r="L670">
        <f t="shared" si="40"/>
        <v>2</v>
      </c>
      <c r="M670">
        <v>0</v>
      </c>
      <c r="N670">
        <v>0</v>
      </c>
      <c r="O670">
        <v>2</v>
      </c>
      <c r="P670" s="1">
        <f t="shared" si="41"/>
        <v>0</v>
      </c>
      <c r="Q670">
        <f t="shared" si="42"/>
        <v>2</v>
      </c>
      <c r="R670" s="1">
        <f t="shared" si="43"/>
        <v>0</v>
      </c>
    </row>
    <row r="671" spans="1:18" hidden="1" x14ac:dyDescent="0.3">
      <c r="A671" t="s">
        <v>4812</v>
      </c>
      <c r="B671" t="s">
        <v>4813</v>
      </c>
      <c r="C671" t="s">
        <v>47</v>
      </c>
      <c r="D671">
        <v>1</v>
      </c>
      <c r="E671">
        <v>0</v>
      </c>
      <c r="G671" s="1">
        <v>1761.17</v>
      </c>
      <c r="H671">
        <v>0</v>
      </c>
      <c r="I671">
        <v>0.5</v>
      </c>
      <c r="J671">
        <v>1</v>
      </c>
      <c r="K671">
        <v>1</v>
      </c>
      <c r="L671">
        <f t="shared" si="40"/>
        <v>2</v>
      </c>
      <c r="M671">
        <v>0</v>
      </c>
      <c r="N671">
        <v>0</v>
      </c>
      <c r="O671">
        <v>2</v>
      </c>
      <c r="P671" s="1">
        <f t="shared" si="41"/>
        <v>0</v>
      </c>
      <c r="Q671">
        <f t="shared" si="42"/>
        <v>2</v>
      </c>
      <c r="R671" s="1">
        <f t="shared" si="43"/>
        <v>3522.34</v>
      </c>
    </row>
    <row r="672" spans="1:18" hidden="1" x14ac:dyDescent="0.3">
      <c r="A672" t="s">
        <v>4814</v>
      </c>
      <c r="B672" t="s">
        <v>4815</v>
      </c>
      <c r="C672" t="s">
        <v>47</v>
      </c>
      <c r="D672">
        <v>1</v>
      </c>
      <c r="E672">
        <v>2</v>
      </c>
      <c r="F672" t="s">
        <v>2536</v>
      </c>
      <c r="G672" s="1">
        <v>5122.46</v>
      </c>
      <c r="H672">
        <v>0</v>
      </c>
      <c r="I672">
        <v>1.6</v>
      </c>
      <c r="J672">
        <v>2</v>
      </c>
      <c r="K672">
        <v>3</v>
      </c>
      <c r="L672">
        <f t="shared" si="40"/>
        <v>7</v>
      </c>
      <c r="M672">
        <v>0</v>
      </c>
      <c r="N672">
        <v>0</v>
      </c>
      <c r="O672">
        <v>7</v>
      </c>
      <c r="P672" s="1">
        <f t="shared" si="41"/>
        <v>0</v>
      </c>
      <c r="Q672">
        <f t="shared" si="42"/>
        <v>7</v>
      </c>
      <c r="R672" s="1">
        <f t="shared" si="43"/>
        <v>35857.22</v>
      </c>
    </row>
    <row r="673" spans="1:18" hidden="1" x14ac:dyDescent="0.3">
      <c r="A673" t="s">
        <v>4816</v>
      </c>
      <c r="B673" t="s">
        <v>4817</v>
      </c>
      <c r="C673" t="s">
        <v>47</v>
      </c>
      <c r="D673">
        <v>1</v>
      </c>
      <c r="E673">
        <v>0</v>
      </c>
      <c r="G673" s="1">
        <v>0</v>
      </c>
      <c r="H673">
        <v>0</v>
      </c>
      <c r="I673">
        <v>0.5</v>
      </c>
      <c r="J673">
        <v>1</v>
      </c>
      <c r="K673">
        <v>1</v>
      </c>
      <c r="L673">
        <f t="shared" si="40"/>
        <v>2</v>
      </c>
      <c r="M673">
        <v>0</v>
      </c>
      <c r="N673">
        <v>0</v>
      </c>
      <c r="O673">
        <v>2</v>
      </c>
      <c r="P673" s="1">
        <f t="shared" si="41"/>
        <v>0</v>
      </c>
      <c r="Q673">
        <f t="shared" si="42"/>
        <v>2</v>
      </c>
      <c r="R673" s="1">
        <f t="shared" si="43"/>
        <v>0</v>
      </c>
    </row>
    <row r="674" spans="1:18" hidden="1" x14ac:dyDescent="0.3">
      <c r="A674" t="s">
        <v>4818</v>
      </c>
      <c r="B674" t="s">
        <v>4819</v>
      </c>
      <c r="C674" t="s">
        <v>47</v>
      </c>
      <c r="D674">
        <v>1</v>
      </c>
      <c r="E674">
        <v>0</v>
      </c>
      <c r="G674" s="1">
        <v>0</v>
      </c>
      <c r="H674">
        <v>0</v>
      </c>
      <c r="I674">
        <v>0.5</v>
      </c>
      <c r="J674">
        <v>1</v>
      </c>
      <c r="K674">
        <v>1</v>
      </c>
      <c r="L674">
        <f t="shared" si="40"/>
        <v>2</v>
      </c>
      <c r="M674">
        <v>0</v>
      </c>
      <c r="N674">
        <v>0</v>
      </c>
      <c r="O674">
        <v>2</v>
      </c>
      <c r="P674" s="1">
        <f t="shared" si="41"/>
        <v>0</v>
      </c>
      <c r="Q674">
        <f t="shared" si="42"/>
        <v>2</v>
      </c>
      <c r="R674" s="1">
        <f t="shared" si="43"/>
        <v>0</v>
      </c>
    </row>
    <row r="675" spans="1:18" hidden="1" x14ac:dyDescent="0.3">
      <c r="A675" t="s">
        <v>4820</v>
      </c>
      <c r="B675" t="s">
        <v>4821</v>
      </c>
      <c r="C675" t="s">
        <v>47</v>
      </c>
      <c r="D675">
        <v>1</v>
      </c>
      <c r="E675">
        <v>0</v>
      </c>
      <c r="G675" s="1">
        <v>0</v>
      </c>
      <c r="H675">
        <v>0</v>
      </c>
      <c r="I675">
        <v>0.5</v>
      </c>
      <c r="J675">
        <v>1</v>
      </c>
      <c r="K675">
        <v>1</v>
      </c>
      <c r="L675">
        <f t="shared" si="40"/>
        <v>2</v>
      </c>
      <c r="M675">
        <v>0</v>
      </c>
      <c r="N675">
        <v>0</v>
      </c>
      <c r="O675">
        <v>2</v>
      </c>
      <c r="P675" s="1">
        <f t="shared" si="41"/>
        <v>0</v>
      </c>
      <c r="Q675">
        <f t="shared" si="42"/>
        <v>2</v>
      </c>
      <c r="R675" s="1">
        <f t="shared" si="43"/>
        <v>0</v>
      </c>
    </row>
    <row r="676" spans="1:18" hidden="1" x14ac:dyDescent="0.3">
      <c r="A676" t="s">
        <v>4822</v>
      </c>
      <c r="B676" t="s">
        <v>4823</v>
      </c>
      <c r="C676" t="s">
        <v>47</v>
      </c>
      <c r="D676">
        <v>1</v>
      </c>
      <c r="E676">
        <v>0</v>
      </c>
      <c r="G676" s="1">
        <v>0</v>
      </c>
      <c r="H676">
        <v>0</v>
      </c>
      <c r="I676">
        <v>0.5</v>
      </c>
      <c r="J676">
        <v>1</v>
      </c>
      <c r="K676">
        <v>1</v>
      </c>
      <c r="L676">
        <f t="shared" si="40"/>
        <v>2</v>
      </c>
      <c r="M676">
        <v>0</v>
      </c>
      <c r="N676">
        <v>0</v>
      </c>
      <c r="O676">
        <v>2</v>
      </c>
      <c r="P676" s="1">
        <f t="shared" si="41"/>
        <v>0</v>
      </c>
      <c r="Q676">
        <f t="shared" si="42"/>
        <v>2</v>
      </c>
      <c r="R676" s="1">
        <f t="shared" si="43"/>
        <v>0</v>
      </c>
    </row>
    <row r="677" spans="1:18" hidden="1" x14ac:dyDescent="0.3">
      <c r="A677" t="s">
        <v>4824</v>
      </c>
      <c r="B677" t="s">
        <v>4825</v>
      </c>
      <c r="C677" t="s">
        <v>47</v>
      </c>
      <c r="D677">
        <v>1</v>
      </c>
      <c r="E677">
        <v>1</v>
      </c>
      <c r="F677" t="s">
        <v>4826</v>
      </c>
      <c r="G677" s="1">
        <v>4900</v>
      </c>
      <c r="H677">
        <v>0</v>
      </c>
      <c r="I677">
        <v>0.5</v>
      </c>
      <c r="J677">
        <v>1</v>
      </c>
      <c r="K677">
        <v>1</v>
      </c>
      <c r="L677">
        <f t="shared" si="40"/>
        <v>2</v>
      </c>
      <c r="M677">
        <v>0</v>
      </c>
      <c r="N677">
        <v>0</v>
      </c>
      <c r="O677">
        <v>2</v>
      </c>
      <c r="P677" s="1">
        <f t="shared" si="41"/>
        <v>0</v>
      </c>
      <c r="Q677">
        <f t="shared" si="42"/>
        <v>2</v>
      </c>
      <c r="R677" s="1">
        <f t="shared" si="43"/>
        <v>9800</v>
      </c>
    </row>
    <row r="678" spans="1:18" hidden="1" x14ac:dyDescent="0.3">
      <c r="A678" t="s">
        <v>4827</v>
      </c>
      <c r="B678" t="s">
        <v>4828</v>
      </c>
      <c r="C678" t="s">
        <v>47</v>
      </c>
      <c r="D678">
        <v>1</v>
      </c>
      <c r="E678">
        <v>3</v>
      </c>
      <c r="F678" t="s">
        <v>3485</v>
      </c>
      <c r="G678" s="1">
        <v>645</v>
      </c>
      <c r="H678">
        <v>0</v>
      </c>
      <c r="I678">
        <v>0.5</v>
      </c>
      <c r="J678">
        <v>3</v>
      </c>
      <c r="K678">
        <v>2</v>
      </c>
      <c r="L678">
        <f t="shared" si="40"/>
        <v>4</v>
      </c>
      <c r="M678">
        <v>0</v>
      </c>
      <c r="N678">
        <v>0</v>
      </c>
      <c r="O678">
        <v>8</v>
      </c>
      <c r="P678" s="1">
        <f t="shared" si="41"/>
        <v>0</v>
      </c>
      <c r="Q678">
        <f t="shared" si="42"/>
        <v>8</v>
      </c>
      <c r="R678" s="1">
        <f t="shared" si="43"/>
        <v>5160</v>
      </c>
    </row>
    <row r="679" spans="1:18" hidden="1" x14ac:dyDescent="0.3">
      <c r="A679" t="s">
        <v>4829</v>
      </c>
      <c r="B679" t="s">
        <v>4830</v>
      </c>
      <c r="C679" t="s">
        <v>47</v>
      </c>
      <c r="D679">
        <v>17</v>
      </c>
      <c r="E679">
        <v>0</v>
      </c>
      <c r="G679" s="1">
        <v>0</v>
      </c>
      <c r="H679">
        <v>73</v>
      </c>
      <c r="I679">
        <v>0.5</v>
      </c>
      <c r="J679">
        <v>4.5</v>
      </c>
      <c r="K679">
        <v>2</v>
      </c>
      <c r="L679">
        <f t="shared" si="40"/>
        <v>5</v>
      </c>
      <c r="M679">
        <v>0</v>
      </c>
      <c r="N679">
        <v>0</v>
      </c>
      <c r="O679">
        <v>11</v>
      </c>
      <c r="P679" s="1">
        <f t="shared" si="41"/>
        <v>0</v>
      </c>
      <c r="Q679">
        <f t="shared" si="42"/>
        <v>11</v>
      </c>
      <c r="R679" s="1">
        <f t="shared" si="43"/>
        <v>0</v>
      </c>
    </row>
    <row r="680" spans="1:18" hidden="1" x14ac:dyDescent="0.3">
      <c r="A680" t="s">
        <v>4831</v>
      </c>
      <c r="B680" t="s">
        <v>4832</v>
      </c>
      <c r="C680" t="s">
        <v>47</v>
      </c>
      <c r="D680">
        <v>11</v>
      </c>
      <c r="E680">
        <v>4</v>
      </c>
      <c r="F680" t="s">
        <v>1073</v>
      </c>
      <c r="G680" s="1">
        <v>22673.9</v>
      </c>
      <c r="H680">
        <v>3</v>
      </c>
      <c r="I680">
        <v>0.9</v>
      </c>
      <c r="J680">
        <v>1</v>
      </c>
      <c r="K680">
        <v>1</v>
      </c>
      <c r="L680">
        <f t="shared" si="40"/>
        <v>2</v>
      </c>
      <c r="M680">
        <v>0</v>
      </c>
      <c r="N680">
        <v>0</v>
      </c>
      <c r="O680">
        <v>3</v>
      </c>
      <c r="P680" s="1">
        <f t="shared" si="41"/>
        <v>0</v>
      </c>
      <c r="Q680">
        <f t="shared" si="42"/>
        <v>3</v>
      </c>
      <c r="R680" s="1">
        <f t="shared" si="43"/>
        <v>68021.700000000012</v>
      </c>
    </row>
    <row r="681" spans="1:18" hidden="1" x14ac:dyDescent="0.3">
      <c r="A681" t="s">
        <v>4833</v>
      </c>
      <c r="B681" t="s">
        <v>4834</v>
      </c>
      <c r="C681" t="s">
        <v>47</v>
      </c>
      <c r="D681">
        <v>1</v>
      </c>
      <c r="E681">
        <v>0</v>
      </c>
      <c r="G681" s="1">
        <v>0</v>
      </c>
      <c r="H681">
        <v>0</v>
      </c>
      <c r="I681">
        <v>0.5</v>
      </c>
      <c r="J681">
        <v>1</v>
      </c>
      <c r="K681">
        <v>1</v>
      </c>
      <c r="L681">
        <f t="shared" si="40"/>
        <v>2</v>
      </c>
      <c r="M681">
        <v>0</v>
      </c>
      <c r="N681">
        <v>0</v>
      </c>
      <c r="O681">
        <v>2</v>
      </c>
      <c r="P681" s="1">
        <f t="shared" si="41"/>
        <v>0</v>
      </c>
      <c r="Q681">
        <f t="shared" si="42"/>
        <v>2</v>
      </c>
      <c r="R681" s="1">
        <f t="shared" si="43"/>
        <v>0</v>
      </c>
    </row>
    <row r="682" spans="1:18" hidden="1" x14ac:dyDescent="0.3">
      <c r="A682" t="s">
        <v>4835</v>
      </c>
      <c r="B682" t="s">
        <v>4836</v>
      </c>
      <c r="C682" t="s">
        <v>47</v>
      </c>
      <c r="D682">
        <v>1</v>
      </c>
      <c r="E682">
        <v>0</v>
      </c>
      <c r="G682" s="1">
        <v>0</v>
      </c>
      <c r="H682">
        <v>0</v>
      </c>
      <c r="I682">
        <v>0.5</v>
      </c>
      <c r="J682">
        <v>1</v>
      </c>
      <c r="K682">
        <v>1</v>
      </c>
      <c r="L682">
        <f t="shared" si="40"/>
        <v>2</v>
      </c>
      <c r="M682">
        <v>0</v>
      </c>
      <c r="N682">
        <v>0</v>
      </c>
      <c r="O682">
        <v>2</v>
      </c>
      <c r="P682" s="1">
        <f t="shared" si="41"/>
        <v>0</v>
      </c>
      <c r="Q682">
        <f t="shared" si="42"/>
        <v>2</v>
      </c>
      <c r="R682" s="1">
        <f t="shared" si="43"/>
        <v>0</v>
      </c>
    </row>
    <row r="683" spans="1:18" hidden="1" x14ac:dyDescent="0.3">
      <c r="A683" t="s">
        <v>4837</v>
      </c>
      <c r="B683" t="s">
        <v>4838</v>
      </c>
      <c r="C683" t="s">
        <v>47</v>
      </c>
      <c r="D683">
        <v>1</v>
      </c>
      <c r="E683">
        <v>50</v>
      </c>
      <c r="F683" t="s">
        <v>4839</v>
      </c>
      <c r="G683" s="1">
        <v>8.0399999999999991</v>
      </c>
      <c r="H683">
        <v>0</v>
      </c>
      <c r="I683">
        <v>0.5</v>
      </c>
      <c r="J683">
        <v>50</v>
      </c>
      <c r="K683">
        <v>25</v>
      </c>
      <c r="L683">
        <f t="shared" si="40"/>
        <v>50</v>
      </c>
      <c r="M683">
        <v>0</v>
      </c>
      <c r="N683">
        <v>0</v>
      </c>
      <c r="O683">
        <v>125</v>
      </c>
      <c r="P683" s="1">
        <f t="shared" si="41"/>
        <v>0</v>
      </c>
      <c r="Q683">
        <f t="shared" si="42"/>
        <v>125</v>
      </c>
      <c r="R683" s="1">
        <f t="shared" si="43"/>
        <v>1004.9999999999999</v>
      </c>
    </row>
    <row r="684" spans="1:18" hidden="1" x14ac:dyDescent="0.3">
      <c r="A684" t="s">
        <v>4840</v>
      </c>
      <c r="B684" t="s">
        <v>4841</v>
      </c>
      <c r="C684" t="s">
        <v>47</v>
      </c>
      <c r="D684">
        <v>1</v>
      </c>
      <c r="E684">
        <v>50</v>
      </c>
      <c r="F684" t="s">
        <v>4839</v>
      </c>
      <c r="G684" s="1">
        <v>4.7699999999999996</v>
      </c>
      <c r="H684">
        <v>0</v>
      </c>
      <c r="I684">
        <v>0.5</v>
      </c>
      <c r="J684">
        <v>50</v>
      </c>
      <c r="K684">
        <v>25</v>
      </c>
      <c r="L684">
        <f t="shared" si="40"/>
        <v>50</v>
      </c>
      <c r="M684">
        <v>0</v>
      </c>
      <c r="N684">
        <v>0</v>
      </c>
      <c r="O684">
        <v>125</v>
      </c>
      <c r="P684" s="1">
        <f t="shared" si="41"/>
        <v>0</v>
      </c>
      <c r="Q684">
        <f t="shared" si="42"/>
        <v>125</v>
      </c>
      <c r="R684" s="1">
        <f t="shared" si="43"/>
        <v>596.25</v>
      </c>
    </row>
    <row r="685" spans="1:18" hidden="1" x14ac:dyDescent="0.3">
      <c r="A685" t="s">
        <v>4842</v>
      </c>
      <c r="B685" t="s">
        <v>4843</v>
      </c>
      <c r="C685" t="s">
        <v>47</v>
      </c>
      <c r="D685">
        <v>1</v>
      </c>
      <c r="E685">
        <v>0</v>
      </c>
      <c r="G685" s="1">
        <v>0</v>
      </c>
      <c r="H685">
        <v>0</v>
      </c>
      <c r="I685">
        <v>0.5</v>
      </c>
      <c r="J685">
        <v>1</v>
      </c>
      <c r="K685">
        <v>1</v>
      </c>
      <c r="L685">
        <f t="shared" si="40"/>
        <v>2</v>
      </c>
      <c r="M685">
        <v>0</v>
      </c>
      <c r="N685">
        <v>0</v>
      </c>
      <c r="O685">
        <v>2</v>
      </c>
      <c r="P685" s="1">
        <f t="shared" si="41"/>
        <v>0</v>
      </c>
      <c r="Q685">
        <f t="shared" si="42"/>
        <v>2</v>
      </c>
      <c r="R685" s="1">
        <f t="shared" si="43"/>
        <v>0</v>
      </c>
    </row>
    <row r="686" spans="1:18" hidden="1" x14ac:dyDescent="0.3">
      <c r="A686" t="s">
        <v>4844</v>
      </c>
      <c r="B686" t="s">
        <v>4845</v>
      </c>
      <c r="C686" t="s">
        <v>47</v>
      </c>
      <c r="D686">
        <v>1</v>
      </c>
      <c r="E686">
        <v>0</v>
      </c>
      <c r="G686" s="1">
        <v>0</v>
      </c>
      <c r="H686">
        <v>0</v>
      </c>
      <c r="I686">
        <v>0.5</v>
      </c>
      <c r="J686">
        <v>1</v>
      </c>
      <c r="K686">
        <v>1</v>
      </c>
      <c r="L686">
        <f t="shared" si="40"/>
        <v>2</v>
      </c>
      <c r="M686">
        <v>0</v>
      </c>
      <c r="N686">
        <v>0</v>
      </c>
      <c r="O686">
        <v>2</v>
      </c>
      <c r="P686" s="1">
        <f t="shared" si="41"/>
        <v>0</v>
      </c>
      <c r="Q686">
        <f t="shared" si="42"/>
        <v>2</v>
      </c>
      <c r="R686" s="1">
        <f t="shared" si="43"/>
        <v>0</v>
      </c>
    </row>
    <row r="687" spans="1:18" hidden="1" x14ac:dyDescent="0.3">
      <c r="A687" t="s">
        <v>4846</v>
      </c>
      <c r="B687" t="s">
        <v>4847</v>
      </c>
      <c r="C687" t="s">
        <v>47</v>
      </c>
      <c r="D687">
        <v>1</v>
      </c>
      <c r="E687">
        <v>0</v>
      </c>
      <c r="G687" s="1">
        <v>0</v>
      </c>
      <c r="H687">
        <v>0</v>
      </c>
      <c r="I687">
        <v>0.5</v>
      </c>
      <c r="J687">
        <v>1</v>
      </c>
      <c r="K687">
        <v>1</v>
      </c>
      <c r="L687">
        <f t="shared" si="40"/>
        <v>2</v>
      </c>
      <c r="M687">
        <v>0</v>
      </c>
      <c r="N687">
        <v>0</v>
      </c>
      <c r="O687">
        <v>2</v>
      </c>
      <c r="P687" s="1">
        <f t="shared" si="41"/>
        <v>0</v>
      </c>
      <c r="Q687">
        <f t="shared" si="42"/>
        <v>2</v>
      </c>
      <c r="R687" s="1">
        <f t="shared" si="43"/>
        <v>0</v>
      </c>
    </row>
    <row r="688" spans="1:18" hidden="1" x14ac:dyDescent="0.3">
      <c r="A688" t="s">
        <v>4848</v>
      </c>
      <c r="B688" t="s">
        <v>4849</v>
      </c>
      <c r="C688" t="s">
        <v>47</v>
      </c>
      <c r="D688">
        <v>1</v>
      </c>
      <c r="E688">
        <v>0</v>
      </c>
      <c r="G688" s="1">
        <v>0</v>
      </c>
      <c r="H688">
        <v>0</v>
      </c>
      <c r="I688">
        <v>0.5</v>
      </c>
      <c r="J688">
        <v>1</v>
      </c>
      <c r="K688">
        <v>1</v>
      </c>
      <c r="L688">
        <f t="shared" si="40"/>
        <v>2</v>
      </c>
      <c r="M688">
        <v>0</v>
      </c>
      <c r="N688">
        <v>0</v>
      </c>
      <c r="O688">
        <v>2</v>
      </c>
      <c r="P688" s="1">
        <f t="shared" si="41"/>
        <v>0</v>
      </c>
      <c r="Q688">
        <f t="shared" si="42"/>
        <v>2</v>
      </c>
      <c r="R688" s="1">
        <f t="shared" si="43"/>
        <v>0</v>
      </c>
    </row>
    <row r="689" spans="1:18" hidden="1" x14ac:dyDescent="0.3">
      <c r="A689" t="s">
        <v>4850</v>
      </c>
      <c r="B689" t="s">
        <v>4851</v>
      </c>
      <c r="C689" t="s">
        <v>47</v>
      </c>
      <c r="D689">
        <v>6</v>
      </c>
      <c r="E689">
        <v>0</v>
      </c>
      <c r="G689" s="1">
        <v>0</v>
      </c>
      <c r="H689">
        <v>3</v>
      </c>
      <c r="I689">
        <v>0.5</v>
      </c>
      <c r="J689">
        <v>1</v>
      </c>
      <c r="K689">
        <v>1</v>
      </c>
      <c r="L689">
        <f t="shared" si="40"/>
        <v>2</v>
      </c>
      <c r="M689">
        <v>0</v>
      </c>
      <c r="N689">
        <v>0</v>
      </c>
      <c r="O689">
        <v>2</v>
      </c>
      <c r="P689" s="1">
        <f t="shared" si="41"/>
        <v>0</v>
      </c>
      <c r="Q689">
        <f t="shared" si="42"/>
        <v>2</v>
      </c>
      <c r="R689" s="1">
        <f t="shared" si="43"/>
        <v>0</v>
      </c>
    </row>
    <row r="690" spans="1:18" hidden="1" x14ac:dyDescent="0.3">
      <c r="A690" t="s">
        <v>4852</v>
      </c>
      <c r="B690" t="s">
        <v>4853</v>
      </c>
      <c r="C690" t="s">
        <v>47</v>
      </c>
      <c r="D690">
        <v>1</v>
      </c>
      <c r="E690">
        <v>8</v>
      </c>
      <c r="F690" t="s">
        <v>4663</v>
      </c>
      <c r="G690" s="1">
        <v>940.5</v>
      </c>
      <c r="H690">
        <v>8</v>
      </c>
      <c r="I690">
        <v>1.1000000000000001</v>
      </c>
      <c r="J690">
        <v>8</v>
      </c>
      <c r="K690">
        <v>9</v>
      </c>
      <c r="L690">
        <f t="shared" si="40"/>
        <v>18</v>
      </c>
      <c r="M690">
        <v>0</v>
      </c>
      <c r="N690">
        <v>0</v>
      </c>
      <c r="O690">
        <v>25</v>
      </c>
      <c r="P690" s="1">
        <f t="shared" si="41"/>
        <v>0</v>
      </c>
      <c r="Q690">
        <f t="shared" si="42"/>
        <v>25</v>
      </c>
      <c r="R690" s="1">
        <f t="shared" si="43"/>
        <v>23512.5</v>
      </c>
    </row>
    <row r="691" spans="1:18" hidden="1" x14ac:dyDescent="0.3">
      <c r="A691" t="s">
        <v>4854</v>
      </c>
      <c r="B691" t="s">
        <v>4855</v>
      </c>
      <c r="C691" t="s">
        <v>47</v>
      </c>
      <c r="D691">
        <v>1</v>
      </c>
      <c r="E691">
        <v>0</v>
      </c>
      <c r="F691" t="s">
        <v>3749</v>
      </c>
      <c r="G691" s="1">
        <v>35999</v>
      </c>
      <c r="H691">
        <v>0</v>
      </c>
      <c r="I691">
        <v>0.5</v>
      </c>
      <c r="J691">
        <v>1</v>
      </c>
      <c r="K691">
        <v>1</v>
      </c>
      <c r="L691">
        <f t="shared" si="40"/>
        <v>2</v>
      </c>
      <c r="M691">
        <v>0</v>
      </c>
      <c r="N691">
        <v>0</v>
      </c>
      <c r="O691">
        <v>2</v>
      </c>
      <c r="P691" s="1">
        <f t="shared" si="41"/>
        <v>0</v>
      </c>
      <c r="Q691">
        <f t="shared" si="42"/>
        <v>2</v>
      </c>
      <c r="R691" s="1">
        <f t="shared" si="43"/>
        <v>71998</v>
      </c>
    </row>
    <row r="692" spans="1:18" hidden="1" x14ac:dyDescent="0.3">
      <c r="A692" t="s">
        <v>4856</v>
      </c>
      <c r="B692" t="s">
        <v>4857</v>
      </c>
      <c r="C692" t="s">
        <v>47</v>
      </c>
      <c r="D692">
        <v>1</v>
      </c>
      <c r="E692">
        <v>0</v>
      </c>
      <c r="G692" s="1">
        <v>0</v>
      </c>
      <c r="H692">
        <v>14</v>
      </c>
      <c r="I692">
        <v>0.5</v>
      </c>
      <c r="J692">
        <v>14</v>
      </c>
      <c r="K692">
        <v>7</v>
      </c>
      <c r="L692">
        <f t="shared" si="40"/>
        <v>14</v>
      </c>
      <c r="M692">
        <v>0</v>
      </c>
      <c r="N692">
        <v>0</v>
      </c>
      <c r="O692">
        <v>35</v>
      </c>
      <c r="P692" s="1">
        <f t="shared" si="41"/>
        <v>0</v>
      </c>
      <c r="Q692">
        <f t="shared" si="42"/>
        <v>35</v>
      </c>
      <c r="R692" s="1">
        <f t="shared" si="43"/>
        <v>0</v>
      </c>
    </row>
    <row r="693" spans="1:18" hidden="1" x14ac:dyDescent="0.3">
      <c r="A693" t="s">
        <v>4858</v>
      </c>
      <c r="B693" t="s">
        <v>4859</v>
      </c>
      <c r="C693" t="s">
        <v>47</v>
      </c>
      <c r="D693">
        <v>1</v>
      </c>
      <c r="E693">
        <v>0</v>
      </c>
      <c r="G693" s="1">
        <v>0</v>
      </c>
      <c r="H693">
        <v>0</v>
      </c>
      <c r="I693">
        <v>0.5</v>
      </c>
      <c r="J693">
        <v>1</v>
      </c>
      <c r="K693">
        <v>1</v>
      </c>
      <c r="L693">
        <f t="shared" si="40"/>
        <v>2</v>
      </c>
      <c r="M693">
        <v>0</v>
      </c>
      <c r="N693">
        <v>0</v>
      </c>
      <c r="O693">
        <v>2</v>
      </c>
      <c r="P693" s="1">
        <f t="shared" si="41"/>
        <v>0</v>
      </c>
      <c r="Q693">
        <f t="shared" si="42"/>
        <v>2</v>
      </c>
      <c r="R693" s="1">
        <f t="shared" si="43"/>
        <v>0</v>
      </c>
    </row>
    <row r="694" spans="1:18" hidden="1" x14ac:dyDescent="0.3">
      <c r="A694" t="s">
        <v>4860</v>
      </c>
      <c r="B694" t="s">
        <v>4861</v>
      </c>
      <c r="C694" t="s">
        <v>47</v>
      </c>
      <c r="D694">
        <v>29</v>
      </c>
      <c r="E694">
        <v>3</v>
      </c>
      <c r="F694" t="s">
        <v>124</v>
      </c>
      <c r="G694" s="1">
        <v>48642</v>
      </c>
      <c r="H694">
        <v>7</v>
      </c>
      <c r="I694">
        <v>1.5</v>
      </c>
      <c r="J694">
        <v>1</v>
      </c>
      <c r="K694">
        <v>2</v>
      </c>
      <c r="L694">
        <f t="shared" si="40"/>
        <v>4</v>
      </c>
      <c r="M694">
        <v>0</v>
      </c>
      <c r="N694">
        <v>0</v>
      </c>
      <c r="O694">
        <v>4</v>
      </c>
      <c r="P694" s="1">
        <f t="shared" si="41"/>
        <v>0</v>
      </c>
      <c r="Q694">
        <f t="shared" si="42"/>
        <v>4</v>
      </c>
      <c r="R694" s="1">
        <f t="shared" si="43"/>
        <v>194568</v>
      </c>
    </row>
    <row r="695" spans="1:18" hidden="1" x14ac:dyDescent="0.3">
      <c r="A695" t="s">
        <v>4862</v>
      </c>
      <c r="B695" t="s">
        <v>4863</v>
      </c>
      <c r="C695" t="s">
        <v>47</v>
      </c>
      <c r="D695">
        <v>1</v>
      </c>
      <c r="E695">
        <v>12</v>
      </c>
      <c r="F695" t="s">
        <v>1073</v>
      </c>
      <c r="G695" s="1">
        <v>26488.91</v>
      </c>
      <c r="H695">
        <v>0</v>
      </c>
      <c r="I695">
        <v>1.2</v>
      </c>
      <c r="J695">
        <v>12</v>
      </c>
      <c r="K695">
        <v>14</v>
      </c>
      <c r="L695">
        <f t="shared" si="40"/>
        <v>29</v>
      </c>
      <c r="M695">
        <v>0</v>
      </c>
      <c r="N695">
        <v>0</v>
      </c>
      <c r="O695">
        <v>38</v>
      </c>
      <c r="P695" s="1">
        <f t="shared" si="41"/>
        <v>0</v>
      </c>
      <c r="Q695">
        <f t="shared" si="42"/>
        <v>38</v>
      </c>
      <c r="R695" s="1">
        <f t="shared" si="43"/>
        <v>1006578.58</v>
      </c>
    </row>
    <row r="696" spans="1:18" hidden="1" x14ac:dyDescent="0.3">
      <c r="A696" t="s">
        <v>4864</v>
      </c>
      <c r="B696" t="s">
        <v>4865</v>
      </c>
      <c r="C696" t="s">
        <v>47</v>
      </c>
      <c r="D696">
        <v>1</v>
      </c>
      <c r="E696">
        <v>0</v>
      </c>
      <c r="G696" s="1">
        <v>0</v>
      </c>
      <c r="H696">
        <v>0</v>
      </c>
      <c r="I696">
        <v>0.5</v>
      </c>
      <c r="J696">
        <v>1</v>
      </c>
      <c r="K696">
        <v>1</v>
      </c>
      <c r="L696">
        <f t="shared" si="40"/>
        <v>2</v>
      </c>
      <c r="M696">
        <v>0</v>
      </c>
      <c r="N696">
        <v>0</v>
      </c>
      <c r="O696">
        <v>2</v>
      </c>
      <c r="P696" s="1">
        <f t="shared" si="41"/>
        <v>0</v>
      </c>
      <c r="Q696">
        <f t="shared" si="42"/>
        <v>2</v>
      </c>
      <c r="R696" s="1">
        <f t="shared" si="43"/>
        <v>0</v>
      </c>
    </row>
    <row r="697" spans="1:18" hidden="1" x14ac:dyDescent="0.3">
      <c r="A697" t="s">
        <v>4866</v>
      </c>
      <c r="B697" t="s">
        <v>4867</v>
      </c>
      <c r="C697" t="s">
        <v>47</v>
      </c>
      <c r="D697">
        <v>1</v>
      </c>
      <c r="E697">
        <v>0</v>
      </c>
      <c r="G697" s="1">
        <v>0</v>
      </c>
      <c r="H697">
        <v>0</v>
      </c>
      <c r="I697">
        <v>0.5</v>
      </c>
      <c r="J697">
        <v>1</v>
      </c>
      <c r="K697">
        <v>1</v>
      </c>
      <c r="L697">
        <f t="shared" si="40"/>
        <v>2</v>
      </c>
      <c r="M697">
        <v>0</v>
      </c>
      <c r="N697">
        <v>0</v>
      </c>
      <c r="O697">
        <v>2</v>
      </c>
      <c r="P697" s="1">
        <f t="shared" si="41"/>
        <v>0</v>
      </c>
      <c r="Q697">
        <f t="shared" si="42"/>
        <v>2</v>
      </c>
      <c r="R697" s="1">
        <f t="shared" si="43"/>
        <v>0</v>
      </c>
    </row>
    <row r="698" spans="1:18" hidden="1" x14ac:dyDescent="0.3">
      <c r="A698" t="s">
        <v>4868</v>
      </c>
      <c r="B698" t="s">
        <v>4869</v>
      </c>
      <c r="C698" t="s">
        <v>47</v>
      </c>
      <c r="D698">
        <v>1</v>
      </c>
      <c r="E698">
        <v>1</v>
      </c>
      <c r="F698" t="s">
        <v>1073</v>
      </c>
      <c r="G698" s="1">
        <v>14394</v>
      </c>
      <c r="H698">
        <v>1</v>
      </c>
      <c r="I698">
        <v>1.1000000000000001</v>
      </c>
      <c r="J698">
        <v>1</v>
      </c>
      <c r="K698">
        <v>1</v>
      </c>
      <c r="L698">
        <f t="shared" si="40"/>
        <v>3</v>
      </c>
      <c r="M698">
        <v>0</v>
      </c>
      <c r="N698">
        <v>0</v>
      </c>
      <c r="O698">
        <v>3</v>
      </c>
      <c r="P698" s="1">
        <f t="shared" si="41"/>
        <v>0</v>
      </c>
      <c r="Q698">
        <f t="shared" si="42"/>
        <v>3</v>
      </c>
      <c r="R698" s="1">
        <f t="shared" si="43"/>
        <v>43182</v>
      </c>
    </row>
    <row r="699" spans="1:18" hidden="1" x14ac:dyDescent="0.3">
      <c r="A699" t="s">
        <v>4870</v>
      </c>
      <c r="B699" t="s">
        <v>4870</v>
      </c>
      <c r="C699" t="s">
        <v>47</v>
      </c>
      <c r="D699">
        <v>9</v>
      </c>
      <c r="E699">
        <v>8</v>
      </c>
      <c r="F699" t="s">
        <v>1073</v>
      </c>
      <c r="G699" s="1">
        <v>9248</v>
      </c>
      <c r="H699">
        <v>11</v>
      </c>
      <c r="I699">
        <v>0.8</v>
      </c>
      <c r="J699">
        <v>1.5</v>
      </c>
      <c r="K699">
        <v>1</v>
      </c>
      <c r="L699">
        <f t="shared" si="40"/>
        <v>3</v>
      </c>
      <c r="M699">
        <v>0</v>
      </c>
      <c r="N699">
        <v>0</v>
      </c>
      <c r="O699">
        <v>4</v>
      </c>
      <c r="P699" s="1">
        <f t="shared" si="41"/>
        <v>0</v>
      </c>
      <c r="Q699">
        <f t="shared" si="42"/>
        <v>4</v>
      </c>
      <c r="R699" s="1">
        <f t="shared" si="43"/>
        <v>36992</v>
      </c>
    </row>
    <row r="700" spans="1:18" hidden="1" x14ac:dyDescent="0.3">
      <c r="A700" t="s">
        <v>4871</v>
      </c>
      <c r="B700" t="s">
        <v>4872</v>
      </c>
      <c r="C700" t="s">
        <v>47</v>
      </c>
      <c r="D700">
        <v>1</v>
      </c>
      <c r="E700">
        <v>0</v>
      </c>
      <c r="G700" s="1">
        <v>0</v>
      </c>
      <c r="H700">
        <v>0</v>
      </c>
      <c r="I700">
        <v>0.5</v>
      </c>
      <c r="J700">
        <v>1</v>
      </c>
      <c r="K700">
        <v>1</v>
      </c>
      <c r="L700">
        <f t="shared" si="40"/>
        <v>2</v>
      </c>
      <c r="M700">
        <v>0</v>
      </c>
      <c r="N700">
        <v>0</v>
      </c>
      <c r="O700">
        <v>2</v>
      </c>
      <c r="P700" s="1">
        <f t="shared" si="41"/>
        <v>0</v>
      </c>
      <c r="Q700">
        <f t="shared" si="42"/>
        <v>2</v>
      </c>
      <c r="R700" s="1">
        <f t="shared" si="43"/>
        <v>0</v>
      </c>
    </row>
    <row r="701" spans="1:18" hidden="1" x14ac:dyDescent="0.3">
      <c r="A701" t="s">
        <v>4873</v>
      </c>
      <c r="B701" t="s">
        <v>4874</v>
      </c>
      <c r="C701" t="s">
        <v>47</v>
      </c>
      <c r="D701">
        <v>7</v>
      </c>
      <c r="E701">
        <v>1</v>
      </c>
      <c r="F701" t="s">
        <v>1073</v>
      </c>
      <c r="G701" s="1">
        <v>12391</v>
      </c>
      <c r="H701">
        <v>6</v>
      </c>
      <c r="I701">
        <v>1.7</v>
      </c>
      <c r="J701">
        <v>1</v>
      </c>
      <c r="K701">
        <v>2</v>
      </c>
      <c r="L701">
        <f t="shared" si="40"/>
        <v>4</v>
      </c>
      <c r="M701">
        <v>0</v>
      </c>
      <c r="N701">
        <v>0</v>
      </c>
      <c r="O701">
        <v>4</v>
      </c>
      <c r="P701" s="1">
        <f t="shared" si="41"/>
        <v>0</v>
      </c>
      <c r="Q701">
        <f t="shared" si="42"/>
        <v>4</v>
      </c>
      <c r="R701" s="1">
        <f t="shared" si="43"/>
        <v>49564</v>
      </c>
    </row>
    <row r="702" spans="1:18" hidden="1" x14ac:dyDescent="0.3">
      <c r="A702" t="s">
        <v>4875</v>
      </c>
      <c r="B702" t="s">
        <v>4876</v>
      </c>
      <c r="C702" t="s">
        <v>47</v>
      </c>
      <c r="D702">
        <v>5</v>
      </c>
      <c r="E702">
        <v>5</v>
      </c>
      <c r="F702" t="s">
        <v>1073</v>
      </c>
      <c r="G702" s="1">
        <v>21973</v>
      </c>
      <c r="H702">
        <v>5</v>
      </c>
      <c r="I702">
        <v>1.3</v>
      </c>
      <c r="J702">
        <v>1</v>
      </c>
      <c r="K702">
        <v>1</v>
      </c>
      <c r="L702">
        <f t="shared" si="40"/>
        <v>3</v>
      </c>
      <c r="M702">
        <v>0</v>
      </c>
      <c r="N702">
        <v>0</v>
      </c>
      <c r="O702">
        <v>3</v>
      </c>
      <c r="P702" s="1">
        <f t="shared" si="41"/>
        <v>0</v>
      </c>
      <c r="Q702">
        <f t="shared" si="42"/>
        <v>3</v>
      </c>
      <c r="R702" s="1">
        <f t="shared" si="43"/>
        <v>65919</v>
      </c>
    </row>
    <row r="703" spans="1:18" hidden="1" x14ac:dyDescent="0.3">
      <c r="A703" t="s">
        <v>4877</v>
      </c>
      <c r="B703" t="s">
        <v>4878</v>
      </c>
      <c r="C703" t="s">
        <v>47</v>
      </c>
      <c r="D703">
        <v>1</v>
      </c>
      <c r="E703">
        <v>4</v>
      </c>
      <c r="F703" t="s">
        <v>1073</v>
      </c>
      <c r="G703" s="1">
        <v>17220</v>
      </c>
      <c r="H703">
        <v>4</v>
      </c>
      <c r="I703">
        <v>1.8</v>
      </c>
      <c r="J703">
        <v>4</v>
      </c>
      <c r="K703">
        <v>7</v>
      </c>
      <c r="L703">
        <f t="shared" si="40"/>
        <v>15</v>
      </c>
      <c r="M703">
        <v>0</v>
      </c>
      <c r="N703">
        <v>0</v>
      </c>
      <c r="O703">
        <v>15</v>
      </c>
      <c r="P703" s="1">
        <f t="shared" si="41"/>
        <v>0</v>
      </c>
      <c r="Q703">
        <f t="shared" si="42"/>
        <v>15</v>
      </c>
      <c r="R703" s="1">
        <f t="shared" si="43"/>
        <v>258300</v>
      </c>
    </row>
    <row r="704" spans="1:18" hidden="1" x14ac:dyDescent="0.3">
      <c r="A704" t="s">
        <v>4879</v>
      </c>
      <c r="B704" t="s">
        <v>4541</v>
      </c>
      <c r="C704" t="s">
        <v>47</v>
      </c>
      <c r="D704">
        <v>1</v>
      </c>
      <c r="E704">
        <v>0</v>
      </c>
      <c r="G704" s="1">
        <v>0</v>
      </c>
      <c r="H704">
        <v>0</v>
      </c>
      <c r="I704">
        <v>0.5</v>
      </c>
      <c r="J704">
        <v>1</v>
      </c>
      <c r="K704">
        <v>1</v>
      </c>
      <c r="L704">
        <f t="shared" si="40"/>
        <v>2</v>
      </c>
      <c r="M704">
        <v>0</v>
      </c>
      <c r="N704">
        <v>0</v>
      </c>
      <c r="O704">
        <v>2</v>
      </c>
      <c r="P704" s="1">
        <f t="shared" si="41"/>
        <v>0</v>
      </c>
      <c r="Q704">
        <f t="shared" si="42"/>
        <v>2</v>
      </c>
      <c r="R704" s="1">
        <f t="shared" si="43"/>
        <v>0</v>
      </c>
    </row>
    <row r="705" spans="1:18" hidden="1" x14ac:dyDescent="0.3">
      <c r="A705" t="s">
        <v>4880</v>
      </c>
      <c r="B705" t="s">
        <v>4881</v>
      </c>
      <c r="C705" t="s">
        <v>47</v>
      </c>
      <c r="D705">
        <v>1</v>
      </c>
      <c r="E705">
        <v>7</v>
      </c>
      <c r="F705" t="s">
        <v>1073</v>
      </c>
      <c r="G705" s="1">
        <v>21973</v>
      </c>
      <c r="H705">
        <v>0</v>
      </c>
      <c r="I705">
        <v>1.2</v>
      </c>
      <c r="J705">
        <v>7</v>
      </c>
      <c r="K705">
        <v>8</v>
      </c>
      <c r="L705">
        <f t="shared" si="40"/>
        <v>17</v>
      </c>
      <c r="M705">
        <v>0</v>
      </c>
      <c r="N705">
        <v>0</v>
      </c>
      <c r="O705">
        <v>22</v>
      </c>
      <c r="P705" s="1">
        <f t="shared" si="41"/>
        <v>0</v>
      </c>
      <c r="Q705">
        <f t="shared" si="42"/>
        <v>22</v>
      </c>
      <c r="R705" s="1">
        <f t="shared" si="43"/>
        <v>483406</v>
      </c>
    </row>
    <row r="706" spans="1:18" hidden="1" x14ac:dyDescent="0.3">
      <c r="A706" t="s">
        <v>4882</v>
      </c>
      <c r="B706" t="s">
        <v>4883</v>
      </c>
      <c r="C706" t="s">
        <v>47</v>
      </c>
      <c r="D706">
        <v>1</v>
      </c>
      <c r="E706">
        <v>4</v>
      </c>
      <c r="F706" t="s">
        <v>1073</v>
      </c>
      <c r="G706" s="1">
        <v>21973</v>
      </c>
      <c r="H706">
        <v>5</v>
      </c>
      <c r="I706">
        <v>1.1000000000000001</v>
      </c>
      <c r="J706">
        <v>5</v>
      </c>
      <c r="K706">
        <v>6</v>
      </c>
      <c r="L706">
        <f t="shared" ref="L706:L769" si="44">ROUNDUP((J706*I706)+K706,0)</f>
        <v>12</v>
      </c>
      <c r="M706">
        <v>0</v>
      </c>
      <c r="N706">
        <v>0</v>
      </c>
      <c r="O706">
        <v>16</v>
      </c>
      <c r="P706" s="1">
        <f t="shared" ref="P706:P769" si="45">IFERROR(M706*G706,0)</f>
        <v>0</v>
      </c>
      <c r="Q706">
        <f t="shared" ref="Q706:Q769" si="46">IF(O706-M706-N706&gt;0,O706-M706-N706,0)</f>
        <v>16</v>
      </c>
      <c r="R706" s="1">
        <f t="shared" ref="R706:R769" si="47">IFERROR(Q706*G706,0)</f>
        <v>351568</v>
      </c>
    </row>
    <row r="707" spans="1:18" hidden="1" x14ac:dyDescent="0.3">
      <c r="A707" t="s">
        <v>4884</v>
      </c>
      <c r="B707" t="s">
        <v>4615</v>
      </c>
      <c r="C707" t="s">
        <v>47</v>
      </c>
      <c r="D707">
        <v>1</v>
      </c>
      <c r="E707">
        <v>0</v>
      </c>
      <c r="G707" s="1">
        <v>0</v>
      </c>
      <c r="H707">
        <v>0</v>
      </c>
      <c r="I707">
        <v>0.5</v>
      </c>
      <c r="J707">
        <v>1</v>
      </c>
      <c r="K707">
        <v>1</v>
      </c>
      <c r="L707">
        <f t="shared" si="44"/>
        <v>2</v>
      </c>
      <c r="M707">
        <v>0</v>
      </c>
      <c r="N707">
        <v>0</v>
      </c>
      <c r="O707">
        <v>2</v>
      </c>
      <c r="P707" s="1">
        <f t="shared" si="45"/>
        <v>0</v>
      </c>
      <c r="Q707">
        <f t="shared" si="46"/>
        <v>2</v>
      </c>
      <c r="R707" s="1">
        <f t="shared" si="47"/>
        <v>0</v>
      </c>
    </row>
    <row r="708" spans="1:18" hidden="1" x14ac:dyDescent="0.3">
      <c r="A708" t="s">
        <v>4885</v>
      </c>
      <c r="B708" t="s">
        <v>4886</v>
      </c>
      <c r="C708" t="s">
        <v>47</v>
      </c>
      <c r="D708">
        <v>1</v>
      </c>
      <c r="E708">
        <v>5</v>
      </c>
      <c r="F708" t="s">
        <v>1073</v>
      </c>
      <c r="G708" s="1">
        <v>9462.9599999999991</v>
      </c>
      <c r="H708">
        <v>5</v>
      </c>
      <c r="I708">
        <v>1.7</v>
      </c>
      <c r="J708">
        <v>5</v>
      </c>
      <c r="K708">
        <v>8</v>
      </c>
      <c r="L708">
        <f t="shared" si="44"/>
        <v>17</v>
      </c>
      <c r="M708">
        <v>0</v>
      </c>
      <c r="N708">
        <v>0</v>
      </c>
      <c r="O708">
        <v>18</v>
      </c>
      <c r="P708" s="1">
        <f t="shared" si="45"/>
        <v>0</v>
      </c>
      <c r="Q708">
        <f t="shared" si="46"/>
        <v>18</v>
      </c>
      <c r="R708" s="1">
        <f t="shared" si="47"/>
        <v>170333.27999999997</v>
      </c>
    </row>
    <row r="709" spans="1:18" hidden="1" x14ac:dyDescent="0.3">
      <c r="A709" t="s">
        <v>4887</v>
      </c>
      <c r="B709" t="s">
        <v>4888</v>
      </c>
      <c r="C709" t="s">
        <v>47</v>
      </c>
      <c r="D709">
        <v>1</v>
      </c>
      <c r="E709">
        <v>0</v>
      </c>
      <c r="G709" s="1">
        <v>0</v>
      </c>
      <c r="H709">
        <v>0</v>
      </c>
      <c r="I709">
        <v>0.5</v>
      </c>
      <c r="J709">
        <v>1</v>
      </c>
      <c r="K709">
        <v>1</v>
      </c>
      <c r="L709">
        <f t="shared" si="44"/>
        <v>2</v>
      </c>
      <c r="M709">
        <v>0</v>
      </c>
      <c r="N709">
        <v>0</v>
      </c>
      <c r="O709">
        <v>2</v>
      </c>
      <c r="P709" s="1">
        <f t="shared" si="45"/>
        <v>0</v>
      </c>
      <c r="Q709">
        <f t="shared" si="46"/>
        <v>2</v>
      </c>
      <c r="R709" s="1">
        <f t="shared" si="47"/>
        <v>0</v>
      </c>
    </row>
    <row r="710" spans="1:18" hidden="1" x14ac:dyDescent="0.3">
      <c r="A710" t="s">
        <v>4889</v>
      </c>
      <c r="B710" t="s">
        <v>4890</v>
      </c>
      <c r="C710" t="s">
        <v>47</v>
      </c>
      <c r="D710">
        <v>1</v>
      </c>
      <c r="E710">
        <v>4</v>
      </c>
      <c r="F710" t="s">
        <v>209</v>
      </c>
      <c r="G710" s="1">
        <v>48</v>
      </c>
      <c r="H710">
        <v>0</v>
      </c>
      <c r="I710">
        <v>0.5</v>
      </c>
      <c r="J710">
        <v>4</v>
      </c>
      <c r="K710">
        <v>2</v>
      </c>
      <c r="L710">
        <f t="shared" si="44"/>
        <v>4</v>
      </c>
      <c r="M710">
        <v>0</v>
      </c>
      <c r="N710">
        <v>0</v>
      </c>
      <c r="O710">
        <v>10</v>
      </c>
      <c r="P710" s="1">
        <f t="shared" si="45"/>
        <v>0</v>
      </c>
      <c r="Q710">
        <f t="shared" si="46"/>
        <v>10</v>
      </c>
      <c r="R710" s="1">
        <f t="shared" si="47"/>
        <v>480</v>
      </c>
    </row>
    <row r="711" spans="1:18" hidden="1" x14ac:dyDescent="0.3">
      <c r="A711" t="s">
        <v>4891</v>
      </c>
      <c r="B711" t="s">
        <v>4892</v>
      </c>
      <c r="C711" t="s">
        <v>47</v>
      </c>
      <c r="D711">
        <v>1</v>
      </c>
      <c r="E711">
        <v>12</v>
      </c>
      <c r="F711" t="s">
        <v>4329</v>
      </c>
      <c r="G711" s="1">
        <v>5110.49</v>
      </c>
      <c r="H711">
        <v>0</v>
      </c>
      <c r="I711">
        <v>0.5</v>
      </c>
      <c r="J711">
        <v>12</v>
      </c>
      <c r="K711">
        <v>6</v>
      </c>
      <c r="L711">
        <f t="shared" si="44"/>
        <v>12</v>
      </c>
      <c r="M711">
        <v>0</v>
      </c>
      <c r="N711">
        <v>0</v>
      </c>
      <c r="O711">
        <v>30</v>
      </c>
      <c r="P711" s="1">
        <f t="shared" si="45"/>
        <v>0</v>
      </c>
      <c r="Q711">
        <f t="shared" si="46"/>
        <v>30</v>
      </c>
      <c r="R711" s="1">
        <f t="shared" si="47"/>
        <v>153314.69999999998</v>
      </c>
    </row>
    <row r="712" spans="1:18" hidden="1" x14ac:dyDescent="0.3">
      <c r="A712" t="s">
        <v>4893</v>
      </c>
      <c r="B712" t="s">
        <v>4894</v>
      </c>
      <c r="C712" t="s">
        <v>47</v>
      </c>
      <c r="D712">
        <v>20</v>
      </c>
      <c r="E712">
        <v>11610.05</v>
      </c>
      <c r="F712" t="s">
        <v>131</v>
      </c>
      <c r="G712" s="1">
        <v>13.04</v>
      </c>
      <c r="H712">
        <v>0</v>
      </c>
      <c r="I712">
        <v>0.5</v>
      </c>
      <c r="J712">
        <v>581</v>
      </c>
      <c r="K712">
        <v>290</v>
      </c>
      <c r="L712">
        <f t="shared" si="44"/>
        <v>581</v>
      </c>
      <c r="M712">
        <v>0</v>
      </c>
      <c r="N712">
        <v>0</v>
      </c>
      <c r="O712">
        <v>1452</v>
      </c>
      <c r="P712" s="1">
        <f t="shared" si="45"/>
        <v>0</v>
      </c>
      <c r="Q712">
        <f t="shared" si="46"/>
        <v>1452</v>
      </c>
      <c r="R712" s="1">
        <f t="shared" si="47"/>
        <v>18934.079999999998</v>
      </c>
    </row>
    <row r="713" spans="1:18" hidden="1" x14ac:dyDescent="0.3">
      <c r="A713" t="s">
        <v>4895</v>
      </c>
      <c r="B713" t="s">
        <v>4896</v>
      </c>
      <c r="C713" t="s">
        <v>47</v>
      </c>
      <c r="D713">
        <v>1</v>
      </c>
      <c r="E713">
        <v>4</v>
      </c>
      <c r="F713" t="s">
        <v>4605</v>
      </c>
      <c r="G713" s="1">
        <v>73</v>
      </c>
      <c r="H713">
        <v>0</v>
      </c>
      <c r="I713">
        <v>0.8</v>
      </c>
      <c r="J713">
        <v>4</v>
      </c>
      <c r="K713">
        <v>3</v>
      </c>
      <c r="L713">
        <f t="shared" si="44"/>
        <v>7</v>
      </c>
      <c r="M713">
        <v>0</v>
      </c>
      <c r="N713">
        <v>0</v>
      </c>
      <c r="O713">
        <v>11</v>
      </c>
      <c r="P713" s="1">
        <f t="shared" si="45"/>
        <v>0</v>
      </c>
      <c r="Q713">
        <f t="shared" si="46"/>
        <v>11</v>
      </c>
      <c r="R713" s="1">
        <f t="shared" si="47"/>
        <v>803</v>
      </c>
    </row>
    <row r="714" spans="1:18" hidden="1" x14ac:dyDescent="0.3">
      <c r="A714" t="s">
        <v>4897</v>
      </c>
      <c r="B714" t="s">
        <v>4898</v>
      </c>
      <c r="C714" t="s">
        <v>47</v>
      </c>
      <c r="D714">
        <v>1</v>
      </c>
      <c r="E714">
        <v>2</v>
      </c>
      <c r="F714" t="s">
        <v>3854</v>
      </c>
      <c r="G714" s="1">
        <v>735</v>
      </c>
      <c r="H714">
        <v>0</v>
      </c>
      <c r="I714">
        <v>1.4</v>
      </c>
      <c r="J714">
        <v>2</v>
      </c>
      <c r="K714">
        <v>3</v>
      </c>
      <c r="L714">
        <f t="shared" si="44"/>
        <v>6</v>
      </c>
      <c r="M714">
        <v>0</v>
      </c>
      <c r="N714">
        <v>0</v>
      </c>
      <c r="O714">
        <v>7</v>
      </c>
      <c r="P714" s="1">
        <f t="shared" si="45"/>
        <v>0</v>
      </c>
      <c r="Q714">
        <f t="shared" si="46"/>
        <v>7</v>
      </c>
      <c r="R714" s="1">
        <f t="shared" si="47"/>
        <v>5145</v>
      </c>
    </row>
    <row r="715" spans="1:18" hidden="1" x14ac:dyDescent="0.3">
      <c r="A715" t="s">
        <v>4899</v>
      </c>
      <c r="B715" t="s">
        <v>4900</v>
      </c>
      <c r="C715" t="s">
        <v>47</v>
      </c>
      <c r="D715">
        <v>13</v>
      </c>
      <c r="E715">
        <v>30</v>
      </c>
      <c r="F715" t="s">
        <v>3500</v>
      </c>
      <c r="G715" s="1">
        <v>3280</v>
      </c>
      <c r="H715">
        <v>0</v>
      </c>
      <c r="I715">
        <v>0.5</v>
      </c>
      <c r="J715">
        <v>2.5</v>
      </c>
      <c r="K715">
        <v>1</v>
      </c>
      <c r="L715">
        <f t="shared" si="44"/>
        <v>3</v>
      </c>
      <c r="M715">
        <v>0</v>
      </c>
      <c r="N715">
        <v>0</v>
      </c>
      <c r="O715">
        <v>6</v>
      </c>
      <c r="P715" s="1">
        <f t="shared" si="45"/>
        <v>0</v>
      </c>
      <c r="Q715">
        <f t="shared" si="46"/>
        <v>6</v>
      </c>
      <c r="R715" s="1">
        <f t="shared" si="47"/>
        <v>19680</v>
      </c>
    </row>
    <row r="716" spans="1:18" hidden="1" x14ac:dyDescent="0.3">
      <c r="A716" t="s">
        <v>4901</v>
      </c>
      <c r="B716" t="s">
        <v>4902</v>
      </c>
      <c r="C716" t="s">
        <v>47</v>
      </c>
      <c r="D716">
        <v>1</v>
      </c>
      <c r="E716">
        <v>2</v>
      </c>
      <c r="F716" t="s">
        <v>3854</v>
      </c>
      <c r="G716" s="1">
        <v>1064.25</v>
      </c>
      <c r="H716">
        <v>0</v>
      </c>
      <c r="I716">
        <v>1.1000000000000001</v>
      </c>
      <c r="J716">
        <v>2</v>
      </c>
      <c r="K716">
        <v>2</v>
      </c>
      <c r="L716">
        <f t="shared" si="44"/>
        <v>5</v>
      </c>
      <c r="M716">
        <v>0</v>
      </c>
      <c r="N716">
        <v>0</v>
      </c>
      <c r="O716">
        <v>6</v>
      </c>
      <c r="P716" s="1">
        <f t="shared" si="45"/>
        <v>0</v>
      </c>
      <c r="Q716">
        <f t="shared" si="46"/>
        <v>6</v>
      </c>
      <c r="R716" s="1">
        <f t="shared" si="47"/>
        <v>6385.5</v>
      </c>
    </row>
    <row r="717" spans="1:18" hidden="1" x14ac:dyDescent="0.3">
      <c r="A717" t="s">
        <v>4903</v>
      </c>
      <c r="B717" t="s">
        <v>4904</v>
      </c>
      <c r="C717" t="s">
        <v>47</v>
      </c>
      <c r="D717">
        <v>1</v>
      </c>
      <c r="E717">
        <v>0</v>
      </c>
      <c r="G717" s="1">
        <v>0</v>
      </c>
      <c r="H717">
        <v>0</v>
      </c>
      <c r="I717">
        <v>0.5</v>
      </c>
      <c r="J717">
        <v>1</v>
      </c>
      <c r="K717">
        <v>1</v>
      </c>
      <c r="L717">
        <f t="shared" si="44"/>
        <v>2</v>
      </c>
      <c r="M717">
        <v>0</v>
      </c>
      <c r="N717">
        <v>0</v>
      </c>
      <c r="O717">
        <v>2</v>
      </c>
      <c r="P717" s="1">
        <f t="shared" si="45"/>
        <v>0</v>
      </c>
      <c r="Q717">
        <f t="shared" si="46"/>
        <v>2</v>
      </c>
      <c r="R717" s="1">
        <f t="shared" si="47"/>
        <v>0</v>
      </c>
    </row>
    <row r="718" spans="1:18" hidden="1" x14ac:dyDescent="0.3">
      <c r="A718" t="s">
        <v>4905</v>
      </c>
      <c r="B718" t="s">
        <v>4906</v>
      </c>
      <c r="C718" t="s">
        <v>47</v>
      </c>
      <c r="D718">
        <v>1</v>
      </c>
      <c r="E718">
        <v>2</v>
      </c>
      <c r="F718" t="s">
        <v>77</v>
      </c>
      <c r="G718" s="1">
        <v>450.75</v>
      </c>
      <c r="H718">
        <v>0</v>
      </c>
      <c r="I718">
        <v>0.5</v>
      </c>
      <c r="J718">
        <v>2</v>
      </c>
      <c r="K718">
        <v>1</v>
      </c>
      <c r="L718">
        <f t="shared" si="44"/>
        <v>2</v>
      </c>
      <c r="M718">
        <v>0</v>
      </c>
      <c r="N718">
        <v>0</v>
      </c>
      <c r="O718">
        <v>5</v>
      </c>
      <c r="P718" s="1">
        <f t="shared" si="45"/>
        <v>0</v>
      </c>
      <c r="Q718">
        <f t="shared" si="46"/>
        <v>5</v>
      </c>
      <c r="R718" s="1">
        <f t="shared" si="47"/>
        <v>2253.75</v>
      </c>
    </row>
    <row r="719" spans="1:18" hidden="1" x14ac:dyDescent="0.3">
      <c r="A719" t="s">
        <v>4907</v>
      </c>
      <c r="B719" t="s">
        <v>76</v>
      </c>
      <c r="C719" t="s">
        <v>47</v>
      </c>
      <c r="D719">
        <v>1</v>
      </c>
      <c r="E719">
        <v>3</v>
      </c>
      <c r="F719" t="s">
        <v>77</v>
      </c>
      <c r="G719" s="1">
        <v>536.79999999999995</v>
      </c>
      <c r="H719">
        <v>0</v>
      </c>
      <c r="I719">
        <v>0.5</v>
      </c>
      <c r="J719">
        <v>3</v>
      </c>
      <c r="K719">
        <v>2</v>
      </c>
      <c r="L719">
        <f t="shared" si="44"/>
        <v>4</v>
      </c>
      <c r="M719">
        <v>0</v>
      </c>
      <c r="N719">
        <v>0</v>
      </c>
      <c r="O719">
        <v>8</v>
      </c>
      <c r="P719" s="1">
        <f t="shared" si="45"/>
        <v>0</v>
      </c>
      <c r="Q719">
        <f t="shared" si="46"/>
        <v>8</v>
      </c>
      <c r="R719" s="1">
        <f t="shared" si="47"/>
        <v>4294.3999999999996</v>
      </c>
    </row>
    <row r="720" spans="1:18" hidden="1" x14ac:dyDescent="0.3">
      <c r="A720" t="s">
        <v>4908</v>
      </c>
      <c r="B720" t="s">
        <v>4909</v>
      </c>
      <c r="C720" t="s">
        <v>47</v>
      </c>
      <c r="D720">
        <v>1</v>
      </c>
      <c r="E720">
        <v>0</v>
      </c>
      <c r="G720" s="1">
        <v>0</v>
      </c>
      <c r="H720">
        <v>0</v>
      </c>
      <c r="I720">
        <v>0.5</v>
      </c>
      <c r="J720">
        <v>1</v>
      </c>
      <c r="K720">
        <v>1</v>
      </c>
      <c r="L720">
        <f t="shared" si="44"/>
        <v>2</v>
      </c>
      <c r="M720">
        <v>0</v>
      </c>
      <c r="N720">
        <v>0</v>
      </c>
      <c r="O720">
        <v>2</v>
      </c>
      <c r="P720" s="1">
        <f t="shared" si="45"/>
        <v>0</v>
      </c>
      <c r="Q720">
        <f t="shared" si="46"/>
        <v>2</v>
      </c>
      <c r="R720" s="1">
        <f t="shared" si="47"/>
        <v>0</v>
      </c>
    </row>
    <row r="721" spans="1:18" hidden="1" x14ac:dyDescent="0.3">
      <c r="A721" t="s">
        <v>4910</v>
      </c>
      <c r="B721" t="s">
        <v>4911</v>
      </c>
      <c r="C721" t="s">
        <v>47</v>
      </c>
      <c r="D721">
        <v>5</v>
      </c>
      <c r="E721">
        <v>5</v>
      </c>
      <c r="F721" t="s">
        <v>77</v>
      </c>
      <c r="G721" s="1">
        <v>708</v>
      </c>
      <c r="H721">
        <v>0</v>
      </c>
      <c r="I721">
        <v>0.5</v>
      </c>
      <c r="J721">
        <v>1</v>
      </c>
      <c r="K721">
        <v>1</v>
      </c>
      <c r="L721">
        <f t="shared" si="44"/>
        <v>2</v>
      </c>
      <c r="M721">
        <v>0</v>
      </c>
      <c r="N721">
        <v>0</v>
      </c>
      <c r="O721">
        <v>2</v>
      </c>
      <c r="P721" s="1">
        <f t="shared" si="45"/>
        <v>0</v>
      </c>
      <c r="Q721">
        <f t="shared" si="46"/>
        <v>2</v>
      </c>
      <c r="R721" s="1">
        <f t="shared" si="47"/>
        <v>1416</v>
      </c>
    </row>
    <row r="722" spans="1:18" hidden="1" x14ac:dyDescent="0.3">
      <c r="A722" t="s">
        <v>4912</v>
      </c>
      <c r="B722" t="s">
        <v>4913</v>
      </c>
      <c r="C722" t="s">
        <v>47</v>
      </c>
      <c r="D722">
        <v>1</v>
      </c>
      <c r="E722">
        <v>0</v>
      </c>
      <c r="G722" s="1">
        <v>1304</v>
      </c>
      <c r="H722">
        <v>0</v>
      </c>
      <c r="I722">
        <v>0.5</v>
      </c>
      <c r="J722">
        <v>1</v>
      </c>
      <c r="K722">
        <v>1</v>
      </c>
      <c r="L722">
        <f t="shared" si="44"/>
        <v>2</v>
      </c>
      <c r="M722">
        <v>0</v>
      </c>
      <c r="N722">
        <v>0</v>
      </c>
      <c r="O722">
        <v>2</v>
      </c>
      <c r="P722" s="1">
        <f t="shared" si="45"/>
        <v>0</v>
      </c>
      <c r="Q722">
        <f t="shared" si="46"/>
        <v>2</v>
      </c>
      <c r="R722" s="1">
        <f t="shared" si="47"/>
        <v>2608</v>
      </c>
    </row>
    <row r="723" spans="1:18" hidden="1" x14ac:dyDescent="0.3">
      <c r="A723" t="s">
        <v>4914</v>
      </c>
      <c r="B723" t="s">
        <v>4915</v>
      </c>
      <c r="C723" t="s">
        <v>47</v>
      </c>
      <c r="D723">
        <v>1</v>
      </c>
      <c r="E723">
        <v>0</v>
      </c>
      <c r="G723" s="1">
        <v>0</v>
      </c>
      <c r="H723">
        <v>0</v>
      </c>
      <c r="I723">
        <v>0.5</v>
      </c>
      <c r="J723">
        <v>1</v>
      </c>
      <c r="K723">
        <v>1</v>
      </c>
      <c r="L723">
        <f t="shared" si="44"/>
        <v>2</v>
      </c>
      <c r="M723">
        <v>0</v>
      </c>
      <c r="N723">
        <v>0</v>
      </c>
      <c r="O723">
        <v>2</v>
      </c>
      <c r="P723" s="1">
        <f t="shared" si="45"/>
        <v>0</v>
      </c>
      <c r="Q723">
        <f t="shared" si="46"/>
        <v>2</v>
      </c>
      <c r="R723" s="1">
        <f t="shared" si="47"/>
        <v>0</v>
      </c>
    </row>
    <row r="724" spans="1:18" hidden="1" x14ac:dyDescent="0.3">
      <c r="A724" t="s">
        <v>4916</v>
      </c>
      <c r="B724" t="s">
        <v>4917</v>
      </c>
      <c r="C724" t="s">
        <v>47</v>
      </c>
      <c r="D724">
        <v>1</v>
      </c>
      <c r="E724">
        <v>10</v>
      </c>
      <c r="F724" t="s">
        <v>280</v>
      </c>
      <c r="G724" s="1">
        <v>0</v>
      </c>
      <c r="H724">
        <v>0</v>
      </c>
      <c r="I724">
        <v>0.5</v>
      </c>
      <c r="J724">
        <v>10</v>
      </c>
      <c r="K724">
        <v>5</v>
      </c>
      <c r="L724">
        <f t="shared" si="44"/>
        <v>10</v>
      </c>
      <c r="M724">
        <v>0</v>
      </c>
      <c r="N724">
        <v>0</v>
      </c>
      <c r="O724">
        <v>25</v>
      </c>
      <c r="P724" s="1">
        <f t="shared" si="45"/>
        <v>0</v>
      </c>
      <c r="Q724">
        <f t="shared" si="46"/>
        <v>25</v>
      </c>
      <c r="R724" s="1">
        <f t="shared" si="47"/>
        <v>0</v>
      </c>
    </row>
    <row r="725" spans="1:18" hidden="1" x14ac:dyDescent="0.3">
      <c r="A725" t="s">
        <v>4918</v>
      </c>
      <c r="B725" t="s">
        <v>4919</v>
      </c>
      <c r="C725" t="s">
        <v>47</v>
      </c>
      <c r="D725">
        <v>10</v>
      </c>
      <c r="E725">
        <v>80</v>
      </c>
      <c r="F725" t="s">
        <v>4920</v>
      </c>
      <c r="G725" s="1">
        <v>29.87</v>
      </c>
      <c r="H725">
        <v>0</v>
      </c>
      <c r="I725">
        <v>0.5</v>
      </c>
      <c r="J725">
        <v>8</v>
      </c>
      <c r="K725">
        <v>4</v>
      </c>
      <c r="L725">
        <f t="shared" si="44"/>
        <v>8</v>
      </c>
      <c r="M725">
        <v>0</v>
      </c>
      <c r="N725">
        <v>0</v>
      </c>
      <c r="O725">
        <v>20</v>
      </c>
      <c r="P725" s="1">
        <f t="shared" si="45"/>
        <v>0</v>
      </c>
      <c r="Q725">
        <f t="shared" si="46"/>
        <v>20</v>
      </c>
      <c r="R725" s="1">
        <f t="shared" si="47"/>
        <v>597.4</v>
      </c>
    </row>
    <row r="726" spans="1:18" hidden="1" x14ac:dyDescent="0.3">
      <c r="A726" t="s">
        <v>4921</v>
      </c>
      <c r="B726" t="s">
        <v>4922</v>
      </c>
      <c r="C726" t="s">
        <v>47</v>
      </c>
      <c r="D726">
        <v>8</v>
      </c>
      <c r="E726">
        <v>0</v>
      </c>
      <c r="G726" s="1">
        <v>2672.7</v>
      </c>
      <c r="H726">
        <v>41</v>
      </c>
      <c r="I726">
        <v>0.5</v>
      </c>
      <c r="J726">
        <v>5.5</v>
      </c>
      <c r="K726">
        <v>3</v>
      </c>
      <c r="L726">
        <f t="shared" si="44"/>
        <v>6</v>
      </c>
      <c r="M726">
        <v>0</v>
      </c>
      <c r="N726">
        <v>0</v>
      </c>
      <c r="O726">
        <v>14</v>
      </c>
      <c r="P726" s="1">
        <f t="shared" si="45"/>
        <v>0</v>
      </c>
      <c r="Q726">
        <f t="shared" si="46"/>
        <v>14</v>
      </c>
      <c r="R726" s="1">
        <f t="shared" si="47"/>
        <v>37417.799999999996</v>
      </c>
    </row>
    <row r="727" spans="1:18" hidden="1" x14ac:dyDescent="0.3">
      <c r="A727" t="s">
        <v>4923</v>
      </c>
      <c r="B727" t="s">
        <v>4924</v>
      </c>
      <c r="C727" t="s">
        <v>47</v>
      </c>
      <c r="D727">
        <v>1</v>
      </c>
      <c r="E727">
        <v>0</v>
      </c>
      <c r="G727" s="1">
        <v>0</v>
      </c>
      <c r="H727">
        <v>0</v>
      </c>
      <c r="I727">
        <v>0.5</v>
      </c>
      <c r="J727">
        <v>1</v>
      </c>
      <c r="K727">
        <v>1</v>
      </c>
      <c r="L727">
        <f t="shared" si="44"/>
        <v>2</v>
      </c>
      <c r="M727">
        <v>0</v>
      </c>
      <c r="N727">
        <v>0</v>
      </c>
      <c r="O727">
        <v>2</v>
      </c>
      <c r="P727" s="1">
        <f t="shared" si="45"/>
        <v>0</v>
      </c>
      <c r="Q727">
        <f t="shared" si="46"/>
        <v>2</v>
      </c>
      <c r="R727" s="1">
        <f t="shared" si="47"/>
        <v>0</v>
      </c>
    </row>
    <row r="728" spans="1:18" hidden="1" x14ac:dyDescent="0.3">
      <c r="A728" t="s">
        <v>4925</v>
      </c>
      <c r="B728" t="s">
        <v>4926</v>
      </c>
      <c r="C728" t="s">
        <v>47</v>
      </c>
      <c r="D728">
        <v>1</v>
      </c>
      <c r="E728">
        <v>0</v>
      </c>
      <c r="G728" s="1">
        <v>0</v>
      </c>
      <c r="H728">
        <v>0</v>
      </c>
      <c r="I728">
        <v>0.5</v>
      </c>
      <c r="J728">
        <v>1</v>
      </c>
      <c r="K728">
        <v>1</v>
      </c>
      <c r="L728">
        <f t="shared" si="44"/>
        <v>2</v>
      </c>
      <c r="M728">
        <v>0</v>
      </c>
      <c r="N728">
        <v>0</v>
      </c>
      <c r="O728">
        <v>2</v>
      </c>
      <c r="P728" s="1">
        <f t="shared" si="45"/>
        <v>0</v>
      </c>
      <c r="Q728">
        <f t="shared" si="46"/>
        <v>2</v>
      </c>
      <c r="R728" s="1">
        <f t="shared" si="47"/>
        <v>0</v>
      </c>
    </row>
    <row r="729" spans="1:18" hidden="1" x14ac:dyDescent="0.3">
      <c r="A729" t="s">
        <v>4927</v>
      </c>
      <c r="B729" t="s">
        <v>4573</v>
      </c>
      <c r="C729" t="s">
        <v>47</v>
      </c>
      <c r="D729">
        <v>1</v>
      </c>
      <c r="E729">
        <v>0</v>
      </c>
      <c r="G729" s="1">
        <v>0</v>
      </c>
      <c r="H729">
        <v>0</v>
      </c>
      <c r="I729">
        <v>0.5</v>
      </c>
      <c r="J729">
        <v>1</v>
      </c>
      <c r="K729">
        <v>1</v>
      </c>
      <c r="L729">
        <f t="shared" si="44"/>
        <v>2</v>
      </c>
      <c r="M729">
        <v>0</v>
      </c>
      <c r="N729">
        <v>0</v>
      </c>
      <c r="O729">
        <v>2</v>
      </c>
      <c r="P729" s="1">
        <f t="shared" si="45"/>
        <v>0</v>
      </c>
      <c r="Q729">
        <f t="shared" si="46"/>
        <v>2</v>
      </c>
      <c r="R729" s="1">
        <f t="shared" si="47"/>
        <v>0</v>
      </c>
    </row>
    <row r="730" spans="1:18" hidden="1" x14ac:dyDescent="0.3">
      <c r="A730" t="s">
        <v>4928</v>
      </c>
      <c r="B730" t="s">
        <v>4929</v>
      </c>
      <c r="C730" t="s">
        <v>47</v>
      </c>
      <c r="D730">
        <v>1</v>
      </c>
      <c r="E730">
        <v>0</v>
      </c>
      <c r="G730" s="1">
        <v>0</v>
      </c>
      <c r="H730">
        <v>0</v>
      </c>
      <c r="I730">
        <v>0.5</v>
      </c>
      <c r="J730">
        <v>1</v>
      </c>
      <c r="K730">
        <v>1</v>
      </c>
      <c r="L730">
        <f t="shared" si="44"/>
        <v>2</v>
      </c>
      <c r="M730">
        <v>0</v>
      </c>
      <c r="N730">
        <v>0</v>
      </c>
      <c r="O730">
        <v>2</v>
      </c>
      <c r="P730" s="1">
        <f t="shared" si="45"/>
        <v>0</v>
      </c>
      <c r="Q730">
        <f t="shared" si="46"/>
        <v>2</v>
      </c>
      <c r="R730" s="1">
        <f t="shared" si="47"/>
        <v>0</v>
      </c>
    </row>
    <row r="731" spans="1:18" hidden="1" x14ac:dyDescent="0.3">
      <c r="A731" t="s">
        <v>4930</v>
      </c>
      <c r="B731" t="s">
        <v>4931</v>
      </c>
      <c r="C731" t="s">
        <v>47</v>
      </c>
      <c r="D731">
        <v>1</v>
      </c>
      <c r="E731">
        <v>0</v>
      </c>
      <c r="G731" s="1">
        <v>0</v>
      </c>
      <c r="H731">
        <v>0</v>
      </c>
      <c r="I731">
        <v>0.5</v>
      </c>
      <c r="J731">
        <v>1</v>
      </c>
      <c r="K731">
        <v>1</v>
      </c>
      <c r="L731">
        <f t="shared" si="44"/>
        <v>2</v>
      </c>
      <c r="M731">
        <v>0</v>
      </c>
      <c r="N731">
        <v>0</v>
      </c>
      <c r="O731">
        <v>2</v>
      </c>
      <c r="P731" s="1">
        <f t="shared" si="45"/>
        <v>0</v>
      </c>
      <c r="Q731">
        <f t="shared" si="46"/>
        <v>2</v>
      </c>
      <c r="R731" s="1">
        <f t="shared" si="47"/>
        <v>0</v>
      </c>
    </row>
    <row r="732" spans="1:18" hidden="1" x14ac:dyDescent="0.3">
      <c r="A732" t="s">
        <v>4932</v>
      </c>
      <c r="B732" t="s">
        <v>4933</v>
      </c>
      <c r="C732" t="s">
        <v>47</v>
      </c>
      <c r="D732">
        <v>1</v>
      </c>
      <c r="E732">
        <v>0</v>
      </c>
      <c r="G732" s="1">
        <v>65293</v>
      </c>
      <c r="H732">
        <v>0</v>
      </c>
      <c r="I732">
        <v>0.5</v>
      </c>
      <c r="J732">
        <v>1</v>
      </c>
      <c r="K732">
        <v>1</v>
      </c>
      <c r="L732">
        <f t="shared" si="44"/>
        <v>2</v>
      </c>
      <c r="M732">
        <v>0</v>
      </c>
      <c r="N732">
        <v>0</v>
      </c>
      <c r="O732">
        <v>2</v>
      </c>
      <c r="P732" s="1">
        <f t="shared" si="45"/>
        <v>0</v>
      </c>
      <c r="Q732">
        <f t="shared" si="46"/>
        <v>2</v>
      </c>
      <c r="R732" s="1">
        <f t="shared" si="47"/>
        <v>130586</v>
      </c>
    </row>
    <row r="733" spans="1:18" hidden="1" x14ac:dyDescent="0.3">
      <c r="A733" t="s">
        <v>4934</v>
      </c>
      <c r="B733" t="s">
        <v>4935</v>
      </c>
      <c r="C733" t="s">
        <v>47</v>
      </c>
      <c r="D733">
        <v>1</v>
      </c>
      <c r="E733">
        <v>0</v>
      </c>
      <c r="G733" s="1">
        <v>0</v>
      </c>
      <c r="H733">
        <v>0</v>
      </c>
      <c r="I733">
        <v>0.5</v>
      </c>
      <c r="J733">
        <v>1</v>
      </c>
      <c r="K733">
        <v>1</v>
      </c>
      <c r="L733">
        <f t="shared" si="44"/>
        <v>2</v>
      </c>
      <c r="M733">
        <v>0</v>
      </c>
      <c r="N733">
        <v>0</v>
      </c>
      <c r="O733">
        <v>2</v>
      </c>
      <c r="P733" s="1">
        <f t="shared" si="45"/>
        <v>0</v>
      </c>
      <c r="Q733">
        <f t="shared" si="46"/>
        <v>2</v>
      </c>
      <c r="R733" s="1">
        <f t="shared" si="47"/>
        <v>0</v>
      </c>
    </row>
    <row r="734" spans="1:18" hidden="1" x14ac:dyDescent="0.3">
      <c r="A734" t="s">
        <v>4936</v>
      </c>
      <c r="B734" t="s">
        <v>4937</v>
      </c>
      <c r="C734" t="s">
        <v>47</v>
      </c>
      <c r="D734">
        <v>1</v>
      </c>
      <c r="E734">
        <v>0</v>
      </c>
      <c r="G734" s="1">
        <v>0</v>
      </c>
      <c r="H734">
        <v>1</v>
      </c>
      <c r="I734">
        <v>0.5</v>
      </c>
      <c r="J734">
        <v>1</v>
      </c>
      <c r="K734">
        <v>1</v>
      </c>
      <c r="L734">
        <f t="shared" si="44"/>
        <v>2</v>
      </c>
      <c r="M734">
        <v>0</v>
      </c>
      <c r="N734">
        <v>0</v>
      </c>
      <c r="O734">
        <v>2</v>
      </c>
      <c r="P734" s="1">
        <f t="shared" si="45"/>
        <v>0</v>
      </c>
      <c r="Q734">
        <f t="shared" si="46"/>
        <v>2</v>
      </c>
      <c r="R734" s="1">
        <f t="shared" si="47"/>
        <v>0</v>
      </c>
    </row>
    <row r="735" spans="1:18" hidden="1" x14ac:dyDescent="0.3">
      <c r="A735" t="s">
        <v>4938</v>
      </c>
      <c r="B735" t="s">
        <v>4939</v>
      </c>
      <c r="C735" t="s">
        <v>47</v>
      </c>
      <c r="D735">
        <v>1</v>
      </c>
      <c r="E735">
        <v>2</v>
      </c>
      <c r="F735" t="s">
        <v>181</v>
      </c>
      <c r="G735" s="1">
        <v>7022</v>
      </c>
      <c r="H735">
        <v>0</v>
      </c>
      <c r="I735">
        <v>0.6</v>
      </c>
      <c r="J735">
        <v>2</v>
      </c>
      <c r="K735">
        <v>1</v>
      </c>
      <c r="L735">
        <f t="shared" si="44"/>
        <v>3</v>
      </c>
      <c r="M735">
        <v>0</v>
      </c>
      <c r="N735">
        <v>0</v>
      </c>
      <c r="O735">
        <v>5</v>
      </c>
      <c r="P735" s="1">
        <f t="shared" si="45"/>
        <v>0</v>
      </c>
      <c r="Q735">
        <f t="shared" si="46"/>
        <v>5</v>
      </c>
      <c r="R735" s="1">
        <f t="shared" si="47"/>
        <v>35110</v>
      </c>
    </row>
    <row r="736" spans="1:18" hidden="1" x14ac:dyDescent="0.3">
      <c r="A736" t="s">
        <v>4940</v>
      </c>
      <c r="B736" t="s">
        <v>4941</v>
      </c>
      <c r="C736" t="s">
        <v>47</v>
      </c>
      <c r="D736">
        <v>15</v>
      </c>
      <c r="E736">
        <v>3</v>
      </c>
      <c r="F736" t="s">
        <v>181</v>
      </c>
      <c r="G736" s="1">
        <v>7532.2</v>
      </c>
      <c r="H736">
        <v>0</v>
      </c>
      <c r="I736">
        <v>0.5</v>
      </c>
      <c r="J736">
        <v>1</v>
      </c>
      <c r="K736">
        <v>1</v>
      </c>
      <c r="L736">
        <f t="shared" si="44"/>
        <v>2</v>
      </c>
      <c r="M736">
        <v>0</v>
      </c>
      <c r="N736">
        <v>0</v>
      </c>
      <c r="O736">
        <v>2</v>
      </c>
      <c r="P736" s="1">
        <f t="shared" si="45"/>
        <v>0</v>
      </c>
      <c r="Q736">
        <f t="shared" si="46"/>
        <v>2</v>
      </c>
      <c r="R736" s="1">
        <f t="shared" si="47"/>
        <v>15064.4</v>
      </c>
    </row>
    <row r="737" spans="1:18" hidden="1" x14ac:dyDescent="0.3">
      <c r="A737" t="s">
        <v>4942</v>
      </c>
      <c r="B737" t="s">
        <v>4943</v>
      </c>
      <c r="C737" t="s">
        <v>47</v>
      </c>
      <c r="D737">
        <v>15</v>
      </c>
      <c r="E737">
        <v>20</v>
      </c>
      <c r="F737" t="s">
        <v>2757</v>
      </c>
      <c r="G737" s="1">
        <v>3171.49</v>
      </c>
      <c r="H737">
        <v>23</v>
      </c>
      <c r="I737">
        <v>2.4</v>
      </c>
      <c r="J737">
        <v>2</v>
      </c>
      <c r="K737">
        <v>5</v>
      </c>
      <c r="L737">
        <f t="shared" si="44"/>
        <v>10</v>
      </c>
      <c r="M737">
        <v>0</v>
      </c>
      <c r="N737">
        <v>0</v>
      </c>
      <c r="O737">
        <v>9</v>
      </c>
      <c r="P737" s="1">
        <f t="shared" si="45"/>
        <v>0</v>
      </c>
      <c r="Q737">
        <f t="shared" si="46"/>
        <v>9</v>
      </c>
      <c r="R737" s="1">
        <f t="shared" si="47"/>
        <v>28543.409999999996</v>
      </c>
    </row>
    <row r="738" spans="1:18" hidden="1" x14ac:dyDescent="0.3">
      <c r="A738" t="s">
        <v>4944</v>
      </c>
      <c r="B738" t="s">
        <v>4945</v>
      </c>
      <c r="C738" t="s">
        <v>47</v>
      </c>
      <c r="D738">
        <v>1</v>
      </c>
      <c r="E738">
        <v>16</v>
      </c>
      <c r="F738" t="s">
        <v>4605</v>
      </c>
      <c r="G738" s="1">
        <v>198</v>
      </c>
      <c r="H738">
        <v>0</v>
      </c>
      <c r="I738">
        <v>0.8</v>
      </c>
      <c r="J738">
        <v>16</v>
      </c>
      <c r="K738">
        <v>13</v>
      </c>
      <c r="L738">
        <f t="shared" si="44"/>
        <v>26</v>
      </c>
      <c r="M738">
        <v>0</v>
      </c>
      <c r="N738">
        <v>0</v>
      </c>
      <c r="O738">
        <v>45</v>
      </c>
      <c r="P738" s="1">
        <f t="shared" si="45"/>
        <v>0</v>
      </c>
      <c r="Q738">
        <f t="shared" si="46"/>
        <v>45</v>
      </c>
      <c r="R738" s="1">
        <f t="shared" si="47"/>
        <v>8910</v>
      </c>
    </row>
    <row r="739" spans="1:18" hidden="1" x14ac:dyDescent="0.3">
      <c r="A739" t="s">
        <v>4946</v>
      </c>
      <c r="B739" t="s">
        <v>4947</v>
      </c>
      <c r="C739" t="s">
        <v>47</v>
      </c>
      <c r="D739">
        <v>1</v>
      </c>
      <c r="E739">
        <v>1</v>
      </c>
      <c r="F739" t="s">
        <v>214</v>
      </c>
      <c r="G739" s="1">
        <v>347.83</v>
      </c>
      <c r="H739">
        <v>0</v>
      </c>
      <c r="I739">
        <v>0.5</v>
      </c>
      <c r="J739">
        <v>1</v>
      </c>
      <c r="K739">
        <v>1</v>
      </c>
      <c r="L739">
        <f t="shared" si="44"/>
        <v>2</v>
      </c>
      <c r="M739">
        <v>0</v>
      </c>
      <c r="N739">
        <v>0</v>
      </c>
      <c r="O739">
        <v>2</v>
      </c>
      <c r="P739" s="1">
        <f t="shared" si="45"/>
        <v>0</v>
      </c>
      <c r="Q739">
        <f t="shared" si="46"/>
        <v>2</v>
      </c>
      <c r="R739" s="1">
        <f t="shared" si="47"/>
        <v>695.66</v>
      </c>
    </row>
    <row r="740" spans="1:18" hidden="1" x14ac:dyDescent="0.3">
      <c r="A740" t="s">
        <v>4948</v>
      </c>
      <c r="B740" t="s">
        <v>4949</v>
      </c>
      <c r="C740" t="s">
        <v>47</v>
      </c>
      <c r="D740">
        <v>21</v>
      </c>
      <c r="E740">
        <v>0</v>
      </c>
      <c r="G740" s="1">
        <v>0</v>
      </c>
      <c r="H740">
        <v>3</v>
      </c>
      <c r="I740">
        <v>0.5</v>
      </c>
      <c r="J740">
        <v>1</v>
      </c>
      <c r="K740">
        <v>1</v>
      </c>
      <c r="L740">
        <f t="shared" si="44"/>
        <v>2</v>
      </c>
      <c r="M740">
        <v>0</v>
      </c>
      <c r="N740">
        <v>0</v>
      </c>
      <c r="O740">
        <v>2</v>
      </c>
      <c r="P740" s="1">
        <f t="shared" si="45"/>
        <v>0</v>
      </c>
      <c r="Q740">
        <f t="shared" si="46"/>
        <v>2</v>
      </c>
      <c r="R740" s="1">
        <f t="shared" si="47"/>
        <v>0</v>
      </c>
    </row>
    <row r="741" spans="1:18" hidden="1" x14ac:dyDescent="0.3">
      <c r="A741" t="s">
        <v>4950</v>
      </c>
      <c r="B741" t="s">
        <v>4951</v>
      </c>
      <c r="C741" t="s">
        <v>47</v>
      </c>
      <c r="D741">
        <v>46</v>
      </c>
      <c r="E741">
        <v>4</v>
      </c>
      <c r="F741" t="s">
        <v>3082</v>
      </c>
      <c r="G741" s="1">
        <v>6153.01</v>
      </c>
      <c r="H741">
        <v>3</v>
      </c>
      <c r="I741">
        <v>0.5</v>
      </c>
      <c r="J741">
        <v>1</v>
      </c>
      <c r="K741">
        <v>1</v>
      </c>
      <c r="L741">
        <f t="shared" si="44"/>
        <v>2</v>
      </c>
      <c r="M741">
        <v>0</v>
      </c>
      <c r="N741">
        <v>0</v>
      </c>
      <c r="O741">
        <v>2</v>
      </c>
      <c r="P741" s="1">
        <f t="shared" si="45"/>
        <v>0</v>
      </c>
      <c r="Q741">
        <f t="shared" si="46"/>
        <v>2</v>
      </c>
      <c r="R741" s="1">
        <f t="shared" si="47"/>
        <v>12306.02</v>
      </c>
    </row>
    <row r="742" spans="1:18" hidden="1" x14ac:dyDescent="0.3">
      <c r="A742" t="s">
        <v>4952</v>
      </c>
      <c r="B742" t="s">
        <v>4953</v>
      </c>
      <c r="C742" t="s">
        <v>47</v>
      </c>
      <c r="D742">
        <v>1</v>
      </c>
      <c r="E742">
        <v>0</v>
      </c>
      <c r="G742" s="1">
        <v>0</v>
      </c>
      <c r="H742">
        <v>0</v>
      </c>
      <c r="I742">
        <v>0.5</v>
      </c>
      <c r="J742">
        <v>1</v>
      </c>
      <c r="K742">
        <v>1</v>
      </c>
      <c r="L742">
        <f t="shared" si="44"/>
        <v>2</v>
      </c>
      <c r="M742">
        <v>0</v>
      </c>
      <c r="N742">
        <v>0</v>
      </c>
      <c r="O742">
        <v>2</v>
      </c>
      <c r="P742" s="1">
        <f t="shared" si="45"/>
        <v>0</v>
      </c>
      <c r="Q742">
        <f t="shared" si="46"/>
        <v>2</v>
      </c>
      <c r="R742" s="1">
        <f t="shared" si="47"/>
        <v>0</v>
      </c>
    </row>
    <row r="743" spans="1:18" hidden="1" x14ac:dyDescent="0.3">
      <c r="A743" t="s">
        <v>4954</v>
      </c>
      <c r="B743" t="s">
        <v>4955</v>
      </c>
      <c r="C743" t="s">
        <v>47</v>
      </c>
      <c r="D743">
        <v>1</v>
      </c>
      <c r="E743">
        <v>0</v>
      </c>
      <c r="G743" s="1">
        <v>0</v>
      </c>
      <c r="H743">
        <v>0</v>
      </c>
      <c r="I743">
        <v>0.5</v>
      </c>
      <c r="J743">
        <v>1</v>
      </c>
      <c r="K743">
        <v>1</v>
      </c>
      <c r="L743">
        <f t="shared" si="44"/>
        <v>2</v>
      </c>
      <c r="M743">
        <v>0</v>
      </c>
      <c r="N743">
        <v>0</v>
      </c>
      <c r="O743">
        <v>2</v>
      </c>
      <c r="P743" s="1">
        <f t="shared" si="45"/>
        <v>0</v>
      </c>
      <c r="Q743">
        <f t="shared" si="46"/>
        <v>2</v>
      </c>
      <c r="R743" s="1">
        <f t="shared" si="47"/>
        <v>0</v>
      </c>
    </row>
    <row r="744" spans="1:18" hidden="1" x14ac:dyDescent="0.3">
      <c r="A744" t="s">
        <v>4956</v>
      </c>
      <c r="B744" t="s">
        <v>3554</v>
      </c>
      <c r="C744" t="s">
        <v>47</v>
      </c>
      <c r="D744">
        <v>1</v>
      </c>
      <c r="E744">
        <v>0</v>
      </c>
      <c r="G744" s="1">
        <v>0</v>
      </c>
      <c r="H744">
        <v>0</v>
      </c>
      <c r="I744">
        <v>0.5</v>
      </c>
      <c r="J744">
        <v>1</v>
      </c>
      <c r="K744">
        <v>1</v>
      </c>
      <c r="L744">
        <f t="shared" si="44"/>
        <v>2</v>
      </c>
      <c r="M744">
        <v>0</v>
      </c>
      <c r="N744">
        <v>0</v>
      </c>
      <c r="O744">
        <v>2</v>
      </c>
      <c r="P744" s="1">
        <f t="shared" si="45"/>
        <v>0</v>
      </c>
      <c r="Q744">
        <f t="shared" si="46"/>
        <v>2</v>
      </c>
      <c r="R744" s="1">
        <f t="shared" si="47"/>
        <v>0</v>
      </c>
    </row>
    <row r="745" spans="1:18" hidden="1" x14ac:dyDescent="0.3">
      <c r="A745" t="s">
        <v>4957</v>
      </c>
      <c r="B745" t="s">
        <v>4958</v>
      </c>
      <c r="C745" t="s">
        <v>47</v>
      </c>
      <c r="D745">
        <v>1</v>
      </c>
      <c r="E745">
        <v>0</v>
      </c>
      <c r="G745" s="1">
        <v>0</v>
      </c>
      <c r="H745">
        <v>0</v>
      </c>
      <c r="I745">
        <v>0.5</v>
      </c>
      <c r="J745">
        <v>1</v>
      </c>
      <c r="K745">
        <v>1</v>
      </c>
      <c r="L745">
        <f t="shared" si="44"/>
        <v>2</v>
      </c>
      <c r="M745">
        <v>0</v>
      </c>
      <c r="N745">
        <v>0</v>
      </c>
      <c r="O745">
        <v>2</v>
      </c>
      <c r="P745" s="1">
        <f t="shared" si="45"/>
        <v>0</v>
      </c>
      <c r="Q745">
        <f t="shared" si="46"/>
        <v>2</v>
      </c>
      <c r="R745" s="1">
        <f t="shared" si="47"/>
        <v>0</v>
      </c>
    </row>
    <row r="746" spans="1:18" hidden="1" x14ac:dyDescent="0.3">
      <c r="A746" t="s">
        <v>4959</v>
      </c>
      <c r="B746" t="s">
        <v>4953</v>
      </c>
      <c r="C746" t="s">
        <v>47</v>
      </c>
      <c r="D746">
        <v>1</v>
      </c>
      <c r="E746">
        <v>0</v>
      </c>
      <c r="G746" s="1">
        <v>0</v>
      </c>
      <c r="H746">
        <v>0</v>
      </c>
      <c r="I746">
        <v>0.5</v>
      </c>
      <c r="J746">
        <v>1</v>
      </c>
      <c r="K746">
        <v>1</v>
      </c>
      <c r="L746">
        <f t="shared" si="44"/>
        <v>2</v>
      </c>
      <c r="M746">
        <v>0</v>
      </c>
      <c r="N746">
        <v>0</v>
      </c>
      <c r="O746">
        <v>2</v>
      </c>
      <c r="P746" s="1">
        <f t="shared" si="45"/>
        <v>0</v>
      </c>
      <c r="Q746">
        <f t="shared" si="46"/>
        <v>2</v>
      </c>
      <c r="R746" s="1">
        <f t="shared" si="47"/>
        <v>0</v>
      </c>
    </row>
    <row r="747" spans="1:18" hidden="1" x14ac:dyDescent="0.3">
      <c r="A747" t="s">
        <v>4960</v>
      </c>
      <c r="B747" t="s">
        <v>4961</v>
      </c>
      <c r="C747" t="s">
        <v>47</v>
      </c>
      <c r="D747">
        <v>1</v>
      </c>
      <c r="E747">
        <v>0</v>
      </c>
      <c r="G747" s="1">
        <v>0</v>
      </c>
      <c r="H747">
        <v>0</v>
      </c>
      <c r="I747">
        <v>0.5</v>
      </c>
      <c r="J747">
        <v>1</v>
      </c>
      <c r="K747">
        <v>1</v>
      </c>
      <c r="L747">
        <f t="shared" si="44"/>
        <v>2</v>
      </c>
      <c r="M747">
        <v>0</v>
      </c>
      <c r="N747">
        <v>0</v>
      </c>
      <c r="O747">
        <v>2</v>
      </c>
      <c r="P747" s="1">
        <f t="shared" si="45"/>
        <v>0</v>
      </c>
      <c r="Q747">
        <f t="shared" si="46"/>
        <v>2</v>
      </c>
      <c r="R747" s="1">
        <f t="shared" si="47"/>
        <v>0</v>
      </c>
    </row>
    <row r="748" spans="1:18" hidden="1" x14ac:dyDescent="0.3">
      <c r="A748" t="s">
        <v>4962</v>
      </c>
      <c r="B748" t="s">
        <v>4963</v>
      </c>
      <c r="C748" t="s">
        <v>47</v>
      </c>
      <c r="D748">
        <v>1</v>
      </c>
      <c r="E748">
        <v>3</v>
      </c>
      <c r="F748" t="s">
        <v>1073</v>
      </c>
      <c r="G748" s="1">
        <v>28000</v>
      </c>
      <c r="H748">
        <v>3</v>
      </c>
      <c r="I748">
        <v>1.9</v>
      </c>
      <c r="J748">
        <v>3</v>
      </c>
      <c r="K748">
        <v>6</v>
      </c>
      <c r="L748">
        <f t="shared" si="44"/>
        <v>12</v>
      </c>
      <c r="M748">
        <v>0</v>
      </c>
      <c r="N748">
        <v>0</v>
      </c>
      <c r="O748">
        <v>12</v>
      </c>
      <c r="P748" s="1">
        <f t="shared" si="45"/>
        <v>0</v>
      </c>
      <c r="Q748">
        <f t="shared" si="46"/>
        <v>12</v>
      </c>
      <c r="R748" s="1">
        <f t="shared" si="47"/>
        <v>336000</v>
      </c>
    </row>
    <row r="749" spans="1:18" hidden="1" x14ac:dyDescent="0.3">
      <c r="A749" t="s">
        <v>4964</v>
      </c>
      <c r="B749" t="s">
        <v>4965</v>
      </c>
      <c r="C749" t="s">
        <v>47</v>
      </c>
      <c r="D749">
        <v>1</v>
      </c>
      <c r="E749">
        <v>0</v>
      </c>
      <c r="G749" s="1">
        <v>0</v>
      </c>
      <c r="H749">
        <v>0</v>
      </c>
      <c r="I749">
        <v>0.5</v>
      </c>
      <c r="J749">
        <v>1</v>
      </c>
      <c r="K749">
        <v>1</v>
      </c>
      <c r="L749">
        <f t="shared" si="44"/>
        <v>2</v>
      </c>
      <c r="M749">
        <v>0</v>
      </c>
      <c r="N749">
        <v>0</v>
      </c>
      <c r="O749">
        <v>2</v>
      </c>
      <c r="P749" s="1">
        <f t="shared" si="45"/>
        <v>0</v>
      </c>
      <c r="Q749">
        <f t="shared" si="46"/>
        <v>2</v>
      </c>
      <c r="R749" s="1">
        <f t="shared" si="47"/>
        <v>0</v>
      </c>
    </row>
    <row r="750" spans="1:18" hidden="1" x14ac:dyDescent="0.3">
      <c r="A750" t="s">
        <v>4966</v>
      </c>
      <c r="B750" t="s">
        <v>4967</v>
      </c>
      <c r="C750" t="s">
        <v>47</v>
      </c>
      <c r="D750">
        <v>1</v>
      </c>
      <c r="E750">
        <v>0</v>
      </c>
      <c r="G750" s="1">
        <v>0</v>
      </c>
      <c r="H750">
        <v>0</v>
      </c>
      <c r="I750">
        <v>0.5</v>
      </c>
      <c r="J750">
        <v>1</v>
      </c>
      <c r="K750">
        <v>1</v>
      </c>
      <c r="L750">
        <f t="shared" si="44"/>
        <v>2</v>
      </c>
      <c r="M750">
        <v>0</v>
      </c>
      <c r="N750">
        <v>0</v>
      </c>
      <c r="O750">
        <v>2</v>
      </c>
      <c r="P750" s="1">
        <f t="shared" si="45"/>
        <v>0</v>
      </c>
      <c r="Q750">
        <f t="shared" si="46"/>
        <v>2</v>
      </c>
      <c r="R750" s="1">
        <f t="shared" si="47"/>
        <v>0</v>
      </c>
    </row>
    <row r="751" spans="1:18" hidden="1" x14ac:dyDescent="0.3">
      <c r="A751" t="s">
        <v>4968</v>
      </c>
      <c r="B751" t="s">
        <v>4969</v>
      </c>
      <c r="C751" t="s">
        <v>47</v>
      </c>
      <c r="D751">
        <v>22</v>
      </c>
      <c r="E751">
        <v>6</v>
      </c>
      <c r="F751" t="s">
        <v>3500</v>
      </c>
      <c r="G751" s="1">
        <v>6515.6</v>
      </c>
      <c r="H751">
        <v>30</v>
      </c>
      <c r="I751">
        <v>0.5</v>
      </c>
      <c r="J751">
        <v>1.5</v>
      </c>
      <c r="K751">
        <v>1</v>
      </c>
      <c r="L751">
        <f t="shared" si="44"/>
        <v>2</v>
      </c>
      <c r="M751">
        <v>0</v>
      </c>
      <c r="N751">
        <v>0</v>
      </c>
      <c r="O751">
        <v>4</v>
      </c>
      <c r="P751" s="1">
        <f t="shared" si="45"/>
        <v>0</v>
      </c>
      <c r="Q751">
        <f t="shared" si="46"/>
        <v>4</v>
      </c>
      <c r="R751" s="1">
        <f t="shared" si="47"/>
        <v>26062.400000000001</v>
      </c>
    </row>
    <row r="752" spans="1:18" hidden="1" x14ac:dyDescent="0.3">
      <c r="A752" t="s">
        <v>4970</v>
      </c>
      <c r="B752" t="s">
        <v>4971</v>
      </c>
      <c r="C752" t="s">
        <v>47</v>
      </c>
      <c r="D752">
        <v>8</v>
      </c>
      <c r="E752">
        <v>2</v>
      </c>
      <c r="F752" t="s">
        <v>3500</v>
      </c>
      <c r="G752" s="1">
        <v>3799.6</v>
      </c>
      <c r="H752">
        <v>3</v>
      </c>
      <c r="I752">
        <v>0.5</v>
      </c>
      <c r="J752">
        <v>1</v>
      </c>
      <c r="K752">
        <v>1</v>
      </c>
      <c r="L752">
        <f t="shared" si="44"/>
        <v>2</v>
      </c>
      <c r="M752">
        <v>0</v>
      </c>
      <c r="N752">
        <v>0</v>
      </c>
      <c r="O752">
        <v>2</v>
      </c>
      <c r="P752" s="1">
        <f t="shared" si="45"/>
        <v>0</v>
      </c>
      <c r="Q752">
        <f t="shared" si="46"/>
        <v>2</v>
      </c>
      <c r="R752" s="1">
        <f t="shared" si="47"/>
        <v>7599.2</v>
      </c>
    </row>
    <row r="753" spans="1:18" hidden="1" x14ac:dyDescent="0.3">
      <c r="A753" t="s">
        <v>4972</v>
      </c>
      <c r="B753" t="s">
        <v>4973</v>
      </c>
      <c r="C753" t="s">
        <v>47</v>
      </c>
      <c r="D753">
        <v>1</v>
      </c>
      <c r="E753">
        <v>0</v>
      </c>
      <c r="G753" s="1">
        <v>0</v>
      </c>
      <c r="H753">
        <v>0</v>
      </c>
      <c r="I753">
        <v>0.5</v>
      </c>
      <c r="J753">
        <v>1</v>
      </c>
      <c r="K753">
        <v>1</v>
      </c>
      <c r="L753">
        <f t="shared" si="44"/>
        <v>2</v>
      </c>
      <c r="M753">
        <v>0</v>
      </c>
      <c r="N753">
        <v>0</v>
      </c>
      <c r="O753">
        <v>2</v>
      </c>
      <c r="P753" s="1">
        <f t="shared" si="45"/>
        <v>0</v>
      </c>
      <c r="Q753">
        <f t="shared" si="46"/>
        <v>2</v>
      </c>
      <c r="R753" s="1">
        <f t="shared" si="47"/>
        <v>0</v>
      </c>
    </row>
    <row r="754" spans="1:18" hidden="1" x14ac:dyDescent="0.3">
      <c r="A754" t="s">
        <v>4974</v>
      </c>
      <c r="B754" t="s">
        <v>4975</v>
      </c>
      <c r="C754" t="s">
        <v>47</v>
      </c>
      <c r="D754">
        <v>6</v>
      </c>
      <c r="E754">
        <v>1</v>
      </c>
      <c r="F754" t="s">
        <v>3854</v>
      </c>
      <c r="G754" s="1">
        <v>5395.5</v>
      </c>
      <c r="H754">
        <v>2</v>
      </c>
      <c r="I754">
        <v>0.5</v>
      </c>
      <c r="J754">
        <v>1</v>
      </c>
      <c r="K754">
        <v>1</v>
      </c>
      <c r="L754">
        <f t="shared" si="44"/>
        <v>2</v>
      </c>
      <c r="M754">
        <v>0</v>
      </c>
      <c r="N754">
        <v>0</v>
      </c>
      <c r="O754">
        <v>2</v>
      </c>
      <c r="P754" s="1">
        <f t="shared" si="45"/>
        <v>0</v>
      </c>
      <c r="Q754">
        <f t="shared" si="46"/>
        <v>2</v>
      </c>
      <c r="R754" s="1">
        <f t="shared" si="47"/>
        <v>10791</v>
      </c>
    </row>
    <row r="755" spans="1:18" hidden="1" x14ac:dyDescent="0.3">
      <c r="A755" t="s">
        <v>4976</v>
      </c>
      <c r="B755" t="s">
        <v>4977</v>
      </c>
      <c r="C755" t="s">
        <v>47</v>
      </c>
      <c r="D755">
        <v>1</v>
      </c>
      <c r="E755">
        <v>1</v>
      </c>
      <c r="F755" t="s">
        <v>3500</v>
      </c>
      <c r="G755" s="1">
        <v>3799.6</v>
      </c>
      <c r="H755">
        <v>0</v>
      </c>
      <c r="I755">
        <v>0.5</v>
      </c>
      <c r="J755">
        <v>1</v>
      </c>
      <c r="K755">
        <v>1</v>
      </c>
      <c r="L755">
        <f t="shared" si="44"/>
        <v>2</v>
      </c>
      <c r="M755">
        <v>0</v>
      </c>
      <c r="N755">
        <v>0</v>
      </c>
      <c r="O755">
        <v>2</v>
      </c>
      <c r="P755" s="1">
        <f t="shared" si="45"/>
        <v>0</v>
      </c>
      <c r="Q755">
        <f t="shared" si="46"/>
        <v>2</v>
      </c>
      <c r="R755" s="1">
        <f t="shared" si="47"/>
        <v>7599.2</v>
      </c>
    </row>
    <row r="756" spans="1:18" hidden="1" x14ac:dyDescent="0.3">
      <c r="A756" t="s">
        <v>4978</v>
      </c>
      <c r="B756" t="s">
        <v>4979</v>
      </c>
      <c r="C756" t="s">
        <v>47</v>
      </c>
      <c r="D756">
        <v>1</v>
      </c>
      <c r="E756">
        <v>0</v>
      </c>
      <c r="G756" s="1">
        <v>0</v>
      </c>
      <c r="H756">
        <v>0</v>
      </c>
      <c r="I756">
        <v>0.5</v>
      </c>
      <c r="J756">
        <v>1</v>
      </c>
      <c r="K756">
        <v>1</v>
      </c>
      <c r="L756">
        <f t="shared" si="44"/>
        <v>2</v>
      </c>
      <c r="M756">
        <v>0</v>
      </c>
      <c r="N756">
        <v>0</v>
      </c>
      <c r="O756">
        <v>2</v>
      </c>
      <c r="P756" s="1">
        <f t="shared" si="45"/>
        <v>0</v>
      </c>
      <c r="Q756">
        <f t="shared" si="46"/>
        <v>2</v>
      </c>
      <c r="R756" s="1">
        <f t="shared" si="47"/>
        <v>0</v>
      </c>
    </row>
    <row r="757" spans="1:18" hidden="1" x14ac:dyDescent="0.3">
      <c r="A757" t="s">
        <v>4980</v>
      </c>
      <c r="B757" t="s">
        <v>4981</v>
      </c>
      <c r="C757" t="s">
        <v>47</v>
      </c>
      <c r="D757">
        <v>26</v>
      </c>
      <c r="E757">
        <v>15</v>
      </c>
      <c r="F757" t="s">
        <v>77</v>
      </c>
      <c r="G757" s="1">
        <v>6021</v>
      </c>
      <c r="H757">
        <v>16</v>
      </c>
      <c r="I757">
        <v>0.6</v>
      </c>
      <c r="J757">
        <v>1</v>
      </c>
      <c r="K757">
        <v>1</v>
      </c>
      <c r="L757">
        <f t="shared" si="44"/>
        <v>2</v>
      </c>
      <c r="M757">
        <v>0</v>
      </c>
      <c r="N757">
        <v>0</v>
      </c>
      <c r="O757">
        <v>3</v>
      </c>
      <c r="P757" s="1">
        <f t="shared" si="45"/>
        <v>0</v>
      </c>
      <c r="Q757">
        <f t="shared" si="46"/>
        <v>3</v>
      </c>
      <c r="R757" s="1">
        <f t="shared" si="47"/>
        <v>18063</v>
      </c>
    </row>
    <row r="758" spans="1:18" hidden="1" x14ac:dyDescent="0.3">
      <c r="A758" t="s">
        <v>4982</v>
      </c>
      <c r="B758" t="s">
        <v>4983</v>
      </c>
      <c r="C758" t="s">
        <v>47</v>
      </c>
      <c r="D758">
        <v>1</v>
      </c>
      <c r="E758">
        <v>0</v>
      </c>
      <c r="G758" s="1">
        <v>0</v>
      </c>
      <c r="H758">
        <v>0</v>
      </c>
      <c r="I758">
        <v>0.5</v>
      </c>
      <c r="J758">
        <v>1</v>
      </c>
      <c r="K758">
        <v>1</v>
      </c>
      <c r="L758">
        <f t="shared" si="44"/>
        <v>2</v>
      </c>
      <c r="M758">
        <v>0</v>
      </c>
      <c r="N758">
        <v>0</v>
      </c>
      <c r="O758">
        <v>2</v>
      </c>
      <c r="P758" s="1">
        <f t="shared" si="45"/>
        <v>0</v>
      </c>
      <c r="Q758">
        <f t="shared" si="46"/>
        <v>2</v>
      </c>
      <c r="R758" s="1">
        <f t="shared" si="47"/>
        <v>0</v>
      </c>
    </row>
    <row r="759" spans="1:18" hidden="1" x14ac:dyDescent="0.3">
      <c r="A759" t="s">
        <v>4984</v>
      </c>
      <c r="B759" t="s">
        <v>4985</v>
      </c>
      <c r="C759" t="s">
        <v>47</v>
      </c>
      <c r="D759">
        <v>1</v>
      </c>
      <c r="E759">
        <v>1</v>
      </c>
      <c r="F759" t="s">
        <v>3500</v>
      </c>
      <c r="G759" s="1">
        <v>0</v>
      </c>
      <c r="H759">
        <v>1</v>
      </c>
      <c r="I759">
        <v>0.5</v>
      </c>
      <c r="J759">
        <v>1</v>
      </c>
      <c r="K759">
        <v>1</v>
      </c>
      <c r="L759">
        <f t="shared" si="44"/>
        <v>2</v>
      </c>
      <c r="M759">
        <v>0</v>
      </c>
      <c r="N759">
        <v>0</v>
      </c>
      <c r="O759">
        <v>2</v>
      </c>
      <c r="P759" s="1">
        <f t="shared" si="45"/>
        <v>0</v>
      </c>
      <c r="Q759">
        <f t="shared" si="46"/>
        <v>2</v>
      </c>
      <c r="R759" s="1">
        <f t="shared" si="47"/>
        <v>0</v>
      </c>
    </row>
    <row r="760" spans="1:18" hidden="1" x14ac:dyDescent="0.3">
      <c r="A760" t="s">
        <v>4986</v>
      </c>
      <c r="B760" t="s">
        <v>4987</v>
      </c>
      <c r="C760" t="s">
        <v>47</v>
      </c>
      <c r="D760">
        <v>1</v>
      </c>
      <c r="E760">
        <v>0</v>
      </c>
      <c r="G760" s="1">
        <v>12024.8</v>
      </c>
      <c r="H760">
        <v>0</v>
      </c>
      <c r="I760">
        <v>0.5</v>
      </c>
      <c r="J760">
        <v>1</v>
      </c>
      <c r="K760">
        <v>1</v>
      </c>
      <c r="L760">
        <f t="shared" si="44"/>
        <v>2</v>
      </c>
      <c r="M760">
        <v>0</v>
      </c>
      <c r="N760">
        <v>0</v>
      </c>
      <c r="O760">
        <v>2</v>
      </c>
      <c r="P760" s="1">
        <f t="shared" si="45"/>
        <v>0</v>
      </c>
      <c r="Q760">
        <f t="shared" si="46"/>
        <v>2</v>
      </c>
      <c r="R760" s="1">
        <f t="shared" si="47"/>
        <v>24049.599999999999</v>
      </c>
    </row>
    <row r="761" spans="1:18" hidden="1" x14ac:dyDescent="0.3">
      <c r="A761" t="s">
        <v>4988</v>
      </c>
      <c r="B761" t="s">
        <v>4989</v>
      </c>
      <c r="C761" t="s">
        <v>47</v>
      </c>
      <c r="D761">
        <v>1</v>
      </c>
      <c r="E761">
        <v>0</v>
      </c>
      <c r="G761" s="1">
        <v>0</v>
      </c>
      <c r="H761">
        <v>0</v>
      </c>
      <c r="I761">
        <v>0.5</v>
      </c>
      <c r="J761">
        <v>1</v>
      </c>
      <c r="K761">
        <v>1</v>
      </c>
      <c r="L761">
        <f t="shared" si="44"/>
        <v>2</v>
      </c>
      <c r="M761">
        <v>0</v>
      </c>
      <c r="N761">
        <v>0</v>
      </c>
      <c r="O761">
        <v>2</v>
      </c>
      <c r="P761" s="1">
        <f t="shared" si="45"/>
        <v>0</v>
      </c>
      <c r="Q761">
        <f t="shared" si="46"/>
        <v>2</v>
      </c>
      <c r="R761" s="1">
        <f t="shared" si="47"/>
        <v>0</v>
      </c>
    </row>
    <row r="762" spans="1:18" hidden="1" x14ac:dyDescent="0.3">
      <c r="A762" t="s">
        <v>4990</v>
      </c>
      <c r="B762" t="s">
        <v>4991</v>
      </c>
      <c r="C762" t="s">
        <v>47</v>
      </c>
      <c r="D762">
        <v>1</v>
      </c>
      <c r="E762">
        <v>0</v>
      </c>
      <c r="G762" s="1">
        <v>0</v>
      </c>
      <c r="H762">
        <v>0</v>
      </c>
      <c r="I762">
        <v>0.5</v>
      </c>
      <c r="J762">
        <v>1</v>
      </c>
      <c r="K762">
        <v>1</v>
      </c>
      <c r="L762">
        <f t="shared" si="44"/>
        <v>2</v>
      </c>
      <c r="M762">
        <v>0</v>
      </c>
      <c r="N762">
        <v>0</v>
      </c>
      <c r="O762">
        <v>2</v>
      </c>
      <c r="P762" s="1">
        <f t="shared" si="45"/>
        <v>0</v>
      </c>
      <c r="Q762">
        <f t="shared" si="46"/>
        <v>2</v>
      </c>
      <c r="R762" s="1">
        <f t="shared" si="47"/>
        <v>0</v>
      </c>
    </row>
    <row r="763" spans="1:18" hidden="1" x14ac:dyDescent="0.3">
      <c r="A763" t="s">
        <v>4992</v>
      </c>
      <c r="B763" t="s">
        <v>4993</v>
      </c>
      <c r="C763" t="s">
        <v>47</v>
      </c>
      <c r="D763">
        <v>1</v>
      </c>
      <c r="E763">
        <v>0</v>
      </c>
      <c r="G763" s="1">
        <v>0</v>
      </c>
      <c r="H763">
        <v>0</v>
      </c>
      <c r="I763">
        <v>0.5</v>
      </c>
      <c r="J763">
        <v>1</v>
      </c>
      <c r="K763">
        <v>1</v>
      </c>
      <c r="L763">
        <f t="shared" si="44"/>
        <v>2</v>
      </c>
      <c r="M763">
        <v>0</v>
      </c>
      <c r="N763">
        <v>0</v>
      </c>
      <c r="O763">
        <v>2</v>
      </c>
      <c r="P763" s="1">
        <f t="shared" si="45"/>
        <v>0</v>
      </c>
      <c r="Q763">
        <f t="shared" si="46"/>
        <v>2</v>
      </c>
      <c r="R763" s="1">
        <f t="shared" si="47"/>
        <v>0</v>
      </c>
    </row>
    <row r="764" spans="1:18" hidden="1" x14ac:dyDescent="0.3">
      <c r="A764" t="s">
        <v>4994</v>
      </c>
      <c r="B764" t="s">
        <v>4994</v>
      </c>
      <c r="C764" t="s">
        <v>47</v>
      </c>
      <c r="D764">
        <v>1</v>
      </c>
      <c r="E764">
        <v>0</v>
      </c>
      <c r="G764" s="1">
        <v>0</v>
      </c>
      <c r="H764">
        <v>6</v>
      </c>
      <c r="I764">
        <v>0.5</v>
      </c>
      <c r="J764">
        <v>6</v>
      </c>
      <c r="K764">
        <v>3</v>
      </c>
      <c r="L764">
        <f t="shared" si="44"/>
        <v>6</v>
      </c>
      <c r="M764">
        <v>0</v>
      </c>
      <c r="N764">
        <v>0</v>
      </c>
      <c r="O764">
        <v>15</v>
      </c>
      <c r="P764" s="1">
        <f t="shared" si="45"/>
        <v>0</v>
      </c>
      <c r="Q764">
        <f t="shared" si="46"/>
        <v>15</v>
      </c>
      <c r="R764" s="1">
        <f t="shared" si="47"/>
        <v>0</v>
      </c>
    </row>
    <row r="765" spans="1:18" hidden="1" x14ac:dyDescent="0.3">
      <c r="A765" t="s">
        <v>4995</v>
      </c>
      <c r="B765" t="s">
        <v>4996</v>
      </c>
      <c r="C765" t="s">
        <v>47</v>
      </c>
      <c r="D765">
        <v>1</v>
      </c>
      <c r="E765">
        <v>5</v>
      </c>
      <c r="F765" t="s">
        <v>77</v>
      </c>
      <c r="G765" s="1">
        <v>1447.5</v>
      </c>
      <c r="H765">
        <v>5</v>
      </c>
      <c r="I765">
        <v>0.9</v>
      </c>
      <c r="J765">
        <v>5</v>
      </c>
      <c r="K765">
        <v>4</v>
      </c>
      <c r="L765">
        <f t="shared" si="44"/>
        <v>9</v>
      </c>
      <c r="M765">
        <v>0</v>
      </c>
      <c r="N765">
        <v>0</v>
      </c>
      <c r="O765">
        <v>14</v>
      </c>
      <c r="P765" s="1">
        <f t="shared" si="45"/>
        <v>0</v>
      </c>
      <c r="Q765">
        <f t="shared" si="46"/>
        <v>14</v>
      </c>
      <c r="R765" s="1">
        <f t="shared" si="47"/>
        <v>20265</v>
      </c>
    </row>
    <row r="766" spans="1:18" hidden="1" x14ac:dyDescent="0.3">
      <c r="A766" t="s">
        <v>4997</v>
      </c>
      <c r="B766" t="s">
        <v>4998</v>
      </c>
      <c r="C766" t="s">
        <v>47</v>
      </c>
      <c r="D766">
        <v>13</v>
      </c>
      <c r="E766">
        <v>11</v>
      </c>
      <c r="F766" t="s">
        <v>3546</v>
      </c>
      <c r="G766" s="1">
        <v>433.36</v>
      </c>
      <c r="H766">
        <v>0</v>
      </c>
      <c r="I766">
        <v>0.5</v>
      </c>
      <c r="J766">
        <v>1</v>
      </c>
      <c r="K766">
        <v>1</v>
      </c>
      <c r="L766">
        <f t="shared" si="44"/>
        <v>2</v>
      </c>
      <c r="M766">
        <v>0</v>
      </c>
      <c r="N766">
        <v>0</v>
      </c>
      <c r="O766">
        <v>2</v>
      </c>
      <c r="P766" s="1">
        <f t="shared" si="45"/>
        <v>0</v>
      </c>
      <c r="Q766">
        <f t="shared" si="46"/>
        <v>2</v>
      </c>
      <c r="R766" s="1">
        <f t="shared" si="47"/>
        <v>866.72</v>
      </c>
    </row>
    <row r="767" spans="1:18" hidden="1" x14ac:dyDescent="0.3">
      <c r="A767" t="s">
        <v>4999</v>
      </c>
      <c r="B767" t="s">
        <v>5000</v>
      </c>
      <c r="C767" t="s">
        <v>47</v>
      </c>
      <c r="D767">
        <v>20</v>
      </c>
      <c r="E767">
        <v>4</v>
      </c>
      <c r="F767" t="s">
        <v>3546</v>
      </c>
      <c r="G767" s="1">
        <v>529.33000000000004</v>
      </c>
      <c r="H767">
        <v>0</v>
      </c>
      <c r="I767">
        <v>0.5</v>
      </c>
      <c r="J767">
        <v>1</v>
      </c>
      <c r="K767">
        <v>1</v>
      </c>
      <c r="L767">
        <f t="shared" si="44"/>
        <v>2</v>
      </c>
      <c r="M767">
        <v>0</v>
      </c>
      <c r="N767">
        <v>0</v>
      </c>
      <c r="O767">
        <v>2</v>
      </c>
      <c r="P767" s="1">
        <f t="shared" si="45"/>
        <v>0</v>
      </c>
      <c r="Q767">
        <f t="shared" si="46"/>
        <v>2</v>
      </c>
      <c r="R767" s="1">
        <f t="shared" si="47"/>
        <v>1058.6600000000001</v>
      </c>
    </row>
    <row r="768" spans="1:18" hidden="1" x14ac:dyDescent="0.3">
      <c r="A768" t="s">
        <v>5001</v>
      </c>
      <c r="B768" t="s">
        <v>5002</v>
      </c>
      <c r="C768" t="s">
        <v>47</v>
      </c>
      <c r="D768">
        <v>1</v>
      </c>
      <c r="E768">
        <v>0</v>
      </c>
      <c r="F768" t="s">
        <v>3749</v>
      </c>
      <c r="G768" s="1">
        <v>3599</v>
      </c>
      <c r="H768">
        <v>0</v>
      </c>
      <c r="I768">
        <v>0.5</v>
      </c>
      <c r="J768">
        <v>1</v>
      </c>
      <c r="K768">
        <v>1</v>
      </c>
      <c r="L768">
        <f t="shared" si="44"/>
        <v>2</v>
      </c>
      <c r="M768">
        <v>0</v>
      </c>
      <c r="N768">
        <v>0</v>
      </c>
      <c r="O768">
        <v>2</v>
      </c>
      <c r="P768" s="1">
        <f t="shared" si="45"/>
        <v>0</v>
      </c>
      <c r="Q768">
        <f t="shared" si="46"/>
        <v>2</v>
      </c>
      <c r="R768" s="1">
        <f t="shared" si="47"/>
        <v>7198</v>
      </c>
    </row>
    <row r="769" spans="1:18" hidden="1" x14ac:dyDescent="0.3">
      <c r="A769" t="s">
        <v>5003</v>
      </c>
      <c r="B769" t="s">
        <v>5004</v>
      </c>
      <c r="C769" t="s">
        <v>47</v>
      </c>
      <c r="D769">
        <v>1</v>
      </c>
      <c r="E769">
        <v>1</v>
      </c>
      <c r="F769" t="s">
        <v>1073</v>
      </c>
      <c r="G769" s="1">
        <v>850</v>
      </c>
      <c r="H769">
        <v>1</v>
      </c>
      <c r="I769">
        <v>0.5</v>
      </c>
      <c r="J769">
        <v>1</v>
      </c>
      <c r="K769">
        <v>1</v>
      </c>
      <c r="L769">
        <f t="shared" si="44"/>
        <v>2</v>
      </c>
      <c r="M769">
        <v>0</v>
      </c>
      <c r="N769">
        <v>0</v>
      </c>
      <c r="O769">
        <v>2</v>
      </c>
      <c r="P769" s="1">
        <f t="shared" si="45"/>
        <v>0</v>
      </c>
      <c r="Q769">
        <f t="shared" si="46"/>
        <v>2</v>
      </c>
      <c r="R769" s="1">
        <f t="shared" si="47"/>
        <v>1700</v>
      </c>
    </row>
    <row r="770" spans="1:18" hidden="1" x14ac:dyDescent="0.3">
      <c r="A770" t="s">
        <v>5005</v>
      </c>
      <c r="B770" t="s">
        <v>5006</v>
      </c>
      <c r="C770" t="s">
        <v>47</v>
      </c>
      <c r="D770">
        <v>1</v>
      </c>
      <c r="E770">
        <v>0</v>
      </c>
      <c r="G770" s="1">
        <v>0</v>
      </c>
      <c r="H770">
        <v>1</v>
      </c>
      <c r="I770">
        <v>0.5</v>
      </c>
      <c r="J770">
        <v>1</v>
      </c>
      <c r="K770">
        <v>1</v>
      </c>
      <c r="L770">
        <f t="shared" ref="L770:L833" si="48">ROUNDUP((J770*I770)+K770,0)</f>
        <v>2</v>
      </c>
      <c r="M770">
        <v>0</v>
      </c>
      <c r="N770">
        <v>0</v>
      </c>
      <c r="O770">
        <v>2</v>
      </c>
      <c r="P770" s="1">
        <f t="shared" ref="P770:P833" si="49">IFERROR(M770*G770,0)</f>
        <v>0</v>
      </c>
      <c r="Q770">
        <f t="shared" ref="Q770:Q833" si="50">IF(O770-M770-N770&gt;0,O770-M770-N770,0)</f>
        <v>2</v>
      </c>
      <c r="R770" s="1">
        <f t="shared" ref="R770:R833" si="51">IFERROR(Q770*G770,0)</f>
        <v>0</v>
      </c>
    </row>
    <row r="771" spans="1:18" hidden="1" x14ac:dyDescent="0.3">
      <c r="A771" t="s">
        <v>5007</v>
      </c>
      <c r="B771" t="s">
        <v>5008</v>
      </c>
      <c r="C771" t="s">
        <v>47</v>
      </c>
      <c r="D771">
        <v>1</v>
      </c>
      <c r="E771">
        <v>0</v>
      </c>
      <c r="G771" s="1">
        <v>0</v>
      </c>
      <c r="H771">
        <v>0</v>
      </c>
      <c r="I771">
        <v>0.5</v>
      </c>
      <c r="J771">
        <v>1</v>
      </c>
      <c r="K771">
        <v>1</v>
      </c>
      <c r="L771">
        <f t="shared" si="48"/>
        <v>2</v>
      </c>
      <c r="M771">
        <v>0</v>
      </c>
      <c r="N771">
        <v>0</v>
      </c>
      <c r="O771">
        <v>2</v>
      </c>
      <c r="P771" s="1">
        <f t="shared" si="49"/>
        <v>0</v>
      </c>
      <c r="Q771">
        <f t="shared" si="50"/>
        <v>2</v>
      </c>
      <c r="R771" s="1">
        <f t="shared" si="51"/>
        <v>0</v>
      </c>
    </row>
    <row r="772" spans="1:18" hidden="1" x14ac:dyDescent="0.3">
      <c r="A772" t="s">
        <v>5009</v>
      </c>
      <c r="B772" t="s">
        <v>5010</v>
      </c>
      <c r="C772" t="s">
        <v>47</v>
      </c>
      <c r="D772">
        <v>8</v>
      </c>
      <c r="E772">
        <v>3</v>
      </c>
      <c r="F772" t="s">
        <v>77</v>
      </c>
      <c r="G772" s="1">
        <v>782.25</v>
      </c>
      <c r="H772">
        <v>1</v>
      </c>
      <c r="I772">
        <v>0.5</v>
      </c>
      <c r="J772">
        <v>1</v>
      </c>
      <c r="K772">
        <v>1</v>
      </c>
      <c r="L772">
        <f t="shared" si="48"/>
        <v>2</v>
      </c>
      <c r="M772">
        <v>0</v>
      </c>
      <c r="N772">
        <v>0</v>
      </c>
      <c r="O772">
        <v>2</v>
      </c>
      <c r="P772" s="1">
        <f t="shared" si="49"/>
        <v>0</v>
      </c>
      <c r="Q772">
        <f t="shared" si="50"/>
        <v>2</v>
      </c>
      <c r="R772" s="1">
        <f t="shared" si="51"/>
        <v>1564.5</v>
      </c>
    </row>
    <row r="773" spans="1:18" hidden="1" x14ac:dyDescent="0.3">
      <c r="A773" t="s">
        <v>5011</v>
      </c>
      <c r="B773" t="s">
        <v>5012</v>
      </c>
      <c r="C773" t="s">
        <v>47</v>
      </c>
      <c r="D773">
        <v>1</v>
      </c>
      <c r="E773">
        <v>2</v>
      </c>
      <c r="F773" t="s">
        <v>77</v>
      </c>
      <c r="G773" s="1">
        <v>1571.25</v>
      </c>
      <c r="H773">
        <v>0</v>
      </c>
      <c r="I773">
        <v>0.5</v>
      </c>
      <c r="J773">
        <v>2</v>
      </c>
      <c r="K773">
        <v>1</v>
      </c>
      <c r="L773">
        <f t="shared" si="48"/>
        <v>2</v>
      </c>
      <c r="M773">
        <v>0</v>
      </c>
      <c r="N773">
        <v>0</v>
      </c>
      <c r="O773">
        <v>5</v>
      </c>
      <c r="P773" s="1">
        <f t="shared" si="49"/>
        <v>0</v>
      </c>
      <c r="Q773">
        <f t="shared" si="50"/>
        <v>5</v>
      </c>
      <c r="R773" s="1">
        <f t="shared" si="51"/>
        <v>7856.25</v>
      </c>
    </row>
    <row r="774" spans="1:18" hidden="1" x14ac:dyDescent="0.3">
      <c r="A774" t="s">
        <v>5013</v>
      </c>
      <c r="B774" t="s">
        <v>5014</v>
      </c>
      <c r="C774" t="s">
        <v>47</v>
      </c>
      <c r="D774">
        <v>1</v>
      </c>
      <c r="E774">
        <v>1</v>
      </c>
      <c r="F774" t="s">
        <v>77</v>
      </c>
      <c r="G774" s="1">
        <v>1164.75</v>
      </c>
      <c r="H774">
        <v>0</v>
      </c>
      <c r="I774">
        <v>0.7</v>
      </c>
      <c r="J774">
        <v>1</v>
      </c>
      <c r="K774">
        <v>1</v>
      </c>
      <c r="L774">
        <f t="shared" si="48"/>
        <v>2</v>
      </c>
      <c r="M774">
        <v>0</v>
      </c>
      <c r="N774">
        <v>0</v>
      </c>
      <c r="O774">
        <v>3</v>
      </c>
      <c r="P774" s="1">
        <f t="shared" si="49"/>
        <v>0</v>
      </c>
      <c r="Q774">
        <f t="shared" si="50"/>
        <v>3</v>
      </c>
      <c r="R774" s="1">
        <f t="shared" si="51"/>
        <v>3494.25</v>
      </c>
    </row>
    <row r="775" spans="1:18" hidden="1" x14ac:dyDescent="0.3">
      <c r="A775" t="s">
        <v>5015</v>
      </c>
      <c r="B775" t="s">
        <v>5016</v>
      </c>
      <c r="C775" t="s">
        <v>47</v>
      </c>
      <c r="D775">
        <v>1</v>
      </c>
      <c r="E775">
        <v>1</v>
      </c>
      <c r="F775" t="s">
        <v>77</v>
      </c>
      <c r="G775" s="1">
        <v>782.25</v>
      </c>
      <c r="H775">
        <v>0</v>
      </c>
      <c r="I775">
        <v>0.5</v>
      </c>
      <c r="J775">
        <v>1</v>
      </c>
      <c r="K775">
        <v>1</v>
      </c>
      <c r="L775">
        <f t="shared" si="48"/>
        <v>2</v>
      </c>
      <c r="M775">
        <v>0</v>
      </c>
      <c r="N775">
        <v>0</v>
      </c>
      <c r="O775">
        <v>2</v>
      </c>
      <c r="P775" s="1">
        <f t="shared" si="49"/>
        <v>0</v>
      </c>
      <c r="Q775">
        <f t="shared" si="50"/>
        <v>2</v>
      </c>
      <c r="R775" s="1">
        <f t="shared" si="51"/>
        <v>1564.5</v>
      </c>
    </row>
    <row r="776" spans="1:18" hidden="1" x14ac:dyDescent="0.3">
      <c r="A776" t="s">
        <v>5017</v>
      </c>
      <c r="B776" t="s">
        <v>5018</v>
      </c>
      <c r="C776" t="s">
        <v>47</v>
      </c>
      <c r="D776">
        <v>1</v>
      </c>
      <c r="E776">
        <v>5</v>
      </c>
      <c r="F776" t="s">
        <v>77</v>
      </c>
      <c r="G776" s="1">
        <v>858.75</v>
      </c>
      <c r="H776">
        <v>0</v>
      </c>
      <c r="I776">
        <v>0.5</v>
      </c>
      <c r="J776">
        <v>5</v>
      </c>
      <c r="K776">
        <v>2</v>
      </c>
      <c r="L776">
        <f t="shared" si="48"/>
        <v>5</v>
      </c>
      <c r="M776">
        <v>0</v>
      </c>
      <c r="N776">
        <v>0</v>
      </c>
      <c r="O776">
        <v>12</v>
      </c>
      <c r="P776" s="1">
        <f t="shared" si="49"/>
        <v>0</v>
      </c>
      <c r="Q776">
        <f t="shared" si="50"/>
        <v>12</v>
      </c>
      <c r="R776" s="1">
        <f t="shared" si="51"/>
        <v>10305</v>
      </c>
    </row>
    <row r="777" spans="1:18" hidden="1" x14ac:dyDescent="0.3">
      <c r="A777" t="s">
        <v>5019</v>
      </c>
      <c r="B777" t="s">
        <v>5020</v>
      </c>
      <c r="C777" t="s">
        <v>47</v>
      </c>
      <c r="D777">
        <v>1</v>
      </c>
      <c r="E777">
        <v>1</v>
      </c>
      <c r="F777" t="s">
        <v>77</v>
      </c>
      <c r="G777" s="1">
        <v>782.25</v>
      </c>
      <c r="H777">
        <v>0</v>
      </c>
      <c r="I777">
        <v>0.5</v>
      </c>
      <c r="J777">
        <v>1</v>
      </c>
      <c r="K777">
        <v>1</v>
      </c>
      <c r="L777">
        <f t="shared" si="48"/>
        <v>2</v>
      </c>
      <c r="M777">
        <v>0</v>
      </c>
      <c r="N777">
        <v>0</v>
      </c>
      <c r="O777">
        <v>2</v>
      </c>
      <c r="P777" s="1">
        <f t="shared" si="49"/>
        <v>0</v>
      </c>
      <c r="Q777">
        <f t="shared" si="50"/>
        <v>2</v>
      </c>
      <c r="R777" s="1">
        <f t="shared" si="51"/>
        <v>1564.5</v>
      </c>
    </row>
    <row r="778" spans="1:18" hidden="1" x14ac:dyDescent="0.3">
      <c r="A778" t="s">
        <v>5021</v>
      </c>
      <c r="B778" t="s">
        <v>5022</v>
      </c>
      <c r="C778" t="s">
        <v>47</v>
      </c>
      <c r="D778">
        <v>1</v>
      </c>
      <c r="E778">
        <v>1</v>
      </c>
      <c r="F778" t="s">
        <v>77</v>
      </c>
      <c r="G778" s="1">
        <v>1164.75</v>
      </c>
      <c r="H778">
        <v>0</v>
      </c>
      <c r="I778">
        <v>0.7</v>
      </c>
      <c r="J778">
        <v>1</v>
      </c>
      <c r="K778">
        <v>1</v>
      </c>
      <c r="L778">
        <f t="shared" si="48"/>
        <v>2</v>
      </c>
      <c r="M778">
        <v>0</v>
      </c>
      <c r="N778">
        <v>0</v>
      </c>
      <c r="O778">
        <v>3</v>
      </c>
      <c r="P778" s="1">
        <f t="shared" si="49"/>
        <v>0</v>
      </c>
      <c r="Q778">
        <f t="shared" si="50"/>
        <v>3</v>
      </c>
      <c r="R778" s="1">
        <f t="shared" si="51"/>
        <v>3494.25</v>
      </c>
    </row>
    <row r="779" spans="1:18" hidden="1" x14ac:dyDescent="0.3">
      <c r="A779" t="s">
        <v>5023</v>
      </c>
      <c r="B779" t="s">
        <v>5024</v>
      </c>
      <c r="C779" t="s">
        <v>47</v>
      </c>
      <c r="D779">
        <v>1</v>
      </c>
      <c r="E779">
        <v>1</v>
      </c>
      <c r="F779" t="s">
        <v>77</v>
      </c>
      <c r="G779" s="1">
        <v>985.5</v>
      </c>
      <c r="H779">
        <v>0</v>
      </c>
      <c r="I779">
        <v>0.5</v>
      </c>
      <c r="J779">
        <v>1</v>
      </c>
      <c r="K779">
        <v>1</v>
      </c>
      <c r="L779">
        <f t="shared" si="48"/>
        <v>2</v>
      </c>
      <c r="M779">
        <v>0</v>
      </c>
      <c r="N779">
        <v>0</v>
      </c>
      <c r="O779">
        <v>2</v>
      </c>
      <c r="P779" s="1">
        <f t="shared" si="49"/>
        <v>0</v>
      </c>
      <c r="Q779">
        <f t="shared" si="50"/>
        <v>2</v>
      </c>
      <c r="R779" s="1">
        <f t="shared" si="51"/>
        <v>1971</v>
      </c>
    </row>
    <row r="780" spans="1:18" hidden="1" x14ac:dyDescent="0.3">
      <c r="A780" t="s">
        <v>5025</v>
      </c>
      <c r="B780" t="s">
        <v>5026</v>
      </c>
      <c r="C780" t="s">
        <v>47</v>
      </c>
      <c r="D780">
        <v>1</v>
      </c>
      <c r="E780">
        <v>1</v>
      </c>
      <c r="F780" t="s">
        <v>77</v>
      </c>
      <c r="G780" s="1">
        <v>985.5</v>
      </c>
      <c r="H780">
        <v>0</v>
      </c>
      <c r="I780">
        <v>0.5</v>
      </c>
      <c r="J780">
        <v>1</v>
      </c>
      <c r="K780">
        <v>1</v>
      </c>
      <c r="L780">
        <f t="shared" si="48"/>
        <v>2</v>
      </c>
      <c r="M780">
        <v>0</v>
      </c>
      <c r="N780">
        <v>0</v>
      </c>
      <c r="O780">
        <v>2</v>
      </c>
      <c r="P780" s="1">
        <f t="shared" si="49"/>
        <v>0</v>
      </c>
      <c r="Q780">
        <f t="shared" si="50"/>
        <v>2</v>
      </c>
      <c r="R780" s="1">
        <f t="shared" si="51"/>
        <v>1971</v>
      </c>
    </row>
    <row r="781" spans="1:18" hidden="1" x14ac:dyDescent="0.3">
      <c r="A781" t="s">
        <v>5027</v>
      </c>
      <c r="B781" t="s">
        <v>5028</v>
      </c>
      <c r="C781" t="s">
        <v>47</v>
      </c>
      <c r="D781">
        <v>1</v>
      </c>
      <c r="E781">
        <v>1</v>
      </c>
      <c r="F781" t="s">
        <v>77</v>
      </c>
      <c r="G781" s="1">
        <v>782.25</v>
      </c>
      <c r="H781">
        <v>0</v>
      </c>
      <c r="I781">
        <v>0.5</v>
      </c>
      <c r="J781">
        <v>1</v>
      </c>
      <c r="K781">
        <v>1</v>
      </c>
      <c r="L781">
        <f t="shared" si="48"/>
        <v>2</v>
      </c>
      <c r="M781">
        <v>0</v>
      </c>
      <c r="N781">
        <v>0</v>
      </c>
      <c r="O781">
        <v>2</v>
      </c>
      <c r="P781" s="1">
        <f t="shared" si="49"/>
        <v>0</v>
      </c>
      <c r="Q781">
        <f t="shared" si="50"/>
        <v>2</v>
      </c>
      <c r="R781" s="1">
        <f t="shared" si="51"/>
        <v>1564.5</v>
      </c>
    </row>
    <row r="782" spans="1:18" hidden="1" x14ac:dyDescent="0.3">
      <c r="A782" t="s">
        <v>5029</v>
      </c>
      <c r="B782" t="s">
        <v>5030</v>
      </c>
      <c r="C782" t="s">
        <v>47</v>
      </c>
      <c r="D782">
        <v>1</v>
      </c>
      <c r="E782">
        <v>1</v>
      </c>
      <c r="F782" t="s">
        <v>77</v>
      </c>
      <c r="G782" s="1">
        <v>1571.25</v>
      </c>
      <c r="H782">
        <v>0</v>
      </c>
      <c r="I782">
        <v>0.5</v>
      </c>
      <c r="J782">
        <v>1</v>
      </c>
      <c r="K782">
        <v>1</v>
      </c>
      <c r="L782">
        <f t="shared" si="48"/>
        <v>2</v>
      </c>
      <c r="M782">
        <v>0</v>
      </c>
      <c r="N782">
        <v>0</v>
      </c>
      <c r="O782">
        <v>2</v>
      </c>
      <c r="P782" s="1">
        <f t="shared" si="49"/>
        <v>0</v>
      </c>
      <c r="Q782">
        <f t="shared" si="50"/>
        <v>2</v>
      </c>
      <c r="R782" s="1">
        <f t="shared" si="51"/>
        <v>3142.5</v>
      </c>
    </row>
    <row r="783" spans="1:18" hidden="1" x14ac:dyDescent="0.3">
      <c r="A783" t="s">
        <v>5031</v>
      </c>
      <c r="B783" t="s">
        <v>5032</v>
      </c>
      <c r="C783" t="s">
        <v>47</v>
      </c>
      <c r="D783">
        <v>1</v>
      </c>
      <c r="E783">
        <v>1</v>
      </c>
      <c r="F783" t="s">
        <v>77</v>
      </c>
      <c r="G783" s="1">
        <v>1361.75</v>
      </c>
      <c r="H783">
        <v>0</v>
      </c>
      <c r="I783">
        <v>0.5</v>
      </c>
      <c r="J783">
        <v>1</v>
      </c>
      <c r="K783">
        <v>1</v>
      </c>
      <c r="L783">
        <f t="shared" si="48"/>
        <v>2</v>
      </c>
      <c r="M783">
        <v>0</v>
      </c>
      <c r="N783">
        <v>0</v>
      </c>
      <c r="O783">
        <v>2</v>
      </c>
      <c r="P783" s="1">
        <f t="shared" si="49"/>
        <v>0</v>
      </c>
      <c r="Q783">
        <f t="shared" si="50"/>
        <v>2</v>
      </c>
      <c r="R783" s="1">
        <f t="shared" si="51"/>
        <v>2723.5</v>
      </c>
    </row>
    <row r="784" spans="1:18" hidden="1" x14ac:dyDescent="0.3">
      <c r="A784" t="s">
        <v>5033</v>
      </c>
      <c r="B784" t="s">
        <v>5034</v>
      </c>
      <c r="C784" t="s">
        <v>47</v>
      </c>
      <c r="D784">
        <v>1</v>
      </c>
      <c r="E784">
        <v>1</v>
      </c>
      <c r="F784" t="s">
        <v>77</v>
      </c>
      <c r="G784" s="1">
        <v>1571.25</v>
      </c>
      <c r="H784">
        <v>0</v>
      </c>
      <c r="I784">
        <v>0.7</v>
      </c>
      <c r="J784">
        <v>1</v>
      </c>
      <c r="K784">
        <v>1</v>
      </c>
      <c r="L784">
        <f t="shared" si="48"/>
        <v>2</v>
      </c>
      <c r="M784">
        <v>0</v>
      </c>
      <c r="N784">
        <v>0</v>
      </c>
      <c r="O784">
        <v>3</v>
      </c>
      <c r="P784" s="1">
        <f t="shared" si="49"/>
        <v>0</v>
      </c>
      <c r="Q784">
        <f t="shared" si="50"/>
        <v>3</v>
      </c>
      <c r="R784" s="1">
        <f t="shared" si="51"/>
        <v>4713.75</v>
      </c>
    </row>
    <row r="785" spans="1:18" hidden="1" x14ac:dyDescent="0.3">
      <c r="A785" t="s">
        <v>5035</v>
      </c>
      <c r="B785" t="s">
        <v>5036</v>
      </c>
      <c r="C785" t="s">
        <v>47</v>
      </c>
      <c r="D785">
        <v>8</v>
      </c>
      <c r="E785">
        <v>1</v>
      </c>
      <c r="F785" t="s">
        <v>77</v>
      </c>
      <c r="G785" s="1">
        <v>1571.25</v>
      </c>
      <c r="H785">
        <v>2</v>
      </c>
      <c r="I785">
        <v>0.5</v>
      </c>
      <c r="J785">
        <v>1</v>
      </c>
      <c r="K785">
        <v>1</v>
      </c>
      <c r="L785">
        <f t="shared" si="48"/>
        <v>2</v>
      </c>
      <c r="M785">
        <v>0</v>
      </c>
      <c r="N785">
        <v>0</v>
      </c>
      <c r="O785">
        <v>2</v>
      </c>
      <c r="P785" s="1">
        <f t="shared" si="49"/>
        <v>0</v>
      </c>
      <c r="Q785">
        <f t="shared" si="50"/>
        <v>2</v>
      </c>
      <c r="R785" s="1">
        <f t="shared" si="51"/>
        <v>3142.5</v>
      </c>
    </row>
    <row r="786" spans="1:18" hidden="1" x14ac:dyDescent="0.3">
      <c r="A786" t="s">
        <v>5037</v>
      </c>
      <c r="B786" t="s">
        <v>5038</v>
      </c>
      <c r="C786" t="s">
        <v>47</v>
      </c>
      <c r="D786">
        <v>6</v>
      </c>
      <c r="E786">
        <v>5</v>
      </c>
      <c r="F786" t="s">
        <v>77</v>
      </c>
      <c r="G786" s="1">
        <v>1403.65</v>
      </c>
      <c r="H786">
        <v>0</v>
      </c>
      <c r="I786">
        <v>0.5</v>
      </c>
      <c r="J786">
        <v>1</v>
      </c>
      <c r="K786">
        <v>1</v>
      </c>
      <c r="L786">
        <f t="shared" si="48"/>
        <v>2</v>
      </c>
      <c r="M786">
        <v>0</v>
      </c>
      <c r="N786">
        <v>0</v>
      </c>
      <c r="O786">
        <v>2</v>
      </c>
      <c r="P786" s="1">
        <f t="shared" si="49"/>
        <v>0</v>
      </c>
      <c r="Q786">
        <f t="shared" si="50"/>
        <v>2</v>
      </c>
      <c r="R786" s="1">
        <f t="shared" si="51"/>
        <v>2807.3</v>
      </c>
    </row>
    <row r="787" spans="1:18" hidden="1" x14ac:dyDescent="0.3">
      <c r="A787" t="s">
        <v>5039</v>
      </c>
      <c r="B787" t="s">
        <v>5040</v>
      </c>
      <c r="C787" t="s">
        <v>47</v>
      </c>
      <c r="D787">
        <v>12</v>
      </c>
      <c r="E787">
        <v>2</v>
      </c>
      <c r="F787" t="s">
        <v>77</v>
      </c>
      <c r="G787" s="1">
        <v>1087.0999999999999</v>
      </c>
      <c r="H787">
        <v>0</v>
      </c>
      <c r="I787">
        <v>0.5</v>
      </c>
      <c r="J787">
        <v>1</v>
      </c>
      <c r="K787">
        <v>1</v>
      </c>
      <c r="L787">
        <f t="shared" si="48"/>
        <v>2</v>
      </c>
      <c r="M787">
        <v>0</v>
      </c>
      <c r="N787">
        <v>0</v>
      </c>
      <c r="O787">
        <v>2</v>
      </c>
      <c r="P787" s="1">
        <f t="shared" si="49"/>
        <v>0</v>
      </c>
      <c r="Q787">
        <f t="shared" si="50"/>
        <v>2</v>
      </c>
      <c r="R787" s="1">
        <f t="shared" si="51"/>
        <v>2174.1999999999998</v>
      </c>
    </row>
    <row r="788" spans="1:18" hidden="1" x14ac:dyDescent="0.3">
      <c r="A788" t="s">
        <v>5041</v>
      </c>
      <c r="B788" t="s">
        <v>5042</v>
      </c>
      <c r="C788" t="s">
        <v>47</v>
      </c>
      <c r="D788">
        <v>1</v>
      </c>
      <c r="E788">
        <v>2</v>
      </c>
      <c r="F788" t="s">
        <v>77</v>
      </c>
      <c r="G788" s="1">
        <v>1164.75</v>
      </c>
      <c r="H788">
        <v>1</v>
      </c>
      <c r="I788">
        <v>0.5</v>
      </c>
      <c r="J788">
        <v>2</v>
      </c>
      <c r="K788">
        <v>1</v>
      </c>
      <c r="L788">
        <f t="shared" si="48"/>
        <v>2</v>
      </c>
      <c r="M788">
        <v>0</v>
      </c>
      <c r="N788">
        <v>0</v>
      </c>
      <c r="O788">
        <v>5</v>
      </c>
      <c r="P788" s="1">
        <f t="shared" si="49"/>
        <v>0</v>
      </c>
      <c r="Q788">
        <f t="shared" si="50"/>
        <v>5</v>
      </c>
      <c r="R788" s="1">
        <f t="shared" si="51"/>
        <v>5823.75</v>
      </c>
    </row>
    <row r="789" spans="1:18" hidden="1" x14ac:dyDescent="0.3">
      <c r="A789" t="s">
        <v>5043</v>
      </c>
      <c r="B789" t="s">
        <v>5044</v>
      </c>
      <c r="C789" t="s">
        <v>47</v>
      </c>
      <c r="D789">
        <v>1</v>
      </c>
      <c r="E789">
        <v>1</v>
      </c>
      <c r="F789" t="s">
        <v>77</v>
      </c>
      <c r="G789" s="1">
        <v>1076.25</v>
      </c>
      <c r="H789">
        <v>0</v>
      </c>
      <c r="I789">
        <v>0.5</v>
      </c>
      <c r="J789">
        <v>1</v>
      </c>
      <c r="K789">
        <v>1</v>
      </c>
      <c r="L789">
        <f t="shared" si="48"/>
        <v>2</v>
      </c>
      <c r="M789">
        <v>0</v>
      </c>
      <c r="N789">
        <v>0</v>
      </c>
      <c r="O789">
        <v>2</v>
      </c>
      <c r="P789" s="1">
        <f t="shared" si="49"/>
        <v>0</v>
      </c>
      <c r="Q789">
        <f t="shared" si="50"/>
        <v>2</v>
      </c>
      <c r="R789" s="1">
        <f t="shared" si="51"/>
        <v>2152.5</v>
      </c>
    </row>
    <row r="790" spans="1:18" hidden="1" x14ac:dyDescent="0.3">
      <c r="A790" t="s">
        <v>5045</v>
      </c>
      <c r="B790" t="s">
        <v>5046</v>
      </c>
      <c r="C790" t="s">
        <v>47</v>
      </c>
      <c r="D790">
        <v>1</v>
      </c>
      <c r="E790">
        <v>2</v>
      </c>
      <c r="F790" t="s">
        <v>77</v>
      </c>
      <c r="G790" s="1">
        <v>1076.25</v>
      </c>
      <c r="H790">
        <v>0</v>
      </c>
      <c r="I790">
        <v>0.5</v>
      </c>
      <c r="J790">
        <v>2</v>
      </c>
      <c r="K790">
        <v>1</v>
      </c>
      <c r="L790">
        <f t="shared" si="48"/>
        <v>2</v>
      </c>
      <c r="M790">
        <v>0</v>
      </c>
      <c r="N790">
        <v>0</v>
      </c>
      <c r="O790">
        <v>5</v>
      </c>
      <c r="P790" s="1">
        <f t="shared" si="49"/>
        <v>0</v>
      </c>
      <c r="Q790">
        <f t="shared" si="50"/>
        <v>5</v>
      </c>
      <c r="R790" s="1">
        <f t="shared" si="51"/>
        <v>5381.25</v>
      </c>
    </row>
    <row r="791" spans="1:18" hidden="1" x14ac:dyDescent="0.3">
      <c r="A791" t="s">
        <v>5047</v>
      </c>
      <c r="B791" t="s">
        <v>5048</v>
      </c>
      <c r="C791" t="s">
        <v>47</v>
      </c>
      <c r="D791">
        <v>1</v>
      </c>
      <c r="E791">
        <v>1</v>
      </c>
      <c r="F791" t="s">
        <v>77</v>
      </c>
      <c r="G791" s="1">
        <v>782.25</v>
      </c>
      <c r="H791">
        <v>0</v>
      </c>
      <c r="I791">
        <v>0.7</v>
      </c>
      <c r="J791">
        <v>1</v>
      </c>
      <c r="K791">
        <v>1</v>
      </c>
      <c r="L791">
        <f t="shared" si="48"/>
        <v>2</v>
      </c>
      <c r="M791">
        <v>0</v>
      </c>
      <c r="N791">
        <v>0</v>
      </c>
      <c r="O791">
        <v>3</v>
      </c>
      <c r="P791" s="1">
        <f t="shared" si="49"/>
        <v>0</v>
      </c>
      <c r="Q791">
        <f t="shared" si="50"/>
        <v>3</v>
      </c>
      <c r="R791" s="1">
        <f t="shared" si="51"/>
        <v>2346.75</v>
      </c>
    </row>
    <row r="792" spans="1:18" hidden="1" x14ac:dyDescent="0.3">
      <c r="A792" t="s">
        <v>5049</v>
      </c>
      <c r="B792" t="s">
        <v>5050</v>
      </c>
      <c r="C792" t="s">
        <v>47</v>
      </c>
      <c r="D792">
        <v>1</v>
      </c>
      <c r="E792">
        <v>1</v>
      </c>
      <c r="F792" t="s">
        <v>77</v>
      </c>
      <c r="G792" s="1">
        <v>1517.75</v>
      </c>
      <c r="H792">
        <v>0</v>
      </c>
      <c r="I792">
        <v>0.5</v>
      </c>
      <c r="J792">
        <v>1</v>
      </c>
      <c r="K792">
        <v>1</v>
      </c>
      <c r="L792">
        <f t="shared" si="48"/>
        <v>2</v>
      </c>
      <c r="M792">
        <v>0</v>
      </c>
      <c r="N792">
        <v>0</v>
      </c>
      <c r="O792">
        <v>2</v>
      </c>
      <c r="P792" s="1">
        <f t="shared" si="49"/>
        <v>0</v>
      </c>
      <c r="Q792">
        <f t="shared" si="50"/>
        <v>2</v>
      </c>
      <c r="R792" s="1">
        <f t="shared" si="51"/>
        <v>3035.5</v>
      </c>
    </row>
    <row r="793" spans="1:18" hidden="1" x14ac:dyDescent="0.3">
      <c r="A793" t="s">
        <v>5051</v>
      </c>
      <c r="B793" t="s">
        <v>5052</v>
      </c>
      <c r="C793" t="s">
        <v>47</v>
      </c>
      <c r="D793">
        <v>2</v>
      </c>
      <c r="E793">
        <v>9</v>
      </c>
      <c r="F793" t="s">
        <v>77</v>
      </c>
      <c r="G793" s="1">
        <v>1634.5</v>
      </c>
      <c r="H793">
        <v>0</v>
      </c>
      <c r="I793">
        <v>0.5</v>
      </c>
      <c r="J793">
        <v>4.5</v>
      </c>
      <c r="K793">
        <v>2</v>
      </c>
      <c r="L793">
        <f t="shared" si="48"/>
        <v>5</v>
      </c>
      <c r="M793">
        <v>0</v>
      </c>
      <c r="N793">
        <v>0</v>
      </c>
      <c r="O793">
        <v>11</v>
      </c>
      <c r="P793" s="1">
        <f t="shared" si="49"/>
        <v>0</v>
      </c>
      <c r="Q793">
        <f t="shared" si="50"/>
        <v>11</v>
      </c>
      <c r="R793" s="1">
        <f t="shared" si="51"/>
        <v>17979.5</v>
      </c>
    </row>
    <row r="794" spans="1:18" hidden="1" x14ac:dyDescent="0.3">
      <c r="A794" t="s">
        <v>5053</v>
      </c>
      <c r="B794" t="s">
        <v>5054</v>
      </c>
      <c r="C794" t="s">
        <v>47</v>
      </c>
      <c r="D794">
        <v>8</v>
      </c>
      <c r="E794">
        <v>2</v>
      </c>
      <c r="F794" t="s">
        <v>77</v>
      </c>
      <c r="G794" s="1">
        <v>1634.5</v>
      </c>
      <c r="H794">
        <v>0</v>
      </c>
      <c r="I794">
        <v>0.5</v>
      </c>
      <c r="J794">
        <v>1</v>
      </c>
      <c r="K794">
        <v>1</v>
      </c>
      <c r="L794">
        <f t="shared" si="48"/>
        <v>2</v>
      </c>
      <c r="M794">
        <v>0</v>
      </c>
      <c r="N794">
        <v>0</v>
      </c>
      <c r="O794">
        <v>2</v>
      </c>
      <c r="P794" s="1">
        <f t="shared" si="49"/>
        <v>0</v>
      </c>
      <c r="Q794">
        <f t="shared" si="50"/>
        <v>2</v>
      </c>
      <c r="R794" s="1">
        <f t="shared" si="51"/>
        <v>3269</v>
      </c>
    </row>
    <row r="795" spans="1:18" hidden="1" x14ac:dyDescent="0.3">
      <c r="A795" t="s">
        <v>5055</v>
      </c>
      <c r="B795" t="s">
        <v>5056</v>
      </c>
      <c r="C795" t="s">
        <v>47</v>
      </c>
      <c r="D795">
        <v>1</v>
      </c>
      <c r="E795">
        <v>2</v>
      </c>
      <c r="F795" t="s">
        <v>77</v>
      </c>
      <c r="G795" s="1">
        <v>1751.25</v>
      </c>
      <c r="H795">
        <v>0</v>
      </c>
      <c r="I795">
        <v>0.5</v>
      </c>
      <c r="J795">
        <v>2</v>
      </c>
      <c r="K795">
        <v>1</v>
      </c>
      <c r="L795">
        <f t="shared" si="48"/>
        <v>2</v>
      </c>
      <c r="M795">
        <v>0</v>
      </c>
      <c r="N795">
        <v>0</v>
      </c>
      <c r="O795">
        <v>5</v>
      </c>
      <c r="P795" s="1">
        <f t="shared" si="49"/>
        <v>0</v>
      </c>
      <c r="Q795">
        <f t="shared" si="50"/>
        <v>5</v>
      </c>
      <c r="R795" s="1">
        <f t="shared" si="51"/>
        <v>8756.25</v>
      </c>
    </row>
    <row r="796" spans="1:18" hidden="1" x14ac:dyDescent="0.3">
      <c r="A796" t="s">
        <v>5057</v>
      </c>
      <c r="B796" t="s">
        <v>5058</v>
      </c>
      <c r="C796" t="s">
        <v>47</v>
      </c>
      <c r="D796">
        <v>1</v>
      </c>
      <c r="E796">
        <v>1</v>
      </c>
      <c r="F796" t="s">
        <v>77</v>
      </c>
      <c r="G796" s="1">
        <v>1517.75</v>
      </c>
      <c r="H796">
        <v>0</v>
      </c>
      <c r="I796">
        <v>0.5</v>
      </c>
      <c r="J796">
        <v>1</v>
      </c>
      <c r="K796">
        <v>1</v>
      </c>
      <c r="L796">
        <f t="shared" si="48"/>
        <v>2</v>
      </c>
      <c r="M796">
        <v>0</v>
      </c>
      <c r="N796">
        <v>0</v>
      </c>
      <c r="O796">
        <v>2</v>
      </c>
      <c r="P796" s="1">
        <f t="shared" si="49"/>
        <v>0</v>
      </c>
      <c r="Q796">
        <f t="shared" si="50"/>
        <v>2</v>
      </c>
      <c r="R796" s="1">
        <f t="shared" si="51"/>
        <v>3035.5</v>
      </c>
    </row>
    <row r="797" spans="1:18" hidden="1" x14ac:dyDescent="0.3">
      <c r="A797" t="s">
        <v>5059</v>
      </c>
      <c r="B797" t="s">
        <v>5060</v>
      </c>
      <c r="C797" t="s">
        <v>47</v>
      </c>
      <c r="D797">
        <v>1</v>
      </c>
      <c r="E797">
        <v>1</v>
      </c>
      <c r="F797" t="s">
        <v>77</v>
      </c>
      <c r="G797" s="1">
        <v>1751.25</v>
      </c>
      <c r="H797">
        <v>0</v>
      </c>
      <c r="I797">
        <v>0.5</v>
      </c>
      <c r="J797">
        <v>1</v>
      </c>
      <c r="K797">
        <v>1</v>
      </c>
      <c r="L797">
        <f t="shared" si="48"/>
        <v>2</v>
      </c>
      <c r="M797">
        <v>0</v>
      </c>
      <c r="N797">
        <v>0</v>
      </c>
      <c r="O797">
        <v>2</v>
      </c>
      <c r="P797" s="1">
        <f t="shared" si="49"/>
        <v>0</v>
      </c>
      <c r="Q797">
        <f t="shared" si="50"/>
        <v>2</v>
      </c>
      <c r="R797" s="1">
        <f t="shared" si="51"/>
        <v>3502.5</v>
      </c>
    </row>
    <row r="798" spans="1:18" hidden="1" x14ac:dyDescent="0.3">
      <c r="A798" t="s">
        <v>5061</v>
      </c>
      <c r="B798" t="s">
        <v>5062</v>
      </c>
      <c r="C798" t="s">
        <v>47</v>
      </c>
      <c r="D798">
        <v>1</v>
      </c>
      <c r="E798">
        <v>2</v>
      </c>
      <c r="F798" t="s">
        <v>77</v>
      </c>
      <c r="G798" s="1">
        <v>1751.25</v>
      </c>
      <c r="H798">
        <v>0</v>
      </c>
      <c r="I798">
        <v>0.5</v>
      </c>
      <c r="J798">
        <v>2</v>
      </c>
      <c r="K798">
        <v>1</v>
      </c>
      <c r="L798">
        <f t="shared" si="48"/>
        <v>2</v>
      </c>
      <c r="M798">
        <v>0</v>
      </c>
      <c r="N798">
        <v>0</v>
      </c>
      <c r="O798">
        <v>5</v>
      </c>
      <c r="P798" s="1">
        <f t="shared" si="49"/>
        <v>0</v>
      </c>
      <c r="Q798">
        <f t="shared" si="50"/>
        <v>5</v>
      </c>
      <c r="R798" s="1">
        <f t="shared" si="51"/>
        <v>8756.25</v>
      </c>
    </row>
    <row r="799" spans="1:18" hidden="1" x14ac:dyDescent="0.3">
      <c r="A799" t="s">
        <v>5063</v>
      </c>
      <c r="B799" t="s">
        <v>5064</v>
      </c>
      <c r="C799" t="s">
        <v>47</v>
      </c>
      <c r="D799">
        <v>1</v>
      </c>
      <c r="E799">
        <v>1</v>
      </c>
      <c r="F799" t="s">
        <v>77</v>
      </c>
      <c r="G799" s="1">
        <v>1009.45</v>
      </c>
      <c r="H799">
        <v>0</v>
      </c>
      <c r="I799">
        <v>0.5</v>
      </c>
      <c r="J799">
        <v>1</v>
      </c>
      <c r="K799">
        <v>1</v>
      </c>
      <c r="L799">
        <f t="shared" si="48"/>
        <v>2</v>
      </c>
      <c r="M799">
        <v>0</v>
      </c>
      <c r="N799">
        <v>0</v>
      </c>
      <c r="O799">
        <v>2</v>
      </c>
      <c r="P799" s="1">
        <f t="shared" si="49"/>
        <v>0</v>
      </c>
      <c r="Q799">
        <f t="shared" si="50"/>
        <v>2</v>
      </c>
      <c r="R799" s="1">
        <f t="shared" si="51"/>
        <v>2018.9</v>
      </c>
    </row>
    <row r="800" spans="1:18" hidden="1" x14ac:dyDescent="0.3">
      <c r="A800" t="s">
        <v>5065</v>
      </c>
      <c r="B800" t="s">
        <v>5066</v>
      </c>
      <c r="C800" t="s">
        <v>47</v>
      </c>
      <c r="D800">
        <v>1</v>
      </c>
      <c r="E800">
        <v>1</v>
      </c>
      <c r="F800" t="s">
        <v>77</v>
      </c>
      <c r="G800" s="1">
        <v>1164.75</v>
      </c>
      <c r="H800">
        <v>0</v>
      </c>
      <c r="I800">
        <v>0.5</v>
      </c>
      <c r="J800">
        <v>1</v>
      </c>
      <c r="K800">
        <v>1</v>
      </c>
      <c r="L800">
        <f t="shared" si="48"/>
        <v>2</v>
      </c>
      <c r="M800">
        <v>0</v>
      </c>
      <c r="N800">
        <v>0</v>
      </c>
      <c r="O800">
        <v>2</v>
      </c>
      <c r="P800" s="1">
        <f t="shared" si="49"/>
        <v>0</v>
      </c>
      <c r="Q800">
        <f t="shared" si="50"/>
        <v>2</v>
      </c>
      <c r="R800" s="1">
        <f t="shared" si="51"/>
        <v>2329.5</v>
      </c>
    </row>
    <row r="801" spans="1:18" hidden="1" x14ac:dyDescent="0.3">
      <c r="A801" t="s">
        <v>5067</v>
      </c>
      <c r="B801" t="s">
        <v>5068</v>
      </c>
      <c r="C801" t="s">
        <v>47</v>
      </c>
      <c r="D801">
        <v>1</v>
      </c>
      <c r="E801">
        <v>1</v>
      </c>
      <c r="F801" t="s">
        <v>77</v>
      </c>
      <c r="G801" s="1">
        <v>2104.6999999999998</v>
      </c>
      <c r="H801">
        <v>0</v>
      </c>
      <c r="I801">
        <v>0.5</v>
      </c>
      <c r="J801">
        <v>1</v>
      </c>
      <c r="K801">
        <v>1</v>
      </c>
      <c r="L801">
        <f t="shared" si="48"/>
        <v>2</v>
      </c>
      <c r="M801">
        <v>0</v>
      </c>
      <c r="N801">
        <v>0</v>
      </c>
      <c r="O801">
        <v>2</v>
      </c>
      <c r="P801" s="1">
        <f t="shared" si="49"/>
        <v>0</v>
      </c>
      <c r="Q801">
        <f t="shared" si="50"/>
        <v>2</v>
      </c>
      <c r="R801" s="1">
        <f t="shared" si="51"/>
        <v>4209.3999999999996</v>
      </c>
    </row>
    <row r="802" spans="1:18" hidden="1" x14ac:dyDescent="0.3">
      <c r="A802" t="s">
        <v>5069</v>
      </c>
      <c r="B802" t="s">
        <v>5070</v>
      </c>
      <c r="C802" t="s">
        <v>47</v>
      </c>
      <c r="D802">
        <v>1</v>
      </c>
      <c r="E802">
        <v>2</v>
      </c>
      <c r="F802" t="s">
        <v>77</v>
      </c>
      <c r="G802" s="1">
        <v>1860</v>
      </c>
      <c r="H802">
        <v>0</v>
      </c>
      <c r="I802">
        <v>0.6</v>
      </c>
      <c r="J802">
        <v>2</v>
      </c>
      <c r="K802">
        <v>1</v>
      </c>
      <c r="L802">
        <f t="shared" si="48"/>
        <v>3</v>
      </c>
      <c r="M802">
        <v>0</v>
      </c>
      <c r="N802">
        <v>0</v>
      </c>
      <c r="O802">
        <v>5</v>
      </c>
      <c r="P802" s="1">
        <f t="shared" si="49"/>
        <v>0</v>
      </c>
      <c r="Q802">
        <f t="shared" si="50"/>
        <v>5</v>
      </c>
      <c r="R802" s="1">
        <f t="shared" si="51"/>
        <v>9300</v>
      </c>
    </row>
    <row r="803" spans="1:18" hidden="1" x14ac:dyDescent="0.3">
      <c r="A803" t="s">
        <v>5071</v>
      </c>
      <c r="B803" t="s">
        <v>5072</v>
      </c>
      <c r="C803" t="s">
        <v>47</v>
      </c>
      <c r="D803">
        <v>10</v>
      </c>
      <c r="E803">
        <v>5</v>
      </c>
      <c r="F803" t="s">
        <v>77</v>
      </c>
      <c r="G803" s="1">
        <v>1611.15</v>
      </c>
      <c r="H803">
        <v>0</v>
      </c>
      <c r="I803">
        <v>0.5</v>
      </c>
      <c r="J803">
        <v>1</v>
      </c>
      <c r="K803">
        <v>1</v>
      </c>
      <c r="L803">
        <f t="shared" si="48"/>
        <v>2</v>
      </c>
      <c r="M803">
        <v>0</v>
      </c>
      <c r="N803">
        <v>0</v>
      </c>
      <c r="O803">
        <v>2</v>
      </c>
      <c r="P803" s="1">
        <f t="shared" si="49"/>
        <v>0</v>
      </c>
      <c r="Q803">
        <f t="shared" si="50"/>
        <v>2</v>
      </c>
      <c r="R803" s="1">
        <f t="shared" si="51"/>
        <v>3222.3</v>
      </c>
    </row>
    <row r="804" spans="1:18" hidden="1" x14ac:dyDescent="0.3">
      <c r="A804" t="s">
        <v>5073</v>
      </c>
      <c r="B804" t="s">
        <v>5074</v>
      </c>
      <c r="C804" t="s">
        <v>47</v>
      </c>
      <c r="D804">
        <v>1</v>
      </c>
      <c r="E804">
        <v>3</v>
      </c>
      <c r="F804" t="s">
        <v>77</v>
      </c>
      <c r="G804" s="1">
        <v>2086.5</v>
      </c>
      <c r="H804">
        <v>0</v>
      </c>
      <c r="I804">
        <v>0.5</v>
      </c>
      <c r="J804">
        <v>3</v>
      </c>
      <c r="K804">
        <v>2</v>
      </c>
      <c r="L804">
        <f t="shared" si="48"/>
        <v>4</v>
      </c>
      <c r="M804">
        <v>0</v>
      </c>
      <c r="N804">
        <v>0</v>
      </c>
      <c r="O804">
        <v>8</v>
      </c>
      <c r="P804" s="1">
        <f t="shared" si="49"/>
        <v>0</v>
      </c>
      <c r="Q804">
        <f t="shared" si="50"/>
        <v>8</v>
      </c>
      <c r="R804" s="1">
        <f t="shared" si="51"/>
        <v>16692</v>
      </c>
    </row>
    <row r="805" spans="1:18" hidden="1" x14ac:dyDescent="0.3">
      <c r="A805" t="s">
        <v>5075</v>
      </c>
      <c r="B805" t="s">
        <v>5076</v>
      </c>
      <c r="C805" t="s">
        <v>47</v>
      </c>
      <c r="D805">
        <v>7</v>
      </c>
      <c r="E805">
        <v>9</v>
      </c>
      <c r="F805" t="s">
        <v>77</v>
      </c>
      <c r="G805" s="1">
        <v>2442.91</v>
      </c>
      <c r="H805">
        <v>0</v>
      </c>
      <c r="I805">
        <v>0.5</v>
      </c>
      <c r="J805">
        <v>1.5</v>
      </c>
      <c r="K805">
        <v>1</v>
      </c>
      <c r="L805">
        <f t="shared" si="48"/>
        <v>2</v>
      </c>
      <c r="M805">
        <v>0</v>
      </c>
      <c r="N805">
        <v>0</v>
      </c>
      <c r="O805">
        <v>4</v>
      </c>
      <c r="P805" s="1">
        <f t="shared" si="49"/>
        <v>0</v>
      </c>
      <c r="Q805">
        <f t="shared" si="50"/>
        <v>4</v>
      </c>
      <c r="R805" s="1">
        <f t="shared" si="51"/>
        <v>9771.64</v>
      </c>
    </row>
    <row r="806" spans="1:18" hidden="1" x14ac:dyDescent="0.3">
      <c r="A806" t="s">
        <v>5077</v>
      </c>
      <c r="B806" t="s">
        <v>5078</v>
      </c>
      <c r="C806" t="s">
        <v>47</v>
      </c>
      <c r="D806">
        <v>1</v>
      </c>
      <c r="E806">
        <v>1</v>
      </c>
      <c r="F806" t="s">
        <v>77</v>
      </c>
      <c r="G806" s="1">
        <v>1860</v>
      </c>
      <c r="H806">
        <v>0</v>
      </c>
      <c r="I806">
        <v>0.5</v>
      </c>
      <c r="J806">
        <v>1</v>
      </c>
      <c r="K806">
        <v>1</v>
      </c>
      <c r="L806">
        <f t="shared" si="48"/>
        <v>2</v>
      </c>
      <c r="M806">
        <v>0</v>
      </c>
      <c r="N806">
        <v>0</v>
      </c>
      <c r="O806">
        <v>2</v>
      </c>
      <c r="P806" s="1">
        <f t="shared" si="49"/>
        <v>0</v>
      </c>
      <c r="Q806">
        <f t="shared" si="50"/>
        <v>2</v>
      </c>
      <c r="R806" s="1">
        <f t="shared" si="51"/>
        <v>3720</v>
      </c>
    </row>
    <row r="807" spans="1:18" hidden="1" x14ac:dyDescent="0.3">
      <c r="A807" t="s">
        <v>5079</v>
      </c>
      <c r="B807" t="s">
        <v>5080</v>
      </c>
      <c r="C807" t="s">
        <v>47</v>
      </c>
      <c r="D807">
        <v>9</v>
      </c>
      <c r="E807">
        <v>8</v>
      </c>
      <c r="F807" t="s">
        <v>77</v>
      </c>
      <c r="G807" s="1">
        <v>1576.12</v>
      </c>
      <c r="H807">
        <v>0</v>
      </c>
      <c r="I807">
        <v>0.5</v>
      </c>
      <c r="J807">
        <v>1</v>
      </c>
      <c r="K807">
        <v>1</v>
      </c>
      <c r="L807">
        <f t="shared" si="48"/>
        <v>2</v>
      </c>
      <c r="M807">
        <v>0</v>
      </c>
      <c r="N807">
        <v>0</v>
      </c>
      <c r="O807">
        <v>2</v>
      </c>
      <c r="P807" s="1">
        <f t="shared" si="49"/>
        <v>0</v>
      </c>
      <c r="Q807">
        <f t="shared" si="50"/>
        <v>2</v>
      </c>
      <c r="R807" s="1">
        <f t="shared" si="51"/>
        <v>3152.24</v>
      </c>
    </row>
    <row r="808" spans="1:18" hidden="1" x14ac:dyDescent="0.3">
      <c r="A808" t="s">
        <v>5081</v>
      </c>
      <c r="B808" t="s">
        <v>5082</v>
      </c>
      <c r="C808" t="s">
        <v>47</v>
      </c>
      <c r="D808">
        <v>1</v>
      </c>
      <c r="E808">
        <v>3</v>
      </c>
      <c r="F808" t="s">
        <v>77</v>
      </c>
      <c r="G808" s="1">
        <v>1076.25</v>
      </c>
      <c r="H808">
        <v>0</v>
      </c>
      <c r="I808">
        <v>0.5</v>
      </c>
      <c r="J808">
        <v>3</v>
      </c>
      <c r="K808">
        <v>2</v>
      </c>
      <c r="L808">
        <f t="shared" si="48"/>
        <v>4</v>
      </c>
      <c r="M808">
        <v>0</v>
      </c>
      <c r="N808">
        <v>0</v>
      </c>
      <c r="O808">
        <v>8</v>
      </c>
      <c r="P808" s="1">
        <f t="shared" si="49"/>
        <v>0</v>
      </c>
      <c r="Q808">
        <f t="shared" si="50"/>
        <v>8</v>
      </c>
      <c r="R808" s="1">
        <f t="shared" si="51"/>
        <v>8610</v>
      </c>
    </row>
    <row r="809" spans="1:18" hidden="1" x14ac:dyDescent="0.3">
      <c r="A809" t="s">
        <v>5083</v>
      </c>
      <c r="B809" t="s">
        <v>5084</v>
      </c>
      <c r="C809" t="s">
        <v>47</v>
      </c>
      <c r="D809">
        <v>1</v>
      </c>
      <c r="E809">
        <v>3</v>
      </c>
      <c r="F809" t="s">
        <v>77</v>
      </c>
      <c r="G809" s="1">
        <v>782.25</v>
      </c>
      <c r="H809">
        <v>0</v>
      </c>
      <c r="I809">
        <v>0.5</v>
      </c>
      <c r="J809">
        <v>3</v>
      </c>
      <c r="K809">
        <v>2</v>
      </c>
      <c r="L809">
        <f t="shared" si="48"/>
        <v>4</v>
      </c>
      <c r="M809">
        <v>0</v>
      </c>
      <c r="N809">
        <v>0</v>
      </c>
      <c r="O809">
        <v>8</v>
      </c>
      <c r="P809" s="1">
        <f t="shared" si="49"/>
        <v>0</v>
      </c>
      <c r="Q809">
        <f t="shared" si="50"/>
        <v>8</v>
      </c>
      <c r="R809" s="1">
        <f t="shared" si="51"/>
        <v>6258</v>
      </c>
    </row>
    <row r="810" spans="1:18" hidden="1" x14ac:dyDescent="0.3">
      <c r="A810" t="s">
        <v>5085</v>
      </c>
      <c r="B810" t="s">
        <v>5086</v>
      </c>
      <c r="C810" t="s">
        <v>47</v>
      </c>
      <c r="D810">
        <v>1</v>
      </c>
      <c r="E810">
        <v>2</v>
      </c>
      <c r="F810" t="s">
        <v>77</v>
      </c>
      <c r="G810" s="1">
        <v>1751.25</v>
      </c>
      <c r="H810">
        <v>0</v>
      </c>
      <c r="I810">
        <v>0.5</v>
      </c>
      <c r="J810">
        <v>2</v>
      </c>
      <c r="K810">
        <v>1</v>
      </c>
      <c r="L810">
        <f t="shared" si="48"/>
        <v>2</v>
      </c>
      <c r="M810">
        <v>0</v>
      </c>
      <c r="N810">
        <v>0</v>
      </c>
      <c r="O810">
        <v>5</v>
      </c>
      <c r="P810" s="1">
        <f t="shared" si="49"/>
        <v>0</v>
      </c>
      <c r="Q810">
        <f t="shared" si="50"/>
        <v>5</v>
      </c>
      <c r="R810" s="1">
        <f t="shared" si="51"/>
        <v>8756.25</v>
      </c>
    </row>
    <row r="811" spans="1:18" hidden="1" x14ac:dyDescent="0.3">
      <c r="A811" t="s">
        <v>5087</v>
      </c>
      <c r="B811" t="s">
        <v>5088</v>
      </c>
      <c r="C811" t="s">
        <v>47</v>
      </c>
      <c r="D811">
        <v>1</v>
      </c>
      <c r="E811">
        <v>2</v>
      </c>
      <c r="F811" t="s">
        <v>77</v>
      </c>
      <c r="G811" s="1">
        <v>1751.25</v>
      </c>
      <c r="H811">
        <v>0</v>
      </c>
      <c r="I811">
        <v>0.5</v>
      </c>
      <c r="J811">
        <v>2</v>
      </c>
      <c r="K811">
        <v>1</v>
      </c>
      <c r="L811">
        <f t="shared" si="48"/>
        <v>2</v>
      </c>
      <c r="M811">
        <v>0</v>
      </c>
      <c r="N811">
        <v>0</v>
      </c>
      <c r="O811">
        <v>5</v>
      </c>
      <c r="P811" s="1">
        <f t="shared" si="49"/>
        <v>0</v>
      </c>
      <c r="Q811">
        <f t="shared" si="50"/>
        <v>5</v>
      </c>
      <c r="R811" s="1">
        <f t="shared" si="51"/>
        <v>8756.25</v>
      </c>
    </row>
    <row r="812" spans="1:18" hidden="1" x14ac:dyDescent="0.3">
      <c r="A812" t="s">
        <v>5089</v>
      </c>
      <c r="B812" t="s">
        <v>5090</v>
      </c>
      <c r="C812" t="s">
        <v>47</v>
      </c>
      <c r="D812">
        <v>1</v>
      </c>
      <c r="E812">
        <v>1</v>
      </c>
      <c r="F812" t="s">
        <v>77</v>
      </c>
      <c r="G812" s="1">
        <v>1324.5</v>
      </c>
      <c r="H812">
        <v>0</v>
      </c>
      <c r="I812">
        <v>0.5</v>
      </c>
      <c r="J812">
        <v>1</v>
      </c>
      <c r="K812">
        <v>1</v>
      </c>
      <c r="L812">
        <f t="shared" si="48"/>
        <v>2</v>
      </c>
      <c r="M812">
        <v>0</v>
      </c>
      <c r="N812">
        <v>0</v>
      </c>
      <c r="O812">
        <v>2</v>
      </c>
      <c r="P812" s="1">
        <f t="shared" si="49"/>
        <v>0</v>
      </c>
      <c r="Q812">
        <f t="shared" si="50"/>
        <v>2</v>
      </c>
      <c r="R812" s="1">
        <f t="shared" si="51"/>
        <v>2649</v>
      </c>
    </row>
    <row r="813" spans="1:18" hidden="1" x14ac:dyDescent="0.3">
      <c r="A813" t="s">
        <v>5091</v>
      </c>
      <c r="B813" t="s">
        <v>5092</v>
      </c>
      <c r="C813" t="s">
        <v>47</v>
      </c>
      <c r="D813">
        <v>3</v>
      </c>
      <c r="E813">
        <v>4</v>
      </c>
      <c r="F813" t="s">
        <v>77</v>
      </c>
      <c r="G813" s="1">
        <v>2145.8200000000002</v>
      </c>
      <c r="H813">
        <v>0</v>
      </c>
      <c r="I813">
        <v>0.5</v>
      </c>
      <c r="J813">
        <v>1.5</v>
      </c>
      <c r="K813">
        <v>1</v>
      </c>
      <c r="L813">
        <f t="shared" si="48"/>
        <v>2</v>
      </c>
      <c r="M813">
        <v>0</v>
      </c>
      <c r="N813">
        <v>0</v>
      </c>
      <c r="O813">
        <v>4</v>
      </c>
      <c r="P813" s="1">
        <f t="shared" si="49"/>
        <v>0</v>
      </c>
      <c r="Q813">
        <f t="shared" si="50"/>
        <v>4</v>
      </c>
      <c r="R813" s="1">
        <f t="shared" si="51"/>
        <v>8583.2800000000007</v>
      </c>
    </row>
    <row r="814" spans="1:18" hidden="1" x14ac:dyDescent="0.3">
      <c r="A814" t="s">
        <v>5093</v>
      </c>
      <c r="B814" t="s">
        <v>5094</v>
      </c>
      <c r="C814" t="s">
        <v>47</v>
      </c>
      <c r="D814">
        <v>2</v>
      </c>
      <c r="E814">
        <v>4</v>
      </c>
      <c r="F814" t="s">
        <v>77</v>
      </c>
      <c r="G814" s="1">
        <v>1736</v>
      </c>
      <c r="H814">
        <v>0</v>
      </c>
      <c r="I814">
        <v>0.5</v>
      </c>
      <c r="J814">
        <v>2</v>
      </c>
      <c r="K814">
        <v>1</v>
      </c>
      <c r="L814">
        <f t="shared" si="48"/>
        <v>2</v>
      </c>
      <c r="M814">
        <v>0</v>
      </c>
      <c r="N814">
        <v>0</v>
      </c>
      <c r="O814">
        <v>5</v>
      </c>
      <c r="P814" s="1">
        <f t="shared" si="49"/>
        <v>0</v>
      </c>
      <c r="Q814">
        <f t="shared" si="50"/>
        <v>5</v>
      </c>
      <c r="R814" s="1">
        <f t="shared" si="51"/>
        <v>8680</v>
      </c>
    </row>
    <row r="815" spans="1:18" hidden="1" x14ac:dyDescent="0.3">
      <c r="A815" t="s">
        <v>5095</v>
      </c>
      <c r="B815" t="s">
        <v>5096</v>
      </c>
      <c r="C815" t="s">
        <v>47</v>
      </c>
      <c r="D815">
        <v>13</v>
      </c>
      <c r="E815">
        <v>15</v>
      </c>
      <c r="F815" t="s">
        <v>77</v>
      </c>
      <c r="G815" s="1">
        <v>1664.65</v>
      </c>
      <c r="H815">
        <v>0</v>
      </c>
      <c r="I815">
        <v>0.5</v>
      </c>
      <c r="J815">
        <v>1.5</v>
      </c>
      <c r="K815">
        <v>1</v>
      </c>
      <c r="L815">
        <f t="shared" si="48"/>
        <v>2</v>
      </c>
      <c r="M815">
        <v>0</v>
      </c>
      <c r="N815">
        <v>0</v>
      </c>
      <c r="O815">
        <v>4</v>
      </c>
      <c r="P815" s="1">
        <f t="shared" si="49"/>
        <v>0</v>
      </c>
      <c r="Q815">
        <f t="shared" si="50"/>
        <v>4</v>
      </c>
      <c r="R815" s="1">
        <f t="shared" si="51"/>
        <v>6658.6</v>
      </c>
    </row>
    <row r="816" spans="1:18" hidden="1" x14ac:dyDescent="0.3">
      <c r="A816" t="s">
        <v>5097</v>
      </c>
      <c r="B816" t="s">
        <v>5098</v>
      </c>
      <c r="C816" t="s">
        <v>47</v>
      </c>
      <c r="D816">
        <v>8</v>
      </c>
      <c r="E816">
        <v>3</v>
      </c>
      <c r="F816" t="s">
        <v>77</v>
      </c>
      <c r="G816" s="1">
        <v>1732.25</v>
      </c>
      <c r="H816">
        <v>0</v>
      </c>
      <c r="I816">
        <v>0.5</v>
      </c>
      <c r="J816">
        <v>1</v>
      </c>
      <c r="K816">
        <v>1</v>
      </c>
      <c r="L816">
        <f t="shared" si="48"/>
        <v>2</v>
      </c>
      <c r="M816">
        <v>0</v>
      </c>
      <c r="N816">
        <v>0</v>
      </c>
      <c r="O816">
        <v>2</v>
      </c>
      <c r="P816" s="1">
        <f t="shared" si="49"/>
        <v>0</v>
      </c>
      <c r="Q816">
        <f t="shared" si="50"/>
        <v>2</v>
      </c>
      <c r="R816" s="1">
        <f t="shared" si="51"/>
        <v>3464.5</v>
      </c>
    </row>
    <row r="817" spans="1:18" hidden="1" x14ac:dyDescent="0.3">
      <c r="A817" t="s">
        <v>5099</v>
      </c>
      <c r="B817" t="s">
        <v>5100</v>
      </c>
      <c r="C817" t="s">
        <v>47</v>
      </c>
      <c r="D817">
        <v>1</v>
      </c>
      <c r="E817">
        <v>5</v>
      </c>
      <c r="F817" t="s">
        <v>77</v>
      </c>
      <c r="G817" s="1">
        <v>1753.95</v>
      </c>
      <c r="H817">
        <v>0</v>
      </c>
      <c r="I817">
        <v>0.5</v>
      </c>
      <c r="J817">
        <v>5</v>
      </c>
      <c r="K817">
        <v>2</v>
      </c>
      <c r="L817">
        <f t="shared" si="48"/>
        <v>5</v>
      </c>
      <c r="M817">
        <v>0</v>
      </c>
      <c r="N817">
        <v>0</v>
      </c>
      <c r="O817">
        <v>12</v>
      </c>
      <c r="P817" s="1">
        <f t="shared" si="49"/>
        <v>0</v>
      </c>
      <c r="Q817">
        <f t="shared" si="50"/>
        <v>12</v>
      </c>
      <c r="R817" s="1">
        <f t="shared" si="51"/>
        <v>21047.4</v>
      </c>
    </row>
    <row r="818" spans="1:18" hidden="1" x14ac:dyDescent="0.3">
      <c r="A818" t="s">
        <v>5101</v>
      </c>
      <c r="B818" t="s">
        <v>5102</v>
      </c>
      <c r="C818" t="s">
        <v>47</v>
      </c>
      <c r="D818">
        <v>1</v>
      </c>
      <c r="E818">
        <v>1</v>
      </c>
      <c r="F818" t="s">
        <v>77</v>
      </c>
      <c r="G818" s="1">
        <v>1612</v>
      </c>
      <c r="H818">
        <v>0</v>
      </c>
      <c r="I818">
        <v>0.5</v>
      </c>
      <c r="J818">
        <v>1</v>
      </c>
      <c r="K818">
        <v>1</v>
      </c>
      <c r="L818">
        <f t="shared" si="48"/>
        <v>2</v>
      </c>
      <c r="M818">
        <v>0</v>
      </c>
      <c r="N818">
        <v>0</v>
      </c>
      <c r="O818">
        <v>2</v>
      </c>
      <c r="P818" s="1">
        <f t="shared" si="49"/>
        <v>0</v>
      </c>
      <c r="Q818">
        <f t="shared" si="50"/>
        <v>2</v>
      </c>
      <c r="R818" s="1">
        <f t="shared" si="51"/>
        <v>3224</v>
      </c>
    </row>
    <row r="819" spans="1:18" hidden="1" x14ac:dyDescent="0.3">
      <c r="A819" t="s">
        <v>5103</v>
      </c>
      <c r="B819" t="s">
        <v>5104</v>
      </c>
      <c r="C819" t="s">
        <v>47</v>
      </c>
      <c r="D819">
        <v>1</v>
      </c>
      <c r="E819">
        <v>9</v>
      </c>
      <c r="F819" t="s">
        <v>77</v>
      </c>
      <c r="G819" s="1">
        <v>2562</v>
      </c>
      <c r="H819">
        <v>1</v>
      </c>
      <c r="I819">
        <v>0.5</v>
      </c>
      <c r="J819">
        <v>9</v>
      </c>
      <c r="K819">
        <v>4</v>
      </c>
      <c r="L819">
        <f t="shared" si="48"/>
        <v>9</v>
      </c>
      <c r="M819">
        <v>0</v>
      </c>
      <c r="N819">
        <v>0</v>
      </c>
      <c r="O819">
        <v>22</v>
      </c>
      <c r="P819" s="1">
        <f t="shared" si="49"/>
        <v>0</v>
      </c>
      <c r="Q819">
        <f t="shared" si="50"/>
        <v>22</v>
      </c>
      <c r="R819" s="1">
        <f t="shared" si="51"/>
        <v>56364</v>
      </c>
    </row>
    <row r="820" spans="1:18" hidden="1" x14ac:dyDescent="0.3">
      <c r="A820" t="s">
        <v>5105</v>
      </c>
      <c r="B820" t="s">
        <v>5106</v>
      </c>
      <c r="C820" t="s">
        <v>47</v>
      </c>
      <c r="D820">
        <v>1</v>
      </c>
      <c r="E820">
        <v>1</v>
      </c>
      <c r="F820" t="s">
        <v>77</v>
      </c>
      <c r="G820" s="1">
        <v>2505.75</v>
      </c>
      <c r="H820">
        <v>0</v>
      </c>
      <c r="I820">
        <v>0.5</v>
      </c>
      <c r="J820">
        <v>1</v>
      </c>
      <c r="K820">
        <v>1</v>
      </c>
      <c r="L820">
        <f t="shared" si="48"/>
        <v>2</v>
      </c>
      <c r="M820">
        <v>0</v>
      </c>
      <c r="N820">
        <v>0</v>
      </c>
      <c r="O820">
        <v>2</v>
      </c>
      <c r="P820" s="1">
        <f t="shared" si="49"/>
        <v>0</v>
      </c>
      <c r="Q820">
        <f t="shared" si="50"/>
        <v>2</v>
      </c>
      <c r="R820" s="1">
        <f t="shared" si="51"/>
        <v>5011.5</v>
      </c>
    </row>
    <row r="821" spans="1:18" hidden="1" x14ac:dyDescent="0.3">
      <c r="A821" t="s">
        <v>5107</v>
      </c>
      <c r="B821" t="s">
        <v>5108</v>
      </c>
      <c r="C821" t="s">
        <v>47</v>
      </c>
      <c r="D821">
        <v>1</v>
      </c>
      <c r="E821">
        <v>1</v>
      </c>
      <c r="F821" t="s">
        <v>77</v>
      </c>
      <c r="G821" s="1">
        <v>2594.15</v>
      </c>
      <c r="H821">
        <v>0</v>
      </c>
      <c r="I821">
        <v>0.5</v>
      </c>
      <c r="J821">
        <v>1</v>
      </c>
      <c r="K821">
        <v>1</v>
      </c>
      <c r="L821">
        <f t="shared" si="48"/>
        <v>2</v>
      </c>
      <c r="M821">
        <v>0</v>
      </c>
      <c r="N821">
        <v>0</v>
      </c>
      <c r="O821">
        <v>2</v>
      </c>
      <c r="P821" s="1">
        <f t="shared" si="49"/>
        <v>0</v>
      </c>
      <c r="Q821">
        <f t="shared" si="50"/>
        <v>2</v>
      </c>
      <c r="R821" s="1">
        <f t="shared" si="51"/>
        <v>5188.3</v>
      </c>
    </row>
    <row r="822" spans="1:18" hidden="1" x14ac:dyDescent="0.3">
      <c r="A822" t="s">
        <v>5109</v>
      </c>
      <c r="B822" t="s">
        <v>5110</v>
      </c>
      <c r="C822" t="s">
        <v>47</v>
      </c>
      <c r="D822">
        <v>5</v>
      </c>
      <c r="E822">
        <v>2</v>
      </c>
      <c r="F822" t="s">
        <v>77</v>
      </c>
      <c r="G822" s="1">
        <v>2993.25</v>
      </c>
      <c r="H822">
        <v>0</v>
      </c>
      <c r="I822">
        <v>0.5</v>
      </c>
      <c r="J822">
        <v>1</v>
      </c>
      <c r="K822">
        <v>1</v>
      </c>
      <c r="L822">
        <f t="shared" si="48"/>
        <v>2</v>
      </c>
      <c r="M822">
        <v>0</v>
      </c>
      <c r="N822">
        <v>0</v>
      </c>
      <c r="O822">
        <v>2</v>
      </c>
      <c r="P822" s="1">
        <f t="shared" si="49"/>
        <v>0</v>
      </c>
      <c r="Q822">
        <f t="shared" si="50"/>
        <v>2</v>
      </c>
      <c r="R822" s="1">
        <f t="shared" si="51"/>
        <v>5986.5</v>
      </c>
    </row>
    <row r="823" spans="1:18" hidden="1" x14ac:dyDescent="0.3">
      <c r="A823" t="s">
        <v>5111</v>
      </c>
      <c r="B823" t="s">
        <v>5112</v>
      </c>
      <c r="C823" t="s">
        <v>47</v>
      </c>
      <c r="D823">
        <v>1</v>
      </c>
      <c r="E823">
        <v>0</v>
      </c>
      <c r="G823" s="1">
        <v>0</v>
      </c>
      <c r="H823">
        <v>0</v>
      </c>
      <c r="I823">
        <v>0.5</v>
      </c>
      <c r="J823">
        <v>1</v>
      </c>
      <c r="K823">
        <v>1</v>
      </c>
      <c r="L823">
        <f t="shared" si="48"/>
        <v>2</v>
      </c>
      <c r="M823">
        <v>0</v>
      </c>
      <c r="N823">
        <v>0</v>
      </c>
      <c r="O823">
        <v>2</v>
      </c>
      <c r="P823" s="1">
        <f t="shared" si="49"/>
        <v>0</v>
      </c>
      <c r="Q823">
        <f t="shared" si="50"/>
        <v>2</v>
      </c>
      <c r="R823" s="1">
        <f t="shared" si="51"/>
        <v>0</v>
      </c>
    </row>
    <row r="824" spans="1:18" hidden="1" x14ac:dyDescent="0.3">
      <c r="A824" t="s">
        <v>5113</v>
      </c>
      <c r="B824" t="s">
        <v>5114</v>
      </c>
      <c r="C824" t="s">
        <v>47</v>
      </c>
      <c r="D824">
        <v>5</v>
      </c>
      <c r="E824">
        <v>2</v>
      </c>
      <c r="F824" t="s">
        <v>181</v>
      </c>
      <c r="G824" s="1">
        <v>1249</v>
      </c>
      <c r="H824">
        <v>1</v>
      </c>
      <c r="I824">
        <v>1.2</v>
      </c>
      <c r="J824">
        <v>1</v>
      </c>
      <c r="K824">
        <v>1</v>
      </c>
      <c r="L824">
        <f t="shared" si="48"/>
        <v>3</v>
      </c>
      <c r="M824">
        <v>0</v>
      </c>
      <c r="N824">
        <v>0</v>
      </c>
      <c r="O824">
        <v>3</v>
      </c>
      <c r="P824" s="1">
        <f t="shared" si="49"/>
        <v>0</v>
      </c>
      <c r="Q824">
        <f t="shared" si="50"/>
        <v>3</v>
      </c>
      <c r="R824" s="1">
        <f t="shared" si="51"/>
        <v>3747</v>
      </c>
    </row>
    <row r="825" spans="1:18" hidden="1" x14ac:dyDescent="0.3">
      <c r="A825" t="s">
        <v>5115</v>
      </c>
      <c r="B825" t="s">
        <v>5116</v>
      </c>
      <c r="C825" t="s">
        <v>47</v>
      </c>
      <c r="D825">
        <v>10</v>
      </c>
      <c r="E825">
        <v>1</v>
      </c>
      <c r="F825" t="s">
        <v>181</v>
      </c>
      <c r="G825" s="1">
        <v>1249</v>
      </c>
      <c r="H825">
        <v>2</v>
      </c>
      <c r="I825">
        <v>1.2</v>
      </c>
      <c r="J825">
        <v>1</v>
      </c>
      <c r="K825">
        <v>1</v>
      </c>
      <c r="L825">
        <f t="shared" si="48"/>
        <v>3</v>
      </c>
      <c r="M825">
        <v>0</v>
      </c>
      <c r="N825">
        <v>0</v>
      </c>
      <c r="O825">
        <v>3</v>
      </c>
      <c r="P825" s="1">
        <f t="shared" si="49"/>
        <v>0</v>
      </c>
      <c r="Q825">
        <f t="shared" si="50"/>
        <v>3</v>
      </c>
      <c r="R825" s="1">
        <f t="shared" si="51"/>
        <v>3747</v>
      </c>
    </row>
    <row r="826" spans="1:18" hidden="1" x14ac:dyDescent="0.3">
      <c r="A826" t="s">
        <v>5117</v>
      </c>
      <c r="B826" t="s">
        <v>5118</v>
      </c>
      <c r="C826" t="s">
        <v>47</v>
      </c>
      <c r="D826">
        <v>6</v>
      </c>
      <c r="E826">
        <v>3</v>
      </c>
      <c r="F826" t="s">
        <v>181</v>
      </c>
      <c r="G826" s="1">
        <v>3706.67</v>
      </c>
      <c r="H826">
        <v>0</v>
      </c>
      <c r="I826">
        <v>0.7</v>
      </c>
      <c r="J826">
        <v>1</v>
      </c>
      <c r="K826">
        <v>1</v>
      </c>
      <c r="L826">
        <f t="shared" si="48"/>
        <v>2</v>
      </c>
      <c r="M826">
        <v>0</v>
      </c>
      <c r="N826">
        <v>0</v>
      </c>
      <c r="O826">
        <v>3</v>
      </c>
      <c r="P826" s="1">
        <f t="shared" si="49"/>
        <v>0</v>
      </c>
      <c r="Q826">
        <f t="shared" si="50"/>
        <v>3</v>
      </c>
      <c r="R826" s="1">
        <f t="shared" si="51"/>
        <v>11120.01</v>
      </c>
    </row>
    <row r="827" spans="1:18" hidden="1" x14ac:dyDescent="0.3">
      <c r="A827" t="s">
        <v>5119</v>
      </c>
      <c r="B827" t="s">
        <v>5120</v>
      </c>
      <c r="C827" t="s">
        <v>47</v>
      </c>
      <c r="D827">
        <v>11</v>
      </c>
      <c r="E827">
        <v>3</v>
      </c>
      <c r="F827" t="s">
        <v>181</v>
      </c>
      <c r="G827" s="1">
        <v>2287.33</v>
      </c>
      <c r="H827">
        <v>0</v>
      </c>
      <c r="I827">
        <v>0.6</v>
      </c>
      <c r="J827">
        <v>1</v>
      </c>
      <c r="K827">
        <v>1</v>
      </c>
      <c r="L827">
        <f t="shared" si="48"/>
        <v>2</v>
      </c>
      <c r="M827">
        <v>0</v>
      </c>
      <c r="N827">
        <v>0</v>
      </c>
      <c r="O827">
        <v>3</v>
      </c>
      <c r="P827" s="1">
        <f t="shared" si="49"/>
        <v>0</v>
      </c>
      <c r="Q827">
        <f t="shared" si="50"/>
        <v>3</v>
      </c>
      <c r="R827" s="1">
        <f t="shared" si="51"/>
        <v>6861.99</v>
      </c>
    </row>
    <row r="828" spans="1:18" hidden="1" x14ac:dyDescent="0.3">
      <c r="A828" t="s">
        <v>5121</v>
      </c>
      <c r="B828" t="s">
        <v>5122</v>
      </c>
      <c r="C828" t="s">
        <v>47</v>
      </c>
      <c r="D828">
        <v>1</v>
      </c>
      <c r="E828">
        <v>1</v>
      </c>
      <c r="F828" t="s">
        <v>181</v>
      </c>
      <c r="G828" s="1">
        <v>1249</v>
      </c>
      <c r="H828">
        <v>0</v>
      </c>
      <c r="I828">
        <v>1.2</v>
      </c>
      <c r="J828">
        <v>1</v>
      </c>
      <c r="K828">
        <v>1</v>
      </c>
      <c r="L828">
        <f t="shared" si="48"/>
        <v>3</v>
      </c>
      <c r="M828">
        <v>0</v>
      </c>
      <c r="N828">
        <v>0</v>
      </c>
      <c r="O828">
        <v>3</v>
      </c>
      <c r="P828" s="1">
        <f t="shared" si="49"/>
        <v>0</v>
      </c>
      <c r="Q828">
        <f t="shared" si="50"/>
        <v>3</v>
      </c>
      <c r="R828" s="1">
        <f t="shared" si="51"/>
        <v>3747</v>
      </c>
    </row>
    <row r="829" spans="1:18" hidden="1" x14ac:dyDescent="0.3">
      <c r="A829" t="s">
        <v>5123</v>
      </c>
      <c r="B829" t="s">
        <v>3903</v>
      </c>
      <c r="C829" t="s">
        <v>47</v>
      </c>
      <c r="D829">
        <v>5</v>
      </c>
      <c r="E829">
        <v>12</v>
      </c>
      <c r="F829" t="s">
        <v>181</v>
      </c>
      <c r="G829" s="1">
        <v>1600</v>
      </c>
      <c r="H829">
        <v>0</v>
      </c>
      <c r="I829">
        <v>0.5</v>
      </c>
      <c r="J829">
        <v>2.5</v>
      </c>
      <c r="K829">
        <v>1</v>
      </c>
      <c r="L829">
        <f t="shared" si="48"/>
        <v>3</v>
      </c>
      <c r="M829">
        <v>0</v>
      </c>
      <c r="N829">
        <v>0</v>
      </c>
      <c r="O829">
        <v>6</v>
      </c>
      <c r="P829" s="1">
        <f t="shared" si="49"/>
        <v>0</v>
      </c>
      <c r="Q829">
        <f t="shared" si="50"/>
        <v>6</v>
      </c>
      <c r="R829" s="1">
        <f t="shared" si="51"/>
        <v>9600</v>
      </c>
    </row>
    <row r="830" spans="1:18" hidden="1" x14ac:dyDescent="0.3">
      <c r="A830" t="s">
        <v>5124</v>
      </c>
      <c r="B830" t="s">
        <v>5125</v>
      </c>
      <c r="C830" t="s">
        <v>47</v>
      </c>
      <c r="D830">
        <v>1</v>
      </c>
      <c r="E830">
        <v>0</v>
      </c>
      <c r="G830" s="1">
        <v>0</v>
      </c>
      <c r="H830">
        <v>0</v>
      </c>
      <c r="I830">
        <v>0.5</v>
      </c>
      <c r="J830">
        <v>1</v>
      </c>
      <c r="K830">
        <v>1</v>
      </c>
      <c r="L830">
        <f t="shared" si="48"/>
        <v>2</v>
      </c>
      <c r="M830">
        <v>0</v>
      </c>
      <c r="N830">
        <v>0</v>
      </c>
      <c r="O830">
        <v>2</v>
      </c>
      <c r="P830" s="1">
        <f t="shared" si="49"/>
        <v>0</v>
      </c>
      <c r="Q830">
        <f t="shared" si="50"/>
        <v>2</v>
      </c>
      <c r="R830" s="1">
        <f t="shared" si="51"/>
        <v>0</v>
      </c>
    </row>
    <row r="831" spans="1:18" hidden="1" x14ac:dyDescent="0.3">
      <c r="A831" t="s">
        <v>5126</v>
      </c>
      <c r="B831" t="s">
        <v>5127</v>
      </c>
      <c r="C831" t="s">
        <v>47</v>
      </c>
      <c r="D831">
        <v>1</v>
      </c>
      <c r="E831">
        <v>3</v>
      </c>
      <c r="F831" t="s">
        <v>77</v>
      </c>
      <c r="G831" s="1">
        <v>2104.6999999999998</v>
      </c>
      <c r="H831">
        <v>1</v>
      </c>
      <c r="I831">
        <v>0.5</v>
      </c>
      <c r="J831">
        <v>3</v>
      </c>
      <c r="K831">
        <v>2</v>
      </c>
      <c r="L831">
        <f t="shared" si="48"/>
        <v>4</v>
      </c>
      <c r="M831">
        <v>0</v>
      </c>
      <c r="N831">
        <v>0</v>
      </c>
      <c r="O831">
        <v>8</v>
      </c>
      <c r="P831" s="1">
        <f t="shared" si="49"/>
        <v>0</v>
      </c>
      <c r="Q831">
        <f t="shared" si="50"/>
        <v>8</v>
      </c>
      <c r="R831" s="1">
        <f t="shared" si="51"/>
        <v>16837.599999999999</v>
      </c>
    </row>
    <row r="832" spans="1:18" hidden="1" x14ac:dyDescent="0.3">
      <c r="A832" t="s">
        <v>5128</v>
      </c>
      <c r="B832" t="s">
        <v>5129</v>
      </c>
      <c r="C832" t="s">
        <v>47</v>
      </c>
      <c r="D832">
        <v>7</v>
      </c>
      <c r="E832">
        <v>2</v>
      </c>
      <c r="F832" t="s">
        <v>1073</v>
      </c>
      <c r="G832" s="1">
        <v>7509.5</v>
      </c>
      <c r="H832">
        <v>1</v>
      </c>
      <c r="I832">
        <v>0.5</v>
      </c>
      <c r="J832">
        <v>1</v>
      </c>
      <c r="K832">
        <v>1</v>
      </c>
      <c r="L832">
        <f t="shared" si="48"/>
        <v>2</v>
      </c>
      <c r="M832">
        <v>0</v>
      </c>
      <c r="N832">
        <v>0</v>
      </c>
      <c r="O832">
        <v>2</v>
      </c>
      <c r="P832" s="1">
        <f t="shared" si="49"/>
        <v>0</v>
      </c>
      <c r="Q832">
        <f t="shared" si="50"/>
        <v>2</v>
      </c>
      <c r="R832" s="1">
        <f t="shared" si="51"/>
        <v>15019</v>
      </c>
    </row>
    <row r="833" spans="1:18" hidden="1" x14ac:dyDescent="0.3">
      <c r="A833" t="s">
        <v>5130</v>
      </c>
      <c r="B833" t="s">
        <v>5131</v>
      </c>
      <c r="C833" t="s">
        <v>47</v>
      </c>
      <c r="D833">
        <v>1</v>
      </c>
      <c r="E833">
        <v>1</v>
      </c>
      <c r="F833" t="s">
        <v>77</v>
      </c>
      <c r="G833" s="1">
        <v>1517.75</v>
      </c>
      <c r="H833">
        <v>0</v>
      </c>
      <c r="I833">
        <v>0.5</v>
      </c>
      <c r="J833">
        <v>1</v>
      </c>
      <c r="K833">
        <v>1</v>
      </c>
      <c r="L833">
        <f t="shared" si="48"/>
        <v>2</v>
      </c>
      <c r="M833">
        <v>0</v>
      </c>
      <c r="N833">
        <v>0</v>
      </c>
      <c r="O833">
        <v>2</v>
      </c>
      <c r="P833" s="1">
        <f t="shared" si="49"/>
        <v>0</v>
      </c>
      <c r="Q833">
        <f t="shared" si="50"/>
        <v>2</v>
      </c>
      <c r="R833" s="1">
        <f t="shared" si="51"/>
        <v>3035.5</v>
      </c>
    </row>
    <row r="834" spans="1:18" hidden="1" x14ac:dyDescent="0.3">
      <c r="A834" t="s">
        <v>5132</v>
      </c>
      <c r="B834" t="s">
        <v>5133</v>
      </c>
      <c r="C834" t="s">
        <v>47</v>
      </c>
      <c r="D834">
        <v>1</v>
      </c>
      <c r="E834">
        <v>3</v>
      </c>
      <c r="F834" t="s">
        <v>77</v>
      </c>
      <c r="G834" s="1">
        <v>2323.75</v>
      </c>
      <c r="H834">
        <v>0</v>
      </c>
      <c r="I834">
        <v>0.5</v>
      </c>
      <c r="J834">
        <v>3</v>
      </c>
      <c r="K834">
        <v>2</v>
      </c>
      <c r="L834">
        <f t="shared" ref="L834:L897" si="52">ROUNDUP((J834*I834)+K834,0)</f>
        <v>4</v>
      </c>
      <c r="M834">
        <v>0</v>
      </c>
      <c r="N834">
        <v>0</v>
      </c>
      <c r="O834">
        <v>8</v>
      </c>
      <c r="P834" s="1">
        <f t="shared" ref="P834:P897" si="53">IFERROR(M834*G834,0)</f>
        <v>0</v>
      </c>
      <c r="Q834">
        <f t="shared" ref="Q834:Q897" si="54">IF(O834-M834-N834&gt;0,O834-M834-N834,0)</f>
        <v>8</v>
      </c>
      <c r="R834" s="1">
        <f t="shared" ref="R834:R897" si="55">IFERROR(Q834*G834,0)</f>
        <v>18590</v>
      </c>
    </row>
    <row r="835" spans="1:18" hidden="1" x14ac:dyDescent="0.3">
      <c r="A835" t="s">
        <v>5134</v>
      </c>
      <c r="B835" t="s">
        <v>5135</v>
      </c>
      <c r="C835" t="s">
        <v>47</v>
      </c>
      <c r="D835">
        <v>1</v>
      </c>
      <c r="E835">
        <v>3</v>
      </c>
      <c r="F835" t="s">
        <v>77</v>
      </c>
      <c r="G835" s="1">
        <v>1517.75</v>
      </c>
      <c r="H835">
        <v>0</v>
      </c>
      <c r="I835">
        <v>0.5</v>
      </c>
      <c r="J835">
        <v>3</v>
      </c>
      <c r="K835">
        <v>2</v>
      </c>
      <c r="L835">
        <f t="shared" si="52"/>
        <v>4</v>
      </c>
      <c r="M835">
        <v>0</v>
      </c>
      <c r="N835">
        <v>0</v>
      </c>
      <c r="O835">
        <v>8</v>
      </c>
      <c r="P835" s="1">
        <f t="shared" si="53"/>
        <v>0</v>
      </c>
      <c r="Q835">
        <f t="shared" si="54"/>
        <v>8</v>
      </c>
      <c r="R835" s="1">
        <f t="shared" si="55"/>
        <v>12142</v>
      </c>
    </row>
    <row r="836" spans="1:18" hidden="1" x14ac:dyDescent="0.3">
      <c r="A836" t="s">
        <v>5136</v>
      </c>
      <c r="B836" t="s">
        <v>5137</v>
      </c>
      <c r="C836" t="s">
        <v>47</v>
      </c>
      <c r="D836">
        <v>1</v>
      </c>
      <c r="E836">
        <v>2</v>
      </c>
      <c r="F836" t="s">
        <v>77</v>
      </c>
      <c r="G836" s="1">
        <v>1517.75</v>
      </c>
      <c r="H836">
        <v>0</v>
      </c>
      <c r="I836">
        <v>0.5</v>
      </c>
      <c r="J836">
        <v>2</v>
      </c>
      <c r="K836">
        <v>1</v>
      </c>
      <c r="L836">
        <f t="shared" si="52"/>
        <v>2</v>
      </c>
      <c r="M836">
        <v>0</v>
      </c>
      <c r="N836">
        <v>0</v>
      </c>
      <c r="O836">
        <v>5</v>
      </c>
      <c r="P836" s="1">
        <f t="shared" si="53"/>
        <v>0</v>
      </c>
      <c r="Q836">
        <f t="shared" si="54"/>
        <v>5</v>
      </c>
      <c r="R836" s="1">
        <f t="shared" si="55"/>
        <v>7588.75</v>
      </c>
    </row>
    <row r="837" spans="1:18" hidden="1" x14ac:dyDescent="0.3">
      <c r="A837" t="s">
        <v>5138</v>
      </c>
      <c r="B837" t="s">
        <v>5139</v>
      </c>
      <c r="C837" t="s">
        <v>47</v>
      </c>
      <c r="D837">
        <v>1</v>
      </c>
      <c r="E837">
        <v>1</v>
      </c>
      <c r="F837" t="s">
        <v>77</v>
      </c>
      <c r="G837" s="1">
        <v>2323.75</v>
      </c>
      <c r="H837">
        <v>0</v>
      </c>
      <c r="I837">
        <v>0.5</v>
      </c>
      <c r="J837">
        <v>1</v>
      </c>
      <c r="K837">
        <v>1</v>
      </c>
      <c r="L837">
        <f t="shared" si="52"/>
        <v>2</v>
      </c>
      <c r="M837">
        <v>0</v>
      </c>
      <c r="N837">
        <v>0</v>
      </c>
      <c r="O837">
        <v>2</v>
      </c>
      <c r="P837" s="1">
        <f t="shared" si="53"/>
        <v>0</v>
      </c>
      <c r="Q837">
        <f t="shared" si="54"/>
        <v>2</v>
      </c>
      <c r="R837" s="1">
        <f t="shared" si="55"/>
        <v>4647.5</v>
      </c>
    </row>
    <row r="838" spans="1:18" hidden="1" x14ac:dyDescent="0.3">
      <c r="A838" t="s">
        <v>5140</v>
      </c>
      <c r="B838" t="s">
        <v>5141</v>
      </c>
      <c r="C838" t="s">
        <v>47</v>
      </c>
      <c r="D838">
        <v>1</v>
      </c>
      <c r="E838">
        <v>1</v>
      </c>
      <c r="F838" t="s">
        <v>77</v>
      </c>
      <c r="G838" s="1">
        <v>2323.75</v>
      </c>
      <c r="H838">
        <v>0</v>
      </c>
      <c r="I838">
        <v>0.5</v>
      </c>
      <c r="J838">
        <v>1</v>
      </c>
      <c r="K838">
        <v>1</v>
      </c>
      <c r="L838">
        <f t="shared" si="52"/>
        <v>2</v>
      </c>
      <c r="M838">
        <v>0</v>
      </c>
      <c r="N838">
        <v>0</v>
      </c>
      <c r="O838">
        <v>2</v>
      </c>
      <c r="P838" s="1">
        <f t="shared" si="53"/>
        <v>0</v>
      </c>
      <c r="Q838">
        <f t="shared" si="54"/>
        <v>2</v>
      </c>
      <c r="R838" s="1">
        <f t="shared" si="55"/>
        <v>4647.5</v>
      </c>
    </row>
    <row r="839" spans="1:18" hidden="1" x14ac:dyDescent="0.3">
      <c r="A839" t="s">
        <v>5142</v>
      </c>
      <c r="B839" t="s">
        <v>3554</v>
      </c>
      <c r="C839" t="s">
        <v>47</v>
      </c>
      <c r="D839">
        <v>1</v>
      </c>
      <c r="E839">
        <v>0</v>
      </c>
      <c r="G839" s="1">
        <v>0</v>
      </c>
      <c r="H839">
        <v>1</v>
      </c>
      <c r="I839">
        <v>0.5</v>
      </c>
      <c r="J839">
        <v>1</v>
      </c>
      <c r="K839">
        <v>1</v>
      </c>
      <c r="L839">
        <f t="shared" si="52"/>
        <v>2</v>
      </c>
      <c r="M839">
        <v>0</v>
      </c>
      <c r="N839">
        <v>0</v>
      </c>
      <c r="O839">
        <v>2</v>
      </c>
      <c r="P839" s="1">
        <f t="shared" si="53"/>
        <v>0</v>
      </c>
      <c r="Q839">
        <f t="shared" si="54"/>
        <v>2</v>
      </c>
      <c r="R839" s="1">
        <f t="shared" si="55"/>
        <v>0</v>
      </c>
    </row>
    <row r="840" spans="1:18" hidden="1" x14ac:dyDescent="0.3">
      <c r="A840" t="s">
        <v>5143</v>
      </c>
      <c r="B840" t="s">
        <v>5144</v>
      </c>
      <c r="C840" t="s">
        <v>47</v>
      </c>
      <c r="D840">
        <v>1</v>
      </c>
      <c r="E840">
        <v>2</v>
      </c>
      <c r="F840" t="s">
        <v>3497</v>
      </c>
      <c r="G840" s="1">
        <v>600</v>
      </c>
      <c r="H840">
        <v>0</v>
      </c>
      <c r="I840">
        <v>0.5</v>
      </c>
      <c r="J840">
        <v>2</v>
      </c>
      <c r="K840">
        <v>1</v>
      </c>
      <c r="L840">
        <f t="shared" si="52"/>
        <v>2</v>
      </c>
      <c r="M840">
        <v>0</v>
      </c>
      <c r="N840">
        <v>0</v>
      </c>
      <c r="O840">
        <v>5</v>
      </c>
      <c r="P840" s="1">
        <f t="shared" si="53"/>
        <v>0</v>
      </c>
      <c r="Q840">
        <f t="shared" si="54"/>
        <v>5</v>
      </c>
      <c r="R840" s="1">
        <f t="shared" si="55"/>
        <v>3000</v>
      </c>
    </row>
    <row r="841" spans="1:18" hidden="1" x14ac:dyDescent="0.3">
      <c r="A841" t="s">
        <v>5145</v>
      </c>
      <c r="B841" t="s">
        <v>5146</v>
      </c>
      <c r="C841" t="s">
        <v>47</v>
      </c>
      <c r="D841">
        <v>1</v>
      </c>
      <c r="E841">
        <v>1</v>
      </c>
      <c r="F841" t="s">
        <v>2757</v>
      </c>
      <c r="G841" s="1">
        <v>2955.79</v>
      </c>
      <c r="H841">
        <v>0</v>
      </c>
      <c r="I841">
        <v>2.7</v>
      </c>
      <c r="J841">
        <v>1</v>
      </c>
      <c r="K841">
        <v>3</v>
      </c>
      <c r="L841">
        <f t="shared" si="52"/>
        <v>6</v>
      </c>
      <c r="M841">
        <v>0</v>
      </c>
      <c r="N841">
        <v>0</v>
      </c>
      <c r="O841">
        <v>5</v>
      </c>
      <c r="P841" s="1">
        <f t="shared" si="53"/>
        <v>0</v>
      </c>
      <c r="Q841">
        <f t="shared" si="54"/>
        <v>5</v>
      </c>
      <c r="R841" s="1">
        <f t="shared" si="55"/>
        <v>14778.95</v>
      </c>
    </row>
    <row r="842" spans="1:18" hidden="1" x14ac:dyDescent="0.3">
      <c r="A842" t="s">
        <v>5147</v>
      </c>
      <c r="B842" t="s">
        <v>5148</v>
      </c>
      <c r="C842" t="s">
        <v>47</v>
      </c>
      <c r="D842">
        <v>5</v>
      </c>
      <c r="E842">
        <v>2</v>
      </c>
      <c r="F842" t="s">
        <v>5149</v>
      </c>
      <c r="G842" s="1">
        <v>9478.26</v>
      </c>
      <c r="H842">
        <v>0</v>
      </c>
      <c r="I842">
        <v>0.5</v>
      </c>
      <c r="J842">
        <v>1</v>
      </c>
      <c r="K842">
        <v>1</v>
      </c>
      <c r="L842">
        <f t="shared" si="52"/>
        <v>2</v>
      </c>
      <c r="M842">
        <v>0</v>
      </c>
      <c r="N842">
        <v>0</v>
      </c>
      <c r="O842">
        <v>2</v>
      </c>
      <c r="P842" s="1">
        <f t="shared" si="53"/>
        <v>0</v>
      </c>
      <c r="Q842">
        <f t="shared" si="54"/>
        <v>2</v>
      </c>
      <c r="R842" s="1">
        <f t="shared" si="55"/>
        <v>18956.52</v>
      </c>
    </row>
    <row r="843" spans="1:18" hidden="1" x14ac:dyDescent="0.3">
      <c r="A843" t="s">
        <v>5150</v>
      </c>
      <c r="B843" t="s">
        <v>5151</v>
      </c>
      <c r="C843" t="s">
        <v>47</v>
      </c>
      <c r="D843">
        <v>1</v>
      </c>
      <c r="E843">
        <v>0</v>
      </c>
      <c r="G843" s="1">
        <v>0</v>
      </c>
      <c r="H843">
        <v>0</v>
      </c>
      <c r="I843">
        <v>0.5</v>
      </c>
      <c r="J843">
        <v>1</v>
      </c>
      <c r="K843">
        <v>1</v>
      </c>
      <c r="L843">
        <f t="shared" si="52"/>
        <v>2</v>
      </c>
      <c r="M843">
        <v>0</v>
      </c>
      <c r="N843">
        <v>0</v>
      </c>
      <c r="O843">
        <v>2</v>
      </c>
      <c r="P843" s="1">
        <f t="shared" si="53"/>
        <v>0</v>
      </c>
      <c r="Q843">
        <f t="shared" si="54"/>
        <v>2</v>
      </c>
      <c r="R843" s="1">
        <f t="shared" si="55"/>
        <v>0</v>
      </c>
    </row>
    <row r="844" spans="1:18" hidden="1" x14ac:dyDescent="0.3">
      <c r="A844" t="s">
        <v>5152</v>
      </c>
      <c r="B844" t="s">
        <v>5153</v>
      </c>
      <c r="C844" t="s">
        <v>47</v>
      </c>
      <c r="D844">
        <v>1</v>
      </c>
      <c r="E844">
        <v>0</v>
      </c>
      <c r="G844" s="1">
        <v>0</v>
      </c>
      <c r="H844">
        <v>0</v>
      </c>
      <c r="I844">
        <v>0.5</v>
      </c>
      <c r="J844">
        <v>1</v>
      </c>
      <c r="K844">
        <v>1</v>
      </c>
      <c r="L844">
        <f t="shared" si="52"/>
        <v>2</v>
      </c>
      <c r="M844">
        <v>0</v>
      </c>
      <c r="N844">
        <v>0</v>
      </c>
      <c r="O844">
        <v>2</v>
      </c>
      <c r="P844" s="1">
        <f t="shared" si="53"/>
        <v>0</v>
      </c>
      <c r="Q844">
        <f t="shared" si="54"/>
        <v>2</v>
      </c>
      <c r="R844" s="1">
        <f t="shared" si="55"/>
        <v>0</v>
      </c>
    </row>
    <row r="845" spans="1:18" hidden="1" x14ac:dyDescent="0.3">
      <c r="A845" t="s">
        <v>5154</v>
      </c>
      <c r="B845" t="s">
        <v>5155</v>
      </c>
      <c r="C845" t="s">
        <v>47</v>
      </c>
      <c r="D845">
        <v>1</v>
      </c>
      <c r="E845">
        <v>0</v>
      </c>
      <c r="G845" s="1">
        <v>0</v>
      </c>
      <c r="H845">
        <v>0</v>
      </c>
      <c r="I845">
        <v>0.5</v>
      </c>
      <c r="J845">
        <v>1</v>
      </c>
      <c r="K845">
        <v>1</v>
      </c>
      <c r="L845">
        <f t="shared" si="52"/>
        <v>2</v>
      </c>
      <c r="M845">
        <v>0</v>
      </c>
      <c r="N845">
        <v>0</v>
      </c>
      <c r="O845">
        <v>2</v>
      </c>
      <c r="P845" s="1">
        <f t="shared" si="53"/>
        <v>0</v>
      </c>
      <c r="Q845">
        <f t="shared" si="54"/>
        <v>2</v>
      </c>
      <c r="R845" s="1">
        <f t="shared" si="55"/>
        <v>0</v>
      </c>
    </row>
    <row r="846" spans="1:18" hidden="1" x14ac:dyDescent="0.3">
      <c r="A846" t="s">
        <v>5156</v>
      </c>
      <c r="B846" t="s">
        <v>5157</v>
      </c>
      <c r="C846" t="s">
        <v>47</v>
      </c>
      <c r="D846">
        <v>1</v>
      </c>
      <c r="E846">
        <v>0</v>
      </c>
      <c r="G846" s="1">
        <v>0</v>
      </c>
      <c r="H846">
        <v>0</v>
      </c>
      <c r="I846">
        <v>0.5</v>
      </c>
      <c r="J846">
        <v>1</v>
      </c>
      <c r="K846">
        <v>1</v>
      </c>
      <c r="L846">
        <f t="shared" si="52"/>
        <v>2</v>
      </c>
      <c r="M846">
        <v>0</v>
      </c>
      <c r="N846">
        <v>0</v>
      </c>
      <c r="O846">
        <v>2</v>
      </c>
      <c r="P846" s="1">
        <f t="shared" si="53"/>
        <v>0</v>
      </c>
      <c r="Q846">
        <f t="shared" si="54"/>
        <v>2</v>
      </c>
      <c r="R846" s="1">
        <f t="shared" si="55"/>
        <v>0</v>
      </c>
    </row>
    <row r="847" spans="1:18" hidden="1" x14ac:dyDescent="0.3">
      <c r="A847" t="s">
        <v>5158</v>
      </c>
      <c r="B847" t="s">
        <v>5159</v>
      </c>
      <c r="C847" t="s">
        <v>47</v>
      </c>
      <c r="D847">
        <v>1</v>
      </c>
      <c r="E847">
        <v>0</v>
      </c>
      <c r="G847" s="1">
        <v>0</v>
      </c>
      <c r="H847">
        <v>0</v>
      </c>
      <c r="I847">
        <v>0.5</v>
      </c>
      <c r="J847">
        <v>1</v>
      </c>
      <c r="K847">
        <v>1</v>
      </c>
      <c r="L847">
        <f t="shared" si="52"/>
        <v>2</v>
      </c>
      <c r="M847">
        <v>0</v>
      </c>
      <c r="N847">
        <v>0</v>
      </c>
      <c r="O847">
        <v>2</v>
      </c>
      <c r="P847" s="1">
        <f t="shared" si="53"/>
        <v>0</v>
      </c>
      <c r="Q847">
        <f t="shared" si="54"/>
        <v>2</v>
      </c>
      <c r="R847" s="1">
        <f t="shared" si="55"/>
        <v>0</v>
      </c>
    </row>
    <row r="848" spans="1:18" hidden="1" x14ac:dyDescent="0.3">
      <c r="A848" t="s">
        <v>5160</v>
      </c>
      <c r="B848" t="s">
        <v>5161</v>
      </c>
      <c r="C848" t="s">
        <v>47</v>
      </c>
      <c r="D848">
        <v>1</v>
      </c>
      <c r="E848">
        <v>1</v>
      </c>
      <c r="F848" t="s">
        <v>1073</v>
      </c>
      <c r="G848" s="1">
        <v>74600</v>
      </c>
      <c r="H848">
        <v>0</v>
      </c>
      <c r="I848">
        <v>0.7</v>
      </c>
      <c r="J848">
        <v>1</v>
      </c>
      <c r="K848">
        <v>1</v>
      </c>
      <c r="L848">
        <f t="shared" si="52"/>
        <v>2</v>
      </c>
      <c r="M848">
        <v>0</v>
      </c>
      <c r="N848">
        <v>0</v>
      </c>
      <c r="O848">
        <v>3</v>
      </c>
      <c r="P848" s="1">
        <f t="shared" si="53"/>
        <v>0</v>
      </c>
      <c r="Q848">
        <f t="shared" si="54"/>
        <v>3</v>
      </c>
      <c r="R848" s="1">
        <f t="shared" si="55"/>
        <v>223800</v>
      </c>
    </row>
    <row r="849" spans="1:18" hidden="1" x14ac:dyDescent="0.3">
      <c r="A849" t="s">
        <v>5162</v>
      </c>
      <c r="B849" t="s">
        <v>5163</v>
      </c>
      <c r="C849" t="s">
        <v>47</v>
      </c>
      <c r="D849">
        <v>1</v>
      </c>
      <c r="E849">
        <v>0</v>
      </c>
      <c r="G849" s="1">
        <v>0</v>
      </c>
      <c r="H849">
        <v>0</v>
      </c>
      <c r="I849">
        <v>0.5</v>
      </c>
      <c r="J849">
        <v>1</v>
      </c>
      <c r="K849">
        <v>1</v>
      </c>
      <c r="L849">
        <f t="shared" si="52"/>
        <v>2</v>
      </c>
      <c r="M849">
        <v>0</v>
      </c>
      <c r="N849">
        <v>0</v>
      </c>
      <c r="O849">
        <v>2</v>
      </c>
      <c r="P849" s="1">
        <f t="shared" si="53"/>
        <v>0</v>
      </c>
      <c r="Q849">
        <f t="shared" si="54"/>
        <v>2</v>
      </c>
      <c r="R849" s="1">
        <f t="shared" si="55"/>
        <v>0</v>
      </c>
    </row>
    <row r="850" spans="1:18" hidden="1" x14ac:dyDescent="0.3">
      <c r="A850" t="s">
        <v>5164</v>
      </c>
      <c r="B850" t="s">
        <v>5165</v>
      </c>
      <c r="C850" t="s">
        <v>47</v>
      </c>
      <c r="D850">
        <v>1</v>
      </c>
      <c r="E850">
        <v>0</v>
      </c>
      <c r="G850" s="1">
        <v>0</v>
      </c>
      <c r="H850">
        <v>0</v>
      </c>
      <c r="I850">
        <v>0.5</v>
      </c>
      <c r="J850">
        <v>1</v>
      </c>
      <c r="K850">
        <v>1</v>
      </c>
      <c r="L850">
        <f t="shared" si="52"/>
        <v>2</v>
      </c>
      <c r="M850">
        <v>0</v>
      </c>
      <c r="N850">
        <v>0</v>
      </c>
      <c r="O850">
        <v>2</v>
      </c>
      <c r="P850" s="1">
        <f t="shared" si="53"/>
        <v>0</v>
      </c>
      <c r="Q850">
        <f t="shared" si="54"/>
        <v>2</v>
      </c>
      <c r="R850" s="1">
        <f t="shared" si="55"/>
        <v>0</v>
      </c>
    </row>
    <row r="851" spans="1:18" hidden="1" x14ac:dyDescent="0.3">
      <c r="A851" t="s">
        <v>5166</v>
      </c>
      <c r="B851" t="s">
        <v>5167</v>
      </c>
      <c r="C851" t="s">
        <v>47</v>
      </c>
      <c r="D851">
        <v>1</v>
      </c>
      <c r="E851">
        <v>0</v>
      </c>
      <c r="G851" s="1">
        <v>0</v>
      </c>
      <c r="H851">
        <v>0</v>
      </c>
      <c r="I851">
        <v>0.5</v>
      </c>
      <c r="J851">
        <v>1</v>
      </c>
      <c r="K851">
        <v>1</v>
      </c>
      <c r="L851">
        <f t="shared" si="52"/>
        <v>2</v>
      </c>
      <c r="M851">
        <v>0</v>
      </c>
      <c r="N851">
        <v>0</v>
      </c>
      <c r="O851">
        <v>2</v>
      </c>
      <c r="P851" s="1">
        <f t="shared" si="53"/>
        <v>0</v>
      </c>
      <c r="Q851">
        <f t="shared" si="54"/>
        <v>2</v>
      </c>
      <c r="R851" s="1">
        <f t="shared" si="55"/>
        <v>0</v>
      </c>
    </row>
    <row r="852" spans="1:18" hidden="1" x14ac:dyDescent="0.3">
      <c r="A852" t="s">
        <v>5168</v>
      </c>
      <c r="B852" t="s">
        <v>5169</v>
      </c>
      <c r="C852" t="s">
        <v>47</v>
      </c>
      <c r="D852">
        <v>11</v>
      </c>
      <c r="E852">
        <v>2</v>
      </c>
      <c r="F852" t="s">
        <v>1073</v>
      </c>
      <c r="G852" s="1">
        <v>23613.33</v>
      </c>
      <c r="H852">
        <v>0</v>
      </c>
      <c r="I852">
        <v>0.6</v>
      </c>
      <c r="J852">
        <v>1</v>
      </c>
      <c r="K852">
        <v>1</v>
      </c>
      <c r="L852">
        <f t="shared" si="52"/>
        <v>2</v>
      </c>
      <c r="M852">
        <v>0</v>
      </c>
      <c r="N852">
        <v>0</v>
      </c>
      <c r="O852">
        <v>3</v>
      </c>
      <c r="P852" s="1">
        <f t="shared" si="53"/>
        <v>0</v>
      </c>
      <c r="Q852">
        <f t="shared" si="54"/>
        <v>3</v>
      </c>
      <c r="R852" s="1">
        <f t="shared" si="55"/>
        <v>70839.990000000005</v>
      </c>
    </row>
    <row r="853" spans="1:18" hidden="1" x14ac:dyDescent="0.3">
      <c r="A853" t="s">
        <v>5170</v>
      </c>
      <c r="B853" t="s">
        <v>5171</v>
      </c>
      <c r="C853" t="s">
        <v>47</v>
      </c>
      <c r="D853">
        <v>1</v>
      </c>
      <c r="E853">
        <v>0</v>
      </c>
      <c r="G853" s="1">
        <v>0</v>
      </c>
      <c r="H853">
        <v>0</v>
      </c>
      <c r="I853">
        <v>0.5</v>
      </c>
      <c r="J853">
        <v>1</v>
      </c>
      <c r="K853">
        <v>1</v>
      </c>
      <c r="L853">
        <f t="shared" si="52"/>
        <v>2</v>
      </c>
      <c r="M853">
        <v>0</v>
      </c>
      <c r="N853">
        <v>0</v>
      </c>
      <c r="O853">
        <v>2</v>
      </c>
      <c r="P853" s="1">
        <f t="shared" si="53"/>
        <v>0</v>
      </c>
      <c r="Q853">
        <f t="shared" si="54"/>
        <v>2</v>
      </c>
      <c r="R853" s="1">
        <f t="shared" si="55"/>
        <v>0</v>
      </c>
    </row>
    <row r="854" spans="1:18" hidden="1" x14ac:dyDescent="0.3">
      <c r="A854" t="s">
        <v>5172</v>
      </c>
      <c r="B854" t="s">
        <v>5173</v>
      </c>
      <c r="C854" t="s">
        <v>47</v>
      </c>
      <c r="D854">
        <v>19</v>
      </c>
      <c r="E854">
        <v>2</v>
      </c>
      <c r="F854" t="s">
        <v>1073</v>
      </c>
      <c r="G854" s="1">
        <v>4750</v>
      </c>
      <c r="H854">
        <v>2</v>
      </c>
      <c r="I854">
        <v>0.7</v>
      </c>
      <c r="J854">
        <v>1</v>
      </c>
      <c r="K854">
        <v>1</v>
      </c>
      <c r="L854">
        <f t="shared" si="52"/>
        <v>2</v>
      </c>
      <c r="M854">
        <v>0</v>
      </c>
      <c r="N854">
        <v>0</v>
      </c>
      <c r="O854">
        <v>3</v>
      </c>
      <c r="P854" s="1">
        <f t="shared" si="53"/>
        <v>0</v>
      </c>
      <c r="Q854">
        <f t="shared" si="54"/>
        <v>3</v>
      </c>
      <c r="R854" s="1">
        <f t="shared" si="55"/>
        <v>14250</v>
      </c>
    </row>
    <row r="855" spans="1:18" hidden="1" x14ac:dyDescent="0.3">
      <c r="A855" t="s">
        <v>5174</v>
      </c>
      <c r="B855" t="s">
        <v>5175</v>
      </c>
      <c r="C855" t="s">
        <v>47</v>
      </c>
      <c r="D855">
        <v>1</v>
      </c>
      <c r="E855">
        <v>0</v>
      </c>
      <c r="G855" s="1">
        <v>0</v>
      </c>
      <c r="H855">
        <v>0</v>
      </c>
      <c r="I855">
        <v>0.5</v>
      </c>
      <c r="J855">
        <v>1</v>
      </c>
      <c r="K855">
        <v>1</v>
      </c>
      <c r="L855">
        <f t="shared" si="52"/>
        <v>2</v>
      </c>
      <c r="M855">
        <v>0</v>
      </c>
      <c r="N855">
        <v>0</v>
      </c>
      <c r="O855">
        <v>2</v>
      </c>
      <c r="P855" s="1">
        <f t="shared" si="53"/>
        <v>0</v>
      </c>
      <c r="Q855">
        <f t="shared" si="54"/>
        <v>2</v>
      </c>
      <c r="R855" s="1">
        <f t="shared" si="55"/>
        <v>0</v>
      </c>
    </row>
    <row r="856" spans="1:18" hidden="1" x14ac:dyDescent="0.3">
      <c r="A856" t="s">
        <v>5176</v>
      </c>
      <c r="B856" t="s">
        <v>5177</v>
      </c>
      <c r="C856" t="s">
        <v>47</v>
      </c>
      <c r="D856">
        <v>1</v>
      </c>
      <c r="E856">
        <v>0</v>
      </c>
      <c r="G856" s="1">
        <v>0</v>
      </c>
      <c r="H856">
        <v>0</v>
      </c>
      <c r="I856">
        <v>0.5</v>
      </c>
      <c r="J856">
        <v>1</v>
      </c>
      <c r="K856">
        <v>1</v>
      </c>
      <c r="L856">
        <f t="shared" si="52"/>
        <v>2</v>
      </c>
      <c r="M856">
        <v>0</v>
      </c>
      <c r="N856">
        <v>0</v>
      </c>
      <c r="O856">
        <v>2</v>
      </c>
      <c r="P856" s="1">
        <f t="shared" si="53"/>
        <v>0</v>
      </c>
      <c r="Q856">
        <f t="shared" si="54"/>
        <v>2</v>
      </c>
      <c r="R856" s="1">
        <f t="shared" si="55"/>
        <v>0</v>
      </c>
    </row>
    <row r="857" spans="1:18" hidden="1" x14ac:dyDescent="0.3">
      <c r="A857" t="s">
        <v>5178</v>
      </c>
      <c r="B857" t="s">
        <v>5179</v>
      </c>
      <c r="C857" t="s">
        <v>47</v>
      </c>
      <c r="D857">
        <v>9</v>
      </c>
      <c r="E857">
        <v>0</v>
      </c>
      <c r="G857" s="1">
        <v>0</v>
      </c>
      <c r="H857">
        <v>2</v>
      </c>
      <c r="I857">
        <v>0.5</v>
      </c>
      <c r="J857">
        <v>1</v>
      </c>
      <c r="K857">
        <v>1</v>
      </c>
      <c r="L857">
        <f t="shared" si="52"/>
        <v>2</v>
      </c>
      <c r="M857">
        <v>0</v>
      </c>
      <c r="N857">
        <v>0</v>
      </c>
      <c r="O857">
        <v>2</v>
      </c>
      <c r="P857" s="1">
        <f t="shared" si="53"/>
        <v>0</v>
      </c>
      <c r="Q857">
        <f t="shared" si="54"/>
        <v>2</v>
      </c>
      <c r="R857" s="1">
        <f t="shared" si="55"/>
        <v>0</v>
      </c>
    </row>
    <row r="858" spans="1:18" hidden="1" x14ac:dyDescent="0.3">
      <c r="A858" t="s">
        <v>5180</v>
      </c>
      <c r="B858" t="s">
        <v>5181</v>
      </c>
      <c r="C858" t="s">
        <v>47</v>
      </c>
      <c r="D858">
        <v>1</v>
      </c>
      <c r="E858">
        <v>0</v>
      </c>
      <c r="G858" s="1">
        <v>0</v>
      </c>
      <c r="H858">
        <v>0</v>
      </c>
      <c r="I858">
        <v>0.5</v>
      </c>
      <c r="J858">
        <v>1</v>
      </c>
      <c r="K858">
        <v>1</v>
      </c>
      <c r="L858">
        <f t="shared" si="52"/>
        <v>2</v>
      </c>
      <c r="M858">
        <v>0</v>
      </c>
      <c r="N858">
        <v>0</v>
      </c>
      <c r="O858">
        <v>2</v>
      </c>
      <c r="P858" s="1">
        <f t="shared" si="53"/>
        <v>0</v>
      </c>
      <c r="Q858">
        <f t="shared" si="54"/>
        <v>2</v>
      </c>
      <c r="R858" s="1">
        <f t="shared" si="55"/>
        <v>0</v>
      </c>
    </row>
    <row r="859" spans="1:18" hidden="1" x14ac:dyDescent="0.3">
      <c r="A859" t="s">
        <v>5182</v>
      </c>
      <c r="B859" t="s">
        <v>5183</v>
      </c>
      <c r="C859" t="s">
        <v>47</v>
      </c>
      <c r="D859">
        <v>1</v>
      </c>
      <c r="E859">
        <v>0</v>
      </c>
      <c r="G859" s="1">
        <v>0</v>
      </c>
      <c r="H859">
        <v>0</v>
      </c>
      <c r="I859">
        <v>0.5</v>
      </c>
      <c r="J859">
        <v>1</v>
      </c>
      <c r="K859">
        <v>1</v>
      </c>
      <c r="L859">
        <f t="shared" si="52"/>
        <v>2</v>
      </c>
      <c r="M859">
        <v>0</v>
      </c>
      <c r="N859">
        <v>0</v>
      </c>
      <c r="O859">
        <v>2</v>
      </c>
      <c r="P859" s="1">
        <f t="shared" si="53"/>
        <v>0</v>
      </c>
      <c r="Q859">
        <f t="shared" si="54"/>
        <v>2</v>
      </c>
      <c r="R859" s="1">
        <f t="shared" si="55"/>
        <v>0</v>
      </c>
    </row>
    <row r="860" spans="1:18" hidden="1" x14ac:dyDescent="0.3">
      <c r="A860" t="s">
        <v>5184</v>
      </c>
      <c r="B860" t="s">
        <v>5185</v>
      </c>
      <c r="C860" t="s">
        <v>47</v>
      </c>
      <c r="D860">
        <v>1</v>
      </c>
      <c r="E860">
        <v>1</v>
      </c>
      <c r="F860" t="s">
        <v>3046</v>
      </c>
      <c r="G860" s="1">
        <v>931.76</v>
      </c>
      <c r="H860">
        <v>0</v>
      </c>
      <c r="I860">
        <v>0.5</v>
      </c>
      <c r="J860">
        <v>1</v>
      </c>
      <c r="K860">
        <v>1</v>
      </c>
      <c r="L860">
        <f t="shared" si="52"/>
        <v>2</v>
      </c>
      <c r="M860">
        <v>0</v>
      </c>
      <c r="N860">
        <v>0</v>
      </c>
      <c r="O860">
        <v>2</v>
      </c>
      <c r="P860" s="1">
        <f t="shared" si="53"/>
        <v>0</v>
      </c>
      <c r="Q860">
        <f t="shared" si="54"/>
        <v>2</v>
      </c>
      <c r="R860" s="1">
        <f t="shared" si="55"/>
        <v>1863.52</v>
      </c>
    </row>
    <row r="861" spans="1:18" hidden="1" x14ac:dyDescent="0.3">
      <c r="A861" t="s">
        <v>5186</v>
      </c>
      <c r="B861" t="s">
        <v>5187</v>
      </c>
      <c r="C861" t="s">
        <v>47</v>
      </c>
      <c r="D861">
        <v>1</v>
      </c>
      <c r="E861">
        <v>1</v>
      </c>
      <c r="F861" t="s">
        <v>3046</v>
      </c>
      <c r="G861" s="1">
        <v>931.76</v>
      </c>
      <c r="H861">
        <v>0</v>
      </c>
      <c r="I861">
        <v>0.5</v>
      </c>
      <c r="J861">
        <v>1</v>
      </c>
      <c r="K861">
        <v>1</v>
      </c>
      <c r="L861">
        <f t="shared" si="52"/>
        <v>2</v>
      </c>
      <c r="M861">
        <v>0</v>
      </c>
      <c r="N861">
        <v>0</v>
      </c>
      <c r="O861">
        <v>2</v>
      </c>
      <c r="P861" s="1">
        <f t="shared" si="53"/>
        <v>0</v>
      </c>
      <c r="Q861">
        <f t="shared" si="54"/>
        <v>2</v>
      </c>
      <c r="R861" s="1">
        <f t="shared" si="55"/>
        <v>1863.52</v>
      </c>
    </row>
    <row r="862" spans="1:18" hidden="1" x14ac:dyDescent="0.3">
      <c r="A862" t="s">
        <v>5188</v>
      </c>
      <c r="B862" t="s">
        <v>5189</v>
      </c>
      <c r="C862" t="s">
        <v>47</v>
      </c>
      <c r="D862">
        <v>1</v>
      </c>
      <c r="E862">
        <v>2</v>
      </c>
      <c r="F862" t="s">
        <v>3046</v>
      </c>
      <c r="G862" s="1">
        <v>194.15</v>
      </c>
      <c r="H862">
        <v>0</v>
      </c>
      <c r="I862">
        <v>0.5</v>
      </c>
      <c r="J862">
        <v>2</v>
      </c>
      <c r="K862">
        <v>1</v>
      </c>
      <c r="L862">
        <f t="shared" si="52"/>
        <v>2</v>
      </c>
      <c r="M862">
        <v>0</v>
      </c>
      <c r="N862">
        <v>0</v>
      </c>
      <c r="O862">
        <v>5</v>
      </c>
      <c r="P862" s="1">
        <f t="shared" si="53"/>
        <v>0</v>
      </c>
      <c r="Q862">
        <f t="shared" si="54"/>
        <v>5</v>
      </c>
      <c r="R862" s="1">
        <f t="shared" si="55"/>
        <v>970.75</v>
      </c>
    </row>
    <row r="863" spans="1:18" hidden="1" x14ac:dyDescent="0.3">
      <c r="A863" t="s">
        <v>5190</v>
      </c>
      <c r="B863" t="s">
        <v>5191</v>
      </c>
      <c r="C863" t="s">
        <v>47</v>
      </c>
      <c r="D863">
        <v>1</v>
      </c>
      <c r="E863">
        <v>0</v>
      </c>
      <c r="G863" s="1">
        <v>43631.28</v>
      </c>
      <c r="H863">
        <v>0</v>
      </c>
      <c r="I863">
        <v>0.5</v>
      </c>
      <c r="J863">
        <v>1</v>
      </c>
      <c r="K863">
        <v>1</v>
      </c>
      <c r="L863">
        <f t="shared" si="52"/>
        <v>2</v>
      </c>
      <c r="M863">
        <v>0</v>
      </c>
      <c r="N863">
        <v>0</v>
      </c>
      <c r="O863">
        <v>2</v>
      </c>
      <c r="P863" s="1">
        <f t="shared" si="53"/>
        <v>0</v>
      </c>
      <c r="Q863">
        <f t="shared" si="54"/>
        <v>2</v>
      </c>
      <c r="R863" s="1">
        <f t="shared" si="55"/>
        <v>87262.56</v>
      </c>
    </row>
    <row r="864" spans="1:18" hidden="1" x14ac:dyDescent="0.3">
      <c r="A864" t="s">
        <v>5192</v>
      </c>
      <c r="B864" t="s">
        <v>5193</v>
      </c>
      <c r="C864" t="s">
        <v>47</v>
      </c>
      <c r="D864">
        <v>1</v>
      </c>
      <c r="E864">
        <v>0</v>
      </c>
      <c r="G864" s="1">
        <v>0</v>
      </c>
      <c r="H864">
        <v>0</v>
      </c>
      <c r="I864">
        <v>0.5</v>
      </c>
      <c r="J864">
        <v>1</v>
      </c>
      <c r="K864">
        <v>1</v>
      </c>
      <c r="L864">
        <f t="shared" si="52"/>
        <v>2</v>
      </c>
      <c r="M864">
        <v>0</v>
      </c>
      <c r="N864">
        <v>0</v>
      </c>
      <c r="O864">
        <v>2</v>
      </c>
      <c r="P864" s="1">
        <f t="shared" si="53"/>
        <v>0</v>
      </c>
      <c r="Q864">
        <f t="shared" si="54"/>
        <v>2</v>
      </c>
      <c r="R864" s="1">
        <f t="shared" si="55"/>
        <v>0</v>
      </c>
    </row>
    <row r="865" spans="1:18" hidden="1" x14ac:dyDescent="0.3">
      <c r="A865" t="s">
        <v>5194</v>
      </c>
      <c r="B865" t="s">
        <v>5195</v>
      </c>
      <c r="C865" t="s">
        <v>47</v>
      </c>
      <c r="D865">
        <v>1</v>
      </c>
      <c r="E865">
        <v>0</v>
      </c>
      <c r="G865" s="1">
        <v>0</v>
      </c>
      <c r="H865">
        <v>0</v>
      </c>
      <c r="I865">
        <v>0.5</v>
      </c>
      <c r="J865">
        <v>1</v>
      </c>
      <c r="K865">
        <v>1</v>
      </c>
      <c r="L865">
        <f t="shared" si="52"/>
        <v>2</v>
      </c>
      <c r="M865">
        <v>0</v>
      </c>
      <c r="N865">
        <v>0</v>
      </c>
      <c r="O865">
        <v>2</v>
      </c>
      <c r="P865" s="1">
        <f t="shared" si="53"/>
        <v>0</v>
      </c>
      <c r="Q865">
        <f t="shared" si="54"/>
        <v>2</v>
      </c>
      <c r="R865" s="1">
        <f t="shared" si="55"/>
        <v>0</v>
      </c>
    </row>
    <row r="866" spans="1:18" hidden="1" x14ac:dyDescent="0.3">
      <c r="A866" t="s">
        <v>5196</v>
      </c>
      <c r="B866" t="s">
        <v>5197</v>
      </c>
      <c r="C866" t="s">
        <v>47</v>
      </c>
      <c r="D866">
        <v>1</v>
      </c>
      <c r="E866">
        <v>0</v>
      </c>
      <c r="G866" s="1">
        <v>0</v>
      </c>
      <c r="H866">
        <v>0</v>
      </c>
      <c r="I866">
        <v>0.5</v>
      </c>
      <c r="J866">
        <v>1</v>
      </c>
      <c r="K866">
        <v>1</v>
      </c>
      <c r="L866">
        <f t="shared" si="52"/>
        <v>2</v>
      </c>
      <c r="M866">
        <v>0</v>
      </c>
      <c r="N866">
        <v>0</v>
      </c>
      <c r="O866">
        <v>2</v>
      </c>
      <c r="P866" s="1">
        <f t="shared" si="53"/>
        <v>0</v>
      </c>
      <c r="Q866">
        <f t="shared" si="54"/>
        <v>2</v>
      </c>
      <c r="R866" s="1">
        <f t="shared" si="55"/>
        <v>0</v>
      </c>
    </row>
    <row r="867" spans="1:18" hidden="1" x14ac:dyDescent="0.3">
      <c r="A867" t="s">
        <v>5198</v>
      </c>
      <c r="B867" t="s">
        <v>5199</v>
      </c>
      <c r="C867" t="s">
        <v>47</v>
      </c>
      <c r="D867">
        <v>1</v>
      </c>
      <c r="E867">
        <v>1</v>
      </c>
      <c r="F867" t="s">
        <v>2646</v>
      </c>
      <c r="G867" s="1">
        <v>10899</v>
      </c>
      <c r="H867">
        <v>0</v>
      </c>
      <c r="I867">
        <v>0.5</v>
      </c>
      <c r="J867">
        <v>1</v>
      </c>
      <c r="K867">
        <v>1</v>
      </c>
      <c r="L867">
        <f t="shared" si="52"/>
        <v>2</v>
      </c>
      <c r="M867">
        <v>0</v>
      </c>
      <c r="N867">
        <v>0</v>
      </c>
      <c r="O867">
        <v>2</v>
      </c>
      <c r="P867" s="1">
        <f t="shared" si="53"/>
        <v>0</v>
      </c>
      <c r="Q867">
        <f t="shared" si="54"/>
        <v>2</v>
      </c>
      <c r="R867" s="1">
        <f t="shared" si="55"/>
        <v>21798</v>
      </c>
    </row>
    <row r="868" spans="1:18" hidden="1" x14ac:dyDescent="0.3">
      <c r="A868" t="s">
        <v>5200</v>
      </c>
      <c r="B868" t="s">
        <v>5201</v>
      </c>
      <c r="C868" t="s">
        <v>47</v>
      </c>
      <c r="D868">
        <v>1</v>
      </c>
      <c r="E868">
        <v>0</v>
      </c>
      <c r="F868" t="s">
        <v>2646</v>
      </c>
      <c r="G868" s="1">
        <v>4215</v>
      </c>
      <c r="H868">
        <v>0</v>
      </c>
      <c r="I868">
        <v>0.5</v>
      </c>
      <c r="J868">
        <v>1</v>
      </c>
      <c r="K868">
        <v>1</v>
      </c>
      <c r="L868">
        <f t="shared" si="52"/>
        <v>2</v>
      </c>
      <c r="M868">
        <v>0</v>
      </c>
      <c r="N868">
        <v>0</v>
      </c>
      <c r="O868">
        <v>2</v>
      </c>
      <c r="P868" s="1">
        <f t="shared" si="53"/>
        <v>0</v>
      </c>
      <c r="Q868">
        <f t="shared" si="54"/>
        <v>2</v>
      </c>
      <c r="R868" s="1">
        <f t="shared" si="55"/>
        <v>8430</v>
      </c>
    </row>
    <row r="869" spans="1:18" hidden="1" x14ac:dyDescent="0.3">
      <c r="A869" t="s">
        <v>5202</v>
      </c>
      <c r="B869" t="s">
        <v>5203</v>
      </c>
      <c r="C869" t="s">
        <v>47</v>
      </c>
      <c r="D869">
        <v>1</v>
      </c>
      <c r="E869">
        <v>10</v>
      </c>
      <c r="F869" t="s">
        <v>2646</v>
      </c>
      <c r="G869" s="1">
        <v>6088</v>
      </c>
      <c r="H869">
        <v>0</v>
      </c>
      <c r="I869">
        <v>0.5</v>
      </c>
      <c r="J869">
        <v>10</v>
      </c>
      <c r="K869">
        <v>5</v>
      </c>
      <c r="L869">
        <f t="shared" si="52"/>
        <v>10</v>
      </c>
      <c r="M869">
        <v>0</v>
      </c>
      <c r="N869">
        <v>0</v>
      </c>
      <c r="O869">
        <v>25</v>
      </c>
      <c r="P869" s="1">
        <f t="shared" si="53"/>
        <v>0</v>
      </c>
      <c r="Q869">
        <f t="shared" si="54"/>
        <v>25</v>
      </c>
      <c r="R869" s="1">
        <f t="shared" si="55"/>
        <v>152200</v>
      </c>
    </row>
    <row r="870" spans="1:18" hidden="1" x14ac:dyDescent="0.3">
      <c r="A870" t="s">
        <v>5204</v>
      </c>
      <c r="B870" t="s">
        <v>5205</v>
      </c>
      <c r="C870" t="s">
        <v>47</v>
      </c>
      <c r="D870">
        <v>1</v>
      </c>
      <c r="E870">
        <v>0</v>
      </c>
      <c r="G870" s="1">
        <v>0</v>
      </c>
      <c r="H870">
        <v>4</v>
      </c>
      <c r="I870">
        <v>0.5</v>
      </c>
      <c r="J870">
        <v>4</v>
      </c>
      <c r="K870">
        <v>2</v>
      </c>
      <c r="L870">
        <f t="shared" si="52"/>
        <v>4</v>
      </c>
      <c r="M870">
        <v>0</v>
      </c>
      <c r="N870">
        <v>0</v>
      </c>
      <c r="O870">
        <v>10</v>
      </c>
      <c r="P870" s="1">
        <f t="shared" si="53"/>
        <v>0</v>
      </c>
      <c r="Q870">
        <f t="shared" si="54"/>
        <v>10</v>
      </c>
      <c r="R870" s="1">
        <f t="shared" si="55"/>
        <v>0</v>
      </c>
    </row>
    <row r="871" spans="1:18" hidden="1" x14ac:dyDescent="0.3">
      <c r="A871" t="s">
        <v>5206</v>
      </c>
      <c r="B871" t="s">
        <v>5207</v>
      </c>
      <c r="C871" t="s">
        <v>47</v>
      </c>
      <c r="D871">
        <v>1</v>
      </c>
      <c r="E871">
        <v>0</v>
      </c>
      <c r="G871" s="1">
        <v>0</v>
      </c>
      <c r="H871">
        <v>0</v>
      </c>
      <c r="I871">
        <v>0.5</v>
      </c>
      <c r="J871">
        <v>1</v>
      </c>
      <c r="K871">
        <v>1</v>
      </c>
      <c r="L871">
        <f t="shared" si="52"/>
        <v>2</v>
      </c>
      <c r="M871">
        <v>0</v>
      </c>
      <c r="N871">
        <v>0</v>
      </c>
      <c r="O871">
        <v>2</v>
      </c>
      <c r="P871" s="1">
        <f t="shared" si="53"/>
        <v>0</v>
      </c>
      <c r="Q871">
        <f t="shared" si="54"/>
        <v>2</v>
      </c>
      <c r="R871" s="1">
        <f t="shared" si="55"/>
        <v>0</v>
      </c>
    </row>
    <row r="872" spans="1:18" hidden="1" x14ac:dyDescent="0.3">
      <c r="A872" t="s">
        <v>5208</v>
      </c>
      <c r="B872" t="s">
        <v>5209</v>
      </c>
      <c r="C872" t="s">
        <v>47</v>
      </c>
      <c r="D872">
        <v>1</v>
      </c>
      <c r="E872">
        <v>0</v>
      </c>
      <c r="G872" s="1">
        <v>0</v>
      </c>
      <c r="H872">
        <v>0</v>
      </c>
      <c r="I872">
        <v>0.5</v>
      </c>
      <c r="J872">
        <v>1</v>
      </c>
      <c r="K872">
        <v>1</v>
      </c>
      <c r="L872">
        <f t="shared" si="52"/>
        <v>2</v>
      </c>
      <c r="M872">
        <v>0</v>
      </c>
      <c r="N872">
        <v>0</v>
      </c>
      <c r="O872">
        <v>2</v>
      </c>
      <c r="P872" s="1">
        <f t="shared" si="53"/>
        <v>0</v>
      </c>
      <c r="Q872">
        <f t="shared" si="54"/>
        <v>2</v>
      </c>
      <c r="R872" s="1">
        <f t="shared" si="55"/>
        <v>0</v>
      </c>
    </row>
    <row r="873" spans="1:18" hidden="1" x14ac:dyDescent="0.3">
      <c r="A873" t="s">
        <v>5210</v>
      </c>
      <c r="B873" t="s">
        <v>5211</v>
      </c>
      <c r="C873" t="s">
        <v>47</v>
      </c>
      <c r="D873">
        <v>1</v>
      </c>
      <c r="E873">
        <v>0</v>
      </c>
      <c r="G873" s="1">
        <v>0</v>
      </c>
      <c r="H873">
        <v>0</v>
      </c>
      <c r="I873">
        <v>0.5</v>
      </c>
      <c r="J873">
        <v>1</v>
      </c>
      <c r="K873">
        <v>1</v>
      </c>
      <c r="L873">
        <f t="shared" si="52"/>
        <v>2</v>
      </c>
      <c r="M873">
        <v>0</v>
      </c>
      <c r="N873">
        <v>0</v>
      </c>
      <c r="O873">
        <v>2</v>
      </c>
      <c r="P873" s="1">
        <f t="shared" si="53"/>
        <v>0</v>
      </c>
      <c r="Q873">
        <f t="shared" si="54"/>
        <v>2</v>
      </c>
      <c r="R873" s="1">
        <f t="shared" si="55"/>
        <v>0</v>
      </c>
    </row>
    <row r="874" spans="1:18" hidden="1" x14ac:dyDescent="0.3">
      <c r="A874" t="s">
        <v>5212</v>
      </c>
      <c r="B874" t="s">
        <v>5212</v>
      </c>
      <c r="C874" t="s">
        <v>47</v>
      </c>
      <c r="D874">
        <v>1</v>
      </c>
      <c r="E874">
        <v>0</v>
      </c>
      <c r="F874" t="s">
        <v>2301</v>
      </c>
      <c r="G874" s="1">
        <v>0</v>
      </c>
      <c r="H874">
        <v>0</v>
      </c>
      <c r="I874">
        <v>0.5</v>
      </c>
      <c r="J874">
        <v>1</v>
      </c>
      <c r="K874">
        <v>1</v>
      </c>
      <c r="L874">
        <f t="shared" si="52"/>
        <v>2</v>
      </c>
      <c r="M874">
        <v>0</v>
      </c>
      <c r="N874">
        <v>0</v>
      </c>
      <c r="O874">
        <v>2</v>
      </c>
      <c r="P874" s="1">
        <f t="shared" si="53"/>
        <v>0</v>
      </c>
      <c r="Q874">
        <f t="shared" si="54"/>
        <v>2</v>
      </c>
      <c r="R874" s="1">
        <f t="shared" si="55"/>
        <v>0</v>
      </c>
    </row>
    <row r="875" spans="1:18" hidden="1" x14ac:dyDescent="0.3">
      <c r="A875" t="s">
        <v>5213</v>
      </c>
      <c r="B875" t="s">
        <v>5214</v>
      </c>
      <c r="C875" t="s">
        <v>47</v>
      </c>
      <c r="D875">
        <v>1</v>
      </c>
      <c r="E875">
        <v>0</v>
      </c>
      <c r="G875" s="1">
        <v>0</v>
      </c>
      <c r="H875">
        <v>6</v>
      </c>
      <c r="I875">
        <v>0.5</v>
      </c>
      <c r="J875">
        <v>6</v>
      </c>
      <c r="K875">
        <v>3</v>
      </c>
      <c r="L875">
        <f t="shared" si="52"/>
        <v>6</v>
      </c>
      <c r="M875">
        <v>0</v>
      </c>
      <c r="N875">
        <v>0</v>
      </c>
      <c r="O875">
        <v>15</v>
      </c>
      <c r="P875" s="1">
        <f t="shared" si="53"/>
        <v>0</v>
      </c>
      <c r="Q875">
        <f t="shared" si="54"/>
        <v>15</v>
      </c>
      <c r="R875" s="1">
        <f t="shared" si="55"/>
        <v>0</v>
      </c>
    </row>
    <row r="876" spans="1:18" hidden="1" x14ac:dyDescent="0.3">
      <c r="A876" t="s">
        <v>5215</v>
      </c>
      <c r="B876" t="s">
        <v>5216</v>
      </c>
      <c r="C876" t="s">
        <v>47</v>
      </c>
      <c r="D876">
        <v>1</v>
      </c>
      <c r="E876">
        <v>30</v>
      </c>
      <c r="F876" t="s">
        <v>72</v>
      </c>
      <c r="G876" s="1">
        <v>900</v>
      </c>
      <c r="H876">
        <v>0</v>
      </c>
      <c r="I876">
        <v>0.5</v>
      </c>
      <c r="J876">
        <v>30</v>
      </c>
      <c r="K876">
        <v>15</v>
      </c>
      <c r="L876">
        <f t="shared" si="52"/>
        <v>30</v>
      </c>
      <c r="M876">
        <v>0</v>
      </c>
      <c r="N876">
        <v>0</v>
      </c>
      <c r="O876">
        <v>75</v>
      </c>
      <c r="P876" s="1">
        <f t="shared" si="53"/>
        <v>0</v>
      </c>
      <c r="Q876">
        <f t="shared" si="54"/>
        <v>75</v>
      </c>
      <c r="R876" s="1">
        <f t="shared" si="55"/>
        <v>67500</v>
      </c>
    </row>
    <row r="877" spans="1:18" hidden="1" x14ac:dyDescent="0.3">
      <c r="A877" t="s">
        <v>5217</v>
      </c>
      <c r="B877" t="s">
        <v>5218</v>
      </c>
      <c r="C877" t="s">
        <v>47</v>
      </c>
      <c r="D877">
        <v>1</v>
      </c>
      <c r="E877">
        <v>252</v>
      </c>
      <c r="F877" t="s">
        <v>482</v>
      </c>
      <c r="G877" s="1">
        <v>4.7300000000000004</v>
      </c>
      <c r="H877">
        <v>0</v>
      </c>
      <c r="I877">
        <v>0.5</v>
      </c>
      <c r="J877">
        <v>252</v>
      </c>
      <c r="K877">
        <v>126</v>
      </c>
      <c r="L877">
        <f t="shared" si="52"/>
        <v>252</v>
      </c>
      <c r="M877">
        <v>0</v>
      </c>
      <c r="N877">
        <v>0</v>
      </c>
      <c r="O877">
        <v>630</v>
      </c>
      <c r="P877" s="1">
        <f t="shared" si="53"/>
        <v>0</v>
      </c>
      <c r="Q877">
        <f t="shared" si="54"/>
        <v>630</v>
      </c>
      <c r="R877" s="1">
        <f t="shared" si="55"/>
        <v>2979.9</v>
      </c>
    </row>
    <row r="878" spans="1:18" hidden="1" x14ac:dyDescent="0.3">
      <c r="A878" t="s">
        <v>5219</v>
      </c>
      <c r="B878" t="s">
        <v>5220</v>
      </c>
      <c r="C878" t="s">
        <v>47</v>
      </c>
      <c r="D878">
        <v>2</v>
      </c>
      <c r="E878">
        <v>0</v>
      </c>
      <c r="G878" s="1">
        <v>0</v>
      </c>
      <c r="H878">
        <v>2</v>
      </c>
      <c r="I878">
        <v>0.5</v>
      </c>
      <c r="J878">
        <v>1</v>
      </c>
      <c r="K878">
        <v>1</v>
      </c>
      <c r="L878">
        <f t="shared" si="52"/>
        <v>2</v>
      </c>
      <c r="M878">
        <v>0</v>
      </c>
      <c r="N878">
        <v>0</v>
      </c>
      <c r="O878">
        <v>2</v>
      </c>
      <c r="P878" s="1">
        <f t="shared" si="53"/>
        <v>0</v>
      </c>
      <c r="Q878">
        <f t="shared" si="54"/>
        <v>2</v>
      </c>
      <c r="R878" s="1">
        <f t="shared" si="55"/>
        <v>0</v>
      </c>
    </row>
    <row r="879" spans="1:18" hidden="1" x14ac:dyDescent="0.3">
      <c r="A879" t="s">
        <v>5221</v>
      </c>
      <c r="B879" t="s">
        <v>5222</v>
      </c>
      <c r="C879" t="s">
        <v>47</v>
      </c>
      <c r="D879">
        <v>1</v>
      </c>
      <c r="E879">
        <v>0</v>
      </c>
      <c r="F879" t="s">
        <v>2757</v>
      </c>
      <c r="G879" s="1">
        <v>2399.64</v>
      </c>
      <c r="H879">
        <v>0</v>
      </c>
      <c r="I879">
        <v>0.5</v>
      </c>
      <c r="J879">
        <v>1</v>
      </c>
      <c r="K879">
        <v>1</v>
      </c>
      <c r="L879">
        <f t="shared" si="52"/>
        <v>2</v>
      </c>
      <c r="M879">
        <v>0</v>
      </c>
      <c r="N879">
        <v>0</v>
      </c>
      <c r="O879">
        <v>2</v>
      </c>
      <c r="P879" s="1">
        <f t="shared" si="53"/>
        <v>0</v>
      </c>
      <c r="Q879">
        <f t="shared" si="54"/>
        <v>2</v>
      </c>
      <c r="R879" s="1">
        <f t="shared" si="55"/>
        <v>4799.28</v>
      </c>
    </row>
    <row r="880" spans="1:18" hidden="1" x14ac:dyDescent="0.3">
      <c r="A880" t="s">
        <v>5223</v>
      </c>
      <c r="B880" t="s">
        <v>5224</v>
      </c>
      <c r="C880" t="s">
        <v>47</v>
      </c>
      <c r="D880">
        <v>5</v>
      </c>
      <c r="E880">
        <v>20</v>
      </c>
      <c r="F880" t="s">
        <v>77</v>
      </c>
      <c r="G880" s="1">
        <v>344</v>
      </c>
      <c r="H880">
        <v>2</v>
      </c>
      <c r="I880">
        <v>0.7</v>
      </c>
      <c r="J880">
        <v>4</v>
      </c>
      <c r="K880">
        <v>3</v>
      </c>
      <c r="L880">
        <f t="shared" si="52"/>
        <v>6</v>
      </c>
      <c r="M880">
        <v>0</v>
      </c>
      <c r="N880">
        <v>0</v>
      </c>
      <c r="O880">
        <v>11</v>
      </c>
      <c r="P880" s="1">
        <f t="shared" si="53"/>
        <v>0</v>
      </c>
      <c r="Q880">
        <f t="shared" si="54"/>
        <v>11</v>
      </c>
      <c r="R880" s="1">
        <f t="shared" si="55"/>
        <v>3784</v>
      </c>
    </row>
    <row r="881" spans="1:18" hidden="1" x14ac:dyDescent="0.3">
      <c r="A881" t="s">
        <v>5225</v>
      </c>
      <c r="B881" t="s">
        <v>5226</v>
      </c>
      <c r="C881" t="s">
        <v>47</v>
      </c>
      <c r="D881">
        <v>1</v>
      </c>
      <c r="E881">
        <v>0</v>
      </c>
      <c r="G881" s="1">
        <v>0</v>
      </c>
      <c r="H881">
        <v>0</v>
      </c>
      <c r="I881">
        <v>0.5</v>
      </c>
      <c r="J881">
        <v>1</v>
      </c>
      <c r="K881">
        <v>1</v>
      </c>
      <c r="L881">
        <f t="shared" si="52"/>
        <v>2</v>
      </c>
      <c r="M881">
        <v>0</v>
      </c>
      <c r="N881">
        <v>0</v>
      </c>
      <c r="O881">
        <v>2</v>
      </c>
      <c r="P881" s="1">
        <f t="shared" si="53"/>
        <v>0</v>
      </c>
      <c r="Q881">
        <f t="shared" si="54"/>
        <v>2</v>
      </c>
      <c r="R881" s="1">
        <f t="shared" si="55"/>
        <v>0</v>
      </c>
    </row>
    <row r="882" spans="1:18" hidden="1" x14ac:dyDescent="0.3">
      <c r="A882" t="s">
        <v>5227</v>
      </c>
      <c r="B882" t="s">
        <v>5228</v>
      </c>
      <c r="C882" t="s">
        <v>47</v>
      </c>
      <c r="D882">
        <v>1</v>
      </c>
      <c r="E882">
        <v>3</v>
      </c>
      <c r="F882" t="s">
        <v>181</v>
      </c>
      <c r="G882" s="1">
        <v>1729</v>
      </c>
      <c r="H882">
        <v>0</v>
      </c>
      <c r="I882">
        <v>0.8</v>
      </c>
      <c r="J882">
        <v>3</v>
      </c>
      <c r="K882">
        <v>2</v>
      </c>
      <c r="L882">
        <f t="shared" si="52"/>
        <v>5</v>
      </c>
      <c r="M882">
        <v>0</v>
      </c>
      <c r="N882">
        <v>0</v>
      </c>
      <c r="O882">
        <v>8</v>
      </c>
      <c r="P882" s="1">
        <f t="shared" si="53"/>
        <v>0</v>
      </c>
      <c r="Q882">
        <f t="shared" si="54"/>
        <v>8</v>
      </c>
      <c r="R882" s="1">
        <f t="shared" si="55"/>
        <v>13832</v>
      </c>
    </row>
    <row r="883" spans="1:18" hidden="1" x14ac:dyDescent="0.3">
      <c r="A883" t="s">
        <v>5229</v>
      </c>
      <c r="B883" t="s">
        <v>5230</v>
      </c>
      <c r="C883" t="s">
        <v>47</v>
      </c>
      <c r="D883">
        <v>1</v>
      </c>
      <c r="E883">
        <v>1</v>
      </c>
      <c r="F883" t="s">
        <v>3046</v>
      </c>
      <c r="G883" s="1">
        <v>520.87</v>
      </c>
      <c r="H883">
        <v>0</v>
      </c>
      <c r="I883">
        <v>0.5</v>
      </c>
      <c r="J883">
        <v>1</v>
      </c>
      <c r="K883">
        <v>1</v>
      </c>
      <c r="L883">
        <f t="shared" si="52"/>
        <v>2</v>
      </c>
      <c r="M883">
        <v>0</v>
      </c>
      <c r="N883">
        <v>0</v>
      </c>
      <c r="O883">
        <v>2</v>
      </c>
      <c r="P883" s="1">
        <f t="shared" si="53"/>
        <v>0</v>
      </c>
      <c r="Q883">
        <f t="shared" si="54"/>
        <v>2</v>
      </c>
      <c r="R883" s="1">
        <f t="shared" si="55"/>
        <v>1041.74</v>
      </c>
    </row>
    <row r="884" spans="1:18" hidden="1" x14ac:dyDescent="0.3">
      <c r="A884" t="s">
        <v>5231</v>
      </c>
      <c r="B884" t="s">
        <v>5232</v>
      </c>
      <c r="C884" t="s">
        <v>47</v>
      </c>
      <c r="D884">
        <v>1</v>
      </c>
      <c r="E884">
        <v>3</v>
      </c>
      <c r="F884" t="s">
        <v>3046</v>
      </c>
      <c r="G884" s="1">
        <v>520.87</v>
      </c>
      <c r="H884">
        <v>0</v>
      </c>
      <c r="I884">
        <v>0.5</v>
      </c>
      <c r="J884">
        <v>3</v>
      </c>
      <c r="K884">
        <v>2</v>
      </c>
      <c r="L884">
        <f t="shared" si="52"/>
        <v>4</v>
      </c>
      <c r="M884">
        <v>0</v>
      </c>
      <c r="N884">
        <v>0</v>
      </c>
      <c r="O884">
        <v>8</v>
      </c>
      <c r="P884" s="1">
        <f t="shared" si="53"/>
        <v>0</v>
      </c>
      <c r="Q884">
        <f t="shared" si="54"/>
        <v>8</v>
      </c>
      <c r="R884" s="1">
        <f t="shared" si="55"/>
        <v>4166.96</v>
      </c>
    </row>
    <row r="885" spans="1:18" hidden="1" x14ac:dyDescent="0.3">
      <c r="A885" t="s">
        <v>5233</v>
      </c>
      <c r="B885" t="s">
        <v>5234</v>
      </c>
      <c r="C885" t="s">
        <v>47</v>
      </c>
      <c r="D885">
        <v>1</v>
      </c>
      <c r="E885">
        <v>1</v>
      </c>
      <c r="F885" t="s">
        <v>3046</v>
      </c>
      <c r="G885" s="1">
        <v>520.87</v>
      </c>
      <c r="H885">
        <v>0</v>
      </c>
      <c r="I885">
        <v>0.5</v>
      </c>
      <c r="J885">
        <v>1</v>
      </c>
      <c r="K885">
        <v>1</v>
      </c>
      <c r="L885">
        <f t="shared" si="52"/>
        <v>2</v>
      </c>
      <c r="M885">
        <v>0</v>
      </c>
      <c r="N885">
        <v>0</v>
      </c>
      <c r="O885">
        <v>2</v>
      </c>
      <c r="P885" s="1">
        <f t="shared" si="53"/>
        <v>0</v>
      </c>
      <c r="Q885">
        <f t="shared" si="54"/>
        <v>2</v>
      </c>
      <c r="R885" s="1">
        <f t="shared" si="55"/>
        <v>1041.74</v>
      </c>
    </row>
    <row r="886" spans="1:18" hidden="1" x14ac:dyDescent="0.3">
      <c r="A886" t="s">
        <v>5235</v>
      </c>
      <c r="B886" t="s">
        <v>5236</v>
      </c>
      <c r="C886" t="s">
        <v>47</v>
      </c>
      <c r="D886">
        <v>1</v>
      </c>
      <c r="E886">
        <v>4</v>
      </c>
      <c r="F886" t="s">
        <v>3046</v>
      </c>
      <c r="G886" s="1">
        <v>520.87</v>
      </c>
      <c r="H886">
        <v>0</v>
      </c>
      <c r="I886">
        <v>0.5</v>
      </c>
      <c r="J886">
        <v>4</v>
      </c>
      <c r="K886">
        <v>2</v>
      </c>
      <c r="L886">
        <f t="shared" si="52"/>
        <v>4</v>
      </c>
      <c r="M886">
        <v>0</v>
      </c>
      <c r="N886">
        <v>0</v>
      </c>
      <c r="O886">
        <v>10</v>
      </c>
      <c r="P886" s="1">
        <f t="shared" si="53"/>
        <v>0</v>
      </c>
      <c r="Q886">
        <f t="shared" si="54"/>
        <v>10</v>
      </c>
      <c r="R886" s="1">
        <f t="shared" si="55"/>
        <v>5208.7</v>
      </c>
    </row>
    <row r="887" spans="1:18" hidden="1" x14ac:dyDescent="0.3">
      <c r="A887" t="s">
        <v>5237</v>
      </c>
      <c r="B887" t="s">
        <v>5238</v>
      </c>
      <c r="C887" t="s">
        <v>47</v>
      </c>
      <c r="D887">
        <v>1</v>
      </c>
      <c r="E887">
        <v>1</v>
      </c>
      <c r="F887" t="s">
        <v>3046</v>
      </c>
      <c r="G887" s="1">
        <v>520.87</v>
      </c>
      <c r="H887">
        <v>0</v>
      </c>
      <c r="I887">
        <v>0.5</v>
      </c>
      <c r="J887">
        <v>1</v>
      </c>
      <c r="K887">
        <v>1</v>
      </c>
      <c r="L887">
        <f t="shared" si="52"/>
        <v>2</v>
      </c>
      <c r="M887">
        <v>0</v>
      </c>
      <c r="N887">
        <v>0</v>
      </c>
      <c r="O887">
        <v>2</v>
      </c>
      <c r="P887" s="1">
        <f t="shared" si="53"/>
        <v>0</v>
      </c>
      <c r="Q887">
        <f t="shared" si="54"/>
        <v>2</v>
      </c>
      <c r="R887" s="1">
        <f t="shared" si="55"/>
        <v>1041.74</v>
      </c>
    </row>
    <row r="888" spans="1:18" hidden="1" x14ac:dyDescent="0.3">
      <c r="A888" t="s">
        <v>5239</v>
      </c>
      <c r="B888" t="s">
        <v>5240</v>
      </c>
      <c r="C888" t="s">
        <v>47</v>
      </c>
      <c r="D888">
        <v>1</v>
      </c>
      <c r="E888">
        <v>0</v>
      </c>
      <c r="G888" s="1">
        <v>0</v>
      </c>
      <c r="H888">
        <v>0</v>
      </c>
      <c r="I888">
        <v>0.5</v>
      </c>
      <c r="J888">
        <v>1</v>
      </c>
      <c r="K888">
        <v>1</v>
      </c>
      <c r="L888">
        <f t="shared" si="52"/>
        <v>2</v>
      </c>
      <c r="M888">
        <v>0</v>
      </c>
      <c r="N888">
        <v>0</v>
      </c>
      <c r="O888">
        <v>2</v>
      </c>
      <c r="P888" s="1">
        <f t="shared" si="53"/>
        <v>0</v>
      </c>
      <c r="Q888">
        <f t="shared" si="54"/>
        <v>2</v>
      </c>
      <c r="R888" s="1">
        <f t="shared" si="55"/>
        <v>0</v>
      </c>
    </row>
    <row r="889" spans="1:18" hidden="1" x14ac:dyDescent="0.3">
      <c r="A889" t="s">
        <v>5241</v>
      </c>
      <c r="B889" t="s">
        <v>5242</v>
      </c>
      <c r="C889" t="s">
        <v>47</v>
      </c>
      <c r="D889">
        <v>1</v>
      </c>
      <c r="E889">
        <v>0</v>
      </c>
      <c r="G889" s="1">
        <v>0</v>
      </c>
      <c r="H889">
        <v>1</v>
      </c>
      <c r="I889">
        <v>0.5</v>
      </c>
      <c r="J889">
        <v>1</v>
      </c>
      <c r="K889">
        <v>1</v>
      </c>
      <c r="L889">
        <f t="shared" si="52"/>
        <v>2</v>
      </c>
      <c r="M889">
        <v>0</v>
      </c>
      <c r="N889">
        <v>0</v>
      </c>
      <c r="O889">
        <v>2</v>
      </c>
      <c r="P889" s="1">
        <f t="shared" si="53"/>
        <v>0</v>
      </c>
      <c r="Q889">
        <f t="shared" si="54"/>
        <v>2</v>
      </c>
      <c r="R889" s="1">
        <f t="shared" si="55"/>
        <v>0</v>
      </c>
    </row>
    <row r="890" spans="1:18" hidden="1" x14ac:dyDescent="0.3">
      <c r="A890" t="s">
        <v>5243</v>
      </c>
      <c r="B890" t="s">
        <v>5244</v>
      </c>
      <c r="C890" t="s">
        <v>47</v>
      </c>
      <c r="D890">
        <v>7</v>
      </c>
      <c r="E890">
        <v>3</v>
      </c>
      <c r="F890" t="s">
        <v>3678</v>
      </c>
      <c r="G890" s="1">
        <v>2025</v>
      </c>
      <c r="H890">
        <v>1</v>
      </c>
      <c r="I890">
        <v>0.5</v>
      </c>
      <c r="J890">
        <v>1</v>
      </c>
      <c r="K890">
        <v>1</v>
      </c>
      <c r="L890">
        <f t="shared" si="52"/>
        <v>2</v>
      </c>
      <c r="M890">
        <v>0</v>
      </c>
      <c r="N890">
        <v>0</v>
      </c>
      <c r="O890">
        <v>2</v>
      </c>
      <c r="P890" s="1">
        <f t="shared" si="53"/>
        <v>0</v>
      </c>
      <c r="Q890">
        <f t="shared" si="54"/>
        <v>2</v>
      </c>
      <c r="R890" s="1">
        <f t="shared" si="55"/>
        <v>4050</v>
      </c>
    </row>
    <row r="891" spans="1:18" hidden="1" x14ac:dyDescent="0.3">
      <c r="A891" t="s">
        <v>5245</v>
      </c>
      <c r="B891" t="s">
        <v>5246</v>
      </c>
      <c r="C891" t="s">
        <v>47</v>
      </c>
      <c r="D891">
        <v>1</v>
      </c>
      <c r="E891">
        <v>1</v>
      </c>
      <c r="F891" t="s">
        <v>4580</v>
      </c>
      <c r="G891" s="1">
        <v>11999</v>
      </c>
      <c r="H891">
        <v>0</v>
      </c>
      <c r="I891">
        <v>0.5</v>
      </c>
      <c r="J891">
        <v>1</v>
      </c>
      <c r="K891">
        <v>1</v>
      </c>
      <c r="L891">
        <f t="shared" si="52"/>
        <v>2</v>
      </c>
      <c r="M891">
        <v>0</v>
      </c>
      <c r="N891">
        <v>0</v>
      </c>
      <c r="O891">
        <v>2</v>
      </c>
      <c r="P891" s="1">
        <f t="shared" si="53"/>
        <v>0</v>
      </c>
      <c r="Q891">
        <f t="shared" si="54"/>
        <v>2</v>
      </c>
      <c r="R891" s="1">
        <f t="shared" si="55"/>
        <v>23998</v>
      </c>
    </row>
    <row r="892" spans="1:18" hidden="1" x14ac:dyDescent="0.3">
      <c r="A892" t="s">
        <v>5247</v>
      </c>
      <c r="B892" t="s">
        <v>5247</v>
      </c>
      <c r="C892" t="s">
        <v>47</v>
      </c>
      <c r="D892">
        <v>20</v>
      </c>
      <c r="E892">
        <v>1710</v>
      </c>
      <c r="F892" t="s">
        <v>280</v>
      </c>
      <c r="G892" s="1">
        <v>0.65</v>
      </c>
      <c r="H892">
        <v>0</v>
      </c>
      <c r="I892">
        <v>0.5</v>
      </c>
      <c r="J892">
        <v>85.5</v>
      </c>
      <c r="K892">
        <v>43</v>
      </c>
      <c r="L892">
        <f t="shared" si="52"/>
        <v>86</v>
      </c>
      <c r="M892">
        <v>0</v>
      </c>
      <c r="N892">
        <v>0</v>
      </c>
      <c r="O892">
        <v>214</v>
      </c>
      <c r="P892" s="1">
        <f t="shared" si="53"/>
        <v>0</v>
      </c>
      <c r="Q892">
        <f t="shared" si="54"/>
        <v>214</v>
      </c>
      <c r="R892" s="1">
        <f t="shared" si="55"/>
        <v>139.1</v>
      </c>
    </row>
    <row r="893" spans="1:18" hidden="1" x14ac:dyDescent="0.3">
      <c r="A893" t="s">
        <v>5248</v>
      </c>
      <c r="B893" t="s">
        <v>5249</v>
      </c>
      <c r="C893" t="s">
        <v>47</v>
      </c>
      <c r="D893">
        <v>2</v>
      </c>
      <c r="E893">
        <v>360</v>
      </c>
      <c r="F893" t="s">
        <v>280</v>
      </c>
      <c r="G893" s="1">
        <v>0.4</v>
      </c>
      <c r="H893">
        <v>0</v>
      </c>
      <c r="I893">
        <v>0.8</v>
      </c>
      <c r="J893">
        <v>180</v>
      </c>
      <c r="K893">
        <v>144</v>
      </c>
      <c r="L893">
        <f t="shared" si="52"/>
        <v>288</v>
      </c>
      <c r="M893">
        <v>0</v>
      </c>
      <c r="N893">
        <v>0</v>
      </c>
      <c r="O893">
        <v>504</v>
      </c>
      <c r="P893" s="1">
        <f t="shared" si="53"/>
        <v>0</v>
      </c>
      <c r="Q893">
        <f t="shared" si="54"/>
        <v>504</v>
      </c>
      <c r="R893" s="1">
        <f t="shared" si="55"/>
        <v>201.60000000000002</v>
      </c>
    </row>
    <row r="894" spans="1:18" hidden="1" x14ac:dyDescent="0.3">
      <c r="A894" t="s">
        <v>5250</v>
      </c>
      <c r="B894" t="s">
        <v>5251</v>
      </c>
      <c r="C894" t="s">
        <v>47</v>
      </c>
      <c r="D894">
        <v>4</v>
      </c>
      <c r="E894">
        <v>580</v>
      </c>
      <c r="F894" t="s">
        <v>280</v>
      </c>
      <c r="G894" s="1">
        <v>1.1000000000000001</v>
      </c>
      <c r="H894">
        <v>0</v>
      </c>
      <c r="I894">
        <v>0.6</v>
      </c>
      <c r="J894">
        <v>145</v>
      </c>
      <c r="K894">
        <v>87</v>
      </c>
      <c r="L894">
        <f t="shared" si="52"/>
        <v>174</v>
      </c>
      <c r="M894">
        <v>0</v>
      </c>
      <c r="N894">
        <v>0</v>
      </c>
      <c r="O894">
        <v>377</v>
      </c>
      <c r="P894" s="1">
        <f t="shared" si="53"/>
        <v>0</v>
      </c>
      <c r="Q894">
        <f t="shared" si="54"/>
        <v>377</v>
      </c>
      <c r="R894" s="1">
        <f t="shared" si="55"/>
        <v>414.70000000000005</v>
      </c>
    </row>
    <row r="895" spans="1:18" hidden="1" x14ac:dyDescent="0.3">
      <c r="A895" t="s">
        <v>5252</v>
      </c>
      <c r="B895" t="s">
        <v>5252</v>
      </c>
      <c r="C895" t="s">
        <v>47</v>
      </c>
      <c r="D895">
        <v>1</v>
      </c>
      <c r="E895">
        <v>8</v>
      </c>
      <c r="F895" t="s">
        <v>280</v>
      </c>
      <c r="G895" s="1">
        <v>20</v>
      </c>
      <c r="H895">
        <v>0</v>
      </c>
      <c r="I895">
        <v>0.8</v>
      </c>
      <c r="J895">
        <v>8</v>
      </c>
      <c r="K895">
        <v>6</v>
      </c>
      <c r="L895">
        <f t="shared" si="52"/>
        <v>13</v>
      </c>
      <c r="M895">
        <v>0</v>
      </c>
      <c r="N895">
        <v>0</v>
      </c>
      <c r="O895">
        <v>22</v>
      </c>
      <c r="P895" s="1">
        <f t="shared" si="53"/>
        <v>0</v>
      </c>
      <c r="Q895">
        <f t="shared" si="54"/>
        <v>22</v>
      </c>
      <c r="R895" s="1">
        <f t="shared" si="55"/>
        <v>440</v>
      </c>
    </row>
    <row r="896" spans="1:18" hidden="1" x14ac:dyDescent="0.3">
      <c r="A896" t="s">
        <v>5253</v>
      </c>
      <c r="B896" t="s">
        <v>5254</v>
      </c>
      <c r="C896" t="s">
        <v>47</v>
      </c>
      <c r="D896">
        <v>19</v>
      </c>
      <c r="E896">
        <v>1960</v>
      </c>
      <c r="F896" t="s">
        <v>280</v>
      </c>
      <c r="G896" s="1">
        <v>1.88</v>
      </c>
      <c r="H896">
        <v>0</v>
      </c>
      <c r="I896">
        <v>0.5</v>
      </c>
      <c r="J896">
        <v>103.5</v>
      </c>
      <c r="K896">
        <v>52</v>
      </c>
      <c r="L896">
        <f t="shared" si="52"/>
        <v>104</v>
      </c>
      <c r="M896">
        <v>0</v>
      </c>
      <c r="N896">
        <v>0</v>
      </c>
      <c r="O896">
        <v>259</v>
      </c>
      <c r="P896" s="1">
        <f t="shared" si="53"/>
        <v>0</v>
      </c>
      <c r="Q896">
        <f t="shared" si="54"/>
        <v>259</v>
      </c>
      <c r="R896" s="1">
        <f t="shared" si="55"/>
        <v>486.91999999999996</v>
      </c>
    </row>
    <row r="897" spans="1:18" hidden="1" x14ac:dyDescent="0.3">
      <c r="A897" t="s">
        <v>5255</v>
      </c>
      <c r="B897" t="s">
        <v>5255</v>
      </c>
      <c r="C897" t="s">
        <v>47</v>
      </c>
      <c r="D897">
        <v>20</v>
      </c>
      <c r="E897">
        <v>1450</v>
      </c>
      <c r="F897" t="s">
        <v>280</v>
      </c>
      <c r="G897" s="1">
        <v>1.8</v>
      </c>
      <c r="H897">
        <v>0</v>
      </c>
      <c r="I897">
        <v>0.5</v>
      </c>
      <c r="J897">
        <v>72.5</v>
      </c>
      <c r="K897">
        <v>36</v>
      </c>
      <c r="L897">
        <f t="shared" si="52"/>
        <v>73</v>
      </c>
      <c r="M897">
        <v>0</v>
      </c>
      <c r="N897">
        <v>0</v>
      </c>
      <c r="O897">
        <v>181</v>
      </c>
      <c r="P897" s="1">
        <f t="shared" si="53"/>
        <v>0</v>
      </c>
      <c r="Q897">
        <f t="shared" si="54"/>
        <v>181</v>
      </c>
      <c r="R897" s="1">
        <f t="shared" si="55"/>
        <v>325.8</v>
      </c>
    </row>
    <row r="898" spans="1:18" hidden="1" x14ac:dyDescent="0.3">
      <c r="A898" t="s">
        <v>5256</v>
      </c>
      <c r="B898" t="s">
        <v>5257</v>
      </c>
      <c r="C898" t="s">
        <v>47</v>
      </c>
      <c r="D898">
        <v>3</v>
      </c>
      <c r="E898">
        <v>480</v>
      </c>
      <c r="F898" t="s">
        <v>280</v>
      </c>
      <c r="G898" s="1">
        <v>2.25</v>
      </c>
      <c r="H898">
        <v>0</v>
      </c>
      <c r="I898">
        <v>0.5</v>
      </c>
      <c r="J898">
        <v>160</v>
      </c>
      <c r="K898">
        <v>80</v>
      </c>
      <c r="L898">
        <f t="shared" ref="L898:L961" si="56">ROUNDUP((J898*I898)+K898,0)</f>
        <v>160</v>
      </c>
      <c r="M898">
        <v>0</v>
      </c>
      <c r="N898">
        <v>0</v>
      </c>
      <c r="O898">
        <v>400</v>
      </c>
      <c r="P898" s="1">
        <f t="shared" ref="P898:P961" si="57">IFERROR(M898*G898,0)</f>
        <v>0</v>
      </c>
      <c r="Q898">
        <f t="shared" ref="Q898:Q961" si="58">IF(O898-M898-N898&gt;0,O898-M898-N898,0)</f>
        <v>400</v>
      </c>
      <c r="R898" s="1">
        <f t="shared" ref="R898:R961" si="59">IFERROR(Q898*G898,0)</f>
        <v>900</v>
      </c>
    </row>
    <row r="899" spans="1:18" hidden="1" x14ac:dyDescent="0.3">
      <c r="A899" t="s">
        <v>5258</v>
      </c>
      <c r="B899" t="s">
        <v>5258</v>
      </c>
      <c r="C899" t="s">
        <v>47</v>
      </c>
      <c r="D899">
        <v>20</v>
      </c>
      <c r="E899">
        <v>4350</v>
      </c>
      <c r="F899" t="s">
        <v>280</v>
      </c>
      <c r="G899" s="1">
        <v>0.5</v>
      </c>
      <c r="H899">
        <v>0</v>
      </c>
      <c r="I899">
        <v>0.5</v>
      </c>
      <c r="J899">
        <v>217.5</v>
      </c>
      <c r="K899">
        <v>109</v>
      </c>
      <c r="L899">
        <f t="shared" si="56"/>
        <v>218</v>
      </c>
      <c r="M899">
        <v>0</v>
      </c>
      <c r="N899">
        <v>0</v>
      </c>
      <c r="O899">
        <v>544</v>
      </c>
      <c r="P899" s="1">
        <f t="shared" si="57"/>
        <v>0</v>
      </c>
      <c r="Q899">
        <f t="shared" si="58"/>
        <v>544</v>
      </c>
      <c r="R899" s="1">
        <f t="shared" si="59"/>
        <v>272</v>
      </c>
    </row>
    <row r="900" spans="1:18" hidden="1" x14ac:dyDescent="0.3">
      <c r="A900" t="s">
        <v>5259</v>
      </c>
      <c r="B900" t="s">
        <v>5260</v>
      </c>
      <c r="C900" t="s">
        <v>47</v>
      </c>
      <c r="D900">
        <v>12</v>
      </c>
      <c r="E900">
        <v>540</v>
      </c>
      <c r="F900" t="s">
        <v>280</v>
      </c>
      <c r="G900" s="1">
        <v>1.8</v>
      </c>
      <c r="H900">
        <v>0</v>
      </c>
      <c r="I900">
        <v>0.5</v>
      </c>
      <c r="J900">
        <v>45</v>
      </c>
      <c r="K900">
        <v>22</v>
      </c>
      <c r="L900">
        <f t="shared" si="56"/>
        <v>45</v>
      </c>
      <c r="M900">
        <v>0</v>
      </c>
      <c r="N900">
        <v>0</v>
      </c>
      <c r="O900">
        <v>112</v>
      </c>
      <c r="P900" s="1">
        <f t="shared" si="57"/>
        <v>0</v>
      </c>
      <c r="Q900">
        <f t="shared" si="58"/>
        <v>112</v>
      </c>
      <c r="R900" s="1">
        <f t="shared" si="59"/>
        <v>201.6</v>
      </c>
    </row>
    <row r="901" spans="1:18" hidden="1" x14ac:dyDescent="0.3">
      <c r="A901" t="s">
        <v>5261</v>
      </c>
      <c r="B901" t="s">
        <v>5262</v>
      </c>
      <c r="C901" t="s">
        <v>47</v>
      </c>
      <c r="D901">
        <v>10</v>
      </c>
      <c r="E901">
        <v>500</v>
      </c>
      <c r="F901" t="s">
        <v>280</v>
      </c>
      <c r="G901" s="1">
        <v>4.33</v>
      </c>
      <c r="H901">
        <v>0</v>
      </c>
      <c r="I901">
        <v>0.5</v>
      </c>
      <c r="J901">
        <v>50</v>
      </c>
      <c r="K901">
        <v>25</v>
      </c>
      <c r="L901">
        <f t="shared" si="56"/>
        <v>50</v>
      </c>
      <c r="M901">
        <v>0</v>
      </c>
      <c r="N901">
        <v>0</v>
      </c>
      <c r="O901">
        <v>125</v>
      </c>
      <c r="P901" s="1">
        <f t="shared" si="57"/>
        <v>0</v>
      </c>
      <c r="Q901">
        <f t="shared" si="58"/>
        <v>125</v>
      </c>
      <c r="R901" s="1">
        <f t="shared" si="59"/>
        <v>541.25</v>
      </c>
    </row>
    <row r="902" spans="1:18" hidden="1" x14ac:dyDescent="0.3">
      <c r="A902" t="s">
        <v>5263</v>
      </c>
      <c r="B902" t="s">
        <v>5264</v>
      </c>
      <c r="C902" t="s">
        <v>47</v>
      </c>
      <c r="D902">
        <v>10</v>
      </c>
      <c r="E902">
        <v>140</v>
      </c>
      <c r="F902" t="s">
        <v>280</v>
      </c>
      <c r="G902" s="1">
        <v>4</v>
      </c>
      <c r="H902">
        <v>0</v>
      </c>
      <c r="I902">
        <v>0.6</v>
      </c>
      <c r="J902">
        <v>14</v>
      </c>
      <c r="K902">
        <v>8</v>
      </c>
      <c r="L902">
        <f t="shared" si="56"/>
        <v>17</v>
      </c>
      <c r="M902">
        <v>0</v>
      </c>
      <c r="N902">
        <v>0</v>
      </c>
      <c r="O902">
        <v>36</v>
      </c>
      <c r="P902" s="1">
        <f t="shared" si="57"/>
        <v>0</v>
      </c>
      <c r="Q902">
        <f t="shared" si="58"/>
        <v>36</v>
      </c>
      <c r="R902" s="1">
        <f t="shared" si="59"/>
        <v>144</v>
      </c>
    </row>
    <row r="903" spans="1:18" hidden="1" x14ac:dyDescent="0.3">
      <c r="A903" t="s">
        <v>5265</v>
      </c>
      <c r="B903" t="s">
        <v>5266</v>
      </c>
      <c r="C903" t="s">
        <v>47</v>
      </c>
      <c r="D903">
        <v>14</v>
      </c>
      <c r="E903">
        <v>2800</v>
      </c>
      <c r="F903" t="s">
        <v>280</v>
      </c>
      <c r="G903" s="1">
        <v>1.1200000000000001</v>
      </c>
      <c r="H903">
        <v>0</v>
      </c>
      <c r="I903">
        <v>0.5</v>
      </c>
      <c r="J903">
        <v>200</v>
      </c>
      <c r="K903">
        <v>100</v>
      </c>
      <c r="L903">
        <f t="shared" si="56"/>
        <v>200</v>
      </c>
      <c r="M903">
        <v>0</v>
      </c>
      <c r="N903">
        <v>0</v>
      </c>
      <c r="O903">
        <v>500</v>
      </c>
      <c r="P903" s="1">
        <f t="shared" si="57"/>
        <v>0</v>
      </c>
      <c r="Q903">
        <f t="shared" si="58"/>
        <v>500</v>
      </c>
      <c r="R903" s="1">
        <f t="shared" si="59"/>
        <v>560</v>
      </c>
    </row>
    <row r="904" spans="1:18" hidden="1" x14ac:dyDescent="0.3">
      <c r="A904" t="s">
        <v>5267</v>
      </c>
      <c r="B904" t="s">
        <v>5268</v>
      </c>
      <c r="C904" t="s">
        <v>47</v>
      </c>
      <c r="D904">
        <v>1</v>
      </c>
      <c r="E904">
        <v>0</v>
      </c>
      <c r="G904" s="1">
        <v>0</v>
      </c>
      <c r="H904">
        <v>0</v>
      </c>
      <c r="I904">
        <v>0.5</v>
      </c>
      <c r="J904">
        <v>1</v>
      </c>
      <c r="K904">
        <v>1</v>
      </c>
      <c r="L904">
        <f t="shared" si="56"/>
        <v>2</v>
      </c>
      <c r="M904">
        <v>0</v>
      </c>
      <c r="N904">
        <v>0</v>
      </c>
      <c r="O904">
        <v>2</v>
      </c>
      <c r="P904" s="1">
        <f t="shared" si="57"/>
        <v>0</v>
      </c>
      <c r="Q904">
        <f t="shared" si="58"/>
        <v>2</v>
      </c>
      <c r="R904" s="1">
        <f t="shared" si="59"/>
        <v>0</v>
      </c>
    </row>
    <row r="905" spans="1:18" hidden="1" x14ac:dyDescent="0.3">
      <c r="A905" t="s">
        <v>3945</v>
      </c>
      <c r="B905" t="s">
        <v>3945</v>
      </c>
      <c r="C905" t="s">
        <v>47</v>
      </c>
      <c r="D905">
        <v>9</v>
      </c>
      <c r="E905">
        <v>720</v>
      </c>
      <c r="F905" t="s">
        <v>280</v>
      </c>
      <c r="G905" s="1">
        <v>3</v>
      </c>
      <c r="H905">
        <v>0</v>
      </c>
      <c r="I905">
        <v>0.6</v>
      </c>
      <c r="J905">
        <v>80</v>
      </c>
      <c r="K905">
        <v>48</v>
      </c>
      <c r="L905">
        <f t="shared" si="56"/>
        <v>96</v>
      </c>
      <c r="M905">
        <v>0</v>
      </c>
      <c r="N905">
        <v>0</v>
      </c>
      <c r="O905">
        <v>208</v>
      </c>
      <c r="P905" s="1">
        <f t="shared" si="57"/>
        <v>0</v>
      </c>
      <c r="Q905">
        <f t="shared" si="58"/>
        <v>208</v>
      </c>
      <c r="R905" s="1">
        <f t="shared" si="59"/>
        <v>624</v>
      </c>
    </row>
    <row r="906" spans="1:18" hidden="1" x14ac:dyDescent="0.3">
      <c r="A906" t="s">
        <v>5269</v>
      </c>
      <c r="B906" t="s">
        <v>5270</v>
      </c>
      <c r="C906" t="s">
        <v>47</v>
      </c>
      <c r="D906">
        <v>3</v>
      </c>
      <c r="E906">
        <v>520</v>
      </c>
      <c r="F906" t="s">
        <v>280</v>
      </c>
      <c r="G906" s="1">
        <v>4.92</v>
      </c>
      <c r="H906">
        <v>0</v>
      </c>
      <c r="I906">
        <v>0.5</v>
      </c>
      <c r="J906">
        <v>173.5</v>
      </c>
      <c r="K906">
        <v>87</v>
      </c>
      <c r="L906">
        <f t="shared" si="56"/>
        <v>174</v>
      </c>
      <c r="M906">
        <v>0</v>
      </c>
      <c r="N906">
        <v>0</v>
      </c>
      <c r="O906">
        <v>434</v>
      </c>
      <c r="P906" s="1">
        <f t="shared" si="57"/>
        <v>0</v>
      </c>
      <c r="Q906">
        <f t="shared" si="58"/>
        <v>434</v>
      </c>
      <c r="R906" s="1">
        <f t="shared" si="59"/>
        <v>2135.2799999999997</v>
      </c>
    </row>
    <row r="907" spans="1:18" hidden="1" x14ac:dyDescent="0.3">
      <c r="A907" t="s">
        <v>5271</v>
      </c>
      <c r="B907" t="s">
        <v>5272</v>
      </c>
      <c r="C907" t="s">
        <v>47</v>
      </c>
      <c r="D907">
        <v>6</v>
      </c>
      <c r="E907">
        <v>760</v>
      </c>
      <c r="F907" t="s">
        <v>280</v>
      </c>
      <c r="G907" s="1">
        <v>4.97</v>
      </c>
      <c r="H907">
        <v>0</v>
      </c>
      <c r="I907">
        <v>0.5</v>
      </c>
      <c r="J907">
        <v>127</v>
      </c>
      <c r="K907">
        <v>64</v>
      </c>
      <c r="L907">
        <f t="shared" si="56"/>
        <v>128</v>
      </c>
      <c r="M907">
        <v>0</v>
      </c>
      <c r="N907">
        <v>0</v>
      </c>
      <c r="O907">
        <v>318</v>
      </c>
      <c r="P907" s="1">
        <f t="shared" si="57"/>
        <v>0</v>
      </c>
      <c r="Q907">
        <f t="shared" si="58"/>
        <v>318</v>
      </c>
      <c r="R907" s="1">
        <f t="shared" si="59"/>
        <v>1580.4599999999998</v>
      </c>
    </row>
    <row r="908" spans="1:18" hidden="1" x14ac:dyDescent="0.3">
      <c r="A908" t="s">
        <v>5273</v>
      </c>
      <c r="B908" t="s">
        <v>5268</v>
      </c>
      <c r="C908" t="s">
        <v>47</v>
      </c>
      <c r="D908">
        <v>11</v>
      </c>
      <c r="E908">
        <v>940</v>
      </c>
      <c r="F908" t="s">
        <v>280</v>
      </c>
      <c r="G908" s="1">
        <v>6.42</v>
      </c>
      <c r="H908">
        <v>0</v>
      </c>
      <c r="I908">
        <v>0.5</v>
      </c>
      <c r="J908">
        <v>85.5</v>
      </c>
      <c r="K908">
        <v>43</v>
      </c>
      <c r="L908">
        <f t="shared" si="56"/>
        <v>86</v>
      </c>
      <c r="M908">
        <v>0</v>
      </c>
      <c r="N908">
        <v>0</v>
      </c>
      <c r="O908">
        <v>214</v>
      </c>
      <c r="P908" s="1">
        <f t="shared" si="57"/>
        <v>0</v>
      </c>
      <c r="Q908">
        <f t="shared" si="58"/>
        <v>214</v>
      </c>
      <c r="R908" s="1">
        <f t="shared" si="59"/>
        <v>1373.8799999999999</v>
      </c>
    </row>
    <row r="909" spans="1:18" hidden="1" x14ac:dyDescent="0.3">
      <c r="A909" t="s">
        <v>5274</v>
      </c>
      <c r="B909" t="s">
        <v>5275</v>
      </c>
      <c r="C909" t="s">
        <v>47</v>
      </c>
      <c r="D909">
        <v>7</v>
      </c>
      <c r="E909">
        <v>1000</v>
      </c>
      <c r="F909" t="s">
        <v>280</v>
      </c>
      <c r="G909" s="1">
        <v>6.16</v>
      </c>
      <c r="H909">
        <v>0</v>
      </c>
      <c r="I909">
        <v>0.5</v>
      </c>
      <c r="J909">
        <v>143</v>
      </c>
      <c r="K909">
        <v>72</v>
      </c>
      <c r="L909">
        <f t="shared" si="56"/>
        <v>144</v>
      </c>
      <c r="M909">
        <v>0</v>
      </c>
      <c r="N909">
        <v>0</v>
      </c>
      <c r="O909">
        <v>358</v>
      </c>
      <c r="P909" s="1">
        <f t="shared" si="57"/>
        <v>0</v>
      </c>
      <c r="Q909">
        <f t="shared" si="58"/>
        <v>358</v>
      </c>
      <c r="R909" s="1">
        <f t="shared" si="59"/>
        <v>2205.2800000000002</v>
      </c>
    </row>
    <row r="910" spans="1:18" hidden="1" x14ac:dyDescent="0.3">
      <c r="A910" t="s">
        <v>5276</v>
      </c>
      <c r="B910" t="s">
        <v>5277</v>
      </c>
      <c r="C910" t="s">
        <v>47</v>
      </c>
      <c r="D910">
        <v>11</v>
      </c>
      <c r="E910">
        <v>1240</v>
      </c>
      <c r="F910" t="s">
        <v>280</v>
      </c>
      <c r="G910" s="1">
        <v>3</v>
      </c>
      <c r="H910">
        <v>0</v>
      </c>
      <c r="I910">
        <v>0.5</v>
      </c>
      <c r="J910">
        <v>113</v>
      </c>
      <c r="K910">
        <v>56</v>
      </c>
      <c r="L910">
        <f t="shared" si="56"/>
        <v>113</v>
      </c>
      <c r="M910">
        <v>0</v>
      </c>
      <c r="N910">
        <v>0</v>
      </c>
      <c r="O910">
        <v>282</v>
      </c>
      <c r="P910" s="1">
        <f t="shared" si="57"/>
        <v>0</v>
      </c>
      <c r="Q910">
        <f t="shared" si="58"/>
        <v>282</v>
      </c>
      <c r="R910" s="1">
        <f t="shared" si="59"/>
        <v>846</v>
      </c>
    </row>
    <row r="911" spans="1:18" hidden="1" x14ac:dyDescent="0.3">
      <c r="A911" t="s">
        <v>5278</v>
      </c>
      <c r="B911" t="s">
        <v>5278</v>
      </c>
      <c r="C911" t="s">
        <v>47</v>
      </c>
      <c r="D911">
        <v>21</v>
      </c>
      <c r="E911">
        <v>5200</v>
      </c>
      <c r="F911" t="s">
        <v>280</v>
      </c>
      <c r="G911" s="1">
        <v>0.85</v>
      </c>
      <c r="H911">
        <v>0</v>
      </c>
      <c r="I911">
        <v>0.5</v>
      </c>
      <c r="J911">
        <v>248</v>
      </c>
      <c r="K911">
        <v>124</v>
      </c>
      <c r="L911">
        <f t="shared" si="56"/>
        <v>248</v>
      </c>
      <c r="M911">
        <v>0</v>
      </c>
      <c r="N911">
        <v>0</v>
      </c>
      <c r="O911">
        <v>620</v>
      </c>
      <c r="P911" s="1">
        <f t="shared" si="57"/>
        <v>0</v>
      </c>
      <c r="Q911">
        <f t="shared" si="58"/>
        <v>620</v>
      </c>
      <c r="R911" s="1">
        <f t="shared" si="59"/>
        <v>527</v>
      </c>
    </row>
    <row r="912" spans="1:18" hidden="1" x14ac:dyDescent="0.3">
      <c r="A912" t="s">
        <v>5279</v>
      </c>
      <c r="B912" t="s">
        <v>5280</v>
      </c>
      <c r="C912" t="s">
        <v>47</v>
      </c>
      <c r="D912">
        <v>9</v>
      </c>
      <c r="E912">
        <v>440</v>
      </c>
      <c r="F912" t="s">
        <v>280</v>
      </c>
      <c r="G912" s="1">
        <v>3</v>
      </c>
      <c r="H912">
        <v>0</v>
      </c>
      <c r="I912">
        <v>0.5</v>
      </c>
      <c r="J912">
        <v>49</v>
      </c>
      <c r="K912">
        <v>24</v>
      </c>
      <c r="L912">
        <f t="shared" si="56"/>
        <v>49</v>
      </c>
      <c r="M912">
        <v>0</v>
      </c>
      <c r="N912">
        <v>0</v>
      </c>
      <c r="O912">
        <v>122</v>
      </c>
      <c r="P912" s="1">
        <f t="shared" si="57"/>
        <v>0</v>
      </c>
      <c r="Q912">
        <f t="shared" si="58"/>
        <v>122</v>
      </c>
      <c r="R912" s="1">
        <f t="shared" si="59"/>
        <v>366</v>
      </c>
    </row>
    <row r="913" spans="1:18" hidden="1" x14ac:dyDescent="0.3">
      <c r="A913" t="s">
        <v>5281</v>
      </c>
      <c r="B913" t="s">
        <v>5281</v>
      </c>
      <c r="C913" t="s">
        <v>47</v>
      </c>
      <c r="D913">
        <v>1</v>
      </c>
      <c r="E913">
        <v>30</v>
      </c>
      <c r="F913" t="s">
        <v>280</v>
      </c>
      <c r="G913" s="1">
        <v>0.6</v>
      </c>
      <c r="H913">
        <v>0</v>
      </c>
      <c r="I913">
        <v>0.5</v>
      </c>
      <c r="J913">
        <v>30</v>
      </c>
      <c r="K913">
        <v>15</v>
      </c>
      <c r="L913">
        <f t="shared" si="56"/>
        <v>30</v>
      </c>
      <c r="M913">
        <v>0</v>
      </c>
      <c r="N913">
        <v>0</v>
      </c>
      <c r="O913">
        <v>75</v>
      </c>
      <c r="P913" s="1">
        <f t="shared" si="57"/>
        <v>0</v>
      </c>
      <c r="Q913">
        <f t="shared" si="58"/>
        <v>75</v>
      </c>
      <c r="R913" s="1">
        <f t="shared" si="59"/>
        <v>45</v>
      </c>
    </row>
    <row r="914" spans="1:18" hidden="1" x14ac:dyDescent="0.3">
      <c r="A914" t="s">
        <v>5282</v>
      </c>
      <c r="B914" t="s">
        <v>5282</v>
      </c>
      <c r="C914" t="s">
        <v>47</v>
      </c>
      <c r="D914">
        <v>19</v>
      </c>
      <c r="E914">
        <v>280</v>
      </c>
      <c r="F914" t="s">
        <v>280</v>
      </c>
      <c r="G914" s="1">
        <v>1.3</v>
      </c>
      <c r="H914">
        <v>0</v>
      </c>
      <c r="I914">
        <v>0.5</v>
      </c>
      <c r="J914">
        <v>15</v>
      </c>
      <c r="K914">
        <v>8</v>
      </c>
      <c r="L914">
        <f t="shared" si="56"/>
        <v>16</v>
      </c>
      <c r="M914">
        <v>0</v>
      </c>
      <c r="N914">
        <v>0</v>
      </c>
      <c r="O914">
        <v>38</v>
      </c>
      <c r="P914" s="1">
        <f t="shared" si="57"/>
        <v>0</v>
      </c>
      <c r="Q914">
        <f t="shared" si="58"/>
        <v>38</v>
      </c>
      <c r="R914" s="1">
        <f t="shared" si="59"/>
        <v>49.4</v>
      </c>
    </row>
    <row r="915" spans="1:18" hidden="1" x14ac:dyDescent="0.3">
      <c r="A915" t="s">
        <v>5283</v>
      </c>
      <c r="B915" t="s">
        <v>5283</v>
      </c>
      <c r="C915" t="s">
        <v>47</v>
      </c>
      <c r="D915">
        <v>1</v>
      </c>
      <c r="E915">
        <v>30</v>
      </c>
      <c r="F915" t="s">
        <v>280</v>
      </c>
      <c r="G915" s="1">
        <v>8</v>
      </c>
      <c r="H915">
        <v>0</v>
      </c>
      <c r="I915">
        <v>0.5</v>
      </c>
      <c r="J915">
        <v>30</v>
      </c>
      <c r="K915">
        <v>15</v>
      </c>
      <c r="L915">
        <f t="shared" si="56"/>
        <v>30</v>
      </c>
      <c r="M915">
        <v>0</v>
      </c>
      <c r="N915">
        <v>0</v>
      </c>
      <c r="O915">
        <v>75</v>
      </c>
      <c r="P915" s="1">
        <f t="shared" si="57"/>
        <v>0</v>
      </c>
      <c r="Q915">
        <f t="shared" si="58"/>
        <v>75</v>
      </c>
      <c r="R915" s="1">
        <f t="shared" si="59"/>
        <v>600</v>
      </c>
    </row>
    <row r="916" spans="1:18" hidden="1" x14ac:dyDescent="0.3">
      <c r="A916" t="s">
        <v>5284</v>
      </c>
      <c r="B916" t="s">
        <v>5285</v>
      </c>
      <c r="C916" t="s">
        <v>47</v>
      </c>
      <c r="D916">
        <v>2</v>
      </c>
      <c r="E916">
        <v>360</v>
      </c>
      <c r="F916" t="s">
        <v>280</v>
      </c>
      <c r="G916" s="1">
        <v>1.3</v>
      </c>
      <c r="H916">
        <v>0</v>
      </c>
      <c r="I916">
        <v>0.8</v>
      </c>
      <c r="J916">
        <v>180</v>
      </c>
      <c r="K916">
        <v>144</v>
      </c>
      <c r="L916">
        <f t="shared" si="56"/>
        <v>288</v>
      </c>
      <c r="M916">
        <v>0</v>
      </c>
      <c r="N916">
        <v>0</v>
      </c>
      <c r="O916">
        <v>504</v>
      </c>
      <c r="P916" s="1">
        <f t="shared" si="57"/>
        <v>0</v>
      </c>
      <c r="Q916">
        <f t="shared" si="58"/>
        <v>504</v>
      </c>
      <c r="R916" s="1">
        <f t="shared" si="59"/>
        <v>655.20000000000005</v>
      </c>
    </row>
    <row r="917" spans="1:18" hidden="1" x14ac:dyDescent="0.3">
      <c r="A917" t="s">
        <v>5286</v>
      </c>
      <c r="B917" t="s">
        <v>5286</v>
      </c>
      <c r="C917" t="s">
        <v>47</v>
      </c>
      <c r="D917">
        <v>21</v>
      </c>
      <c r="E917">
        <v>4924</v>
      </c>
      <c r="F917" t="s">
        <v>280</v>
      </c>
      <c r="G917" s="1">
        <v>2.0099999999999998</v>
      </c>
      <c r="H917">
        <v>0</v>
      </c>
      <c r="I917">
        <v>0.5</v>
      </c>
      <c r="J917">
        <v>234.5</v>
      </c>
      <c r="K917">
        <v>117</v>
      </c>
      <c r="L917">
        <f t="shared" si="56"/>
        <v>235</v>
      </c>
      <c r="M917">
        <v>0</v>
      </c>
      <c r="N917">
        <v>0</v>
      </c>
      <c r="O917">
        <v>586</v>
      </c>
      <c r="P917" s="1">
        <f t="shared" si="57"/>
        <v>0</v>
      </c>
      <c r="Q917">
        <f t="shared" si="58"/>
        <v>586</v>
      </c>
      <c r="R917" s="1">
        <f t="shared" si="59"/>
        <v>1177.8599999999999</v>
      </c>
    </row>
    <row r="918" spans="1:18" hidden="1" x14ac:dyDescent="0.3">
      <c r="A918" t="s">
        <v>5287</v>
      </c>
      <c r="B918" t="s">
        <v>5288</v>
      </c>
      <c r="C918" t="s">
        <v>47</v>
      </c>
      <c r="D918">
        <v>1</v>
      </c>
      <c r="E918">
        <v>4</v>
      </c>
      <c r="F918" t="s">
        <v>280</v>
      </c>
      <c r="G918" s="1">
        <v>2</v>
      </c>
      <c r="H918">
        <v>0</v>
      </c>
      <c r="I918">
        <v>0.5</v>
      </c>
      <c r="J918">
        <v>4</v>
      </c>
      <c r="K918">
        <v>2</v>
      </c>
      <c r="L918">
        <f t="shared" si="56"/>
        <v>4</v>
      </c>
      <c r="M918">
        <v>0</v>
      </c>
      <c r="N918">
        <v>0</v>
      </c>
      <c r="O918">
        <v>10</v>
      </c>
      <c r="P918" s="1">
        <f t="shared" si="57"/>
        <v>0</v>
      </c>
      <c r="Q918">
        <f t="shared" si="58"/>
        <v>10</v>
      </c>
      <c r="R918" s="1">
        <f t="shared" si="59"/>
        <v>20</v>
      </c>
    </row>
    <row r="919" spans="1:18" hidden="1" x14ac:dyDescent="0.3">
      <c r="A919" t="s">
        <v>5289</v>
      </c>
      <c r="B919" t="s">
        <v>5290</v>
      </c>
      <c r="C919" t="s">
        <v>47</v>
      </c>
      <c r="D919">
        <v>1</v>
      </c>
      <c r="E919">
        <v>300</v>
      </c>
      <c r="F919" t="s">
        <v>280</v>
      </c>
      <c r="G919" s="1">
        <v>1.8</v>
      </c>
      <c r="H919">
        <v>0</v>
      </c>
      <c r="I919">
        <v>0.5</v>
      </c>
      <c r="J919">
        <v>300</v>
      </c>
      <c r="K919">
        <v>150</v>
      </c>
      <c r="L919">
        <f t="shared" si="56"/>
        <v>300</v>
      </c>
      <c r="M919">
        <v>0</v>
      </c>
      <c r="N919">
        <v>0</v>
      </c>
      <c r="O919">
        <v>750</v>
      </c>
      <c r="P919" s="1">
        <f t="shared" si="57"/>
        <v>0</v>
      </c>
      <c r="Q919">
        <f t="shared" si="58"/>
        <v>750</v>
      </c>
      <c r="R919" s="1">
        <f t="shared" si="59"/>
        <v>1350</v>
      </c>
    </row>
    <row r="920" spans="1:18" hidden="1" x14ac:dyDescent="0.3">
      <c r="A920" t="s">
        <v>5291</v>
      </c>
      <c r="B920" t="s">
        <v>5292</v>
      </c>
      <c r="C920" t="s">
        <v>47</v>
      </c>
      <c r="D920">
        <v>6</v>
      </c>
      <c r="E920">
        <v>30</v>
      </c>
      <c r="F920" t="s">
        <v>280</v>
      </c>
      <c r="G920" s="1">
        <v>75</v>
      </c>
      <c r="H920">
        <v>0</v>
      </c>
      <c r="I920">
        <v>0.5</v>
      </c>
      <c r="J920">
        <v>5</v>
      </c>
      <c r="K920">
        <v>2</v>
      </c>
      <c r="L920">
        <f t="shared" si="56"/>
        <v>5</v>
      </c>
      <c r="M920">
        <v>0</v>
      </c>
      <c r="N920">
        <v>0</v>
      </c>
      <c r="O920">
        <v>12</v>
      </c>
      <c r="P920" s="1">
        <f t="shared" si="57"/>
        <v>0</v>
      </c>
      <c r="Q920">
        <f t="shared" si="58"/>
        <v>12</v>
      </c>
      <c r="R920" s="1">
        <f t="shared" si="59"/>
        <v>900</v>
      </c>
    </row>
    <row r="921" spans="1:18" hidden="1" x14ac:dyDescent="0.3">
      <c r="A921" t="s">
        <v>5293</v>
      </c>
      <c r="B921" t="s">
        <v>5294</v>
      </c>
      <c r="C921" t="s">
        <v>47</v>
      </c>
      <c r="D921">
        <v>1</v>
      </c>
      <c r="E921">
        <v>4</v>
      </c>
      <c r="F921" t="s">
        <v>280</v>
      </c>
      <c r="G921" s="1">
        <v>20</v>
      </c>
      <c r="H921">
        <v>0</v>
      </c>
      <c r="I921">
        <v>0.5</v>
      </c>
      <c r="J921">
        <v>4</v>
      </c>
      <c r="K921">
        <v>2</v>
      </c>
      <c r="L921">
        <f t="shared" si="56"/>
        <v>4</v>
      </c>
      <c r="M921">
        <v>0</v>
      </c>
      <c r="N921">
        <v>0</v>
      </c>
      <c r="O921">
        <v>10</v>
      </c>
      <c r="P921" s="1">
        <f t="shared" si="57"/>
        <v>0</v>
      </c>
      <c r="Q921">
        <f t="shared" si="58"/>
        <v>10</v>
      </c>
      <c r="R921" s="1">
        <f t="shared" si="59"/>
        <v>200</v>
      </c>
    </row>
    <row r="922" spans="1:18" hidden="1" x14ac:dyDescent="0.3">
      <c r="A922" t="s">
        <v>5295</v>
      </c>
      <c r="B922" t="s">
        <v>5295</v>
      </c>
      <c r="C922" t="s">
        <v>47</v>
      </c>
      <c r="D922">
        <v>1</v>
      </c>
      <c r="E922">
        <v>0</v>
      </c>
      <c r="G922" s="1">
        <v>0</v>
      </c>
      <c r="H922">
        <v>0</v>
      </c>
      <c r="I922">
        <v>0.5</v>
      </c>
      <c r="J922">
        <v>1</v>
      </c>
      <c r="K922">
        <v>1</v>
      </c>
      <c r="L922">
        <f t="shared" si="56"/>
        <v>2</v>
      </c>
      <c r="M922">
        <v>0</v>
      </c>
      <c r="N922">
        <v>0</v>
      </c>
      <c r="O922">
        <v>2</v>
      </c>
      <c r="P922" s="1">
        <f t="shared" si="57"/>
        <v>0</v>
      </c>
      <c r="Q922">
        <f t="shared" si="58"/>
        <v>2</v>
      </c>
      <c r="R922" s="1">
        <f t="shared" si="59"/>
        <v>0</v>
      </c>
    </row>
    <row r="923" spans="1:18" hidden="1" x14ac:dyDescent="0.3">
      <c r="A923" t="s">
        <v>5296</v>
      </c>
      <c r="B923" t="s">
        <v>5297</v>
      </c>
      <c r="C923" t="s">
        <v>47</v>
      </c>
      <c r="D923">
        <v>20</v>
      </c>
      <c r="E923">
        <v>1450</v>
      </c>
      <c r="F923" t="s">
        <v>280</v>
      </c>
      <c r="G923" s="1">
        <v>18.05</v>
      </c>
      <c r="H923">
        <v>0</v>
      </c>
      <c r="I923">
        <v>0.5</v>
      </c>
      <c r="J923">
        <v>72.5</v>
      </c>
      <c r="K923">
        <v>36</v>
      </c>
      <c r="L923">
        <f t="shared" si="56"/>
        <v>73</v>
      </c>
      <c r="M923">
        <v>0</v>
      </c>
      <c r="N923">
        <v>0</v>
      </c>
      <c r="O923">
        <v>181</v>
      </c>
      <c r="P923" s="1">
        <f t="shared" si="57"/>
        <v>0</v>
      </c>
      <c r="Q923">
        <f t="shared" si="58"/>
        <v>181</v>
      </c>
      <c r="R923" s="1">
        <f t="shared" si="59"/>
        <v>3267.05</v>
      </c>
    </row>
    <row r="924" spans="1:18" hidden="1" x14ac:dyDescent="0.3">
      <c r="A924" t="s">
        <v>5298</v>
      </c>
      <c r="B924" t="s">
        <v>5299</v>
      </c>
      <c r="C924" t="s">
        <v>47</v>
      </c>
      <c r="D924">
        <v>3</v>
      </c>
      <c r="E924">
        <v>420</v>
      </c>
      <c r="F924" t="s">
        <v>280</v>
      </c>
      <c r="G924" s="1">
        <v>7.14</v>
      </c>
      <c r="H924">
        <v>0</v>
      </c>
      <c r="I924">
        <v>0.5</v>
      </c>
      <c r="J924">
        <v>140</v>
      </c>
      <c r="K924">
        <v>70</v>
      </c>
      <c r="L924">
        <f t="shared" si="56"/>
        <v>140</v>
      </c>
      <c r="M924">
        <v>0</v>
      </c>
      <c r="N924">
        <v>0</v>
      </c>
      <c r="O924">
        <v>350</v>
      </c>
      <c r="P924" s="1">
        <f t="shared" si="57"/>
        <v>0</v>
      </c>
      <c r="Q924">
        <f t="shared" si="58"/>
        <v>350</v>
      </c>
      <c r="R924" s="1">
        <f t="shared" si="59"/>
        <v>2499</v>
      </c>
    </row>
    <row r="925" spans="1:18" hidden="1" x14ac:dyDescent="0.3">
      <c r="A925" t="s">
        <v>5300</v>
      </c>
      <c r="B925" t="s">
        <v>5300</v>
      </c>
      <c r="C925" t="s">
        <v>47</v>
      </c>
      <c r="D925">
        <v>5</v>
      </c>
      <c r="E925">
        <v>320</v>
      </c>
      <c r="F925" t="s">
        <v>280</v>
      </c>
      <c r="G925" s="1">
        <v>6</v>
      </c>
      <c r="H925">
        <v>0</v>
      </c>
      <c r="I925">
        <v>0.5</v>
      </c>
      <c r="J925">
        <v>64</v>
      </c>
      <c r="K925">
        <v>32</v>
      </c>
      <c r="L925">
        <f t="shared" si="56"/>
        <v>64</v>
      </c>
      <c r="M925">
        <v>0</v>
      </c>
      <c r="N925">
        <v>0</v>
      </c>
      <c r="O925">
        <v>160</v>
      </c>
      <c r="P925" s="1">
        <f t="shared" si="57"/>
        <v>0</v>
      </c>
      <c r="Q925">
        <f t="shared" si="58"/>
        <v>160</v>
      </c>
      <c r="R925" s="1">
        <f t="shared" si="59"/>
        <v>960</v>
      </c>
    </row>
    <row r="926" spans="1:18" hidden="1" x14ac:dyDescent="0.3">
      <c r="A926" t="s">
        <v>5301</v>
      </c>
      <c r="B926" t="s">
        <v>5301</v>
      </c>
      <c r="C926" t="s">
        <v>47</v>
      </c>
      <c r="D926">
        <v>1</v>
      </c>
      <c r="E926">
        <v>10</v>
      </c>
      <c r="F926" t="s">
        <v>280</v>
      </c>
      <c r="G926" s="1">
        <v>20</v>
      </c>
      <c r="H926">
        <v>0</v>
      </c>
      <c r="I926">
        <v>1.6</v>
      </c>
      <c r="J926">
        <v>10</v>
      </c>
      <c r="K926">
        <v>16</v>
      </c>
      <c r="L926">
        <f t="shared" si="56"/>
        <v>32</v>
      </c>
      <c r="M926">
        <v>0</v>
      </c>
      <c r="N926">
        <v>0</v>
      </c>
      <c r="O926">
        <v>36</v>
      </c>
      <c r="P926" s="1">
        <f t="shared" si="57"/>
        <v>0</v>
      </c>
      <c r="Q926">
        <f t="shared" si="58"/>
        <v>36</v>
      </c>
      <c r="R926" s="1">
        <f t="shared" si="59"/>
        <v>720</v>
      </c>
    </row>
    <row r="927" spans="1:18" hidden="1" x14ac:dyDescent="0.3">
      <c r="A927" t="s">
        <v>5302</v>
      </c>
      <c r="B927" t="s">
        <v>5303</v>
      </c>
      <c r="C927" t="s">
        <v>47</v>
      </c>
      <c r="D927">
        <v>1</v>
      </c>
      <c r="E927">
        <v>2</v>
      </c>
      <c r="F927" t="s">
        <v>280</v>
      </c>
      <c r="G927" s="1">
        <v>65</v>
      </c>
      <c r="H927">
        <v>0</v>
      </c>
      <c r="I927">
        <v>0.5</v>
      </c>
      <c r="J927">
        <v>2</v>
      </c>
      <c r="K927">
        <v>1</v>
      </c>
      <c r="L927">
        <f t="shared" si="56"/>
        <v>2</v>
      </c>
      <c r="M927">
        <v>0</v>
      </c>
      <c r="N927">
        <v>0</v>
      </c>
      <c r="O927">
        <v>5</v>
      </c>
      <c r="P927" s="1">
        <f t="shared" si="57"/>
        <v>0</v>
      </c>
      <c r="Q927">
        <f t="shared" si="58"/>
        <v>5</v>
      </c>
      <c r="R927" s="1">
        <f t="shared" si="59"/>
        <v>325</v>
      </c>
    </row>
    <row r="928" spans="1:18" hidden="1" x14ac:dyDescent="0.3">
      <c r="A928" t="s">
        <v>5304</v>
      </c>
      <c r="B928" t="s">
        <v>5305</v>
      </c>
      <c r="C928" t="s">
        <v>47</v>
      </c>
      <c r="D928">
        <v>1</v>
      </c>
      <c r="E928">
        <v>300</v>
      </c>
      <c r="F928" t="s">
        <v>280</v>
      </c>
      <c r="G928" s="1">
        <v>12</v>
      </c>
      <c r="H928">
        <v>0</v>
      </c>
      <c r="I928">
        <v>0.5</v>
      </c>
      <c r="J928">
        <v>300</v>
      </c>
      <c r="K928">
        <v>150</v>
      </c>
      <c r="L928">
        <f t="shared" si="56"/>
        <v>300</v>
      </c>
      <c r="M928">
        <v>0</v>
      </c>
      <c r="N928">
        <v>0</v>
      </c>
      <c r="O928">
        <v>750</v>
      </c>
      <c r="P928" s="1">
        <f t="shared" si="57"/>
        <v>0</v>
      </c>
      <c r="Q928">
        <f t="shared" si="58"/>
        <v>750</v>
      </c>
      <c r="R928" s="1">
        <f t="shared" si="59"/>
        <v>9000</v>
      </c>
    </row>
    <row r="929" spans="1:18" hidden="1" x14ac:dyDescent="0.3">
      <c r="A929" t="s">
        <v>5306</v>
      </c>
      <c r="B929" t="s">
        <v>5306</v>
      </c>
      <c r="C929" t="s">
        <v>47</v>
      </c>
      <c r="D929">
        <v>1</v>
      </c>
      <c r="E929">
        <v>1</v>
      </c>
      <c r="F929" t="s">
        <v>280</v>
      </c>
      <c r="G929" s="1">
        <v>8</v>
      </c>
      <c r="H929">
        <v>0</v>
      </c>
      <c r="I929">
        <v>0.5</v>
      </c>
      <c r="J929">
        <v>1</v>
      </c>
      <c r="K929">
        <v>1</v>
      </c>
      <c r="L929">
        <f t="shared" si="56"/>
        <v>2</v>
      </c>
      <c r="M929">
        <v>0</v>
      </c>
      <c r="N929">
        <v>0</v>
      </c>
      <c r="O929">
        <v>2</v>
      </c>
      <c r="P929" s="1">
        <f t="shared" si="57"/>
        <v>0</v>
      </c>
      <c r="Q929">
        <f t="shared" si="58"/>
        <v>2</v>
      </c>
      <c r="R929" s="1">
        <f t="shared" si="59"/>
        <v>16</v>
      </c>
    </row>
    <row r="930" spans="1:18" hidden="1" x14ac:dyDescent="0.3">
      <c r="A930" t="s">
        <v>5307</v>
      </c>
      <c r="B930" t="s">
        <v>5307</v>
      </c>
      <c r="C930" t="s">
        <v>47</v>
      </c>
      <c r="D930">
        <v>16</v>
      </c>
      <c r="E930">
        <v>1450</v>
      </c>
      <c r="F930" t="s">
        <v>280</v>
      </c>
      <c r="G930" s="1">
        <v>0.15</v>
      </c>
      <c r="H930">
        <v>0</v>
      </c>
      <c r="I930">
        <v>0.5</v>
      </c>
      <c r="J930">
        <v>91</v>
      </c>
      <c r="K930">
        <v>46</v>
      </c>
      <c r="L930">
        <f t="shared" si="56"/>
        <v>92</v>
      </c>
      <c r="M930">
        <v>0</v>
      </c>
      <c r="N930">
        <v>0</v>
      </c>
      <c r="O930">
        <v>228</v>
      </c>
      <c r="P930" s="1">
        <f t="shared" si="57"/>
        <v>0</v>
      </c>
      <c r="Q930">
        <f t="shared" si="58"/>
        <v>228</v>
      </c>
      <c r="R930" s="1">
        <f t="shared" si="59"/>
        <v>34.199999999999996</v>
      </c>
    </row>
    <row r="931" spans="1:18" hidden="1" x14ac:dyDescent="0.3">
      <c r="A931" t="s">
        <v>5308</v>
      </c>
      <c r="B931" t="s">
        <v>5308</v>
      </c>
      <c r="C931" t="s">
        <v>47</v>
      </c>
      <c r="D931">
        <v>19</v>
      </c>
      <c r="E931">
        <v>2320</v>
      </c>
      <c r="F931" t="s">
        <v>280</v>
      </c>
      <c r="G931" s="1">
        <v>0.35</v>
      </c>
      <c r="H931">
        <v>0</v>
      </c>
      <c r="I931">
        <v>0.5</v>
      </c>
      <c r="J931">
        <v>122.5</v>
      </c>
      <c r="K931">
        <v>61</v>
      </c>
      <c r="L931">
        <f t="shared" si="56"/>
        <v>123</v>
      </c>
      <c r="M931">
        <v>0</v>
      </c>
      <c r="N931">
        <v>0</v>
      </c>
      <c r="O931">
        <v>306</v>
      </c>
      <c r="P931" s="1">
        <f t="shared" si="57"/>
        <v>0</v>
      </c>
      <c r="Q931">
        <f t="shared" si="58"/>
        <v>306</v>
      </c>
      <c r="R931" s="1">
        <f t="shared" si="59"/>
        <v>107.1</v>
      </c>
    </row>
    <row r="932" spans="1:18" hidden="1" x14ac:dyDescent="0.3">
      <c r="A932" t="s">
        <v>5309</v>
      </c>
      <c r="B932" t="s">
        <v>5309</v>
      </c>
      <c r="C932" t="s">
        <v>47</v>
      </c>
      <c r="D932">
        <v>17</v>
      </c>
      <c r="E932">
        <v>460</v>
      </c>
      <c r="F932" t="s">
        <v>280</v>
      </c>
      <c r="G932" s="1">
        <v>0.95</v>
      </c>
      <c r="H932">
        <v>0</v>
      </c>
      <c r="I932">
        <v>0.5</v>
      </c>
      <c r="J932">
        <v>27.5</v>
      </c>
      <c r="K932">
        <v>14</v>
      </c>
      <c r="L932">
        <f t="shared" si="56"/>
        <v>28</v>
      </c>
      <c r="M932">
        <v>0</v>
      </c>
      <c r="N932">
        <v>0</v>
      </c>
      <c r="O932">
        <v>69</v>
      </c>
      <c r="P932" s="1">
        <f t="shared" si="57"/>
        <v>0</v>
      </c>
      <c r="Q932">
        <f t="shared" si="58"/>
        <v>69</v>
      </c>
      <c r="R932" s="1">
        <f t="shared" si="59"/>
        <v>65.55</v>
      </c>
    </row>
    <row r="933" spans="1:18" hidden="1" x14ac:dyDescent="0.3">
      <c r="A933" t="s">
        <v>5310</v>
      </c>
      <c r="B933" t="s">
        <v>5311</v>
      </c>
      <c r="C933" t="s">
        <v>47</v>
      </c>
      <c r="D933">
        <v>15</v>
      </c>
      <c r="E933">
        <v>2</v>
      </c>
      <c r="F933" t="s">
        <v>124</v>
      </c>
      <c r="G933" s="1">
        <v>18017.61</v>
      </c>
      <c r="H933">
        <v>1</v>
      </c>
      <c r="I933">
        <v>0.7</v>
      </c>
      <c r="J933">
        <v>1</v>
      </c>
      <c r="K933">
        <v>1</v>
      </c>
      <c r="L933">
        <f t="shared" si="56"/>
        <v>2</v>
      </c>
      <c r="M933">
        <v>0</v>
      </c>
      <c r="N933">
        <v>0</v>
      </c>
      <c r="O933">
        <v>3</v>
      </c>
      <c r="P933" s="1">
        <f t="shared" si="57"/>
        <v>0</v>
      </c>
      <c r="Q933">
        <f t="shared" si="58"/>
        <v>3</v>
      </c>
      <c r="R933" s="1">
        <f t="shared" si="59"/>
        <v>54052.83</v>
      </c>
    </row>
    <row r="934" spans="1:18" hidden="1" x14ac:dyDescent="0.3">
      <c r="A934" t="s">
        <v>5312</v>
      </c>
      <c r="B934" t="s">
        <v>5313</v>
      </c>
      <c r="C934" t="s">
        <v>47</v>
      </c>
      <c r="D934">
        <v>5</v>
      </c>
      <c r="E934">
        <v>900</v>
      </c>
      <c r="F934" t="s">
        <v>280</v>
      </c>
      <c r="G934" s="1">
        <v>0.15</v>
      </c>
      <c r="H934">
        <v>0</v>
      </c>
      <c r="I934">
        <v>0.5</v>
      </c>
      <c r="J934">
        <v>180</v>
      </c>
      <c r="K934">
        <v>90</v>
      </c>
      <c r="L934">
        <f t="shared" si="56"/>
        <v>180</v>
      </c>
      <c r="M934">
        <v>0</v>
      </c>
      <c r="N934">
        <v>0</v>
      </c>
      <c r="O934">
        <v>450</v>
      </c>
      <c r="P934" s="1">
        <f t="shared" si="57"/>
        <v>0</v>
      </c>
      <c r="Q934">
        <f t="shared" si="58"/>
        <v>450</v>
      </c>
      <c r="R934" s="1">
        <f t="shared" si="59"/>
        <v>67.5</v>
      </c>
    </row>
    <row r="935" spans="1:18" hidden="1" x14ac:dyDescent="0.3">
      <c r="A935" t="s">
        <v>5314</v>
      </c>
      <c r="B935" t="s">
        <v>5257</v>
      </c>
      <c r="C935" t="s">
        <v>47</v>
      </c>
      <c r="D935">
        <v>1</v>
      </c>
      <c r="E935">
        <v>240</v>
      </c>
      <c r="F935" t="s">
        <v>280</v>
      </c>
      <c r="G935" s="1">
        <v>0.9</v>
      </c>
      <c r="H935">
        <v>0</v>
      </c>
      <c r="I935">
        <v>0.5</v>
      </c>
      <c r="J935">
        <v>240</v>
      </c>
      <c r="K935">
        <v>120</v>
      </c>
      <c r="L935">
        <f t="shared" si="56"/>
        <v>240</v>
      </c>
      <c r="M935">
        <v>0</v>
      </c>
      <c r="N935">
        <v>0</v>
      </c>
      <c r="O935">
        <v>600</v>
      </c>
      <c r="P935" s="1">
        <f t="shared" si="57"/>
        <v>0</v>
      </c>
      <c r="Q935">
        <f t="shared" si="58"/>
        <v>600</v>
      </c>
      <c r="R935" s="1">
        <f t="shared" si="59"/>
        <v>540</v>
      </c>
    </row>
    <row r="936" spans="1:18" hidden="1" x14ac:dyDescent="0.3">
      <c r="A936" t="s">
        <v>5315</v>
      </c>
      <c r="B936" t="s">
        <v>5315</v>
      </c>
      <c r="C936" t="s">
        <v>47</v>
      </c>
      <c r="D936">
        <v>18</v>
      </c>
      <c r="E936">
        <v>800</v>
      </c>
      <c r="F936" t="s">
        <v>280</v>
      </c>
      <c r="G936" s="1">
        <v>0.12</v>
      </c>
      <c r="H936">
        <v>0</v>
      </c>
      <c r="I936">
        <v>0.5</v>
      </c>
      <c r="J936">
        <v>44.5</v>
      </c>
      <c r="K936">
        <v>22</v>
      </c>
      <c r="L936">
        <f t="shared" si="56"/>
        <v>45</v>
      </c>
      <c r="M936">
        <v>0</v>
      </c>
      <c r="N936">
        <v>0</v>
      </c>
      <c r="O936">
        <v>111</v>
      </c>
      <c r="P936" s="1">
        <f t="shared" si="57"/>
        <v>0</v>
      </c>
      <c r="Q936">
        <f t="shared" si="58"/>
        <v>111</v>
      </c>
      <c r="R936" s="1">
        <f t="shared" si="59"/>
        <v>13.32</v>
      </c>
    </row>
    <row r="937" spans="1:18" hidden="1" x14ac:dyDescent="0.3">
      <c r="A937" t="s">
        <v>4016</v>
      </c>
      <c r="B937" t="s">
        <v>4016</v>
      </c>
      <c r="C937" t="s">
        <v>47</v>
      </c>
      <c r="D937">
        <v>21</v>
      </c>
      <c r="E937">
        <v>3350</v>
      </c>
      <c r="F937" t="s">
        <v>280</v>
      </c>
      <c r="G937" s="1">
        <v>0.2</v>
      </c>
      <c r="H937">
        <v>0</v>
      </c>
      <c r="I937">
        <v>0.5</v>
      </c>
      <c r="J937">
        <v>160</v>
      </c>
      <c r="K937">
        <v>80</v>
      </c>
      <c r="L937">
        <f t="shared" si="56"/>
        <v>160</v>
      </c>
      <c r="M937">
        <v>0</v>
      </c>
      <c r="N937">
        <v>0</v>
      </c>
      <c r="O937">
        <v>400</v>
      </c>
      <c r="P937" s="1">
        <f t="shared" si="57"/>
        <v>0</v>
      </c>
      <c r="Q937">
        <f t="shared" si="58"/>
        <v>400</v>
      </c>
      <c r="R937" s="1">
        <f t="shared" si="59"/>
        <v>80</v>
      </c>
    </row>
    <row r="938" spans="1:18" hidden="1" x14ac:dyDescent="0.3">
      <c r="A938" t="s">
        <v>5316</v>
      </c>
      <c r="B938" t="s">
        <v>5316</v>
      </c>
      <c r="C938" t="s">
        <v>47</v>
      </c>
      <c r="D938">
        <v>1</v>
      </c>
      <c r="E938">
        <v>30</v>
      </c>
      <c r="F938" t="s">
        <v>280</v>
      </c>
      <c r="G938" s="1">
        <v>6</v>
      </c>
      <c r="H938">
        <v>0</v>
      </c>
      <c r="I938">
        <v>0.5</v>
      </c>
      <c r="J938">
        <v>30</v>
      </c>
      <c r="K938">
        <v>15</v>
      </c>
      <c r="L938">
        <f t="shared" si="56"/>
        <v>30</v>
      </c>
      <c r="M938">
        <v>0</v>
      </c>
      <c r="N938">
        <v>0</v>
      </c>
      <c r="O938">
        <v>75</v>
      </c>
      <c r="P938" s="1">
        <f t="shared" si="57"/>
        <v>0</v>
      </c>
      <c r="Q938">
        <f t="shared" si="58"/>
        <v>75</v>
      </c>
      <c r="R938" s="1">
        <f t="shared" si="59"/>
        <v>450</v>
      </c>
    </row>
    <row r="939" spans="1:18" hidden="1" x14ac:dyDescent="0.3">
      <c r="A939" t="s">
        <v>5317</v>
      </c>
      <c r="B939" t="s">
        <v>5317</v>
      </c>
      <c r="C939" t="s">
        <v>47</v>
      </c>
      <c r="D939">
        <v>18</v>
      </c>
      <c r="E939">
        <v>1000</v>
      </c>
      <c r="F939" t="s">
        <v>280</v>
      </c>
      <c r="G939" s="1">
        <v>0.59</v>
      </c>
      <c r="H939">
        <v>0</v>
      </c>
      <c r="I939">
        <v>0.5</v>
      </c>
      <c r="J939">
        <v>56</v>
      </c>
      <c r="K939">
        <v>28</v>
      </c>
      <c r="L939">
        <f t="shared" si="56"/>
        <v>56</v>
      </c>
      <c r="M939">
        <v>0</v>
      </c>
      <c r="N939">
        <v>0</v>
      </c>
      <c r="O939">
        <v>140</v>
      </c>
      <c r="P939" s="1">
        <f t="shared" si="57"/>
        <v>0</v>
      </c>
      <c r="Q939">
        <f t="shared" si="58"/>
        <v>140</v>
      </c>
      <c r="R939" s="1">
        <f t="shared" si="59"/>
        <v>82.6</v>
      </c>
    </row>
    <row r="940" spans="1:18" hidden="1" x14ac:dyDescent="0.3">
      <c r="A940" t="s">
        <v>5318</v>
      </c>
      <c r="B940" t="s">
        <v>5319</v>
      </c>
      <c r="C940" t="s">
        <v>47</v>
      </c>
      <c r="D940">
        <v>1</v>
      </c>
      <c r="E940">
        <v>300</v>
      </c>
      <c r="F940" t="s">
        <v>280</v>
      </c>
      <c r="G940" s="1">
        <v>1</v>
      </c>
      <c r="H940">
        <v>0</v>
      </c>
      <c r="I940">
        <v>0.5</v>
      </c>
      <c r="J940">
        <v>300</v>
      </c>
      <c r="K940">
        <v>150</v>
      </c>
      <c r="L940">
        <f t="shared" si="56"/>
        <v>300</v>
      </c>
      <c r="M940">
        <v>0</v>
      </c>
      <c r="N940">
        <v>0</v>
      </c>
      <c r="O940">
        <v>750</v>
      </c>
      <c r="P940" s="1">
        <f t="shared" si="57"/>
        <v>0</v>
      </c>
      <c r="Q940">
        <f t="shared" si="58"/>
        <v>750</v>
      </c>
      <c r="R940" s="1">
        <f t="shared" si="59"/>
        <v>750</v>
      </c>
    </row>
    <row r="941" spans="1:18" hidden="1" x14ac:dyDescent="0.3">
      <c r="A941" t="s">
        <v>288</v>
      </c>
      <c r="B941" t="s">
        <v>288</v>
      </c>
      <c r="C941" t="s">
        <v>47</v>
      </c>
      <c r="D941">
        <v>21</v>
      </c>
      <c r="E941">
        <v>3800</v>
      </c>
      <c r="F941" t="s">
        <v>280</v>
      </c>
      <c r="G941" s="1">
        <v>0.65</v>
      </c>
      <c r="H941">
        <v>0</v>
      </c>
      <c r="I941">
        <v>0.5</v>
      </c>
      <c r="J941">
        <v>181</v>
      </c>
      <c r="K941">
        <v>90</v>
      </c>
      <c r="L941">
        <f t="shared" si="56"/>
        <v>181</v>
      </c>
      <c r="M941">
        <v>0</v>
      </c>
      <c r="N941">
        <v>0</v>
      </c>
      <c r="O941">
        <v>452</v>
      </c>
      <c r="P941" s="1">
        <f t="shared" si="57"/>
        <v>0</v>
      </c>
      <c r="Q941">
        <f t="shared" si="58"/>
        <v>452</v>
      </c>
      <c r="R941" s="1">
        <f t="shared" si="59"/>
        <v>293.8</v>
      </c>
    </row>
    <row r="942" spans="1:18" hidden="1" x14ac:dyDescent="0.3">
      <c r="A942" t="s">
        <v>5320</v>
      </c>
      <c r="B942" t="s">
        <v>5320</v>
      </c>
      <c r="C942" t="s">
        <v>47</v>
      </c>
      <c r="D942">
        <v>18</v>
      </c>
      <c r="E942">
        <v>800</v>
      </c>
      <c r="F942" t="s">
        <v>280</v>
      </c>
      <c r="G942" s="1">
        <v>0.91</v>
      </c>
      <c r="H942">
        <v>0</v>
      </c>
      <c r="I942">
        <v>0.5</v>
      </c>
      <c r="J942">
        <v>44.5</v>
      </c>
      <c r="K942">
        <v>22</v>
      </c>
      <c r="L942">
        <f t="shared" si="56"/>
        <v>45</v>
      </c>
      <c r="M942">
        <v>0</v>
      </c>
      <c r="N942">
        <v>0</v>
      </c>
      <c r="O942">
        <v>111</v>
      </c>
      <c r="P942" s="1">
        <f t="shared" si="57"/>
        <v>0</v>
      </c>
      <c r="Q942">
        <f t="shared" si="58"/>
        <v>111</v>
      </c>
      <c r="R942" s="1">
        <f t="shared" si="59"/>
        <v>101.01</v>
      </c>
    </row>
    <row r="943" spans="1:18" hidden="1" x14ac:dyDescent="0.3">
      <c r="A943" t="s">
        <v>5321</v>
      </c>
      <c r="B943" t="s">
        <v>5321</v>
      </c>
      <c r="C943" t="s">
        <v>47</v>
      </c>
      <c r="D943">
        <v>20</v>
      </c>
      <c r="E943">
        <v>900</v>
      </c>
      <c r="F943" t="s">
        <v>280</v>
      </c>
      <c r="G943" s="1">
        <v>1.8</v>
      </c>
      <c r="H943">
        <v>0</v>
      </c>
      <c r="I943">
        <v>0.5</v>
      </c>
      <c r="J943">
        <v>45</v>
      </c>
      <c r="K943">
        <v>22</v>
      </c>
      <c r="L943">
        <f t="shared" si="56"/>
        <v>45</v>
      </c>
      <c r="M943">
        <v>0</v>
      </c>
      <c r="N943">
        <v>0</v>
      </c>
      <c r="O943">
        <v>112</v>
      </c>
      <c r="P943" s="1">
        <f t="shared" si="57"/>
        <v>0</v>
      </c>
      <c r="Q943">
        <f t="shared" si="58"/>
        <v>112</v>
      </c>
      <c r="R943" s="1">
        <f t="shared" si="59"/>
        <v>201.6</v>
      </c>
    </row>
    <row r="944" spans="1:18" hidden="1" x14ac:dyDescent="0.3">
      <c r="A944" t="s">
        <v>5322</v>
      </c>
      <c r="B944" t="s">
        <v>5322</v>
      </c>
      <c r="C944" t="s">
        <v>47</v>
      </c>
      <c r="D944">
        <v>1</v>
      </c>
      <c r="E944">
        <v>20</v>
      </c>
      <c r="F944" t="s">
        <v>280</v>
      </c>
      <c r="G944" s="1">
        <v>5</v>
      </c>
      <c r="H944">
        <v>0</v>
      </c>
      <c r="I944">
        <v>1.4</v>
      </c>
      <c r="J944">
        <v>20</v>
      </c>
      <c r="K944">
        <v>28</v>
      </c>
      <c r="L944">
        <f t="shared" si="56"/>
        <v>56</v>
      </c>
      <c r="M944">
        <v>0</v>
      </c>
      <c r="N944">
        <v>0</v>
      </c>
      <c r="O944">
        <v>68</v>
      </c>
      <c r="P944" s="1">
        <f t="shared" si="57"/>
        <v>0</v>
      </c>
      <c r="Q944">
        <f t="shared" si="58"/>
        <v>68</v>
      </c>
      <c r="R944" s="1">
        <f t="shared" si="59"/>
        <v>340</v>
      </c>
    </row>
    <row r="945" spans="1:18" hidden="1" x14ac:dyDescent="0.3">
      <c r="A945" t="s">
        <v>5323</v>
      </c>
      <c r="B945" t="s">
        <v>5323</v>
      </c>
      <c r="C945" t="s">
        <v>47</v>
      </c>
      <c r="D945">
        <v>17</v>
      </c>
      <c r="E945">
        <v>2300</v>
      </c>
      <c r="F945" t="s">
        <v>280</v>
      </c>
      <c r="G945" s="1">
        <v>0.12</v>
      </c>
      <c r="H945">
        <v>0</v>
      </c>
      <c r="I945">
        <v>0.5</v>
      </c>
      <c r="J945">
        <v>135.5</v>
      </c>
      <c r="K945">
        <v>68</v>
      </c>
      <c r="L945">
        <f t="shared" si="56"/>
        <v>136</v>
      </c>
      <c r="M945">
        <v>0</v>
      </c>
      <c r="N945">
        <v>0</v>
      </c>
      <c r="O945">
        <v>339</v>
      </c>
      <c r="P945" s="1">
        <f t="shared" si="57"/>
        <v>0</v>
      </c>
      <c r="Q945">
        <f t="shared" si="58"/>
        <v>339</v>
      </c>
      <c r="R945" s="1">
        <f t="shared" si="59"/>
        <v>40.68</v>
      </c>
    </row>
    <row r="946" spans="1:18" hidden="1" x14ac:dyDescent="0.3">
      <c r="A946" t="s">
        <v>5324</v>
      </c>
      <c r="B946" t="s">
        <v>5324</v>
      </c>
      <c r="C946" t="s">
        <v>47</v>
      </c>
      <c r="D946">
        <v>19</v>
      </c>
      <c r="E946">
        <v>2050</v>
      </c>
      <c r="F946" t="s">
        <v>280</v>
      </c>
      <c r="G946" s="1">
        <v>0.3</v>
      </c>
      <c r="H946">
        <v>0</v>
      </c>
      <c r="I946">
        <v>0.5</v>
      </c>
      <c r="J946">
        <v>108</v>
      </c>
      <c r="K946">
        <v>54</v>
      </c>
      <c r="L946">
        <f t="shared" si="56"/>
        <v>108</v>
      </c>
      <c r="M946">
        <v>0</v>
      </c>
      <c r="N946">
        <v>0</v>
      </c>
      <c r="O946">
        <v>270</v>
      </c>
      <c r="P946" s="1">
        <f t="shared" si="57"/>
        <v>0</v>
      </c>
      <c r="Q946">
        <f t="shared" si="58"/>
        <v>270</v>
      </c>
      <c r="R946" s="1">
        <f t="shared" si="59"/>
        <v>81</v>
      </c>
    </row>
    <row r="947" spans="1:18" hidden="1" x14ac:dyDescent="0.3">
      <c r="A947" t="s">
        <v>5325</v>
      </c>
      <c r="B947" t="s">
        <v>5326</v>
      </c>
      <c r="C947" t="s">
        <v>47</v>
      </c>
      <c r="D947">
        <v>6</v>
      </c>
      <c r="E947">
        <v>350</v>
      </c>
      <c r="F947" t="s">
        <v>280</v>
      </c>
      <c r="G947" s="1">
        <v>0.4</v>
      </c>
      <c r="H947">
        <v>0</v>
      </c>
      <c r="I947">
        <v>0.5</v>
      </c>
      <c r="J947">
        <v>58.5</v>
      </c>
      <c r="K947">
        <v>29</v>
      </c>
      <c r="L947">
        <f t="shared" si="56"/>
        <v>59</v>
      </c>
      <c r="M947">
        <v>0</v>
      </c>
      <c r="N947">
        <v>0</v>
      </c>
      <c r="O947">
        <v>146</v>
      </c>
      <c r="P947" s="1">
        <f t="shared" si="57"/>
        <v>0</v>
      </c>
      <c r="Q947">
        <f t="shared" si="58"/>
        <v>146</v>
      </c>
      <c r="R947" s="1">
        <f t="shared" si="59"/>
        <v>58.400000000000006</v>
      </c>
    </row>
    <row r="948" spans="1:18" hidden="1" x14ac:dyDescent="0.3">
      <c r="A948" t="s">
        <v>5327</v>
      </c>
      <c r="B948" t="s">
        <v>5328</v>
      </c>
      <c r="C948" t="s">
        <v>47</v>
      </c>
      <c r="D948">
        <v>1</v>
      </c>
      <c r="E948">
        <v>300</v>
      </c>
      <c r="F948" t="s">
        <v>280</v>
      </c>
      <c r="G948" s="1">
        <v>1.2</v>
      </c>
      <c r="H948">
        <v>0</v>
      </c>
      <c r="I948">
        <v>0.5</v>
      </c>
      <c r="J948">
        <v>300</v>
      </c>
      <c r="K948">
        <v>150</v>
      </c>
      <c r="L948">
        <f t="shared" si="56"/>
        <v>300</v>
      </c>
      <c r="M948">
        <v>0</v>
      </c>
      <c r="N948">
        <v>0</v>
      </c>
      <c r="O948">
        <v>750</v>
      </c>
      <c r="P948" s="1">
        <f t="shared" si="57"/>
        <v>0</v>
      </c>
      <c r="Q948">
        <f t="shared" si="58"/>
        <v>750</v>
      </c>
      <c r="R948" s="1">
        <f t="shared" si="59"/>
        <v>900</v>
      </c>
    </row>
    <row r="949" spans="1:18" hidden="1" x14ac:dyDescent="0.3">
      <c r="A949" t="s">
        <v>3963</v>
      </c>
      <c r="B949" t="s">
        <v>3963</v>
      </c>
      <c r="C949" t="s">
        <v>47</v>
      </c>
      <c r="D949">
        <v>21</v>
      </c>
      <c r="E949">
        <v>1790</v>
      </c>
      <c r="F949" t="s">
        <v>280</v>
      </c>
      <c r="G949" s="1">
        <v>0.93</v>
      </c>
      <c r="H949">
        <v>0</v>
      </c>
      <c r="I949">
        <v>0.5</v>
      </c>
      <c r="J949">
        <v>85.5</v>
      </c>
      <c r="K949">
        <v>43</v>
      </c>
      <c r="L949">
        <f t="shared" si="56"/>
        <v>86</v>
      </c>
      <c r="M949">
        <v>0</v>
      </c>
      <c r="N949">
        <v>0</v>
      </c>
      <c r="O949">
        <v>214</v>
      </c>
      <c r="P949" s="1">
        <f t="shared" si="57"/>
        <v>0</v>
      </c>
      <c r="Q949">
        <f t="shared" si="58"/>
        <v>214</v>
      </c>
      <c r="R949" s="1">
        <f t="shared" si="59"/>
        <v>199.02</v>
      </c>
    </row>
    <row r="950" spans="1:18" hidden="1" x14ac:dyDescent="0.3">
      <c r="A950" t="s">
        <v>5329</v>
      </c>
      <c r="B950" t="s">
        <v>5329</v>
      </c>
      <c r="C950" t="s">
        <v>47</v>
      </c>
      <c r="D950">
        <v>19</v>
      </c>
      <c r="E950">
        <v>900</v>
      </c>
      <c r="F950" t="s">
        <v>280</v>
      </c>
      <c r="G950" s="1">
        <v>1</v>
      </c>
      <c r="H950">
        <v>0</v>
      </c>
      <c r="I950">
        <v>0.5</v>
      </c>
      <c r="J950">
        <v>47.5</v>
      </c>
      <c r="K950">
        <v>24</v>
      </c>
      <c r="L950">
        <f t="shared" si="56"/>
        <v>48</v>
      </c>
      <c r="M950">
        <v>0</v>
      </c>
      <c r="N950">
        <v>0</v>
      </c>
      <c r="O950">
        <v>119</v>
      </c>
      <c r="P950" s="1">
        <f t="shared" si="57"/>
        <v>0</v>
      </c>
      <c r="Q950">
        <f t="shared" si="58"/>
        <v>119</v>
      </c>
      <c r="R950" s="1">
        <f t="shared" si="59"/>
        <v>119</v>
      </c>
    </row>
    <row r="951" spans="1:18" hidden="1" x14ac:dyDescent="0.3">
      <c r="A951" t="s">
        <v>5330</v>
      </c>
      <c r="B951" t="s">
        <v>5257</v>
      </c>
      <c r="C951" t="s">
        <v>47</v>
      </c>
      <c r="D951">
        <v>1</v>
      </c>
      <c r="E951">
        <v>240</v>
      </c>
      <c r="F951" t="s">
        <v>280</v>
      </c>
      <c r="G951" s="1">
        <v>1.5</v>
      </c>
      <c r="H951">
        <v>0</v>
      </c>
      <c r="I951">
        <v>0.5</v>
      </c>
      <c r="J951">
        <v>240</v>
      </c>
      <c r="K951">
        <v>120</v>
      </c>
      <c r="L951">
        <f t="shared" si="56"/>
        <v>240</v>
      </c>
      <c r="M951">
        <v>0</v>
      </c>
      <c r="N951">
        <v>0</v>
      </c>
      <c r="O951">
        <v>600</v>
      </c>
      <c r="P951" s="1">
        <f t="shared" si="57"/>
        <v>0</v>
      </c>
      <c r="Q951">
        <f t="shared" si="58"/>
        <v>600</v>
      </c>
      <c r="R951" s="1">
        <f t="shared" si="59"/>
        <v>900</v>
      </c>
    </row>
    <row r="952" spans="1:18" hidden="1" x14ac:dyDescent="0.3">
      <c r="A952" t="s">
        <v>5331</v>
      </c>
      <c r="B952" t="s">
        <v>5332</v>
      </c>
      <c r="C952" t="s">
        <v>47</v>
      </c>
      <c r="D952">
        <v>4</v>
      </c>
      <c r="E952">
        <v>520</v>
      </c>
      <c r="F952" t="s">
        <v>280</v>
      </c>
      <c r="G952" s="1">
        <v>2</v>
      </c>
      <c r="H952">
        <v>0</v>
      </c>
      <c r="I952">
        <v>0.5</v>
      </c>
      <c r="J952">
        <v>130</v>
      </c>
      <c r="K952">
        <v>65</v>
      </c>
      <c r="L952">
        <f t="shared" si="56"/>
        <v>130</v>
      </c>
      <c r="M952">
        <v>0</v>
      </c>
      <c r="N952">
        <v>0</v>
      </c>
      <c r="O952">
        <v>325</v>
      </c>
      <c r="P952" s="1">
        <f t="shared" si="57"/>
        <v>0</v>
      </c>
      <c r="Q952">
        <f t="shared" si="58"/>
        <v>325</v>
      </c>
      <c r="R952" s="1">
        <f t="shared" si="59"/>
        <v>650</v>
      </c>
    </row>
    <row r="953" spans="1:18" hidden="1" x14ac:dyDescent="0.3">
      <c r="A953" t="s">
        <v>5333</v>
      </c>
      <c r="B953" t="s">
        <v>5334</v>
      </c>
      <c r="C953" t="s">
        <v>47</v>
      </c>
      <c r="D953">
        <v>2</v>
      </c>
      <c r="E953">
        <v>94</v>
      </c>
      <c r="F953" t="s">
        <v>178</v>
      </c>
      <c r="G953" s="1">
        <v>1609.25</v>
      </c>
      <c r="H953">
        <v>0</v>
      </c>
      <c r="I953">
        <v>0.5</v>
      </c>
      <c r="J953">
        <v>47</v>
      </c>
      <c r="K953">
        <v>24</v>
      </c>
      <c r="L953">
        <f t="shared" si="56"/>
        <v>48</v>
      </c>
      <c r="M953">
        <v>0</v>
      </c>
      <c r="N953">
        <v>0</v>
      </c>
      <c r="O953">
        <v>118</v>
      </c>
      <c r="P953" s="1">
        <f t="shared" si="57"/>
        <v>0</v>
      </c>
      <c r="Q953">
        <f t="shared" si="58"/>
        <v>118</v>
      </c>
      <c r="R953" s="1">
        <f t="shared" si="59"/>
        <v>189891.5</v>
      </c>
    </row>
    <row r="954" spans="1:18" hidden="1" x14ac:dyDescent="0.3">
      <c r="A954" t="s">
        <v>5335</v>
      </c>
      <c r="B954" t="s">
        <v>5336</v>
      </c>
      <c r="C954" t="s">
        <v>47</v>
      </c>
      <c r="D954">
        <v>1</v>
      </c>
      <c r="E954">
        <v>2</v>
      </c>
      <c r="F954" t="s">
        <v>181</v>
      </c>
      <c r="G954" s="1">
        <v>172</v>
      </c>
      <c r="H954">
        <v>0</v>
      </c>
      <c r="I954">
        <v>1.2</v>
      </c>
      <c r="J954">
        <v>2</v>
      </c>
      <c r="K954">
        <v>2</v>
      </c>
      <c r="L954">
        <f t="shared" si="56"/>
        <v>5</v>
      </c>
      <c r="M954">
        <v>0</v>
      </c>
      <c r="N954">
        <v>0</v>
      </c>
      <c r="O954">
        <v>6</v>
      </c>
      <c r="P954" s="1">
        <f t="shared" si="57"/>
        <v>0</v>
      </c>
      <c r="Q954">
        <f t="shared" si="58"/>
        <v>6</v>
      </c>
      <c r="R954" s="1">
        <f t="shared" si="59"/>
        <v>1032</v>
      </c>
    </row>
    <row r="955" spans="1:18" hidden="1" x14ac:dyDescent="0.3">
      <c r="A955" t="s">
        <v>5337</v>
      </c>
      <c r="B955" t="s">
        <v>5338</v>
      </c>
      <c r="C955" t="s">
        <v>47</v>
      </c>
      <c r="D955">
        <v>1</v>
      </c>
      <c r="E955">
        <v>2</v>
      </c>
      <c r="F955" t="s">
        <v>181</v>
      </c>
      <c r="G955" s="1">
        <v>187</v>
      </c>
      <c r="H955">
        <v>0</v>
      </c>
      <c r="I955">
        <v>1.2</v>
      </c>
      <c r="J955">
        <v>2</v>
      </c>
      <c r="K955">
        <v>2</v>
      </c>
      <c r="L955">
        <f t="shared" si="56"/>
        <v>5</v>
      </c>
      <c r="M955">
        <v>0</v>
      </c>
      <c r="N955">
        <v>0</v>
      </c>
      <c r="O955">
        <v>6</v>
      </c>
      <c r="P955" s="1">
        <f t="shared" si="57"/>
        <v>0</v>
      </c>
      <c r="Q955">
        <f t="shared" si="58"/>
        <v>6</v>
      </c>
      <c r="R955" s="1">
        <f t="shared" si="59"/>
        <v>1122</v>
      </c>
    </row>
    <row r="956" spans="1:18" hidden="1" x14ac:dyDescent="0.3">
      <c r="A956" t="s">
        <v>5339</v>
      </c>
      <c r="B956" t="s">
        <v>5340</v>
      </c>
      <c r="C956" t="s">
        <v>47</v>
      </c>
      <c r="D956">
        <v>1</v>
      </c>
      <c r="E956">
        <v>1</v>
      </c>
      <c r="F956" t="s">
        <v>181</v>
      </c>
      <c r="G956" s="1">
        <v>208</v>
      </c>
      <c r="H956">
        <v>0</v>
      </c>
      <c r="I956">
        <v>1.2</v>
      </c>
      <c r="J956">
        <v>1</v>
      </c>
      <c r="K956">
        <v>1</v>
      </c>
      <c r="L956">
        <f t="shared" si="56"/>
        <v>3</v>
      </c>
      <c r="M956">
        <v>0</v>
      </c>
      <c r="N956">
        <v>0</v>
      </c>
      <c r="O956">
        <v>3</v>
      </c>
      <c r="P956" s="1">
        <f t="shared" si="57"/>
        <v>0</v>
      </c>
      <c r="Q956">
        <f t="shared" si="58"/>
        <v>3</v>
      </c>
      <c r="R956" s="1">
        <f t="shared" si="59"/>
        <v>624</v>
      </c>
    </row>
    <row r="957" spans="1:18" hidden="1" x14ac:dyDescent="0.3">
      <c r="A957" t="s">
        <v>5341</v>
      </c>
      <c r="B957" t="s">
        <v>5342</v>
      </c>
      <c r="C957" t="s">
        <v>47</v>
      </c>
      <c r="D957">
        <v>1</v>
      </c>
      <c r="E957">
        <v>1</v>
      </c>
      <c r="F957" t="s">
        <v>181</v>
      </c>
      <c r="G957" s="1">
        <v>223</v>
      </c>
      <c r="H957">
        <v>0</v>
      </c>
      <c r="I957">
        <v>1.2</v>
      </c>
      <c r="J957">
        <v>1</v>
      </c>
      <c r="K957">
        <v>1</v>
      </c>
      <c r="L957">
        <f t="shared" si="56"/>
        <v>3</v>
      </c>
      <c r="M957">
        <v>0</v>
      </c>
      <c r="N957">
        <v>0</v>
      </c>
      <c r="O957">
        <v>3</v>
      </c>
      <c r="P957" s="1">
        <f t="shared" si="57"/>
        <v>0</v>
      </c>
      <c r="Q957">
        <f t="shared" si="58"/>
        <v>3</v>
      </c>
      <c r="R957" s="1">
        <f t="shared" si="59"/>
        <v>669</v>
      </c>
    </row>
    <row r="958" spans="1:18" hidden="1" x14ac:dyDescent="0.3">
      <c r="A958" t="s">
        <v>5343</v>
      </c>
      <c r="B958" t="s">
        <v>5344</v>
      </c>
      <c r="C958" t="s">
        <v>47</v>
      </c>
      <c r="D958">
        <v>21</v>
      </c>
      <c r="E958">
        <v>9</v>
      </c>
      <c r="F958" t="s">
        <v>181</v>
      </c>
      <c r="G958" s="1">
        <v>48.78</v>
      </c>
      <c r="H958">
        <v>0</v>
      </c>
      <c r="I958">
        <v>0.6</v>
      </c>
      <c r="J958">
        <v>1</v>
      </c>
      <c r="K958">
        <v>1</v>
      </c>
      <c r="L958">
        <f t="shared" si="56"/>
        <v>2</v>
      </c>
      <c r="M958">
        <v>0</v>
      </c>
      <c r="N958">
        <v>0</v>
      </c>
      <c r="O958">
        <v>3</v>
      </c>
      <c r="P958" s="1">
        <f t="shared" si="57"/>
        <v>0</v>
      </c>
      <c r="Q958">
        <f t="shared" si="58"/>
        <v>3</v>
      </c>
      <c r="R958" s="1">
        <f t="shared" si="59"/>
        <v>146.34</v>
      </c>
    </row>
    <row r="959" spans="1:18" hidden="1" x14ac:dyDescent="0.3">
      <c r="A959" t="s">
        <v>5345</v>
      </c>
      <c r="B959" t="s">
        <v>4152</v>
      </c>
      <c r="C959" t="s">
        <v>47</v>
      </c>
      <c r="D959">
        <v>1</v>
      </c>
      <c r="E959">
        <v>0</v>
      </c>
      <c r="G959" s="1">
        <v>0</v>
      </c>
      <c r="H959">
        <v>0</v>
      </c>
      <c r="I959">
        <v>0.5</v>
      </c>
      <c r="J959">
        <v>1</v>
      </c>
      <c r="K959">
        <v>1</v>
      </c>
      <c r="L959">
        <f t="shared" si="56"/>
        <v>2</v>
      </c>
      <c r="M959">
        <v>0</v>
      </c>
      <c r="N959">
        <v>0</v>
      </c>
      <c r="O959">
        <v>2</v>
      </c>
      <c r="P959" s="1">
        <f t="shared" si="57"/>
        <v>0</v>
      </c>
      <c r="Q959">
        <f t="shared" si="58"/>
        <v>2</v>
      </c>
      <c r="R959" s="1">
        <f t="shared" si="59"/>
        <v>0</v>
      </c>
    </row>
    <row r="960" spans="1:18" hidden="1" x14ac:dyDescent="0.3">
      <c r="A960" t="s">
        <v>5346</v>
      </c>
      <c r="B960" t="s">
        <v>5347</v>
      </c>
      <c r="C960" t="s">
        <v>47</v>
      </c>
      <c r="D960">
        <v>1</v>
      </c>
      <c r="E960">
        <v>0</v>
      </c>
      <c r="G960" s="1">
        <v>0</v>
      </c>
      <c r="H960">
        <v>0</v>
      </c>
      <c r="I960">
        <v>0.5</v>
      </c>
      <c r="J960">
        <v>1</v>
      </c>
      <c r="K960">
        <v>1</v>
      </c>
      <c r="L960">
        <f t="shared" si="56"/>
        <v>2</v>
      </c>
      <c r="M960">
        <v>0</v>
      </c>
      <c r="N960">
        <v>0</v>
      </c>
      <c r="O960">
        <v>2</v>
      </c>
      <c r="P960" s="1">
        <f t="shared" si="57"/>
        <v>0</v>
      </c>
      <c r="Q960">
        <f t="shared" si="58"/>
        <v>2</v>
      </c>
      <c r="R960" s="1">
        <f t="shared" si="59"/>
        <v>0</v>
      </c>
    </row>
    <row r="961" spans="1:18" hidden="1" x14ac:dyDescent="0.3">
      <c r="A961" t="s">
        <v>5348</v>
      </c>
      <c r="B961" t="s">
        <v>5349</v>
      </c>
      <c r="C961" t="s">
        <v>47</v>
      </c>
      <c r="D961">
        <v>1</v>
      </c>
      <c r="E961">
        <v>0</v>
      </c>
      <c r="G961" s="1">
        <v>0</v>
      </c>
      <c r="H961">
        <v>0</v>
      </c>
      <c r="I961">
        <v>0.5</v>
      </c>
      <c r="J961">
        <v>1</v>
      </c>
      <c r="K961">
        <v>1</v>
      </c>
      <c r="L961">
        <f t="shared" si="56"/>
        <v>2</v>
      </c>
      <c r="M961">
        <v>0</v>
      </c>
      <c r="N961">
        <v>0</v>
      </c>
      <c r="O961">
        <v>2</v>
      </c>
      <c r="P961" s="1">
        <f t="shared" si="57"/>
        <v>0</v>
      </c>
      <c r="Q961">
        <f t="shared" si="58"/>
        <v>2</v>
      </c>
      <c r="R961" s="1">
        <f t="shared" si="59"/>
        <v>0</v>
      </c>
    </row>
    <row r="962" spans="1:18" hidden="1" x14ac:dyDescent="0.3">
      <c r="A962" t="s">
        <v>5350</v>
      </c>
      <c r="B962" t="s">
        <v>5351</v>
      </c>
      <c r="C962" t="s">
        <v>47</v>
      </c>
      <c r="D962">
        <v>1</v>
      </c>
      <c r="E962">
        <v>0</v>
      </c>
      <c r="G962" s="1">
        <v>0</v>
      </c>
      <c r="H962">
        <v>0</v>
      </c>
      <c r="I962">
        <v>0.5</v>
      </c>
      <c r="J962">
        <v>1</v>
      </c>
      <c r="K962">
        <v>1</v>
      </c>
      <c r="L962">
        <f t="shared" ref="L962:L1025" si="60">ROUNDUP((J962*I962)+K962,0)</f>
        <v>2</v>
      </c>
      <c r="M962">
        <v>0</v>
      </c>
      <c r="N962">
        <v>0</v>
      </c>
      <c r="O962">
        <v>2</v>
      </c>
      <c r="P962" s="1">
        <f t="shared" ref="P962:P1025" si="61">IFERROR(M962*G962,0)</f>
        <v>0</v>
      </c>
      <c r="Q962">
        <f t="shared" ref="Q962:Q1025" si="62">IF(O962-M962-N962&gt;0,O962-M962-N962,0)</f>
        <v>2</v>
      </c>
      <c r="R962" s="1">
        <f t="shared" ref="R962:R1025" si="63">IFERROR(Q962*G962,0)</f>
        <v>0</v>
      </c>
    </row>
    <row r="963" spans="1:18" hidden="1" x14ac:dyDescent="0.3">
      <c r="A963" t="s">
        <v>5352</v>
      </c>
      <c r="B963" t="s">
        <v>5353</v>
      </c>
      <c r="C963" t="s">
        <v>47</v>
      </c>
      <c r="D963">
        <v>1</v>
      </c>
      <c r="E963">
        <v>0</v>
      </c>
      <c r="G963" s="1">
        <v>0</v>
      </c>
      <c r="H963">
        <v>2</v>
      </c>
      <c r="I963">
        <v>0.5</v>
      </c>
      <c r="J963">
        <v>2</v>
      </c>
      <c r="K963">
        <v>1</v>
      </c>
      <c r="L963">
        <f t="shared" si="60"/>
        <v>2</v>
      </c>
      <c r="M963">
        <v>0</v>
      </c>
      <c r="N963">
        <v>0</v>
      </c>
      <c r="O963">
        <v>5</v>
      </c>
      <c r="P963" s="1">
        <f t="shared" si="61"/>
        <v>0</v>
      </c>
      <c r="Q963">
        <f t="shared" si="62"/>
        <v>5</v>
      </c>
      <c r="R963" s="1">
        <f t="shared" si="63"/>
        <v>0</v>
      </c>
    </row>
    <row r="964" spans="1:18" hidden="1" x14ac:dyDescent="0.3">
      <c r="A964" t="s">
        <v>5354</v>
      </c>
      <c r="B964" t="s">
        <v>5355</v>
      </c>
      <c r="C964" t="s">
        <v>47</v>
      </c>
      <c r="D964">
        <v>1</v>
      </c>
      <c r="E964">
        <v>0</v>
      </c>
      <c r="G964" s="1">
        <v>0</v>
      </c>
      <c r="H964">
        <v>0</v>
      </c>
      <c r="I964">
        <v>0.5</v>
      </c>
      <c r="J964">
        <v>1</v>
      </c>
      <c r="K964">
        <v>1</v>
      </c>
      <c r="L964">
        <f t="shared" si="60"/>
        <v>2</v>
      </c>
      <c r="M964">
        <v>0</v>
      </c>
      <c r="N964">
        <v>0</v>
      </c>
      <c r="O964">
        <v>2</v>
      </c>
      <c r="P964" s="1">
        <f t="shared" si="61"/>
        <v>0</v>
      </c>
      <c r="Q964">
        <f t="shared" si="62"/>
        <v>2</v>
      </c>
      <c r="R964" s="1">
        <f t="shared" si="63"/>
        <v>0</v>
      </c>
    </row>
    <row r="965" spans="1:18" hidden="1" x14ac:dyDescent="0.3">
      <c r="A965" t="s">
        <v>5356</v>
      </c>
      <c r="B965" t="s">
        <v>5357</v>
      </c>
      <c r="C965" t="s">
        <v>47</v>
      </c>
      <c r="D965">
        <v>1</v>
      </c>
      <c r="E965">
        <v>0</v>
      </c>
      <c r="G965" s="1">
        <v>1314</v>
      </c>
      <c r="H965">
        <v>0</v>
      </c>
      <c r="I965">
        <v>0.5</v>
      </c>
      <c r="J965">
        <v>1</v>
      </c>
      <c r="K965">
        <v>1</v>
      </c>
      <c r="L965">
        <f t="shared" si="60"/>
        <v>2</v>
      </c>
      <c r="M965">
        <v>0</v>
      </c>
      <c r="N965">
        <v>0</v>
      </c>
      <c r="O965">
        <v>2</v>
      </c>
      <c r="P965" s="1">
        <f t="shared" si="61"/>
        <v>0</v>
      </c>
      <c r="Q965">
        <f t="shared" si="62"/>
        <v>2</v>
      </c>
      <c r="R965" s="1">
        <f t="shared" si="63"/>
        <v>2628</v>
      </c>
    </row>
    <row r="966" spans="1:18" hidden="1" x14ac:dyDescent="0.3">
      <c r="A966" t="s">
        <v>5358</v>
      </c>
      <c r="B966" t="s">
        <v>5359</v>
      </c>
      <c r="C966" t="s">
        <v>47</v>
      </c>
      <c r="D966">
        <v>1</v>
      </c>
      <c r="E966">
        <v>0</v>
      </c>
      <c r="G966" s="1">
        <v>2335</v>
      </c>
      <c r="H966">
        <v>0</v>
      </c>
      <c r="I966">
        <v>0.5</v>
      </c>
      <c r="J966">
        <v>1</v>
      </c>
      <c r="K966">
        <v>1</v>
      </c>
      <c r="L966">
        <f t="shared" si="60"/>
        <v>2</v>
      </c>
      <c r="M966">
        <v>0</v>
      </c>
      <c r="N966">
        <v>0</v>
      </c>
      <c r="O966">
        <v>2</v>
      </c>
      <c r="P966" s="1">
        <f t="shared" si="61"/>
        <v>0</v>
      </c>
      <c r="Q966">
        <f t="shared" si="62"/>
        <v>2</v>
      </c>
      <c r="R966" s="1">
        <f t="shared" si="63"/>
        <v>4670</v>
      </c>
    </row>
    <row r="967" spans="1:18" hidden="1" x14ac:dyDescent="0.3">
      <c r="A967" t="s">
        <v>5360</v>
      </c>
      <c r="B967" t="s">
        <v>5361</v>
      </c>
      <c r="C967" t="s">
        <v>47</v>
      </c>
      <c r="D967">
        <v>1</v>
      </c>
      <c r="E967">
        <v>0</v>
      </c>
      <c r="G967" s="1">
        <v>0</v>
      </c>
      <c r="H967">
        <v>0</v>
      </c>
      <c r="I967">
        <v>0.5</v>
      </c>
      <c r="J967">
        <v>1</v>
      </c>
      <c r="K967">
        <v>1</v>
      </c>
      <c r="L967">
        <f t="shared" si="60"/>
        <v>2</v>
      </c>
      <c r="M967">
        <v>0</v>
      </c>
      <c r="N967">
        <v>0</v>
      </c>
      <c r="O967">
        <v>2</v>
      </c>
      <c r="P967" s="1">
        <f t="shared" si="61"/>
        <v>0</v>
      </c>
      <c r="Q967">
        <f t="shared" si="62"/>
        <v>2</v>
      </c>
      <c r="R967" s="1">
        <f t="shared" si="63"/>
        <v>0</v>
      </c>
    </row>
    <row r="968" spans="1:18" hidden="1" x14ac:dyDescent="0.3">
      <c r="A968" t="s">
        <v>5362</v>
      </c>
      <c r="B968" t="s">
        <v>5363</v>
      </c>
      <c r="C968" t="s">
        <v>47</v>
      </c>
      <c r="D968">
        <v>1</v>
      </c>
      <c r="E968">
        <v>0</v>
      </c>
      <c r="G968" s="1">
        <v>0</v>
      </c>
      <c r="H968">
        <v>0</v>
      </c>
      <c r="I968">
        <v>0.5</v>
      </c>
      <c r="J968">
        <v>1</v>
      </c>
      <c r="K968">
        <v>1</v>
      </c>
      <c r="L968">
        <f t="shared" si="60"/>
        <v>2</v>
      </c>
      <c r="M968">
        <v>0</v>
      </c>
      <c r="N968">
        <v>0</v>
      </c>
      <c r="O968">
        <v>2</v>
      </c>
      <c r="P968" s="1">
        <f t="shared" si="61"/>
        <v>0</v>
      </c>
      <c r="Q968">
        <f t="shared" si="62"/>
        <v>2</v>
      </c>
      <c r="R968" s="1">
        <f t="shared" si="63"/>
        <v>0</v>
      </c>
    </row>
    <row r="969" spans="1:18" hidden="1" x14ac:dyDescent="0.3">
      <c r="A969" t="s">
        <v>5364</v>
      </c>
      <c r="B969" t="s">
        <v>5365</v>
      </c>
      <c r="C969" t="s">
        <v>47</v>
      </c>
      <c r="D969">
        <v>1</v>
      </c>
      <c r="E969">
        <v>0</v>
      </c>
      <c r="G969" s="1">
        <v>2335</v>
      </c>
      <c r="H969">
        <v>0</v>
      </c>
      <c r="I969">
        <v>0.5</v>
      </c>
      <c r="J969">
        <v>1</v>
      </c>
      <c r="K969">
        <v>1</v>
      </c>
      <c r="L969">
        <f t="shared" si="60"/>
        <v>2</v>
      </c>
      <c r="M969">
        <v>0</v>
      </c>
      <c r="N969">
        <v>0</v>
      </c>
      <c r="O969">
        <v>2</v>
      </c>
      <c r="P969" s="1">
        <f t="shared" si="61"/>
        <v>0</v>
      </c>
      <c r="Q969">
        <f t="shared" si="62"/>
        <v>2</v>
      </c>
      <c r="R969" s="1">
        <f t="shared" si="63"/>
        <v>4670</v>
      </c>
    </row>
    <row r="970" spans="1:18" hidden="1" x14ac:dyDescent="0.3">
      <c r="A970" t="s">
        <v>5366</v>
      </c>
      <c r="B970" t="s">
        <v>5367</v>
      </c>
      <c r="C970" t="s">
        <v>47</v>
      </c>
      <c r="D970">
        <v>1</v>
      </c>
      <c r="E970">
        <v>0</v>
      </c>
      <c r="G970" s="1">
        <v>0</v>
      </c>
      <c r="H970">
        <v>0</v>
      </c>
      <c r="I970">
        <v>0.5</v>
      </c>
      <c r="J970">
        <v>1</v>
      </c>
      <c r="K970">
        <v>1</v>
      </c>
      <c r="L970">
        <f t="shared" si="60"/>
        <v>2</v>
      </c>
      <c r="M970">
        <v>0</v>
      </c>
      <c r="N970">
        <v>0</v>
      </c>
      <c r="O970">
        <v>2</v>
      </c>
      <c r="P970" s="1">
        <f t="shared" si="61"/>
        <v>0</v>
      </c>
      <c r="Q970">
        <f t="shared" si="62"/>
        <v>2</v>
      </c>
      <c r="R970" s="1">
        <f t="shared" si="63"/>
        <v>0</v>
      </c>
    </row>
    <row r="971" spans="1:18" hidden="1" x14ac:dyDescent="0.3">
      <c r="A971" t="s">
        <v>5368</v>
      </c>
      <c r="B971" t="s">
        <v>5369</v>
      </c>
      <c r="C971" t="s">
        <v>47</v>
      </c>
      <c r="D971">
        <v>1</v>
      </c>
      <c r="E971">
        <v>0</v>
      </c>
      <c r="G971" s="1">
        <v>0</v>
      </c>
      <c r="H971">
        <v>1</v>
      </c>
      <c r="I971">
        <v>0.5</v>
      </c>
      <c r="J971">
        <v>1</v>
      </c>
      <c r="K971">
        <v>1</v>
      </c>
      <c r="L971">
        <f t="shared" si="60"/>
        <v>2</v>
      </c>
      <c r="M971">
        <v>0</v>
      </c>
      <c r="N971">
        <v>0</v>
      </c>
      <c r="O971">
        <v>2</v>
      </c>
      <c r="P971" s="1">
        <f t="shared" si="61"/>
        <v>0</v>
      </c>
      <c r="Q971">
        <f t="shared" si="62"/>
        <v>2</v>
      </c>
      <c r="R971" s="1">
        <f t="shared" si="63"/>
        <v>0</v>
      </c>
    </row>
    <row r="972" spans="1:18" hidden="1" x14ac:dyDescent="0.3">
      <c r="A972" t="s">
        <v>5370</v>
      </c>
      <c r="B972" t="s">
        <v>5371</v>
      </c>
      <c r="C972" t="s">
        <v>47</v>
      </c>
      <c r="D972">
        <v>1</v>
      </c>
      <c r="E972">
        <v>0</v>
      </c>
      <c r="G972" s="1">
        <v>0</v>
      </c>
      <c r="H972">
        <v>0</v>
      </c>
      <c r="I972">
        <v>0.5</v>
      </c>
      <c r="J972">
        <v>1</v>
      </c>
      <c r="K972">
        <v>1</v>
      </c>
      <c r="L972">
        <f t="shared" si="60"/>
        <v>2</v>
      </c>
      <c r="M972">
        <v>0</v>
      </c>
      <c r="N972">
        <v>0</v>
      </c>
      <c r="O972">
        <v>2</v>
      </c>
      <c r="P972" s="1">
        <f t="shared" si="61"/>
        <v>0</v>
      </c>
      <c r="Q972">
        <f t="shared" si="62"/>
        <v>2</v>
      </c>
      <c r="R972" s="1">
        <f t="shared" si="63"/>
        <v>0</v>
      </c>
    </row>
    <row r="973" spans="1:18" hidden="1" x14ac:dyDescent="0.3">
      <c r="A973" t="s">
        <v>5372</v>
      </c>
      <c r="B973" t="s">
        <v>5373</v>
      </c>
      <c r="C973" t="s">
        <v>47</v>
      </c>
      <c r="D973">
        <v>1</v>
      </c>
      <c r="E973">
        <v>0</v>
      </c>
      <c r="G973" s="1">
        <v>0</v>
      </c>
      <c r="H973">
        <v>0</v>
      </c>
      <c r="I973">
        <v>0.5</v>
      </c>
      <c r="J973">
        <v>1</v>
      </c>
      <c r="K973">
        <v>1</v>
      </c>
      <c r="L973">
        <f t="shared" si="60"/>
        <v>2</v>
      </c>
      <c r="M973">
        <v>0</v>
      </c>
      <c r="N973">
        <v>0</v>
      </c>
      <c r="O973">
        <v>2</v>
      </c>
      <c r="P973" s="1">
        <f t="shared" si="61"/>
        <v>0</v>
      </c>
      <c r="Q973">
        <f t="shared" si="62"/>
        <v>2</v>
      </c>
      <c r="R973" s="1">
        <f t="shared" si="63"/>
        <v>0</v>
      </c>
    </row>
    <row r="974" spans="1:18" hidden="1" x14ac:dyDescent="0.3">
      <c r="A974" t="s">
        <v>5374</v>
      </c>
      <c r="B974" t="s">
        <v>5375</v>
      </c>
      <c r="C974" t="s">
        <v>47</v>
      </c>
      <c r="D974">
        <v>1</v>
      </c>
      <c r="E974">
        <v>0</v>
      </c>
      <c r="G974" s="1">
        <v>0</v>
      </c>
      <c r="H974">
        <v>0</v>
      </c>
      <c r="I974">
        <v>0.5</v>
      </c>
      <c r="J974">
        <v>1</v>
      </c>
      <c r="K974">
        <v>1</v>
      </c>
      <c r="L974">
        <f t="shared" si="60"/>
        <v>2</v>
      </c>
      <c r="M974">
        <v>0</v>
      </c>
      <c r="N974">
        <v>0</v>
      </c>
      <c r="O974">
        <v>2</v>
      </c>
      <c r="P974" s="1">
        <f t="shared" si="61"/>
        <v>0</v>
      </c>
      <c r="Q974">
        <f t="shared" si="62"/>
        <v>2</v>
      </c>
      <c r="R974" s="1">
        <f t="shared" si="63"/>
        <v>0</v>
      </c>
    </row>
    <row r="975" spans="1:18" hidden="1" x14ac:dyDescent="0.3">
      <c r="A975" t="s">
        <v>5376</v>
      </c>
      <c r="B975" t="s">
        <v>5377</v>
      </c>
      <c r="C975" t="s">
        <v>47</v>
      </c>
      <c r="D975">
        <v>1</v>
      </c>
      <c r="E975">
        <v>1</v>
      </c>
      <c r="F975" t="s">
        <v>209</v>
      </c>
      <c r="G975" s="1">
        <v>15100</v>
      </c>
      <c r="H975">
        <v>0</v>
      </c>
      <c r="I975">
        <v>0.5</v>
      </c>
      <c r="J975">
        <v>1</v>
      </c>
      <c r="K975">
        <v>1</v>
      </c>
      <c r="L975">
        <f t="shared" si="60"/>
        <v>2</v>
      </c>
      <c r="M975">
        <v>0</v>
      </c>
      <c r="N975">
        <v>0</v>
      </c>
      <c r="O975">
        <v>2</v>
      </c>
      <c r="P975" s="1">
        <f t="shared" si="61"/>
        <v>0</v>
      </c>
      <c r="Q975">
        <f t="shared" si="62"/>
        <v>2</v>
      </c>
      <c r="R975" s="1">
        <f t="shared" si="63"/>
        <v>30200</v>
      </c>
    </row>
    <row r="976" spans="1:18" hidden="1" x14ac:dyDescent="0.3">
      <c r="A976" t="s">
        <v>5378</v>
      </c>
      <c r="B976" t="s">
        <v>5379</v>
      </c>
      <c r="C976" t="s">
        <v>47</v>
      </c>
      <c r="D976">
        <v>1</v>
      </c>
      <c r="E976">
        <v>0</v>
      </c>
      <c r="G976" s="1">
        <v>0</v>
      </c>
      <c r="H976">
        <v>0</v>
      </c>
      <c r="I976">
        <v>0.5</v>
      </c>
      <c r="J976">
        <v>1</v>
      </c>
      <c r="K976">
        <v>1</v>
      </c>
      <c r="L976">
        <f t="shared" si="60"/>
        <v>2</v>
      </c>
      <c r="M976">
        <v>0</v>
      </c>
      <c r="N976">
        <v>0</v>
      </c>
      <c r="O976">
        <v>2</v>
      </c>
      <c r="P976" s="1">
        <f t="shared" si="61"/>
        <v>0</v>
      </c>
      <c r="Q976">
        <f t="shared" si="62"/>
        <v>2</v>
      </c>
      <c r="R976" s="1">
        <f t="shared" si="63"/>
        <v>0</v>
      </c>
    </row>
    <row r="977" spans="1:18" hidden="1" x14ac:dyDescent="0.3">
      <c r="A977" t="s">
        <v>5380</v>
      </c>
      <c r="B977" t="s">
        <v>5381</v>
      </c>
      <c r="C977" t="s">
        <v>47</v>
      </c>
      <c r="D977">
        <v>1</v>
      </c>
      <c r="E977">
        <v>0</v>
      </c>
      <c r="G977" s="1">
        <v>0</v>
      </c>
      <c r="H977">
        <v>0</v>
      </c>
      <c r="I977">
        <v>0.5</v>
      </c>
      <c r="J977">
        <v>1</v>
      </c>
      <c r="K977">
        <v>1</v>
      </c>
      <c r="L977">
        <f t="shared" si="60"/>
        <v>2</v>
      </c>
      <c r="M977">
        <v>0</v>
      </c>
      <c r="N977">
        <v>0</v>
      </c>
      <c r="O977">
        <v>2</v>
      </c>
      <c r="P977" s="1">
        <f t="shared" si="61"/>
        <v>0</v>
      </c>
      <c r="Q977">
        <f t="shared" si="62"/>
        <v>2</v>
      </c>
      <c r="R977" s="1">
        <f t="shared" si="63"/>
        <v>0</v>
      </c>
    </row>
    <row r="978" spans="1:18" hidden="1" x14ac:dyDescent="0.3">
      <c r="A978" t="s">
        <v>5382</v>
      </c>
      <c r="B978" t="s">
        <v>5383</v>
      </c>
      <c r="C978" t="s">
        <v>47</v>
      </c>
      <c r="D978">
        <v>1</v>
      </c>
      <c r="E978">
        <v>0</v>
      </c>
      <c r="G978" s="1">
        <v>0</v>
      </c>
      <c r="H978">
        <v>0</v>
      </c>
      <c r="I978">
        <v>0.5</v>
      </c>
      <c r="J978">
        <v>1</v>
      </c>
      <c r="K978">
        <v>1</v>
      </c>
      <c r="L978">
        <f t="shared" si="60"/>
        <v>2</v>
      </c>
      <c r="M978">
        <v>0</v>
      </c>
      <c r="N978">
        <v>0</v>
      </c>
      <c r="O978">
        <v>2</v>
      </c>
      <c r="P978" s="1">
        <f t="shared" si="61"/>
        <v>0</v>
      </c>
      <c r="Q978">
        <f t="shared" si="62"/>
        <v>2</v>
      </c>
      <c r="R978" s="1">
        <f t="shared" si="63"/>
        <v>0</v>
      </c>
    </row>
    <row r="979" spans="1:18" hidden="1" x14ac:dyDescent="0.3">
      <c r="A979" t="s">
        <v>5384</v>
      </c>
      <c r="B979" t="s">
        <v>5385</v>
      </c>
      <c r="C979" t="s">
        <v>47</v>
      </c>
      <c r="D979">
        <v>1</v>
      </c>
      <c r="E979">
        <v>0</v>
      </c>
      <c r="G979" s="1">
        <v>0</v>
      </c>
      <c r="H979">
        <v>2</v>
      </c>
      <c r="I979">
        <v>0.5</v>
      </c>
      <c r="J979">
        <v>2</v>
      </c>
      <c r="K979">
        <v>1</v>
      </c>
      <c r="L979">
        <f t="shared" si="60"/>
        <v>2</v>
      </c>
      <c r="M979">
        <v>0</v>
      </c>
      <c r="N979">
        <v>0</v>
      </c>
      <c r="O979">
        <v>5</v>
      </c>
      <c r="P979" s="1">
        <f t="shared" si="61"/>
        <v>0</v>
      </c>
      <c r="Q979">
        <f t="shared" si="62"/>
        <v>5</v>
      </c>
      <c r="R979" s="1">
        <f t="shared" si="63"/>
        <v>0</v>
      </c>
    </row>
    <row r="980" spans="1:18" hidden="1" x14ac:dyDescent="0.3">
      <c r="A980" t="s">
        <v>5386</v>
      </c>
      <c r="B980" t="s">
        <v>5387</v>
      </c>
      <c r="C980" t="s">
        <v>47</v>
      </c>
      <c r="D980">
        <v>1</v>
      </c>
      <c r="E980">
        <v>0</v>
      </c>
      <c r="G980" s="1">
        <v>0</v>
      </c>
      <c r="H980">
        <v>0</v>
      </c>
      <c r="I980">
        <v>0.5</v>
      </c>
      <c r="J980">
        <v>1</v>
      </c>
      <c r="K980">
        <v>1</v>
      </c>
      <c r="L980">
        <f t="shared" si="60"/>
        <v>2</v>
      </c>
      <c r="M980">
        <v>0</v>
      </c>
      <c r="N980">
        <v>0</v>
      </c>
      <c r="O980">
        <v>2</v>
      </c>
      <c r="P980" s="1">
        <f t="shared" si="61"/>
        <v>0</v>
      </c>
      <c r="Q980">
        <f t="shared" si="62"/>
        <v>2</v>
      </c>
      <c r="R980" s="1">
        <f t="shared" si="63"/>
        <v>0</v>
      </c>
    </row>
    <row r="981" spans="1:18" hidden="1" x14ac:dyDescent="0.3">
      <c r="A981" t="s">
        <v>5388</v>
      </c>
      <c r="B981" t="s">
        <v>5389</v>
      </c>
      <c r="C981" t="s">
        <v>47</v>
      </c>
      <c r="D981">
        <v>1</v>
      </c>
      <c r="E981">
        <v>0</v>
      </c>
      <c r="G981" s="1">
        <v>0</v>
      </c>
      <c r="H981">
        <v>0</v>
      </c>
      <c r="I981">
        <v>0.5</v>
      </c>
      <c r="J981">
        <v>1</v>
      </c>
      <c r="K981">
        <v>1</v>
      </c>
      <c r="L981">
        <f t="shared" si="60"/>
        <v>2</v>
      </c>
      <c r="M981">
        <v>0</v>
      </c>
      <c r="N981">
        <v>0</v>
      </c>
      <c r="O981">
        <v>2</v>
      </c>
      <c r="P981" s="1">
        <f t="shared" si="61"/>
        <v>0</v>
      </c>
      <c r="Q981">
        <f t="shared" si="62"/>
        <v>2</v>
      </c>
      <c r="R981" s="1">
        <f t="shared" si="63"/>
        <v>0</v>
      </c>
    </row>
    <row r="982" spans="1:18" hidden="1" x14ac:dyDescent="0.3">
      <c r="A982" t="s">
        <v>5390</v>
      </c>
      <c r="B982" t="s">
        <v>5391</v>
      </c>
      <c r="C982" t="s">
        <v>47</v>
      </c>
      <c r="D982">
        <v>1</v>
      </c>
      <c r="E982">
        <v>0</v>
      </c>
      <c r="G982" s="1">
        <v>0</v>
      </c>
      <c r="H982">
        <v>1</v>
      </c>
      <c r="I982">
        <v>0.5</v>
      </c>
      <c r="J982">
        <v>1</v>
      </c>
      <c r="K982">
        <v>1</v>
      </c>
      <c r="L982">
        <f t="shared" si="60"/>
        <v>2</v>
      </c>
      <c r="M982">
        <v>0</v>
      </c>
      <c r="N982">
        <v>0</v>
      </c>
      <c r="O982">
        <v>2</v>
      </c>
      <c r="P982" s="1">
        <f t="shared" si="61"/>
        <v>0</v>
      </c>
      <c r="Q982">
        <f t="shared" si="62"/>
        <v>2</v>
      </c>
      <c r="R982" s="1">
        <f t="shared" si="63"/>
        <v>0</v>
      </c>
    </row>
    <row r="983" spans="1:18" hidden="1" x14ac:dyDescent="0.3">
      <c r="A983" t="s">
        <v>5392</v>
      </c>
      <c r="B983" t="s">
        <v>5393</v>
      </c>
      <c r="C983" t="s">
        <v>47</v>
      </c>
      <c r="D983">
        <v>1</v>
      </c>
      <c r="E983">
        <v>0</v>
      </c>
      <c r="G983" s="1">
        <v>0</v>
      </c>
      <c r="H983">
        <v>0</v>
      </c>
      <c r="I983">
        <v>0.5</v>
      </c>
      <c r="J983">
        <v>1</v>
      </c>
      <c r="K983">
        <v>1</v>
      </c>
      <c r="L983">
        <f t="shared" si="60"/>
        <v>2</v>
      </c>
      <c r="M983">
        <v>0</v>
      </c>
      <c r="N983">
        <v>0</v>
      </c>
      <c r="O983">
        <v>2</v>
      </c>
      <c r="P983" s="1">
        <f t="shared" si="61"/>
        <v>0</v>
      </c>
      <c r="Q983">
        <f t="shared" si="62"/>
        <v>2</v>
      </c>
      <c r="R983" s="1">
        <f t="shared" si="63"/>
        <v>0</v>
      </c>
    </row>
    <row r="984" spans="1:18" hidden="1" x14ac:dyDescent="0.3">
      <c r="A984" t="s">
        <v>5394</v>
      </c>
      <c r="B984" t="s">
        <v>5395</v>
      </c>
      <c r="C984" t="s">
        <v>47</v>
      </c>
      <c r="D984">
        <v>1</v>
      </c>
      <c r="E984">
        <v>0</v>
      </c>
      <c r="G984" s="1">
        <v>0</v>
      </c>
      <c r="H984">
        <v>0</v>
      </c>
      <c r="I984">
        <v>0.5</v>
      </c>
      <c r="J984">
        <v>1</v>
      </c>
      <c r="K984">
        <v>1</v>
      </c>
      <c r="L984">
        <f t="shared" si="60"/>
        <v>2</v>
      </c>
      <c r="M984">
        <v>0</v>
      </c>
      <c r="N984">
        <v>0</v>
      </c>
      <c r="O984">
        <v>2</v>
      </c>
      <c r="P984" s="1">
        <f t="shared" si="61"/>
        <v>0</v>
      </c>
      <c r="Q984">
        <f t="shared" si="62"/>
        <v>2</v>
      </c>
      <c r="R984" s="1">
        <f t="shared" si="63"/>
        <v>0</v>
      </c>
    </row>
    <row r="985" spans="1:18" hidden="1" x14ac:dyDescent="0.3">
      <c r="A985" t="s">
        <v>5396</v>
      </c>
      <c r="B985" t="s">
        <v>5397</v>
      </c>
      <c r="C985" t="s">
        <v>47</v>
      </c>
      <c r="D985">
        <v>1</v>
      </c>
      <c r="E985">
        <v>0</v>
      </c>
      <c r="G985" s="1">
        <v>0</v>
      </c>
      <c r="H985">
        <v>0</v>
      </c>
      <c r="I985">
        <v>0.5</v>
      </c>
      <c r="J985">
        <v>1</v>
      </c>
      <c r="K985">
        <v>1</v>
      </c>
      <c r="L985">
        <f t="shared" si="60"/>
        <v>2</v>
      </c>
      <c r="M985">
        <v>0</v>
      </c>
      <c r="N985">
        <v>0</v>
      </c>
      <c r="O985">
        <v>2</v>
      </c>
      <c r="P985" s="1">
        <f t="shared" si="61"/>
        <v>0</v>
      </c>
      <c r="Q985">
        <f t="shared" si="62"/>
        <v>2</v>
      </c>
      <c r="R985" s="1">
        <f t="shared" si="63"/>
        <v>0</v>
      </c>
    </row>
    <row r="986" spans="1:18" hidden="1" x14ac:dyDescent="0.3">
      <c r="A986" t="s">
        <v>5398</v>
      </c>
      <c r="B986" t="s">
        <v>5399</v>
      </c>
      <c r="C986" t="s">
        <v>47</v>
      </c>
      <c r="D986">
        <v>1</v>
      </c>
      <c r="E986">
        <v>0</v>
      </c>
      <c r="G986" s="1">
        <v>0</v>
      </c>
      <c r="H986">
        <v>0</v>
      </c>
      <c r="I986">
        <v>0.5</v>
      </c>
      <c r="J986">
        <v>1</v>
      </c>
      <c r="K986">
        <v>1</v>
      </c>
      <c r="L986">
        <f t="shared" si="60"/>
        <v>2</v>
      </c>
      <c r="M986">
        <v>0</v>
      </c>
      <c r="N986">
        <v>0</v>
      </c>
      <c r="O986">
        <v>2</v>
      </c>
      <c r="P986" s="1">
        <f t="shared" si="61"/>
        <v>0</v>
      </c>
      <c r="Q986">
        <f t="shared" si="62"/>
        <v>2</v>
      </c>
      <c r="R986" s="1">
        <f t="shared" si="63"/>
        <v>0</v>
      </c>
    </row>
    <row r="987" spans="1:18" hidden="1" x14ac:dyDescent="0.3">
      <c r="A987" t="s">
        <v>5400</v>
      </c>
      <c r="B987" t="s">
        <v>5401</v>
      </c>
      <c r="C987" t="s">
        <v>47</v>
      </c>
      <c r="D987">
        <v>1</v>
      </c>
      <c r="E987">
        <v>0</v>
      </c>
      <c r="G987" s="1">
        <v>0</v>
      </c>
      <c r="H987">
        <v>0</v>
      </c>
      <c r="I987">
        <v>0.5</v>
      </c>
      <c r="J987">
        <v>1</v>
      </c>
      <c r="K987">
        <v>1</v>
      </c>
      <c r="L987">
        <f t="shared" si="60"/>
        <v>2</v>
      </c>
      <c r="M987">
        <v>0</v>
      </c>
      <c r="N987">
        <v>0</v>
      </c>
      <c r="O987">
        <v>2</v>
      </c>
      <c r="P987" s="1">
        <f t="shared" si="61"/>
        <v>0</v>
      </c>
      <c r="Q987">
        <f t="shared" si="62"/>
        <v>2</v>
      </c>
      <c r="R987" s="1">
        <f t="shared" si="63"/>
        <v>0</v>
      </c>
    </row>
    <row r="988" spans="1:18" hidden="1" x14ac:dyDescent="0.3">
      <c r="A988" t="s">
        <v>5402</v>
      </c>
      <c r="B988" t="s">
        <v>3812</v>
      </c>
      <c r="C988" t="s">
        <v>47</v>
      </c>
      <c r="D988">
        <v>1</v>
      </c>
      <c r="E988">
        <v>0</v>
      </c>
      <c r="F988" t="s">
        <v>1073</v>
      </c>
      <c r="G988" s="1">
        <v>0</v>
      </c>
      <c r="H988">
        <v>0</v>
      </c>
      <c r="I988">
        <v>1.2</v>
      </c>
      <c r="J988">
        <v>1</v>
      </c>
      <c r="K988">
        <v>1</v>
      </c>
      <c r="L988">
        <f t="shared" si="60"/>
        <v>3</v>
      </c>
      <c r="M988">
        <v>0</v>
      </c>
      <c r="N988">
        <v>0</v>
      </c>
      <c r="O988">
        <v>3</v>
      </c>
      <c r="P988" s="1">
        <f t="shared" si="61"/>
        <v>0</v>
      </c>
      <c r="Q988">
        <f t="shared" si="62"/>
        <v>3</v>
      </c>
      <c r="R988" s="1">
        <f t="shared" si="63"/>
        <v>0</v>
      </c>
    </row>
    <row r="989" spans="1:18" hidden="1" x14ac:dyDescent="0.3">
      <c r="A989" t="s">
        <v>5403</v>
      </c>
      <c r="B989" t="s">
        <v>5404</v>
      </c>
      <c r="C989" t="s">
        <v>47</v>
      </c>
      <c r="D989">
        <v>1</v>
      </c>
      <c r="E989">
        <v>0</v>
      </c>
      <c r="G989" s="1">
        <v>0</v>
      </c>
      <c r="H989">
        <v>0</v>
      </c>
      <c r="I989">
        <v>0.5</v>
      </c>
      <c r="J989">
        <v>1</v>
      </c>
      <c r="K989">
        <v>1</v>
      </c>
      <c r="L989">
        <f t="shared" si="60"/>
        <v>2</v>
      </c>
      <c r="M989">
        <v>0</v>
      </c>
      <c r="N989">
        <v>0</v>
      </c>
      <c r="O989">
        <v>2</v>
      </c>
      <c r="P989" s="1">
        <f t="shared" si="61"/>
        <v>0</v>
      </c>
      <c r="Q989">
        <f t="shared" si="62"/>
        <v>2</v>
      </c>
      <c r="R989" s="1">
        <f t="shared" si="63"/>
        <v>0</v>
      </c>
    </row>
    <row r="990" spans="1:18" hidden="1" x14ac:dyDescent="0.3">
      <c r="A990" t="s">
        <v>5405</v>
      </c>
      <c r="B990" t="s">
        <v>5205</v>
      </c>
      <c r="C990" t="s">
        <v>47</v>
      </c>
      <c r="D990">
        <v>1</v>
      </c>
      <c r="E990">
        <v>0</v>
      </c>
      <c r="F990" t="s">
        <v>1073</v>
      </c>
      <c r="G990" s="1">
        <v>0</v>
      </c>
      <c r="H990">
        <v>0</v>
      </c>
      <c r="I990">
        <v>1.6</v>
      </c>
      <c r="J990">
        <v>1</v>
      </c>
      <c r="K990">
        <v>2</v>
      </c>
      <c r="L990">
        <f t="shared" si="60"/>
        <v>4</v>
      </c>
      <c r="M990">
        <v>0</v>
      </c>
      <c r="N990">
        <v>0</v>
      </c>
      <c r="O990">
        <v>4</v>
      </c>
      <c r="P990" s="1">
        <f t="shared" si="61"/>
        <v>0</v>
      </c>
      <c r="Q990">
        <f t="shared" si="62"/>
        <v>4</v>
      </c>
      <c r="R990" s="1">
        <f t="shared" si="63"/>
        <v>0</v>
      </c>
    </row>
    <row r="991" spans="1:18" hidden="1" x14ac:dyDescent="0.3">
      <c r="A991" t="s">
        <v>5406</v>
      </c>
      <c r="B991" t="s">
        <v>5407</v>
      </c>
      <c r="C991" t="s">
        <v>47</v>
      </c>
      <c r="D991">
        <v>1</v>
      </c>
      <c r="E991">
        <v>0</v>
      </c>
      <c r="G991" s="1">
        <v>0</v>
      </c>
      <c r="H991">
        <v>0</v>
      </c>
      <c r="I991">
        <v>0.5</v>
      </c>
      <c r="J991">
        <v>1</v>
      </c>
      <c r="K991">
        <v>1</v>
      </c>
      <c r="L991">
        <f t="shared" si="60"/>
        <v>2</v>
      </c>
      <c r="M991">
        <v>0</v>
      </c>
      <c r="N991">
        <v>0</v>
      </c>
      <c r="O991">
        <v>2</v>
      </c>
      <c r="P991" s="1">
        <f t="shared" si="61"/>
        <v>0</v>
      </c>
      <c r="Q991">
        <f t="shared" si="62"/>
        <v>2</v>
      </c>
      <c r="R991" s="1">
        <f t="shared" si="63"/>
        <v>0</v>
      </c>
    </row>
    <row r="992" spans="1:18" hidden="1" x14ac:dyDescent="0.3">
      <c r="A992" t="s">
        <v>5408</v>
      </c>
      <c r="B992" t="s">
        <v>5409</v>
      </c>
      <c r="C992" t="s">
        <v>47</v>
      </c>
      <c r="D992">
        <v>1</v>
      </c>
      <c r="E992">
        <v>0</v>
      </c>
      <c r="G992" s="1">
        <v>0</v>
      </c>
      <c r="H992">
        <v>0</v>
      </c>
      <c r="I992">
        <v>0.5</v>
      </c>
      <c r="J992">
        <v>1</v>
      </c>
      <c r="K992">
        <v>1</v>
      </c>
      <c r="L992">
        <f t="shared" si="60"/>
        <v>2</v>
      </c>
      <c r="M992">
        <v>0</v>
      </c>
      <c r="N992">
        <v>0</v>
      </c>
      <c r="O992">
        <v>2</v>
      </c>
      <c r="P992" s="1">
        <f t="shared" si="61"/>
        <v>0</v>
      </c>
      <c r="Q992">
        <f t="shared" si="62"/>
        <v>2</v>
      </c>
      <c r="R992" s="1">
        <f t="shared" si="63"/>
        <v>0</v>
      </c>
    </row>
    <row r="993" spans="1:18" hidden="1" x14ac:dyDescent="0.3">
      <c r="A993" t="s">
        <v>5410</v>
      </c>
      <c r="B993" t="s">
        <v>5411</v>
      </c>
      <c r="C993" t="s">
        <v>47</v>
      </c>
      <c r="D993">
        <v>1</v>
      </c>
      <c r="E993">
        <v>0</v>
      </c>
      <c r="G993" s="1">
        <v>0</v>
      </c>
      <c r="H993">
        <v>0</v>
      </c>
      <c r="I993">
        <v>0.5</v>
      </c>
      <c r="J993">
        <v>1</v>
      </c>
      <c r="K993">
        <v>1</v>
      </c>
      <c r="L993">
        <f t="shared" si="60"/>
        <v>2</v>
      </c>
      <c r="M993">
        <v>0</v>
      </c>
      <c r="N993">
        <v>0</v>
      </c>
      <c r="O993">
        <v>2</v>
      </c>
      <c r="P993" s="1">
        <f t="shared" si="61"/>
        <v>0</v>
      </c>
      <c r="Q993">
        <f t="shared" si="62"/>
        <v>2</v>
      </c>
      <c r="R993" s="1">
        <f t="shared" si="63"/>
        <v>0</v>
      </c>
    </row>
    <row r="994" spans="1:18" hidden="1" x14ac:dyDescent="0.3">
      <c r="A994" t="s">
        <v>5412</v>
      </c>
      <c r="B994" t="s">
        <v>5413</v>
      </c>
      <c r="C994" t="s">
        <v>47</v>
      </c>
      <c r="D994">
        <v>1</v>
      </c>
      <c r="E994">
        <v>8</v>
      </c>
      <c r="F994" t="s">
        <v>4090</v>
      </c>
      <c r="G994" s="1">
        <v>29.5</v>
      </c>
      <c r="H994">
        <v>0</v>
      </c>
      <c r="I994">
        <v>0.5</v>
      </c>
      <c r="J994">
        <v>8</v>
      </c>
      <c r="K994">
        <v>4</v>
      </c>
      <c r="L994">
        <f t="shared" si="60"/>
        <v>8</v>
      </c>
      <c r="M994">
        <v>0</v>
      </c>
      <c r="N994">
        <v>0</v>
      </c>
      <c r="O994">
        <v>20</v>
      </c>
      <c r="P994" s="1">
        <f t="shared" si="61"/>
        <v>0</v>
      </c>
      <c r="Q994">
        <f t="shared" si="62"/>
        <v>20</v>
      </c>
      <c r="R994" s="1">
        <f t="shared" si="63"/>
        <v>590</v>
      </c>
    </row>
    <row r="995" spans="1:18" hidden="1" x14ac:dyDescent="0.3">
      <c r="A995" t="s">
        <v>5414</v>
      </c>
      <c r="B995" t="s">
        <v>5415</v>
      </c>
      <c r="C995" t="s">
        <v>47</v>
      </c>
      <c r="D995">
        <v>1</v>
      </c>
      <c r="E995">
        <v>1</v>
      </c>
      <c r="F995" t="s">
        <v>4090</v>
      </c>
      <c r="G995" s="1">
        <v>61.45</v>
      </c>
      <c r="H995">
        <v>0</v>
      </c>
      <c r="I995">
        <v>0.5</v>
      </c>
      <c r="J995">
        <v>1</v>
      </c>
      <c r="K995">
        <v>1</v>
      </c>
      <c r="L995">
        <f t="shared" si="60"/>
        <v>2</v>
      </c>
      <c r="M995">
        <v>0</v>
      </c>
      <c r="N995">
        <v>0</v>
      </c>
      <c r="O995">
        <v>2</v>
      </c>
      <c r="P995" s="1">
        <f t="shared" si="61"/>
        <v>0</v>
      </c>
      <c r="Q995">
        <f t="shared" si="62"/>
        <v>2</v>
      </c>
      <c r="R995" s="1">
        <f t="shared" si="63"/>
        <v>122.9</v>
      </c>
    </row>
    <row r="996" spans="1:18" hidden="1" x14ac:dyDescent="0.3">
      <c r="A996" t="s">
        <v>5416</v>
      </c>
      <c r="B996" t="s">
        <v>5417</v>
      </c>
      <c r="C996" t="s">
        <v>47</v>
      </c>
      <c r="D996">
        <v>1</v>
      </c>
      <c r="E996">
        <v>1</v>
      </c>
      <c r="F996" t="s">
        <v>4090</v>
      </c>
      <c r="G996" s="1">
        <v>224</v>
      </c>
      <c r="H996">
        <v>0</v>
      </c>
      <c r="I996">
        <v>0.5</v>
      </c>
      <c r="J996">
        <v>1</v>
      </c>
      <c r="K996">
        <v>1</v>
      </c>
      <c r="L996">
        <f t="shared" si="60"/>
        <v>2</v>
      </c>
      <c r="M996">
        <v>0</v>
      </c>
      <c r="N996">
        <v>0</v>
      </c>
      <c r="O996">
        <v>2</v>
      </c>
      <c r="P996" s="1">
        <f t="shared" si="61"/>
        <v>0</v>
      </c>
      <c r="Q996">
        <f t="shared" si="62"/>
        <v>2</v>
      </c>
      <c r="R996" s="1">
        <f t="shared" si="63"/>
        <v>448</v>
      </c>
    </row>
    <row r="997" spans="1:18" hidden="1" x14ac:dyDescent="0.3">
      <c r="A997" t="s">
        <v>5418</v>
      </c>
      <c r="B997" t="s">
        <v>5419</v>
      </c>
      <c r="C997" t="s">
        <v>47</v>
      </c>
      <c r="D997">
        <v>18</v>
      </c>
      <c r="E997">
        <v>700</v>
      </c>
      <c r="F997" t="s">
        <v>5420</v>
      </c>
      <c r="G997" s="1">
        <v>31.55</v>
      </c>
      <c r="H997">
        <v>0</v>
      </c>
      <c r="I997">
        <v>0.5</v>
      </c>
      <c r="J997">
        <v>39</v>
      </c>
      <c r="K997">
        <v>20</v>
      </c>
      <c r="L997">
        <f t="shared" si="60"/>
        <v>40</v>
      </c>
      <c r="M997">
        <v>0</v>
      </c>
      <c r="N997">
        <v>0</v>
      </c>
      <c r="O997">
        <v>98</v>
      </c>
      <c r="P997" s="1">
        <f t="shared" si="61"/>
        <v>0</v>
      </c>
      <c r="Q997">
        <f t="shared" si="62"/>
        <v>98</v>
      </c>
      <c r="R997" s="1">
        <f t="shared" si="63"/>
        <v>3091.9</v>
      </c>
    </row>
    <row r="998" spans="1:18" hidden="1" x14ac:dyDescent="0.3">
      <c r="A998" t="s">
        <v>5421</v>
      </c>
      <c r="B998" t="s">
        <v>5422</v>
      </c>
      <c r="C998" t="s">
        <v>47</v>
      </c>
      <c r="D998">
        <v>1</v>
      </c>
      <c r="E998">
        <v>1</v>
      </c>
      <c r="F998" t="s">
        <v>5423</v>
      </c>
      <c r="G998" s="1">
        <v>3812.63</v>
      </c>
      <c r="H998">
        <v>0</v>
      </c>
      <c r="I998">
        <v>0.5</v>
      </c>
      <c r="J998">
        <v>1</v>
      </c>
      <c r="K998">
        <v>1</v>
      </c>
      <c r="L998">
        <f t="shared" si="60"/>
        <v>2</v>
      </c>
      <c r="M998">
        <v>0</v>
      </c>
      <c r="N998">
        <v>0</v>
      </c>
      <c r="O998">
        <v>2</v>
      </c>
      <c r="P998" s="1">
        <f t="shared" si="61"/>
        <v>0</v>
      </c>
      <c r="Q998">
        <f t="shared" si="62"/>
        <v>2</v>
      </c>
      <c r="R998" s="1">
        <f t="shared" si="63"/>
        <v>7625.26</v>
      </c>
    </row>
    <row r="999" spans="1:18" hidden="1" x14ac:dyDescent="0.3">
      <c r="A999" t="s">
        <v>5424</v>
      </c>
      <c r="B999" t="s">
        <v>5425</v>
      </c>
      <c r="C999" t="s">
        <v>47</v>
      </c>
      <c r="D999">
        <v>1</v>
      </c>
      <c r="E999">
        <v>1</v>
      </c>
      <c r="F999" t="s">
        <v>124</v>
      </c>
      <c r="G999" s="1">
        <v>709.45</v>
      </c>
      <c r="H999">
        <v>0</v>
      </c>
      <c r="I999">
        <v>0.5</v>
      </c>
      <c r="J999">
        <v>1</v>
      </c>
      <c r="K999">
        <v>1</v>
      </c>
      <c r="L999">
        <f t="shared" si="60"/>
        <v>2</v>
      </c>
      <c r="M999">
        <v>0</v>
      </c>
      <c r="N999">
        <v>0</v>
      </c>
      <c r="O999">
        <v>2</v>
      </c>
      <c r="P999" s="1">
        <f t="shared" si="61"/>
        <v>0</v>
      </c>
      <c r="Q999">
        <f t="shared" si="62"/>
        <v>2</v>
      </c>
      <c r="R999" s="1">
        <f t="shared" si="63"/>
        <v>1418.9</v>
      </c>
    </row>
    <row r="1000" spans="1:18" hidden="1" x14ac:dyDescent="0.3">
      <c r="A1000" t="s">
        <v>5426</v>
      </c>
      <c r="B1000" t="s">
        <v>5427</v>
      </c>
      <c r="C1000" t="s">
        <v>47</v>
      </c>
      <c r="D1000">
        <v>1</v>
      </c>
      <c r="E1000">
        <v>5</v>
      </c>
      <c r="F1000" t="s">
        <v>5428</v>
      </c>
      <c r="G1000" s="1">
        <v>4928</v>
      </c>
      <c r="H1000">
        <v>0</v>
      </c>
      <c r="I1000">
        <v>0.5</v>
      </c>
      <c r="J1000">
        <v>5</v>
      </c>
      <c r="K1000">
        <v>2</v>
      </c>
      <c r="L1000">
        <f t="shared" si="60"/>
        <v>5</v>
      </c>
      <c r="M1000">
        <v>0</v>
      </c>
      <c r="N1000">
        <v>0</v>
      </c>
      <c r="O1000">
        <v>12</v>
      </c>
      <c r="P1000" s="1">
        <f t="shared" si="61"/>
        <v>0</v>
      </c>
      <c r="Q1000">
        <f t="shared" si="62"/>
        <v>12</v>
      </c>
      <c r="R1000" s="1">
        <f t="shared" si="63"/>
        <v>59136</v>
      </c>
    </row>
    <row r="1001" spans="1:18" hidden="1" x14ac:dyDescent="0.3">
      <c r="A1001" t="s">
        <v>5429</v>
      </c>
      <c r="B1001" t="s">
        <v>5430</v>
      </c>
      <c r="C1001" t="s">
        <v>47</v>
      </c>
      <c r="D1001">
        <v>1</v>
      </c>
      <c r="E1001">
        <v>0</v>
      </c>
      <c r="G1001" s="1">
        <v>0</v>
      </c>
      <c r="H1001">
        <v>0</v>
      </c>
      <c r="I1001">
        <v>0.5</v>
      </c>
      <c r="J1001">
        <v>1</v>
      </c>
      <c r="K1001">
        <v>1</v>
      </c>
      <c r="L1001">
        <f t="shared" si="60"/>
        <v>2</v>
      </c>
      <c r="M1001">
        <v>0</v>
      </c>
      <c r="N1001">
        <v>0</v>
      </c>
      <c r="O1001">
        <v>2</v>
      </c>
      <c r="P1001" s="1">
        <f t="shared" si="61"/>
        <v>0</v>
      </c>
      <c r="Q1001">
        <f t="shared" si="62"/>
        <v>2</v>
      </c>
      <c r="R1001" s="1">
        <f t="shared" si="63"/>
        <v>0</v>
      </c>
    </row>
    <row r="1002" spans="1:18" hidden="1" x14ac:dyDescent="0.3">
      <c r="A1002" t="s">
        <v>5431</v>
      </c>
      <c r="B1002" t="s">
        <v>5432</v>
      </c>
      <c r="C1002" t="s">
        <v>47</v>
      </c>
      <c r="D1002">
        <v>1</v>
      </c>
      <c r="E1002">
        <v>0</v>
      </c>
      <c r="G1002" s="1">
        <v>0</v>
      </c>
      <c r="H1002">
        <v>0</v>
      </c>
      <c r="I1002">
        <v>0.5</v>
      </c>
      <c r="J1002">
        <v>1</v>
      </c>
      <c r="K1002">
        <v>1</v>
      </c>
      <c r="L1002">
        <f t="shared" si="60"/>
        <v>2</v>
      </c>
      <c r="M1002">
        <v>0</v>
      </c>
      <c r="N1002">
        <v>0</v>
      </c>
      <c r="O1002">
        <v>2</v>
      </c>
      <c r="P1002" s="1">
        <f t="shared" si="61"/>
        <v>0</v>
      </c>
      <c r="Q1002">
        <f t="shared" si="62"/>
        <v>2</v>
      </c>
      <c r="R1002" s="1">
        <f t="shared" si="63"/>
        <v>0</v>
      </c>
    </row>
    <row r="1003" spans="1:18" hidden="1" x14ac:dyDescent="0.3">
      <c r="A1003" t="s">
        <v>5433</v>
      </c>
      <c r="B1003" t="s">
        <v>5434</v>
      </c>
      <c r="C1003" t="s">
        <v>47</v>
      </c>
      <c r="D1003">
        <v>8</v>
      </c>
      <c r="E1003">
        <v>0</v>
      </c>
      <c r="G1003" s="1">
        <v>0</v>
      </c>
      <c r="H1003">
        <v>6</v>
      </c>
      <c r="I1003">
        <v>0.5</v>
      </c>
      <c r="J1003">
        <v>1</v>
      </c>
      <c r="K1003">
        <v>1</v>
      </c>
      <c r="L1003">
        <f t="shared" si="60"/>
        <v>2</v>
      </c>
      <c r="M1003">
        <v>0</v>
      </c>
      <c r="N1003">
        <v>0</v>
      </c>
      <c r="O1003">
        <v>2</v>
      </c>
      <c r="P1003" s="1">
        <f t="shared" si="61"/>
        <v>0</v>
      </c>
      <c r="Q1003">
        <f t="shared" si="62"/>
        <v>2</v>
      </c>
      <c r="R1003" s="1">
        <f t="shared" si="63"/>
        <v>0</v>
      </c>
    </row>
    <row r="1004" spans="1:18" hidden="1" x14ac:dyDescent="0.3">
      <c r="A1004" t="s">
        <v>5435</v>
      </c>
      <c r="B1004" t="s">
        <v>5436</v>
      </c>
      <c r="C1004" t="s">
        <v>47</v>
      </c>
      <c r="D1004">
        <v>1</v>
      </c>
      <c r="E1004">
        <v>8</v>
      </c>
      <c r="F1004" t="s">
        <v>661</v>
      </c>
      <c r="G1004" s="1">
        <v>58.37</v>
      </c>
      <c r="H1004">
        <v>0</v>
      </c>
      <c r="I1004">
        <v>0.8</v>
      </c>
      <c r="J1004">
        <v>8</v>
      </c>
      <c r="K1004">
        <v>6</v>
      </c>
      <c r="L1004">
        <f t="shared" si="60"/>
        <v>13</v>
      </c>
      <c r="M1004">
        <v>0</v>
      </c>
      <c r="N1004">
        <v>0</v>
      </c>
      <c r="O1004">
        <v>22</v>
      </c>
      <c r="P1004" s="1">
        <f t="shared" si="61"/>
        <v>0</v>
      </c>
      <c r="Q1004">
        <f t="shared" si="62"/>
        <v>22</v>
      </c>
      <c r="R1004" s="1">
        <f t="shared" si="63"/>
        <v>1284.1399999999999</v>
      </c>
    </row>
    <row r="1005" spans="1:18" hidden="1" x14ac:dyDescent="0.3">
      <c r="A1005" t="s">
        <v>5437</v>
      </c>
      <c r="B1005" t="s">
        <v>5438</v>
      </c>
      <c r="C1005" t="s">
        <v>47</v>
      </c>
      <c r="D1005">
        <v>4</v>
      </c>
      <c r="E1005">
        <v>300</v>
      </c>
      <c r="F1005" t="s">
        <v>5439</v>
      </c>
      <c r="G1005" s="1">
        <v>6.96</v>
      </c>
      <c r="H1005">
        <v>0</v>
      </c>
      <c r="I1005">
        <v>0.5</v>
      </c>
      <c r="J1005">
        <v>75</v>
      </c>
      <c r="K1005">
        <v>38</v>
      </c>
      <c r="L1005">
        <f t="shared" si="60"/>
        <v>76</v>
      </c>
      <c r="M1005">
        <v>0</v>
      </c>
      <c r="N1005">
        <v>0</v>
      </c>
      <c r="O1005">
        <v>188</v>
      </c>
      <c r="P1005" s="1">
        <f t="shared" si="61"/>
        <v>0</v>
      </c>
      <c r="Q1005">
        <f t="shared" si="62"/>
        <v>188</v>
      </c>
      <c r="R1005" s="1">
        <f t="shared" si="63"/>
        <v>1308.48</v>
      </c>
    </row>
    <row r="1006" spans="1:18" hidden="1" x14ac:dyDescent="0.3">
      <c r="A1006" t="s">
        <v>5440</v>
      </c>
      <c r="B1006" t="s">
        <v>5441</v>
      </c>
      <c r="C1006" t="s">
        <v>47</v>
      </c>
      <c r="D1006">
        <v>15</v>
      </c>
      <c r="E1006">
        <v>722</v>
      </c>
      <c r="F1006" t="s">
        <v>256</v>
      </c>
      <c r="G1006" s="1">
        <v>28.75</v>
      </c>
      <c r="H1006">
        <v>0</v>
      </c>
      <c r="I1006">
        <v>0.5</v>
      </c>
      <c r="J1006">
        <v>48.5</v>
      </c>
      <c r="K1006">
        <v>24</v>
      </c>
      <c r="L1006">
        <f t="shared" si="60"/>
        <v>49</v>
      </c>
      <c r="M1006">
        <v>0</v>
      </c>
      <c r="N1006">
        <v>0</v>
      </c>
      <c r="O1006">
        <v>121</v>
      </c>
      <c r="P1006" s="1">
        <f t="shared" si="61"/>
        <v>0</v>
      </c>
      <c r="Q1006">
        <f t="shared" si="62"/>
        <v>121</v>
      </c>
      <c r="R1006" s="1">
        <f t="shared" si="63"/>
        <v>3478.75</v>
      </c>
    </row>
    <row r="1007" spans="1:18" hidden="1" x14ac:dyDescent="0.3">
      <c r="A1007" t="s">
        <v>5442</v>
      </c>
      <c r="B1007" t="s">
        <v>5442</v>
      </c>
      <c r="C1007" t="s">
        <v>47</v>
      </c>
      <c r="D1007">
        <v>1</v>
      </c>
      <c r="E1007">
        <v>0</v>
      </c>
      <c r="G1007" s="1">
        <v>146.33000000000001</v>
      </c>
      <c r="H1007">
        <v>0</v>
      </c>
      <c r="I1007">
        <v>0.5</v>
      </c>
      <c r="J1007">
        <v>1</v>
      </c>
      <c r="K1007">
        <v>1</v>
      </c>
      <c r="L1007">
        <f t="shared" si="60"/>
        <v>2</v>
      </c>
      <c r="M1007">
        <v>0</v>
      </c>
      <c r="N1007">
        <v>0</v>
      </c>
      <c r="O1007">
        <v>2</v>
      </c>
      <c r="P1007" s="1">
        <f t="shared" si="61"/>
        <v>0</v>
      </c>
      <c r="Q1007">
        <f t="shared" si="62"/>
        <v>2</v>
      </c>
      <c r="R1007" s="1">
        <f t="shared" si="63"/>
        <v>292.66000000000003</v>
      </c>
    </row>
    <row r="1008" spans="1:18" hidden="1" x14ac:dyDescent="0.3">
      <c r="A1008" t="s">
        <v>5443</v>
      </c>
      <c r="B1008" t="s">
        <v>5443</v>
      </c>
      <c r="C1008" t="s">
        <v>47</v>
      </c>
      <c r="D1008">
        <v>1</v>
      </c>
      <c r="E1008">
        <v>0</v>
      </c>
      <c r="G1008" s="1">
        <v>53.48</v>
      </c>
      <c r="H1008">
        <v>0</v>
      </c>
      <c r="I1008">
        <v>0.5</v>
      </c>
      <c r="J1008">
        <v>1</v>
      </c>
      <c r="K1008">
        <v>1</v>
      </c>
      <c r="L1008">
        <f t="shared" si="60"/>
        <v>2</v>
      </c>
      <c r="M1008">
        <v>0</v>
      </c>
      <c r="N1008">
        <v>0</v>
      </c>
      <c r="O1008">
        <v>2</v>
      </c>
      <c r="P1008" s="1">
        <f t="shared" si="61"/>
        <v>0</v>
      </c>
      <c r="Q1008">
        <f t="shared" si="62"/>
        <v>2</v>
      </c>
      <c r="R1008" s="1">
        <f t="shared" si="63"/>
        <v>106.96</v>
      </c>
    </row>
    <row r="1009" spans="1:18" hidden="1" x14ac:dyDescent="0.3">
      <c r="A1009" t="s">
        <v>5444</v>
      </c>
      <c r="B1009" t="s">
        <v>5445</v>
      </c>
      <c r="C1009" t="s">
        <v>47</v>
      </c>
      <c r="D1009">
        <v>1</v>
      </c>
      <c r="E1009">
        <v>800</v>
      </c>
      <c r="F1009" t="s">
        <v>5439</v>
      </c>
      <c r="G1009" s="1">
        <v>5.22</v>
      </c>
      <c r="H1009">
        <v>0</v>
      </c>
      <c r="I1009">
        <v>0.5</v>
      </c>
      <c r="J1009">
        <v>800</v>
      </c>
      <c r="K1009">
        <v>400</v>
      </c>
      <c r="L1009">
        <f t="shared" si="60"/>
        <v>800</v>
      </c>
      <c r="M1009">
        <v>0</v>
      </c>
      <c r="N1009">
        <v>0</v>
      </c>
      <c r="O1009">
        <v>2000</v>
      </c>
      <c r="P1009" s="1">
        <f t="shared" si="61"/>
        <v>0</v>
      </c>
      <c r="Q1009">
        <f t="shared" si="62"/>
        <v>2000</v>
      </c>
      <c r="R1009" s="1">
        <f t="shared" si="63"/>
        <v>10440</v>
      </c>
    </row>
    <row r="1010" spans="1:18" hidden="1" x14ac:dyDescent="0.3">
      <c r="A1010" t="s">
        <v>5446</v>
      </c>
      <c r="B1010" t="s">
        <v>5447</v>
      </c>
      <c r="C1010" t="s">
        <v>47</v>
      </c>
      <c r="D1010">
        <v>1</v>
      </c>
      <c r="E1010">
        <v>400</v>
      </c>
      <c r="F1010" t="s">
        <v>5439</v>
      </c>
      <c r="G1010" s="1">
        <v>7.11</v>
      </c>
      <c r="H1010">
        <v>0</v>
      </c>
      <c r="I1010">
        <v>0.5</v>
      </c>
      <c r="J1010">
        <v>400</v>
      </c>
      <c r="K1010">
        <v>200</v>
      </c>
      <c r="L1010">
        <f t="shared" si="60"/>
        <v>400</v>
      </c>
      <c r="M1010">
        <v>0</v>
      </c>
      <c r="N1010">
        <v>0</v>
      </c>
      <c r="O1010">
        <v>1000</v>
      </c>
      <c r="P1010" s="1">
        <f t="shared" si="61"/>
        <v>0</v>
      </c>
      <c r="Q1010">
        <f t="shared" si="62"/>
        <v>1000</v>
      </c>
      <c r="R1010" s="1">
        <f t="shared" si="63"/>
        <v>7110</v>
      </c>
    </row>
    <row r="1011" spans="1:18" hidden="1" x14ac:dyDescent="0.3">
      <c r="A1011" t="s">
        <v>5448</v>
      </c>
      <c r="B1011" t="s">
        <v>5449</v>
      </c>
      <c r="C1011" t="s">
        <v>47</v>
      </c>
      <c r="D1011">
        <v>21</v>
      </c>
      <c r="E1011">
        <v>3740</v>
      </c>
      <c r="F1011" t="s">
        <v>280</v>
      </c>
      <c r="G1011" s="1">
        <v>0</v>
      </c>
      <c r="H1011">
        <v>0</v>
      </c>
      <c r="I1011">
        <v>0.5</v>
      </c>
      <c r="J1011">
        <v>178.5</v>
      </c>
      <c r="K1011">
        <v>89</v>
      </c>
      <c r="L1011">
        <f t="shared" si="60"/>
        <v>179</v>
      </c>
      <c r="M1011">
        <v>0</v>
      </c>
      <c r="N1011">
        <v>0</v>
      </c>
      <c r="O1011">
        <v>446</v>
      </c>
      <c r="P1011" s="1">
        <f t="shared" si="61"/>
        <v>0</v>
      </c>
      <c r="Q1011">
        <f t="shared" si="62"/>
        <v>446</v>
      </c>
      <c r="R1011" s="1">
        <f t="shared" si="63"/>
        <v>0</v>
      </c>
    </row>
    <row r="1012" spans="1:18" hidden="1" x14ac:dyDescent="0.3">
      <c r="A1012" t="s">
        <v>5450</v>
      </c>
      <c r="B1012" t="s">
        <v>5451</v>
      </c>
      <c r="C1012" t="s">
        <v>47</v>
      </c>
      <c r="D1012">
        <v>1</v>
      </c>
      <c r="E1012">
        <v>0</v>
      </c>
      <c r="F1012" t="s">
        <v>654</v>
      </c>
      <c r="G1012" s="1">
        <v>0</v>
      </c>
      <c r="H1012">
        <v>0</v>
      </c>
      <c r="I1012">
        <v>0.5</v>
      </c>
      <c r="J1012">
        <v>1</v>
      </c>
      <c r="K1012">
        <v>1</v>
      </c>
      <c r="L1012">
        <f t="shared" si="60"/>
        <v>2</v>
      </c>
      <c r="M1012">
        <v>0</v>
      </c>
      <c r="N1012">
        <v>0</v>
      </c>
      <c r="O1012">
        <v>2</v>
      </c>
      <c r="P1012" s="1">
        <f t="shared" si="61"/>
        <v>0</v>
      </c>
      <c r="Q1012">
        <f t="shared" si="62"/>
        <v>2</v>
      </c>
      <c r="R1012" s="1">
        <f t="shared" si="63"/>
        <v>0</v>
      </c>
    </row>
    <row r="1013" spans="1:18" hidden="1" x14ac:dyDescent="0.3">
      <c r="A1013" t="s">
        <v>5452</v>
      </c>
      <c r="B1013" t="s">
        <v>5453</v>
      </c>
      <c r="C1013" t="s">
        <v>47</v>
      </c>
      <c r="D1013">
        <v>1</v>
      </c>
      <c r="E1013">
        <v>0</v>
      </c>
      <c r="F1013" t="s">
        <v>654</v>
      </c>
      <c r="G1013" s="1">
        <v>0</v>
      </c>
      <c r="H1013">
        <v>0</v>
      </c>
      <c r="I1013">
        <v>0.5</v>
      </c>
      <c r="J1013">
        <v>1</v>
      </c>
      <c r="K1013">
        <v>1</v>
      </c>
      <c r="L1013">
        <f t="shared" si="60"/>
        <v>2</v>
      </c>
      <c r="M1013">
        <v>0</v>
      </c>
      <c r="N1013">
        <v>0</v>
      </c>
      <c r="O1013">
        <v>2</v>
      </c>
      <c r="P1013" s="1">
        <f t="shared" si="61"/>
        <v>0</v>
      </c>
      <c r="Q1013">
        <f t="shared" si="62"/>
        <v>2</v>
      </c>
      <c r="R1013" s="1">
        <f t="shared" si="63"/>
        <v>0</v>
      </c>
    </row>
    <row r="1014" spans="1:18" hidden="1" x14ac:dyDescent="0.3">
      <c r="A1014" t="s">
        <v>5454</v>
      </c>
      <c r="B1014" t="s">
        <v>5455</v>
      </c>
      <c r="C1014" t="s">
        <v>47</v>
      </c>
      <c r="D1014">
        <v>1</v>
      </c>
      <c r="E1014">
        <v>0</v>
      </c>
      <c r="F1014" t="s">
        <v>654</v>
      </c>
      <c r="G1014" s="1">
        <v>0</v>
      </c>
      <c r="H1014">
        <v>0</v>
      </c>
      <c r="I1014">
        <v>0.5</v>
      </c>
      <c r="J1014">
        <v>1</v>
      </c>
      <c r="K1014">
        <v>1</v>
      </c>
      <c r="L1014">
        <f t="shared" si="60"/>
        <v>2</v>
      </c>
      <c r="M1014">
        <v>0</v>
      </c>
      <c r="N1014">
        <v>0</v>
      </c>
      <c r="O1014">
        <v>2</v>
      </c>
      <c r="P1014" s="1">
        <f t="shared" si="61"/>
        <v>0</v>
      </c>
      <c r="Q1014">
        <f t="shared" si="62"/>
        <v>2</v>
      </c>
      <c r="R1014" s="1">
        <f t="shared" si="63"/>
        <v>0</v>
      </c>
    </row>
    <row r="1015" spans="1:18" hidden="1" x14ac:dyDescent="0.3">
      <c r="A1015" t="s">
        <v>5456</v>
      </c>
      <c r="B1015" t="s">
        <v>5457</v>
      </c>
      <c r="C1015" t="s">
        <v>47</v>
      </c>
      <c r="D1015">
        <v>1</v>
      </c>
      <c r="E1015">
        <v>1</v>
      </c>
      <c r="F1015" t="s">
        <v>5458</v>
      </c>
      <c r="G1015" s="1">
        <v>77000</v>
      </c>
      <c r="H1015">
        <v>0</v>
      </c>
      <c r="I1015">
        <v>0.8</v>
      </c>
      <c r="J1015">
        <v>1</v>
      </c>
      <c r="K1015">
        <v>1</v>
      </c>
      <c r="L1015">
        <f t="shared" si="60"/>
        <v>2</v>
      </c>
      <c r="M1015">
        <v>0</v>
      </c>
      <c r="N1015">
        <v>0</v>
      </c>
      <c r="O1015">
        <v>3</v>
      </c>
      <c r="P1015" s="1">
        <f t="shared" si="61"/>
        <v>0</v>
      </c>
      <c r="Q1015">
        <f t="shared" si="62"/>
        <v>3</v>
      </c>
      <c r="R1015" s="1">
        <f t="shared" si="63"/>
        <v>231000</v>
      </c>
    </row>
    <row r="1016" spans="1:18" hidden="1" x14ac:dyDescent="0.3">
      <c r="A1016" t="s">
        <v>5459</v>
      </c>
      <c r="B1016" t="s">
        <v>5459</v>
      </c>
      <c r="C1016" t="s">
        <v>47</v>
      </c>
      <c r="D1016">
        <v>1</v>
      </c>
      <c r="E1016">
        <v>4</v>
      </c>
      <c r="F1016" t="s">
        <v>206</v>
      </c>
      <c r="G1016" s="1">
        <v>232.8</v>
      </c>
      <c r="H1016">
        <v>0</v>
      </c>
      <c r="I1016">
        <v>0.5</v>
      </c>
      <c r="J1016">
        <v>4</v>
      </c>
      <c r="K1016">
        <v>2</v>
      </c>
      <c r="L1016">
        <f t="shared" si="60"/>
        <v>4</v>
      </c>
      <c r="M1016">
        <v>0</v>
      </c>
      <c r="N1016">
        <v>0</v>
      </c>
      <c r="O1016">
        <v>10</v>
      </c>
      <c r="P1016" s="1">
        <f t="shared" si="61"/>
        <v>0</v>
      </c>
      <c r="Q1016">
        <f t="shared" si="62"/>
        <v>10</v>
      </c>
      <c r="R1016" s="1">
        <f t="shared" si="63"/>
        <v>2328</v>
      </c>
    </row>
    <row r="1017" spans="1:18" hidden="1" x14ac:dyDescent="0.3">
      <c r="A1017" t="s">
        <v>5460</v>
      </c>
      <c r="B1017" t="s">
        <v>5461</v>
      </c>
      <c r="C1017" t="s">
        <v>47</v>
      </c>
      <c r="D1017">
        <v>1</v>
      </c>
      <c r="E1017">
        <v>2</v>
      </c>
      <c r="F1017" t="s">
        <v>206</v>
      </c>
      <c r="G1017" s="1">
        <v>0</v>
      </c>
      <c r="H1017">
        <v>0</v>
      </c>
      <c r="I1017">
        <v>0.5</v>
      </c>
      <c r="J1017">
        <v>2</v>
      </c>
      <c r="K1017">
        <v>1</v>
      </c>
      <c r="L1017">
        <f t="shared" si="60"/>
        <v>2</v>
      </c>
      <c r="M1017">
        <v>0</v>
      </c>
      <c r="N1017">
        <v>0</v>
      </c>
      <c r="O1017">
        <v>5</v>
      </c>
      <c r="P1017" s="1">
        <f t="shared" si="61"/>
        <v>0</v>
      </c>
      <c r="Q1017">
        <f t="shared" si="62"/>
        <v>5</v>
      </c>
      <c r="R1017" s="1">
        <f t="shared" si="63"/>
        <v>0</v>
      </c>
    </row>
    <row r="1018" spans="1:18" hidden="1" x14ac:dyDescent="0.3">
      <c r="A1018" t="s">
        <v>3522</v>
      </c>
      <c r="B1018" t="s">
        <v>3522</v>
      </c>
      <c r="C1018" t="s">
        <v>47</v>
      </c>
      <c r="D1018">
        <v>1</v>
      </c>
      <c r="E1018">
        <v>0</v>
      </c>
      <c r="G1018" s="1">
        <v>8.57</v>
      </c>
      <c r="H1018">
        <v>0</v>
      </c>
      <c r="I1018">
        <v>0.5</v>
      </c>
      <c r="J1018">
        <v>1</v>
      </c>
      <c r="K1018">
        <v>1</v>
      </c>
      <c r="L1018">
        <f t="shared" si="60"/>
        <v>2</v>
      </c>
      <c r="M1018">
        <v>0</v>
      </c>
      <c r="N1018">
        <v>0</v>
      </c>
      <c r="O1018">
        <v>2</v>
      </c>
      <c r="P1018" s="1">
        <f t="shared" si="61"/>
        <v>0</v>
      </c>
      <c r="Q1018">
        <f t="shared" si="62"/>
        <v>2</v>
      </c>
      <c r="R1018" s="1">
        <f t="shared" si="63"/>
        <v>17.14</v>
      </c>
    </row>
    <row r="1019" spans="1:18" hidden="1" x14ac:dyDescent="0.3">
      <c r="A1019" t="s">
        <v>5462</v>
      </c>
      <c r="B1019" t="s">
        <v>5463</v>
      </c>
      <c r="C1019" t="s">
        <v>47</v>
      </c>
      <c r="D1019">
        <v>1</v>
      </c>
      <c r="E1019">
        <v>2</v>
      </c>
      <c r="F1019" t="s">
        <v>206</v>
      </c>
      <c r="G1019" s="1">
        <v>0</v>
      </c>
      <c r="H1019">
        <v>0</v>
      </c>
      <c r="I1019">
        <v>0.5</v>
      </c>
      <c r="J1019">
        <v>2</v>
      </c>
      <c r="K1019">
        <v>1</v>
      </c>
      <c r="L1019">
        <f t="shared" si="60"/>
        <v>2</v>
      </c>
      <c r="M1019">
        <v>0</v>
      </c>
      <c r="N1019">
        <v>0</v>
      </c>
      <c r="O1019">
        <v>5</v>
      </c>
      <c r="P1019" s="1">
        <f t="shared" si="61"/>
        <v>0</v>
      </c>
      <c r="Q1019">
        <f t="shared" si="62"/>
        <v>5</v>
      </c>
      <c r="R1019" s="1">
        <f t="shared" si="63"/>
        <v>0</v>
      </c>
    </row>
    <row r="1020" spans="1:18" hidden="1" x14ac:dyDescent="0.3">
      <c r="A1020" t="s">
        <v>5464</v>
      </c>
      <c r="B1020" t="s">
        <v>5464</v>
      </c>
      <c r="C1020" t="s">
        <v>47</v>
      </c>
      <c r="D1020">
        <v>1</v>
      </c>
      <c r="E1020">
        <v>0</v>
      </c>
      <c r="G1020" s="1">
        <v>13.56</v>
      </c>
      <c r="H1020">
        <v>0</v>
      </c>
      <c r="I1020">
        <v>0.5</v>
      </c>
      <c r="J1020">
        <v>1</v>
      </c>
      <c r="K1020">
        <v>1</v>
      </c>
      <c r="L1020">
        <f t="shared" si="60"/>
        <v>2</v>
      </c>
      <c r="M1020">
        <v>0</v>
      </c>
      <c r="N1020">
        <v>0</v>
      </c>
      <c r="O1020">
        <v>2</v>
      </c>
      <c r="P1020" s="1">
        <f t="shared" si="61"/>
        <v>0</v>
      </c>
      <c r="Q1020">
        <f t="shared" si="62"/>
        <v>2</v>
      </c>
      <c r="R1020" s="1">
        <f t="shared" si="63"/>
        <v>27.12</v>
      </c>
    </row>
    <row r="1021" spans="1:18" hidden="1" x14ac:dyDescent="0.3">
      <c r="A1021" t="s">
        <v>5465</v>
      </c>
      <c r="B1021" t="s">
        <v>5465</v>
      </c>
      <c r="C1021" t="s">
        <v>47</v>
      </c>
      <c r="D1021">
        <v>1</v>
      </c>
      <c r="E1021">
        <v>2</v>
      </c>
      <c r="F1021" t="s">
        <v>206</v>
      </c>
      <c r="G1021" s="1">
        <v>81.489999999999995</v>
      </c>
      <c r="H1021">
        <v>0</v>
      </c>
      <c r="I1021">
        <v>0.5</v>
      </c>
      <c r="J1021">
        <v>2</v>
      </c>
      <c r="K1021">
        <v>1</v>
      </c>
      <c r="L1021">
        <f t="shared" si="60"/>
        <v>2</v>
      </c>
      <c r="M1021">
        <v>0</v>
      </c>
      <c r="N1021">
        <v>0</v>
      </c>
      <c r="O1021">
        <v>5</v>
      </c>
      <c r="P1021" s="1">
        <f t="shared" si="61"/>
        <v>0</v>
      </c>
      <c r="Q1021">
        <f t="shared" si="62"/>
        <v>5</v>
      </c>
      <c r="R1021" s="1">
        <f t="shared" si="63"/>
        <v>407.45</v>
      </c>
    </row>
    <row r="1022" spans="1:18" hidden="1" x14ac:dyDescent="0.3">
      <c r="A1022" t="s">
        <v>5466</v>
      </c>
      <c r="B1022" t="s">
        <v>5467</v>
      </c>
      <c r="C1022" t="s">
        <v>47</v>
      </c>
      <c r="D1022">
        <v>15</v>
      </c>
      <c r="E1022">
        <v>6</v>
      </c>
      <c r="F1022" t="s">
        <v>2007</v>
      </c>
      <c r="G1022" s="1">
        <v>0</v>
      </c>
      <c r="H1022">
        <v>0</v>
      </c>
      <c r="I1022">
        <v>0.5</v>
      </c>
      <c r="J1022">
        <v>1</v>
      </c>
      <c r="K1022">
        <v>1</v>
      </c>
      <c r="L1022">
        <f t="shared" si="60"/>
        <v>2</v>
      </c>
      <c r="M1022">
        <v>0</v>
      </c>
      <c r="N1022">
        <v>0</v>
      </c>
      <c r="O1022">
        <v>2</v>
      </c>
      <c r="P1022" s="1">
        <f t="shared" si="61"/>
        <v>0</v>
      </c>
      <c r="Q1022">
        <f t="shared" si="62"/>
        <v>2</v>
      </c>
      <c r="R1022" s="1">
        <f t="shared" si="63"/>
        <v>0</v>
      </c>
    </row>
    <row r="1023" spans="1:18" hidden="1" x14ac:dyDescent="0.3">
      <c r="A1023" t="s">
        <v>5468</v>
      </c>
      <c r="B1023" t="s">
        <v>5469</v>
      </c>
      <c r="C1023" t="s">
        <v>47</v>
      </c>
      <c r="D1023">
        <v>1</v>
      </c>
      <c r="E1023">
        <v>0</v>
      </c>
      <c r="G1023" s="1">
        <v>30000</v>
      </c>
      <c r="H1023">
        <v>0</v>
      </c>
      <c r="I1023">
        <v>0.5</v>
      </c>
      <c r="J1023">
        <v>1</v>
      </c>
      <c r="K1023">
        <v>1</v>
      </c>
      <c r="L1023">
        <f t="shared" si="60"/>
        <v>2</v>
      </c>
      <c r="M1023">
        <v>0</v>
      </c>
      <c r="N1023">
        <v>0</v>
      </c>
      <c r="O1023">
        <v>2</v>
      </c>
      <c r="P1023" s="1">
        <f t="shared" si="61"/>
        <v>0</v>
      </c>
      <c r="Q1023">
        <f t="shared" si="62"/>
        <v>2</v>
      </c>
      <c r="R1023" s="1">
        <f t="shared" si="63"/>
        <v>60000</v>
      </c>
    </row>
    <row r="1024" spans="1:18" hidden="1" x14ac:dyDescent="0.3">
      <c r="A1024" t="s">
        <v>5470</v>
      </c>
      <c r="B1024" t="s">
        <v>5471</v>
      </c>
      <c r="C1024" t="s">
        <v>47</v>
      </c>
      <c r="D1024">
        <v>1</v>
      </c>
      <c r="E1024">
        <v>1</v>
      </c>
      <c r="F1024" t="s">
        <v>181</v>
      </c>
      <c r="G1024" s="1">
        <v>1447.5</v>
      </c>
      <c r="H1024">
        <v>0</v>
      </c>
      <c r="I1024">
        <v>0.6</v>
      </c>
      <c r="J1024">
        <v>1</v>
      </c>
      <c r="K1024">
        <v>1</v>
      </c>
      <c r="L1024">
        <f t="shared" si="60"/>
        <v>2</v>
      </c>
      <c r="M1024">
        <v>0</v>
      </c>
      <c r="N1024">
        <v>0</v>
      </c>
      <c r="O1024">
        <v>3</v>
      </c>
      <c r="P1024" s="1">
        <f t="shared" si="61"/>
        <v>0</v>
      </c>
      <c r="Q1024">
        <f t="shared" si="62"/>
        <v>3</v>
      </c>
      <c r="R1024" s="1">
        <f t="shared" si="63"/>
        <v>4342.5</v>
      </c>
    </row>
    <row r="1025" spans="1:18" hidden="1" x14ac:dyDescent="0.3">
      <c r="A1025" t="s">
        <v>5472</v>
      </c>
      <c r="B1025" t="s">
        <v>5473</v>
      </c>
      <c r="C1025" t="s">
        <v>47</v>
      </c>
      <c r="D1025">
        <v>1</v>
      </c>
      <c r="E1025">
        <v>0</v>
      </c>
      <c r="G1025" s="1">
        <v>0</v>
      </c>
      <c r="H1025">
        <v>0</v>
      </c>
      <c r="I1025">
        <v>0.5</v>
      </c>
      <c r="J1025">
        <v>1</v>
      </c>
      <c r="K1025">
        <v>1</v>
      </c>
      <c r="L1025">
        <f t="shared" si="60"/>
        <v>2</v>
      </c>
      <c r="M1025">
        <v>0</v>
      </c>
      <c r="N1025">
        <v>0</v>
      </c>
      <c r="O1025">
        <v>2</v>
      </c>
      <c r="P1025" s="1">
        <f t="shared" si="61"/>
        <v>0</v>
      </c>
      <c r="Q1025">
        <f t="shared" si="62"/>
        <v>2</v>
      </c>
      <c r="R1025" s="1">
        <f t="shared" si="63"/>
        <v>0</v>
      </c>
    </row>
    <row r="1026" spans="1:18" hidden="1" x14ac:dyDescent="0.3">
      <c r="A1026" t="s">
        <v>5474</v>
      </c>
      <c r="B1026" t="s">
        <v>5475</v>
      </c>
      <c r="C1026" t="s">
        <v>47</v>
      </c>
      <c r="D1026">
        <v>1</v>
      </c>
      <c r="E1026">
        <v>0</v>
      </c>
      <c r="G1026" s="1">
        <v>0</v>
      </c>
      <c r="H1026">
        <v>0</v>
      </c>
      <c r="I1026">
        <v>0.5</v>
      </c>
      <c r="J1026">
        <v>1</v>
      </c>
      <c r="K1026">
        <v>1</v>
      </c>
      <c r="L1026">
        <f t="shared" ref="L1026:L1089" si="64">ROUNDUP((J1026*I1026)+K1026,0)</f>
        <v>2</v>
      </c>
      <c r="M1026">
        <v>0</v>
      </c>
      <c r="N1026">
        <v>0</v>
      </c>
      <c r="O1026">
        <v>2</v>
      </c>
      <c r="P1026" s="1">
        <f t="shared" ref="P1026:P1089" si="65">IFERROR(M1026*G1026,0)</f>
        <v>0</v>
      </c>
      <c r="Q1026">
        <f t="shared" ref="Q1026:Q1089" si="66">IF(O1026-M1026-N1026&gt;0,O1026-M1026-N1026,0)</f>
        <v>2</v>
      </c>
      <c r="R1026" s="1">
        <f t="shared" ref="R1026:R1089" si="67">IFERROR(Q1026*G1026,0)</f>
        <v>0</v>
      </c>
    </row>
    <row r="1027" spans="1:18" hidden="1" x14ac:dyDescent="0.3">
      <c r="A1027" t="s">
        <v>5476</v>
      </c>
      <c r="B1027" t="s">
        <v>5477</v>
      </c>
      <c r="C1027" t="s">
        <v>47</v>
      </c>
      <c r="D1027">
        <v>1</v>
      </c>
      <c r="E1027">
        <v>0</v>
      </c>
      <c r="G1027" s="1">
        <v>0</v>
      </c>
      <c r="H1027">
        <v>0</v>
      </c>
      <c r="I1027">
        <v>0.5</v>
      </c>
      <c r="J1027">
        <v>1</v>
      </c>
      <c r="K1027">
        <v>1</v>
      </c>
      <c r="L1027">
        <f t="shared" si="64"/>
        <v>2</v>
      </c>
      <c r="M1027">
        <v>0</v>
      </c>
      <c r="N1027">
        <v>0</v>
      </c>
      <c r="O1027">
        <v>2</v>
      </c>
      <c r="P1027" s="1">
        <f t="shared" si="65"/>
        <v>0</v>
      </c>
      <c r="Q1027">
        <f t="shared" si="66"/>
        <v>2</v>
      </c>
      <c r="R1027" s="1">
        <f t="shared" si="67"/>
        <v>0</v>
      </c>
    </row>
    <row r="1028" spans="1:18" hidden="1" x14ac:dyDescent="0.3">
      <c r="A1028" t="s">
        <v>5478</v>
      </c>
      <c r="B1028" t="s">
        <v>5479</v>
      </c>
      <c r="C1028" t="s">
        <v>47</v>
      </c>
      <c r="D1028">
        <v>31</v>
      </c>
      <c r="E1028">
        <v>5</v>
      </c>
      <c r="F1028" t="s">
        <v>77</v>
      </c>
      <c r="G1028" s="1">
        <v>537.5</v>
      </c>
      <c r="H1028">
        <v>6</v>
      </c>
      <c r="I1028">
        <v>0.5</v>
      </c>
      <c r="J1028">
        <v>1</v>
      </c>
      <c r="K1028">
        <v>1</v>
      </c>
      <c r="L1028">
        <f t="shared" si="64"/>
        <v>2</v>
      </c>
      <c r="M1028">
        <v>0</v>
      </c>
      <c r="N1028">
        <v>0</v>
      </c>
      <c r="O1028">
        <v>2</v>
      </c>
      <c r="P1028" s="1">
        <f t="shared" si="65"/>
        <v>0</v>
      </c>
      <c r="Q1028">
        <f t="shared" si="66"/>
        <v>2</v>
      </c>
      <c r="R1028" s="1">
        <f t="shared" si="67"/>
        <v>1075</v>
      </c>
    </row>
    <row r="1029" spans="1:18" hidden="1" x14ac:dyDescent="0.3">
      <c r="A1029" t="s">
        <v>5480</v>
      </c>
      <c r="B1029" t="s">
        <v>5481</v>
      </c>
      <c r="C1029" t="s">
        <v>47</v>
      </c>
      <c r="D1029">
        <v>1</v>
      </c>
      <c r="E1029">
        <v>0</v>
      </c>
      <c r="G1029" s="1">
        <v>0</v>
      </c>
      <c r="H1029">
        <v>0</v>
      </c>
      <c r="I1029">
        <v>0.5</v>
      </c>
      <c r="J1029">
        <v>1</v>
      </c>
      <c r="K1029">
        <v>1</v>
      </c>
      <c r="L1029">
        <f t="shared" si="64"/>
        <v>2</v>
      </c>
      <c r="M1029">
        <v>0</v>
      </c>
      <c r="N1029">
        <v>0</v>
      </c>
      <c r="O1029">
        <v>2</v>
      </c>
      <c r="P1029" s="1">
        <f t="shared" si="65"/>
        <v>0</v>
      </c>
      <c r="Q1029">
        <f t="shared" si="66"/>
        <v>2</v>
      </c>
      <c r="R1029" s="1">
        <f t="shared" si="67"/>
        <v>0</v>
      </c>
    </row>
    <row r="1030" spans="1:18" hidden="1" x14ac:dyDescent="0.3">
      <c r="A1030" t="s">
        <v>5482</v>
      </c>
      <c r="B1030" t="s">
        <v>5483</v>
      </c>
      <c r="C1030" t="s">
        <v>47</v>
      </c>
      <c r="D1030">
        <v>17</v>
      </c>
      <c r="E1030">
        <v>9</v>
      </c>
      <c r="F1030" t="s">
        <v>3854</v>
      </c>
      <c r="G1030" s="1">
        <v>2965.69</v>
      </c>
      <c r="H1030">
        <v>9</v>
      </c>
      <c r="I1030">
        <v>0.6</v>
      </c>
      <c r="J1030">
        <v>1</v>
      </c>
      <c r="K1030">
        <v>1</v>
      </c>
      <c r="L1030">
        <f t="shared" si="64"/>
        <v>2</v>
      </c>
      <c r="M1030">
        <v>0</v>
      </c>
      <c r="N1030">
        <v>0</v>
      </c>
      <c r="O1030">
        <v>3</v>
      </c>
      <c r="P1030" s="1">
        <f t="shared" si="65"/>
        <v>0</v>
      </c>
      <c r="Q1030">
        <f t="shared" si="66"/>
        <v>3</v>
      </c>
      <c r="R1030" s="1">
        <f t="shared" si="67"/>
        <v>8897.07</v>
      </c>
    </row>
    <row r="1031" spans="1:18" hidden="1" x14ac:dyDescent="0.3">
      <c r="A1031" t="s">
        <v>5484</v>
      </c>
      <c r="B1031" t="s">
        <v>5485</v>
      </c>
      <c r="C1031" t="s">
        <v>47</v>
      </c>
      <c r="D1031">
        <v>1</v>
      </c>
      <c r="E1031">
        <v>2</v>
      </c>
      <c r="F1031" t="s">
        <v>3541</v>
      </c>
      <c r="G1031" s="1">
        <v>3808.9</v>
      </c>
      <c r="H1031">
        <v>0</v>
      </c>
      <c r="I1031">
        <v>0.5</v>
      </c>
      <c r="J1031">
        <v>2</v>
      </c>
      <c r="K1031">
        <v>1</v>
      </c>
      <c r="L1031">
        <f t="shared" si="64"/>
        <v>2</v>
      </c>
      <c r="M1031">
        <v>0</v>
      </c>
      <c r="N1031">
        <v>0</v>
      </c>
      <c r="O1031">
        <v>5</v>
      </c>
      <c r="P1031" s="1">
        <f t="shared" si="65"/>
        <v>0</v>
      </c>
      <c r="Q1031">
        <f t="shared" si="66"/>
        <v>5</v>
      </c>
      <c r="R1031" s="1">
        <f t="shared" si="67"/>
        <v>19044.5</v>
      </c>
    </row>
    <row r="1032" spans="1:18" hidden="1" x14ac:dyDescent="0.3">
      <c r="A1032" t="s">
        <v>5486</v>
      </c>
      <c r="B1032" t="s">
        <v>5487</v>
      </c>
      <c r="C1032" t="s">
        <v>47</v>
      </c>
      <c r="D1032">
        <v>1</v>
      </c>
      <c r="E1032">
        <v>0</v>
      </c>
      <c r="G1032" s="1">
        <v>0</v>
      </c>
      <c r="H1032">
        <v>1</v>
      </c>
      <c r="I1032">
        <v>0.5</v>
      </c>
      <c r="J1032">
        <v>1</v>
      </c>
      <c r="K1032">
        <v>1</v>
      </c>
      <c r="L1032">
        <f t="shared" si="64"/>
        <v>2</v>
      </c>
      <c r="M1032">
        <v>0</v>
      </c>
      <c r="N1032">
        <v>0</v>
      </c>
      <c r="O1032">
        <v>2</v>
      </c>
      <c r="P1032" s="1">
        <f t="shared" si="65"/>
        <v>0</v>
      </c>
      <c r="Q1032">
        <f t="shared" si="66"/>
        <v>2</v>
      </c>
      <c r="R1032" s="1">
        <f t="shared" si="67"/>
        <v>0</v>
      </c>
    </row>
    <row r="1033" spans="1:18" hidden="1" x14ac:dyDescent="0.3">
      <c r="A1033" t="s">
        <v>5488</v>
      </c>
      <c r="B1033" t="s">
        <v>5489</v>
      </c>
      <c r="C1033" t="s">
        <v>47</v>
      </c>
      <c r="D1033">
        <v>1</v>
      </c>
      <c r="E1033">
        <v>1</v>
      </c>
      <c r="F1033" t="s">
        <v>4273</v>
      </c>
      <c r="G1033" s="1">
        <v>5600</v>
      </c>
      <c r="H1033">
        <v>0</v>
      </c>
      <c r="I1033">
        <v>0.5</v>
      </c>
      <c r="J1033">
        <v>1</v>
      </c>
      <c r="K1033">
        <v>1</v>
      </c>
      <c r="L1033">
        <f t="shared" si="64"/>
        <v>2</v>
      </c>
      <c r="M1033">
        <v>0</v>
      </c>
      <c r="N1033">
        <v>0</v>
      </c>
      <c r="O1033">
        <v>2</v>
      </c>
      <c r="P1033" s="1">
        <f t="shared" si="65"/>
        <v>0</v>
      </c>
      <c r="Q1033">
        <f t="shared" si="66"/>
        <v>2</v>
      </c>
      <c r="R1033" s="1">
        <f t="shared" si="67"/>
        <v>11200</v>
      </c>
    </row>
    <row r="1034" spans="1:18" hidden="1" x14ac:dyDescent="0.3">
      <c r="A1034" t="s">
        <v>5490</v>
      </c>
      <c r="B1034" t="s">
        <v>5491</v>
      </c>
      <c r="C1034" t="s">
        <v>47</v>
      </c>
      <c r="D1034">
        <v>1</v>
      </c>
      <c r="E1034">
        <v>0</v>
      </c>
      <c r="G1034" s="1">
        <v>0</v>
      </c>
      <c r="H1034">
        <v>0</v>
      </c>
      <c r="I1034">
        <v>0.5</v>
      </c>
      <c r="J1034">
        <v>1</v>
      </c>
      <c r="K1034">
        <v>1</v>
      </c>
      <c r="L1034">
        <f t="shared" si="64"/>
        <v>2</v>
      </c>
      <c r="M1034">
        <v>0</v>
      </c>
      <c r="N1034">
        <v>0</v>
      </c>
      <c r="O1034">
        <v>2</v>
      </c>
      <c r="P1034" s="1">
        <f t="shared" si="65"/>
        <v>0</v>
      </c>
      <c r="Q1034">
        <f t="shared" si="66"/>
        <v>2</v>
      </c>
      <c r="R1034" s="1">
        <f t="shared" si="67"/>
        <v>0</v>
      </c>
    </row>
    <row r="1035" spans="1:18" hidden="1" x14ac:dyDescent="0.3">
      <c r="A1035" t="s">
        <v>5492</v>
      </c>
      <c r="B1035" t="s">
        <v>4787</v>
      </c>
      <c r="C1035" t="s">
        <v>47</v>
      </c>
      <c r="D1035">
        <v>24</v>
      </c>
      <c r="E1035">
        <v>0</v>
      </c>
      <c r="G1035" s="1">
        <v>0</v>
      </c>
      <c r="H1035">
        <v>16</v>
      </c>
      <c r="I1035">
        <v>0.5</v>
      </c>
      <c r="J1035">
        <v>1</v>
      </c>
      <c r="K1035">
        <v>1</v>
      </c>
      <c r="L1035">
        <f t="shared" si="64"/>
        <v>2</v>
      </c>
      <c r="M1035">
        <v>0</v>
      </c>
      <c r="N1035">
        <v>0</v>
      </c>
      <c r="O1035">
        <v>2</v>
      </c>
      <c r="P1035" s="1">
        <f t="shared" si="65"/>
        <v>0</v>
      </c>
      <c r="Q1035">
        <f t="shared" si="66"/>
        <v>2</v>
      </c>
      <c r="R1035" s="1">
        <f t="shared" si="67"/>
        <v>0</v>
      </c>
    </row>
    <row r="1036" spans="1:18" hidden="1" x14ac:dyDescent="0.3">
      <c r="A1036" t="s">
        <v>5493</v>
      </c>
      <c r="B1036" t="s">
        <v>5494</v>
      </c>
      <c r="C1036" t="s">
        <v>47</v>
      </c>
      <c r="D1036">
        <v>1</v>
      </c>
      <c r="E1036">
        <v>1</v>
      </c>
      <c r="F1036" t="s">
        <v>214</v>
      </c>
      <c r="G1036" s="1">
        <v>243.48</v>
      </c>
      <c r="H1036">
        <v>0</v>
      </c>
      <c r="I1036">
        <v>0.5</v>
      </c>
      <c r="J1036">
        <v>1</v>
      </c>
      <c r="K1036">
        <v>1</v>
      </c>
      <c r="L1036">
        <f t="shared" si="64"/>
        <v>2</v>
      </c>
      <c r="M1036">
        <v>0</v>
      </c>
      <c r="N1036">
        <v>0</v>
      </c>
      <c r="O1036">
        <v>2</v>
      </c>
      <c r="P1036" s="1">
        <f t="shared" si="65"/>
        <v>0</v>
      </c>
      <c r="Q1036">
        <f t="shared" si="66"/>
        <v>2</v>
      </c>
      <c r="R1036" s="1">
        <f t="shared" si="67"/>
        <v>486.96</v>
      </c>
    </row>
    <row r="1037" spans="1:18" hidden="1" x14ac:dyDescent="0.3">
      <c r="A1037" t="s">
        <v>5495</v>
      </c>
      <c r="B1037" t="s">
        <v>5496</v>
      </c>
      <c r="C1037" t="s">
        <v>47</v>
      </c>
      <c r="D1037">
        <v>1</v>
      </c>
      <c r="E1037">
        <v>0</v>
      </c>
      <c r="G1037" s="1">
        <v>64014.720000000001</v>
      </c>
      <c r="H1037">
        <v>0</v>
      </c>
      <c r="I1037">
        <v>0.5</v>
      </c>
      <c r="J1037">
        <v>1</v>
      </c>
      <c r="K1037">
        <v>1</v>
      </c>
      <c r="L1037">
        <f t="shared" si="64"/>
        <v>2</v>
      </c>
      <c r="M1037">
        <v>0</v>
      </c>
      <c r="N1037">
        <v>0</v>
      </c>
      <c r="O1037">
        <v>2</v>
      </c>
      <c r="P1037" s="1">
        <f t="shared" si="65"/>
        <v>0</v>
      </c>
      <c r="Q1037">
        <f t="shared" si="66"/>
        <v>2</v>
      </c>
      <c r="R1037" s="1">
        <f t="shared" si="67"/>
        <v>128029.44</v>
      </c>
    </row>
    <row r="1038" spans="1:18" hidden="1" x14ac:dyDescent="0.3">
      <c r="A1038" t="s">
        <v>5497</v>
      </c>
      <c r="B1038" t="s">
        <v>5498</v>
      </c>
      <c r="C1038" t="s">
        <v>47</v>
      </c>
      <c r="D1038">
        <v>1</v>
      </c>
      <c r="E1038">
        <v>6</v>
      </c>
      <c r="F1038" t="s">
        <v>551</v>
      </c>
      <c r="G1038" s="1">
        <v>7907</v>
      </c>
      <c r="H1038">
        <v>6</v>
      </c>
      <c r="I1038">
        <v>1.1000000000000001</v>
      </c>
      <c r="J1038">
        <v>6</v>
      </c>
      <c r="K1038">
        <v>7</v>
      </c>
      <c r="L1038">
        <f t="shared" si="64"/>
        <v>14</v>
      </c>
      <c r="M1038">
        <v>0</v>
      </c>
      <c r="N1038">
        <v>0</v>
      </c>
      <c r="O1038">
        <v>19</v>
      </c>
      <c r="P1038" s="1">
        <f t="shared" si="65"/>
        <v>0</v>
      </c>
      <c r="Q1038">
        <f t="shared" si="66"/>
        <v>19</v>
      </c>
      <c r="R1038" s="1">
        <f t="shared" si="67"/>
        <v>150233</v>
      </c>
    </row>
    <row r="1039" spans="1:18" hidden="1" x14ac:dyDescent="0.3">
      <c r="A1039" t="s">
        <v>5499</v>
      </c>
      <c r="B1039" t="s">
        <v>5500</v>
      </c>
      <c r="C1039" t="s">
        <v>47</v>
      </c>
      <c r="D1039">
        <v>1</v>
      </c>
      <c r="E1039">
        <v>0</v>
      </c>
      <c r="G1039" s="1">
        <v>0</v>
      </c>
      <c r="H1039">
        <v>0</v>
      </c>
      <c r="I1039">
        <v>0.5</v>
      </c>
      <c r="J1039">
        <v>1</v>
      </c>
      <c r="K1039">
        <v>1</v>
      </c>
      <c r="L1039">
        <f t="shared" si="64"/>
        <v>2</v>
      </c>
      <c r="M1039">
        <v>0</v>
      </c>
      <c r="N1039">
        <v>0</v>
      </c>
      <c r="O1039">
        <v>2</v>
      </c>
      <c r="P1039" s="1">
        <f t="shared" si="65"/>
        <v>0</v>
      </c>
      <c r="Q1039">
        <f t="shared" si="66"/>
        <v>2</v>
      </c>
      <c r="R1039" s="1">
        <f t="shared" si="67"/>
        <v>0</v>
      </c>
    </row>
    <row r="1040" spans="1:18" hidden="1" x14ac:dyDescent="0.3">
      <c r="A1040" t="s">
        <v>5501</v>
      </c>
      <c r="B1040" t="s">
        <v>5502</v>
      </c>
      <c r="C1040" t="s">
        <v>47</v>
      </c>
      <c r="D1040">
        <v>1</v>
      </c>
      <c r="E1040">
        <v>0</v>
      </c>
      <c r="G1040" s="1">
        <v>0</v>
      </c>
      <c r="H1040">
        <v>0</v>
      </c>
      <c r="I1040">
        <v>0.5</v>
      </c>
      <c r="J1040">
        <v>1</v>
      </c>
      <c r="K1040">
        <v>1</v>
      </c>
      <c r="L1040">
        <f t="shared" si="64"/>
        <v>2</v>
      </c>
      <c r="M1040">
        <v>0</v>
      </c>
      <c r="N1040">
        <v>0</v>
      </c>
      <c r="O1040">
        <v>2</v>
      </c>
      <c r="P1040" s="1">
        <f t="shared" si="65"/>
        <v>0</v>
      </c>
      <c r="Q1040">
        <f t="shared" si="66"/>
        <v>2</v>
      </c>
      <c r="R1040" s="1">
        <f t="shared" si="67"/>
        <v>0</v>
      </c>
    </row>
    <row r="1041" spans="1:18" hidden="1" x14ac:dyDescent="0.3">
      <c r="A1041" t="s">
        <v>5503</v>
      </c>
      <c r="B1041" t="s">
        <v>5504</v>
      </c>
      <c r="C1041" t="s">
        <v>47</v>
      </c>
      <c r="D1041">
        <v>1</v>
      </c>
      <c r="E1041">
        <v>4</v>
      </c>
      <c r="F1041" t="s">
        <v>551</v>
      </c>
      <c r="G1041" s="1">
        <v>2985</v>
      </c>
      <c r="H1041">
        <v>18</v>
      </c>
      <c r="I1041">
        <v>0.5</v>
      </c>
      <c r="J1041">
        <v>18</v>
      </c>
      <c r="K1041">
        <v>9</v>
      </c>
      <c r="L1041">
        <f t="shared" si="64"/>
        <v>18</v>
      </c>
      <c r="M1041">
        <v>0</v>
      </c>
      <c r="N1041">
        <v>0</v>
      </c>
      <c r="O1041">
        <v>45</v>
      </c>
      <c r="P1041" s="1">
        <f t="shared" si="65"/>
        <v>0</v>
      </c>
      <c r="Q1041">
        <f t="shared" si="66"/>
        <v>45</v>
      </c>
      <c r="R1041" s="1">
        <f t="shared" si="67"/>
        <v>134325</v>
      </c>
    </row>
    <row r="1042" spans="1:18" hidden="1" x14ac:dyDescent="0.3">
      <c r="A1042" t="s">
        <v>5505</v>
      </c>
      <c r="B1042" t="s">
        <v>5506</v>
      </c>
      <c r="C1042" t="s">
        <v>47</v>
      </c>
      <c r="D1042">
        <v>1</v>
      </c>
      <c r="E1042">
        <v>0</v>
      </c>
      <c r="G1042" s="1">
        <v>0</v>
      </c>
      <c r="H1042">
        <v>1</v>
      </c>
      <c r="I1042">
        <v>0.5</v>
      </c>
      <c r="J1042">
        <v>1</v>
      </c>
      <c r="K1042">
        <v>1</v>
      </c>
      <c r="L1042">
        <f t="shared" si="64"/>
        <v>2</v>
      </c>
      <c r="M1042">
        <v>0</v>
      </c>
      <c r="N1042">
        <v>0</v>
      </c>
      <c r="O1042">
        <v>2</v>
      </c>
      <c r="P1042" s="1">
        <f t="shared" si="65"/>
        <v>0</v>
      </c>
      <c r="Q1042">
        <f t="shared" si="66"/>
        <v>2</v>
      </c>
      <c r="R1042" s="1">
        <f t="shared" si="67"/>
        <v>0</v>
      </c>
    </row>
    <row r="1043" spans="1:18" hidden="1" x14ac:dyDescent="0.3">
      <c r="A1043" t="s">
        <v>5507</v>
      </c>
      <c r="B1043" t="s">
        <v>5507</v>
      </c>
      <c r="C1043" t="s">
        <v>47</v>
      </c>
      <c r="D1043">
        <v>13</v>
      </c>
      <c r="E1043">
        <v>12</v>
      </c>
      <c r="F1043" t="s">
        <v>4622</v>
      </c>
      <c r="G1043" s="1">
        <v>41800</v>
      </c>
      <c r="H1043">
        <v>0</v>
      </c>
      <c r="I1043">
        <v>0.5</v>
      </c>
      <c r="J1043">
        <v>1</v>
      </c>
      <c r="K1043">
        <v>1</v>
      </c>
      <c r="L1043">
        <f t="shared" si="64"/>
        <v>2</v>
      </c>
      <c r="M1043">
        <v>0</v>
      </c>
      <c r="N1043">
        <v>0</v>
      </c>
      <c r="O1043">
        <v>2</v>
      </c>
      <c r="P1043" s="1">
        <f t="shared" si="65"/>
        <v>0</v>
      </c>
      <c r="Q1043">
        <f t="shared" si="66"/>
        <v>2</v>
      </c>
      <c r="R1043" s="1">
        <f t="shared" si="67"/>
        <v>83600</v>
      </c>
    </row>
    <row r="1044" spans="1:18" hidden="1" x14ac:dyDescent="0.3">
      <c r="A1044" t="s">
        <v>5508</v>
      </c>
      <c r="B1044" t="s">
        <v>5509</v>
      </c>
      <c r="C1044" t="s">
        <v>47</v>
      </c>
      <c r="D1044">
        <v>1</v>
      </c>
      <c r="E1044">
        <v>16</v>
      </c>
      <c r="F1044" t="s">
        <v>4605</v>
      </c>
      <c r="G1044" s="1">
        <v>1050</v>
      </c>
      <c r="H1044">
        <v>0</v>
      </c>
      <c r="I1044">
        <v>0.8</v>
      </c>
      <c r="J1044">
        <v>16</v>
      </c>
      <c r="K1044">
        <v>13</v>
      </c>
      <c r="L1044">
        <f t="shared" si="64"/>
        <v>26</v>
      </c>
      <c r="M1044">
        <v>0</v>
      </c>
      <c r="N1044">
        <v>0</v>
      </c>
      <c r="O1044">
        <v>45</v>
      </c>
      <c r="P1044" s="1">
        <f t="shared" si="65"/>
        <v>0</v>
      </c>
      <c r="Q1044">
        <f t="shared" si="66"/>
        <v>45</v>
      </c>
      <c r="R1044" s="1">
        <f t="shared" si="67"/>
        <v>47250</v>
      </c>
    </row>
    <row r="1045" spans="1:18" hidden="1" x14ac:dyDescent="0.3">
      <c r="A1045" t="s">
        <v>5510</v>
      </c>
      <c r="B1045" t="s">
        <v>5511</v>
      </c>
      <c r="C1045" t="s">
        <v>47</v>
      </c>
      <c r="D1045">
        <v>1</v>
      </c>
      <c r="E1045">
        <v>0</v>
      </c>
      <c r="F1045" t="s">
        <v>77</v>
      </c>
      <c r="G1045" s="1">
        <v>0</v>
      </c>
      <c r="H1045">
        <v>9</v>
      </c>
      <c r="I1045">
        <v>0.5</v>
      </c>
      <c r="J1045">
        <v>9</v>
      </c>
      <c r="K1045">
        <v>4</v>
      </c>
      <c r="L1045">
        <f t="shared" si="64"/>
        <v>9</v>
      </c>
      <c r="M1045">
        <v>0</v>
      </c>
      <c r="N1045">
        <v>0</v>
      </c>
      <c r="O1045">
        <v>22</v>
      </c>
      <c r="P1045" s="1">
        <f t="shared" si="65"/>
        <v>0</v>
      </c>
      <c r="Q1045">
        <f t="shared" si="66"/>
        <v>22</v>
      </c>
      <c r="R1045" s="1">
        <f t="shared" si="67"/>
        <v>0</v>
      </c>
    </row>
    <row r="1046" spans="1:18" hidden="1" x14ac:dyDescent="0.3">
      <c r="A1046" t="s">
        <v>5512</v>
      </c>
      <c r="B1046" t="s">
        <v>5513</v>
      </c>
      <c r="C1046" t="s">
        <v>47</v>
      </c>
      <c r="D1046">
        <v>4</v>
      </c>
      <c r="E1046">
        <v>1600</v>
      </c>
      <c r="F1046" t="s">
        <v>5514</v>
      </c>
      <c r="G1046" s="1">
        <v>0.63</v>
      </c>
      <c r="H1046">
        <v>0</v>
      </c>
      <c r="I1046">
        <v>0.5</v>
      </c>
      <c r="J1046">
        <v>400</v>
      </c>
      <c r="K1046">
        <v>200</v>
      </c>
      <c r="L1046">
        <f t="shared" si="64"/>
        <v>400</v>
      </c>
      <c r="M1046">
        <v>0</v>
      </c>
      <c r="N1046">
        <v>0</v>
      </c>
      <c r="O1046">
        <v>1000</v>
      </c>
      <c r="P1046" s="1">
        <f t="shared" si="65"/>
        <v>0</v>
      </c>
      <c r="Q1046">
        <f t="shared" si="66"/>
        <v>1000</v>
      </c>
      <c r="R1046" s="1">
        <f t="shared" si="67"/>
        <v>630</v>
      </c>
    </row>
    <row r="1047" spans="1:18" hidden="1" x14ac:dyDescent="0.3">
      <c r="A1047" t="s">
        <v>5515</v>
      </c>
      <c r="B1047" t="s">
        <v>5516</v>
      </c>
      <c r="C1047" t="s">
        <v>47</v>
      </c>
      <c r="D1047">
        <v>4</v>
      </c>
      <c r="E1047">
        <v>1600</v>
      </c>
      <c r="F1047" t="s">
        <v>5514</v>
      </c>
      <c r="G1047" s="1">
        <v>0.7</v>
      </c>
      <c r="H1047">
        <v>0</v>
      </c>
      <c r="I1047">
        <v>0.5</v>
      </c>
      <c r="J1047">
        <v>400</v>
      </c>
      <c r="K1047">
        <v>200</v>
      </c>
      <c r="L1047">
        <f t="shared" si="64"/>
        <v>400</v>
      </c>
      <c r="M1047">
        <v>0</v>
      </c>
      <c r="N1047">
        <v>0</v>
      </c>
      <c r="O1047">
        <v>1000</v>
      </c>
      <c r="P1047" s="1">
        <f t="shared" si="65"/>
        <v>0</v>
      </c>
      <c r="Q1047">
        <f t="shared" si="66"/>
        <v>1000</v>
      </c>
      <c r="R1047" s="1">
        <f t="shared" si="67"/>
        <v>700</v>
      </c>
    </row>
    <row r="1048" spans="1:18" hidden="1" x14ac:dyDescent="0.3">
      <c r="A1048" t="s">
        <v>5517</v>
      </c>
      <c r="B1048" t="s">
        <v>5518</v>
      </c>
      <c r="C1048" t="s">
        <v>47</v>
      </c>
      <c r="D1048">
        <v>1</v>
      </c>
      <c r="E1048">
        <v>400</v>
      </c>
      <c r="F1048" t="s">
        <v>5514</v>
      </c>
      <c r="G1048" s="1">
        <v>0.91</v>
      </c>
      <c r="H1048">
        <v>0</v>
      </c>
      <c r="I1048">
        <v>0.5</v>
      </c>
      <c r="J1048">
        <v>400</v>
      </c>
      <c r="K1048">
        <v>200</v>
      </c>
      <c r="L1048">
        <f t="shared" si="64"/>
        <v>400</v>
      </c>
      <c r="M1048">
        <v>0</v>
      </c>
      <c r="N1048">
        <v>0</v>
      </c>
      <c r="O1048">
        <v>1000</v>
      </c>
      <c r="P1048" s="1">
        <f t="shared" si="65"/>
        <v>0</v>
      </c>
      <c r="Q1048">
        <f t="shared" si="66"/>
        <v>1000</v>
      </c>
      <c r="R1048" s="1">
        <f t="shared" si="67"/>
        <v>910</v>
      </c>
    </row>
    <row r="1049" spans="1:18" hidden="1" x14ac:dyDescent="0.3">
      <c r="A1049" t="s">
        <v>5519</v>
      </c>
      <c r="B1049" t="s">
        <v>5520</v>
      </c>
      <c r="C1049" t="s">
        <v>47</v>
      </c>
      <c r="D1049">
        <v>1</v>
      </c>
      <c r="E1049">
        <v>1</v>
      </c>
      <c r="F1049" t="s">
        <v>140</v>
      </c>
      <c r="G1049" s="1">
        <v>99.25</v>
      </c>
      <c r="H1049">
        <v>0</v>
      </c>
      <c r="I1049">
        <v>0.5</v>
      </c>
      <c r="J1049">
        <v>1</v>
      </c>
      <c r="K1049">
        <v>1</v>
      </c>
      <c r="L1049">
        <f t="shared" si="64"/>
        <v>2</v>
      </c>
      <c r="M1049">
        <v>0</v>
      </c>
      <c r="N1049">
        <v>0</v>
      </c>
      <c r="O1049">
        <v>2</v>
      </c>
      <c r="P1049" s="1">
        <f t="shared" si="65"/>
        <v>0</v>
      </c>
      <c r="Q1049">
        <f t="shared" si="66"/>
        <v>2</v>
      </c>
      <c r="R1049" s="1">
        <f t="shared" si="67"/>
        <v>198.5</v>
      </c>
    </row>
    <row r="1050" spans="1:18" hidden="1" x14ac:dyDescent="0.3">
      <c r="A1050" t="s">
        <v>5521</v>
      </c>
      <c r="B1050" t="s">
        <v>5522</v>
      </c>
      <c r="C1050" t="s">
        <v>47</v>
      </c>
      <c r="D1050">
        <v>2</v>
      </c>
      <c r="E1050">
        <v>4</v>
      </c>
      <c r="F1050" t="s">
        <v>140</v>
      </c>
      <c r="G1050" s="1">
        <v>129.4</v>
      </c>
      <c r="H1050">
        <v>0</v>
      </c>
      <c r="I1050">
        <v>0.5</v>
      </c>
      <c r="J1050">
        <v>2</v>
      </c>
      <c r="K1050">
        <v>1</v>
      </c>
      <c r="L1050">
        <f t="shared" si="64"/>
        <v>2</v>
      </c>
      <c r="M1050">
        <v>0</v>
      </c>
      <c r="N1050">
        <v>0</v>
      </c>
      <c r="O1050">
        <v>5</v>
      </c>
      <c r="P1050" s="1">
        <f t="shared" si="65"/>
        <v>0</v>
      </c>
      <c r="Q1050">
        <f t="shared" si="66"/>
        <v>5</v>
      </c>
      <c r="R1050" s="1">
        <f t="shared" si="67"/>
        <v>647</v>
      </c>
    </row>
    <row r="1051" spans="1:18" hidden="1" x14ac:dyDescent="0.3">
      <c r="A1051" t="s">
        <v>5523</v>
      </c>
      <c r="B1051" t="s">
        <v>5524</v>
      </c>
      <c r="C1051" t="s">
        <v>47</v>
      </c>
      <c r="D1051">
        <v>1</v>
      </c>
      <c r="E1051">
        <v>1</v>
      </c>
      <c r="F1051" t="s">
        <v>140</v>
      </c>
      <c r="G1051" s="1">
        <v>151.63</v>
      </c>
      <c r="H1051">
        <v>0</v>
      </c>
      <c r="I1051">
        <v>0.5</v>
      </c>
      <c r="J1051">
        <v>1</v>
      </c>
      <c r="K1051">
        <v>1</v>
      </c>
      <c r="L1051">
        <f t="shared" si="64"/>
        <v>2</v>
      </c>
      <c r="M1051">
        <v>0</v>
      </c>
      <c r="N1051">
        <v>0</v>
      </c>
      <c r="O1051">
        <v>2</v>
      </c>
      <c r="P1051" s="1">
        <f t="shared" si="65"/>
        <v>0</v>
      </c>
      <c r="Q1051">
        <f t="shared" si="66"/>
        <v>2</v>
      </c>
      <c r="R1051" s="1">
        <f t="shared" si="67"/>
        <v>303.26</v>
      </c>
    </row>
    <row r="1052" spans="1:18" hidden="1" x14ac:dyDescent="0.3">
      <c r="A1052" t="s">
        <v>5525</v>
      </c>
      <c r="B1052" t="s">
        <v>5526</v>
      </c>
      <c r="C1052" t="s">
        <v>47</v>
      </c>
      <c r="D1052">
        <v>1</v>
      </c>
      <c r="E1052">
        <v>0</v>
      </c>
      <c r="G1052" s="1">
        <v>0</v>
      </c>
      <c r="H1052">
        <v>0</v>
      </c>
      <c r="I1052">
        <v>0.5</v>
      </c>
      <c r="J1052">
        <v>1</v>
      </c>
      <c r="K1052">
        <v>1</v>
      </c>
      <c r="L1052">
        <f t="shared" si="64"/>
        <v>2</v>
      </c>
      <c r="M1052">
        <v>0</v>
      </c>
      <c r="N1052">
        <v>0</v>
      </c>
      <c r="O1052">
        <v>2</v>
      </c>
      <c r="P1052" s="1">
        <f t="shared" si="65"/>
        <v>0</v>
      </c>
      <c r="Q1052">
        <f t="shared" si="66"/>
        <v>2</v>
      </c>
      <c r="R1052" s="1">
        <f t="shared" si="67"/>
        <v>0</v>
      </c>
    </row>
    <row r="1053" spans="1:18" hidden="1" x14ac:dyDescent="0.3">
      <c r="A1053" t="s">
        <v>5527</v>
      </c>
      <c r="B1053" t="s">
        <v>5528</v>
      </c>
      <c r="C1053" t="s">
        <v>47</v>
      </c>
      <c r="D1053">
        <v>1</v>
      </c>
      <c r="E1053">
        <v>0</v>
      </c>
      <c r="G1053" s="1">
        <v>4464</v>
      </c>
      <c r="H1053">
        <v>0</v>
      </c>
      <c r="I1053">
        <v>0.5</v>
      </c>
      <c r="J1053">
        <v>1</v>
      </c>
      <c r="K1053">
        <v>1</v>
      </c>
      <c r="L1053">
        <f t="shared" si="64"/>
        <v>2</v>
      </c>
      <c r="M1053">
        <v>0</v>
      </c>
      <c r="N1053">
        <v>0</v>
      </c>
      <c r="O1053">
        <v>2</v>
      </c>
      <c r="P1053" s="1">
        <f t="shared" si="65"/>
        <v>0</v>
      </c>
      <c r="Q1053">
        <f t="shared" si="66"/>
        <v>2</v>
      </c>
      <c r="R1053" s="1">
        <f t="shared" si="67"/>
        <v>8928</v>
      </c>
    </row>
    <row r="1054" spans="1:18" hidden="1" x14ac:dyDescent="0.3">
      <c r="A1054" t="s">
        <v>5529</v>
      </c>
      <c r="B1054" t="s">
        <v>5530</v>
      </c>
      <c r="C1054" t="s">
        <v>47</v>
      </c>
      <c r="D1054">
        <v>1</v>
      </c>
      <c r="E1054">
        <v>1</v>
      </c>
      <c r="F1054" t="s">
        <v>4090</v>
      </c>
      <c r="G1054" s="1">
        <v>550</v>
      </c>
      <c r="H1054">
        <v>0</v>
      </c>
      <c r="I1054">
        <v>0.5</v>
      </c>
      <c r="J1054">
        <v>1</v>
      </c>
      <c r="K1054">
        <v>1</v>
      </c>
      <c r="L1054">
        <f t="shared" si="64"/>
        <v>2</v>
      </c>
      <c r="M1054">
        <v>0</v>
      </c>
      <c r="N1054">
        <v>0</v>
      </c>
      <c r="O1054">
        <v>2</v>
      </c>
      <c r="P1054" s="1">
        <f t="shared" si="65"/>
        <v>0</v>
      </c>
      <c r="Q1054">
        <f t="shared" si="66"/>
        <v>2</v>
      </c>
      <c r="R1054" s="1">
        <f t="shared" si="67"/>
        <v>1100</v>
      </c>
    </row>
    <row r="1055" spans="1:18" hidden="1" x14ac:dyDescent="0.3">
      <c r="A1055" t="s">
        <v>5531</v>
      </c>
      <c r="B1055" t="s">
        <v>5532</v>
      </c>
      <c r="C1055" t="s">
        <v>47</v>
      </c>
      <c r="D1055">
        <v>1</v>
      </c>
      <c r="E1055">
        <v>0</v>
      </c>
      <c r="G1055" s="1">
        <v>0</v>
      </c>
      <c r="H1055">
        <v>0</v>
      </c>
      <c r="I1055">
        <v>0.5</v>
      </c>
      <c r="J1055">
        <v>1</v>
      </c>
      <c r="K1055">
        <v>1</v>
      </c>
      <c r="L1055">
        <f t="shared" si="64"/>
        <v>2</v>
      </c>
      <c r="M1055">
        <v>0</v>
      </c>
      <c r="N1055">
        <v>0</v>
      </c>
      <c r="O1055">
        <v>2</v>
      </c>
      <c r="P1055" s="1">
        <f t="shared" si="65"/>
        <v>0</v>
      </c>
      <c r="Q1055">
        <f t="shared" si="66"/>
        <v>2</v>
      </c>
      <c r="R1055" s="1">
        <f t="shared" si="67"/>
        <v>0</v>
      </c>
    </row>
    <row r="1056" spans="1:18" hidden="1" x14ac:dyDescent="0.3">
      <c r="A1056" t="s">
        <v>5533</v>
      </c>
      <c r="B1056" t="s">
        <v>5534</v>
      </c>
      <c r="C1056" t="s">
        <v>47</v>
      </c>
      <c r="D1056">
        <v>42</v>
      </c>
      <c r="E1056">
        <v>22</v>
      </c>
      <c r="F1056" t="s">
        <v>2536</v>
      </c>
      <c r="G1056" s="1">
        <v>2431.5</v>
      </c>
      <c r="H1056">
        <v>0</v>
      </c>
      <c r="I1056">
        <v>0.5</v>
      </c>
      <c r="J1056">
        <v>1</v>
      </c>
      <c r="K1056">
        <v>1</v>
      </c>
      <c r="L1056">
        <f t="shared" si="64"/>
        <v>2</v>
      </c>
      <c r="M1056">
        <v>0</v>
      </c>
      <c r="N1056">
        <v>0</v>
      </c>
      <c r="O1056">
        <v>2</v>
      </c>
      <c r="P1056" s="1">
        <f t="shared" si="65"/>
        <v>0</v>
      </c>
      <c r="Q1056">
        <f t="shared" si="66"/>
        <v>2</v>
      </c>
      <c r="R1056" s="1">
        <f t="shared" si="67"/>
        <v>4863</v>
      </c>
    </row>
    <row r="1057" spans="1:18" hidden="1" x14ac:dyDescent="0.3">
      <c r="A1057" t="s">
        <v>5535</v>
      </c>
      <c r="B1057" t="s">
        <v>5536</v>
      </c>
      <c r="C1057" t="s">
        <v>47</v>
      </c>
      <c r="D1057">
        <v>39</v>
      </c>
      <c r="E1057">
        <v>6</v>
      </c>
      <c r="F1057" t="s">
        <v>2536</v>
      </c>
      <c r="G1057" s="1">
        <v>2193</v>
      </c>
      <c r="H1057">
        <v>3</v>
      </c>
      <c r="I1057">
        <v>1.3</v>
      </c>
      <c r="J1057">
        <v>1</v>
      </c>
      <c r="K1057">
        <v>1</v>
      </c>
      <c r="L1057">
        <f t="shared" si="64"/>
        <v>3</v>
      </c>
      <c r="M1057">
        <v>0</v>
      </c>
      <c r="N1057">
        <v>0</v>
      </c>
      <c r="O1057">
        <v>3</v>
      </c>
      <c r="P1057" s="1">
        <f t="shared" si="65"/>
        <v>0</v>
      </c>
      <c r="Q1057">
        <f t="shared" si="66"/>
        <v>3</v>
      </c>
      <c r="R1057" s="1">
        <f t="shared" si="67"/>
        <v>6579</v>
      </c>
    </row>
    <row r="1058" spans="1:18" hidden="1" x14ac:dyDescent="0.3">
      <c r="A1058" t="s">
        <v>5537</v>
      </c>
      <c r="B1058" t="s">
        <v>5538</v>
      </c>
      <c r="C1058" t="s">
        <v>47</v>
      </c>
      <c r="D1058">
        <v>1</v>
      </c>
      <c r="E1058">
        <v>0</v>
      </c>
      <c r="G1058" s="1">
        <v>0</v>
      </c>
      <c r="H1058">
        <v>0</v>
      </c>
      <c r="I1058">
        <v>0.5</v>
      </c>
      <c r="J1058">
        <v>1</v>
      </c>
      <c r="K1058">
        <v>1</v>
      </c>
      <c r="L1058">
        <f t="shared" si="64"/>
        <v>2</v>
      </c>
      <c r="M1058">
        <v>0</v>
      </c>
      <c r="N1058">
        <v>0</v>
      </c>
      <c r="O1058">
        <v>2</v>
      </c>
      <c r="P1058" s="1">
        <f t="shared" si="65"/>
        <v>0</v>
      </c>
      <c r="Q1058">
        <f t="shared" si="66"/>
        <v>2</v>
      </c>
      <c r="R1058" s="1">
        <f t="shared" si="67"/>
        <v>0</v>
      </c>
    </row>
    <row r="1059" spans="1:18" hidden="1" x14ac:dyDescent="0.3">
      <c r="A1059" t="s">
        <v>5539</v>
      </c>
      <c r="B1059" t="s">
        <v>5540</v>
      </c>
      <c r="C1059" t="s">
        <v>47</v>
      </c>
      <c r="D1059">
        <v>1</v>
      </c>
      <c r="E1059">
        <v>1</v>
      </c>
      <c r="F1059" t="s">
        <v>209</v>
      </c>
      <c r="G1059" s="1">
        <v>15100</v>
      </c>
      <c r="H1059">
        <v>0</v>
      </c>
      <c r="I1059">
        <v>0.5</v>
      </c>
      <c r="J1059">
        <v>1</v>
      </c>
      <c r="K1059">
        <v>1</v>
      </c>
      <c r="L1059">
        <f t="shared" si="64"/>
        <v>2</v>
      </c>
      <c r="M1059">
        <v>0</v>
      </c>
      <c r="N1059">
        <v>0</v>
      </c>
      <c r="O1059">
        <v>2</v>
      </c>
      <c r="P1059" s="1">
        <f t="shared" si="65"/>
        <v>0</v>
      </c>
      <c r="Q1059">
        <f t="shared" si="66"/>
        <v>2</v>
      </c>
      <c r="R1059" s="1">
        <f t="shared" si="67"/>
        <v>30200</v>
      </c>
    </row>
    <row r="1060" spans="1:18" hidden="1" x14ac:dyDescent="0.3">
      <c r="A1060" t="s">
        <v>5541</v>
      </c>
      <c r="B1060" t="s">
        <v>5542</v>
      </c>
      <c r="C1060" t="s">
        <v>47</v>
      </c>
      <c r="D1060">
        <v>1</v>
      </c>
      <c r="E1060">
        <v>12</v>
      </c>
      <c r="F1060" t="s">
        <v>4180</v>
      </c>
      <c r="G1060" s="1">
        <v>202.45</v>
      </c>
      <c r="H1060">
        <v>0</v>
      </c>
      <c r="I1060">
        <v>0.5</v>
      </c>
      <c r="J1060">
        <v>12</v>
      </c>
      <c r="K1060">
        <v>6</v>
      </c>
      <c r="L1060">
        <f t="shared" si="64"/>
        <v>12</v>
      </c>
      <c r="M1060">
        <v>0</v>
      </c>
      <c r="N1060">
        <v>0</v>
      </c>
      <c r="O1060">
        <v>30</v>
      </c>
      <c r="P1060" s="1">
        <f t="shared" si="65"/>
        <v>0</v>
      </c>
      <c r="Q1060">
        <f t="shared" si="66"/>
        <v>30</v>
      </c>
      <c r="R1060" s="1">
        <f t="shared" si="67"/>
        <v>6073.5</v>
      </c>
    </row>
    <row r="1061" spans="1:18" hidden="1" x14ac:dyDescent="0.3">
      <c r="A1061" t="s">
        <v>5543</v>
      </c>
      <c r="B1061" t="s">
        <v>5544</v>
      </c>
      <c r="C1061" t="s">
        <v>47</v>
      </c>
      <c r="D1061">
        <v>1</v>
      </c>
      <c r="E1061">
        <v>0</v>
      </c>
      <c r="G1061" s="1">
        <v>0</v>
      </c>
      <c r="H1061">
        <v>2</v>
      </c>
      <c r="I1061">
        <v>0.5</v>
      </c>
      <c r="J1061">
        <v>2</v>
      </c>
      <c r="K1061">
        <v>1</v>
      </c>
      <c r="L1061">
        <f t="shared" si="64"/>
        <v>2</v>
      </c>
      <c r="M1061">
        <v>0</v>
      </c>
      <c r="N1061">
        <v>0</v>
      </c>
      <c r="O1061">
        <v>5</v>
      </c>
      <c r="P1061" s="1">
        <f t="shared" si="65"/>
        <v>0</v>
      </c>
      <c r="Q1061">
        <f t="shared" si="66"/>
        <v>5</v>
      </c>
      <c r="R1061" s="1">
        <f t="shared" si="67"/>
        <v>0</v>
      </c>
    </row>
    <row r="1062" spans="1:18" hidden="1" x14ac:dyDescent="0.3">
      <c r="A1062" t="s">
        <v>5545</v>
      </c>
      <c r="B1062" t="s">
        <v>5546</v>
      </c>
      <c r="C1062" t="s">
        <v>47</v>
      </c>
      <c r="D1062">
        <v>1</v>
      </c>
      <c r="E1062">
        <v>0</v>
      </c>
      <c r="G1062" s="1">
        <v>0</v>
      </c>
      <c r="H1062">
        <v>0</v>
      </c>
      <c r="I1062">
        <v>0.5</v>
      </c>
      <c r="J1062">
        <v>1</v>
      </c>
      <c r="K1062">
        <v>1</v>
      </c>
      <c r="L1062">
        <f t="shared" si="64"/>
        <v>2</v>
      </c>
      <c r="M1062">
        <v>0</v>
      </c>
      <c r="N1062">
        <v>0</v>
      </c>
      <c r="O1062">
        <v>2</v>
      </c>
      <c r="P1062" s="1">
        <f t="shared" si="65"/>
        <v>0</v>
      </c>
      <c r="Q1062">
        <f t="shared" si="66"/>
        <v>2</v>
      </c>
      <c r="R1062" s="1">
        <f t="shared" si="67"/>
        <v>0</v>
      </c>
    </row>
    <row r="1063" spans="1:18" hidden="1" x14ac:dyDescent="0.3">
      <c r="A1063" t="s">
        <v>5547</v>
      </c>
      <c r="B1063" t="s">
        <v>5548</v>
      </c>
      <c r="C1063" t="s">
        <v>47</v>
      </c>
      <c r="D1063">
        <v>1</v>
      </c>
      <c r="E1063">
        <v>0</v>
      </c>
      <c r="G1063" s="1">
        <v>0</v>
      </c>
      <c r="H1063">
        <v>0</v>
      </c>
      <c r="I1063">
        <v>0.5</v>
      </c>
      <c r="J1063">
        <v>1</v>
      </c>
      <c r="K1063">
        <v>1</v>
      </c>
      <c r="L1063">
        <f t="shared" si="64"/>
        <v>2</v>
      </c>
      <c r="M1063">
        <v>0</v>
      </c>
      <c r="N1063">
        <v>0</v>
      </c>
      <c r="O1063">
        <v>2</v>
      </c>
      <c r="P1063" s="1">
        <f t="shared" si="65"/>
        <v>0</v>
      </c>
      <c r="Q1063">
        <f t="shared" si="66"/>
        <v>2</v>
      </c>
      <c r="R1063" s="1">
        <f t="shared" si="67"/>
        <v>0</v>
      </c>
    </row>
    <row r="1064" spans="1:18" hidden="1" x14ac:dyDescent="0.3">
      <c r="A1064" t="s">
        <v>5549</v>
      </c>
      <c r="B1064" t="s">
        <v>5550</v>
      </c>
      <c r="C1064" t="s">
        <v>47</v>
      </c>
      <c r="D1064">
        <v>1</v>
      </c>
      <c r="E1064">
        <v>0</v>
      </c>
      <c r="G1064" s="1">
        <v>0</v>
      </c>
      <c r="H1064">
        <v>0</v>
      </c>
      <c r="I1064">
        <v>0.5</v>
      </c>
      <c r="J1064">
        <v>1</v>
      </c>
      <c r="K1064">
        <v>1</v>
      </c>
      <c r="L1064">
        <f t="shared" si="64"/>
        <v>2</v>
      </c>
      <c r="M1064">
        <v>0</v>
      </c>
      <c r="N1064">
        <v>0</v>
      </c>
      <c r="O1064">
        <v>2</v>
      </c>
      <c r="P1064" s="1">
        <f t="shared" si="65"/>
        <v>0</v>
      </c>
      <c r="Q1064">
        <f t="shared" si="66"/>
        <v>2</v>
      </c>
      <c r="R1064" s="1">
        <f t="shared" si="67"/>
        <v>0</v>
      </c>
    </row>
    <row r="1065" spans="1:18" hidden="1" x14ac:dyDescent="0.3">
      <c r="A1065" t="s">
        <v>5551</v>
      </c>
      <c r="B1065" t="s">
        <v>5552</v>
      </c>
      <c r="C1065" t="s">
        <v>47</v>
      </c>
      <c r="D1065">
        <v>1</v>
      </c>
      <c r="E1065">
        <v>0</v>
      </c>
      <c r="G1065" s="1">
        <v>0</v>
      </c>
      <c r="H1065">
        <v>0</v>
      </c>
      <c r="I1065">
        <v>0.5</v>
      </c>
      <c r="J1065">
        <v>1</v>
      </c>
      <c r="K1065">
        <v>1</v>
      </c>
      <c r="L1065">
        <f t="shared" si="64"/>
        <v>2</v>
      </c>
      <c r="M1065">
        <v>0</v>
      </c>
      <c r="N1065">
        <v>0</v>
      </c>
      <c r="O1065">
        <v>2</v>
      </c>
      <c r="P1065" s="1">
        <f t="shared" si="65"/>
        <v>0</v>
      </c>
      <c r="Q1065">
        <f t="shared" si="66"/>
        <v>2</v>
      </c>
      <c r="R1065" s="1">
        <f t="shared" si="67"/>
        <v>0</v>
      </c>
    </row>
    <row r="1066" spans="1:18" hidden="1" x14ac:dyDescent="0.3">
      <c r="A1066" t="s">
        <v>5553</v>
      </c>
      <c r="B1066" t="s">
        <v>5554</v>
      </c>
      <c r="C1066" t="s">
        <v>47</v>
      </c>
      <c r="D1066">
        <v>1</v>
      </c>
      <c r="E1066">
        <v>0</v>
      </c>
      <c r="G1066" s="1">
        <v>0</v>
      </c>
      <c r="H1066">
        <v>0</v>
      </c>
      <c r="I1066">
        <v>0.5</v>
      </c>
      <c r="J1066">
        <v>1</v>
      </c>
      <c r="K1066">
        <v>1</v>
      </c>
      <c r="L1066">
        <f t="shared" si="64"/>
        <v>2</v>
      </c>
      <c r="M1066">
        <v>0</v>
      </c>
      <c r="N1066">
        <v>0</v>
      </c>
      <c r="O1066">
        <v>2</v>
      </c>
      <c r="P1066" s="1">
        <f t="shared" si="65"/>
        <v>0</v>
      </c>
      <c r="Q1066">
        <f t="shared" si="66"/>
        <v>2</v>
      </c>
      <c r="R1066" s="1">
        <f t="shared" si="67"/>
        <v>0</v>
      </c>
    </row>
    <row r="1067" spans="1:18" hidden="1" x14ac:dyDescent="0.3">
      <c r="A1067" t="s">
        <v>5555</v>
      </c>
      <c r="B1067" t="s">
        <v>5554</v>
      </c>
      <c r="C1067" t="s">
        <v>47</v>
      </c>
      <c r="D1067">
        <v>1</v>
      </c>
      <c r="E1067">
        <v>0</v>
      </c>
      <c r="G1067" s="1">
        <v>0</v>
      </c>
      <c r="H1067">
        <v>0</v>
      </c>
      <c r="I1067">
        <v>0.5</v>
      </c>
      <c r="J1067">
        <v>1</v>
      </c>
      <c r="K1067">
        <v>1</v>
      </c>
      <c r="L1067">
        <f t="shared" si="64"/>
        <v>2</v>
      </c>
      <c r="M1067">
        <v>0</v>
      </c>
      <c r="N1067">
        <v>0</v>
      </c>
      <c r="O1067">
        <v>2</v>
      </c>
      <c r="P1067" s="1">
        <f t="shared" si="65"/>
        <v>0</v>
      </c>
      <c r="Q1067">
        <f t="shared" si="66"/>
        <v>2</v>
      </c>
      <c r="R1067" s="1">
        <f t="shared" si="67"/>
        <v>0</v>
      </c>
    </row>
    <row r="1068" spans="1:18" hidden="1" x14ac:dyDescent="0.3">
      <c r="A1068" t="s">
        <v>5556</v>
      </c>
      <c r="B1068" t="s">
        <v>5557</v>
      </c>
      <c r="C1068" t="s">
        <v>47</v>
      </c>
      <c r="D1068">
        <v>1</v>
      </c>
      <c r="E1068">
        <v>0</v>
      </c>
      <c r="G1068" s="1">
        <v>0</v>
      </c>
      <c r="H1068">
        <v>0</v>
      </c>
      <c r="I1068">
        <v>0.5</v>
      </c>
      <c r="J1068">
        <v>1</v>
      </c>
      <c r="K1068">
        <v>1</v>
      </c>
      <c r="L1068">
        <f t="shared" si="64"/>
        <v>2</v>
      </c>
      <c r="M1068">
        <v>0</v>
      </c>
      <c r="N1068">
        <v>0</v>
      </c>
      <c r="O1068">
        <v>2</v>
      </c>
      <c r="P1068" s="1">
        <f t="shared" si="65"/>
        <v>0</v>
      </c>
      <c r="Q1068">
        <f t="shared" si="66"/>
        <v>2</v>
      </c>
      <c r="R1068" s="1">
        <f t="shared" si="67"/>
        <v>0</v>
      </c>
    </row>
    <row r="1069" spans="1:18" hidden="1" x14ac:dyDescent="0.3">
      <c r="A1069" t="s">
        <v>5558</v>
      </c>
      <c r="B1069" t="s">
        <v>5559</v>
      </c>
      <c r="C1069" t="s">
        <v>47</v>
      </c>
      <c r="D1069">
        <v>1</v>
      </c>
      <c r="E1069">
        <v>0</v>
      </c>
      <c r="G1069" s="1">
        <v>0</v>
      </c>
      <c r="H1069">
        <v>0</v>
      </c>
      <c r="I1069">
        <v>0.5</v>
      </c>
      <c r="J1069">
        <v>1</v>
      </c>
      <c r="K1069">
        <v>1</v>
      </c>
      <c r="L1069">
        <f t="shared" si="64"/>
        <v>2</v>
      </c>
      <c r="M1069">
        <v>0</v>
      </c>
      <c r="N1069">
        <v>0</v>
      </c>
      <c r="O1069">
        <v>2</v>
      </c>
      <c r="P1069" s="1">
        <f t="shared" si="65"/>
        <v>0</v>
      </c>
      <c r="Q1069">
        <f t="shared" si="66"/>
        <v>2</v>
      </c>
      <c r="R1069" s="1">
        <f t="shared" si="67"/>
        <v>0</v>
      </c>
    </row>
    <row r="1070" spans="1:18" hidden="1" x14ac:dyDescent="0.3">
      <c r="A1070" t="s">
        <v>5560</v>
      </c>
      <c r="B1070" t="s">
        <v>5561</v>
      </c>
      <c r="C1070" t="s">
        <v>47</v>
      </c>
      <c r="D1070">
        <v>1</v>
      </c>
      <c r="E1070">
        <v>0</v>
      </c>
      <c r="G1070" s="1">
        <v>0</v>
      </c>
      <c r="H1070">
        <v>0</v>
      </c>
      <c r="I1070">
        <v>0.5</v>
      </c>
      <c r="J1070">
        <v>1</v>
      </c>
      <c r="K1070">
        <v>1</v>
      </c>
      <c r="L1070">
        <f t="shared" si="64"/>
        <v>2</v>
      </c>
      <c r="M1070">
        <v>0</v>
      </c>
      <c r="N1070">
        <v>0</v>
      </c>
      <c r="O1070">
        <v>2</v>
      </c>
      <c r="P1070" s="1">
        <f t="shared" si="65"/>
        <v>0</v>
      </c>
      <c r="Q1070">
        <f t="shared" si="66"/>
        <v>2</v>
      </c>
      <c r="R1070" s="1">
        <f t="shared" si="67"/>
        <v>0</v>
      </c>
    </row>
    <row r="1071" spans="1:18" hidden="1" x14ac:dyDescent="0.3">
      <c r="A1071" t="s">
        <v>5562</v>
      </c>
      <c r="B1071" t="s">
        <v>5563</v>
      </c>
      <c r="C1071" t="s">
        <v>47</v>
      </c>
      <c r="D1071">
        <v>1</v>
      </c>
      <c r="E1071">
        <v>0</v>
      </c>
      <c r="G1071" s="1">
        <v>0</v>
      </c>
      <c r="H1071">
        <v>0</v>
      </c>
      <c r="I1071">
        <v>0.5</v>
      </c>
      <c r="J1071">
        <v>1</v>
      </c>
      <c r="K1071">
        <v>1</v>
      </c>
      <c r="L1071">
        <f t="shared" si="64"/>
        <v>2</v>
      </c>
      <c r="M1071">
        <v>0</v>
      </c>
      <c r="N1071">
        <v>0</v>
      </c>
      <c r="O1071">
        <v>2</v>
      </c>
      <c r="P1071" s="1">
        <f t="shared" si="65"/>
        <v>0</v>
      </c>
      <c r="Q1071">
        <f t="shared" si="66"/>
        <v>2</v>
      </c>
      <c r="R1071" s="1">
        <f t="shared" si="67"/>
        <v>0</v>
      </c>
    </row>
    <row r="1072" spans="1:18" hidden="1" x14ac:dyDescent="0.3">
      <c r="A1072" t="s">
        <v>5564</v>
      </c>
      <c r="B1072" t="s">
        <v>5565</v>
      </c>
      <c r="C1072" t="s">
        <v>47</v>
      </c>
      <c r="D1072">
        <v>1</v>
      </c>
      <c r="E1072">
        <v>0</v>
      </c>
      <c r="G1072" s="1">
        <v>0</v>
      </c>
      <c r="H1072">
        <v>0</v>
      </c>
      <c r="I1072">
        <v>0.5</v>
      </c>
      <c r="J1072">
        <v>1</v>
      </c>
      <c r="K1072">
        <v>1</v>
      </c>
      <c r="L1072">
        <f t="shared" si="64"/>
        <v>2</v>
      </c>
      <c r="M1072">
        <v>0</v>
      </c>
      <c r="N1072">
        <v>0</v>
      </c>
      <c r="O1072">
        <v>2</v>
      </c>
      <c r="P1072" s="1">
        <f t="shared" si="65"/>
        <v>0</v>
      </c>
      <c r="Q1072">
        <f t="shared" si="66"/>
        <v>2</v>
      </c>
      <c r="R1072" s="1">
        <f t="shared" si="67"/>
        <v>0</v>
      </c>
    </row>
    <row r="1073" spans="1:18" hidden="1" x14ac:dyDescent="0.3">
      <c r="A1073" t="s">
        <v>5566</v>
      </c>
      <c r="B1073" t="s">
        <v>5567</v>
      </c>
      <c r="C1073" t="s">
        <v>47</v>
      </c>
      <c r="D1073">
        <v>1</v>
      </c>
      <c r="E1073">
        <v>0</v>
      </c>
      <c r="G1073" s="1">
        <v>1051</v>
      </c>
      <c r="H1073">
        <v>0</v>
      </c>
      <c r="I1073">
        <v>0.5</v>
      </c>
      <c r="J1073">
        <v>1</v>
      </c>
      <c r="K1073">
        <v>1</v>
      </c>
      <c r="L1073">
        <f t="shared" si="64"/>
        <v>2</v>
      </c>
      <c r="M1073">
        <v>0</v>
      </c>
      <c r="N1073">
        <v>0</v>
      </c>
      <c r="O1073">
        <v>2</v>
      </c>
      <c r="P1073" s="1">
        <f t="shared" si="65"/>
        <v>0</v>
      </c>
      <c r="Q1073">
        <f t="shared" si="66"/>
        <v>2</v>
      </c>
      <c r="R1073" s="1">
        <f t="shared" si="67"/>
        <v>2102</v>
      </c>
    </row>
    <row r="1074" spans="1:18" hidden="1" x14ac:dyDescent="0.3">
      <c r="A1074" t="s">
        <v>5568</v>
      </c>
      <c r="B1074" t="s">
        <v>5569</v>
      </c>
      <c r="C1074" t="s">
        <v>47</v>
      </c>
      <c r="D1074">
        <v>8</v>
      </c>
      <c r="E1074">
        <v>600</v>
      </c>
      <c r="F1074" t="s">
        <v>4839</v>
      </c>
      <c r="G1074" s="1">
        <v>1.69</v>
      </c>
      <c r="H1074">
        <v>0</v>
      </c>
      <c r="I1074">
        <v>0.5</v>
      </c>
      <c r="J1074">
        <v>75</v>
      </c>
      <c r="K1074">
        <v>38</v>
      </c>
      <c r="L1074">
        <f t="shared" si="64"/>
        <v>76</v>
      </c>
      <c r="M1074">
        <v>0</v>
      </c>
      <c r="N1074">
        <v>0</v>
      </c>
      <c r="O1074">
        <v>188</v>
      </c>
      <c r="P1074" s="1">
        <f t="shared" si="65"/>
        <v>0</v>
      </c>
      <c r="Q1074">
        <f t="shared" si="66"/>
        <v>188</v>
      </c>
      <c r="R1074" s="1">
        <f t="shared" si="67"/>
        <v>317.71999999999997</v>
      </c>
    </row>
    <row r="1075" spans="1:18" hidden="1" x14ac:dyDescent="0.3">
      <c r="A1075" t="s">
        <v>5570</v>
      </c>
      <c r="B1075" t="s">
        <v>5571</v>
      </c>
      <c r="C1075" t="s">
        <v>47</v>
      </c>
      <c r="D1075">
        <v>1</v>
      </c>
      <c r="E1075">
        <v>0</v>
      </c>
      <c r="G1075" s="1">
        <v>0</v>
      </c>
      <c r="H1075">
        <v>0</v>
      </c>
      <c r="I1075">
        <v>0.5</v>
      </c>
      <c r="J1075">
        <v>1</v>
      </c>
      <c r="K1075">
        <v>1</v>
      </c>
      <c r="L1075">
        <f t="shared" si="64"/>
        <v>2</v>
      </c>
      <c r="M1075">
        <v>0</v>
      </c>
      <c r="N1075">
        <v>0</v>
      </c>
      <c r="O1075">
        <v>2</v>
      </c>
      <c r="P1075" s="1">
        <f t="shared" si="65"/>
        <v>0</v>
      </c>
      <c r="Q1075">
        <f t="shared" si="66"/>
        <v>2</v>
      </c>
      <c r="R1075" s="1">
        <f t="shared" si="67"/>
        <v>0</v>
      </c>
    </row>
    <row r="1076" spans="1:18" hidden="1" x14ac:dyDescent="0.3">
      <c r="A1076" t="s">
        <v>5572</v>
      </c>
      <c r="B1076" t="s">
        <v>5573</v>
      </c>
      <c r="C1076" t="s">
        <v>47</v>
      </c>
      <c r="D1076">
        <v>1</v>
      </c>
      <c r="E1076">
        <v>0</v>
      </c>
      <c r="G1076" s="1">
        <v>0</v>
      </c>
      <c r="H1076">
        <v>0</v>
      </c>
      <c r="I1076">
        <v>0.5</v>
      </c>
      <c r="J1076">
        <v>1</v>
      </c>
      <c r="K1076">
        <v>1</v>
      </c>
      <c r="L1076">
        <f t="shared" si="64"/>
        <v>2</v>
      </c>
      <c r="M1076">
        <v>0</v>
      </c>
      <c r="N1076">
        <v>0</v>
      </c>
      <c r="O1076">
        <v>2</v>
      </c>
      <c r="P1076" s="1">
        <f t="shared" si="65"/>
        <v>0</v>
      </c>
      <c r="Q1076">
        <f t="shared" si="66"/>
        <v>2</v>
      </c>
      <c r="R1076" s="1">
        <f t="shared" si="67"/>
        <v>0</v>
      </c>
    </row>
    <row r="1077" spans="1:18" hidden="1" x14ac:dyDescent="0.3">
      <c r="A1077" t="s">
        <v>5574</v>
      </c>
      <c r="B1077" t="s">
        <v>5575</v>
      </c>
      <c r="C1077" t="s">
        <v>47</v>
      </c>
      <c r="D1077">
        <v>1</v>
      </c>
      <c r="E1077">
        <v>0</v>
      </c>
      <c r="G1077" s="1">
        <v>38475</v>
      </c>
      <c r="H1077">
        <v>0</v>
      </c>
      <c r="I1077">
        <v>0.5</v>
      </c>
      <c r="J1077">
        <v>1</v>
      </c>
      <c r="K1077">
        <v>1</v>
      </c>
      <c r="L1077">
        <f t="shared" si="64"/>
        <v>2</v>
      </c>
      <c r="M1077">
        <v>0</v>
      </c>
      <c r="N1077">
        <v>0</v>
      </c>
      <c r="O1077">
        <v>2</v>
      </c>
      <c r="P1077" s="1">
        <f t="shared" si="65"/>
        <v>0</v>
      </c>
      <c r="Q1077">
        <f t="shared" si="66"/>
        <v>2</v>
      </c>
      <c r="R1077" s="1">
        <f t="shared" si="67"/>
        <v>76950</v>
      </c>
    </row>
    <row r="1078" spans="1:18" hidden="1" x14ac:dyDescent="0.3">
      <c r="A1078" t="s">
        <v>5576</v>
      </c>
      <c r="B1078" t="s">
        <v>5577</v>
      </c>
      <c r="C1078" t="s">
        <v>47</v>
      </c>
      <c r="D1078">
        <v>1</v>
      </c>
      <c r="E1078">
        <v>0</v>
      </c>
      <c r="G1078" s="1">
        <v>0</v>
      </c>
      <c r="H1078">
        <v>0</v>
      </c>
      <c r="I1078">
        <v>0.5</v>
      </c>
      <c r="J1078">
        <v>1</v>
      </c>
      <c r="K1078">
        <v>1</v>
      </c>
      <c r="L1078">
        <f t="shared" si="64"/>
        <v>2</v>
      </c>
      <c r="M1078">
        <v>0</v>
      </c>
      <c r="N1078">
        <v>0</v>
      </c>
      <c r="O1078">
        <v>2</v>
      </c>
      <c r="P1078" s="1">
        <f t="shared" si="65"/>
        <v>0</v>
      </c>
      <c r="Q1078">
        <f t="shared" si="66"/>
        <v>2</v>
      </c>
      <c r="R1078" s="1">
        <f t="shared" si="67"/>
        <v>0</v>
      </c>
    </row>
    <row r="1079" spans="1:18" hidden="1" x14ac:dyDescent="0.3">
      <c r="A1079" t="s">
        <v>5578</v>
      </c>
      <c r="B1079" t="s">
        <v>5579</v>
      </c>
      <c r="C1079" t="s">
        <v>47</v>
      </c>
      <c r="D1079">
        <v>1</v>
      </c>
      <c r="E1079">
        <v>1</v>
      </c>
      <c r="F1079" t="s">
        <v>2014</v>
      </c>
      <c r="G1079" s="1">
        <v>22683.25</v>
      </c>
      <c r="H1079">
        <v>0</v>
      </c>
      <c r="I1079">
        <v>2</v>
      </c>
      <c r="J1079">
        <v>1</v>
      </c>
      <c r="K1079">
        <v>2</v>
      </c>
      <c r="L1079">
        <f t="shared" si="64"/>
        <v>4</v>
      </c>
      <c r="M1079">
        <v>0</v>
      </c>
      <c r="N1079">
        <v>0</v>
      </c>
      <c r="O1079">
        <v>4</v>
      </c>
      <c r="P1079" s="1">
        <f t="shared" si="65"/>
        <v>0</v>
      </c>
      <c r="Q1079">
        <f t="shared" si="66"/>
        <v>4</v>
      </c>
      <c r="R1079" s="1">
        <f t="shared" si="67"/>
        <v>90733</v>
      </c>
    </row>
    <row r="1080" spans="1:18" hidden="1" x14ac:dyDescent="0.3">
      <c r="A1080" t="s">
        <v>5580</v>
      </c>
      <c r="B1080" t="s">
        <v>5581</v>
      </c>
      <c r="C1080" t="s">
        <v>47</v>
      </c>
      <c r="D1080">
        <v>1</v>
      </c>
      <c r="E1080">
        <v>1</v>
      </c>
      <c r="F1080" t="s">
        <v>2014</v>
      </c>
      <c r="G1080" s="1">
        <v>25116.89</v>
      </c>
      <c r="H1080">
        <v>0</v>
      </c>
      <c r="I1080">
        <v>1.8</v>
      </c>
      <c r="J1080">
        <v>1</v>
      </c>
      <c r="K1080">
        <v>2</v>
      </c>
      <c r="L1080">
        <f t="shared" si="64"/>
        <v>4</v>
      </c>
      <c r="M1080">
        <v>0</v>
      </c>
      <c r="N1080">
        <v>0</v>
      </c>
      <c r="O1080">
        <v>4</v>
      </c>
      <c r="P1080" s="1">
        <f t="shared" si="65"/>
        <v>0</v>
      </c>
      <c r="Q1080">
        <f t="shared" si="66"/>
        <v>4</v>
      </c>
      <c r="R1080" s="1">
        <f t="shared" si="67"/>
        <v>100467.56</v>
      </c>
    </row>
    <row r="1081" spans="1:18" hidden="1" x14ac:dyDescent="0.3">
      <c r="A1081" t="s">
        <v>5582</v>
      </c>
      <c r="B1081" t="s">
        <v>5583</v>
      </c>
      <c r="C1081" t="s">
        <v>47</v>
      </c>
      <c r="D1081">
        <v>1</v>
      </c>
      <c r="E1081">
        <v>2</v>
      </c>
      <c r="F1081" t="s">
        <v>2014</v>
      </c>
      <c r="G1081" s="1">
        <v>30493.09</v>
      </c>
      <c r="H1081">
        <v>0</v>
      </c>
      <c r="I1081">
        <v>2.2000000000000002</v>
      </c>
      <c r="J1081">
        <v>2</v>
      </c>
      <c r="K1081">
        <v>4</v>
      </c>
      <c r="L1081">
        <f t="shared" si="64"/>
        <v>9</v>
      </c>
      <c r="M1081">
        <v>0</v>
      </c>
      <c r="N1081">
        <v>1</v>
      </c>
      <c r="O1081">
        <v>8</v>
      </c>
      <c r="P1081" s="1">
        <f t="shared" si="65"/>
        <v>0</v>
      </c>
      <c r="Q1081">
        <f t="shared" si="66"/>
        <v>7</v>
      </c>
      <c r="R1081" s="1">
        <f t="shared" si="67"/>
        <v>213451.63</v>
      </c>
    </row>
    <row r="1082" spans="1:18" hidden="1" x14ac:dyDescent="0.3">
      <c r="A1082" t="s">
        <v>5584</v>
      </c>
      <c r="B1082" t="s">
        <v>5585</v>
      </c>
      <c r="C1082" t="s">
        <v>47</v>
      </c>
      <c r="D1082">
        <v>1</v>
      </c>
      <c r="E1082">
        <v>1</v>
      </c>
      <c r="F1082" t="s">
        <v>2014</v>
      </c>
      <c r="G1082" s="1">
        <v>34813.1</v>
      </c>
      <c r="H1082">
        <v>0</v>
      </c>
      <c r="I1082">
        <v>2</v>
      </c>
      <c r="J1082">
        <v>1</v>
      </c>
      <c r="K1082">
        <v>2</v>
      </c>
      <c r="L1082">
        <f t="shared" si="64"/>
        <v>4</v>
      </c>
      <c r="M1082">
        <v>0</v>
      </c>
      <c r="N1082">
        <v>0</v>
      </c>
      <c r="O1082">
        <v>4</v>
      </c>
      <c r="P1082" s="1">
        <f t="shared" si="65"/>
        <v>0</v>
      </c>
      <c r="Q1082">
        <f t="shared" si="66"/>
        <v>4</v>
      </c>
      <c r="R1082" s="1">
        <f t="shared" si="67"/>
        <v>139252.4</v>
      </c>
    </row>
    <row r="1083" spans="1:18" hidden="1" x14ac:dyDescent="0.3">
      <c r="A1083" t="s">
        <v>5586</v>
      </c>
      <c r="B1083" t="s">
        <v>5587</v>
      </c>
      <c r="C1083" t="s">
        <v>47</v>
      </c>
      <c r="D1083">
        <v>6</v>
      </c>
      <c r="E1083">
        <v>3</v>
      </c>
      <c r="F1083" t="s">
        <v>2014</v>
      </c>
      <c r="G1083" s="1">
        <v>45412</v>
      </c>
      <c r="H1083">
        <v>0</v>
      </c>
      <c r="I1083">
        <v>1.7</v>
      </c>
      <c r="J1083">
        <v>1</v>
      </c>
      <c r="K1083">
        <v>2</v>
      </c>
      <c r="L1083">
        <f t="shared" si="64"/>
        <v>4</v>
      </c>
      <c r="M1083">
        <v>0</v>
      </c>
      <c r="N1083">
        <v>1</v>
      </c>
      <c r="O1083">
        <v>4</v>
      </c>
      <c r="P1083" s="1">
        <f t="shared" si="65"/>
        <v>0</v>
      </c>
      <c r="Q1083">
        <f t="shared" si="66"/>
        <v>3</v>
      </c>
      <c r="R1083" s="1">
        <f t="shared" si="67"/>
        <v>136236</v>
      </c>
    </row>
    <row r="1084" spans="1:18" hidden="1" x14ac:dyDescent="0.3">
      <c r="A1084" t="s">
        <v>5588</v>
      </c>
      <c r="B1084" t="s">
        <v>5589</v>
      </c>
      <c r="C1084" t="s">
        <v>47</v>
      </c>
      <c r="D1084">
        <v>12</v>
      </c>
      <c r="E1084">
        <v>9</v>
      </c>
      <c r="F1084" t="s">
        <v>2014</v>
      </c>
      <c r="G1084" s="1">
        <v>45524.959999999999</v>
      </c>
      <c r="H1084">
        <v>0</v>
      </c>
      <c r="I1084">
        <v>2.1</v>
      </c>
      <c r="J1084">
        <v>1</v>
      </c>
      <c r="K1084">
        <v>2</v>
      </c>
      <c r="L1084">
        <f t="shared" si="64"/>
        <v>5</v>
      </c>
      <c r="M1084">
        <v>0</v>
      </c>
      <c r="N1084">
        <v>3</v>
      </c>
      <c r="O1084">
        <v>4</v>
      </c>
      <c r="P1084" s="1">
        <f t="shared" si="65"/>
        <v>0</v>
      </c>
      <c r="Q1084">
        <f t="shared" si="66"/>
        <v>1</v>
      </c>
      <c r="R1084" s="1">
        <f t="shared" si="67"/>
        <v>45524.959999999999</v>
      </c>
    </row>
    <row r="1085" spans="1:18" hidden="1" x14ac:dyDescent="0.3">
      <c r="A1085" t="s">
        <v>5590</v>
      </c>
      <c r="B1085" t="s">
        <v>5591</v>
      </c>
      <c r="C1085" t="s">
        <v>47</v>
      </c>
      <c r="D1085">
        <v>13</v>
      </c>
      <c r="E1085">
        <v>5</v>
      </c>
      <c r="F1085" t="s">
        <v>2014</v>
      </c>
      <c r="G1085" s="1">
        <v>88303.76</v>
      </c>
      <c r="H1085">
        <v>0</v>
      </c>
      <c r="I1085">
        <v>2</v>
      </c>
      <c r="J1085">
        <v>1</v>
      </c>
      <c r="K1085">
        <v>2</v>
      </c>
      <c r="L1085">
        <f t="shared" si="64"/>
        <v>4</v>
      </c>
      <c r="M1085">
        <v>0</v>
      </c>
      <c r="N1085">
        <v>0</v>
      </c>
      <c r="O1085">
        <v>4</v>
      </c>
      <c r="P1085" s="1">
        <f t="shared" si="65"/>
        <v>0</v>
      </c>
      <c r="Q1085">
        <f t="shared" si="66"/>
        <v>4</v>
      </c>
      <c r="R1085" s="1">
        <f t="shared" si="67"/>
        <v>353215.04</v>
      </c>
    </row>
    <row r="1086" spans="1:18" hidden="1" x14ac:dyDescent="0.3">
      <c r="A1086" t="s">
        <v>5592</v>
      </c>
      <c r="B1086" t="s">
        <v>5593</v>
      </c>
      <c r="C1086" t="s">
        <v>47</v>
      </c>
      <c r="D1086">
        <v>1</v>
      </c>
      <c r="E1086">
        <v>0</v>
      </c>
      <c r="G1086" s="1">
        <v>0</v>
      </c>
      <c r="H1086">
        <v>0</v>
      </c>
      <c r="I1086">
        <v>0.5</v>
      </c>
      <c r="J1086">
        <v>1</v>
      </c>
      <c r="K1086">
        <v>1</v>
      </c>
      <c r="L1086">
        <f t="shared" si="64"/>
        <v>2</v>
      </c>
      <c r="M1086">
        <v>0</v>
      </c>
      <c r="N1086">
        <v>0</v>
      </c>
      <c r="O1086">
        <v>2</v>
      </c>
      <c r="P1086" s="1">
        <f t="shared" si="65"/>
        <v>0</v>
      </c>
      <c r="Q1086">
        <f t="shared" si="66"/>
        <v>2</v>
      </c>
      <c r="R1086" s="1">
        <f t="shared" si="67"/>
        <v>0</v>
      </c>
    </row>
    <row r="1087" spans="1:18" hidden="1" x14ac:dyDescent="0.3">
      <c r="A1087" t="s">
        <v>5594</v>
      </c>
      <c r="B1087" t="s">
        <v>5595</v>
      </c>
      <c r="C1087" t="s">
        <v>47</v>
      </c>
      <c r="D1087">
        <v>1</v>
      </c>
      <c r="E1087">
        <v>3</v>
      </c>
      <c r="F1087" t="s">
        <v>140</v>
      </c>
      <c r="G1087" s="1">
        <v>175.34</v>
      </c>
      <c r="H1087">
        <v>0</v>
      </c>
      <c r="I1087">
        <v>0.5</v>
      </c>
      <c r="J1087">
        <v>3</v>
      </c>
      <c r="K1087">
        <v>2</v>
      </c>
      <c r="L1087">
        <f t="shared" si="64"/>
        <v>4</v>
      </c>
      <c r="M1087">
        <v>0</v>
      </c>
      <c r="N1087">
        <v>0</v>
      </c>
      <c r="O1087">
        <v>8</v>
      </c>
      <c r="P1087" s="1">
        <f t="shared" si="65"/>
        <v>0</v>
      </c>
      <c r="Q1087">
        <f t="shared" si="66"/>
        <v>8</v>
      </c>
      <c r="R1087" s="1">
        <f t="shared" si="67"/>
        <v>1402.72</v>
      </c>
    </row>
    <row r="1088" spans="1:18" hidden="1" x14ac:dyDescent="0.3">
      <c r="A1088" t="s">
        <v>5596</v>
      </c>
      <c r="B1088" t="s">
        <v>5597</v>
      </c>
      <c r="C1088" t="s">
        <v>47</v>
      </c>
      <c r="D1088">
        <v>1</v>
      </c>
      <c r="E1088">
        <v>2</v>
      </c>
      <c r="F1088" t="s">
        <v>3678</v>
      </c>
      <c r="G1088" s="1">
        <v>75</v>
      </c>
      <c r="H1088">
        <v>0</v>
      </c>
      <c r="I1088">
        <v>0.5</v>
      </c>
      <c r="J1088">
        <v>2</v>
      </c>
      <c r="K1088">
        <v>1</v>
      </c>
      <c r="L1088">
        <f t="shared" si="64"/>
        <v>2</v>
      </c>
      <c r="M1088">
        <v>0</v>
      </c>
      <c r="N1088">
        <v>0</v>
      </c>
      <c r="O1088">
        <v>5</v>
      </c>
      <c r="P1088" s="1">
        <f t="shared" si="65"/>
        <v>0</v>
      </c>
      <c r="Q1088">
        <f t="shared" si="66"/>
        <v>5</v>
      </c>
      <c r="R1088" s="1">
        <f t="shared" si="67"/>
        <v>375</v>
      </c>
    </row>
    <row r="1089" spans="1:18" hidden="1" x14ac:dyDescent="0.3">
      <c r="A1089" t="s">
        <v>5598</v>
      </c>
      <c r="B1089" t="s">
        <v>267</v>
      </c>
      <c r="C1089" t="s">
        <v>47</v>
      </c>
      <c r="D1089">
        <v>1</v>
      </c>
      <c r="E1089">
        <v>1</v>
      </c>
      <c r="F1089" t="s">
        <v>140</v>
      </c>
      <c r="G1089" s="1">
        <v>1067.28</v>
      </c>
      <c r="H1089">
        <v>0</v>
      </c>
      <c r="I1089">
        <v>0.5</v>
      </c>
      <c r="J1089">
        <v>1</v>
      </c>
      <c r="K1089">
        <v>1</v>
      </c>
      <c r="L1089">
        <f t="shared" si="64"/>
        <v>2</v>
      </c>
      <c r="M1089">
        <v>0</v>
      </c>
      <c r="N1089">
        <v>0</v>
      </c>
      <c r="O1089">
        <v>2</v>
      </c>
      <c r="P1089" s="1">
        <f t="shared" si="65"/>
        <v>0</v>
      </c>
      <c r="Q1089">
        <f t="shared" si="66"/>
        <v>2</v>
      </c>
      <c r="R1089" s="1">
        <f t="shared" si="67"/>
        <v>2134.56</v>
      </c>
    </row>
    <row r="1090" spans="1:18" hidden="1" x14ac:dyDescent="0.3">
      <c r="A1090" t="s">
        <v>5599</v>
      </c>
      <c r="B1090" t="s">
        <v>5600</v>
      </c>
      <c r="C1090" t="s">
        <v>47</v>
      </c>
      <c r="D1090">
        <v>1</v>
      </c>
      <c r="E1090">
        <v>0</v>
      </c>
      <c r="G1090" s="1">
        <v>0</v>
      </c>
      <c r="H1090">
        <v>8</v>
      </c>
      <c r="I1090">
        <v>0.5</v>
      </c>
      <c r="J1090">
        <v>8</v>
      </c>
      <c r="K1090">
        <v>4</v>
      </c>
      <c r="L1090">
        <f t="shared" ref="L1090:L1153" si="68">ROUNDUP((J1090*I1090)+K1090,0)</f>
        <v>8</v>
      </c>
      <c r="M1090">
        <v>0</v>
      </c>
      <c r="N1090">
        <v>0</v>
      </c>
      <c r="O1090">
        <v>20</v>
      </c>
      <c r="P1090" s="1">
        <f t="shared" ref="P1090:P1153" si="69">IFERROR(M1090*G1090,0)</f>
        <v>0</v>
      </c>
      <c r="Q1090">
        <f t="shared" ref="Q1090:Q1153" si="70">IF(O1090-M1090-N1090&gt;0,O1090-M1090-N1090,0)</f>
        <v>20</v>
      </c>
      <c r="R1090" s="1">
        <f t="shared" ref="R1090:R1153" si="71">IFERROR(Q1090*G1090,0)</f>
        <v>0</v>
      </c>
    </row>
    <row r="1091" spans="1:18" hidden="1" x14ac:dyDescent="0.3">
      <c r="A1091" t="s">
        <v>5601</v>
      </c>
      <c r="B1091" t="s">
        <v>5602</v>
      </c>
      <c r="C1091" t="s">
        <v>47</v>
      </c>
      <c r="D1091">
        <v>1</v>
      </c>
      <c r="E1091">
        <v>2</v>
      </c>
      <c r="F1091" t="s">
        <v>2014</v>
      </c>
      <c r="G1091" s="1">
        <v>5675.27</v>
      </c>
      <c r="H1091">
        <v>0</v>
      </c>
      <c r="I1091">
        <v>0.5</v>
      </c>
      <c r="J1091">
        <v>2</v>
      </c>
      <c r="K1091">
        <v>1</v>
      </c>
      <c r="L1091">
        <f t="shared" si="68"/>
        <v>2</v>
      </c>
      <c r="M1091">
        <v>0</v>
      </c>
      <c r="N1091">
        <v>0</v>
      </c>
      <c r="O1091">
        <v>5</v>
      </c>
      <c r="P1091" s="1">
        <f t="shared" si="69"/>
        <v>0</v>
      </c>
      <c r="Q1091">
        <f t="shared" si="70"/>
        <v>5</v>
      </c>
      <c r="R1091" s="1">
        <f t="shared" si="71"/>
        <v>28376.350000000002</v>
      </c>
    </row>
    <row r="1092" spans="1:18" hidden="1" x14ac:dyDescent="0.3">
      <c r="A1092" t="s">
        <v>5603</v>
      </c>
      <c r="B1092" t="s">
        <v>5604</v>
      </c>
      <c r="C1092" t="s">
        <v>47</v>
      </c>
      <c r="D1092">
        <v>12</v>
      </c>
      <c r="E1092">
        <v>9</v>
      </c>
      <c r="F1092" t="s">
        <v>4580</v>
      </c>
      <c r="G1092" s="1">
        <v>4088.89</v>
      </c>
      <c r="H1092">
        <v>0</v>
      </c>
      <c r="I1092">
        <v>0.5</v>
      </c>
      <c r="J1092">
        <v>1</v>
      </c>
      <c r="K1092">
        <v>1</v>
      </c>
      <c r="L1092">
        <f t="shared" si="68"/>
        <v>2</v>
      </c>
      <c r="M1092">
        <v>0</v>
      </c>
      <c r="N1092">
        <v>0</v>
      </c>
      <c r="O1092">
        <v>2</v>
      </c>
      <c r="P1092" s="1">
        <f t="shared" si="69"/>
        <v>0</v>
      </c>
      <c r="Q1092">
        <f t="shared" si="70"/>
        <v>2</v>
      </c>
      <c r="R1092" s="1">
        <f t="shared" si="71"/>
        <v>8177.78</v>
      </c>
    </row>
    <row r="1093" spans="1:18" hidden="1" x14ac:dyDescent="0.3">
      <c r="A1093" t="s">
        <v>5605</v>
      </c>
      <c r="B1093" t="s">
        <v>5606</v>
      </c>
      <c r="C1093" t="s">
        <v>47</v>
      </c>
      <c r="D1093">
        <v>1</v>
      </c>
      <c r="E1093">
        <v>1</v>
      </c>
      <c r="F1093" t="s">
        <v>3471</v>
      </c>
      <c r="G1093" s="1">
        <v>672</v>
      </c>
      <c r="H1093">
        <v>0</v>
      </c>
      <c r="I1093">
        <v>0.5</v>
      </c>
      <c r="J1093">
        <v>1</v>
      </c>
      <c r="K1093">
        <v>1</v>
      </c>
      <c r="L1093">
        <f t="shared" si="68"/>
        <v>2</v>
      </c>
      <c r="M1093">
        <v>0</v>
      </c>
      <c r="N1093">
        <v>0</v>
      </c>
      <c r="O1093">
        <v>2</v>
      </c>
      <c r="P1093" s="1">
        <f t="shared" si="69"/>
        <v>0</v>
      </c>
      <c r="Q1093">
        <f t="shared" si="70"/>
        <v>2</v>
      </c>
      <c r="R1093" s="1">
        <f t="shared" si="71"/>
        <v>1344</v>
      </c>
    </row>
    <row r="1094" spans="1:18" hidden="1" x14ac:dyDescent="0.3">
      <c r="A1094" t="s">
        <v>5607</v>
      </c>
      <c r="B1094" t="s">
        <v>5608</v>
      </c>
      <c r="C1094" t="s">
        <v>47</v>
      </c>
      <c r="D1094">
        <v>1</v>
      </c>
      <c r="E1094">
        <v>4</v>
      </c>
      <c r="F1094" t="s">
        <v>661</v>
      </c>
      <c r="G1094" s="1">
        <v>302.33</v>
      </c>
      <c r="H1094">
        <v>0</v>
      </c>
      <c r="I1094">
        <v>0.5</v>
      </c>
      <c r="J1094">
        <v>4</v>
      </c>
      <c r="K1094">
        <v>2</v>
      </c>
      <c r="L1094">
        <f t="shared" si="68"/>
        <v>4</v>
      </c>
      <c r="M1094">
        <v>0</v>
      </c>
      <c r="N1094">
        <v>0</v>
      </c>
      <c r="O1094">
        <v>10</v>
      </c>
      <c r="P1094" s="1">
        <f t="shared" si="69"/>
        <v>0</v>
      </c>
      <c r="Q1094">
        <f t="shared" si="70"/>
        <v>10</v>
      </c>
      <c r="R1094" s="1">
        <f t="shared" si="71"/>
        <v>3023.2999999999997</v>
      </c>
    </row>
    <row r="1095" spans="1:18" hidden="1" x14ac:dyDescent="0.3">
      <c r="A1095" t="s">
        <v>5609</v>
      </c>
      <c r="B1095" t="s">
        <v>5610</v>
      </c>
      <c r="C1095" t="s">
        <v>47</v>
      </c>
      <c r="D1095">
        <v>1</v>
      </c>
      <c r="E1095">
        <v>0</v>
      </c>
      <c r="G1095" s="1">
        <v>0</v>
      </c>
      <c r="H1095">
        <v>0</v>
      </c>
      <c r="I1095">
        <v>0.5</v>
      </c>
      <c r="J1095">
        <v>1</v>
      </c>
      <c r="K1095">
        <v>1</v>
      </c>
      <c r="L1095">
        <f t="shared" si="68"/>
        <v>2</v>
      </c>
      <c r="M1095">
        <v>0</v>
      </c>
      <c r="N1095">
        <v>0</v>
      </c>
      <c r="O1095">
        <v>2</v>
      </c>
      <c r="P1095" s="1">
        <f t="shared" si="69"/>
        <v>0</v>
      </c>
      <c r="Q1095">
        <f t="shared" si="70"/>
        <v>2</v>
      </c>
      <c r="R1095" s="1">
        <f t="shared" si="71"/>
        <v>0</v>
      </c>
    </row>
    <row r="1096" spans="1:18" hidden="1" x14ac:dyDescent="0.3">
      <c r="A1096" t="s">
        <v>5611</v>
      </c>
      <c r="B1096" t="s">
        <v>5612</v>
      </c>
      <c r="C1096" t="s">
        <v>47</v>
      </c>
      <c r="D1096">
        <v>1</v>
      </c>
      <c r="E1096">
        <v>0</v>
      </c>
      <c r="G1096" s="1">
        <v>0</v>
      </c>
      <c r="H1096">
        <v>0</v>
      </c>
      <c r="I1096">
        <v>0.5</v>
      </c>
      <c r="J1096">
        <v>1</v>
      </c>
      <c r="K1096">
        <v>1</v>
      </c>
      <c r="L1096">
        <f t="shared" si="68"/>
        <v>2</v>
      </c>
      <c r="M1096">
        <v>0</v>
      </c>
      <c r="N1096">
        <v>0</v>
      </c>
      <c r="O1096">
        <v>2</v>
      </c>
      <c r="P1096" s="1">
        <f t="shared" si="69"/>
        <v>0</v>
      </c>
      <c r="Q1096">
        <f t="shared" si="70"/>
        <v>2</v>
      </c>
      <c r="R1096" s="1">
        <f t="shared" si="71"/>
        <v>0</v>
      </c>
    </row>
    <row r="1097" spans="1:18" hidden="1" x14ac:dyDescent="0.3">
      <c r="A1097" t="s">
        <v>5613</v>
      </c>
      <c r="B1097" t="s">
        <v>5612</v>
      </c>
      <c r="C1097" t="s">
        <v>47</v>
      </c>
      <c r="D1097">
        <v>1</v>
      </c>
      <c r="E1097">
        <v>0</v>
      </c>
      <c r="G1097" s="1">
        <v>0</v>
      </c>
      <c r="H1097">
        <v>0</v>
      </c>
      <c r="I1097">
        <v>0.5</v>
      </c>
      <c r="J1097">
        <v>1</v>
      </c>
      <c r="K1097">
        <v>1</v>
      </c>
      <c r="L1097">
        <f t="shared" si="68"/>
        <v>2</v>
      </c>
      <c r="M1097">
        <v>0</v>
      </c>
      <c r="N1097">
        <v>0</v>
      </c>
      <c r="O1097">
        <v>2</v>
      </c>
      <c r="P1097" s="1">
        <f t="shared" si="69"/>
        <v>0</v>
      </c>
      <c r="Q1097">
        <f t="shared" si="70"/>
        <v>2</v>
      </c>
      <c r="R1097" s="1">
        <f t="shared" si="71"/>
        <v>0</v>
      </c>
    </row>
    <row r="1098" spans="1:18" hidden="1" x14ac:dyDescent="0.3">
      <c r="A1098" t="s">
        <v>5614</v>
      </c>
      <c r="B1098" t="s">
        <v>5610</v>
      </c>
      <c r="C1098" t="s">
        <v>47</v>
      </c>
      <c r="D1098">
        <v>1</v>
      </c>
      <c r="E1098">
        <v>0</v>
      </c>
      <c r="G1098" s="1">
        <v>0</v>
      </c>
      <c r="H1098">
        <v>0</v>
      </c>
      <c r="I1098">
        <v>0.5</v>
      </c>
      <c r="J1098">
        <v>1</v>
      </c>
      <c r="K1098">
        <v>1</v>
      </c>
      <c r="L1098">
        <f t="shared" si="68"/>
        <v>2</v>
      </c>
      <c r="M1098">
        <v>0</v>
      </c>
      <c r="N1098">
        <v>0</v>
      </c>
      <c r="O1098">
        <v>2</v>
      </c>
      <c r="P1098" s="1">
        <f t="shared" si="69"/>
        <v>0</v>
      </c>
      <c r="Q1098">
        <f t="shared" si="70"/>
        <v>2</v>
      </c>
      <c r="R1098" s="1">
        <f t="shared" si="71"/>
        <v>0</v>
      </c>
    </row>
    <row r="1099" spans="1:18" hidden="1" x14ac:dyDescent="0.3">
      <c r="A1099" t="s">
        <v>5615</v>
      </c>
      <c r="B1099" t="s">
        <v>5616</v>
      </c>
      <c r="C1099" t="s">
        <v>47</v>
      </c>
      <c r="D1099">
        <v>1</v>
      </c>
      <c r="E1099">
        <v>0</v>
      </c>
      <c r="G1099" s="1">
        <v>0</v>
      </c>
      <c r="H1099">
        <v>0</v>
      </c>
      <c r="I1099">
        <v>0.5</v>
      </c>
      <c r="J1099">
        <v>1</v>
      </c>
      <c r="K1099">
        <v>1</v>
      </c>
      <c r="L1099">
        <f t="shared" si="68"/>
        <v>2</v>
      </c>
      <c r="M1099">
        <v>0</v>
      </c>
      <c r="N1099">
        <v>0</v>
      </c>
      <c r="O1099">
        <v>2</v>
      </c>
      <c r="P1099" s="1">
        <f t="shared" si="69"/>
        <v>0</v>
      </c>
      <c r="Q1099">
        <f t="shared" si="70"/>
        <v>2</v>
      </c>
      <c r="R1099" s="1">
        <f t="shared" si="71"/>
        <v>0</v>
      </c>
    </row>
    <row r="1100" spans="1:18" hidden="1" x14ac:dyDescent="0.3">
      <c r="A1100" t="s">
        <v>5617</v>
      </c>
      <c r="B1100" t="s">
        <v>5618</v>
      </c>
      <c r="C1100" t="s">
        <v>47</v>
      </c>
      <c r="D1100">
        <v>1</v>
      </c>
      <c r="E1100">
        <v>16</v>
      </c>
      <c r="F1100" t="s">
        <v>661</v>
      </c>
      <c r="G1100" s="1">
        <v>186.94</v>
      </c>
      <c r="H1100">
        <v>16</v>
      </c>
      <c r="I1100">
        <v>0.5</v>
      </c>
      <c r="J1100">
        <v>16</v>
      </c>
      <c r="K1100">
        <v>8</v>
      </c>
      <c r="L1100">
        <f t="shared" si="68"/>
        <v>16</v>
      </c>
      <c r="M1100">
        <v>0</v>
      </c>
      <c r="N1100">
        <v>0</v>
      </c>
      <c r="O1100">
        <v>40</v>
      </c>
      <c r="P1100" s="1">
        <f t="shared" si="69"/>
        <v>0</v>
      </c>
      <c r="Q1100">
        <f t="shared" si="70"/>
        <v>40</v>
      </c>
      <c r="R1100" s="1">
        <f t="shared" si="71"/>
        <v>7477.6</v>
      </c>
    </row>
    <row r="1101" spans="1:18" hidden="1" x14ac:dyDescent="0.3">
      <c r="A1101" t="s">
        <v>5619</v>
      </c>
      <c r="B1101" t="s">
        <v>5620</v>
      </c>
      <c r="C1101" t="s">
        <v>47</v>
      </c>
      <c r="D1101">
        <v>1</v>
      </c>
      <c r="E1101">
        <v>48</v>
      </c>
      <c r="F1101" t="s">
        <v>661</v>
      </c>
      <c r="G1101" s="1">
        <v>209.64</v>
      </c>
      <c r="H1101">
        <v>48</v>
      </c>
      <c r="I1101">
        <v>0.5</v>
      </c>
      <c r="J1101">
        <v>48</v>
      </c>
      <c r="K1101">
        <v>24</v>
      </c>
      <c r="L1101">
        <f t="shared" si="68"/>
        <v>48</v>
      </c>
      <c r="M1101">
        <v>0</v>
      </c>
      <c r="N1101">
        <v>0</v>
      </c>
      <c r="O1101">
        <v>120</v>
      </c>
      <c r="P1101" s="1">
        <f t="shared" si="69"/>
        <v>0</v>
      </c>
      <c r="Q1101">
        <f t="shared" si="70"/>
        <v>120</v>
      </c>
      <c r="R1101" s="1">
        <f t="shared" si="71"/>
        <v>25156.799999999999</v>
      </c>
    </row>
    <row r="1102" spans="1:18" hidden="1" x14ac:dyDescent="0.3">
      <c r="A1102" t="s">
        <v>5621</v>
      </c>
      <c r="B1102" t="s">
        <v>5622</v>
      </c>
      <c r="C1102" t="s">
        <v>47</v>
      </c>
      <c r="D1102">
        <v>1</v>
      </c>
      <c r="E1102">
        <v>8</v>
      </c>
      <c r="F1102" t="s">
        <v>661</v>
      </c>
      <c r="G1102" s="1">
        <v>209.64</v>
      </c>
      <c r="H1102">
        <v>8</v>
      </c>
      <c r="I1102">
        <v>0.5</v>
      </c>
      <c r="J1102">
        <v>8</v>
      </c>
      <c r="K1102">
        <v>4</v>
      </c>
      <c r="L1102">
        <f t="shared" si="68"/>
        <v>8</v>
      </c>
      <c r="M1102">
        <v>0</v>
      </c>
      <c r="N1102">
        <v>0</v>
      </c>
      <c r="O1102">
        <v>20</v>
      </c>
      <c r="P1102" s="1">
        <f t="shared" si="69"/>
        <v>0</v>
      </c>
      <c r="Q1102">
        <f t="shared" si="70"/>
        <v>20</v>
      </c>
      <c r="R1102" s="1">
        <f t="shared" si="71"/>
        <v>4192.7999999999993</v>
      </c>
    </row>
    <row r="1103" spans="1:18" hidden="1" x14ac:dyDescent="0.3">
      <c r="A1103" t="s">
        <v>5623</v>
      </c>
      <c r="B1103" t="s">
        <v>5624</v>
      </c>
      <c r="C1103" t="s">
        <v>47</v>
      </c>
      <c r="D1103">
        <v>1</v>
      </c>
      <c r="E1103">
        <v>3</v>
      </c>
      <c r="F1103" t="s">
        <v>3471</v>
      </c>
      <c r="G1103" s="1">
        <v>11569</v>
      </c>
      <c r="H1103">
        <v>0</v>
      </c>
      <c r="I1103">
        <v>1.8</v>
      </c>
      <c r="J1103">
        <v>3</v>
      </c>
      <c r="K1103">
        <v>5</v>
      </c>
      <c r="L1103">
        <f t="shared" si="68"/>
        <v>11</v>
      </c>
      <c r="M1103">
        <v>0</v>
      </c>
      <c r="N1103">
        <v>0</v>
      </c>
      <c r="O1103">
        <v>11</v>
      </c>
      <c r="P1103" s="1">
        <f t="shared" si="69"/>
        <v>0</v>
      </c>
      <c r="Q1103">
        <f t="shared" si="70"/>
        <v>11</v>
      </c>
      <c r="R1103" s="1">
        <f t="shared" si="71"/>
        <v>127259</v>
      </c>
    </row>
    <row r="1104" spans="1:18" hidden="1" x14ac:dyDescent="0.3">
      <c r="A1104" t="s">
        <v>5625</v>
      </c>
      <c r="B1104" t="s">
        <v>5626</v>
      </c>
      <c r="C1104" t="s">
        <v>47</v>
      </c>
      <c r="D1104">
        <v>16</v>
      </c>
      <c r="E1104">
        <v>4</v>
      </c>
      <c r="F1104" t="s">
        <v>2536</v>
      </c>
      <c r="G1104" s="1">
        <v>6116</v>
      </c>
      <c r="H1104">
        <v>2</v>
      </c>
      <c r="I1104">
        <v>1.1000000000000001</v>
      </c>
      <c r="J1104">
        <v>1</v>
      </c>
      <c r="K1104">
        <v>1</v>
      </c>
      <c r="L1104">
        <f t="shared" si="68"/>
        <v>3</v>
      </c>
      <c r="M1104">
        <v>0</v>
      </c>
      <c r="N1104">
        <v>0</v>
      </c>
      <c r="O1104">
        <v>3</v>
      </c>
      <c r="P1104" s="1">
        <f t="shared" si="69"/>
        <v>0</v>
      </c>
      <c r="Q1104">
        <f t="shared" si="70"/>
        <v>3</v>
      </c>
      <c r="R1104" s="1">
        <f t="shared" si="71"/>
        <v>18348</v>
      </c>
    </row>
    <row r="1105" spans="1:18" hidden="1" x14ac:dyDescent="0.3">
      <c r="A1105" t="s">
        <v>5627</v>
      </c>
      <c r="B1105" t="s">
        <v>5628</v>
      </c>
      <c r="C1105" t="s">
        <v>47</v>
      </c>
      <c r="D1105">
        <v>7</v>
      </c>
      <c r="E1105">
        <v>5</v>
      </c>
      <c r="F1105" t="s">
        <v>3500</v>
      </c>
      <c r="G1105" s="1">
        <v>7173.6</v>
      </c>
      <c r="H1105">
        <v>0</v>
      </c>
      <c r="I1105">
        <v>0.6</v>
      </c>
      <c r="J1105">
        <v>1</v>
      </c>
      <c r="K1105">
        <v>1</v>
      </c>
      <c r="L1105">
        <f t="shared" si="68"/>
        <v>2</v>
      </c>
      <c r="M1105">
        <v>0</v>
      </c>
      <c r="N1105">
        <v>0</v>
      </c>
      <c r="O1105">
        <v>3</v>
      </c>
      <c r="P1105" s="1">
        <f t="shared" si="69"/>
        <v>0</v>
      </c>
      <c r="Q1105">
        <f t="shared" si="70"/>
        <v>3</v>
      </c>
      <c r="R1105" s="1">
        <f t="shared" si="71"/>
        <v>21520.800000000003</v>
      </c>
    </row>
    <row r="1106" spans="1:18" hidden="1" x14ac:dyDescent="0.3">
      <c r="A1106" t="s">
        <v>5629</v>
      </c>
      <c r="B1106" t="s">
        <v>5630</v>
      </c>
      <c r="C1106" t="s">
        <v>47</v>
      </c>
      <c r="D1106">
        <v>7</v>
      </c>
      <c r="E1106">
        <v>5</v>
      </c>
      <c r="F1106" t="s">
        <v>3500</v>
      </c>
      <c r="G1106" s="1">
        <v>0</v>
      </c>
      <c r="H1106">
        <v>0</v>
      </c>
      <c r="I1106">
        <v>0.6</v>
      </c>
      <c r="J1106">
        <v>1</v>
      </c>
      <c r="K1106">
        <v>1</v>
      </c>
      <c r="L1106">
        <f t="shared" si="68"/>
        <v>2</v>
      </c>
      <c r="M1106">
        <v>0</v>
      </c>
      <c r="N1106">
        <v>0</v>
      </c>
      <c r="O1106">
        <v>3</v>
      </c>
      <c r="P1106" s="1">
        <f t="shared" si="69"/>
        <v>0</v>
      </c>
      <c r="Q1106">
        <f t="shared" si="70"/>
        <v>3</v>
      </c>
      <c r="R1106" s="1">
        <f t="shared" si="71"/>
        <v>0</v>
      </c>
    </row>
    <row r="1107" spans="1:18" hidden="1" x14ac:dyDescent="0.3">
      <c r="A1107" t="s">
        <v>5631</v>
      </c>
      <c r="B1107" t="s">
        <v>5632</v>
      </c>
      <c r="C1107" t="s">
        <v>47</v>
      </c>
      <c r="D1107">
        <v>1</v>
      </c>
      <c r="E1107">
        <v>1</v>
      </c>
      <c r="F1107" t="s">
        <v>3500</v>
      </c>
      <c r="G1107" s="1">
        <v>5516</v>
      </c>
      <c r="H1107">
        <v>0</v>
      </c>
      <c r="I1107">
        <v>0.5</v>
      </c>
      <c r="J1107">
        <v>1</v>
      </c>
      <c r="K1107">
        <v>1</v>
      </c>
      <c r="L1107">
        <f t="shared" si="68"/>
        <v>2</v>
      </c>
      <c r="M1107">
        <v>0</v>
      </c>
      <c r="N1107">
        <v>0</v>
      </c>
      <c r="O1107">
        <v>2</v>
      </c>
      <c r="P1107" s="1">
        <f t="shared" si="69"/>
        <v>0</v>
      </c>
      <c r="Q1107">
        <f t="shared" si="70"/>
        <v>2</v>
      </c>
      <c r="R1107" s="1">
        <f t="shared" si="71"/>
        <v>11032</v>
      </c>
    </row>
    <row r="1108" spans="1:18" hidden="1" x14ac:dyDescent="0.3">
      <c r="A1108" t="s">
        <v>5633</v>
      </c>
      <c r="B1108" t="s">
        <v>5634</v>
      </c>
      <c r="C1108" t="s">
        <v>47</v>
      </c>
      <c r="D1108">
        <v>7</v>
      </c>
      <c r="E1108">
        <v>10</v>
      </c>
      <c r="F1108" t="s">
        <v>3500</v>
      </c>
      <c r="G1108" s="1">
        <v>147</v>
      </c>
      <c r="H1108">
        <v>0</v>
      </c>
      <c r="I1108">
        <v>0.6</v>
      </c>
      <c r="J1108">
        <v>1.5</v>
      </c>
      <c r="K1108">
        <v>1</v>
      </c>
      <c r="L1108">
        <f t="shared" si="68"/>
        <v>2</v>
      </c>
      <c r="M1108">
        <v>0</v>
      </c>
      <c r="N1108">
        <v>0</v>
      </c>
      <c r="O1108">
        <v>4</v>
      </c>
      <c r="P1108" s="1">
        <f t="shared" si="69"/>
        <v>0</v>
      </c>
      <c r="Q1108">
        <f t="shared" si="70"/>
        <v>4</v>
      </c>
      <c r="R1108" s="1">
        <f t="shared" si="71"/>
        <v>588</v>
      </c>
    </row>
    <row r="1109" spans="1:18" hidden="1" x14ac:dyDescent="0.3">
      <c r="A1109" t="s">
        <v>5635</v>
      </c>
      <c r="B1109" t="s">
        <v>5636</v>
      </c>
      <c r="C1109" t="s">
        <v>47</v>
      </c>
      <c r="D1109">
        <v>7</v>
      </c>
      <c r="E1109">
        <v>10</v>
      </c>
      <c r="F1109" t="s">
        <v>3500</v>
      </c>
      <c r="G1109" s="1">
        <v>157.5</v>
      </c>
      <c r="H1109">
        <v>0</v>
      </c>
      <c r="I1109">
        <v>0.6</v>
      </c>
      <c r="J1109">
        <v>1.5</v>
      </c>
      <c r="K1109">
        <v>1</v>
      </c>
      <c r="L1109">
        <f t="shared" si="68"/>
        <v>2</v>
      </c>
      <c r="M1109">
        <v>0</v>
      </c>
      <c r="N1109">
        <v>0</v>
      </c>
      <c r="O1109">
        <v>4</v>
      </c>
      <c r="P1109" s="1">
        <f t="shared" si="69"/>
        <v>0</v>
      </c>
      <c r="Q1109">
        <f t="shared" si="70"/>
        <v>4</v>
      </c>
      <c r="R1109" s="1">
        <f t="shared" si="71"/>
        <v>630</v>
      </c>
    </row>
    <row r="1110" spans="1:18" hidden="1" x14ac:dyDescent="0.3">
      <c r="A1110" t="s">
        <v>5637</v>
      </c>
      <c r="B1110" t="s">
        <v>5638</v>
      </c>
      <c r="C1110" t="s">
        <v>47</v>
      </c>
      <c r="D1110">
        <v>1</v>
      </c>
      <c r="E1110">
        <v>0</v>
      </c>
      <c r="G1110" s="1">
        <v>38966.400000000001</v>
      </c>
      <c r="H1110">
        <v>0</v>
      </c>
      <c r="I1110">
        <v>0.5</v>
      </c>
      <c r="J1110">
        <v>1</v>
      </c>
      <c r="K1110">
        <v>1</v>
      </c>
      <c r="L1110">
        <f t="shared" si="68"/>
        <v>2</v>
      </c>
      <c r="M1110">
        <v>0</v>
      </c>
      <c r="N1110">
        <v>0</v>
      </c>
      <c r="O1110">
        <v>2</v>
      </c>
      <c r="P1110" s="1">
        <f t="shared" si="69"/>
        <v>0</v>
      </c>
      <c r="Q1110">
        <f t="shared" si="70"/>
        <v>2</v>
      </c>
      <c r="R1110" s="1">
        <f t="shared" si="71"/>
        <v>77932.800000000003</v>
      </c>
    </row>
    <row r="1111" spans="1:18" hidden="1" x14ac:dyDescent="0.3">
      <c r="A1111" t="s">
        <v>5639</v>
      </c>
      <c r="B1111" t="s">
        <v>5640</v>
      </c>
      <c r="C1111" t="s">
        <v>47</v>
      </c>
      <c r="D1111">
        <v>1</v>
      </c>
      <c r="E1111">
        <v>0</v>
      </c>
      <c r="G1111" s="1">
        <v>0</v>
      </c>
      <c r="H1111">
        <v>0</v>
      </c>
      <c r="I1111">
        <v>0.5</v>
      </c>
      <c r="J1111">
        <v>1</v>
      </c>
      <c r="K1111">
        <v>1</v>
      </c>
      <c r="L1111">
        <f t="shared" si="68"/>
        <v>2</v>
      </c>
      <c r="M1111">
        <v>0</v>
      </c>
      <c r="N1111">
        <v>0</v>
      </c>
      <c r="O1111">
        <v>2</v>
      </c>
      <c r="P1111" s="1">
        <f t="shared" si="69"/>
        <v>0</v>
      </c>
      <c r="Q1111">
        <f t="shared" si="70"/>
        <v>2</v>
      </c>
      <c r="R1111" s="1">
        <f t="shared" si="71"/>
        <v>0</v>
      </c>
    </row>
    <row r="1112" spans="1:18" hidden="1" x14ac:dyDescent="0.3">
      <c r="A1112" t="s">
        <v>5641</v>
      </c>
      <c r="B1112" t="s">
        <v>5642</v>
      </c>
      <c r="C1112" t="s">
        <v>47</v>
      </c>
      <c r="D1112">
        <v>1</v>
      </c>
      <c r="E1112">
        <v>0</v>
      </c>
      <c r="G1112" s="1">
        <v>0</v>
      </c>
      <c r="H1112">
        <v>0</v>
      </c>
      <c r="I1112">
        <v>0.5</v>
      </c>
      <c r="J1112">
        <v>1</v>
      </c>
      <c r="K1112">
        <v>1</v>
      </c>
      <c r="L1112">
        <f t="shared" si="68"/>
        <v>2</v>
      </c>
      <c r="M1112">
        <v>0</v>
      </c>
      <c r="N1112">
        <v>0</v>
      </c>
      <c r="O1112">
        <v>2</v>
      </c>
      <c r="P1112" s="1">
        <f t="shared" si="69"/>
        <v>0</v>
      </c>
      <c r="Q1112">
        <f t="shared" si="70"/>
        <v>2</v>
      </c>
      <c r="R1112" s="1">
        <f t="shared" si="71"/>
        <v>0</v>
      </c>
    </row>
    <row r="1113" spans="1:18" hidden="1" x14ac:dyDescent="0.3">
      <c r="A1113" t="s">
        <v>5643</v>
      </c>
      <c r="B1113" t="s">
        <v>5644</v>
      </c>
      <c r="C1113" t="s">
        <v>47</v>
      </c>
      <c r="D1113">
        <v>1</v>
      </c>
      <c r="E1113">
        <v>0</v>
      </c>
      <c r="G1113" s="1">
        <v>0</v>
      </c>
      <c r="H1113">
        <v>0</v>
      </c>
      <c r="I1113">
        <v>0.5</v>
      </c>
      <c r="J1113">
        <v>1</v>
      </c>
      <c r="K1113">
        <v>1</v>
      </c>
      <c r="L1113">
        <f t="shared" si="68"/>
        <v>2</v>
      </c>
      <c r="M1113">
        <v>0</v>
      </c>
      <c r="N1113">
        <v>0</v>
      </c>
      <c r="O1113">
        <v>2</v>
      </c>
      <c r="P1113" s="1">
        <f t="shared" si="69"/>
        <v>0</v>
      </c>
      <c r="Q1113">
        <f t="shared" si="70"/>
        <v>2</v>
      </c>
      <c r="R1113" s="1">
        <f t="shared" si="71"/>
        <v>0</v>
      </c>
    </row>
    <row r="1114" spans="1:18" hidden="1" x14ac:dyDescent="0.3">
      <c r="A1114" t="s">
        <v>5645</v>
      </c>
      <c r="B1114" t="s">
        <v>5646</v>
      </c>
      <c r="C1114" t="s">
        <v>47</v>
      </c>
      <c r="D1114">
        <v>1</v>
      </c>
      <c r="E1114">
        <v>1</v>
      </c>
      <c r="F1114" t="s">
        <v>2014</v>
      </c>
      <c r="G1114" s="1">
        <v>20582.189999999999</v>
      </c>
      <c r="H1114">
        <v>0</v>
      </c>
      <c r="I1114">
        <v>2</v>
      </c>
      <c r="J1114">
        <v>1</v>
      </c>
      <c r="K1114">
        <v>2</v>
      </c>
      <c r="L1114">
        <f t="shared" si="68"/>
        <v>4</v>
      </c>
      <c r="M1114">
        <v>0</v>
      </c>
      <c r="N1114">
        <v>0</v>
      </c>
      <c r="O1114">
        <v>4</v>
      </c>
      <c r="P1114" s="1">
        <f t="shared" si="69"/>
        <v>0</v>
      </c>
      <c r="Q1114">
        <f t="shared" si="70"/>
        <v>4</v>
      </c>
      <c r="R1114" s="1">
        <f t="shared" si="71"/>
        <v>82328.759999999995</v>
      </c>
    </row>
    <row r="1115" spans="1:18" hidden="1" x14ac:dyDescent="0.3">
      <c r="A1115" t="s">
        <v>5647</v>
      </c>
      <c r="B1115" t="s">
        <v>5648</v>
      </c>
      <c r="C1115" t="s">
        <v>47</v>
      </c>
      <c r="D1115">
        <v>1</v>
      </c>
      <c r="E1115">
        <v>1</v>
      </c>
      <c r="F1115" t="s">
        <v>4580</v>
      </c>
      <c r="G1115" s="1">
        <v>850</v>
      </c>
      <c r="H1115">
        <v>0</v>
      </c>
      <c r="I1115">
        <v>0.5</v>
      </c>
      <c r="J1115">
        <v>1</v>
      </c>
      <c r="K1115">
        <v>1</v>
      </c>
      <c r="L1115">
        <f t="shared" si="68"/>
        <v>2</v>
      </c>
      <c r="M1115">
        <v>0</v>
      </c>
      <c r="N1115">
        <v>0</v>
      </c>
      <c r="O1115">
        <v>2</v>
      </c>
      <c r="P1115" s="1">
        <f t="shared" si="69"/>
        <v>0</v>
      </c>
      <c r="Q1115">
        <f t="shared" si="70"/>
        <v>2</v>
      </c>
      <c r="R1115" s="1">
        <f t="shared" si="71"/>
        <v>1700</v>
      </c>
    </row>
    <row r="1116" spans="1:18" hidden="1" x14ac:dyDescent="0.3">
      <c r="A1116" t="s">
        <v>5649</v>
      </c>
      <c r="B1116" t="s">
        <v>5650</v>
      </c>
      <c r="C1116" t="s">
        <v>47</v>
      </c>
      <c r="D1116">
        <v>1</v>
      </c>
      <c r="E1116">
        <v>1</v>
      </c>
      <c r="F1116" t="s">
        <v>2536</v>
      </c>
      <c r="G1116" s="1">
        <v>2100</v>
      </c>
      <c r="H1116">
        <v>0</v>
      </c>
      <c r="I1116">
        <v>0.5</v>
      </c>
      <c r="J1116">
        <v>1</v>
      </c>
      <c r="K1116">
        <v>1</v>
      </c>
      <c r="L1116">
        <f t="shared" si="68"/>
        <v>2</v>
      </c>
      <c r="M1116">
        <v>0</v>
      </c>
      <c r="N1116">
        <v>0</v>
      </c>
      <c r="O1116">
        <v>2</v>
      </c>
      <c r="P1116" s="1">
        <f t="shared" si="69"/>
        <v>0</v>
      </c>
      <c r="Q1116">
        <f t="shared" si="70"/>
        <v>2</v>
      </c>
      <c r="R1116" s="1">
        <f t="shared" si="71"/>
        <v>4200</v>
      </c>
    </row>
    <row r="1117" spans="1:18" hidden="1" x14ac:dyDescent="0.3">
      <c r="A1117" t="s">
        <v>5651</v>
      </c>
      <c r="B1117" t="s">
        <v>5652</v>
      </c>
      <c r="C1117" t="s">
        <v>47</v>
      </c>
      <c r="D1117">
        <v>8</v>
      </c>
      <c r="E1117">
        <v>10</v>
      </c>
      <c r="F1117" t="s">
        <v>4228</v>
      </c>
      <c r="G1117" s="1">
        <v>511.44</v>
      </c>
      <c r="H1117">
        <v>0</v>
      </c>
      <c r="I1117">
        <v>0.5</v>
      </c>
      <c r="J1117">
        <v>1.5</v>
      </c>
      <c r="K1117">
        <v>1</v>
      </c>
      <c r="L1117">
        <f t="shared" si="68"/>
        <v>2</v>
      </c>
      <c r="M1117">
        <v>0</v>
      </c>
      <c r="N1117">
        <v>0</v>
      </c>
      <c r="O1117">
        <v>4</v>
      </c>
      <c r="P1117" s="1">
        <f t="shared" si="69"/>
        <v>0</v>
      </c>
      <c r="Q1117">
        <f t="shared" si="70"/>
        <v>4</v>
      </c>
      <c r="R1117" s="1">
        <f t="shared" si="71"/>
        <v>2045.76</v>
      </c>
    </row>
    <row r="1118" spans="1:18" hidden="1" x14ac:dyDescent="0.3">
      <c r="A1118" t="s">
        <v>5653</v>
      </c>
      <c r="B1118" t="s">
        <v>5654</v>
      </c>
      <c r="C1118" t="s">
        <v>47</v>
      </c>
      <c r="D1118">
        <v>3</v>
      </c>
      <c r="E1118">
        <v>3</v>
      </c>
      <c r="F1118" t="s">
        <v>5655</v>
      </c>
      <c r="G1118" s="1">
        <v>2500</v>
      </c>
      <c r="H1118">
        <v>0</v>
      </c>
      <c r="I1118">
        <v>0.5</v>
      </c>
      <c r="J1118">
        <v>1</v>
      </c>
      <c r="K1118">
        <v>1</v>
      </c>
      <c r="L1118">
        <f t="shared" si="68"/>
        <v>2</v>
      </c>
      <c r="M1118">
        <v>0</v>
      </c>
      <c r="N1118">
        <v>0</v>
      </c>
      <c r="O1118">
        <v>2</v>
      </c>
      <c r="P1118" s="1">
        <f t="shared" si="69"/>
        <v>0</v>
      </c>
      <c r="Q1118">
        <f t="shared" si="70"/>
        <v>2</v>
      </c>
      <c r="R1118" s="1">
        <f t="shared" si="71"/>
        <v>5000</v>
      </c>
    </row>
    <row r="1119" spans="1:18" hidden="1" x14ac:dyDescent="0.3">
      <c r="A1119" t="s">
        <v>5656</v>
      </c>
      <c r="B1119" t="s">
        <v>5657</v>
      </c>
      <c r="C1119" t="s">
        <v>47</v>
      </c>
      <c r="D1119">
        <v>1</v>
      </c>
      <c r="E1119">
        <v>12</v>
      </c>
      <c r="F1119" t="s">
        <v>4391</v>
      </c>
      <c r="G1119" s="1">
        <v>43.33</v>
      </c>
      <c r="H1119">
        <v>0</v>
      </c>
      <c r="I1119">
        <v>0.5</v>
      </c>
      <c r="J1119">
        <v>12</v>
      </c>
      <c r="K1119">
        <v>6</v>
      </c>
      <c r="L1119">
        <f t="shared" si="68"/>
        <v>12</v>
      </c>
      <c r="M1119">
        <v>0</v>
      </c>
      <c r="N1119">
        <v>0</v>
      </c>
      <c r="O1119">
        <v>30</v>
      </c>
      <c r="P1119" s="1">
        <f t="shared" si="69"/>
        <v>0</v>
      </c>
      <c r="Q1119">
        <f t="shared" si="70"/>
        <v>30</v>
      </c>
      <c r="R1119" s="1">
        <f t="shared" si="71"/>
        <v>1299.8999999999999</v>
      </c>
    </row>
    <row r="1120" spans="1:18" hidden="1" x14ac:dyDescent="0.3">
      <c r="A1120" t="s">
        <v>5658</v>
      </c>
      <c r="B1120" t="s">
        <v>5659</v>
      </c>
      <c r="C1120" t="s">
        <v>47</v>
      </c>
      <c r="D1120">
        <v>1</v>
      </c>
      <c r="E1120">
        <v>0</v>
      </c>
      <c r="G1120" s="1">
        <v>0</v>
      </c>
      <c r="H1120">
        <v>0</v>
      </c>
      <c r="I1120">
        <v>0.5</v>
      </c>
      <c r="J1120">
        <v>1</v>
      </c>
      <c r="K1120">
        <v>1</v>
      </c>
      <c r="L1120">
        <f t="shared" si="68"/>
        <v>2</v>
      </c>
      <c r="M1120">
        <v>0</v>
      </c>
      <c r="N1120">
        <v>0</v>
      </c>
      <c r="O1120">
        <v>2</v>
      </c>
      <c r="P1120" s="1">
        <f t="shared" si="69"/>
        <v>0</v>
      </c>
      <c r="Q1120">
        <f t="shared" si="70"/>
        <v>2</v>
      </c>
      <c r="R1120" s="1">
        <f t="shared" si="71"/>
        <v>0</v>
      </c>
    </row>
    <row r="1121" spans="1:18" hidden="1" x14ac:dyDescent="0.3">
      <c r="A1121" t="s">
        <v>5660</v>
      </c>
      <c r="B1121" t="s">
        <v>5661</v>
      </c>
      <c r="C1121" t="s">
        <v>47</v>
      </c>
      <c r="D1121">
        <v>6</v>
      </c>
      <c r="E1121">
        <v>7</v>
      </c>
      <c r="F1121" t="s">
        <v>5662</v>
      </c>
      <c r="G1121" s="1">
        <v>8000</v>
      </c>
      <c r="H1121">
        <v>0</v>
      </c>
      <c r="I1121">
        <v>0.5</v>
      </c>
      <c r="J1121">
        <v>1.5</v>
      </c>
      <c r="K1121">
        <v>1</v>
      </c>
      <c r="L1121">
        <f t="shared" si="68"/>
        <v>2</v>
      </c>
      <c r="M1121">
        <v>0</v>
      </c>
      <c r="N1121">
        <v>0</v>
      </c>
      <c r="O1121">
        <v>4</v>
      </c>
      <c r="P1121" s="1">
        <f t="shared" si="69"/>
        <v>0</v>
      </c>
      <c r="Q1121">
        <f t="shared" si="70"/>
        <v>4</v>
      </c>
      <c r="R1121" s="1">
        <f t="shared" si="71"/>
        <v>32000</v>
      </c>
    </row>
    <row r="1122" spans="1:18" hidden="1" x14ac:dyDescent="0.3">
      <c r="A1122" t="s">
        <v>5663</v>
      </c>
      <c r="B1122" t="s">
        <v>5664</v>
      </c>
      <c r="C1122" t="s">
        <v>47</v>
      </c>
      <c r="D1122">
        <v>28</v>
      </c>
      <c r="E1122">
        <v>18</v>
      </c>
      <c r="F1122" t="s">
        <v>5665</v>
      </c>
      <c r="G1122" s="1">
        <v>0</v>
      </c>
      <c r="H1122">
        <v>0</v>
      </c>
      <c r="I1122">
        <v>0.5</v>
      </c>
      <c r="J1122">
        <v>1</v>
      </c>
      <c r="K1122">
        <v>1</v>
      </c>
      <c r="L1122">
        <f t="shared" si="68"/>
        <v>2</v>
      </c>
      <c r="M1122">
        <v>0</v>
      </c>
      <c r="N1122">
        <v>0</v>
      </c>
      <c r="O1122">
        <v>2</v>
      </c>
      <c r="P1122" s="1">
        <f t="shared" si="69"/>
        <v>0</v>
      </c>
      <c r="Q1122">
        <f t="shared" si="70"/>
        <v>2</v>
      </c>
      <c r="R1122" s="1">
        <f t="shared" si="71"/>
        <v>0</v>
      </c>
    </row>
    <row r="1123" spans="1:18" hidden="1" x14ac:dyDescent="0.3">
      <c r="A1123" t="s">
        <v>5666</v>
      </c>
      <c r="B1123" t="s">
        <v>5667</v>
      </c>
      <c r="C1123" t="s">
        <v>47</v>
      </c>
      <c r="D1123">
        <v>1</v>
      </c>
      <c r="E1123">
        <v>0</v>
      </c>
      <c r="G1123" s="1">
        <v>0</v>
      </c>
      <c r="H1123">
        <v>10</v>
      </c>
      <c r="I1123">
        <v>0.5</v>
      </c>
      <c r="J1123">
        <v>10</v>
      </c>
      <c r="K1123">
        <v>5</v>
      </c>
      <c r="L1123">
        <f t="shared" si="68"/>
        <v>10</v>
      </c>
      <c r="M1123">
        <v>0</v>
      </c>
      <c r="N1123">
        <v>0</v>
      </c>
      <c r="O1123">
        <v>25</v>
      </c>
      <c r="P1123" s="1">
        <f t="shared" si="69"/>
        <v>0</v>
      </c>
      <c r="Q1123">
        <f t="shared" si="70"/>
        <v>25</v>
      </c>
      <c r="R1123" s="1">
        <f t="shared" si="71"/>
        <v>0</v>
      </c>
    </row>
    <row r="1124" spans="1:18" hidden="1" x14ac:dyDescent="0.3">
      <c r="A1124" t="s">
        <v>5668</v>
      </c>
      <c r="B1124" t="s">
        <v>5669</v>
      </c>
      <c r="C1124" t="s">
        <v>47</v>
      </c>
      <c r="D1124">
        <v>1</v>
      </c>
      <c r="E1124">
        <v>0</v>
      </c>
      <c r="G1124" s="1">
        <v>0</v>
      </c>
      <c r="H1124">
        <v>0</v>
      </c>
      <c r="I1124">
        <v>0.5</v>
      </c>
      <c r="J1124">
        <v>1</v>
      </c>
      <c r="K1124">
        <v>1</v>
      </c>
      <c r="L1124">
        <f t="shared" si="68"/>
        <v>2</v>
      </c>
      <c r="M1124">
        <v>0</v>
      </c>
      <c r="N1124">
        <v>0</v>
      </c>
      <c r="O1124">
        <v>2</v>
      </c>
      <c r="P1124" s="1">
        <f t="shared" si="69"/>
        <v>0</v>
      </c>
      <c r="Q1124">
        <f t="shared" si="70"/>
        <v>2</v>
      </c>
      <c r="R1124" s="1">
        <f t="shared" si="71"/>
        <v>0</v>
      </c>
    </row>
    <row r="1125" spans="1:18" hidden="1" x14ac:dyDescent="0.3">
      <c r="A1125" t="s">
        <v>5670</v>
      </c>
      <c r="B1125" t="s">
        <v>5671</v>
      </c>
      <c r="C1125" t="s">
        <v>47</v>
      </c>
      <c r="D1125">
        <v>26</v>
      </c>
      <c r="E1125">
        <v>25</v>
      </c>
      <c r="F1125" t="s">
        <v>5672</v>
      </c>
      <c r="G1125" s="1">
        <v>1176.43</v>
      </c>
      <c r="H1125">
        <v>0</v>
      </c>
      <c r="I1125">
        <v>0.5</v>
      </c>
      <c r="J1125">
        <v>1</v>
      </c>
      <c r="K1125">
        <v>1</v>
      </c>
      <c r="L1125">
        <f t="shared" si="68"/>
        <v>2</v>
      </c>
      <c r="M1125">
        <v>0</v>
      </c>
      <c r="N1125">
        <v>0</v>
      </c>
      <c r="O1125">
        <v>2</v>
      </c>
      <c r="P1125" s="1">
        <f t="shared" si="69"/>
        <v>0</v>
      </c>
      <c r="Q1125">
        <f t="shared" si="70"/>
        <v>2</v>
      </c>
      <c r="R1125" s="1">
        <f t="shared" si="71"/>
        <v>2352.86</v>
      </c>
    </row>
    <row r="1126" spans="1:18" hidden="1" x14ac:dyDescent="0.3">
      <c r="A1126" t="s">
        <v>5673</v>
      </c>
      <c r="B1126" t="s">
        <v>5674</v>
      </c>
      <c r="C1126" t="s">
        <v>47</v>
      </c>
      <c r="D1126">
        <v>1</v>
      </c>
      <c r="E1126">
        <v>1</v>
      </c>
      <c r="F1126" t="s">
        <v>3471</v>
      </c>
      <c r="G1126" s="1">
        <v>2958.8</v>
      </c>
      <c r="H1126">
        <v>0</v>
      </c>
      <c r="I1126">
        <v>1.5</v>
      </c>
      <c r="J1126">
        <v>1</v>
      </c>
      <c r="K1126">
        <v>2</v>
      </c>
      <c r="L1126">
        <f t="shared" si="68"/>
        <v>4</v>
      </c>
      <c r="M1126">
        <v>0</v>
      </c>
      <c r="N1126">
        <v>0</v>
      </c>
      <c r="O1126">
        <v>4</v>
      </c>
      <c r="P1126" s="1">
        <f t="shared" si="69"/>
        <v>0</v>
      </c>
      <c r="Q1126">
        <f t="shared" si="70"/>
        <v>4</v>
      </c>
      <c r="R1126" s="1">
        <f t="shared" si="71"/>
        <v>11835.2</v>
      </c>
    </row>
    <row r="1127" spans="1:18" hidden="1" x14ac:dyDescent="0.3">
      <c r="A1127" t="s">
        <v>5675</v>
      </c>
      <c r="B1127" t="s">
        <v>5676</v>
      </c>
      <c r="C1127" t="s">
        <v>47</v>
      </c>
      <c r="D1127">
        <v>1</v>
      </c>
      <c r="E1127">
        <v>0</v>
      </c>
      <c r="G1127" s="1">
        <v>0</v>
      </c>
      <c r="H1127">
        <v>0</v>
      </c>
      <c r="I1127">
        <v>0.5</v>
      </c>
      <c r="J1127">
        <v>1</v>
      </c>
      <c r="K1127">
        <v>1</v>
      </c>
      <c r="L1127">
        <f t="shared" si="68"/>
        <v>2</v>
      </c>
      <c r="M1127">
        <v>0</v>
      </c>
      <c r="N1127">
        <v>0</v>
      </c>
      <c r="O1127">
        <v>2</v>
      </c>
      <c r="P1127" s="1">
        <f t="shared" si="69"/>
        <v>0</v>
      </c>
      <c r="Q1127">
        <f t="shared" si="70"/>
        <v>2</v>
      </c>
      <c r="R1127" s="1">
        <f t="shared" si="71"/>
        <v>0</v>
      </c>
    </row>
    <row r="1128" spans="1:18" hidden="1" x14ac:dyDescent="0.3">
      <c r="A1128" t="s">
        <v>5677</v>
      </c>
      <c r="B1128" t="s">
        <v>5676</v>
      </c>
      <c r="C1128" t="s">
        <v>47</v>
      </c>
      <c r="D1128">
        <v>1</v>
      </c>
      <c r="E1128">
        <v>1</v>
      </c>
      <c r="F1128" t="s">
        <v>3471</v>
      </c>
      <c r="G1128" s="1">
        <v>2625</v>
      </c>
      <c r="H1128">
        <v>0</v>
      </c>
      <c r="I1128">
        <v>1.8</v>
      </c>
      <c r="J1128">
        <v>1</v>
      </c>
      <c r="K1128">
        <v>2</v>
      </c>
      <c r="L1128">
        <f t="shared" si="68"/>
        <v>4</v>
      </c>
      <c r="M1128">
        <v>0</v>
      </c>
      <c r="N1128">
        <v>0</v>
      </c>
      <c r="O1128">
        <v>4</v>
      </c>
      <c r="P1128" s="1">
        <f t="shared" si="69"/>
        <v>0</v>
      </c>
      <c r="Q1128">
        <f t="shared" si="70"/>
        <v>4</v>
      </c>
      <c r="R1128" s="1">
        <f t="shared" si="71"/>
        <v>10500</v>
      </c>
    </row>
    <row r="1129" spans="1:18" hidden="1" x14ac:dyDescent="0.3">
      <c r="A1129" t="s">
        <v>5678</v>
      </c>
      <c r="B1129" t="s">
        <v>5679</v>
      </c>
      <c r="C1129" t="s">
        <v>47</v>
      </c>
      <c r="D1129">
        <v>1</v>
      </c>
      <c r="E1129">
        <v>1</v>
      </c>
      <c r="F1129" t="s">
        <v>3471</v>
      </c>
      <c r="G1129" s="1">
        <v>2385.5</v>
      </c>
      <c r="H1129">
        <v>0</v>
      </c>
      <c r="I1129">
        <v>1.5</v>
      </c>
      <c r="J1129">
        <v>1</v>
      </c>
      <c r="K1129">
        <v>2</v>
      </c>
      <c r="L1129">
        <f t="shared" si="68"/>
        <v>4</v>
      </c>
      <c r="M1129">
        <v>0</v>
      </c>
      <c r="N1129">
        <v>0</v>
      </c>
      <c r="O1129">
        <v>4</v>
      </c>
      <c r="P1129" s="1">
        <f t="shared" si="69"/>
        <v>0</v>
      </c>
      <c r="Q1129">
        <f t="shared" si="70"/>
        <v>4</v>
      </c>
      <c r="R1129" s="1">
        <f t="shared" si="71"/>
        <v>9542</v>
      </c>
    </row>
    <row r="1130" spans="1:18" hidden="1" x14ac:dyDescent="0.3">
      <c r="A1130" t="s">
        <v>5680</v>
      </c>
      <c r="B1130" t="s">
        <v>4935</v>
      </c>
      <c r="C1130" t="s">
        <v>47</v>
      </c>
      <c r="D1130">
        <v>1</v>
      </c>
      <c r="E1130">
        <v>0</v>
      </c>
      <c r="G1130" s="1">
        <v>0</v>
      </c>
      <c r="H1130">
        <v>0</v>
      </c>
      <c r="I1130">
        <v>0.5</v>
      </c>
      <c r="J1130">
        <v>1</v>
      </c>
      <c r="K1130">
        <v>1</v>
      </c>
      <c r="L1130">
        <f t="shared" si="68"/>
        <v>2</v>
      </c>
      <c r="M1130">
        <v>0</v>
      </c>
      <c r="N1130">
        <v>0</v>
      </c>
      <c r="O1130">
        <v>2</v>
      </c>
      <c r="P1130" s="1">
        <f t="shared" si="69"/>
        <v>0</v>
      </c>
      <c r="Q1130">
        <f t="shared" si="70"/>
        <v>2</v>
      </c>
      <c r="R1130" s="1">
        <f t="shared" si="71"/>
        <v>0</v>
      </c>
    </row>
    <row r="1131" spans="1:18" hidden="1" x14ac:dyDescent="0.3">
      <c r="A1131" t="s">
        <v>5681</v>
      </c>
      <c r="B1131" t="s">
        <v>5682</v>
      </c>
      <c r="C1131" t="s">
        <v>47</v>
      </c>
      <c r="D1131">
        <v>1</v>
      </c>
      <c r="E1131">
        <v>34</v>
      </c>
      <c r="F1131" t="s">
        <v>4391</v>
      </c>
      <c r="G1131" s="1">
        <v>138.58000000000001</v>
      </c>
      <c r="H1131">
        <v>0</v>
      </c>
      <c r="I1131">
        <v>0.5</v>
      </c>
      <c r="J1131">
        <v>34</v>
      </c>
      <c r="K1131">
        <v>17</v>
      </c>
      <c r="L1131">
        <f t="shared" si="68"/>
        <v>34</v>
      </c>
      <c r="M1131">
        <v>0</v>
      </c>
      <c r="N1131">
        <v>0</v>
      </c>
      <c r="O1131">
        <v>85</v>
      </c>
      <c r="P1131" s="1">
        <f t="shared" si="69"/>
        <v>0</v>
      </c>
      <c r="Q1131">
        <f t="shared" si="70"/>
        <v>85</v>
      </c>
      <c r="R1131" s="1">
        <f t="shared" si="71"/>
        <v>11779.300000000001</v>
      </c>
    </row>
    <row r="1132" spans="1:18" hidden="1" x14ac:dyDescent="0.3">
      <c r="A1132" t="s">
        <v>5683</v>
      </c>
      <c r="B1132" t="s">
        <v>5684</v>
      </c>
      <c r="C1132" t="s">
        <v>47</v>
      </c>
      <c r="D1132">
        <v>1</v>
      </c>
      <c r="E1132">
        <v>1</v>
      </c>
      <c r="F1132" t="s">
        <v>3471</v>
      </c>
      <c r="G1132" s="1">
        <v>11305.25</v>
      </c>
      <c r="H1132">
        <v>0</v>
      </c>
      <c r="I1132">
        <v>0.5</v>
      </c>
      <c r="J1132">
        <v>1</v>
      </c>
      <c r="K1132">
        <v>1</v>
      </c>
      <c r="L1132">
        <f t="shared" si="68"/>
        <v>2</v>
      </c>
      <c r="M1132">
        <v>0</v>
      </c>
      <c r="N1132">
        <v>0</v>
      </c>
      <c r="O1132">
        <v>2</v>
      </c>
      <c r="P1132" s="1">
        <f t="shared" si="69"/>
        <v>0</v>
      </c>
      <c r="Q1132">
        <f t="shared" si="70"/>
        <v>2</v>
      </c>
      <c r="R1132" s="1">
        <f t="shared" si="71"/>
        <v>22610.5</v>
      </c>
    </row>
    <row r="1133" spans="1:18" hidden="1" x14ac:dyDescent="0.3">
      <c r="A1133" t="s">
        <v>5685</v>
      </c>
      <c r="B1133" t="s">
        <v>5686</v>
      </c>
      <c r="C1133" t="s">
        <v>47</v>
      </c>
      <c r="D1133">
        <v>1</v>
      </c>
      <c r="E1133">
        <v>1</v>
      </c>
      <c r="F1133" t="s">
        <v>5687</v>
      </c>
      <c r="G1133" s="1">
        <v>22037.4</v>
      </c>
      <c r="H1133">
        <v>0</v>
      </c>
      <c r="I1133">
        <v>0.5</v>
      </c>
      <c r="J1133">
        <v>1</v>
      </c>
      <c r="K1133">
        <v>1</v>
      </c>
      <c r="L1133">
        <f t="shared" si="68"/>
        <v>2</v>
      </c>
      <c r="M1133">
        <v>0</v>
      </c>
      <c r="N1133">
        <v>0</v>
      </c>
      <c r="O1133">
        <v>2</v>
      </c>
      <c r="P1133" s="1">
        <f t="shared" si="69"/>
        <v>0</v>
      </c>
      <c r="Q1133">
        <f t="shared" si="70"/>
        <v>2</v>
      </c>
      <c r="R1133" s="1">
        <f t="shared" si="71"/>
        <v>44074.8</v>
      </c>
    </row>
    <row r="1134" spans="1:18" hidden="1" x14ac:dyDescent="0.3">
      <c r="A1134" t="s">
        <v>5688</v>
      </c>
      <c r="B1134" t="s">
        <v>5689</v>
      </c>
      <c r="C1134" t="s">
        <v>47</v>
      </c>
      <c r="D1134">
        <v>2</v>
      </c>
      <c r="E1134">
        <v>7</v>
      </c>
      <c r="F1134" t="s">
        <v>242</v>
      </c>
      <c r="G1134" s="1">
        <v>0</v>
      </c>
      <c r="H1134">
        <v>0</v>
      </c>
      <c r="I1134">
        <v>0.5</v>
      </c>
      <c r="J1134">
        <v>3.5</v>
      </c>
      <c r="K1134">
        <v>2</v>
      </c>
      <c r="L1134">
        <f t="shared" si="68"/>
        <v>4</v>
      </c>
      <c r="M1134">
        <v>0</v>
      </c>
      <c r="N1134">
        <v>0</v>
      </c>
      <c r="O1134">
        <v>9</v>
      </c>
      <c r="P1134" s="1">
        <f t="shared" si="69"/>
        <v>0</v>
      </c>
      <c r="Q1134">
        <f t="shared" si="70"/>
        <v>9</v>
      </c>
      <c r="R1134" s="1">
        <f t="shared" si="71"/>
        <v>0</v>
      </c>
    </row>
    <row r="1135" spans="1:18" hidden="1" x14ac:dyDescent="0.3">
      <c r="A1135" t="s">
        <v>5690</v>
      </c>
      <c r="B1135" t="s">
        <v>5691</v>
      </c>
      <c r="C1135" t="s">
        <v>47</v>
      </c>
      <c r="D1135">
        <v>1</v>
      </c>
      <c r="E1135">
        <v>0</v>
      </c>
      <c r="G1135" s="1">
        <v>0</v>
      </c>
      <c r="H1135">
        <v>76</v>
      </c>
      <c r="I1135">
        <v>0.5</v>
      </c>
      <c r="J1135">
        <v>76</v>
      </c>
      <c r="K1135">
        <v>38</v>
      </c>
      <c r="L1135">
        <f t="shared" si="68"/>
        <v>76</v>
      </c>
      <c r="M1135">
        <v>0</v>
      </c>
      <c r="N1135">
        <v>0</v>
      </c>
      <c r="O1135">
        <v>190</v>
      </c>
      <c r="P1135" s="1">
        <f t="shared" si="69"/>
        <v>0</v>
      </c>
      <c r="Q1135">
        <f t="shared" si="70"/>
        <v>190</v>
      </c>
      <c r="R1135" s="1">
        <f t="shared" si="71"/>
        <v>0</v>
      </c>
    </row>
    <row r="1136" spans="1:18" hidden="1" x14ac:dyDescent="0.3">
      <c r="A1136" t="s">
        <v>5692</v>
      </c>
      <c r="B1136" t="s">
        <v>5693</v>
      </c>
      <c r="C1136" t="s">
        <v>47</v>
      </c>
      <c r="D1136">
        <v>1</v>
      </c>
      <c r="E1136">
        <v>0</v>
      </c>
      <c r="F1136" t="s">
        <v>3749</v>
      </c>
      <c r="G1136" s="1">
        <v>6500</v>
      </c>
      <c r="H1136">
        <v>0</v>
      </c>
      <c r="I1136">
        <v>0.6</v>
      </c>
      <c r="J1136">
        <v>1</v>
      </c>
      <c r="K1136">
        <v>1</v>
      </c>
      <c r="L1136">
        <f t="shared" si="68"/>
        <v>2</v>
      </c>
      <c r="M1136">
        <v>0</v>
      </c>
      <c r="N1136">
        <v>0</v>
      </c>
      <c r="O1136">
        <v>3</v>
      </c>
      <c r="P1136" s="1">
        <f t="shared" si="69"/>
        <v>0</v>
      </c>
      <c r="Q1136">
        <f t="shared" si="70"/>
        <v>3</v>
      </c>
      <c r="R1136" s="1">
        <f t="shared" si="71"/>
        <v>19500</v>
      </c>
    </row>
    <row r="1137" spans="1:18" hidden="1" x14ac:dyDescent="0.3">
      <c r="A1137" t="s">
        <v>5694</v>
      </c>
      <c r="B1137" t="s">
        <v>5695</v>
      </c>
      <c r="C1137" t="s">
        <v>47</v>
      </c>
      <c r="D1137">
        <v>1</v>
      </c>
      <c r="E1137">
        <v>0</v>
      </c>
      <c r="G1137" s="1">
        <v>0</v>
      </c>
      <c r="H1137">
        <v>130</v>
      </c>
      <c r="I1137">
        <v>0.5</v>
      </c>
      <c r="J1137">
        <v>130</v>
      </c>
      <c r="K1137">
        <v>65</v>
      </c>
      <c r="L1137">
        <f t="shared" si="68"/>
        <v>130</v>
      </c>
      <c r="M1137">
        <v>0</v>
      </c>
      <c r="N1137">
        <v>0</v>
      </c>
      <c r="O1137">
        <v>325</v>
      </c>
      <c r="P1137" s="1">
        <f t="shared" si="69"/>
        <v>0</v>
      </c>
      <c r="Q1137">
        <f t="shared" si="70"/>
        <v>325</v>
      </c>
      <c r="R1137" s="1">
        <f t="shared" si="71"/>
        <v>0</v>
      </c>
    </row>
    <row r="1138" spans="1:18" hidden="1" x14ac:dyDescent="0.3">
      <c r="A1138" t="s">
        <v>5696</v>
      </c>
      <c r="B1138" t="s">
        <v>5697</v>
      </c>
      <c r="C1138" t="s">
        <v>47</v>
      </c>
      <c r="D1138">
        <v>19</v>
      </c>
      <c r="E1138">
        <v>655</v>
      </c>
      <c r="F1138" t="s">
        <v>5698</v>
      </c>
      <c r="G1138" s="1">
        <v>81.93</v>
      </c>
      <c r="H1138">
        <v>0</v>
      </c>
      <c r="I1138">
        <v>0.5</v>
      </c>
      <c r="J1138">
        <v>34.5</v>
      </c>
      <c r="K1138">
        <v>17</v>
      </c>
      <c r="L1138">
        <f t="shared" si="68"/>
        <v>35</v>
      </c>
      <c r="M1138">
        <v>0</v>
      </c>
      <c r="N1138">
        <v>0</v>
      </c>
      <c r="O1138">
        <v>86</v>
      </c>
      <c r="P1138" s="1">
        <f t="shared" si="69"/>
        <v>0</v>
      </c>
      <c r="Q1138">
        <f t="shared" si="70"/>
        <v>86</v>
      </c>
      <c r="R1138" s="1">
        <f t="shared" si="71"/>
        <v>7045.9800000000005</v>
      </c>
    </row>
    <row r="1139" spans="1:18" hidden="1" x14ac:dyDescent="0.3">
      <c r="A1139" t="s">
        <v>5699</v>
      </c>
      <c r="B1139" t="s">
        <v>5700</v>
      </c>
      <c r="C1139" t="s">
        <v>47</v>
      </c>
      <c r="D1139">
        <v>19</v>
      </c>
      <c r="E1139">
        <v>60</v>
      </c>
      <c r="F1139" t="s">
        <v>5698</v>
      </c>
      <c r="G1139" s="1">
        <v>169.6</v>
      </c>
      <c r="H1139">
        <v>0</v>
      </c>
      <c r="I1139">
        <v>0.5</v>
      </c>
      <c r="J1139">
        <v>3.5</v>
      </c>
      <c r="K1139">
        <v>2</v>
      </c>
      <c r="L1139">
        <f t="shared" si="68"/>
        <v>4</v>
      </c>
      <c r="M1139">
        <v>0</v>
      </c>
      <c r="N1139">
        <v>0</v>
      </c>
      <c r="O1139">
        <v>9</v>
      </c>
      <c r="P1139" s="1">
        <f t="shared" si="69"/>
        <v>0</v>
      </c>
      <c r="Q1139">
        <f t="shared" si="70"/>
        <v>9</v>
      </c>
      <c r="R1139" s="1">
        <f t="shared" si="71"/>
        <v>1526.3999999999999</v>
      </c>
    </row>
    <row r="1140" spans="1:18" hidden="1" x14ac:dyDescent="0.3">
      <c r="A1140" t="s">
        <v>5701</v>
      </c>
      <c r="B1140" t="s">
        <v>4711</v>
      </c>
      <c r="C1140" t="s">
        <v>47</v>
      </c>
      <c r="D1140">
        <v>53</v>
      </c>
      <c r="E1140">
        <v>5</v>
      </c>
      <c r="F1140" t="s">
        <v>124</v>
      </c>
      <c r="G1140" s="1">
        <v>250</v>
      </c>
      <c r="H1140">
        <v>33</v>
      </c>
      <c r="I1140">
        <v>1</v>
      </c>
      <c r="J1140">
        <v>1</v>
      </c>
      <c r="K1140">
        <v>1</v>
      </c>
      <c r="L1140">
        <f t="shared" si="68"/>
        <v>2</v>
      </c>
      <c r="M1140">
        <v>0</v>
      </c>
      <c r="N1140">
        <v>0</v>
      </c>
      <c r="O1140">
        <v>3</v>
      </c>
      <c r="P1140" s="1">
        <f t="shared" si="69"/>
        <v>0</v>
      </c>
      <c r="Q1140">
        <f t="shared" si="70"/>
        <v>3</v>
      </c>
      <c r="R1140" s="1">
        <f t="shared" si="71"/>
        <v>750</v>
      </c>
    </row>
    <row r="1141" spans="1:18" hidden="1" x14ac:dyDescent="0.3">
      <c r="A1141" t="s">
        <v>5702</v>
      </c>
      <c r="B1141" t="s">
        <v>5703</v>
      </c>
      <c r="C1141" t="s">
        <v>47</v>
      </c>
      <c r="D1141">
        <v>1</v>
      </c>
      <c r="E1141">
        <v>1</v>
      </c>
      <c r="F1141" t="s">
        <v>4580</v>
      </c>
      <c r="G1141" s="1">
        <v>550</v>
      </c>
      <c r="H1141">
        <v>0</v>
      </c>
      <c r="I1141">
        <v>0.5</v>
      </c>
      <c r="J1141">
        <v>1</v>
      </c>
      <c r="K1141">
        <v>1</v>
      </c>
      <c r="L1141">
        <f t="shared" si="68"/>
        <v>2</v>
      </c>
      <c r="M1141">
        <v>0</v>
      </c>
      <c r="N1141">
        <v>0</v>
      </c>
      <c r="O1141">
        <v>2</v>
      </c>
      <c r="P1141" s="1">
        <f t="shared" si="69"/>
        <v>0</v>
      </c>
      <c r="Q1141">
        <f t="shared" si="70"/>
        <v>2</v>
      </c>
      <c r="R1141" s="1">
        <f t="shared" si="71"/>
        <v>1100</v>
      </c>
    </row>
    <row r="1142" spans="1:18" hidden="1" x14ac:dyDescent="0.3">
      <c r="A1142" t="s">
        <v>5704</v>
      </c>
      <c r="B1142" t="s">
        <v>5705</v>
      </c>
      <c r="C1142" t="s">
        <v>47</v>
      </c>
      <c r="D1142">
        <v>1</v>
      </c>
      <c r="E1142">
        <v>0</v>
      </c>
      <c r="G1142" s="1">
        <v>0</v>
      </c>
      <c r="H1142">
        <v>0</v>
      </c>
      <c r="I1142">
        <v>0.5</v>
      </c>
      <c r="J1142">
        <v>1</v>
      </c>
      <c r="K1142">
        <v>1</v>
      </c>
      <c r="L1142">
        <f t="shared" si="68"/>
        <v>2</v>
      </c>
      <c r="M1142">
        <v>0</v>
      </c>
      <c r="N1142">
        <v>0</v>
      </c>
      <c r="O1142">
        <v>2</v>
      </c>
      <c r="P1142" s="1">
        <f t="shared" si="69"/>
        <v>0</v>
      </c>
      <c r="Q1142">
        <f t="shared" si="70"/>
        <v>2</v>
      </c>
      <c r="R1142" s="1">
        <f t="shared" si="71"/>
        <v>0</v>
      </c>
    </row>
    <row r="1143" spans="1:18" hidden="1" x14ac:dyDescent="0.3">
      <c r="A1143" t="s">
        <v>5706</v>
      </c>
      <c r="B1143" t="s">
        <v>5707</v>
      </c>
      <c r="C1143" t="s">
        <v>47</v>
      </c>
      <c r="D1143">
        <v>1</v>
      </c>
      <c r="E1143">
        <v>0</v>
      </c>
      <c r="G1143" s="1">
        <v>0</v>
      </c>
      <c r="H1143">
        <v>0</v>
      </c>
      <c r="I1143">
        <v>0.5</v>
      </c>
      <c r="J1143">
        <v>1</v>
      </c>
      <c r="K1143">
        <v>1</v>
      </c>
      <c r="L1143">
        <f t="shared" si="68"/>
        <v>2</v>
      </c>
      <c r="M1143">
        <v>0</v>
      </c>
      <c r="N1143">
        <v>0</v>
      </c>
      <c r="O1143">
        <v>2</v>
      </c>
      <c r="P1143" s="1">
        <f t="shared" si="69"/>
        <v>0</v>
      </c>
      <c r="Q1143">
        <f t="shared" si="70"/>
        <v>2</v>
      </c>
      <c r="R1143" s="1">
        <f t="shared" si="71"/>
        <v>0</v>
      </c>
    </row>
    <row r="1144" spans="1:18" hidden="1" x14ac:dyDescent="0.3">
      <c r="A1144" t="s">
        <v>5708</v>
      </c>
      <c r="B1144" t="s">
        <v>5709</v>
      </c>
      <c r="C1144" t="s">
        <v>47</v>
      </c>
      <c r="D1144">
        <v>1</v>
      </c>
      <c r="E1144">
        <v>0</v>
      </c>
      <c r="G1144" s="1">
        <v>0</v>
      </c>
      <c r="H1144">
        <v>0</v>
      </c>
      <c r="I1144">
        <v>0.5</v>
      </c>
      <c r="J1144">
        <v>1</v>
      </c>
      <c r="K1144">
        <v>1</v>
      </c>
      <c r="L1144">
        <f t="shared" si="68"/>
        <v>2</v>
      </c>
      <c r="M1144">
        <v>0</v>
      </c>
      <c r="N1144">
        <v>0</v>
      </c>
      <c r="O1144">
        <v>2</v>
      </c>
      <c r="P1144" s="1">
        <f t="shared" si="69"/>
        <v>0</v>
      </c>
      <c r="Q1144">
        <f t="shared" si="70"/>
        <v>2</v>
      </c>
      <c r="R1144" s="1">
        <f t="shared" si="71"/>
        <v>0</v>
      </c>
    </row>
    <row r="1145" spans="1:18" hidden="1" x14ac:dyDescent="0.3">
      <c r="A1145" t="s">
        <v>5710</v>
      </c>
      <c r="B1145" t="s">
        <v>5711</v>
      </c>
      <c r="C1145" t="s">
        <v>47</v>
      </c>
      <c r="D1145">
        <v>1</v>
      </c>
      <c r="E1145">
        <v>0</v>
      </c>
      <c r="G1145" s="1">
        <v>0</v>
      </c>
      <c r="H1145">
        <v>1</v>
      </c>
      <c r="I1145">
        <v>0.5</v>
      </c>
      <c r="J1145">
        <v>1</v>
      </c>
      <c r="K1145">
        <v>1</v>
      </c>
      <c r="L1145">
        <f t="shared" si="68"/>
        <v>2</v>
      </c>
      <c r="M1145">
        <v>0</v>
      </c>
      <c r="N1145">
        <v>0</v>
      </c>
      <c r="O1145">
        <v>2</v>
      </c>
      <c r="P1145" s="1">
        <f t="shared" si="69"/>
        <v>0</v>
      </c>
      <c r="Q1145">
        <f t="shared" si="70"/>
        <v>2</v>
      </c>
      <c r="R1145" s="1">
        <f t="shared" si="71"/>
        <v>0</v>
      </c>
    </row>
    <row r="1146" spans="1:18" hidden="1" x14ac:dyDescent="0.3">
      <c r="A1146" t="s">
        <v>5712</v>
      </c>
      <c r="B1146" t="s">
        <v>3812</v>
      </c>
      <c r="C1146" t="s">
        <v>47</v>
      </c>
      <c r="D1146">
        <v>1</v>
      </c>
      <c r="E1146">
        <v>0</v>
      </c>
      <c r="G1146" s="1">
        <v>0</v>
      </c>
      <c r="H1146">
        <v>0</v>
      </c>
      <c r="I1146">
        <v>0.5</v>
      </c>
      <c r="J1146">
        <v>1</v>
      </c>
      <c r="K1146">
        <v>1</v>
      </c>
      <c r="L1146">
        <f t="shared" si="68"/>
        <v>2</v>
      </c>
      <c r="M1146">
        <v>0</v>
      </c>
      <c r="N1146">
        <v>0</v>
      </c>
      <c r="O1146">
        <v>2</v>
      </c>
      <c r="P1146" s="1">
        <f t="shared" si="69"/>
        <v>0</v>
      </c>
      <c r="Q1146">
        <f t="shared" si="70"/>
        <v>2</v>
      </c>
      <c r="R1146" s="1">
        <f t="shared" si="71"/>
        <v>0</v>
      </c>
    </row>
    <row r="1147" spans="1:18" hidden="1" x14ac:dyDescent="0.3">
      <c r="A1147" t="s">
        <v>5713</v>
      </c>
      <c r="B1147" t="s">
        <v>5714</v>
      </c>
      <c r="C1147" t="s">
        <v>47</v>
      </c>
      <c r="D1147">
        <v>2</v>
      </c>
      <c r="E1147">
        <v>4</v>
      </c>
      <c r="F1147" t="s">
        <v>1073</v>
      </c>
      <c r="G1147" s="1">
        <v>10550</v>
      </c>
      <c r="H1147">
        <v>4</v>
      </c>
      <c r="I1147">
        <v>1.3</v>
      </c>
      <c r="J1147">
        <v>2</v>
      </c>
      <c r="K1147">
        <v>3</v>
      </c>
      <c r="L1147">
        <f t="shared" si="68"/>
        <v>6</v>
      </c>
      <c r="M1147">
        <v>0</v>
      </c>
      <c r="N1147">
        <v>0</v>
      </c>
      <c r="O1147">
        <v>7</v>
      </c>
      <c r="P1147" s="1">
        <f t="shared" si="69"/>
        <v>0</v>
      </c>
      <c r="Q1147">
        <f t="shared" si="70"/>
        <v>7</v>
      </c>
      <c r="R1147" s="1">
        <f t="shared" si="71"/>
        <v>73850</v>
      </c>
    </row>
    <row r="1148" spans="1:18" hidden="1" x14ac:dyDescent="0.3">
      <c r="A1148" t="s">
        <v>5715</v>
      </c>
      <c r="B1148" t="s">
        <v>5716</v>
      </c>
      <c r="C1148" t="s">
        <v>47</v>
      </c>
      <c r="D1148">
        <v>6</v>
      </c>
      <c r="E1148">
        <v>2</v>
      </c>
      <c r="F1148" t="s">
        <v>1073</v>
      </c>
      <c r="G1148" s="1">
        <v>8926</v>
      </c>
      <c r="H1148">
        <v>1</v>
      </c>
      <c r="I1148">
        <v>0.8</v>
      </c>
      <c r="J1148">
        <v>1</v>
      </c>
      <c r="K1148">
        <v>1</v>
      </c>
      <c r="L1148">
        <f t="shared" si="68"/>
        <v>2</v>
      </c>
      <c r="M1148">
        <v>0</v>
      </c>
      <c r="N1148">
        <v>0</v>
      </c>
      <c r="O1148">
        <v>3</v>
      </c>
      <c r="P1148" s="1">
        <f t="shared" si="69"/>
        <v>0</v>
      </c>
      <c r="Q1148">
        <f t="shared" si="70"/>
        <v>3</v>
      </c>
      <c r="R1148" s="1">
        <f t="shared" si="71"/>
        <v>26778</v>
      </c>
    </row>
    <row r="1149" spans="1:18" hidden="1" x14ac:dyDescent="0.3">
      <c r="A1149" t="s">
        <v>5717</v>
      </c>
      <c r="B1149" t="s">
        <v>5718</v>
      </c>
      <c r="C1149" t="s">
        <v>47</v>
      </c>
      <c r="D1149">
        <v>1</v>
      </c>
      <c r="E1149">
        <v>1</v>
      </c>
      <c r="F1149" t="s">
        <v>1073</v>
      </c>
      <c r="G1149" s="1">
        <v>900</v>
      </c>
      <c r="H1149">
        <v>1</v>
      </c>
      <c r="I1149">
        <v>1.8</v>
      </c>
      <c r="J1149">
        <v>1</v>
      </c>
      <c r="K1149">
        <v>2</v>
      </c>
      <c r="L1149">
        <f t="shared" si="68"/>
        <v>4</v>
      </c>
      <c r="M1149">
        <v>0</v>
      </c>
      <c r="N1149">
        <v>0</v>
      </c>
      <c r="O1149">
        <v>4</v>
      </c>
      <c r="P1149" s="1">
        <f t="shared" si="69"/>
        <v>0</v>
      </c>
      <c r="Q1149">
        <f t="shared" si="70"/>
        <v>4</v>
      </c>
      <c r="R1149" s="1">
        <f t="shared" si="71"/>
        <v>3600</v>
      </c>
    </row>
    <row r="1150" spans="1:18" hidden="1" x14ac:dyDescent="0.3">
      <c r="A1150" t="s">
        <v>5719</v>
      </c>
      <c r="B1150" t="s">
        <v>5720</v>
      </c>
      <c r="C1150" t="s">
        <v>47</v>
      </c>
      <c r="D1150">
        <v>1</v>
      </c>
      <c r="E1150">
        <v>0</v>
      </c>
      <c r="G1150" s="1">
        <v>0</v>
      </c>
      <c r="H1150">
        <v>0</v>
      </c>
      <c r="I1150">
        <v>0.5</v>
      </c>
      <c r="J1150">
        <v>1</v>
      </c>
      <c r="K1150">
        <v>1</v>
      </c>
      <c r="L1150">
        <f t="shared" si="68"/>
        <v>2</v>
      </c>
      <c r="M1150">
        <v>0</v>
      </c>
      <c r="N1150">
        <v>0</v>
      </c>
      <c r="O1150">
        <v>2</v>
      </c>
      <c r="P1150" s="1">
        <f t="shared" si="69"/>
        <v>0</v>
      </c>
      <c r="Q1150">
        <f t="shared" si="70"/>
        <v>2</v>
      </c>
      <c r="R1150" s="1">
        <f t="shared" si="71"/>
        <v>0</v>
      </c>
    </row>
    <row r="1151" spans="1:18" hidden="1" x14ac:dyDescent="0.3">
      <c r="A1151" t="s">
        <v>5721</v>
      </c>
      <c r="B1151" t="s">
        <v>5722</v>
      </c>
      <c r="C1151" t="s">
        <v>47</v>
      </c>
      <c r="D1151">
        <v>1</v>
      </c>
      <c r="E1151">
        <v>3</v>
      </c>
      <c r="F1151" t="s">
        <v>1073</v>
      </c>
      <c r="G1151" s="1">
        <v>10527.25</v>
      </c>
      <c r="H1151">
        <v>0</v>
      </c>
      <c r="I1151">
        <v>1.5</v>
      </c>
      <c r="J1151">
        <v>3</v>
      </c>
      <c r="K1151">
        <v>4</v>
      </c>
      <c r="L1151">
        <f t="shared" si="68"/>
        <v>9</v>
      </c>
      <c r="M1151">
        <v>0</v>
      </c>
      <c r="N1151">
        <v>0</v>
      </c>
      <c r="O1151">
        <v>10</v>
      </c>
      <c r="P1151" s="1">
        <f t="shared" si="69"/>
        <v>0</v>
      </c>
      <c r="Q1151">
        <f t="shared" si="70"/>
        <v>10</v>
      </c>
      <c r="R1151" s="1">
        <f t="shared" si="71"/>
        <v>105272.5</v>
      </c>
    </row>
    <row r="1152" spans="1:18" hidden="1" x14ac:dyDescent="0.3">
      <c r="A1152" t="s">
        <v>5723</v>
      </c>
      <c r="B1152" t="s">
        <v>5724</v>
      </c>
      <c r="C1152" t="s">
        <v>47</v>
      </c>
      <c r="D1152">
        <v>1</v>
      </c>
      <c r="E1152">
        <v>2</v>
      </c>
      <c r="F1152" t="s">
        <v>1073</v>
      </c>
      <c r="G1152" s="1">
        <v>5251</v>
      </c>
      <c r="H1152">
        <v>0</v>
      </c>
      <c r="I1152">
        <v>0.5</v>
      </c>
      <c r="J1152">
        <v>2</v>
      </c>
      <c r="K1152">
        <v>1</v>
      </c>
      <c r="L1152">
        <f t="shared" si="68"/>
        <v>2</v>
      </c>
      <c r="M1152">
        <v>0</v>
      </c>
      <c r="N1152">
        <v>0</v>
      </c>
      <c r="O1152">
        <v>5</v>
      </c>
      <c r="P1152" s="1">
        <f t="shared" si="69"/>
        <v>0</v>
      </c>
      <c r="Q1152">
        <f t="shared" si="70"/>
        <v>5</v>
      </c>
      <c r="R1152" s="1">
        <f t="shared" si="71"/>
        <v>26255</v>
      </c>
    </row>
    <row r="1153" spans="1:18" hidden="1" x14ac:dyDescent="0.3">
      <c r="A1153" t="s">
        <v>5725</v>
      </c>
      <c r="B1153" t="s">
        <v>5726</v>
      </c>
      <c r="C1153" t="s">
        <v>47</v>
      </c>
      <c r="D1153">
        <v>1</v>
      </c>
      <c r="E1153">
        <v>0</v>
      </c>
      <c r="G1153" s="1">
        <v>0</v>
      </c>
      <c r="H1153">
        <v>0</v>
      </c>
      <c r="I1153">
        <v>0.5</v>
      </c>
      <c r="J1153">
        <v>1</v>
      </c>
      <c r="K1153">
        <v>1</v>
      </c>
      <c r="L1153">
        <f t="shared" si="68"/>
        <v>2</v>
      </c>
      <c r="M1153">
        <v>0</v>
      </c>
      <c r="N1153">
        <v>0</v>
      </c>
      <c r="O1153">
        <v>2</v>
      </c>
      <c r="P1153" s="1">
        <f t="shared" si="69"/>
        <v>0</v>
      </c>
      <c r="Q1153">
        <f t="shared" si="70"/>
        <v>2</v>
      </c>
      <c r="R1153" s="1">
        <f t="shared" si="71"/>
        <v>0</v>
      </c>
    </row>
    <row r="1154" spans="1:18" hidden="1" x14ac:dyDescent="0.3">
      <c r="A1154" t="s">
        <v>5727</v>
      </c>
      <c r="B1154" t="s">
        <v>5728</v>
      </c>
      <c r="C1154" t="s">
        <v>47</v>
      </c>
      <c r="D1154">
        <v>1</v>
      </c>
      <c r="E1154">
        <v>4</v>
      </c>
      <c r="F1154" t="s">
        <v>3541</v>
      </c>
      <c r="G1154" s="1">
        <v>52.19</v>
      </c>
      <c r="H1154">
        <v>0</v>
      </c>
      <c r="I1154">
        <v>0.5</v>
      </c>
      <c r="J1154">
        <v>4</v>
      </c>
      <c r="K1154">
        <v>2</v>
      </c>
      <c r="L1154">
        <f t="shared" ref="L1154:L1217" si="72">ROUNDUP((J1154*I1154)+K1154,0)</f>
        <v>4</v>
      </c>
      <c r="M1154">
        <v>0</v>
      </c>
      <c r="N1154">
        <v>0</v>
      </c>
      <c r="O1154">
        <v>10</v>
      </c>
      <c r="P1154" s="1">
        <f t="shared" ref="P1154:P1205" si="73">IFERROR(M1154*G1154,0)</f>
        <v>0</v>
      </c>
      <c r="Q1154">
        <f t="shared" ref="Q1154:Q1205" si="74">IF(O1154-M1154-N1154&gt;0,O1154-M1154-N1154,0)</f>
        <v>10</v>
      </c>
      <c r="R1154" s="1">
        <f t="shared" ref="R1154:R1217" si="75">IFERROR(Q1154*G1154,0)</f>
        <v>521.9</v>
      </c>
    </row>
    <row r="1155" spans="1:18" hidden="1" x14ac:dyDescent="0.3">
      <c r="A1155" t="s">
        <v>5729</v>
      </c>
      <c r="B1155" t="s">
        <v>5730</v>
      </c>
      <c r="C1155" t="s">
        <v>47</v>
      </c>
      <c r="D1155">
        <v>1</v>
      </c>
      <c r="E1155">
        <v>6</v>
      </c>
      <c r="F1155" t="s">
        <v>3541</v>
      </c>
      <c r="G1155" s="1">
        <v>48.65</v>
      </c>
      <c r="H1155">
        <v>0</v>
      </c>
      <c r="I1155">
        <v>0.5</v>
      </c>
      <c r="J1155">
        <v>6</v>
      </c>
      <c r="K1155">
        <v>3</v>
      </c>
      <c r="L1155">
        <f t="shared" si="72"/>
        <v>6</v>
      </c>
      <c r="M1155">
        <v>0</v>
      </c>
      <c r="N1155">
        <v>0</v>
      </c>
      <c r="O1155">
        <v>15</v>
      </c>
      <c r="P1155" s="1">
        <f t="shared" si="73"/>
        <v>0</v>
      </c>
      <c r="Q1155">
        <f t="shared" si="74"/>
        <v>15</v>
      </c>
      <c r="R1155" s="1">
        <f t="shared" si="75"/>
        <v>729.75</v>
      </c>
    </row>
    <row r="1156" spans="1:18" hidden="1" x14ac:dyDescent="0.3">
      <c r="A1156" t="s">
        <v>5731</v>
      </c>
      <c r="B1156" t="s">
        <v>5732</v>
      </c>
      <c r="C1156" t="s">
        <v>47</v>
      </c>
      <c r="D1156">
        <v>1</v>
      </c>
      <c r="E1156">
        <v>3</v>
      </c>
      <c r="F1156" t="s">
        <v>3541</v>
      </c>
      <c r="G1156" s="1">
        <v>55.88</v>
      </c>
      <c r="H1156">
        <v>0</v>
      </c>
      <c r="I1156">
        <v>0.5</v>
      </c>
      <c r="J1156">
        <v>3</v>
      </c>
      <c r="K1156">
        <v>2</v>
      </c>
      <c r="L1156">
        <f t="shared" si="72"/>
        <v>4</v>
      </c>
      <c r="M1156">
        <v>0</v>
      </c>
      <c r="N1156">
        <v>0</v>
      </c>
      <c r="O1156">
        <v>8</v>
      </c>
      <c r="P1156" s="1">
        <f t="shared" si="73"/>
        <v>0</v>
      </c>
      <c r="Q1156">
        <f t="shared" si="74"/>
        <v>8</v>
      </c>
      <c r="R1156" s="1">
        <f t="shared" si="75"/>
        <v>447.04</v>
      </c>
    </row>
    <row r="1157" spans="1:18" hidden="1" x14ac:dyDescent="0.3">
      <c r="A1157" t="s">
        <v>5733</v>
      </c>
      <c r="B1157" t="s">
        <v>5734</v>
      </c>
      <c r="C1157" t="s">
        <v>47</v>
      </c>
      <c r="D1157">
        <v>1</v>
      </c>
      <c r="E1157">
        <v>15</v>
      </c>
      <c r="F1157" t="s">
        <v>3541</v>
      </c>
      <c r="G1157" s="1">
        <v>58.79</v>
      </c>
      <c r="H1157">
        <v>0</v>
      </c>
      <c r="I1157">
        <v>1.9</v>
      </c>
      <c r="J1157">
        <v>15</v>
      </c>
      <c r="K1157">
        <v>28</v>
      </c>
      <c r="L1157">
        <f t="shared" si="72"/>
        <v>57</v>
      </c>
      <c r="M1157">
        <v>0</v>
      </c>
      <c r="N1157">
        <v>0</v>
      </c>
      <c r="O1157">
        <v>58</v>
      </c>
      <c r="P1157" s="1">
        <f t="shared" si="73"/>
        <v>0</v>
      </c>
      <c r="Q1157">
        <f t="shared" si="74"/>
        <v>58</v>
      </c>
      <c r="R1157" s="1">
        <f t="shared" si="75"/>
        <v>3409.82</v>
      </c>
    </row>
    <row r="1158" spans="1:18" hidden="1" x14ac:dyDescent="0.3">
      <c r="A1158" t="s">
        <v>5735</v>
      </c>
      <c r="B1158" t="s">
        <v>5736</v>
      </c>
      <c r="C1158" t="s">
        <v>47</v>
      </c>
      <c r="D1158">
        <v>1</v>
      </c>
      <c r="E1158">
        <v>6</v>
      </c>
      <c r="F1158" t="s">
        <v>3541</v>
      </c>
      <c r="G1158" s="1">
        <v>63.34</v>
      </c>
      <c r="H1158">
        <v>0</v>
      </c>
      <c r="I1158">
        <v>0.5</v>
      </c>
      <c r="J1158">
        <v>6</v>
      </c>
      <c r="K1158">
        <v>3</v>
      </c>
      <c r="L1158">
        <f t="shared" si="72"/>
        <v>6</v>
      </c>
      <c r="M1158">
        <v>0</v>
      </c>
      <c r="N1158">
        <v>0</v>
      </c>
      <c r="O1158">
        <v>15</v>
      </c>
      <c r="P1158" s="1">
        <f t="shared" si="73"/>
        <v>0</v>
      </c>
      <c r="Q1158">
        <f t="shared" si="74"/>
        <v>15</v>
      </c>
      <c r="R1158" s="1">
        <f t="shared" si="75"/>
        <v>950.1</v>
      </c>
    </row>
    <row r="1159" spans="1:18" hidden="1" x14ac:dyDescent="0.3">
      <c r="A1159" t="s">
        <v>5737</v>
      </c>
      <c r="B1159" t="s">
        <v>5738</v>
      </c>
      <c r="C1159" t="s">
        <v>47</v>
      </c>
      <c r="D1159">
        <v>1</v>
      </c>
      <c r="E1159">
        <v>3</v>
      </c>
      <c r="F1159" t="s">
        <v>3541</v>
      </c>
      <c r="G1159" s="1">
        <v>73.27</v>
      </c>
      <c r="H1159">
        <v>0</v>
      </c>
      <c r="I1159">
        <v>0.5</v>
      </c>
      <c r="J1159">
        <v>3</v>
      </c>
      <c r="K1159">
        <v>2</v>
      </c>
      <c r="L1159">
        <f t="shared" si="72"/>
        <v>4</v>
      </c>
      <c r="M1159">
        <v>0</v>
      </c>
      <c r="N1159">
        <v>0</v>
      </c>
      <c r="O1159">
        <v>8</v>
      </c>
      <c r="P1159" s="1">
        <f t="shared" si="73"/>
        <v>0</v>
      </c>
      <c r="Q1159">
        <f t="shared" si="74"/>
        <v>8</v>
      </c>
      <c r="R1159" s="1">
        <f t="shared" si="75"/>
        <v>586.16</v>
      </c>
    </row>
    <row r="1160" spans="1:18" hidden="1" x14ac:dyDescent="0.3">
      <c r="A1160" t="s">
        <v>5739</v>
      </c>
      <c r="B1160" t="s">
        <v>5740</v>
      </c>
      <c r="C1160" t="s">
        <v>47</v>
      </c>
      <c r="D1160">
        <v>2</v>
      </c>
      <c r="E1160">
        <v>6</v>
      </c>
      <c r="F1160" t="s">
        <v>3541</v>
      </c>
      <c r="G1160" s="1">
        <v>65.98</v>
      </c>
      <c r="H1160">
        <v>0</v>
      </c>
      <c r="I1160">
        <v>0.5</v>
      </c>
      <c r="J1160">
        <v>3</v>
      </c>
      <c r="K1160">
        <v>2</v>
      </c>
      <c r="L1160">
        <f t="shared" si="72"/>
        <v>4</v>
      </c>
      <c r="M1160">
        <v>0</v>
      </c>
      <c r="N1160">
        <v>0</v>
      </c>
      <c r="O1160">
        <v>8</v>
      </c>
      <c r="P1160" s="1">
        <f t="shared" si="73"/>
        <v>0</v>
      </c>
      <c r="Q1160">
        <f t="shared" si="74"/>
        <v>8</v>
      </c>
      <c r="R1160" s="1">
        <f t="shared" si="75"/>
        <v>527.84</v>
      </c>
    </row>
    <row r="1161" spans="1:18" hidden="1" x14ac:dyDescent="0.3">
      <c r="A1161" t="s">
        <v>5741</v>
      </c>
      <c r="B1161" t="s">
        <v>5742</v>
      </c>
      <c r="C1161" t="s">
        <v>47</v>
      </c>
      <c r="D1161">
        <v>1</v>
      </c>
      <c r="E1161">
        <v>2</v>
      </c>
      <c r="F1161" t="s">
        <v>3541</v>
      </c>
      <c r="G1161" s="1">
        <v>69.58</v>
      </c>
      <c r="H1161">
        <v>0</v>
      </c>
      <c r="I1161">
        <v>0.7</v>
      </c>
      <c r="J1161">
        <v>2</v>
      </c>
      <c r="K1161">
        <v>1</v>
      </c>
      <c r="L1161">
        <f t="shared" si="72"/>
        <v>3</v>
      </c>
      <c r="M1161">
        <v>0</v>
      </c>
      <c r="N1161">
        <v>0</v>
      </c>
      <c r="O1161">
        <v>5</v>
      </c>
      <c r="P1161" s="1">
        <f t="shared" si="73"/>
        <v>0</v>
      </c>
      <c r="Q1161">
        <f t="shared" si="74"/>
        <v>5</v>
      </c>
      <c r="R1161" s="1">
        <f t="shared" si="75"/>
        <v>347.9</v>
      </c>
    </row>
    <row r="1162" spans="1:18" hidden="1" x14ac:dyDescent="0.3">
      <c r="A1162" t="s">
        <v>5743</v>
      </c>
      <c r="B1162" t="s">
        <v>5744</v>
      </c>
      <c r="C1162" t="s">
        <v>47</v>
      </c>
      <c r="D1162">
        <v>1</v>
      </c>
      <c r="E1162">
        <v>0</v>
      </c>
      <c r="G1162" s="1">
        <v>0</v>
      </c>
      <c r="H1162">
        <v>0</v>
      </c>
      <c r="I1162">
        <v>0.5</v>
      </c>
      <c r="J1162">
        <v>1</v>
      </c>
      <c r="K1162">
        <v>1</v>
      </c>
      <c r="L1162">
        <f t="shared" si="72"/>
        <v>2</v>
      </c>
      <c r="M1162">
        <v>0</v>
      </c>
      <c r="N1162">
        <v>0</v>
      </c>
      <c r="O1162">
        <v>2</v>
      </c>
      <c r="P1162" s="1">
        <f t="shared" si="73"/>
        <v>0</v>
      </c>
      <c r="Q1162">
        <f t="shared" si="74"/>
        <v>2</v>
      </c>
      <c r="R1162" s="1">
        <f t="shared" si="75"/>
        <v>0</v>
      </c>
    </row>
    <row r="1163" spans="1:18" hidden="1" x14ac:dyDescent="0.3">
      <c r="A1163" t="s">
        <v>5745</v>
      </c>
      <c r="B1163" t="s">
        <v>5746</v>
      </c>
      <c r="C1163" t="s">
        <v>47</v>
      </c>
      <c r="D1163">
        <v>1</v>
      </c>
      <c r="E1163">
        <v>0</v>
      </c>
      <c r="G1163" s="1">
        <v>0</v>
      </c>
      <c r="H1163">
        <v>0</v>
      </c>
      <c r="I1163">
        <v>0.5</v>
      </c>
      <c r="J1163">
        <v>1</v>
      </c>
      <c r="K1163">
        <v>1</v>
      </c>
      <c r="L1163">
        <f t="shared" si="72"/>
        <v>2</v>
      </c>
      <c r="M1163">
        <v>0</v>
      </c>
      <c r="N1163">
        <v>0</v>
      </c>
      <c r="O1163">
        <v>2</v>
      </c>
      <c r="P1163" s="1">
        <f t="shared" si="73"/>
        <v>0</v>
      </c>
      <c r="Q1163">
        <f t="shared" si="74"/>
        <v>2</v>
      </c>
      <c r="R1163" s="1">
        <f t="shared" si="75"/>
        <v>0</v>
      </c>
    </row>
    <row r="1164" spans="1:18" hidden="1" x14ac:dyDescent="0.3">
      <c r="A1164" t="s">
        <v>5747</v>
      </c>
      <c r="B1164" t="s">
        <v>5748</v>
      </c>
      <c r="C1164" t="s">
        <v>47</v>
      </c>
      <c r="D1164">
        <v>1</v>
      </c>
      <c r="E1164">
        <v>0</v>
      </c>
      <c r="G1164" s="1">
        <v>0</v>
      </c>
      <c r="H1164">
        <v>0</v>
      </c>
      <c r="I1164">
        <v>0.5</v>
      </c>
      <c r="J1164">
        <v>1</v>
      </c>
      <c r="K1164">
        <v>1</v>
      </c>
      <c r="L1164">
        <f t="shared" si="72"/>
        <v>2</v>
      </c>
      <c r="M1164">
        <v>0</v>
      </c>
      <c r="N1164">
        <v>0</v>
      </c>
      <c r="O1164">
        <v>2</v>
      </c>
      <c r="P1164" s="1">
        <f t="shared" si="73"/>
        <v>0</v>
      </c>
      <c r="Q1164">
        <f t="shared" si="74"/>
        <v>2</v>
      </c>
      <c r="R1164" s="1">
        <f t="shared" si="75"/>
        <v>0</v>
      </c>
    </row>
    <row r="1165" spans="1:18" hidden="1" x14ac:dyDescent="0.3">
      <c r="A1165" t="s">
        <v>5749</v>
      </c>
      <c r="B1165" t="s">
        <v>5750</v>
      </c>
      <c r="C1165" t="s">
        <v>47</v>
      </c>
      <c r="D1165">
        <v>1</v>
      </c>
      <c r="E1165">
        <v>0</v>
      </c>
      <c r="G1165" s="1">
        <v>0</v>
      </c>
      <c r="H1165">
        <v>0</v>
      </c>
      <c r="I1165">
        <v>0.5</v>
      </c>
      <c r="J1165">
        <v>1</v>
      </c>
      <c r="K1165">
        <v>1</v>
      </c>
      <c r="L1165">
        <f t="shared" si="72"/>
        <v>2</v>
      </c>
      <c r="M1165">
        <v>0</v>
      </c>
      <c r="N1165">
        <v>0</v>
      </c>
      <c r="O1165">
        <v>2</v>
      </c>
      <c r="P1165" s="1">
        <f t="shared" si="73"/>
        <v>0</v>
      </c>
      <c r="Q1165">
        <f t="shared" si="74"/>
        <v>2</v>
      </c>
      <c r="R1165" s="1">
        <f t="shared" si="75"/>
        <v>0</v>
      </c>
    </row>
    <row r="1166" spans="1:18" hidden="1" x14ac:dyDescent="0.3">
      <c r="A1166" t="s">
        <v>5751</v>
      </c>
      <c r="B1166" t="s">
        <v>5750</v>
      </c>
      <c r="C1166" t="s">
        <v>47</v>
      </c>
      <c r="D1166">
        <v>1</v>
      </c>
      <c r="E1166">
        <v>0</v>
      </c>
      <c r="G1166" s="1">
        <v>0</v>
      </c>
      <c r="H1166">
        <v>0</v>
      </c>
      <c r="I1166">
        <v>0.5</v>
      </c>
      <c r="J1166">
        <v>1</v>
      </c>
      <c r="K1166">
        <v>1</v>
      </c>
      <c r="L1166">
        <f t="shared" si="72"/>
        <v>2</v>
      </c>
      <c r="M1166">
        <v>0</v>
      </c>
      <c r="N1166">
        <v>0</v>
      </c>
      <c r="O1166">
        <v>2</v>
      </c>
      <c r="P1166" s="1">
        <f t="shared" si="73"/>
        <v>0</v>
      </c>
      <c r="Q1166">
        <f t="shared" si="74"/>
        <v>2</v>
      </c>
      <c r="R1166" s="1">
        <f t="shared" si="75"/>
        <v>0</v>
      </c>
    </row>
    <row r="1167" spans="1:18" hidden="1" x14ac:dyDescent="0.3">
      <c r="A1167" t="s">
        <v>5748</v>
      </c>
      <c r="B1167" t="s">
        <v>5752</v>
      </c>
      <c r="C1167" t="s">
        <v>47</v>
      </c>
      <c r="D1167">
        <v>1</v>
      </c>
      <c r="E1167">
        <v>0</v>
      </c>
      <c r="G1167" s="1">
        <v>0</v>
      </c>
      <c r="H1167">
        <v>0</v>
      </c>
      <c r="I1167">
        <v>0.5</v>
      </c>
      <c r="J1167">
        <v>1</v>
      </c>
      <c r="K1167">
        <v>1</v>
      </c>
      <c r="L1167">
        <f t="shared" si="72"/>
        <v>2</v>
      </c>
      <c r="M1167">
        <v>0</v>
      </c>
      <c r="N1167">
        <v>0</v>
      </c>
      <c r="O1167">
        <v>2</v>
      </c>
      <c r="P1167" s="1">
        <f t="shared" si="73"/>
        <v>0</v>
      </c>
      <c r="Q1167">
        <f t="shared" si="74"/>
        <v>2</v>
      </c>
      <c r="R1167" s="1">
        <f t="shared" si="75"/>
        <v>0</v>
      </c>
    </row>
    <row r="1168" spans="1:18" hidden="1" x14ac:dyDescent="0.3">
      <c r="A1168" t="s">
        <v>5753</v>
      </c>
      <c r="B1168" t="s">
        <v>5754</v>
      </c>
      <c r="C1168" t="s">
        <v>47</v>
      </c>
      <c r="D1168">
        <v>1</v>
      </c>
      <c r="E1168">
        <v>0</v>
      </c>
      <c r="G1168" s="1">
        <v>0</v>
      </c>
      <c r="H1168">
        <v>0</v>
      </c>
      <c r="I1168">
        <v>0.5</v>
      </c>
      <c r="J1168">
        <v>1</v>
      </c>
      <c r="K1168">
        <v>1</v>
      </c>
      <c r="L1168">
        <f t="shared" si="72"/>
        <v>2</v>
      </c>
      <c r="M1168">
        <v>0</v>
      </c>
      <c r="N1168">
        <v>0</v>
      </c>
      <c r="O1168">
        <v>2</v>
      </c>
      <c r="P1168" s="1">
        <f t="shared" si="73"/>
        <v>0</v>
      </c>
      <c r="Q1168">
        <f t="shared" si="74"/>
        <v>2</v>
      </c>
      <c r="R1168" s="1">
        <f t="shared" si="75"/>
        <v>0</v>
      </c>
    </row>
    <row r="1169" spans="1:18" hidden="1" x14ac:dyDescent="0.3">
      <c r="A1169" t="s">
        <v>5755</v>
      </c>
      <c r="B1169" t="s">
        <v>5756</v>
      </c>
      <c r="C1169" t="s">
        <v>47</v>
      </c>
      <c r="D1169">
        <v>1</v>
      </c>
      <c r="E1169">
        <v>0</v>
      </c>
      <c r="G1169" s="1">
        <v>0</v>
      </c>
      <c r="H1169">
        <v>0</v>
      </c>
      <c r="I1169">
        <v>0.5</v>
      </c>
      <c r="J1169">
        <v>1</v>
      </c>
      <c r="K1169">
        <v>1</v>
      </c>
      <c r="L1169">
        <f t="shared" si="72"/>
        <v>2</v>
      </c>
      <c r="M1169">
        <v>0</v>
      </c>
      <c r="N1169">
        <v>0</v>
      </c>
      <c r="O1169">
        <v>2</v>
      </c>
      <c r="P1169" s="1">
        <f t="shared" si="73"/>
        <v>0</v>
      </c>
      <c r="Q1169">
        <f t="shared" si="74"/>
        <v>2</v>
      </c>
      <c r="R1169" s="1">
        <f t="shared" si="75"/>
        <v>0</v>
      </c>
    </row>
    <row r="1170" spans="1:18" hidden="1" x14ac:dyDescent="0.3">
      <c r="A1170" t="s">
        <v>5757</v>
      </c>
      <c r="B1170" t="s">
        <v>5758</v>
      </c>
      <c r="C1170" t="s">
        <v>47</v>
      </c>
      <c r="D1170">
        <v>1</v>
      </c>
      <c r="E1170">
        <v>0</v>
      </c>
      <c r="G1170" s="1">
        <v>0</v>
      </c>
      <c r="H1170">
        <v>0</v>
      </c>
      <c r="I1170">
        <v>0.5</v>
      </c>
      <c r="J1170">
        <v>1</v>
      </c>
      <c r="K1170">
        <v>1</v>
      </c>
      <c r="L1170">
        <f t="shared" si="72"/>
        <v>2</v>
      </c>
      <c r="M1170">
        <v>0</v>
      </c>
      <c r="N1170">
        <v>0</v>
      </c>
      <c r="O1170">
        <v>2</v>
      </c>
      <c r="P1170" s="1">
        <f t="shared" si="73"/>
        <v>0</v>
      </c>
      <c r="Q1170">
        <f t="shared" si="74"/>
        <v>2</v>
      </c>
      <c r="R1170" s="1">
        <f t="shared" si="75"/>
        <v>0</v>
      </c>
    </row>
    <row r="1171" spans="1:18" hidden="1" x14ac:dyDescent="0.3">
      <c r="A1171" t="s">
        <v>5759</v>
      </c>
      <c r="B1171" t="s">
        <v>5760</v>
      </c>
      <c r="C1171" t="s">
        <v>47</v>
      </c>
      <c r="D1171">
        <v>1</v>
      </c>
      <c r="E1171">
        <v>0</v>
      </c>
      <c r="G1171" s="1">
        <v>0</v>
      </c>
      <c r="H1171">
        <v>0</v>
      </c>
      <c r="I1171">
        <v>0.5</v>
      </c>
      <c r="J1171">
        <v>1</v>
      </c>
      <c r="K1171">
        <v>1</v>
      </c>
      <c r="L1171">
        <f t="shared" si="72"/>
        <v>2</v>
      </c>
      <c r="M1171">
        <v>0</v>
      </c>
      <c r="N1171">
        <v>0</v>
      </c>
      <c r="O1171">
        <v>2</v>
      </c>
      <c r="P1171" s="1">
        <f t="shared" si="73"/>
        <v>0</v>
      </c>
      <c r="Q1171">
        <f t="shared" si="74"/>
        <v>2</v>
      </c>
      <c r="R1171" s="1">
        <f t="shared" si="75"/>
        <v>0</v>
      </c>
    </row>
    <row r="1172" spans="1:18" hidden="1" x14ac:dyDescent="0.3">
      <c r="A1172" t="s">
        <v>5761</v>
      </c>
      <c r="B1172" t="s">
        <v>5762</v>
      </c>
      <c r="C1172" t="s">
        <v>47</v>
      </c>
      <c r="D1172">
        <v>1</v>
      </c>
      <c r="E1172">
        <v>0</v>
      </c>
      <c r="G1172" s="1">
        <v>0</v>
      </c>
      <c r="H1172">
        <v>0</v>
      </c>
      <c r="I1172">
        <v>0.5</v>
      </c>
      <c r="J1172">
        <v>1</v>
      </c>
      <c r="K1172">
        <v>1</v>
      </c>
      <c r="L1172">
        <f t="shared" si="72"/>
        <v>2</v>
      </c>
      <c r="M1172">
        <v>0</v>
      </c>
      <c r="N1172">
        <v>0</v>
      </c>
      <c r="O1172">
        <v>2</v>
      </c>
      <c r="P1172" s="1">
        <f t="shared" si="73"/>
        <v>0</v>
      </c>
      <c r="Q1172">
        <f t="shared" si="74"/>
        <v>2</v>
      </c>
      <c r="R1172" s="1">
        <f t="shared" si="75"/>
        <v>0</v>
      </c>
    </row>
    <row r="1173" spans="1:18" hidden="1" x14ac:dyDescent="0.3">
      <c r="A1173" t="s">
        <v>5763</v>
      </c>
      <c r="B1173" t="s">
        <v>5764</v>
      </c>
      <c r="C1173" t="s">
        <v>47</v>
      </c>
      <c r="D1173">
        <v>1</v>
      </c>
      <c r="E1173">
        <v>0</v>
      </c>
      <c r="G1173" s="1">
        <v>0</v>
      </c>
      <c r="H1173">
        <v>0</v>
      </c>
      <c r="I1173">
        <v>0.5</v>
      </c>
      <c r="J1173">
        <v>1</v>
      </c>
      <c r="K1173">
        <v>1</v>
      </c>
      <c r="L1173">
        <f t="shared" si="72"/>
        <v>2</v>
      </c>
      <c r="M1173">
        <v>0</v>
      </c>
      <c r="N1173">
        <v>0</v>
      </c>
      <c r="O1173">
        <v>2</v>
      </c>
      <c r="P1173" s="1">
        <f t="shared" si="73"/>
        <v>0</v>
      </c>
      <c r="Q1173">
        <f t="shared" si="74"/>
        <v>2</v>
      </c>
      <c r="R1173" s="1">
        <f t="shared" si="75"/>
        <v>0</v>
      </c>
    </row>
    <row r="1174" spans="1:18" hidden="1" x14ac:dyDescent="0.3">
      <c r="A1174" t="s">
        <v>5765</v>
      </c>
      <c r="B1174" t="s">
        <v>5766</v>
      </c>
      <c r="C1174" t="s">
        <v>47</v>
      </c>
      <c r="D1174">
        <v>1</v>
      </c>
      <c r="E1174">
        <v>0</v>
      </c>
      <c r="G1174" s="1">
        <v>0</v>
      </c>
      <c r="H1174">
        <v>0</v>
      </c>
      <c r="I1174">
        <v>0.5</v>
      </c>
      <c r="J1174">
        <v>1</v>
      </c>
      <c r="K1174">
        <v>1</v>
      </c>
      <c r="L1174">
        <f t="shared" si="72"/>
        <v>2</v>
      </c>
      <c r="M1174">
        <v>0</v>
      </c>
      <c r="N1174">
        <v>0</v>
      </c>
      <c r="O1174">
        <v>2</v>
      </c>
      <c r="P1174" s="1">
        <f t="shared" si="73"/>
        <v>0</v>
      </c>
      <c r="Q1174">
        <f t="shared" si="74"/>
        <v>2</v>
      </c>
      <c r="R1174" s="1">
        <f t="shared" si="75"/>
        <v>0</v>
      </c>
    </row>
    <row r="1175" spans="1:18" hidden="1" x14ac:dyDescent="0.3">
      <c r="A1175" t="s">
        <v>5767</v>
      </c>
      <c r="B1175" t="s">
        <v>5768</v>
      </c>
      <c r="C1175" t="s">
        <v>47</v>
      </c>
      <c r="D1175">
        <v>1</v>
      </c>
      <c r="E1175">
        <v>2</v>
      </c>
      <c r="F1175" t="s">
        <v>5769</v>
      </c>
      <c r="G1175" s="1">
        <v>8161.02</v>
      </c>
      <c r="H1175">
        <v>0</v>
      </c>
      <c r="I1175">
        <v>0.6</v>
      </c>
      <c r="J1175">
        <v>2</v>
      </c>
      <c r="K1175">
        <v>1</v>
      </c>
      <c r="L1175">
        <f t="shared" si="72"/>
        <v>3</v>
      </c>
      <c r="M1175">
        <v>0</v>
      </c>
      <c r="N1175">
        <v>0</v>
      </c>
      <c r="O1175">
        <v>5</v>
      </c>
      <c r="P1175" s="1">
        <f t="shared" si="73"/>
        <v>0</v>
      </c>
      <c r="Q1175">
        <f t="shared" si="74"/>
        <v>5</v>
      </c>
      <c r="R1175" s="1">
        <f t="shared" si="75"/>
        <v>40805.100000000006</v>
      </c>
    </row>
    <row r="1176" spans="1:18" hidden="1" x14ac:dyDescent="0.3">
      <c r="A1176" t="s">
        <v>5770</v>
      </c>
      <c r="B1176" t="s">
        <v>1062</v>
      </c>
      <c r="C1176" t="s">
        <v>47</v>
      </c>
      <c r="D1176">
        <v>1</v>
      </c>
      <c r="E1176">
        <v>0</v>
      </c>
      <c r="G1176" s="1">
        <v>0</v>
      </c>
      <c r="H1176">
        <v>2</v>
      </c>
      <c r="I1176">
        <v>0.5</v>
      </c>
      <c r="J1176">
        <v>2</v>
      </c>
      <c r="K1176">
        <v>1</v>
      </c>
      <c r="L1176">
        <f t="shared" si="72"/>
        <v>2</v>
      </c>
      <c r="M1176">
        <v>0</v>
      </c>
      <c r="N1176">
        <v>0</v>
      </c>
      <c r="O1176">
        <v>5</v>
      </c>
      <c r="P1176" s="1">
        <f t="shared" si="73"/>
        <v>0</v>
      </c>
      <c r="Q1176">
        <f t="shared" si="74"/>
        <v>5</v>
      </c>
      <c r="R1176" s="1">
        <f t="shared" si="75"/>
        <v>0</v>
      </c>
    </row>
    <row r="1177" spans="1:18" hidden="1" x14ac:dyDescent="0.3">
      <c r="A1177" t="s">
        <v>5771</v>
      </c>
      <c r="B1177" t="s">
        <v>5772</v>
      </c>
      <c r="C1177" t="s">
        <v>47</v>
      </c>
      <c r="D1177">
        <v>1</v>
      </c>
      <c r="E1177">
        <v>0</v>
      </c>
      <c r="G1177" s="1">
        <v>0</v>
      </c>
      <c r="H1177">
        <v>0</v>
      </c>
      <c r="I1177">
        <v>0.5</v>
      </c>
      <c r="J1177">
        <v>1</v>
      </c>
      <c r="K1177">
        <v>1</v>
      </c>
      <c r="L1177">
        <f t="shared" si="72"/>
        <v>2</v>
      </c>
      <c r="M1177">
        <v>0</v>
      </c>
      <c r="N1177">
        <v>0</v>
      </c>
      <c r="O1177">
        <v>2</v>
      </c>
      <c r="P1177" s="1">
        <f t="shared" si="73"/>
        <v>0</v>
      </c>
      <c r="Q1177">
        <f t="shared" si="74"/>
        <v>2</v>
      </c>
      <c r="R1177" s="1">
        <f t="shared" si="75"/>
        <v>0</v>
      </c>
    </row>
    <row r="1178" spans="1:18" hidden="1" x14ac:dyDescent="0.3">
      <c r="A1178" t="s">
        <v>5773</v>
      </c>
      <c r="B1178" t="s">
        <v>5774</v>
      </c>
      <c r="C1178" t="s">
        <v>47</v>
      </c>
      <c r="D1178">
        <v>1</v>
      </c>
      <c r="E1178">
        <v>0</v>
      </c>
      <c r="G1178" s="1">
        <v>0</v>
      </c>
      <c r="H1178">
        <v>0</v>
      </c>
      <c r="I1178">
        <v>0.5</v>
      </c>
      <c r="J1178">
        <v>1</v>
      </c>
      <c r="K1178">
        <v>1</v>
      </c>
      <c r="L1178">
        <f t="shared" si="72"/>
        <v>2</v>
      </c>
      <c r="M1178">
        <v>0</v>
      </c>
      <c r="N1178">
        <v>0</v>
      </c>
      <c r="O1178">
        <v>2</v>
      </c>
      <c r="P1178" s="1">
        <f t="shared" si="73"/>
        <v>0</v>
      </c>
      <c r="Q1178">
        <f t="shared" si="74"/>
        <v>2</v>
      </c>
      <c r="R1178" s="1">
        <f t="shared" si="75"/>
        <v>0</v>
      </c>
    </row>
    <row r="1179" spans="1:18" hidden="1" x14ac:dyDescent="0.3">
      <c r="A1179" t="s">
        <v>48</v>
      </c>
      <c r="B1179" t="s">
        <v>5775</v>
      </c>
      <c r="C1179" t="s">
        <v>47</v>
      </c>
      <c r="D1179">
        <v>1</v>
      </c>
      <c r="E1179">
        <v>0</v>
      </c>
      <c r="G1179" s="1">
        <v>0</v>
      </c>
      <c r="H1179">
        <v>1</v>
      </c>
      <c r="I1179">
        <v>0.5</v>
      </c>
      <c r="J1179">
        <v>1</v>
      </c>
      <c r="K1179">
        <v>1</v>
      </c>
      <c r="L1179">
        <f t="shared" si="72"/>
        <v>2</v>
      </c>
      <c r="M1179">
        <v>0</v>
      </c>
      <c r="N1179">
        <v>0</v>
      </c>
      <c r="O1179">
        <v>2</v>
      </c>
      <c r="P1179" s="1">
        <f t="shared" si="73"/>
        <v>0</v>
      </c>
      <c r="Q1179">
        <f t="shared" si="74"/>
        <v>2</v>
      </c>
      <c r="R1179" s="1">
        <f t="shared" si="75"/>
        <v>0</v>
      </c>
    </row>
    <row r="1180" spans="1:18" hidden="1" x14ac:dyDescent="0.3">
      <c r="A1180" t="s">
        <v>5776</v>
      </c>
      <c r="B1180" t="s">
        <v>5777</v>
      </c>
      <c r="C1180" t="s">
        <v>47</v>
      </c>
      <c r="D1180">
        <v>1</v>
      </c>
      <c r="E1180">
        <v>0</v>
      </c>
      <c r="G1180" s="1">
        <v>0</v>
      </c>
      <c r="H1180">
        <v>0</v>
      </c>
      <c r="I1180">
        <v>0.5</v>
      </c>
      <c r="J1180">
        <v>1</v>
      </c>
      <c r="K1180">
        <v>1</v>
      </c>
      <c r="L1180">
        <f t="shared" si="72"/>
        <v>2</v>
      </c>
      <c r="M1180">
        <v>0</v>
      </c>
      <c r="N1180">
        <v>0</v>
      </c>
      <c r="O1180">
        <v>2</v>
      </c>
      <c r="P1180" s="1">
        <f t="shared" si="73"/>
        <v>0</v>
      </c>
      <c r="Q1180">
        <f t="shared" si="74"/>
        <v>2</v>
      </c>
      <c r="R1180" s="1">
        <f t="shared" si="75"/>
        <v>0</v>
      </c>
    </row>
    <row r="1181" spans="1:18" hidden="1" x14ac:dyDescent="0.3">
      <c r="A1181" t="s">
        <v>5778</v>
      </c>
      <c r="B1181" t="s">
        <v>5779</v>
      </c>
      <c r="C1181" t="s">
        <v>47</v>
      </c>
      <c r="D1181">
        <v>1</v>
      </c>
      <c r="E1181">
        <v>0</v>
      </c>
      <c r="G1181" s="1">
        <v>0</v>
      </c>
      <c r="H1181">
        <v>0</v>
      </c>
      <c r="I1181">
        <v>0.5</v>
      </c>
      <c r="J1181">
        <v>1</v>
      </c>
      <c r="K1181">
        <v>1</v>
      </c>
      <c r="L1181">
        <f t="shared" si="72"/>
        <v>2</v>
      </c>
      <c r="M1181">
        <v>0</v>
      </c>
      <c r="N1181">
        <v>0</v>
      </c>
      <c r="O1181">
        <v>2</v>
      </c>
      <c r="P1181" s="1">
        <f t="shared" si="73"/>
        <v>0</v>
      </c>
      <c r="Q1181">
        <f t="shared" si="74"/>
        <v>2</v>
      </c>
      <c r="R1181" s="1">
        <f t="shared" si="75"/>
        <v>0</v>
      </c>
    </row>
    <row r="1182" spans="1:18" hidden="1" x14ac:dyDescent="0.3">
      <c r="A1182" t="s">
        <v>5780</v>
      </c>
      <c r="B1182" t="s">
        <v>5781</v>
      </c>
      <c r="C1182" t="s">
        <v>47</v>
      </c>
      <c r="D1182">
        <v>1</v>
      </c>
      <c r="E1182">
        <v>4</v>
      </c>
      <c r="F1182" t="s">
        <v>4329</v>
      </c>
      <c r="G1182" s="1">
        <v>0</v>
      </c>
      <c r="H1182">
        <v>4</v>
      </c>
      <c r="I1182">
        <v>0.5</v>
      </c>
      <c r="J1182">
        <v>4</v>
      </c>
      <c r="K1182">
        <v>2</v>
      </c>
      <c r="L1182">
        <f t="shared" si="72"/>
        <v>4</v>
      </c>
      <c r="M1182">
        <v>0</v>
      </c>
      <c r="N1182">
        <v>0</v>
      </c>
      <c r="O1182">
        <v>10</v>
      </c>
      <c r="P1182" s="1">
        <f t="shared" si="73"/>
        <v>0</v>
      </c>
      <c r="Q1182">
        <f t="shared" si="74"/>
        <v>10</v>
      </c>
      <c r="R1182" s="1">
        <f t="shared" si="75"/>
        <v>0</v>
      </c>
    </row>
    <row r="1183" spans="1:18" hidden="1" x14ac:dyDescent="0.3">
      <c r="A1183" t="s">
        <v>5782</v>
      </c>
      <c r="B1183" t="s">
        <v>5783</v>
      </c>
      <c r="C1183" t="s">
        <v>47</v>
      </c>
      <c r="D1183">
        <v>1</v>
      </c>
      <c r="E1183">
        <v>0</v>
      </c>
      <c r="G1183" s="1">
        <v>3511.5</v>
      </c>
      <c r="H1183">
        <v>0</v>
      </c>
      <c r="I1183">
        <v>0.5</v>
      </c>
      <c r="J1183">
        <v>1</v>
      </c>
      <c r="K1183">
        <v>1</v>
      </c>
      <c r="L1183">
        <f t="shared" si="72"/>
        <v>2</v>
      </c>
      <c r="M1183">
        <v>0</v>
      </c>
      <c r="N1183">
        <v>0</v>
      </c>
      <c r="O1183">
        <v>2</v>
      </c>
      <c r="P1183" s="1">
        <f t="shared" si="73"/>
        <v>0</v>
      </c>
      <c r="Q1183">
        <f t="shared" si="74"/>
        <v>2</v>
      </c>
      <c r="R1183" s="1">
        <f t="shared" si="75"/>
        <v>7023</v>
      </c>
    </row>
    <row r="1184" spans="1:18" hidden="1" x14ac:dyDescent="0.3">
      <c r="A1184" t="s">
        <v>5784</v>
      </c>
      <c r="B1184" t="s">
        <v>5785</v>
      </c>
      <c r="C1184" t="s">
        <v>47</v>
      </c>
      <c r="D1184">
        <v>1</v>
      </c>
      <c r="E1184">
        <v>0</v>
      </c>
      <c r="G1184" s="1">
        <v>0</v>
      </c>
      <c r="H1184">
        <v>0</v>
      </c>
      <c r="I1184">
        <v>0.5</v>
      </c>
      <c r="J1184">
        <v>1</v>
      </c>
      <c r="K1184">
        <v>1</v>
      </c>
      <c r="L1184">
        <f t="shared" si="72"/>
        <v>2</v>
      </c>
      <c r="M1184">
        <v>0</v>
      </c>
      <c r="N1184">
        <v>0</v>
      </c>
      <c r="O1184">
        <v>2</v>
      </c>
      <c r="P1184" s="1">
        <f t="shared" si="73"/>
        <v>0</v>
      </c>
      <c r="Q1184">
        <f t="shared" si="74"/>
        <v>2</v>
      </c>
      <c r="R1184" s="1">
        <f t="shared" si="75"/>
        <v>0</v>
      </c>
    </row>
    <row r="1185" spans="1:18" hidden="1" x14ac:dyDescent="0.3">
      <c r="A1185" t="s">
        <v>5786</v>
      </c>
      <c r="B1185" t="s">
        <v>5787</v>
      </c>
      <c r="C1185" t="s">
        <v>47</v>
      </c>
      <c r="D1185">
        <v>1</v>
      </c>
      <c r="E1185">
        <v>0</v>
      </c>
      <c r="G1185" s="1">
        <v>0</v>
      </c>
      <c r="H1185">
        <v>3</v>
      </c>
      <c r="I1185">
        <v>0.5</v>
      </c>
      <c r="J1185">
        <v>3</v>
      </c>
      <c r="K1185">
        <v>2</v>
      </c>
      <c r="L1185">
        <f t="shared" si="72"/>
        <v>4</v>
      </c>
      <c r="M1185">
        <v>0</v>
      </c>
      <c r="N1185">
        <v>0</v>
      </c>
      <c r="O1185">
        <v>8</v>
      </c>
      <c r="P1185" s="1">
        <f t="shared" si="73"/>
        <v>0</v>
      </c>
      <c r="Q1185">
        <f t="shared" si="74"/>
        <v>8</v>
      </c>
      <c r="R1185" s="1">
        <f t="shared" si="75"/>
        <v>0</v>
      </c>
    </row>
    <row r="1186" spans="1:18" hidden="1" x14ac:dyDescent="0.3">
      <c r="A1186" t="s">
        <v>5788</v>
      </c>
      <c r="B1186" t="s">
        <v>5789</v>
      </c>
      <c r="C1186" t="s">
        <v>47</v>
      </c>
      <c r="D1186">
        <v>1</v>
      </c>
      <c r="E1186">
        <v>0</v>
      </c>
      <c r="G1186" s="1">
        <v>0</v>
      </c>
      <c r="H1186">
        <v>20</v>
      </c>
      <c r="I1186">
        <v>0.5</v>
      </c>
      <c r="J1186">
        <v>20</v>
      </c>
      <c r="K1186">
        <v>10</v>
      </c>
      <c r="L1186">
        <f t="shared" si="72"/>
        <v>20</v>
      </c>
      <c r="M1186">
        <v>0</v>
      </c>
      <c r="N1186">
        <v>0</v>
      </c>
      <c r="O1186">
        <v>50</v>
      </c>
      <c r="P1186" s="1">
        <f t="shared" si="73"/>
        <v>0</v>
      </c>
      <c r="Q1186">
        <f t="shared" si="74"/>
        <v>50</v>
      </c>
      <c r="R1186" s="1">
        <f t="shared" si="75"/>
        <v>0</v>
      </c>
    </row>
    <row r="1187" spans="1:18" hidden="1" x14ac:dyDescent="0.3">
      <c r="A1187" t="s">
        <v>5790</v>
      </c>
      <c r="B1187" t="s">
        <v>5791</v>
      </c>
      <c r="C1187" t="s">
        <v>47</v>
      </c>
      <c r="D1187">
        <v>1</v>
      </c>
      <c r="E1187">
        <v>16</v>
      </c>
      <c r="F1187" t="s">
        <v>4605</v>
      </c>
      <c r="G1187" s="1">
        <v>169</v>
      </c>
      <c r="H1187">
        <v>0</v>
      </c>
      <c r="I1187">
        <v>0.8</v>
      </c>
      <c r="J1187">
        <v>16</v>
      </c>
      <c r="K1187">
        <v>13</v>
      </c>
      <c r="L1187">
        <f t="shared" si="72"/>
        <v>26</v>
      </c>
      <c r="M1187">
        <v>0</v>
      </c>
      <c r="N1187">
        <v>0</v>
      </c>
      <c r="O1187">
        <v>45</v>
      </c>
      <c r="P1187" s="1">
        <f t="shared" si="73"/>
        <v>0</v>
      </c>
      <c r="Q1187">
        <f t="shared" si="74"/>
        <v>45</v>
      </c>
      <c r="R1187" s="1">
        <f t="shared" si="75"/>
        <v>7605</v>
      </c>
    </row>
    <row r="1188" spans="1:18" hidden="1" x14ac:dyDescent="0.3">
      <c r="A1188" t="s">
        <v>5792</v>
      </c>
      <c r="B1188" t="s">
        <v>5793</v>
      </c>
      <c r="C1188" t="s">
        <v>47</v>
      </c>
      <c r="D1188">
        <v>1</v>
      </c>
      <c r="E1188">
        <v>2</v>
      </c>
      <c r="F1188" t="s">
        <v>3471</v>
      </c>
      <c r="G1188" s="1">
        <v>15923.7</v>
      </c>
      <c r="H1188">
        <v>0</v>
      </c>
      <c r="I1188">
        <v>1.6</v>
      </c>
      <c r="J1188">
        <v>2</v>
      </c>
      <c r="K1188">
        <v>3</v>
      </c>
      <c r="L1188">
        <f t="shared" si="72"/>
        <v>7</v>
      </c>
      <c r="M1188">
        <v>0</v>
      </c>
      <c r="N1188">
        <v>0</v>
      </c>
      <c r="O1188">
        <v>7</v>
      </c>
      <c r="P1188" s="1">
        <f t="shared" si="73"/>
        <v>0</v>
      </c>
      <c r="Q1188">
        <f t="shared" si="74"/>
        <v>7</v>
      </c>
      <c r="R1188" s="1">
        <f t="shared" si="75"/>
        <v>111465.90000000001</v>
      </c>
    </row>
    <row r="1189" spans="1:18" hidden="1" x14ac:dyDescent="0.3">
      <c r="A1189" t="s">
        <v>5794</v>
      </c>
      <c r="B1189" t="s">
        <v>5795</v>
      </c>
      <c r="C1189" t="s">
        <v>47</v>
      </c>
      <c r="D1189">
        <v>1</v>
      </c>
      <c r="E1189">
        <v>0</v>
      </c>
      <c r="G1189" s="1">
        <v>0</v>
      </c>
      <c r="H1189">
        <v>2</v>
      </c>
      <c r="I1189">
        <v>0.5</v>
      </c>
      <c r="J1189">
        <v>2</v>
      </c>
      <c r="K1189">
        <v>1</v>
      </c>
      <c r="L1189">
        <f t="shared" si="72"/>
        <v>2</v>
      </c>
      <c r="M1189">
        <v>0</v>
      </c>
      <c r="N1189">
        <v>0</v>
      </c>
      <c r="O1189">
        <v>5</v>
      </c>
      <c r="P1189" s="1">
        <f t="shared" si="73"/>
        <v>0</v>
      </c>
      <c r="Q1189">
        <f t="shared" si="74"/>
        <v>5</v>
      </c>
      <c r="R1189" s="1">
        <f t="shared" si="75"/>
        <v>0</v>
      </c>
    </row>
    <row r="1190" spans="1:18" hidden="1" x14ac:dyDescent="0.3">
      <c r="A1190" t="s">
        <v>5796</v>
      </c>
      <c r="B1190" t="s">
        <v>5797</v>
      </c>
      <c r="C1190" t="s">
        <v>47</v>
      </c>
      <c r="D1190">
        <v>1</v>
      </c>
      <c r="E1190">
        <v>0</v>
      </c>
      <c r="G1190" s="1">
        <v>0</v>
      </c>
      <c r="H1190">
        <v>0</v>
      </c>
      <c r="I1190">
        <v>0.5</v>
      </c>
      <c r="J1190">
        <v>1</v>
      </c>
      <c r="K1190">
        <v>1</v>
      </c>
      <c r="L1190">
        <f t="shared" si="72"/>
        <v>2</v>
      </c>
      <c r="M1190">
        <v>0</v>
      </c>
      <c r="N1190">
        <v>0</v>
      </c>
      <c r="O1190">
        <v>2</v>
      </c>
      <c r="P1190" s="1">
        <f t="shared" si="73"/>
        <v>0</v>
      </c>
      <c r="Q1190">
        <f t="shared" si="74"/>
        <v>2</v>
      </c>
      <c r="R1190" s="1">
        <f t="shared" si="75"/>
        <v>0</v>
      </c>
    </row>
    <row r="1191" spans="1:18" hidden="1" x14ac:dyDescent="0.3">
      <c r="A1191" t="s">
        <v>5798</v>
      </c>
      <c r="B1191" t="s">
        <v>5799</v>
      </c>
      <c r="C1191" t="s">
        <v>47</v>
      </c>
      <c r="D1191">
        <v>1</v>
      </c>
      <c r="E1191">
        <v>9</v>
      </c>
      <c r="F1191" t="s">
        <v>3485</v>
      </c>
      <c r="G1191" s="1">
        <v>430.34</v>
      </c>
      <c r="H1191">
        <v>9</v>
      </c>
      <c r="I1191">
        <v>1.6</v>
      </c>
      <c r="J1191">
        <v>9</v>
      </c>
      <c r="K1191">
        <v>14</v>
      </c>
      <c r="L1191">
        <f t="shared" si="72"/>
        <v>29</v>
      </c>
      <c r="M1191">
        <v>0</v>
      </c>
      <c r="N1191">
        <v>0</v>
      </c>
      <c r="O1191">
        <v>32</v>
      </c>
      <c r="P1191" s="1">
        <f t="shared" si="73"/>
        <v>0</v>
      </c>
      <c r="Q1191">
        <f t="shared" si="74"/>
        <v>32</v>
      </c>
      <c r="R1191" s="1">
        <f t="shared" si="75"/>
        <v>13770.88</v>
      </c>
    </row>
    <row r="1192" spans="1:18" hidden="1" x14ac:dyDescent="0.3">
      <c r="A1192" t="s">
        <v>5800</v>
      </c>
      <c r="B1192" t="s">
        <v>5801</v>
      </c>
      <c r="C1192" t="s">
        <v>47</v>
      </c>
      <c r="D1192">
        <v>1</v>
      </c>
      <c r="E1192">
        <v>0</v>
      </c>
      <c r="G1192" s="1">
        <v>0</v>
      </c>
      <c r="H1192">
        <v>0</v>
      </c>
      <c r="I1192">
        <v>0.5</v>
      </c>
      <c r="J1192">
        <v>1</v>
      </c>
      <c r="K1192">
        <v>1</v>
      </c>
      <c r="L1192">
        <f t="shared" si="72"/>
        <v>2</v>
      </c>
      <c r="M1192">
        <v>0</v>
      </c>
      <c r="N1192">
        <v>0</v>
      </c>
      <c r="O1192">
        <v>2</v>
      </c>
      <c r="P1192" s="1">
        <f t="shared" si="73"/>
        <v>0</v>
      </c>
      <c r="Q1192">
        <f t="shared" si="74"/>
        <v>2</v>
      </c>
      <c r="R1192" s="1">
        <f t="shared" si="75"/>
        <v>0</v>
      </c>
    </row>
    <row r="1193" spans="1:18" hidden="1" x14ac:dyDescent="0.3">
      <c r="A1193" t="s">
        <v>5802</v>
      </c>
      <c r="B1193" t="s">
        <v>5803</v>
      </c>
      <c r="C1193" t="s">
        <v>47</v>
      </c>
      <c r="D1193">
        <v>1</v>
      </c>
      <c r="E1193">
        <v>6</v>
      </c>
      <c r="F1193" t="s">
        <v>3485</v>
      </c>
      <c r="G1193" s="1">
        <v>1115.22</v>
      </c>
      <c r="H1193">
        <v>0</v>
      </c>
      <c r="I1193">
        <v>1.9</v>
      </c>
      <c r="J1193">
        <v>6</v>
      </c>
      <c r="K1193">
        <v>11</v>
      </c>
      <c r="L1193">
        <f t="shared" si="72"/>
        <v>23</v>
      </c>
      <c r="M1193">
        <v>0</v>
      </c>
      <c r="N1193">
        <v>0</v>
      </c>
      <c r="O1193">
        <v>23</v>
      </c>
      <c r="P1193" s="1">
        <f t="shared" si="73"/>
        <v>0</v>
      </c>
      <c r="Q1193">
        <f t="shared" si="74"/>
        <v>23</v>
      </c>
      <c r="R1193" s="1">
        <f t="shared" si="75"/>
        <v>25650.06</v>
      </c>
    </row>
    <row r="1194" spans="1:18" hidden="1" x14ac:dyDescent="0.3">
      <c r="A1194" t="s">
        <v>5804</v>
      </c>
      <c r="B1194" t="s">
        <v>5805</v>
      </c>
      <c r="C1194" t="s">
        <v>47</v>
      </c>
      <c r="D1194">
        <v>1</v>
      </c>
      <c r="E1194">
        <v>4</v>
      </c>
      <c r="F1194" t="s">
        <v>214</v>
      </c>
      <c r="G1194" s="1">
        <v>5.22</v>
      </c>
      <c r="H1194">
        <v>0</v>
      </c>
      <c r="I1194">
        <v>0.5</v>
      </c>
      <c r="J1194">
        <v>4</v>
      </c>
      <c r="K1194">
        <v>2</v>
      </c>
      <c r="L1194">
        <f t="shared" si="72"/>
        <v>4</v>
      </c>
      <c r="M1194">
        <v>0</v>
      </c>
      <c r="N1194">
        <v>0</v>
      </c>
      <c r="O1194">
        <v>10</v>
      </c>
      <c r="P1194" s="1">
        <f t="shared" si="73"/>
        <v>0</v>
      </c>
      <c r="Q1194">
        <f t="shared" si="74"/>
        <v>10</v>
      </c>
      <c r="R1194" s="1">
        <f t="shared" si="75"/>
        <v>52.199999999999996</v>
      </c>
    </row>
    <row r="1195" spans="1:18" hidden="1" x14ac:dyDescent="0.3">
      <c r="A1195" t="s">
        <v>5806</v>
      </c>
      <c r="B1195" t="s">
        <v>5807</v>
      </c>
      <c r="C1195" t="s">
        <v>47</v>
      </c>
      <c r="D1195">
        <v>2</v>
      </c>
      <c r="E1195">
        <v>75</v>
      </c>
      <c r="F1195" t="s">
        <v>5428</v>
      </c>
      <c r="G1195" s="1">
        <v>175.85</v>
      </c>
      <c r="H1195">
        <v>0</v>
      </c>
      <c r="I1195">
        <v>0.9</v>
      </c>
      <c r="J1195">
        <v>37.5</v>
      </c>
      <c r="K1195">
        <v>34</v>
      </c>
      <c r="L1195">
        <f t="shared" si="72"/>
        <v>68</v>
      </c>
      <c r="M1195">
        <v>0</v>
      </c>
      <c r="N1195">
        <v>0</v>
      </c>
      <c r="O1195">
        <v>109</v>
      </c>
      <c r="P1195" s="1">
        <f t="shared" si="73"/>
        <v>0</v>
      </c>
      <c r="Q1195">
        <f t="shared" si="74"/>
        <v>109</v>
      </c>
      <c r="R1195" s="1">
        <f t="shared" si="75"/>
        <v>19167.649999999998</v>
      </c>
    </row>
    <row r="1196" spans="1:18" hidden="1" x14ac:dyDescent="0.3">
      <c r="A1196" t="s">
        <v>5808</v>
      </c>
      <c r="B1196" t="s">
        <v>5806</v>
      </c>
      <c r="C1196" t="s">
        <v>47</v>
      </c>
      <c r="D1196">
        <v>1</v>
      </c>
      <c r="E1196">
        <v>5</v>
      </c>
      <c r="F1196" t="s">
        <v>5428</v>
      </c>
      <c r="G1196" s="1">
        <v>175.85</v>
      </c>
      <c r="H1196">
        <v>0</v>
      </c>
      <c r="I1196">
        <v>0.5</v>
      </c>
      <c r="J1196">
        <v>5</v>
      </c>
      <c r="K1196">
        <v>2</v>
      </c>
      <c r="L1196">
        <f t="shared" si="72"/>
        <v>5</v>
      </c>
      <c r="M1196">
        <v>0</v>
      </c>
      <c r="N1196">
        <v>0</v>
      </c>
      <c r="O1196">
        <v>12</v>
      </c>
      <c r="P1196" s="1">
        <f t="shared" si="73"/>
        <v>0</v>
      </c>
      <c r="Q1196">
        <f t="shared" si="74"/>
        <v>12</v>
      </c>
      <c r="R1196" s="1">
        <f t="shared" si="75"/>
        <v>2110.1999999999998</v>
      </c>
    </row>
    <row r="1197" spans="1:18" hidden="1" x14ac:dyDescent="0.3">
      <c r="A1197" t="s">
        <v>5809</v>
      </c>
      <c r="B1197" t="s">
        <v>5810</v>
      </c>
      <c r="C1197" t="s">
        <v>47</v>
      </c>
      <c r="D1197">
        <v>1</v>
      </c>
      <c r="E1197">
        <v>3</v>
      </c>
      <c r="F1197" t="s">
        <v>4273</v>
      </c>
      <c r="G1197" s="1">
        <v>701.67</v>
      </c>
      <c r="H1197">
        <v>0</v>
      </c>
      <c r="I1197">
        <v>0.9</v>
      </c>
      <c r="J1197">
        <v>3</v>
      </c>
      <c r="K1197">
        <v>3</v>
      </c>
      <c r="L1197">
        <f t="shared" si="72"/>
        <v>6</v>
      </c>
      <c r="M1197">
        <v>0</v>
      </c>
      <c r="N1197">
        <v>0</v>
      </c>
      <c r="O1197">
        <v>9</v>
      </c>
      <c r="P1197" s="1">
        <f t="shared" si="73"/>
        <v>0</v>
      </c>
      <c r="Q1197">
        <f t="shared" si="74"/>
        <v>9</v>
      </c>
      <c r="R1197" s="1">
        <f t="shared" si="75"/>
        <v>6315.03</v>
      </c>
    </row>
    <row r="1198" spans="1:18" x14ac:dyDescent="0.3">
      <c r="A1198" t="s">
        <v>5811</v>
      </c>
      <c r="B1198" t="s">
        <v>5812</v>
      </c>
      <c r="C1198" t="s">
        <v>47</v>
      </c>
      <c r="D1198">
        <v>1</v>
      </c>
      <c r="E1198">
        <v>1</v>
      </c>
      <c r="F1198" t="s">
        <v>5813</v>
      </c>
      <c r="G1198" s="1">
        <v>11638.05</v>
      </c>
      <c r="H1198">
        <v>0</v>
      </c>
      <c r="I1198">
        <v>0.8</v>
      </c>
      <c r="J1198">
        <v>1</v>
      </c>
      <c r="K1198">
        <v>1</v>
      </c>
      <c r="L1198">
        <f t="shared" si="72"/>
        <v>2</v>
      </c>
      <c r="M1198">
        <v>0</v>
      </c>
      <c r="N1198">
        <v>0</v>
      </c>
      <c r="O1198">
        <v>3</v>
      </c>
      <c r="P1198" s="1">
        <f t="shared" si="73"/>
        <v>0</v>
      </c>
      <c r="Q1198">
        <f t="shared" si="74"/>
        <v>3</v>
      </c>
      <c r="R1198" s="1">
        <f t="shared" si="75"/>
        <v>34914.149999999994</v>
      </c>
    </row>
    <row r="1199" spans="1:18" hidden="1" x14ac:dyDescent="0.3">
      <c r="A1199" t="s">
        <v>5814</v>
      </c>
      <c r="B1199" t="s">
        <v>5814</v>
      </c>
      <c r="C1199" t="s">
        <v>47</v>
      </c>
      <c r="D1199">
        <v>3</v>
      </c>
      <c r="E1199">
        <v>2</v>
      </c>
      <c r="F1199" t="s">
        <v>2634</v>
      </c>
      <c r="G1199" s="1">
        <v>1085.46</v>
      </c>
      <c r="H1199">
        <v>0</v>
      </c>
      <c r="I1199">
        <v>0.9</v>
      </c>
      <c r="J1199">
        <v>1</v>
      </c>
      <c r="K1199">
        <v>1</v>
      </c>
      <c r="L1199">
        <f t="shared" si="72"/>
        <v>2</v>
      </c>
      <c r="M1199">
        <v>0</v>
      </c>
      <c r="N1199">
        <v>0</v>
      </c>
      <c r="O1199">
        <v>3</v>
      </c>
      <c r="P1199" s="1">
        <f t="shared" si="73"/>
        <v>0</v>
      </c>
      <c r="Q1199">
        <f t="shared" si="74"/>
        <v>3</v>
      </c>
      <c r="R1199" s="1">
        <f t="shared" si="75"/>
        <v>3256.38</v>
      </c>
    </row>
    <row r="1200" spans="1:18" hidden="1" x14ac:dyDescent="0.3">
      <c r="A1200" t="s">
        <v>5815</v>
      </c>
      <c r="B1200" t="s">
        <v>5816</v>
      </c>
      <c r="C1200" t="s">
        <v>47</v>
      </c>
      <c r="D1200">
        <v>1</v>
      </c>
      <c r="E1200">
        <v>0</v>
      </c>
      <c r="G1200" s="1">
        <v>0</v>
      </c>
      <c r="H1200">
        <v>1</v>
      </c>
      <c r="I1200">
        <v>0.5</v>
      </c>
      <c r="J1200">
        <v>1</v>
      </c>
      <c r="K1200">
        <v>1</v>
      </c>
      <c r="L1200">
        <f t="shared" si="72"/>
        <v>2</v>
      </c>
      <c r="M1200">
        <v>0</v>
      </c>
      <c r="N1200">
        <v>0</v>
      </c>
      <c r="O1200">
        <v>2</v>
      </c>
      <c r="P1200" s="1">
        <f t="shared" si="73"/>
        <v>0</v>
      </c>
      <c r="Q1200">
        <f t="shared" si="74"/>
        <v>2</v>
      </c>
      <c r="R1200" s="1">
        <f t="shared" si="75"/>
        <v>0</v>
      </c>
    </row>
    <row r="1201" spans="1:18" hidden="1" x14ac:dyDescent="0.3">
      <c r="A1201" t="s">
        <v>5817</v>
      </c>
      <c r="B1201" t="s">
        <v>5818</v>
      </c>
      <c r="C1201" t="s">
        <v>47</v>
      </c>
      <c r="D1201">
        <v>4</v>
      </c>
      <c r="E1201">
        <v>3</v>
      </c>
      <c r="F1201" t="s">
        <v>5819</v>
      </c>
      <c r="G1201" s="1">
        <v>7180</v>
      </c>
      <c r="H1201">
        <v>0</v>
      </c>
      <c r="I1201">
        <v>0.5</v>
      </c>
      <c r="J1201">
        <v>1</v>
      </c>
      <c r="K1201">
        <v>1</v>
      </c>
      <c r="L1201">
        <f t="shared" si="72"/>
        <v>2</v>
      </c>
      <c r="M1201">
        <v>0</v>
      </c>
      <c r="N1201">
        <v>0</v>
      </c>
      <c r="O1201">
        <v>2</v>
      </c>
      <c r="P1201" s="1">
        <f t="shared" si="73"/>
        <v>0</v>
      </c>
      <c r="Q1201">
        <f t="shared" si="74"/>
        <v>2</v>
      </c>
      <c r="R1201" s="1">
        <f t="shared" si="75"/>
        <v>14360</v>
      </c>
    </row>
    <row r="1202" spans="1:18" hidden="1" x14ac:dyDescent="0.3">
      <c r="A1202" t="s">
        <v>5820</v>
      </c>
      <c r="B1202" t="s">
        <v>5821</v>
      </c>
      <c r="C1202" t="s">
        <v>47</v>
      </c>
      <c r="D1202">
        <v>1</v>
      </c>
      <c r="E1202">
        <v>0</v>
      </c>
      <c r="G1202" s="1">
        <v>0</v>
      </c>
      <c r="H1202">
        <v>0</v>
      </c>
      <c r="I1202">
        <v>0.5</v>
      </c>
      <c r="J1202">
        <v>1</v>
      </c>
      <c r="K1202">
        <v>1</v>
      </c>
      <c r="L1202">
        <f t="shared" si="72"/>
        <v>2</v>
      </c>
      <c r="M1202">
        <v>0</v>
      </c>
      <c r="N1202">
        <v>0</v>
      </c>
      <c r="O1202">
        <v>2</v>
      </c>
      <c r="P1202" s="1">
        <f t="shared" si="73"/>
        <v>0</v>
      </c>
      <c r="Q1202">
        <f t="shared" si="74"/>
        <v>2</v>
      </c>
      <c r="R1202" s="1">
        <f t="shared" si="75"/>
        <v>0</v>
      </c>
    </row>
    <row r="1203" spans="1:18" hidden="1" x14ac:dyDescent="0.3">
      <c r="A1203" t="s">
        <v>5822</v>
      </c>
      <c r="B1203" t="s">
        <v>5823</v>
      </c>
      <c r="C1203" t="s">
        <v>47</v>
      </c>
      <c r="D1203">
        <v>1</v>
      </c>
      <c r="E1203">
        <v>0</v>
      </c>
      <c r="G1203" s="1">
        <v>0</v>
      </c>
      <c r="H1203">
        <v>0</v>
      </c>
      <c r="I1203">
        <v>0.5</v>
      </c>
      <c r="J1203">
        <v>1</v>
      </c>
      <c r="K1203">
        <v>1</v>
      </c>
      <c r="L1203">
        <f t="shared" si="72"/>
        <v>2</v>
      </c>
      <c r="M1203">
        <v>0</v>
      </c>
      <c r="N1203">
        <v>0</v>
      </c>
      <c r="O1203">
        <v>2</v>
      </c>
      <c r="P1203" s="1">
        <f t="shared" si="73"/>
        <v>0</v>
      </c>
      <c r="Q1203">
        <f t="shared" si="74"/>
        <v>2</v>
      </c>
      <c r="R1203" s="1">
        <f t="shared" si="75"/>
        <v>0</v>
      </c>
    </row>
    <row r="1204" spans="1:18" hidden="1" x14ac:dyDescent="0.3">
      <c r="A1204" t="s">
        <v>5824</v>
      </c>
      <c r="B1204" t="s">
        <v>5825</v>
      </c>
      <c r="C1204" t="s">
        <v>47</v>
      </c>
      <c r="D1204">
        <v>1</v>
      </c>
      <c r="E1204">
        <v>0</v>
      </c>
      <c r="G1204" s="1">
        <v>0</v>
      </c>
      <c r="H1204">
        <v>0</v>
      </c>
      <c r="I1204">
        <v>0.5</v>
      </c>
      <c r="J1204">
        <v>1</v>
      </c>
      <c r="K1204">
        <v>1</v>
      </c>
      <c r="L1204">
        <f t="shared" si="72"/>
        <v>2</v>
      </c>
      <c r="M1204">
        <v>0</v>
      </c>
      <c r="N1204">
        <v>0</v>
      </c>
      <c r="O1204">
        <v>2</v>
      </c>
      <c r="P1204" s="1">
        <f t="shared" si="73"/>
        <v>0</v>
      </c>
      <c r="Q1204">
        <f t="shared" si="74"/>
        <v>2</v>
      </c>
      <c r="R1204" s="1">
        <f t="shared" si="75"/>
        <v>0</v>
      </c>
    </row>
    <row r="1205" spans="1:18" hidden="1" x14ac:dyDescent="0.3">
      <c r="A1205" t="s">
        <v>5826</v>
      </c>
      <c r="B1205" t="s">
        <v>5827</v>
      </c>
      <c r="C1205" t="s">
        <v>47</v>
      </c>
      <c r="D1205">
        <v>1</v>
      </c>
      <c r="E1205">
        <v>0</v>
      </c>
      <c r="G1205" s="1">
        <v>0</v>
      </c>
      <c r="H1205">
        <v>0</v>
      </c>
      <c r="I1205">
        <v>0.5</v>
      </c>
      <c r="J1205">
        <v>1</v>
      </c>
      <c r="K1205">
        <v>1</v>
      </c>
      <c r="L1205">
        <f t="shared" si="72"/>
        <v>2</v>
      </c>
      <c r="M1205">
        <v>0</v>
      </c>
      <c r="N1205">
        <v>0</v>
      </c>
      <c r="O1205">
        <v>2</v>
      </c>
      <c r="P1205" s="1">
        <f t="shared" si="73"/>
        <v>0</v>
      </c>
      <c r="Q1205">
        <f t="shared" si="74"/>
        <v>2</v>
      </c>
      <c r="R1205" s="1">
        <f t="shared" si="75"/>
        <v>0</v>
      </c>
    </row>
    <row r="1206" spans="1:18" x14ac:dyDescent="0.3">
      <c r="A1206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R15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5828</v>
      </c>
      <c r="B2" t="s">
        <v>5829</v>
      </c>
      <c r="C2" t="s">
        <v>48</v>
      </c>
      <c r="D2">
        <v>11</v>
      </c>
      <c r="E2">
        <v>6</v>
      </c>
      <c r="F2" t="s">
        <v>4826</v>
      </c>
      <c r="G2" s="1">
        <v>4991.25</v>
      </c>
      <c r="H2">
        <v>8</v>
      </c>
      <c r="I2">
        <v>0.6</v>
      </c>
      <c r="J2">
        <v>1</v>
      </c>
      <c r="K2">
        <v>1</v>
      </c>
      <c r="L2">
        <f t="shared" ref="L2:L14" si="0">ROUNDUP((J2*I2)+K2,0)</f>
        <v>2</v>
      </c>
      <c r="M2">
        <v>0</v>
      </c>
      <c r="N2">
        <v>0</v>
      </c>
      <c r="O2">
        <v>3</v>
      </c>
      <c r="P2" s="1">
        <f t="shared" ref="P2:P14" si="1">IFERROR(M2*G2,0)</f>
        <v>0</v>
      </c>
      <c r="Q2">
        <f t="shared" ref="Q2:Q14" si="2">IF(O2-M2-N2&gt;0,O2-M2-N2,0)</f>
        <v>3</v>
      </c>
      <c r="R2" s="1">
        <f t="shared" ref="R2:R14" si="3">IFERROR(Q2*G2,0)</f>
        <v>14973.75</v>
      </c>
    </row>
    <row r="3" spans="1:18" x14ac:dyDescent="0.3">
      <c r="A3" t="s">
        <v>5830</v>
      </c>
      <c r="B3" t="s">
        <v>5831</v>
      </c>
      <c r="C3" t="s">
        <v>48</v>
      </c>
      <c r="D3">
        <v>1</v>
      </c>
      <c r="E3">
        <v>2</v>
      </c>
      <c r="F3" t="s">
        <v>5832</v>
      </c>
      <c r="G3" s="1">
        <v>7257.38</v>
      </c>
      <c r="H3">
        <v>0</v>
      </c>
      <c r="I3">
        <v>0.9</v>
      </c>
      <c r="J3">
        <v>2</v>
      </c>
      <c r="K3">
        <v>2</v>
      </c>
      <c r="L3">
        <f t="shared" si="0"/>
        <v>4</v>
      </c>
      <c r="M3">
        <v>0</v>
      </c>
      <c r="N3">
        <v>0</v>
      </c>
      <c r="O3">
        <v>6</v>
      </c>
      <c r="P3" s="1">
        <f t="shared" si="1"/>
        <v>0</v>
      </c>
      <c r="Q3">
        <f t="shared" si="2"/>
        <v>6</v>
      </c>
      <c r="R3" s="1">
        <f t="shared" si="3"/>
        <v>43544.28</v>
      </c>
    </row>
    <row r="4" spans="1:18" x14ac:dyDescent="0.3">
      <c r="A4" t="s">
        <v>5833</v>
      </c>
      <c r="B4" t="s">
        <v>5834</v>
      </c>
      <c r="C4" t="s">
        <v>48</v>
      </c>
      <c r="D4">
        <v>1</v>
      </c>
      <c r="E4">
        <v>0</v>
      </c>
      <c r="G4" s="1">
        <v>0</v>
      </c>
      <c r="H4">
        <v>0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0</v>
      </c>
    </row>
    <row r="5" spans="1:18" x14ac:dyDescent="0.3">
      <c r="A5" t="s">
        <v>5835</v>
      </c>
      <c r="B5" t="s">
        <v>5836</v>
      </c>
      <c r="C5" t="s">
        <v>48</v>
      </c>
      <c r="D5">
        <v>1</v>
      </c>
      <c r="E5">
        <v>1</v>
      </c>
      <c r="F5" t="s">
        <v>5832</v>
      </c>
      <c r="G5" s="1">
        <v>5996.25</v>
      </c>
      <c r="H5">
        <v>1</v>
      </c>
      <c r="I5">
        <v>0.9</v>
      </c>
      <c r="J5">
        <v>1</v>
      </c>
      <c r="K5">
        <v>1</v>
      </c>
      <c r="L5">
        <f t="shared" si="0"/>
        <v>2</v>
      </c>
      <c r="M5">
        <v>0</v>
      </c>
      <c r="N5">
        <v>0</v>
      </c>
      <c r="O5">
        <v>3</v>
      </c>
      <c r="P5" s="1">
        <f t="shared" si="1"/>
        <v>0</v>
      </c>
      <c r="Q5">
        <f t="shared" si="2"/>
        <v>3</v>
      </c>
      <c r="R5" s="1">
        <f t="shared" si="3"/>
        <v>17988.75</v>
      </c>
    </row>
    <row r="6" spans="1:18" x14ac:dyDescent="0.3">
      <c r="A6" t="s">
        <v>5837</v>
      </c>
      <c r="B6" t="s">
        <v>5838</v>
      </c>
      <c r="C6" t="s">
        <v>48</v>
      </c>
      <c r="D6">
        <v>1</v>
      </c>
      <c r="E6">
        <v>1</v>
      </c>
      <c r="F6" t="s">
        <v>5832</v>
      </c>
      <c r="G6" s="1">
        <v>7618.69</v>
      </c>
      <c r="H6">
        <v>0</v>
      </c>
      <c r="I6">
        <v>0.9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3</v>
      </c>
      <c r="P6" s="1">
        <f t="shared" si="1"/>
        <v>0</v>
      </c>
      <c r="Q6">
        <f t="shared" si="2"/>
        <v>3</v>
      </c>
      <c r="R6" s="1">
        <f t="shared" si="3"/>
        <v>22856.07</v>
      </c>
    </row>
    <row r="7" spans="1:18" x14ac:dyDescent="0.3">
      <c r="A7" t="s">
        <v>5839</v>
      </c>
      <c r="B7" t="s">
        <v>5840</v>
      </c>
      <c r="C7" t="s">
        <v>48</v>
      </c>
      <c r="D7">
        <v>1</v>
      </c>
      <c r="E7">
        <v>1</v>
      </c>
      <c r="F7" t="s">
        <v>5832</v>
      </c>
      <c r="G7" s="1">
        <v>6105.19</v>
      </c>
      <c r="H7">
        <v>3</v>
      </c>
      <c r="I7">
        <v>0.9</v>
      </c>
      <c r="J7">
        <v>3</v>
      </c>
      <c r="K7">
        <v>3</v>
      </c>
      <c r="L7">
        <f t="shared" si="0"/>
        <v>6</v>
      </c>
      <c r="M7">
        <v>0</v>
      </c>
      <c r="N7">
        <v>0</v>
      </c>
      <c r="O7">
        <v>9</v>
      </c>
      <c r="P7" s="1">
        <f t="shared" si="1"/>
        <v>0</v>
      </c>
      <c r="Q7">
        <f t="shared" si="2"/>
        <v>9</v>
      </c>
      <c r="R7" s="1">
        <f t="shared" si="3"/>
        <v>54946.71</v>
      </c>
    </row>
    <row r="8" spans="1:18" x14ac:dyDescent="0.3">
      <c r="A8" t="s">
        <v>5841</v>
      </c>
      <c r="B8" t="s">
        <v>5842</v>
      </c>
      <c r="C8" t="s">
        <v>48</v>
      </c>
      <c r="D8">
        <v>1</v>
      </c>
      <c r="E8">
        <v>3</v>
      </c>
      <c r="F8" t="s">
        <v>5832</v>
      </c>
      <c r="G8" s="1">
        <v>7618.69</v>
      </c>
      <c r="H8">
        <v>0</v>
      </c>
      <c r="I8">
        <v>0.9</v>
      </c>
      <c r="J8">
        <v>3</v>
      </c>
      <c r="K8">
        <v>3</v>
      </c>
      <c r="L8">
        <f t="shared" si="0"/>
        <v>6</v>
      </c>
      <c r="M8">
        <v>0</v>
      </c>
      <c r="N8">
        <v>0</v>
      </c>
      <c r="O8">
        <v>9</v>
      </c>
      <c r="P8" s="1">
        <f t="shared" si="1"/>
        <v>0</v>
      </c>
      <c r="Q8">
        <f t="shared" si="2"/>
        <v>9</v>
      </c>
      <c r="R8" s="1">
        <f t="shared" si="3"/>
        <v>68568.209999999992</v>
      </c>
    </row>
    <row r="9" spans="1:18" x14ac:dyDescent="0.3">
      <c r="A9" t="s">
        <v>5843</v>
      </c>
      <c r="B9" t="s">
        <v>5844</v>
      </c>
      <c r="C9" t="s">
        <v>48</v>
      </c>
      <c r="D9">
        <v>1</v>
      </c>
      <c r="E9">
        <v>3</v>
      </c>
      <c r="F9" t="s">
        <v>5832</v>
      </c>
      <c r="G9" s="1">
        <v>6674.85</v>
      </c>
      <c r="H9">
        <v>5</v>
      </c>
      <c r="I9">
        <v>0.9</v>
      </c>
      <c r="J9">
        <v>5</v>
      </c>
      <c r="K9">
        <v>4</v>
      </c>
      <c r="L9">
        <f t="shared" si="0"/>
        <v>9</v>
      </c>
      <c r="M9">
        <v>0</v>
      </c>
      <c r="N9">
        <v>0</v>
      </c>
      <c r="O9">
        <v>14</v>
      </c>
      <c r="P9" s="1">
        <f t="shared" si="1"/>
        <v>0</v>
      </c>
      <c r="Q9">
        <f t="shared" si="2"/>
        <v>14</v>
      </c>
      <c r="R9" s="1">
        <f t="shared" si="3"/>
        <v>93447.900000000009</v>
      </c>
    </row>
    <row r="10" spans="1:18" x14ac:dyDescent="0.3">
      <c r="A10" t="s">
        <v>5845</v>
      </c>
      <c r="B10" t="s">
        <v>5846</v>
      </c>
      <c r="C10" t="s">
        <v>48</v>
      </c>
      <c r="D10">
        <v>1</v>
      </c>
      <c r="E10">
        <v>5</v>
      </c>
      <c r="F10" t="s">
        <v>5832</v>
      </c>
      <c r="G10" s="1">
        <v>7618.69</v>
      </c>
      <c r="H10">
        <v>0</v>
      </c>
      <c r="I10">
        <v>0.9</v>
      </c>
      <c r="J10">
        <v>5</v>
      </c>
      <c r="K10">
        <v>4</v>
      </c>
      <c r="L10">
        <f t="shared" si="0"/>
        <v>9</v>
      </c>
      <c r="M10">
        <v>0</v>
      </c>
      <c r="N10">
        <v>0</v>
      </c>
      <c r="O10">
        <v>14</v>
      </c>
      <c r="P10" s="1">
        <f t="shared" si="1"/>
        <v>0</v>
      </c>
      <c r="Q10">
        <f t="shared" si="2"/>
        <v>14</v>
      </c>
      <c r="R10" s="1">
        <f t="shared" si="3"/>
        <v>106661.65999999999</v>
      </c>
    </row>
    <row r="11" spans="1:18" x14ac:dyDescent="0.3">
      <c r="A11" t="s">
        <v>5847</v>
      </c>
      <c r="B11" t="s">
        <v>5848</v>
      </c>
      <c r="C11" t="s">
        <v>48</v>
      </c>
      <c r="D11">
        <v>1</v>
      </c>
      <c r="E11">
        <v>1</v>
      </c>
      <c r="F11" t="s">
        <v>5832</v>
      </c>
      <c r="G11" s="1">
        <v>7011.65</v>
      </c>
      <c r="H11">
        <v>1</v>
      </c>
      <c r="I11">
        <v>0.9</v>
      </c>
      <c r="J11">
        <v>1</v>
      </c>
      <c r="K11">
        <v>1</v>
      </c>
      <c r="L11">
        <f t="shared" si="0"/>
        <v>2</v>
      </c>
      <c r="M11">
        <v>0</v>
      </c>
      <c r="N11">
        <v>0</v>
      </c>
      <c r="O11">
        <v>3</v>
      </c>
      <c r="P11" s="1">
        <f t="shared" si="1"/>
        <v>0</v>
      </c>
      <c r="Q11">
        <f t="shared" si="2"/>
        <v>3</v>
      </c>
      <c r="R11" s="1">
        <f t="shared" si="3"/>
        <v>21034.949999999997</v>
      </c>
    </row>
    <row r="12" spans="1:18" x14ac:dyDescent="0.3">
      <c r="A12" t="s">
        <v>5849</v>
      </c>
      <c r="B12" t="s">
        <v>5850</v>
      </c>
      <c r="C12" t="s">
        <v>48</v>
      </c>
      <c r="D12">
        <v>1</v>
      </c>
      <c r="E12">
        <v>1</v>
      </c>
      <c r="F12" t="s">
        <v>5832</v>
      </c>
      <c r="G12" s="1">
        <v>7634.08</v>
      </c>
      <c r="H12">
        <v>0</v>
      </c>
      <c r="I12">
        <v>0.9</v>
      </c>
      <c r="J12">
        <v>1</v>
      </c>
      <c r="K12">
        <v>1</v>
      </c>
      <c r="L12">
        <f t="shared" si="0"/>
        <v>2</v>
      </c>
      <c r="M12">
        <v>0</v>
      </c>
      <c r="N12">
        <v>0</v>
      </c>
      <c r="O12">
        <v>3</v>
      </c>
      <c r="P12" s="1">
        <f t="shared" si="1"/>
        <v>0</v>
      </c>
      <c r="Q12">
        <f t="shared" si="2"/>
        <v>3</v>
      </c>
      <c r="R12" s="1">
        <f t="shared" si="3"/>
        <v>22902.239999999998</v>
      </c>
    </row>
    <row r="13" spans="1:18" x14ac:dyDescent="0.3">
      <c r="A13" t="s">
        <v>5851</v>
      </c>
      <c r="B13" t="s">
        <v>5852</v>
      </c>
      <c r="C13" t="s">
        <v>48</v>
      </c>
      <c r="D13">
        <v>1</v>
      </c>
      <c r="E13">
        <v>1</v>
      </c>
      <c r="F13" t="s">
        <v>5832</v>
      </c>
      <c r="G13" s="1">
        <v>7709.22</v>
      </c>
      <c r="H13">
        <v>2</v>
      </c>
      <c r="I13">
        <v>0.9</v>
      </c>
      <c r="J13">
        <v>2</v>
      </c>
      <c r="K13">
        <v>2</v>
      </c>
      <c r="L13">
        <f t="shared" si="0"/>
        <v>4</v>
      </c>
      <c r="M13">
        <v>0</v>
      </c>
      <c r="N13">
        <v>0</v>
      </c>
      <c r="O13">
        <v>6</v>
      </c>
      <c r="P13" s="1">
        <f t="shared" si="1"/>
        <v>0</v>
      </c>
      <c r="Q13">
        <f t="shared" si="2"/>
        <v>6</v>
      </c>
      <c r="R13" s="1">
        <f t="shared" si="3"/>
        <v>46255.32</v>
      </c>
    </row>
    <row r="14" spans="1:18" x14ac:dyDescent="0.3">
      <c r="A14" t="s">
        <v>5853</v>
      </c>
      <c r="B14" t="s">
        <v>5854</v>
      </c>
      <c r="C14" t="s">
        <v>48</v>
      </c>
      <c r="D14">
        <v>1</v>
      </c>
      <c r="E14">
        <v>2</v>
      </c>
      <c r="F14" t="s">
        <v>5832</v>
      </c>
      <c r="G14" s="1">
        <v>7634.08</v>
      </c>
      <c r="H14">
        <v>0</v>
      </c>
      <c r="I14">
        <v>0.9</v>
      </c>
      <c r="J14">
        <v>2</v>
      </c>
      <c r="K14">
        <v>2</v>
      </c>
      <c r="L14">
        <f t="shared" si="0"/>
        <v>4</v>
      </c>
      <c r="M14">
        <v>0</v>
      </c>
      <c r="N14">
        <v>0</v>
      </c>
      <c r="O14">
        <v>6</v>
      </c>
      <c r="P14" s="1">
        <f t="shared" si="1"/>
        <v>0</v>
      </c>
      <c r="Q14">
        <f t="shared" si="2"/>
        <v>6</v>
      </c>
      <c r="R14" s="1">
        <f t="shared" si="3"/>
        <v>45804.479999999996</v>
      </c>
    </row>
    <row r="15" spans="1:18" x14ac:dyDescent="0.3">
      <c r="A15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R9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18" x14ac:dyDescent="0.3">
      <c r="A1" t="s">
        <v>51</v>
      </c>
      <c r="B1" t="s">
        <v>52</v>
      </c>
      <c r="C1" t="s">
        <v>0</v>
      </c>
      <c r="D1" t="s">
        <v>53</v>
      </c>
      <c r="E1" t="s">
        <v>2</v>
      </c>
      <c r="F1" t="s">
        <v>54</v>
      </c>
      <c r="G1" t="s">
        <v>55</v>
      </c>
      <c r="H1" t="s">
        <v>3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64</v>
      </c>
      <c r="R1" t="s">
        <v>65</v>
      </c>
    </row>
    <row r="2" spans="1:18" x14ac:dyDescent="0.3">
      <c r="A2" t="s">
        <v>5855</v>
      </c>
      <c r="B2" t="s">
        <v>5856</v>
      </c>
      <c r="C2" t="s">
        <v>49</v>
      </c>
      <c r="D2">
        <v>28</v>
      </c>
      <c r="E2">
        <v>0</v>
      </c>
      <c r="G2" s="1">
        <v>114.86</v>
      </c>
      <c r="H2">
        <v>0</v>
      </c>
      <c r="I2">
        <v>0.5</v>
      </c>
      <c r="J2">
        <v>1</v>
      </c>
      <c r="K2">
        <v>1</v>
      </c>
      <c r="L2">
        <f t="shared" ref="L2:L8" si="0">ROUNDUP((J2*I2)+K2,0)</f>
        <v>2</v>
      </c>
      <c r="M2">
        <v>0</v>
      </c>
      <c r="N2">
        <v>0</v>
      </c>
      <c r="O2">
        <v>2</v>
      </c>
      <c r="P2" s="1">
        <f t="shared" ref="P2:P8" si="1">IFERROR(M2*G2,0)</f>
        <v>0</v>
      </c>
      <c r="Q2">
        <f t="shared" ref="Q2:Q8" si="2">IF(O2-M2-N2&gt;0,O2-M2-N2,0)</f>
        <v>2</v>
      </c>
      <c r="R2" s="1">
        <f t="shared" ref="R2:R8" si="3">IFERROR(Q2*G2,0)</f>
        <v>229.72</v>
      </c>
    </row>
    <row r="3" spans="1:18" x14ac:dyDescent="0.3">
      <c r="A3" t="s">
        <v>5857</v>
      </c>
      <c r="B3" t="s">
        <v>5857</v>
      </c>
      <c r="C3" t="s">
        <v>49</v>
      </c>
      <c r="D3">
        <v>57</v>
      </c>
      <c r="E3">
        <v>0</v>
      </c>
      <c r="G3" s="1">
        <v>1922.9</v>
      </c>
      <c r="H3">
        <v>28</v>
      </c>
      <c r="I3">
        <v>0.5</v>
      </c>
      <c r="J3">
        <v>1</v>
      </c>
      <c r="K3">
        <v>1</v>
      </c>
      <c r="L3">
        <f t="shared" si="0"/>
        <v>2</v>
      </c>
      <c r="M3">
        <v>0</v>
      </c>
      <c r="N3">
        <v>0</v>
      </c>
      <c r="O3">
        <v>2</v>
      </c>
      <c r="P3" s="1">
        <f t="shared" si="1"/>
        <v>0</v>
      </c>
      <c r="Q3">
        <f t="shared" si="2"/>
        <v>2</v>
      </c>
      <c r="R3" s="1">
        <f t="shared" si="3"/>
        <v>3845.8</v>
      </c>
    </row>
    <row r="4" spans="1:18" x14ac:dyDescent="0.3">
      <c r="A4" t="s">
        <v>5858</v>
      </c>
      <c r="B4" t="s">
        <v>5858</v>
      </c>
      <c r="C4" t="s">
        <v>49</v>
      </c>
      <c r="D4">
        <v>37</v>
      </c>
      <c r="E4">
        <v>0</v>
      </c>
      <c r="G4" s="1">
        <v>1175.53</v>
      </c>
      <c r="H4">
        <v>15</v>
      </c>
      <c r="I4">
        <v>0.5</v>
      </c>
      <c r="J4">
        <v>1</v>
      </c>
      <c r="K4">
        <v>1</v>
      </c>
      <c r="L4">
        <f t="shared" si="0"/>
        <v>2</v>
      </c>
      <c r="M4">
        <v>0</v>
      </c>
      <c r="N4">
        <v>0</v>
      </c>
      <c r="O4">
        <v>2</v>
      </c>
      <c r="P4" s="1">
        <f t="shared" si="1"/>
        <v>0</v>
      </c>
      <c r="Q4">
        <f t="shared" si="2"/>
        <v>2</v>
      </c>
      <c r="R4" s="1">
        <f t="shared" si="3"/>
        <v>2351.06</v>
      </c>
    </row>
    <row r="5" spans="1:18" x14ac:dyDescent="0.3">
      <c r="A5" t="s">
        <v>5859</v>
      </c>
      <c r="B5" t="s">
        <v>5859</v>
      </c>
      <c r="C5" t="s">
        <v>49</v>
      </c>
      <c r="D5">
        <v>28</v>
      </c>
      <c r="E5">
        <v>0</v>
      </c>
      <c r="G5" s="1">
        <v>3172.84</v>
      </c>
      <c r="H5">
        <v>83</v>
      </c>
      <c r="I5">
        <v>0.5</v>
      </c>
      <c r="J5">
        <v>3</v>
      </c>
      <c r="K5">
        <v>2</v>
      </c>
      <c r="L5">
        <f t="shared" si="0"/>
        <v>4</v>
      </c>
      <c r="M5">
        <v>0</v>
      </c>
      <c r="N5">
        <v>0</v>
      </c>
      <c r="O5">
        <v>8</v>
      </c>
      <c r="P5" s="1">
        <f t="shared" si="1"/>
        <v>0</v>
      </c>
      <c r="Q5">
        <f t="shared" si="2"/>
        <v>8</v>
      </c>
      <c r="R5" s="1">
        <f t="shared" si="3"/>
        <v>25382.720000000001</v>
      </c>
    </row>
    <row r="6" spans="1:18" x14ac:dyDescent="0.3">
      <c r="A6" t="s">
        <v>5860</v>
      </c>
      <c r="B6" t="s">
        <v>5861</v>
      </c>
      <c r="C6" t="s">
        <v>49</v>
      </c>
      <c r="D6">
        <v>53</v>
      </c>
      <c r="E6">
        <v>0</v>
      </c>
      <c r="G6" s="1">
        <v>990.91</v>
      </c>
      <c r="H6">
        <v>1</v>
      </c>
      <c r="I6">
        <v>0.5</v>
      </c>
      <c r="J6">
        <v>1</v>
      </c>
      <c r="K6">
        <v>1</v>
      </c>
      <c r="L6">
        <f t="shared" si="0"/>
        <v>2</v>
      </c>
      <c r="M6">
        <v>0</v>
      </c>
      <c r="N6">
        <v>0</v>
      </c>
      <c r="O6">
        <v>2</v>
      </c>
      <c r="P6" s="1">
        <f t="shared" si="1"/>
        <v>0</v>
      </c>
      <c r="Q6">
        <f t="shared" si="2"/>
        <v>2</v>
      </c>
      <c r="R6" s="1">
        <f t="shared" si="3"/>
        <v>1981.82</v>
      </c>
    </row>
    <row r="7" spans="1:18" x14ac:dyDescent="0.3">
      <c r="A7" t="s">
        <v>5862</v>
      </c>
      <c r="B7" t="s">
        <v>5863</v>
      </c>
      <c r="C7" t="s">
        <v>49</v>
      </c>
      <c r="D7">
        <v>28</v>
      </c>
      <c r="E7">
        <v>0</v>
      </c>
      <c r="G7" s="1">
        <v>1008.06</v>
      </c>
      <c r="H7">
        <v>0</v>
      </c>
      <c r="I7">
        <v>0.5</v>
      </c>
      <c r="J7">
        <v>1</v>
      </c>
      <c r="K7">
        <v>1</v>
      </c>
      <c r="L7">
        <f t="shared" si="0"/>
        <v>2</v>
      </c>
      <c r="M7">
        <v>0</v>
      </c>
      <c r="N7">
        <v>0</v>
      </c>
      <c r="O7">
        <v>2</v>
      </c>
      <c r="P7" s="1">
        <f t="shared" si="1"/>
        <v>0</v>
      </c>
      <c r="Q7">
        <f t="shared" si="2"/>
        <v>2</v>
      </c>
      <c r="R7" s="1">
        <f t="shared" si="3"/>
        <v>2016.12</v>
      </c>
    </row>
    <row r="8" spans="1:18" x14ac:dyDescent="0.3">
      <c r="A8" t="s">
        <v>5864</v>
      </c>
      <c r="B8" t="s">
        <v>5865</v>
      </c>
      <c r="C8" t="s">
        <v>49</v>
      </c>
      <c r="D8">
        <v>41</v>
      </c>
      <c r="E8">
        <v>0</v>
      </c>
      <c r="G8" s="1">
        <v>1188.07</v>
      </c>
      <c r="H8">
        <v>1</v>
      </c>
      <c r="I8">
        <v>0.5</v>
      </c>
      <c r="J8">
        <v>1</v>
      </c>
      <c r="K8">
        <v>1</v>
      </c>
      <c r="L8">
        <f t="shared" si="0"/>
        <v>2</v>
      </c>
      <c r="M8">
        <v>0</v>
      </c>
      <c r="N8">
        <v>0</v>
      </c>
      <c r="O8">
        <v>2</v>
      </c>
      <c r="P8" s="1">
        <f t="shared" si="1"/>
        <v>0</v>
      </c>
      <c r="Q8">
        <f t="shared" si="2"/>
        <v>2</v>
      </c>
      <c r="R8" s="1">
        <f t="shared" si="3"/>
        <v>2376.14</v>
      </c>
    </row>
    <row r="9" spans="1:18" x14ac:dyDescent="0.3">
      <c r="A9" t="s">
        <v>50</v>
      </c>
    </row>
  </sheetData>
  <printOptions horizontalCentered="1"/>
  <pageMargins left="1" right="1" top="1" bottom="1" header="0.5" footer="0.5"/>
  <pageSetup fitToHeight="0"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46</vt:i4>
      </vt:variant>
    </vt:vector>
  </HeadingPairs>
  <TitlesOfParts>
    <vt:vector size="93" baseType="lpstr">
      <vt:lpstr>Category Summary</vt:lpstr>
      <vt:lpstr>Accessories</vt:lpstr>
      <vt:lpstr>BENDINGCUTTING</vt:lpstr>
      <vt:lpstr>CFLANGE</vt:lpstr>
      <vt:lpstr>CASING</vt:lpstr>
      <vt:lpstr>CONSUMABLES</vt:lpstr>
      <vt:lpstr>CRATING</vt:lpstr>
      <vt:lpstr>Car accessories</vt:lpstr>
      <vt:lpstr>DUCT</vt:lpstr>
      <vt:lpstr>FABRICATION</vt:lpstr>
      <vt:lpstr>FASTENERS</vt:lpstr>
      <vt:lpstr>FM - BLOWER</vt:lpstr>
      <vt:lpstr>FM - CFLANGE</vt:lpstr>
      <vt:lpstr>FM - CASING</vt:lpstr>
      <vt:lpstr>FM - CFW FANS</vt:lpstr>
      <vt:lpstr>FM - DONKIN</vt:lpstr>
      <vt:lpstr>FM - ELECTRICAL WIRING</vt:lpstr>
      <vt:lpstr>FM - FABRICATION</vt:lpstr>
      <vt:lpstr>FM - FAN BLADE MODELLING</vt:lpstr>
      <vt:lpstr>FM - FPZ</vt:lpstr>
      <vt:lpstr>FM - FUMAX</vt:lpstr>
      <vt:lpstr>FM - IMPELLER</vt:lpstr>
      <vt:lpstr>FM - KAYITES</vt:lpstr>
      <vt:lpstr>FM - LUCK &amp; KING</vt:lpstr>
      <vt:lpstr>FM - MFEET</vt:lpstr>
      <vt:lpstr>FM - MACHINERY</vt:lpstr>
      <vt:lpstr>FM - MOTOR</vt:lpstr>
      <vt:lpstr>FM - NICOTRA</vt:lpstr>
      <vt:lpstr>FM - OSTBERG</vt:lpstr>
      <vt:lpstr>FM - PAINTING</vt:lpstr>
      <vt:lpstr>FM - SODECA</vt:lpstr>
      <vt:lpstr>FM - UNIFORM</vt:lpstr>
      <vt:lpstr>FM - VORTICE</vt:lpstr>
      <vt:lpstr>FREIGHT</vt:lpstr>
      <vt:lpstr>Fan</vt:lpstr>
      <vt:lpstr>IMPELLER</vt:lpstr>
      <vt:lpstr>MFEET</vt:lpstr>
      <vt:lpstr>MOTOR FLANGE</vt:lpstr>
      <vt:lpstr>MOTORS</vt:lpstr>
      <vt:lpstr>Nicotra</vt:lpstr>
      <vt:lpstr>PACKAGING</vt:lpstr>
      <vt:lpstr>PLATE</vt:lpstr>
      <vt:lpstr>Roof Fans</vt:lpstr>
      <vt:lpstr>Stub Shaft</vt:lpstr>
      <vt:lpstr>Uncategorized</vt:lpstr>
      <vt:lpstr>VSD</vt:lpstr>
      <vt:lpstr>Vents</vt:lpstr>
      <vt:lpstr>Accessories!Print_Titles</vt:lpstr>
      <vt:lpstr>BENDINGCUTTING!Print_Titles</vt:lpstr>
      <vt:lpstr>'Car accessories'!Print_Titles</vt:lpstr>
      <vt:lpstr>CASING!Print_Titles</vt:lpstr>
      <vt:lpstr>CFLANGE!Print_Titles</vt:lpstr>
      <vt:lpstr>CONSUMABLES!Print_Titles</vt:lpstr>
      <vt:lpstr>CRATING!Print_Titles</vt:lpstr>
      <vt:lpstr>DUCT!Print_Titles</vt:lpstr>
      <vt:lpstr>FABRICATION!Print_Titles</vt:lpstr>
      <vt:lpstr>Fan!Print_Titles</vt:lpstr>
      <vt:lpstr>FASTENERS!Print_Titles</vt:lpstr>
      <vt:lpstr>'FM - BLOWER'!Print_Titles</vt:lpstr>
      <vt:lpstr>'FM - CASING'!Print_Titles</vt:lpstr>
      <vt:lpstr>'FM - CFLANGE'!Print_Titles</vt:lpstr>
      <vt:lpstr>'FM - CFW FANS'!Print_Titles</vt:lpstr>
      <vt:lpstr>'FM - DONKIN'!Print_Titles</vt:lpstr>
      <vt:lpstr>'FM - ELECTRICAL WIRING'!Print_Titles</vt:lpstr>
      <vt:lpstr>'FM - FABRICATION'!Print_Titles</vt:lpstr>
      <vt:lpstr>'FM - FAN BLADE MODELLING'!Print_Titles</vt:lpstr>
      <vt:lpstr>'FM - FPZ'!Print_Titles</vt:lpstr>
      <vt:lpstr>'FM - FUMAX'!Print_Titles</vt:lpstr>
      <vt:lpstr>'FM - IMPELLER'!Print_Titles</vt:lpstr>
      <vt:lpstr>'FM - KAYITES'!Print_Titles</vt:lpstr>
      <vt:lpstr>'FM - LUCK &amp; KING'!Print_Titles</vt:lpstr>
      <vt:lpstr>'FM - MACHINERY'!Print_Titles</vt:lpstr>
      <vt:lpstr>'FM - MFEET'!Print_Titles</vt:lpstr>
      <vt:lpstr>'FM - MOTOR'!Print_Titles</vt:lpstr>
      <vt:lpstr>'FM - NICOTRA'!Print_Titles</vt:lpstr>
      <vt:lpstr>'FM - OSTBERG'!Print_Titles</vt:lpstr>
      <vt:lpstr>'FM - PAINTING'!Print_Titles</vt:lpstr>
      <vt:lpstr>'FM - SODECA'!Print_Titles</vt:lpstr>
      <vt:lpstr>'FM - UNIFORM'!Print_Titles</vt:lpstr>
      <vt:lpstr>'FM - VORTICE'!Print_Titles</vt:lpstr>
      <vt:lpstr>FREIGHT!Print_Titles</vt:lpstr>
      <vt:lpstr>IMPELLER!Print_Titles</vt:lpstr>
      <vt:lpstr>MFEET!Print_Titles</vt:lpstr>
      <vt:lpstr>'MOTOR FLANGE'!Print_Titles</vt:lpstr>
      <vt:lpstr>MOTORS!Print_Titles</vt:lpstr>
      <vt:lpstr>Nicotra!Print_Titles</vt:lpstr>
      <vt:lpstr>PACKAGING!Print_Titles</vt:lpstr>
      <vt:lpstr>PLATE!Print_Titles</vt:lpstr>
      <vt:lpstr>'Roof Fans'!Print_Titles</vt:lpstr>
      <vt:lpstr>'Stub Shaft'!Print_Titles</vt:lpstr>
      <vt:lpstr>Uncategorized!Print_Titles</vt:lpstr>
      <vt:lpstr>Vents!Print_Titles</vt:lpstr>
      <vt:lpstr>VSD!Print_Titles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Tebello Lelosa</cp:lastModifiedBy>
  <dcterms:created xsi:type="dcterms:W3CDTF">2026-04-30T13:14:55Z</dcterms:created>
  <dcterms:modified xsi:type="dcterms:W3CDTF">2026-04-30T13:59:53Z</dcterms:modified>
</cp:coreProperties>
</file>