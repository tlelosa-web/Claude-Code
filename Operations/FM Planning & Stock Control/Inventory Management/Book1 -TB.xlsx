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534" documentId="8_{9EEA9ED8-51DE-4387-9855-2DF05F4309A7}" xr6:coauthVersionLast="47" xr6:coauthVersionMax="47" xr10:uidLastSave="{8815AD8A-9C31-49E6-BD5A-34C5E2C33D66}"/>
  <bookViews>
    <workbookView xWindow="-108" yWindow="-108" windowWidth="23256" windowHeight="12456" xr2:uid="{A10AD439-3D21-411F-9498-25B729AFAD99}"/>
  </bookViews>
  <sheets>
    <sheet name="Sheet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3" i="1"/>
  <c r="E2" i="1"/>
  <c r="B3" i="1" s="1"/>
  <c r="E3" i="1" s="1"/>
  <c r="B4" i="1" s="1"/>
  <c r="E4" i="1" s="1"/>
  <c r="B5" i="1" s="1"/>
  <c r="E5" i="1" s="1"/>
  <c r="J2" i="1"/>
  <c r="K2" i="1" s="1"/>
  <c r="M2" i="1" l="1"/>
  <c r="P2" i="1" s="1"/>
  <c r="O2" i="1"/>
  <c r="B6" i="1" l="1"/>
  <c r="E6" i="1" s="1"/>
  <c r="Q2" i="1"/>
  <c r="S2" i="1" l="1"/>
  <c r="U2" i="1" s="1"/>
  <c r="B7" i="1"/>
  <c r="E7" i="1" s="1"/>
  <c r="B8" i="1" s="1"/>
  <c r="E8" i="1" s="1"/>
  <c r="H3" i="1"/>
  <c r="J3" i="1" l="1"/>
  <c r="B9" i="1"/>
  <c r="E9" i="1" s="1"/>
  <c r="K3" i="1" l="1"/>
  <c r="O3" i="1" s="1"/>
  <c r="B10" i="1"/>
  <c r="E10" i="1" s="1"/>
  <c r="M3" i="1" l="1"/>
  <c r="P3" i="1" s="1"/>
  <c r="Q3" i="1" s="1"/>
  <c r="S3" i="1" s="1"/>
  <c r="B11" i="1"/>
  <c r="E11" i="1" s="1"/>
  <c r="U3" i="1" l="1"/>
  <c r="B12" i="1"/>
  <c r="E12" i="1" s="1"/>
  <c r="H4" i="1" l="1"/>
  <c r="J4" i="1" s="1"/>
  <c r="K4" i="1" s="1"/>
  <c r="T3" i="1"/>
  <c r="B13" i="1"/>
  <c r="E13" i="1" s="1"/>
  <c r="M4" i="1" l="1"/>
  <c r="P4" i="1" s="1"/>
  <c r="O4" i="1"/>
  <c r="B14" i="1"/>
  <c r="E14" i="1" s="1"/>
  <c r="Q4" i="1" l="1"/>
  <c r="S4" i="1" s="1"/>
  <c r="B15" i="1"/>
  <c r="E15" i="1" s="1"/>
  <c r="U4" i="1" l="1"/>
  <c r="B16" i="1"/>
  <c r="E16" i="1" s="1"/>
  <c r="H5" i="1" l="1"/>
  <c r="J5" i="1" s="1"/>
  <c r="K5" i="1" s="1"/>
  <c r="M5" i="1" s="1"/>
  <c r="P5" i="1" s="1"/>
  <c r="T4" i="1"/>
  <c r="B17" i="1"/>
  <c r="E17" i="1" s="1"/>
  <c r="O5" i="1" l="1"/>
  <c r="Q5" i="1" s="1"/>
  <c r="S5" i="1" s="1"/>
  <c r="B18" i="1"/>
  <c r="E18" i="1" s="1"/>
  <c r="B19" i="1" l="1"/>
  <c r="E19" i="1" s="1"/>
  <c r="T5" i="1" l="1"/>
  <c r="U5" i="1"/>
  <c r="H6" i="1"/>
  <c r="J6" i="1" s="1"/>
  <c r="K6" i="1" s="1"/>
  <c r="O6" i="1" s="1"/>
  <c r="B20" i="1"/>
  <c r="E20" i="1" s="1"/>
  <c r="M6" i="1" l="1"/>
  <c r="P6" i="1" s="1"/>
  <c r="Q6" i="1" s="1"/>
  <c r="S6" i="1" s="1"/>
  <c r="B21" i="1"/>
  <c r="E21" i="1" s="1"/>
  <c r="B22" i="1" l="1"/>
  <c r="E22" i="1" s="1"/>
  <c r="U6" i="1" l="1"/>
  <c r="T6" i="1"/>
  <c r="H7" i="1"/>
  <c r="J7" i="1" s="1"/>
  <c r="K7" i="1" s="1"/>
  <c r="O7" i="1" s="1"/>
  <c r="B23" i="1"/>
  <c r="E23" i="1" s="1"/>
  <c r="M7" i="1" l="1"/>
  <c r="P7" i="1" s="1"/>
  <c r="Q7" i="1" s="1"/>
  <c r="S7" i="1" s="1"/>
  <c r="B24" i="1"/>
  <c r="E24" i="1" s="1"/>
  <c r="H8" i="1" l="1"/>
  <c r="J8" i="1" s="1"/>
  <c r="K8" i="1" s="1"/>
  <c r="M8" i="1" s="1"/>
  <c r="P8" i="1" s="1"/>
  <c r="B25" i="1"/>
  <c r="E25" i="1" s="1"/>
  <c r="U7" i="1" l="1"/>
  <c r="T7" i="1"/>
  <c r="O8" i="1"/>
  <c r="Q8" i="1" s="1"/>
  <c r="S8" i="1" s="1"/>
  <c r="B26" i="1"/>
  <c r="E26" i="1" s="1"/>
  <c r="H9" i="1" l="1"/>
  <c r="J9" i="1" s="1"/>
  <c r="B27" i="1"/>
  <c r="E27" i="1" s="1"/>
  <c r="U8" i="1" l="1"/>
  <c r="T8" i="1"/>
  <c r="K9" i="1"/>
  <c r="M9" i="1" s="1"/>
  <c r="P9" i="1" s="1"/>
  <c r="B28" i="1"/>
  <c r="E28" i="1" s="1"/>
  <c r="O9" i="1" l="1"/>
  <c r="B29" i="1"/>
  <c r="E29" i="1" s="1"/>
  <c r="Q9" i="1"/>
  <c r="S9" i="1" s="1"/>
  <c r="U9" i="1" l="1"/>
  <c r="H10" i="1"/>
  <c r="T9" i="1"/>
  <c r="B30" i="1"/>
  <c r="E30" i="1" s="1"/>
  <c r="J10" i="1" l="1"/>
  <c r="B31" i="1"/>
  <c r="E31" i="1" s="1"/>
  <c r="K10" i="1" l="1"/>
  <c r="M10" i="1" s="1"/>
  <c r="P10" i="1" s="1"/>
  <c r="B32" i="1"/>
  <c r="E32" i="1" s="1"/>
  <c r="O10" i="1" l="1"/>
  <c r="Q10" i="1" s="1"/>
  <c r="S10" i="1" s="1"/>
  <c r="B33" i="1"/>
  <c r="E33" i="1" s="1"/>
  <c r="H11" i="1" l="1"/>
  <c r="J11" i="1" s="1"/>
  <c r="B34" i="1"/>
  <c r="E34" i="1" s="1"/>
  <c r="U10" i="1" l="1"/>
  <c r="T10" i="1"/>
  <c r="K11" i="1"/>
  <c r="O11" i="1" s="1"/>
  <c r="B35" i="1"/>
  <c r="E35" i="1" s="1"/>
  <c r="M11" i="1" l="1"/>
  <c r="P11" i="1" s="1"/>
  <c r="Q11" i="1" s="1"/>
  <c r="S11" i="1" s="1"/>
  <c r="B36" i="1"/>
  <c r="E36" i="1" s="1"/>
  <c r="U11" i="1" l="1"/>
  <c r="B37" i="1"/>
  <c r="E37" i="1" s="1"/>
  <c r="T11" i="1"/>
  <c r="H12" i="1"/>
  <c r="B38" i="1" l="1"/>
  <c r="E38" i="1" s="1"/>
  <c r="J12" i="1"/>
  <c r="K12" i="1" l="1"/>
  <c r="M12" i="1" s="1"/>
  <c r="P12" i="1" s="1"/>
  <c r="B39" i="1"/>
  <c r="E39" i="1" s="1"/>
  <c r="O12" i="1" l="1"/>
  <c r="Q12" i="1" s="1"/>
  <c r="S12" i="1" s="1"/>
  <c r="B40" i="1"/>
  <c r="E40" i="1" s="1"/>
  <c r="T12" i="1" l="1"/>
  <c r="U12" i="1"/>
  <c r="B41" i="1"/>
  <c r="E41" i="1" s="1"/>
  <c r="H13" i="1"/>
  <c r="J13" i="1" l="1"/>
  <c r="B42" i="1"/>
  <c r="E42" i="1" s="1"/>
  <c r="K13" i="1" l="1"/>
  <c r="B43" i="1"/>
  <c r="E43" i="1" s="1"/>
  <c r="O13" i="1" l="1"/>
  <c r="M13" i="1"/>
  <c r="P13" i="1" s="1"/>
  <c r="B44" i="1"/>
  <c r="E44" i="1" s="1"/>
  <c r="Q13" i="1" l="1"/>
  <c r="S13" i="1" s="1"/>
  <c r="B45" i="1"/>
  <c r="E45" i="1" s="1"/>
  <c r="T13" i="1" l="1"/>
  <c r="B46" i="1"/>
  <c r="E46" i="1" s="1"/>
  <c r="H14" i="1" l="1"/>
  <c r="J14" i="1" s="1"/>
  <c r="U13" i="1"/>
  <c r="K14" i="1"/>
  <c r="B47" i="1"/>
  <c r="E47" i="1" s="1"/>
  <c r="M14" i="1" l="1"/>
  <c r="P14" i="1" s="1"/>
  <c r="O14" i="1"/>
  <c r="Q14" i="1" l="1"/>
  <c r="S14" i="1" s="1"/>
  <c r="T14" i="1" l="1"/>
  <c r="H15" i="1" l="1"/>
  <c r="J15" i="1" s="1"/>
  <c r="K15" i="1" s="1"/>
  <c r="M15" i="1" s="1"/>
  <c r="P15" i="1" s="1"/>
  <c r="U14" i="1"/>
  <c r="O15" i="1" l="1"/>
  <c r="Q15" i="1" s="1"/>
  <c r="S15" i="1" s="1"/>
  <c r="T15" i="1" s="1"/>
  <c r="H16" i="1" l="1"/>
  <c r="J16" i="1" s="1"/>
  <c r="K16" i="1" s="1"/>
  <c r="M16" i="1" s="1"/>
  <c r="P16" i="1" s="1"/>
  <c r="U15" i="1"/>
  <c r="O16" i="1"/>
  <c r="Q16" i="1" s="1"/>
  <c r="S16" i="1" s="1"/>
  <c r="U16" i="1" l="1"/>
  <c r="T16" i="1"/>
  <c r="H17" i="1" l="1"/>
  <c r="J17" i="1" l="1"/>
  <c r="K17" i="1" l="1"/>
  <c r="O17" i="1" l="1"/>
  <c r="M17" i="1"/>
  <c r="P17" i="1" s="1"/>
  <c r="Q17" i="1" l="1"/>
  <c r="S17" i="1" s="1"/>
  <c r="T17" i="1" l="1"/>
  <c r="H18" i="1"/>
  <c r="J18" i="1" s="1"/>
  <c r="U17" i="1" l="1"/>
  <c r="K18" i="1"/>
  <c r="M18" i="1" l="1"/>
  <c r="P18" i="1" s="1"/>
  <c r="O18" i="1"/>
  <c r="Q18" i="1" s="1"/>
  <c r="S18" i="1" s="1"/>
  <c r="U18" i="1" l="1"/>
  <c r="T18" i="1"/>
  <c r="H19" i="1"/>
  <c r="J19" i="1" s="1"/>
  <c r="K19" i="1" s="1"/>
  <c r="M19" i="1" l="1"/>
  <c r="P19" i="1" s="1"/>
  <c r="O19" i="1"/>
  <c r="Q19" i="1" l="1"/>
  <c r="S19" i="1" s="1"/>
  <c r="T19" i="1" l="1"/>
  <c r="H20" i="1" l="1"/>
  <c r="J20" i="1" s="1"/>
  <c r="K20" i="1" s="1"/>
  <c r="U19" i="1"/>
  <c r="M20" i="1" l="1"/>
  <c r="P20" i="1" s="1"/>
  <c r="O20" i="1"/>
  <c r="Q20" i="1" l="1"/>
  <c r="S20" i="1" s="1"/>
  <c r="T20" i="1" l="1"/>
  <c r="U20" i="1"/>
  <c r="H21" i="1"/>
  <c r="J21" i="1" s="1"/>
  <c r="K21" i="1" s="1"/>
  <c r="M21" i="1" l="1"/>
  <c r="P21" i="1" s="1"/>
  <c r="O21" i="1"/>
  <c r="Q21" i="1" l="1"/>
  <c r="S21" i="1" s="1"/>
  <c r="T21" i="1" l="1"/>
  <c r="H22" i="1" l="1"/>
  <c r="J22" i="1" s="1"/>
  <c r="K22" i="1" s="1"/>
  <c r="U21" i="1"/>
  <c r="M22" i="1" l="1"/>
  <c r="P22" i="1" s="1"/>
  <c r="O22" i="1"/>
  <c r="Q22" i="1" l="1"/>
  <c r="S22" i="1" l="1"/>
  <c r="T22" i="1" s="1"/>
  <c r="H23" i="1" l="1"/>
  <c r="J23" i="1" s="1"/>
  <c r="K23" i="1" s="1"/>
  <c r="U22" i="1"/>
  <c r="O23" i="1"/>
  <c r="M23" i="1"/>
  <c r="P23" i="1" s="1"/>
  <c r="Q23" i="1" l="1"/>
  <c r="S23" i="1" s="1"/>
  <c r="T23" i="1" l="1"/>
  <c r="U23" i="1"/>
  <c r="H24" i="1"/>
  <c r="J24" i="1" s="1"/>
  <c r="K24" i="1" s="1"/>
  <c r="M24" i="1" l="1"/>
  <c r="P24" i="1" s="1"/>
  <c r="O24" i="1"/>
  <c r="Q24" i="1" l="1"/>
  <c r="S24" i="1" s="1"/>
  <c r="H25" i="1" l="1"/>
  <c r="J25" i="1" l="1"/>
  <c r="K25" i="1" s="1"/>
  <c r="U24" i="1"/>
  <c r="T24" i="1"/>
  <c r="O25" i="1" l="1"/>
  <c r="M25" i="1"/>
  <c r="P25" i="1" s="1"/>
  <c r="Q25" i="1" l="1"/>
  <c r="S25" i="1" s="1"/>
  <c r="H26" i="1" l="1"/>
  <c r="J26" i="1" l="1"/>
  <c r="K26" i="1" s="1"/>
  <c r="T25" i="1"/>
  <c r="U25" i="1"/>
  <c r="M26" i="1" l="1"/>
  <c r="P26" i="1" s="1"/>
  <c r="O26" i="1"/>
  <c r="Q26" i="1" s="1"/>
  <c r="S26" i="1" s="1"/>
  <c r="H27" i="1" l="1"/>
  <c r="J27" i="1" l="1"/>
  <c r="K27" i="1" s="1"/>
  <c r="T26" i="1"/>
  <c r="U26" i="1"/>
  <c r="O27" i="1" l="1"/>
  <c r="M27" i="1"/>
  <c r="P27" i="1" s="1"/>
  <c r="Q27" i="1" l="1"/>
  <c r="S27" i="1" s="1"/>
  <c r="H28" i="1" l="1"/>
  <c r="J28" i="1" l="1"/>
  <c r="K28" i="1" s="1"/>
  <c r="T27" i="1"/>
  <c r="U27" i="1"/>
  <c r="M28" i="1" l="1"/>
  <c r="P28" i="1" s="1"/>
  <c r="O28" i="1"/>
  <c r="Q28" i="1" l="1"/>
  <c r="S28" i="1" s="1"/>
  <c r="H29" i="1" s="1"/>
  <c r="J29" i="1" l="1"/>
  <c r="K29" i="1" s="1"/>
  <c r="U28" i="1"/>
  <c r="T28" i="1"/>
  <c r="O29" i="1" l="1"/>
  <c r="M29" i="1"/>
  <c r="P29" i="1" s="1"/>
  <c r="Q29" i="1" s="1"/>
  <c r="S29" i="1" s="1"/>
  <c r="H30" i="1" l="1"/>
  <c r="J30" i="1" l="1"/>
  <c r="K30" i="1" s="1"/>
  <c r="T29" i="1"/>
  <c r="U29" i="1"/>
  <c r="M30" i="1" l="1"/>
  <c r="P30" i="1" s="1"/>
  <c r="O30" i="1"/>
  <c r="Q30" i="1" l="1"/>
  <c r="S30" i="1" l="1"/>
  <c r="H31" i="1" s="1"/>
  <c r="J31" i="1" s="1"/>
  <c r="K31" i="1" s="1"/>
  <c r="T30" i="1"/>
  <c r="U30" i="1"/>
  <c r="O31" i="1" l="1"/>
  <c r="M31" i="1"/>
  <c r="P31" i="1" s="1"/>
  <c r="Q31" i="1"/>
  <c r="S31" i="1" l="1"/>
  <c r="T31" i="1" s="1"/>
  <c r="H32" i="1"/>
  <c r="J32" i="1" s="1"/>
  <c r="K32" i="1" s="1"/>
  <c r="O32" i="1" s="1"/>
  <c r="U31" i="1"/>
  <c r="M32" i="1" l="1"/>
  <c r="P32" i="1" s="1"/>
  <c r="Q32" i="1" s="1"/>
  <c r="S32" i="1" l="1"/>
  <c r="T32" i="1" s="1"/>
  <c r="U32" i="1"/>
  <c r="H33" i="1" l="1"/>
  <c r="J33" i="1" s="1"/>
  <c r="K33" i="1" s="1"/>
  <c r="M33" i="1" s="1"/>
  <c r="P33" i="1" s="1"/>
  <c r="O33" i="1" l="1"/>
  <c r="Q33" i="1" s="1"/>
  <c r="S33" i="1"/>
  <c r="T33" i="1" s="1"/>
  <c r="H34" i="1"/>
  <c r="J34" i="1" s="1"/>
  <c r="K34" i="1" s="1"/>
  <c r="M34" i="1" s="1"/>
  <c r="P34" i="1" s="1"/>
  <c r="O34" i="1" l="1"/>
  <c r="U33" i="1"/>
  <c r="Q34" i="1"/>
  <c r="S34" i="1" s="1"/>
  <c r="T34" i="1" s="1"/>
  <c r="H35" i="1" l="1"/>
  <c r="J35" i="1" s="1"/>
  <c r="K35" i="1" s="1"/>
  <c r="O35" i="1" s="1"/>
  <c r="U34" i="1"/>
  <c r="M35" i="1" l="1"/>
  <c r="P35" i="1" s="1"/>
  <c r="Q35" i="1" s="1"/>
  <c r="S35" i="1" s="1"/>
  <c r="T35" i="1" l="1"/>
  <c r="U35" i="1" l="1"/>
  <c r="H36" i="1"/>
  <c r="J36" i="1" s="1"/>
  <c r="K36" i="1" s="1"/>
  <c r="M36" i="1" s="1"/>
  <c r="P36" i="1" s="1"/>
  <c r="O36" i="1" l="1"/>
  <c r="Q36" i="1" s="1"/>
  <c r="S36" i="1" l="1"/>
  <c r="U36" i="1" s="1"/>
  <c r="T36" i="1"/>
  <c r="H37" i="1" l="1"/>
  <c r="J37" i="1" s="1"/>
  <c r="K37" i="1"/>
  <c r="M37" i="1" l="1"/>
  <c r="P37" i="1" s="1"/>
  <c r="O37" i="1"/>
  <c r="Q37" i="1" l="1"/>
  <c r="S37" i="1" s="1"/>
  <c r="T37" i="1" l="1"/>
  <c r="H38" i="1" l="1"/>
  <c r="J38" i="1" s="1"/>
  <c r="K38" i="1" s="1"/>
  <c r="O38" i="1" s="1"/>
  <c r="U37" i="1"/>
  <c r="M38" i="1" l="1"/>
  <c r="P38" i="1" s="1"/>
  <c r="Q38" i="1" s="1"/>
  <c r="S38" i="1" s="1"/>
  <c r="T38" i="1" l="1"/>
  <c r="U38" i="1"/>
  <c r="H39" i="1"/>
  <c r="J39" i="1" s="1"/>
  <c r="K39" i="1" s="1"/>
  <c r="O39" i="1" s="1"/>
  <c r="M39" i="1" l="1"/>
  <c r="P39" i="1" s="1"/>
  <c r="Q39" i="1" s="1"/>
  <c r="S39" i="1" s="1"/>
  <c r="T39" i="1" l="1"/>
  <c r="H40" i="1" l="1"/>
  <c r="J40" i="1" s="1"/>
  <c r="K40" i="1" s="1"/>
  <c r="M40" i="1" s="1"/>
  <c r="P40" i="1" s="1"/>
  <c r="U39" i="1"/>
  <c r="O40" i="1" l="1"/>
  <c r="Q40" i="1" s="1"/>
  <c r="S40" i="1" s="1"/>
  <c r="T40" i="1" l="1"/>
  <c r="U40" i="1"/>
  <c r="H41" i="1"/>
  <c r="J41" i="1" l="1"/>
  <c r="K41" i="1" l="1"/>
  <c r="M41" i="1" l="1"/>
  <c r="P41" i="1" s="1"/>
  <c r="O41" i="1"/>
  <c r="Q41" i="1" l="1"/>
  <c r="S41" i="1" s="1"/>
  <c r="T41" i="1" l="1"/>
  <c r="H42" i="1" l="1"/>
  <c r="J42" i="1" s="1"/>
  <c r="K42" i="1" s="1"/>
  <c r="U41" i="1"/>
  <c r="M42" i="1" l="1"/>
  <c r="P42" i="1" s="1"/>
  <c r="O42" i="1"/>
  <c r="Q42" i="1" l="1"/>
  <c r="S42" i="1" s="1"/>
  <c r="T42" i="1" l="1"/>
  <c r="H43" i="1" l="1"/>
  <c r="J43" i="1" s="1"/>
  <c r="K43" i="1" s="1"/>
  <c r="M43" i="1" s="1"/>
  <c r="P43" i="1" s="1"/>
  <c r="U42" i="1"/>
  <c r="O43" i="1"/>
  <c r="Q43" i="1" l="1"/>
  <c r="S43" i="1" s="1"/>
  <c r="U43" i="1" l="1"/>
  <c r="T43" i="1"/>
  <c r="H44" i="1"/>
  <c r="J44" i="1" s="1"/>
  <c r="K44" i="1" s="1"/>
  <c r="M44" i="1" s="1"/>
  <c r="P44" i="1" s="1"/>
  <c r="O44" i="1" l="1"/>
  <c r="Q44" i="1" s="1"/>
  <c r="S44" i="1" s="1"/>
  <c r="T44" i="1" l="1"/>
  <c r="H45" i="1" l="1"/>
  <c r="J45" i="1" s="1"/>
  <c r="K45" i="1" s="1"/>
  <c r="O45" i="1" s="1"/>
  <c r="U44" i="1"/>
  <c r="M45" i="1" l="1"/>
  <c r="P45" i="1" s="1"/>
  <c r="Q45" i="1" s="1"/>
  <c r="S45" i="1" l="1"/>
  <c r="U45" i="1" s="1"/>
  <c r="T45" i="1"/>
  <c r="H46" i="1"/>
  <c r="J46" i="1" l="1"/>
  <c r="K46" i="1" l="1"/>
  <c r="M46" i="1" s="1"/>
  <c r="P46" i="1" s="1"/>
  <c r="O46" i="1" l="1"/>
  <c r="Q46" i="1" s="1"/>
  <c r="S46" i="1" s="1"/>
  <c r="T46" i="1" l="1"/>
  <c r="U46" i="1"/>
  <c r="H47" i="1"/>
  <c r="J47" i="1" s="1"/>
  <c r="K47" i="1" s="1"/>
  <c r="M47" i="1" s="1"/>
  <c r="P47" i="1" s="1"/>
  <c r="O47" i="1" l="1"/>
  <c r="Q47" i="1" s="1"/>
  <c r="S47" i="1" s="1"/>
  <c r="U47" i="1" l="1"/>
  <c r="T47" i="1"/>
  <c r="H48" i="1"/>
  <c r="J48" i="1" s="1"/>
  <c r="K48" i="1" s="1"/>
  <c r="O48" i="1" s="1"/>
  <c r="M48" i="1" l="1"/>
  <c r="P48" i="1" s="1"/>
  <c r="Q48" i="1" s="1"/>
  <c r="S48" i="1" s="1"/>
  <c r="T48" i="1" l="1"/>
  <c r="U48" i="1" l="1"/>
  <c r="H49" i="1"/>
  <c r="J49" i="1" s="1"/>
  <c r="K49" i="1" s="1"/>
  <c r="M49" i="1" s="1"/>
  <c r="P49" i="1" s="1"/>
  <c r="O49" i="1" l="1"/>
  <c r="Q49" i="1" s="1"/>
  <c r="S49" i="1" l="1"/>
  <c r="T49" i="1" s="1"/>
  <c r="H50" i="1"/>
  <c r="J50" i="1" s="1"/>
  <c r="U49" i="1"/>
  <c r="K50" i="1" l="1"/>
  <c r="M50" i="1" l="1"/>
  <c r="P50" i="1" s="1"/>
  <c r="O50" i="1"/>
  <c r="Q50" i="1" l="1"/>
  <c r="S50" i="1" s="1"/>
  <c r="T50" i="1" l="1"/>
  <c r="H51" i="1" l="1"/>
  <c r="J51" i="1" s="1"/>
  <c r="K51" i="1" s="1"/>
  <c r="O51" i="1" s="1"/>
  <c r="U50" i="1"/>
  <c r="M51" i="1" l="1"/>
  <c r="P51" i="1" s="1"/>
  <c r="Q51" i="1" s="1"/>
  <c r="S51" i="1" s="1"/>
  <c r="U51" i="1" l="1"/>
  <c r="T51" i="1" l="1"/>
  <c r="H52" i="1"/>
  <c r="J52" i="1" s="1"/>
  <c r="K52" i="1" s="1"/>
  <c r="O52" i="1" l="1"/>
  <c r="M52" i="1"/>
  <c r="P52" i="1" s="1"/>
  <c r="Q52" i="1" l="1"/>
  <c r="S52" i="1" s="1"/>
  <c r="T52" i="1" l="1"/>
  <c r="H53" i="1" l="1"/>
  <c r="J53" i="1" s="1"/>
  <c r="K53" i="1" s="1"/>
  <c r="U52" i="1"/>
  <c r="M53" i="1" l="1"/>
  <c r="P53" i="1" s="1"/>
  <c r="O53" i="1"/>
  <c r="Q53" i="1" l="1"/>
  <c r="S53" i="1" s="1"/>
  <c r="T53" i="1" l="1"/>
  <c r="U53" i="1"/>
  <c r="H54" i="1"/>
  <c r="J54" i="1" s="1"/>
  <c r="K54" i="1" s="1"/>
  <c r="M54" i="1" s="1"/>
  <c r="P54" i="1" s="1"/>
  <c r="O54" i="1" l="1"/>
  <c r="Q54" i="1" s="1"/>
  <c r="S54" i="1" s="1"/>
  <c r="T54" i="1" l="1"/>
  <c r="H55" i="1" l="1"/>
  <c r="J55" i="1" s="1"/>
  <c r="K55" i="1" s="1"/>
  <c r="M55" i="1" s="1"/>
  <c r="P55" i="1" s="1"/>
  <c r="U54" i="1"/>
  <c r="O55" i="1" l="1"/>
  <c r="Q55" i="1" s="1"/>
  <c r="S55" i="1" s="1"/>
  <c r="T55" i="1" l="1"/>
  <c r="U55" i="1"/>
  <c r="H56" i="1"/>
  <c r="J56" i="1" s="1"/>
  <c r="K56" i="1" s="1"/>
  <c r="M56" i="1" l="1"/>
  <c r="P56" i="1" s="1"/>
  <c r="O56" i="1"/>
  <c r="Q56" i="1" l="1"/>
  <c r="S56" i="1" l="1"/>
  <c r="H57" i="1" s="1"/>
  <c r="J57" i="1" s="1"/>
  <c r="K57" i="1" s="1"/>
  <c r="T56" i="1"/>
  <c r="U56" i="1"/>
  <c r="O57" i="1" l="1"/>
  <c r="M57" i="1"/>
  <c r="P57" i="1" s="1"/>
  <c r="Q57" i="1" l="1"/>
  <c r="S57" i="1" s="1"/>
  <c r="T57" i="1" l="1"/>
  <c r="U57" i="1"/>
  <c r="H58" i="1"/>
  <c r="J58" i="1" s="1"/>
  <c r="K58" i="1" s="1"/>
  <c r="M58" i="1" s="1"/>
  <c r="P58" i="1" s="1"/>
  <c r="O58" i="1" l="1"/>
  <c r="Q58" i="1" s="1"/>
  <c r="S58" i="1" s="1"/>
  <c r="T58" i="1" l="1"/>
  <c r="H59" i="1" l="1"/>
  <c r="J59" i="1" s="1"/>
  <c r="K59" i="1" s="1"/>
  <c r="M59" i="1" s="1"/>
  <c r="P59" i="1" s="1"/>
  <c r="U58" i="1"/>
  <c r="O59" i="1" l="1"/>
  <c r="Q59" i="1" s="1"/>
  <c r="S59" i="1" s="1"/>
  <c r="U59" i="1" l="1"/>
  <c r="H60" i="1" l="1"/>
  <c r="J60" i="1" s="1"/>
  <c r="K60" i="1" s="1"/>
  <c r="M60" i="1" s="1"/>
  <c r="P60" i="1" s="1"/>
  <c r="T59" i="1"/>
  <c r="O60" i="1" l="1"/>
  <c r="Q60" i="1" s="1"/>
  <c r="S60" i="1" l="1"/>
  <c r="U60" i="1" s="1"/>
  <c r="H61" i="1"/>
  <c r="T60" i="1" l="1"/>
  <c r="J61" i="1"/>
  <c r="K61" i="1" l="1"/>
  <c r="M61" i="1" s="1"/>
  <c r="P61" i="1" s="1"/>
  <c r="O61" i="1" l="1"/>
  <c r="Q61" i="1" s="1"/>
  <c r="S61" i="1" s="1"/>
  <c r="H62" i="1" l="1"/>
  <c r="J62" i="1" s="1"/>
  <c r="K62" i="1" s="1"/>
  <c r="O62" i="1" s="1"/>
  <c r="U61" i="1" l="1"/>
  <c r="T61" i="1"/>
  <c r="M62" i="1"/>
  <c r="P62" i="1" s="1"/>
  <c r="Q62" i="1" s="1"/>
  <c r="S62" i="1" s="1"/>
  <c r="T62" i="1" l="1"/>
  <c r="H63" i="1"/>
  <c r="J63" i="1" s="1"/>
  <c r="U62" i="1" l="1"/>
  <c r="K63" i="1"/>
  <c r="M63" i="1" l="1"/>
  <c r="P63" i="1" s="1"/>
  <c r="O63" i="1"/>
  <c r="Q63" i="1" l="1"/>
  <c r="S63" i="1" s="1"/>
  <c r="T63" i="1" l="1"/>
  <c r="H64" i="1" l="1"/>
  <c r="J64" i="1" s="1"/>
  <c r="K64" i="1" s="1"/>
  <c r="O64" i="1" s="1"/>
  <c r="U63" i="1"/>
  <c r="M64" i="1" l="1"/>
  <c r="P64" i="1" s="1"/>
  <c r="Q64" i="1" s="1"/>
  <c r="S64" i="1" l="1"/>
  <c r="H65" i="1" s="1"/>
  <c r="J65" i="1" s="1"/>
  <c r="K65" i="1" s="1"/>
  <c r="T64" i="1"/>
  <c r="O65" i="1" l="1"/>
  <c r="M65" i="1"/>
  <c r="P65" i="1" s="1"/>
  <c r="U64" i="1"/>
  <c r="Q65" i="1"/>
  <c r="S65" i="1" s="1"/>
  <c r="T65" i="1" l="1"/>
  <c r="H66" i="1" l="1"/>
  <c r="J66" i="1" s="1"/>
  <c r="K66" i="1" s="1"/>
  <c r="M66" i="1" s="1"/>
  <c r="P66" i="1" s="1"/>
  <c r="U65" i="1"/>
  <c r="O66" i="1" l="1"/>
  <c r="Q66" i="1" s="1"/>
  <c r="S66" i="1" s="1"/>
  <c r="T66" i="1" s="1"/>
  <c r="H67" i="1" l="1"/>
  <c r="J67" i="1" s="1"/>
  <c r="K67" i="1" s="1"/>
  <c r="U66" i="1"/>
  <c r="O67" i="1" l="1"/>
  <c r="M67" i="1"/>
  <c r="P67" i="1" s="1"/>
  <c r="Q67" i="1" l="1"/>
  <c r="S67" i="1" s="1"/>
  <c r="T67" i="1" l="1"/>
  <c r="H68" i="1" l="1"/>
  <c r="J68" i="1" s="1"/>
  <c r="K68" i="1" s="1"/>
  <c r="U67" i="1"/>
  <c r="O68" i="1" l="1"/>
  <c r="M68" i="1"/>
  <c r="P68" i="1" s="1"/>
  <c r="Q68" i="1" l="1"/>
  <c r="S68" i="1" s="1"/>
  <c r="T68" i="1" l="1"/>
  <c r="H69" i="1" l="1"/>
  <c r="J69" i="1" s="1"/>
  <c r="U68" i="1"/>
  <c r="K69" i="1"/>
  <c r="M69" i="1" l="1"/>
  <c r="P69" i="1" s="1"/>
  <c r="O69" i="1"/>
  <c r="Q69" i="1" l="1"/>
  <c r="S69" i="1" s="1"/>
  <c r="T69" i="1" l="1"/>
  <c r="H70" i="1" l="1"/>
  <c r="J70" i="1" s="1"/>
  <c r="K70" i="1" s="1"/>
  <c r="O70" i="1" s="1"/>
  <c r="U69" i="1"/>
  <c r="M70" i="1" l="1"/>
  <c r="P70" i="1" s="1"/>
  <c r="Q70" i="1"/>
  <c r="S70" i="1" s="1"/>
  <c r="T70" i="1" l="1"/>
  <c r="U70" i="1"/>
  <c r="H71" i="1"/>
  <c r="J71" i="1" s="1"/>
  <c r="K71" i="1" l="1"/>
  <c r="M71" i="1" l="1"/>
  <c r="P71" i="1" s="1"/>
  <c r="O71" i="1"/>
  <c r="Q71" i="1" l="1"/>
  <c r="S71" i="1" s="1"/>
  <c r="T71" i="1" l="1"/>
  <c r="H72" i="1" l="1"/>
  <c r="J72" i="1" s="1"/>
  <c r="K72" i="1" s="1"/>
  <c r="M72" i="1" s="1"/>
  <c r="P72" i="1" s="1"/>
  <c r="U71" i="1"/>
  <c r="O72" i="1" l="1"/>
  <c r="Q72" i="1"/>
  <c r="S72" i="1" s="1"/>
  <c r="U72" i="1" l="1"/>
  <c r="T72" i="1"/>
  <c r="H73" i="1"/>
  <c r="J73" i="1" s="1"/>
  <c r="K73" i="1" s="1"/>
  <c r="O73" i="1" l="1"/>
  <c r="M73" i="1"/>
  <c r="P73" i="1" s="1"/>
  <c r="Q73" i="1" l="1"/>
  <c r="S73" i="1" s="1"/>
  <c r="T73" i="1" l="1"/>
  <c r="U73" i="1"/>
  <c r="H74" i="1"/>
  <c r="J74" i="1" l="1"/>
  <c r="K74" i="1" s="1"/>
  <c r="M74" i="1" l="1"/>
  <c r="P74" i="1" s="1"/>
  <c r="O74" i="1"/>
  <c r="Q74" i="1" s="1"/>
  <c r="S74" i="1" s="1"/>
  <c r="H75" i="1" l="1"/>
  <c r="J75" i="1" l="1"/>
  <c r="K75" i="1" s="1"/>
  <c r="T74" i="1"/>
  <c r="U74" i="1"/>
  <c r="O75" i="1" l="1"/>
  <c r="M75" i="1"/>
  <c r="P75" i="1" s="1"/>
  <c r="Q75" i="1" l="1"/>
  <c r="S75" i="1" s="1"/>
  <c r="H76" i="1" l="1"/>
  <c r="J76" i="1" l="1"/>
  <c r="K76" i="1" s="1"/>
  <c r="T75" i="1"/>
  <c r="U75" i="1"/>
  <c r="M76" i="1" l="1"/>
  <c r="P76" i="1" s="1"/>
  <c r="O76" i="1"/>
  <c r="Q76" i="1" l="1"/>
  <c r="S76" i="1" l="1"/>
  <c r="H77" i="1" s="1"/>
  <c r="J77" i="1" s="1"/>
  <c r="K77" i="1" s="1"/>
  <c r="T76" i="1"/>
  <c r="U76" i="1"/>
  <c r="O77" i="1" l="1"/>
  <c r="M77" i="1"/>
  <c r="P77" i="1" s="1"/>
  <c r="Q77" i="1" s="1"/>
  <c r="S77" i="1" s="1"/>
  <c r="H78" i="1" l="1"/>
  <c r="J78" i="1" s="1"/>
  <c r="K78" i="1" s="1"/>
  <c r="M78" i="1" l="1"/>
  <c r="P78" i="1" s="1"/>
  <c r="O78" i="1"/>
  <c r="Q78" i="1" s="1"/>
  <c r="S78" i="1" s="1"/>
  <c r="T77" i="1"/>
  <c r="U77" i="1"/>
  <c r="T78" i="1" l="1"/>
  <c r="H79" i="1"/>
  <c r="U78" i="1"/>
  <c r="J79" i="1" l="1"/>
  <c r="K79" i="1" s="1"/>
  <c r="O79" i="1" l="1"/>
  <c r="M79" i="1"/>
  <c r="P79" i="1" s="1"/>
  <c r="Q79" i="1" l="1"/>
  <c r="S79" i="1" s="1"/>
  <c r="T79" i="1" s="1"/>
  <c r="U79" i="1"/>
  <c r="H80" i="1" l="1"/>
  <c r="J80" i="1"/>
  <c r="K80" i="1" s="1"/>
  <c r="O80" i="1" l="1"/>
  <c r="M80" i="1"/>
  <c r="P80" i="1" s="1"/>
  <c r="Q80" i="1" l="1"/>
  <c r="S80" i="1" s="1"/>
  <c r="H81" i="1" l="1"/>
  <c r="J81" i="1" l="1"/>
  <c r="K81" i="1" s="1"/>
  <c r="T80" i="1"/>
  <c r="U80" i="1"/>
  <c r="M81" i="1" l="1"/>
  <c r="P81" i="1" s="1"/>
  <c r="O81" i="1"/>
  <c r="Q81" i="1" l="1"/>
  <c r="S81" i="1" s="1"/>
  <c r="T81" i="1" l="1"/>
  <c r="U81" i="1" l="1"/>
  <c r="U82" i="1" s="1"/>
  <c r="H82" i="1"/>
</calcChain>
</file>

<file path=xl/sharedStrings.xml><?xml version="1.0" encoding="utf-8"?>
<sst xmlns="http://schemas.openxmlformats.org/spreadsheetml/2006/main" count="31" uniqueCount="27">
  <si>
    <t>Date</t>
  </si>
  <si>
    <t>CB OB</t>
  </si>
  <si>
    <t>Transaction</t>
  </si>
  <si>
    <t>Desc</t>
  </si>
  <si>
    <t>CB CB</t>
  </si>
  <si>
    <t>Bal</t>
  </si>
  <si>
    <t>%Risk</t>
  </si>
  <si>
    <t>Risk</t>
  </si>
  <si>
    <t>HRS</t>
  </si>
  <si>
    <t>HRM</t>
  </si>
  <si>
    <t>LRS</t>
  </si>
  <si>
    <t>LRM</t>
  </si>
  <si>
    <t>HRP</t>
  </si>
  <si>
    <t>LRP</t>
  </si>
  <si>
    <t>TP</t>
  </si>
  <si>
    <t>Wdfactor</t>
  </si>
  <si>
    <t>WD</t>
  </si>
  <si>
    <t>FM-Sal</t>
  </si>
  <si>
    <t>BW-Dep</t>
  </si>
  <si>
    <t>BW-WD</t>
  </si>
  <si>
    <t>HOME</t>
  </si>
  <si>
    <t>MECH</t>
  </si>
  <si>
    <t>Buhle</t>
  </si>
  <si>
    <t>SAHL</t>
  </si>
  <si>
    <t>LGV</t>
  </si>
  <si>
    <t>COJ</t>
  </si>
  <si>
    <t>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</si>
</sst>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&quot;* #,##0.00_-;\-&quot;R&quot;* #,##0.00_-;_-&quot;R&quot;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0" xfId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1" applyNumberFormat="1" applyFont="1" applyFill="1" applyAlignment="1">
      <alignment horizontal="center"/>
    </xf>
    <xf numFmtId="2" fontId="0" fillId="0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theme="3" tint="0.74996185186315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31FE-860D-493E-B30F-DD043BFC3E8B}">
  <dimension ref="A1:U82"/>
  <sheetViews>
    <sheetView tabSelected="1" workbookViewId="0">
      <selection activeCell="S2" sqref="S2"/>
    </sheetView>
  </sheetViews>
  <sheetFormatPr defaultRowHeight="14.45"/>
  <cols>
    <col min="1" max="1" width="10.28515625" bestFit="1" customWidth="1"/>
    <col min="2" max="3" width="12.28515625" style="2" bestFit="1" customWidth="1"/>
    <col min="4" max="4" width="7.7109375" style="1" bestFit="1" customWidth="1"/>
    <col min="5" max="5" width="12.28515625" bestFit="1" customWidth="1"/>
    <col min="6" max="6" width="8.7109375" customWidth="1"/>
    <col min="7" max="7" width="11.28515625" style="12" customWidth="1"/>
    <col min="8" max="8" width="12.28515625" bestFit="1" customWidth="1"/>
    <col min="9" max="9" width="6.140625" style="13" bestFit="1" customWidth="1"/>
    <col min="10" max="10" width="11.28515625" bestFit="1" customWidth="1"/>
    <col min="11" max="11" width="11.28515625" customWidth="1"/>
    <col min="12" max="12" width="4.85546875" style="14" customWidth="1"/>
    <col min="13" max="13" width="11.28515625" customWidth="1"/>
    <col min="14" max="14" width="4.5703125" style="14" customWidth="1"/>
    <col min="15" max="16" width="11.28515625" customWidth="1"/>
    <col min="17" max="17" width="11.28515625" bestFit="1" customWidth="1"/>
    <col min="18" max="18" width="8.7109375" style="16" bestFit="1" customWidth="1"/>
    <col min="19" max="20" width="12.28515625" bestFit="1" customWidth="1"/>
    <col min="21" max="21" width="11.28515625" bestFit="1" customWidth="1"/>
  </cols>
  <sheetData>
    <row r="1" spans="1:21" s="4" customFormat="1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G1" s="9"/>
      <c r="H1" s="4" t="s">
        <v>5</v>
      </c>
      <c r="I1" s="10" t="s">
        <v>6</v>
      </c>
      <c r="J1" s="4" t="s">
        <v>7</v>
      </c>
      <c r="K1" s="4" t="s">
        <v>8</v>
      </c>
      <c r="L1" s="11" t="s">
        <v>9</v>
      </c>
      <c r="M1" s="4" t="s">
        <v>10</v>
      </c>
      <c r="N1" s="11" t="s">
        <v>11</v>
      </c>
      <c r="O1" s="4" t="s">
        <v>12</v>
      </c>
      <c r="P1" s="4" t="s">
        <v>13</v>
      </c>
      <c r="Q1" s="4" t="s">
        <v>14</v>
      </c>
      <c r="R1" s="15" t="s">
        <v>15</v>
      </c>
      <c r="S1" s="4" t="s">
        <v>16</v>
      </c>
    </row>
    <row r="2" spans="1:21">
      <c r="A2" s="3">
        <v>46045</v>
      </c>
      <c r="B2" s="2">
        <v>0</v>
      </c>
      <c r="C2" s="2">
        <v>15000</v>
      </c>
      <c r="D2" s="1" t="s">
        <v>17</v>
      </c>
      <c r="E2" s="2">
        <f>B2+C2</f>
        <v>15000</v>
      </c>
      <c r="F2" s="2"/>
      <c r="G2" s="12">
        <v>1</v>
      </c>
      <c r="H2" s="2">
        <v>1500</v>
      </c>
      <c r="I2" s="13">
        <v>0.06</v>
      </c>
      <c r="J2" s="2">
        <f>H2*I2</f>
        <v>90</v>
      </c>
      <c r="K2" s="2">
        <f>MROUND(J2/1.85,1)</f>
        <v>49</v>
      </c>
      <c r="L2" s="14">
        <v>2.5</v>
      </c>
      <c r="M2" s="2">
        <f>MROUND(K2*0.85,1)</f>
        <v>42</v>
      </c>
      <c r="N2" s="14">
        <v>3</v>
      </c>
      <c r="O2" s="2">
        <f>K2*2.5</f>
        <v>122.5</v>
      </c>
      <c r="P2" s="2">
        <f>M2*3</f>
        <v>126</v>
      </c>
      <c r="Q2" s="2">
        <f>O2+P2-J2</f>
        <v>158.5</v>
      </c>
      <c r="R2" s="16">
        <v>2</v>
      </c>
      <c r="S2" s="2">
        <f t="shared" ref="S2:S7" si="0">MROUND(IF((Q2*R2)&lt;5000,0,3000),10)</f>
        <v>0</v>
      </c>
      <c r="T2" s="2"/>
      <c r="U2" s="2">
        <f>H2-S2</f>
        <v>1500</v>
      </c>
    </row>
    <row r="3" spans="1:21">
      <c r="A3" s="3">
        <v>46045</v>
      </c>
      <c r="B3" s="2">
        <f>E2</f>
        <v>15000</v>
      </c>
      <c r="C3" s="2">
        <v>-13500</v>
      </c>
      <c r="D3" s="1" t="s">
        <v>18</v>
      </c>
      <c r="E3" s="2">
        <f>B3+C3</f>
        <v>1500</v>
      </c>
      <c r="G3" s="12">
        <v>2</v>
      </c>
      <c r="H3" s="2">
        <f>H2+Q2-S2</f>
        <v>1658.5</v>
      </c>
      <c r="I3" s="13">
        <v>0.06</v>
      </c>
      <c r="J3" s="2">
        <f>H3*I3</f>
        <v>99.509999999999991</v>
      </c>
      <c r="K3" s="2">
        <f>MROUND(J3/1.85,1)</f>
        <v>54</v>
      </c>
      <c r="L3" s="14">
        <v>2.5</v>
      </c>
      <c r="M3" s="2">
        <f>MROUND(K3*0.85,1)</f>
        <v>46</v>
      </c>
      <c r="N3" s="14">
        <v>3</v>
      </c>
      <c r="O3" s="2">
        <f>K3*2.5</f>
        <v>135</v>
      </c>
      <c r="P3" s="2">
        <f>M3*3</f>
        <v>138</v>
      </c>
      <c r="Q3" s="2">
        <f>O3+P3-J3</f>
        <v>173.49</v>
      </c>
      <c r="R3" s="16">
        <f t="shared" ref="R2:R67" si="1">R2</f>
        <v>2</v>
      </c>
      <c r="S3" s="2">
        <f t="shared" si="0"/>
        <v>0</v>
      </c>
      <c r="T3" s="2">
        <f>SUM($S$2:S3)</f>
        <v>0</v>
      </c>
      <c r="U3" s="2">
        <f>U2-S3</f>
        <v>1500</v>
      </c>
    </row>
    <row r="4" spans="1:21">
      <c r="A4" s="3">
        <v>46045</v>
      </c>
      <c r="B4" s="2">
        <f t="shared" ref="B4:B47" si="2">E3</f>
        <v>1500</v>
      </c>
      <c r="C4" s="7"/>
      <c r="D4" s="8" t="s">
        <v>19</v>
      </c>
      <c r="E4" s="2">
        <f t="shared" ref="E4:E47" si="3">B4+C4</f>
        <v>1500</v>
      </c>
      <c r="G4" s="12">
        <v>3</v>
      </c>
      <c r="H4" s="2">
        <f>H3+Q3-S3</f>
        <v>1831.99</v>
      </c>
      <c r="I4" s="13">
        <v>0.06</v>
      </c>
      <c r="J4" s="2">
        <f>H4*I4</f>
        <v>109.9194</v>
      </c>
      <c r="K4" s="2">
        <f>MROUND(J4/1.85,1)</f>
        <v>59</v>
      </c>
      <c r="L4" s="14">
        <v>2.5</v>
      </c>
      <c r="M4" s="2">
        <f>MROUND(K4*0.85,1)</f>
        <v>50</v>
      </c>
      <c r="N4" s="14">
        <v>3</v>
      </c>
      <c r="O4" s="2">
        <f>K4*2.5</f>
        <v>147.5</v>
      </c>
      <c r="P4" s="2">
        <f>M4*3</f>
        <v>150</v>
      </c>
      <c r="Q4" s="2">
        <f>O4+P4-J4</f>
        <v>187.5806</v>
      </c>
      <c r="R4" s="16">
        <f t="shared" si="1"/>
        <v>2</v>
      </c>
      <c r="S4" s="2">
        <f t="shared" si="0"/>
        <v>0</v>
      </c>
      <c r="T4" s="2">
        <f>SUM($S$2:S4)</f>
        <v>0</v>
      </c>
      <c r="U4" s="2">
        <f>U3-S4</f>
        <v>1500</v>
      </c>
    </row>
    <row r="5" spans="1:21">
      <c r="A5" s="3">
        <v>46045</v>
      </c>
      <c r="B5" s="2">
        <f t="shared" si="2"/>
        <v>1500</v>
      </c>
      <c r="C5" s="7"/>
      <c r="D5" s="8" t="s">
        <v>19</v>
      </c>
      <c r="E5" s="2">
        <f t="shared" si="3"/>
        <v>1500</v>
      </c>
      <c r="G5" s="12">
        <v>4</v>
      </c>
      <c r="H5" s="2">
        <f>H4+Q4-S4</f>
        <v>2019.5706</v>
      </c>
      <c r="I5" s="13">
        <v>0.06</v>
      </c>
      <c r="J5" s="2">
        <f>H5*I5</f>
        <v>121.17423599999999</v>
      </c>
      <c r="K5" s="2">
        <f>MROUND(J5/1.85,1)</f>
        <v>65</v>
      </c>
      <c r="L5" s="14">
        <v>2.5</v>
      </c>
      <c r="M5" s="2">
        <f>MROUND(K5*0.85,1)</f>
        <v>55</v>
      </c>
      <c r="N5" s="14">
        <v>3</v>
      </c>
      <c r="O5" s="2">
        <f>K5*2.5</f>
        <v>162.5</v>
      </c>
      <c r="P5" s="2">
        <f>M5*3</f>
        <v>165</v>
      </c>
      <c r="Q5" s="2">
        <f>O5+P5-J5</f>
        <v>206.32576399999999</v>
      </c>
      <c r="R5" s="16">
        <f t="shared" si="1"/>
        <v>2</v>
      </c>
      <c r="S5" s="2">
        <f t="shared" si="0"/>
        <v>0</v>
      </c>
      <c r="T5" s="2">
        <f>SUM($S$2:S5)</f>
        <v>0</v>
      </c>
      <c r="U5" s="2">
        <f>U4-S5</f>
        <v>1500</v>
      </c>
    </row>
    <row r="6" spans="1:21">
      <c r="A6" s="3">
        <v>46045</v>
      </c>
      <c r="B6" s="2">
        <f t="shared" si="2"/>
        <v>1500</v>
      </c>
      <c r="C6" s="2">
        <v>-11000</v>
      </c>
      <c r="D6" s="1" t="s">
        <v>20</v>
      </c>
      <c r="E6" s="2">
        <f t="shared" si="3"/>
        <v>-9500</v>
      </c>
      <c r="G6" s="12">
        <v>5</v>
      </c>
      <c r="H6" s="2">
        <f>H5+Q5-S5</f>
        <v>2225.8963640000002</v>
      </c>
      <c r="I6" s="13">
        <v>0.06</v>
      </c>
      <c r="J6" s="2">
        <f>H6*I6</f>
        <v>133.55378184</v>
      </c>
      <c r="K6" s="2">
        <f>MROUND(J6/1.85,1)</f>
        <v>72</v>
      </c>
      <c r="L6" s="14">
        <v>2.5</v>
      </c>
      <c r="M6" s="2">
        <f>MROUND(K6*0.85,1)</f>
        <v>61</v>
      </c>
      <c r="N6" s="14">
        <v>3</v>
      </c>
      <c r="O6" s="2">
        <f>K6*2.5</f>
        <v>180</v>
      </c>
      <c r="P6" s="2">
        <f>M6*3</f>
        <v>183</v>
      </c>
      <c r="Q6" s="2">
        <f>O6+P6-J6</f>
        <v>229.44621816</v>
      </c>
      <c r="R6" s="16">
        <f t="shared" si="1"/>
        <v>2</v>
      </c>
      <c r="S6" s="2">
        <f t="shared" si="0"/>
        <v>0</v>
      </c>
      <c r="T6" s="2">
        <f>SUM($S$2:S6)</f>
        <v>0</v>
      </c>
      <c r="U6" s="2">
        <f>U5-S6</f>
        <v>1500</v>
      </c>
    </row>
    <row r="7" spans="1:21">
      <c r="A7" s="3">
        <v>46046</v>
      </c>
      <c r="B7" s="2">
        <f t="shared" si="2"/>
        <v>-9500</v>
      </c>
      <c r="C7" s="7"/>
      <c r="D7" s="8" t="s">
        <v>19</v>
      </c>
      <c r="E7" s="2">
        <f t="shared" si="3"/>
        <v>-9500</v>
      </c>
      <c r="G7" s="12">
        <v>6</v>
      </c>
      <c r="H7" s="2">
        <f>H6+Q6-S6</f>
        <v>2455.3425821600003</v>
      </c>
      <c r="I7" s="13">
        <v>0.06</v>
      </c>
      <c r="J7" s="2">
        <f>H7*I7</f>
        <v>147.32055492960001</v>
      </c>
      <c r="K7" s="2">
        <f>MROUND(J7/1.85,1)</f>
        <v>80</v>
      </c>
      <c r="L7" s="14">
        <v>2.5</v>
      </c>
      <c r="M7" s="2">
        <f>MROUND(K7*0.85,1)</f>
        <v>68</v>
      </c>
      <c r="N7" s="14">
        <v>3</v>
      </c>
      <c r="O7" s="2">
        <f>K7*2.5</f>
        <v>200</v>
      </c>
      <c r="P7" s="2">
        <f>M7*3</f>
        <v>204</v>
      </c>
      <c r="Q7" s="2">
        <f>O7+P7-J7</f>
        <v>256.67944507039999</v>
      </c>
      <c r="R7" s="16">
        <f t="shared" si="1"/>
        <v>2</v>
      </c>
      <c r="S7" s="2">
        <f t="shared" si="0"/>
        <v>0</v>
      </c>
      <c r="T7" s="2">
        <f>SUM($S$2:S7)</f>
        <v>0</v>
      </c>
      <c r="U7" s="2">
        <f>U6-S7</f>
        <v>1500</v>
      </c>
    </row>
    <row r="8" spans="1:21">
      <c r="A8" s="3">
        <v>46046</v>
      </c>
      <c r="B8" s="2">
        <f t="shared" si="2"/>
        <v>-9500</v>
      </c>
      <c r="C8" s="2">
        <v>-10000</v>
      </c>
      <c r="D8" s="1" t="s">
        <v>21</v>
      </c>
      <c r="E8" s="2">
        <f t="shared" si="3"/>
        <v>-19500</v>
      </c>
      <c r="G8" s="12">
        <v>7</v>
      </c>
      <c r="H8" s="2">
        <f>H7+Q7-S7</f>
        <v>2712.0220272304005</v>
      </c>
      <c r="I8" s="13">
        <v>0.06</v>
      </c>
      <c r="J8" s="2">
        <f>H8*I8</f>
        <v>162.72132163382403</v>
      </c>
      <c r="K8" s="2">
        <f>MROUND(J8/1.85,1)</f>
        <v>88</v>
      </c>
      <c r="L8" s="14">
        <v>2.5</v>
      </c>
      <c r="M8" s="2">
        <f>MROUND(K8*0.85,1)</f>
        <v>75</v>
      </c>
      <c r="N8" s="14">
        <v>3</v>
      </c>
      <c r="O8" s="2">
        <f>K8*2.5</f>
        <v>220</v>
      </c>
      <c r="P8" s="2">
        <f>M8*3</f>
        <v>225</v>
      </c>
      <c r="Q8" s="2">
        <f>O8+P8-J8</f>
        <v>282.278678366176</v>
      </c>
      <c r="R8" s="16">
        <f t="shared" si="1"/>
        <v>2</v>
      </c>
      <c r="S8" s="2">
        <f>MROUND(IF((Q8*R8)&lt;5000,0,3000),10)</f>
        <v>0</v>
      </c>
      <c r="T8" s="2">
        <f>SUM($S$2:S8)</f>
        <v>0</v>
      </c>
      <c r="U8" s="2">
        <f>U7-S8</f>
        <v>1500</v>
      </c>
    </row>
    <row r="9" spans="1:21">
      <c r="A9" s="3">
        <v>46046</v>
      </c>
      <c r="B9" s="2">
        <f t="shared" si="2"/>
        <v>-19500</v>
      </c>
      <c r="C9" s="7"/>
      <c r="D9" s="8" t="s">
        <v>19</v>
      </c>
      <c r="E9" s="2">
        <f t="shared" si="3"/>
        <v>-19500</v>
      </c>
      <c r="G9" s="12">
        <v>8</v>
      </c>
      <c r="H9" s="2">
        <f>H8+Q8-S8</f>
        <v>2994.3007055965763</v>
      </c>
      <c r="I9" s="13">
        <v>0.06</v>
      </c>
      <c r="J9" s="2">
        <f>H9*I9</f>
        <v>179.65804233579456</v>
      </c>
      <c r="K9" s="2">
        <f>MROUND(J9/1.85,1)</f>
        <v>97</v>
      </c>
      <c r="L9" s="14">
        <v>2.5</v>
      </c>
      <c r="M9" s="2">
        <f>MROUND(K9*0.85,1)</f>
        <v>82</v>
      </c>
      <c r="N9" s="14">
        <v>3</v>
      </c>
      <c r="O9" s="2">
        <f>K9*2.5</f>
        <v>242.5</v>
      </c>
      <c r="P9" s="2">
        <f>M9*3</f>
        <v>246</v>
      </c>
      <c r="Q9" s="2">
        <f>O9+P9-J9</f>
        <v>308.84195766420544</v>
      </c>
      <c r="R9" s="16">
        <f t="shared" si="1"/>
        <v>2</v>
      </c>
      <c r="S9" s="2">
        <f t="shared" ref="S9:S72" si="4">MROUND(IF((Q9*R9)&lt;5000,0,3000),10)</f>
        <v>0</v>
      </c>
      <c r="T9" s="2">
        <f>SUM($S$2:S9)</f>
        <v>0</v>
      </c>
      <c r="U9" s="2">
        <f>U8-S9</f>
        <v>1500</v>
      </c>
    </row>
    <row r="10" spans="1:21">
      <c r="A10" s="3">
        <v>46046</v>
      </c>
      <c r="B10" s="2">
        <f t="shared" si="2"/>
        <v>-19500</v>
      </c>
      <c r="C10" s="2">
        <v>-5000</v>
      </c>
      <c r="D10" s="6" t="s">
        <v>22</v>
      </c>
      <c r="E10" s="2">
        <f t="shared" si="3"/>
        <v>-24500</v>
      </c>
      <c r="G10" s="12">
        <v>9</v>
      </c>
      <c r="H10" s="2">
        <f>H9+Q9-S9</f>
        <v>3303.1426632607818</v>
      </c>
      <c r="I10" s="13">
        <v>0.06</v>
      </c>
      <c r="J10" s="2">
        <f>H10*I10</f>
        <v>198.18855979564691</v>
      </c>
      <c r="K10" s="2">
        <f>MROUND(J10/1.85,1)</f>
        <v>107</v>
      </c>
      <c r="L10" s="14">
        <v>2.5</v>
      </c>
      <c r="M10" s="2">
        <f>MROUND(K10*0.85,1)</f>
        <v>91</v>
      </c>
      <c r="N10" s="14">
        <v>3</v>
      </c>
      <c r="O10" s="2">
        <f>K10*2.5</f>
        <v>267.5</v>
      </c>
      <c r="P10" s="2">
        <f>M10*3</f>
        <v>273</v>
      </c>
      <c r="Q10" s="2">
        <f>O10+P10-J10</f>
        <v>342.31144020435306</v>
      </c>
      <c r="R10" s="16">
        <f t="shared" si="1"/>
        <v>2</v>
      </c>
      <c r="S10" s="2">
        <f t="shared" si="4"/>
        <v>0</v>
      </c>
      <c r="T10" s="2">
        <f>SUM($S$2:S10)</f>
        <v>0</v>
      </c>
      <c r="U10" s="2">
        <f>U9-S10</f>
        <v>1500</v>
      </c>
    </row>
    <row r="11" spans="1:21">
      <c r="A11" s="3">
        <v>46046</v>
      </c>
      <c r="B11" s="2">
        <f t="shared" si="2"/>
        <v>-24500</v>
      </c>
      <c r="E11" s="2">
        <f t="shared" si="3"/>
        <v>-24500</v>
      </c>
      <c r="G11" s="12">
        <v>10</v>
      </c>
      <c r="H11" s="2">
        <f>H10+Q10-S10</f>
        <v>3645.4541034651347</v>
      </c>
      <c r="I11" s="13">
        <v>0.06</v>
      </c>
      <c r="J11" s="2">
        <f>H11*I11</f>
        <v>218.72724620790808</v>
      </c>
      <c r="K11" s="2">
        <f>MROUND(J11/1.85,1)</f>
        <v>118</v>
      </c>
      <c r="L11" s="14">
        <v>2.5</v>
      </c>
      <c r="M11" s="2">
        <f>MROUND(K11*0.85,1)</f>
        <v>100</v>
      </c>
      <c r="N11" s="14">
        <v>3</v>
      </c>
      <c r="O11" s="2">
        <f>K11*2.5</f>
        <v>295</v>
      </c>
      <c r="P11" s="2">
        <f>M11*3</f>
        <v>300</v>
      </c>
      <c r="Q11" s="2">
        <f>O11+P11-J11</f>
        <v>376.27275379209192</v>
      </c>
      <c r="R11" s="16">
        <f t="shared" si="1"/>
        <v>2</v>
      </c>
      <c r="S11" s="2">
        <f t="shared" si="4"/>
        <v>0</v>
      </c>
      <c r="T11" s="2">
        <f>SUM($S$2:S11)</f>
        <v>0</v>
      </c>
      <c r="U11" s="2">
        <f>U10-S11</f>
        <v>1500</v>
      </c>
    </row>
    <row r="12" spans="1:21">
      <c r="A12" s="3">
        <v>46046</v>
      </c>
      <c r="B12" s="2">
        <f t="shared" si="2"/>
        <v>-24500</v>
      </c>
      <c r="E12" s="2">
        <f t="shared" si="3"/>
        <v>-24500</v>
      </c>
      <c r="G12" s="12">
        <v>11</v>
      </c>
      <c r="H12" s="2">
        <f>H11+Q11-S11</f>
        <v>4021.7268572572266</v>
      </c>
      <c r="I12" s="13">
        <v>0.06</v>
      </c>
      <c r="J12" s="2">
        <f>H12*I12</f>
        <v>241.3036114354336</v>
      </c>
      <c r="K12" s="2">
        <f>MROUND(J12/1.85,1)</f>
        <v>130</v>
      </c>
      <c r="L12" s="14">
        <v>2.5</v>
      </c>
      <c r="M12" s="2">
        <f>MROUND(K12*0.85,1)</f>
        <v>111</v>
      </c>
      <c r="N12" s="14">
        <v>3</v>
      </c>
      <c r="O12" s="2">
        <f>K12*2.5</f>
        <v>325</v>
      </c>
      <c r="P12" s="2">
        <f>M12*3</f>
        <v>333</v>
      </c>
      <c r="Q12" s="2">
        <f>O12+P12-J12</f>
        <v>416.6963885645664</v>
      </c>
      <c r="R12" s="16">
        <f t="shared" si="1"/>
        <v>2</v>
      </c>
      <c r="S12" s="2">
        <f t="shared" si="4"/>
        <v>0</v>
      </c>
      <c r="T12" s="2">
        <f>SUM($S$2:S12)</f>
        <v>0</v>
      </c>
      <c r="U12" s="2">
        <f>U11-S12</f>
        <v>1500</v>
      </c>
    </row>
    <row r="13" spans="1:21">
      <c r="A13" s="3">
        <v>46047</v>
      </c>
      <c r="B13" s="2">
        <f t="shared" si="2"/>
        <v>-24500</v>
      </c>
      <c r="E13" s="2">
        <f t="shared" si="3"/>
        <v>-24500</v>
      </c>
      <c r="G13" s="12">
        <v>12</v>
      </c>
      <c r="H13" s="2">
        <f>H12+Q12-S12</f>
        <v>4438.423245821793</v>
      </c>
      <c r="I13" s="13">
        <v>0.06</v>
      </c>
      <c r="J13" s="2">
        <f>H13*I13</f>
        <v>266.3053947493076</v>
      </c>
      <c r="K13" s="2">
        <f>MROUND(J13/1.85,1)</f>
        <v>144</v>
      </c>
      <c r="L13" s="14">
        <v>2.5</v>
      </c>
      <c r="M13" s="2">
        <f>MROUND(K13*0.85,1)</f>
        <v>122</v>
      </c>
      <c r="N13" s="14">
        <v>3</v>
      </c>
      <c r="O13" s="2">
        <f>K13*2.5</f>
        <v>360</v>
      </c>
      <c r="P13" s="2">
        <f>M13*3</f>
        <v>366</v>
      </c>
      <c r="Q13" s="2">
        <f>O13+P13-J13</f>
        <v>459.6946052506924</v>
      </c>
      <c r="R13" s="16">
        <f t="shared" si="1"/>
        <v>2</v>
      </c>
      <c r="S13" s="2">
        <f t="shared" si="4"/>
        <v>0</v>
      </c>
      <c r="T13" s="2">
        <f>SUM($S$2:S13)</f>
        <v>0</v>
      </c>
      <c r="U13" s="2">
        <f>U12-S13</f>
        <v>1500</v>
      </c>
    </row>
    <row r="14" spans="1:21">
      <c r="A14" s="3">
        <v>46047</v>
      </c>
      <c r="B14" s="2">
        <f t="shared" si="2"/>
        <v>-24500</v>
      </c>
      <c r="E14" s="2">
        <f t="shared" si="3"/>
        <v>-24500</v>
      </c>
      <c r="G14" s="12">
        <v>13</v>
      </c>
      <c r="H14" s="2">
        <f>H13+Q13-S13</f>
        <v>4898.1178510724858</v>
      </c>
      <c r="I14" s="13">
        <v>0.06</v>
      </c>
      <c r="J14" s="2">
        <f>H14*I14</f>
        <v>293.88707106434913</v>
      </c>
      <c r="K14" s="2">
        <f>MROUND(J14/1.85,1)</f>
        <v>159</v>
      </c>
      <c r="L14" s="14">
        <v>2.5</v>
      </c>
      <c r="M14" s="2">
        <f>MROUND(K14*0.85,1)</f>
        <v>135</v>
      </c>
      <c r="N14" s="14">
        <v>3</v>
      </c>
      <c r="O14" s="2">
        <f>K14*2.5</f>
        <v>397.5</v>
      </c>
      <c r="P14" s="2">
        <f>M14*3</f>
        <v>405</v>
      </c>
      <c r="Q14" s="2">
        <f>O14+P14-J14</f>
        <v>508.61292893565087</v>
      </c>
      <c r="R14" s="16">
        <f t="shared" si="1"/>
        <v>2</v>
      </c>
      <c r="S14" s="2">
        <f t="shared" si="4"/>
        <v>0</v>
      </c>
      <c r="T14" s="2">
        <f>SUM($S$2:S14)</f>
        <v>0</v>
      </c>
      <c r="U14" s="2">
        <f>U13-S14</f>
        <v>1500</v>
      </c>
    </row>
    <row r="15" spans="1:21">
      <c r="A15" s="3">
        <v>46047</v>
      </c>
      <c r="B15" s="2">
        <f t="shared" si="2"/>
        <v>-24500</v>
      </c>
      <c r="E15" s="2">
        <f t="shared" si="3"/>
        <v>-24500</v>
      </c>
      <c r="G15" s="12">
        <v>14</v>
      </c>
      <c r="H15" s="2">
        <f>H14+Q14-S14</f>
        <v>5406.7307800081362</v>
      </c>
      <c r="I15" s="13">
        <v>0.06</v>
      </c>
      <c r="J15" s="2">
        <f>H15*I15</f>
        <v>324.40384680048817</v>
      </c>
      <c r="K15" s="2">
        <f>MROUND(J15/1.85,1)</f>
        <v>175</v>
      </c>
      <c r="L15" s="14">
        <v>2.5</v>
      </c>
      <c r="M15" s="2">
        <f>MROUND(K15*0.85,1)</f>
        <v>149</v>
      </c>
      <c r="N15" s="14">
        <v>3</v>
      </c>
      <c r="O15" s="2">
        <f>K15*2.5</f>
        <v>437.5</v>
      </c>
      <c r="P15" s="2">
        <f>M15*3</f>
        <v>447</v>
      </c>
      <c r="Q15" s="2">
        <f>O15+P15-J15</f>
        <v>560.09615319951183</v>
      </c>
      <c r="R15" s="16">
        <f t="shared" si="1"/>
        <v>2</v>
      </c>
      <c r="S15" s="2">
        <f t="shared" si="4"/>
        <v>0</v>
      </c>
      <c r="T15" s="2">
        <f>SUM($S$2:S15)</f>
        <v>0</v>
      </c>
      <c r="U15" s="2">
        <f>U14-S15</f>
        <v>1500</v>
      </c>
    </row>
    <row r="16" spans="1:21">
      <c r="A16" s="3">
        <v>46047</v>
      </c>
      <c r="B16" s="2">
        <f t="shared" si="2"/>
        <v>-24500</v>
      </c>
      <c r="E16" s="2">
        <f t="shared" si="3"/>
        <v>-24500</v>
      </c>
      <c r="G16" s="12">
        <v>15</v>
      </c>
      <c r="H16" s="2">
        <f>H15+Q15-S15</f>
        <v>5966.8269332076479</v>
      </c>
      <c r="I16" s="13">
        <v>0.06</v>
      </c>
      <c r="J16" s="2">
        <f>H16*I16</f>
        <v>358.00961599245886</v>
      </c>
      <c r="K16" s="2">
        <f>MROUND(J16/1.85,1)</f>
        <v>194</v>
      </c>
      <c r="L16" s="14">
        <v>2.5</v>
      </c>
      <c r="M16" s="2">
        <f>MROUND(K16*0.85,1)</f>
        <v>165</v>
      </c>
      <c r="N16" s="14">
        <v>3</v>
      </c>
      <c r="O16" s="2">
        <f>K16*2.5</f>
        <v>485</v>
      </c>
      <c r="P16" s="2">
        <f>M16*3</f>
        <v>495</v>
      </c>
      <c r="Q16" s="2">
        <f>O16+P16-J16</f>
        <v>621.99038400754114</v>
      </c>
      <c r="R16" s="16">
        <f t="shared" si="1"/>
        <v>2</v>
      </c>
      <c r="S16" s="2">
        <f t="shared" si="4"/>
        <v>0</v>
      </c>
      <c r="T16" s="2">
        <f>SUM($S$2:S16)</f>
        <v>0</v>
      </c>
      <c r="U16" s="2">
        <f>U15-S16</f>
        <v>1500</v>
      </c>
    </row>
    <row r="17" spans="1:21">
      <c r="A17" s="3">
        <v>46048</v>
      </c>
      <c r="B17" s="2">
        <f t="shared" si="2"/>
        <v>-24500</v>
      </c>
      <c r="E17" s="2">
        <f t="shared" si="3"/>
        <v>-24500</v>
      </c>
      <c r="G17" s="12">
        <v>16</v>
      </c>
      <c r="H17" s="2">
        <f>H16+Q16-S16</f>
        <v>6588.8173172151892</v>
      </c>
      <c r="I17" s="13">
        <v>0.06</v>
      </c>
      <c r="J17" s="2">
        <f>H17*I17</f>
        <v>395.32903903291134</v>
      </c>
      <c r="K17" s="2">
        <f>MROUND(J17/1.85,1)</f>
        <v>214</v>
      </c>
      <c r="L17" s="14">
        <v>2.5</v>
      </c>
      <c r="M17" s="2">
        <f>MROUND(K17*0.85,1)</f>
        <v>182</v>
      </c>
      <c r="N17" s="14">
        <v>3</v>
      </c>
      <c r="O17" s="2">
        <f>K17*2.5</f>
        <v>535</v>
      </c>
      <c r="P17" s="2">
        <f>M17*3</f>
        <v>546</v>
      </c>
      <c r="Q17" s="2">
        <f>O17+P17-J17</f>
        <v>685.6709609670886</v>
      </c>
      <c r="R17" s="16">
        <f t="shared" si="1"/>
        <v>2</v>
      </c>
      <c r="S17" s="2">
        <f t="shared" si="4"/>
        <v>0</v>
      </c>
      <c r="T17" s="2">
        <f>SUM($S$2:S17)</f>
        <v>0</v>
      </c>
      <c r="U17" s="2">
        <f>U16-S17</f>
        <v>1500</v>
      </c>
    </row>
    <row r="18" spans="1:21">
      <c r="A18" s="3">
        <v>46048</v>
      </c>
      <c r="B18" s="2">
        <f t="shared" si="2"/>
        <v>-24500</v>
      </c>
      <c r="E18" s="2">
        <f t="shared" si="3"/>
        <v>-24500</v>
      </c>
      <c r="G18" s="12">
        <v>17</v>
      </c>
      <c r="H18" s="2">
        <f>H17+Q17-S17</f>
        <v>7274.488278182278</v>
      </c>
      <c r="I18" s="13">
        <v>0.06</v>
      </c>
      <c r="J18" s="2">
        <f>H18*I18</f>
        <v>436.46929669093669</v>
      </c>
      <c r="K18" s="2">
        <f>MROUND(J18/1.85,1)</f>
        <v>236</v>
      </c>
      <c r="L18" s="14">
        <v>2.5</v>
      </c>
      <c r="M18" s="2">
        <f>MROUND(K18*0.85,1)</f>
        <v>201</v>
      </c>
      <c r="N18" s="14">
        <v>3</v>
      </c>
      <c r="O18" s="2">
        <f>K18*2.5</f>
        <v>590</v>
      </c>
      <c r="P18" s="2">
        <f>M18*3</f>
        <v>603</v>
      </c>
      <c r="Q18" s="2">
        <f>O18+P18-J18</f>
        <v>756.53070330906326</v>
      </c>
      <c r="R18" s="16">
        <f t="shared" si="1"/>
        <v>2</v>
      </c>
      <c r="S18" s="2">
        <f t="shared" si="4"/>
        <v>0</v>
      </c>
      <c r="T18" s="2">
        <f>SUM($S$2:S18)</f>
        <v>0</v>
      </c>
      <c r="U18" s="2">
        <f>U17-S18</f>
        <v>1500</v>
      </c>
    </row>
    <row r="19" spans="1:21">
      <c r="A19" s="3">
        <v>46048</v>
      </c>
      <c r="B19" s="2">
        <f t="shared" si="2"/>
        <v>-24500</v>
      </c>
      <c r="E19" s="2">
        <f t="shared" si="3"/>
        <v>-24500</v>
      </c>
      <c r="G19" s="12">
        <v>18</v>
      </c>
      <c r="H19" s="2">
        <f>H18+Q18-S18</f>
        <v>8031.018981491341</v>
      </c>
      <c r="I19" s="13">
        <v>0.06</v>
      </c>
      <c r="J19" s="2">
        <f>H19*I19</f>
        <v>481.86113888948046</v>
      </c>
      <c r="K19" s="2">
        <f>MROUND(J19/1.85,1)</f>
        <v>260</v>
      </c>
      <c r="L19" s="14">
        <v>2.5</v>
      </c>
      <c r="M19" s="2">
        <f>MROUND(K19*0.85,1)</f>
        <v>221</v>
      </c>
      <c r="N19" s="14">
        <v>3</v>
      </c>
      <c r="O19" s="2">
        <f>K19*2.5</f>
        <v>650</v>
      </c>
      <c r="P19" s="2">
        <f>M19*3</f>
        <v>663</v>
      </c>
      <c r="Q19" s="2">
        <f>O19+P19-J19</f>
        <v>831.13886111051954</v>
      </c>
      <c r="R19" s="16">
        <f t="shared" si="1"/>
        <v>2</v>
      </c>
      <c r="S19" s="2">
        <f t="shared" si="4"/>
        <v>0</v>
      </c>
      <c r="T19" s="2">
        <f>SUM($S$2:S19)</f>
        <v>0</v>
      </c>
      <c r="U19" s="2">
        <f>U18-S19</f>
        <v>1500</v>
      </c>
    </row>
    <row r="20" spans="1:21">
      <c r="A20" s="3">
        <v>46049</v>
      </c>
      <c r="B20" s="2">
        <f t="shared" si="2"/>
        <v>-24500</v>
      </c>
      <c r="E20" s="2">
        <f t="shared" si="3"/>
        <v>-24500</v>
      </c>
      <c r="G20" s="12">
        <v>19</v>
      </c>
      <c r="H20" s="2">
        <f>H19+Q19-S19</f>
        <v>8862.1578426018605</v>
      </c>
      <c r="I20" s="13">
        <v>0.06</v>
      </c>
      <c r="J20" s="2">
        <f>H20*I20</f>
        <v>531.72947055611166</v>
      </c>
      <c r="K20" s="2">
        <f>MROUND(J20/1.85,1)</f>
        <v>287</v>
      </c>
      <c r="L20" s="14">
        <v>2.5</v>
      </c>
      <c r="M20" s="2">
        <f>MROUND(K20*0.85,1)</f>
        <v>244</v>
      </c>
      <c r="N20" s="14">
        <v>3</v>
      </c>
      <c r="O20" s="2">
        <f>K20*2.5</f>
        <v>717.5</v>
      </c>
      <c r="P20" s="2">
        <f>M20*3</f>
        <v>732</v>
      </c>
      <c r="Q20" s="2">
        <f>O20+P20-J20</f>
        <v>917.77052944388834</v>
      </c>
      <c r="R20" s="16">
        <f t="shared" si="1"/>
        <v>2</v>
      </c>
      <c r="S20" s="2">
        <f t="shared" si="4"/>
        <v>0</v>
      </c>
      <c r="T20" s="2">
        <f>SUM($S$2:S20)</f>
        <v>0</v>
      </c>
      <c r="U20" s="2">
        <f>U19-S20</f>
        <v>1500</v>
      </c>
    </row>
    <row r="21" spans="1:21">
      <c r="A21" s="3">
        <v>46049</v>
      </c>
      <c r="B21" s="2">
        <f t="shared" si="2"/>
        <v>-24500</v>
      </c>
      <c r="E21" s="2">
        <f t="shared" si="3"/>
        <v>-24500</v>
      </c>
      <c r="G21" s="12">
        <v>20</v>
      </c>
      <c r="H21" s="2">
        <f>H20+Q20-S20</f>
        <v>9779.9283720457497</v>
      </c>
      <c r="I21" s="13">
        <v>0.06</v>
      </c>
      <c r="J21" s="2">
        <f>H21*I21</f>
        <v>586.795702322745</v>
      </c>
      <c r="K21" s="2">
        <f>MROUND(J21/1.85,1)</f>
        <v>317</v>
      </c>
      <c r="L21" s="14">
        <v>2.5</v>
      </c>
      <c r="M21" s="2">
        <f>MROUND(K21*0.85,1)</f>
        <v>269</v>
      </c>
      <c r="N21" s="14">
        <v>3</v>
      </c>
      <c r="O21" s="2">
        <f>K21*2.5</f>
        <v>792.5</v>
      </c>
      <c r="P21" s="2">
        <f>M21*3</f>
        <v>807</v>
      </c>
      <c r="Q21" s="2">
        <f>O21+P21-J21</f>
        <v>1012.704297677255</v>
      </c>
      <c r="R21" s="16">
        <f t="shared" si="1"/>
        <v>2</v>
      </c>
      <c r="S21" s="2">
        <f t="shared" si="4"/>
        <v>0</v>
      </c>
      <c r="T21" s="2">
        <f>SUM($S$2:S21)</f>
        <v>0</v>
      </c>
      <c r="U21" s="2">
        <f>U20-S21</f>
        <v>1500</v>
      </c>
    </row>
    <row r="22" spans="1:21">
      <c r="A22" s="3">
        <v>46049</v>
      </c>
      <c r="B22" s="2">
        <f t="shared" si="2"/>
        <v>-24500</v>
      </c>
      <c r="E22" s="2">
        <f t="shared" si="3"/>
        <v>-24500</v>
      </c>
      <c r="G22" s="12">
        <v>21</v>
      </c>
      <c r="H22" s="2">
        <f>H21+Q21-S21</f>
        <v>10792.632669723005</v>
      </c>
      <c r="I22" s="13">
        <v>0.06</v>
      </c>
      <c r="J22" s="2">
        <f>H22*I22</f>
        <v>647.55796018338026</v>
      </c>
      <c r="K22" s="2">
        <f>MROUND(J22/1.85,1)</f>
        <v>350</v>
      </c>
      <c r="L22" s="14">
        <v>2.5</v>
      </c>
      <c r="M22" s="2">
        <f>MROUND(K22*0.85,1)</f>
        <v>298</v>
      </c>
      <c r="N22" s="14">
        <v>3</v>
      </c>
      <c r="O22" s="2">
        <f>K22*2.5</f>
        <v>875</v>
      </c>
      <c r="P22" s="2">
        <f>M22*3</f>
        <v>894</v>
      </c>
      <c r="Q22" s="2">
        <f>O22+P22-J22</f>
        <v>1121.4420398166199</v>
      </c>
      <c r="R22" s="16">
        <f t="shared" si="1"/>
        <v>2</v>
      </c>
      <c r="S22" s="2">
        <f t="shared" si="4"/>
        <v>0</v>
      </c>
      <c r="T22" s="2">
        <f>SUM($S$2:S22)</f>
        <v>0</v>
      </c>
      <c r="U22" s="2">
        <f>U21-S22</f>
        <v>1500</v>
      </c>
    </row>
    <row r="23" spans="1:21">
      <c r="A23" s="3">
        <v>46049</v>
      </c>
      <c r="B23" s="2">
        <f t="shared" si="2"/>
        <v>-24500</v>
      </c>
      <c r="E23" s="2">
        <f t="shared" si="3"/>
        <v>-24500</v>
      </c>
      <c r="G23" s="12">
        <v>22</v>
      </c>
      <c r="H23" s="2">
        <f>H22+Q22-S22</f>
        <v>11914.074709539625</v>
      </c>
      <c r="I23" s="13">
        <v>0.06</v>
      </c>
      <c r="J23" s="2">
        <f>H23*I23</f>
        <v>714.8444825723775</v>
      </c>
      <c r="K23" s="2">
        <f>MROUND(J23/1.85,1)</f>
        <v>386</v>
      </c>
      <c r="L23" s="14">
        <v>2.5</v>
      </c>
      <c r="M23" s="2">
        <f>MROUND(K23*0.85,1)</f>
        <v>328</v>
      </c>
      <c r="N23" s="14">
        <v>3</v>
      </c>
      <c r="O23" s="2">
        <f>K23*2.5</f>
        <v>965</v>
      </c>
      <c r="P23" s="2">
        <f>M23*3</f>
        <v>984</v>
      </c>
      <c r="Q23" s="2">
        <f>O23+P23-J23</f>
        <v>1234.1555174276225</v>
      </c>
      <c r="R23" s="16">
        <f t="shared" si="1"/>
        <v>2</v>
      </c>
      <c r="S23" s="2">
        <f t="shared" si="4"/>
        <v>0</v>
      </c>
      <c r="T23" s="2">
        <f>SUM($S$2:S23)</f>
        <v>0</v>
      </c>
      <c r="U23" s="2">
        <f>U22-S23</f>
        <v>1500</v>
      </c>
    </row>
    <row r="24" spans="1:21">
      <c r="A24" s="3">
        <v>46050</v>
      </c>
      <c r="B24" s="2">
        <f t="shared" si="2"/>
        <v>-24500</v>
      </c>
      <c r="E24" s="2">
        <f t="shared" si="3"/>
        <v>-24500</v>
      </c>
      <c r="G24" s="12">
        <v>23</v>
      </c>
      <c r="H24" s="2">
        <f>H23+Q23-S23</f>
        <v>13148.230226967247</v>
      </c>
      <c r="I24" s="13">
        <v>0.06</v>
      </c>
      <c r="J24" s="2">
        <f>H24*I24</f>
        <v>788.89381361803476</v>
      </c>
      <c r="K24" s="2">
        <f>MROUND(J24/1.85,1)</f>
        <v>426</v>
      </c>
      <c r="L24" s="14">
        <v>2.5</v>
      </c>
      <c r="M24" s="2">
        <f>MROUND(K24*0.85,1)</f>
        <v>362</v>
      </c>
      <c r="N24" s="14">
        <v>3</v>
      </c>
      <c r="O24" s="2">
        <f>K24*2.5</f>
        <v>1065</v>
      </c>
      <c r="P24" s="2">
        <f>M24*3</f>
        <v>1086</v>
      </c>
      <c r="Q24" s="2">
        <f>O24+P24-J24</f>
        <v>1362.1061863819652</v>
      </c>
      <c r="R24" s="16">
        <f t="shared" si="1"/>
        <v>2</v>
      </c>
      <c r="S24" s="2">
        <f t="shared" si="4"/>
        <v>0</v>
      </c>
      <c r="T24" s="2">
        <f>SUM($S$2:S24)</f>
        <v>0</v>
      </c>
      <c r="U24" s="2">
        <f>U23-S24</f>
        <v>1500</v>
      </c>
    </row>
    <row r="25" spans="1:21">
      <c r="A25" s="3">
        <v>46050</v>
      </c>
      <c r="B25" s="2">
        <f t="shared" si="2"/>
        <v>-24500</v>
      </c>
      <c r="E25" s="2">
        <f t="shared" si="3"/>
        <v>-24500</v>
      </c>
      <c r="G25" s="12">
        <v>24</v>
      </c>
      <c r="H25" s="2">
        <f>H24+Q24-S24</f>
        <v>14510.336413349212</v>
      </c>
      <c r="I25" s="13">
        <v>0.06</v>
      </c>
      <c r="J25" s="2">
        <f>H25*I25</f>
        <v>870.62018480095276</v>
      </c>
      <c r="K25" s="2">
        <f>MROUND(J25/1.85,1)</f>
        <v>471</v>
      </c>
      <c r="L25" s="14">
        <v>2.5</v>
      </c>
      <c r="M25" s="2">
        <f>MROUND(K25*0.85,1)</f>
        <v>400</v>
      </c>
      <c r="N25" s="14">
        <v>3</v>
      </c>
      <c r="O25" s="2">
        <f>K25*2.5</f>
        <v>1177.5</v>
      </c>
      <c r="P25" s="2">
        <f>M25*3</f>
        <v>1200</v>
      </c>
      <c r="Q25" s="2">
        <f>O25+P25-J25</f>
        <v>1506.8798151990472</v>
      </c>
      <c r="R25" s="16">
        <f t="shared" si="1"/>
        <v>2</v>
      </c>
      <c r="S25" s="2">
        <f t="shared" si="4"/>
        <v>0</v>
      </c>
      <c r="T25" s="2">
        <f>SUM($S$2:S25)</f>
        <v>0</v>
      </c>
      <c r="U25" s="2">
        <f>U24-S25</f>
        <v>1500</v>
      </c>
    </row>
    <row r="26" spans="1:21">
      <c r="A26" s="3">
        <v>46050</v>
      </c>
      <c r="B26" s="2">
        <f t="shared" si="2"/>
        <v>-24500</v>
      </c>
      <c r="E26" s="2">
        <f t="shared" si="3"/>
        <v>-24500</v>
      </c>
      <c r="G26" s="12">
        <v>25</v>
      </c>
      <c r="H26" s="2">
        <f>H25+Q25-S25</f>
        <v>16017.216228548259</v>
      </c>
      <c r="I26" s="13">
        <v>0.06</v>
      </c>
      <c r="J26" s="2">
        <f>H26*I26</f>
        <v>961.03297371289545</v>
      </c>
      <c r="K26" s="2">
        <f>MROUND(J26/1.85,1)</f>
        <v>519</v>
      </c>
      <c r="L26" s="14">
        <v>2.5</v>
      </c>
      <c r="M26" s="2">
        <f>MROUND(K26*0.85,1)</f>
        <v>441</v>
      </c>
      <c r="N26" s="14">
        <v>3</v>
      </c>
      <c r="O26" s="2">
        <f>K26*2.5</f>
        <v>1297.5</v>
      </c>
      <c r="P26" s="2">
        <f>M26*3</f>
        <v>1323</v>
      </c>
      <c r="Q26" s="2">
        <f>O26+P26-J26</f>
        <v>1659.4670262871045</v>
      </c>
      <c r="R26" s="16">
        <f t="shared" si="1"/>
        <v>2</v>
      </c>
      <c r="S26" s="2">
        <f t="shared" si="4"/>
        <v>0</v>
      </c>
      <c r="T26" s="2">
        <f>SUM($S$2:S26)</f>
        <v>0</v>
      </c>
      <c r="U26" s="2">
        <f>U25-S26</f>
        <v>1500</v>
      </c>
    </row>
    <row r="27" spans="1:21">
      <c r="A27" s="3">
        <v>46050</v>
      </c>
      <c r="B27" s="2">
        <f t="shared" si="2"/>
        <v>-24500</v>
      </c>
      <c r="E27" s="2">
        <f t="shared" si="3"/>
        <v>-24500</v>
      </c>
      <c r="G27" s="12">
        <v>26</v>
      </c>
      <c r="H27" s="2">
        <f>H26+Q26-S26</f>
        <v>17676.683254835363</v>
      </c>
      <c r="I27" s="13">
        <v>0.06</v>
      </c>
      <c r="J27" s="2">
        <f>H27*I27</f>
        <v>1060.6009952901218</v>
      </c>
      <c r="K27" s="2">
        <f>MROUND(J27/1.85,1)</f>
        <v>573</v>
      </c>
      <c r="L27" s="14">
        <v>2.5</v>
      </c>
      <c r="M27" s="2">
        <f>MROUND(K27*0.85,1)</f>
        <v>487</v>
      </c>
      <c r="N27" s="14">
        <v>3</v>
      </c>
      <c r="O27" s="2">
        <f>K27*2.5</f>
        <v>1432.5</v>
      </c>
      <c r="P27" s="2">
        <f>M27*3</f>
        <v>1461</v>
      </c>
      <c r="Q27" s="2">
        <f>O27+P27-J27</f>
        <v>1832.8990047098782</v>
      </c>
      <c r="R27" s="16">
        <f t="shared" si="1"/>
        <v>2</v>
      </c>
      <c r="S27" s="2">
        <f t="shared" si="4"/>
        <v>0</v>
      </c>
      <c r="T27" s="2">
        <f>SUM($S$2:S27)</f>
        <v>0</v>
      </c>
      <c r="U27" s="2">
        <f>U26-S27</f>
        <v>1500</v>
      </c>
    </row>
    <row r="28" spans="1:21">
      <c r="A28" s="3">
        <v>46051</v>
      </c>
      <c r="B28" s="2">
        <f t="shared" si="2"/>
        <v>-24500</v>
      </c>
      <c r="E28" s="2">
        <f t="shared" si="3"/>
        <v>-24500</v>
      </c>
      <c r="G28" s="12">
        <v>27</v>
      </c>
      <c r="H28" s="2">
        <f>H27+Q27-S27</f>
        <v>19509.582259545241</v>
      </c>
      <c r="I28" s="13">
        <v>0.06</v>
      </c>
      <c r="J28" s="2">
        <f>H28*I28</f>
        <v>1170.5749355727144</v>
      </c>
      <c r="K28" s="2">
        <f>MROUND(J28/1.85,1)</f>
        <v>633</v>
      </c>
      <c r="L28" s="14">
        <v>2.5</v>
      </c>
      <c r="M28" s="2">
        <f>MROUND(K28*0.85,1)</f>
        <v>538</v>
      </c>
      <c r="N28" s="14">
        <v>3</v>
      </c>
      <c r="O28" s="2">
        <f>K28*2.5</f>
        <v>1582.5</v>
      </c>
      <c r="P28" s="2">
        <f>M28*3</f>
        <v>1614</v>
      </c>
      <c r="Q28" s="2">
        <f>O28+P28-J28</f>
        <v>2025.9250644272856</v>
      </c>
      <c r="R28" s="16">
        <f t="shared" si="1"/>
        <v>2</v>
      </c>
      <c r="S28" s="2">
        <f t="shared" si="4"/>
        <v>0</v>
      </c>
      <c r="T28" s="2">
        <f>SUM($S$2:S28)</f>
        <v>0</v>
      </c>
      <c r="U28" s="2">
        <f>U27-S28</f>
        <v>1500</v>
      </c>
    </row>
    <row r="29" spans="1:21">
      <c r="A29" s="3">
        <v>46051</v>
      </c>
      <c r="B29" s="2">
        <f t="shared" si="2"/>
        <v>-24500</v>
      </c>
      <c r="E29" s="2">
        <f t="shared" si="3"/>
        <v>-24500</v>
      </c>
      <c r="G29" s="12">
        <v>28</v>
      </c>
      <c r="H29" s="2">
        <f>H28+Q28-S28</f>
        <v>21535.507323972528</v>
      </c>
      <c r="I29" s="13">
        <v>0.06</v>
      </c>
      <c r="J29" s="2">
        <f>H29*I29</f>
        <v>1292.1304394383517</v>
      </c>
      <c r="K29" s="2">
        <f>MROUND(J29/1.85,1)</f>
        <v>698</v>
      </c>
      <c r="L29" s="14">
        <v>2.5</v>
      </c>
      <c r="M29" s="2">
        <f>MROUND(K29*0.85,1)</f>
        <v>593</v>
      </c>
      <c r="N29" s="14">
        <v>3</v>
      </c>
      <c r="O29" s="2">
        <f>K29*2.5</f>
        <v>1745</v>
      </c>
      <c r="P29" s="2">
        <f>M29*3</f>
        <v>1779</v>
      </c>
      <c r="Q29" s="2">
        <f>O29+P29-J29</f>
        <v>2231.8695605616485</v>
      </c>
      <c r="R29" s="16">
        <f t="shared" si="1"/>
        <v>2</v>
      </c>
      <c r="S29" s="2">
        <f t="shared" si="4"/>
        <v>0</v>
      </c>
      <c r="T29" s="2">
        <f>SUM($S$2:S29)</f>
        <v>0</v>
      </c>
      <c r="U29" s="2">
        <f>U28-S29</f>
        <v>1500</v>
      </c>
    </row>
    <row r="30" spans="1:21">
      <c r="A30" s="3">
        <v>46051</v>
      </c>
      <c r="B30" s="2">
        <f t="shared" si="2"/>
        <v>-24500</v>
      </c>
      <c r="E30" s="2">
        <f t="shared" si="3"/>
        <v>-24500</v>
      </c>
      <c r="G30" s="12">
        <v>29</v>
      </c>
      <c r="H30" s="2">
        <f>H29+Q29-S29</f>
        <v>23767.376884534176</v>
      </c>
      <c r="I30" s="13">
        <v>0.06</v>
      </c>
      <c r="J30" s="2">
        <f>H30*I30</f>
        <v>1426.0426130720505</v>
      </c>
      <c r="K30" s="2">
        <f>MROUND(J30/1.85,1)</f>
        <v>771</v>
      </c>
      <c r="L30" s="14">
        <v>2.5</v>
      </c>
      <c r="M30" s="2">
        <f>MROUND(K30*0.85,1)</f>
        <v>655</v>
      </c>
      <c r="N30" s="14">
        <v>3</v>
      </c>
      <c r="O30" s="2">
        <f>K30*2.5</f>
        <v>1927.5</v>
      </c>
      <c r="P30" s="2">
        <f>M30*3</f>
        <v>1965</v>
      </c>
      <c r="Q30" s="2">
        <f>O30+P30-J30</f>
        <v>2466.4573869279493</v>
      </c>
      <c r="R30" s="16">
        <f t="shared" si="1"/>
        <v>2</v>
      </c>
      <c r="S30" s="2">
        <f t="shared" si="4"/>
        <v>0</v>
      </c>
      <c r="T30" s="2">
        <f>SUM($S$2:S30)</f>
        <v>0</v>
      </c>
      <c r="U30" s="2">
        <f>U29-S30</f>
        <v>1500</v>
      </c>
    </row>
    <row r="31" spans="1:21">
      <c r="A31" s="3">
        <v>46052</v>
      </c>
      <c r="B31" s="2">
        <f t="shared" si="2"/>
        <v>-24500</v>
      </c>
      <c r="E31" s="2">
        <f t="shared" si="3"/>
        <v>-24500</v>
      </c>
      <c r="G31" s="12">
        <v>30</v>
      </c>
      <c r="H31" s="2">
        <f>H30+Q30-S30</f>
        <v>26233.834271462125</v>
      </c>
      <c r="I31" s="13">
        <v>0.06</v>
      </c>
      <c r="J31" s="2">
        <f>H31*I31</f>
        <v>1574.0300562877273</v>
      </c>
      <c r="K31" s="2">
        <f>MROUND(J31/1.85,1)</f>
        <v>851</v>
      </c>
      <c r="L31" s="14">
        <v>2.5</v>
      </c>
      <c r="M31" s="2">
        <f>MROUND(K31*0.85,1)</f>
        <v>723</v>
      </c>
      <c r="N31" s="14">
        <v>3</v>
      </c>
      <c r="O31" s="2">
        <f>K31*2.5</f>
        <v>2127.5</v>
      </c>
      <c r="P31" s="2">
        <f>M31*3</f>
        <v>2169</v>
      </c>
      <c r="Q31" s="2">
        <f>O31+P31-J31</f>
        <v>2722.4699437122727</v>
      </c>
      <c r="R31" s="16">
        <f t="shared" si="1"/>
        <v>2</v>
      </c>
      <c r="S31" s="2">
        <f t="shared" si="4"/>
        <v>3000</v>
      </c>
      <c r="T31" s="2">
        <f>SUM($S$2:S31)</f>
        <v>3000</v>
      </c>
      <c r="U31" s="2">
        <f>U30-S31</f>
        <v>-1500</v>
      </c>
    </row>
    <row r="32" spans="1:21">
      <c r="A32" s="3">
        <v>46053</v>
      </c>
      <c r="B32" s="2">
        <f t="shared" si="2"/>
        <v>-24500</v>
      </c>
      <c r="E32" s="2">
        <f t="shared" si="3"/>
        <v>-24500</v>
      </c>
      <c r="G32" s="12">
        <v>31</v>
      </c>
      <c r="H32" s="2">
        <f>H31+Q31-S31</f>
        <v>25956.304215174398</v>
      </c>
      <c r="I32" s="13">
        <v>0.06</v>
      </c>
      <c r="J32" s="2">
        <f>H32*I32</f>
        <v>1557.3782529104637</v>
      </c>
      <c r="K32" s="2">
        <f>MROUND(J32/1.85,1)</f>
        <v>842</v>
      </c>
      <c r="L32" s="14">
        <v>2.5</v>
      </c>
      <c r="M32" s="2">
        <f>MROUND(K32*0.85,1)</f>
        <v>716</v>
      </c>
      <c r="N32" s="14">
        <v>3</v>
      </c>
      <c r="O32" s="2">
        <f>K32*2.5</f>
        <v>2105</v>
      </c>
      <c r="P32" s="2">
        <f>M32*3</f>
        <v>2148</v>
      </c>
      <c r="Q32" s="2">
        <f>O32+P32-J32</f>
        <v>2695.6217470895363</v>
      </c>
      <c r="R32" s="16">
        <f t="shared" si="1"/>
        <v>2</v>
      </c>
      <c r="S32" s="2">
        <f t="shared" si="4"/>
        <v>3000</v>
      </c>
      <c r="T32" s="2">
        <f>SUM($S$2:S32)</f>
        <v>6000</v>
      </c>
      <c r="U32" s="2">
        <f>U31-S32</f>
        <v>-4500</v>
      </c>
    </row>
    <row r="33" spans="1:21">
      <c r="A33" s="3">
        <v>46054</v>
      </c>
      <c r="B33" s="2">
        <f t="shared" si="2"/>
        <v>-24500</v>
      </c>
      <c r="E33" s="2">
        <f t="shared" si="3"/>
        <v>-24500</v>
      </c>
      <c r="G33" s="12">
        <v>32</v>
      </c>
      <c r="H33" s="2">
        <f>H32+Q32-S32</f>
        <v>25651.925962263933</v>
      </c>
      <c r="I33" s="13">
        <v>0.06</v>
      </c>
      <c r="J33" s="2">
        <f>H33*I33</f>
        <v>1539.1155577358359</v>
      </c>
      <c r="K33" s="2">
        <f>MROUND(J33/1.85,1)</f>
        <v>832</v>
      </c>
      <c r="L33" s="14">
        <v>2.5</v>
      </c>
      <c r="M33" s="2">
        <f>MROUND(K33*0.85,1)</f>
        <v>707</v>
      </c>
      <c r="N33" s="14">
        <v>3</v>
      </c>
      <c r="O33" s="2">
        <f>K33*2.5</f>
        <v>2080</v>
      </c>
      <c r="P33" s="2">
        <f>M33*3</f>
        <v>2121</v>
      </c>
      <c r="Q33" s="2">
        <f>O33+P33-J33</f>
        <v>2661.8844422641641</v>
      </c>
      <c r="R33" s="16">
        <f t="shared" si="1"/>
        <v>2</v>
      </c>
      <c r="S33" s="2">
        <f t="shared" si="4"/>
        <v>3000</v>
      </c>
      <c r="T33" s="2">
        <f>SUM($S$2:S33)</f>
        <v>9000</v>
      </c>
      <c r="U33" s="2">
        <f>U32-S33</f>
        <v>-7500</v>
      </c>
    </row>
    <row r="34" spans="1:21">
      <c r="A34" s="3">
        <v>46055</v>
      </c>
      <c r="B34" s="2">
        <f t="shared" si="2"/>
        <v>-24500</v>
      </c>
      <c r="E34" s="2">
        <f t="shared" si="3"/>
        <v>-24500</v>
      </c>
      <c r="G34" s="12">
        <v>33</v>
      </c>
      <c r="H34" s="2">
        <f>H33+Q33-S33</f>
        <v>25313.810404528096</v>
      </c>
      <c r="I34" s="13">
        <v>0.06</v>
      </c>
      <c r="J34" s="2">
        <f>H34*I34</f>
        <v>1518.8286242716856</v>
      </c>
      <c r="K34" s="2">
        <f>MROUND(J34/1.85,1)</f>
        <v>821</v>
      </c>
      <c r="L34" s="14">
        <v>2.5</v>
      </c>
      <c r="M34" s="2">
        <f>MROUND(K34*0.85,1)</f>
        <v>698</v>
      </c>
      <c r="N34" s="14">
        <v>3</v>
      </c>
      <c r="O34" s="2">
        <f>K34*2.5</f>
        <v>2052.5</v>
      </c>
      <c r="P34" s="2">
        <f>M34*3</f>
        <v>2094</v>
      </c>
      <c r="Q34" s="2">
        <f>O34+P34-J34</f>
        <v>2627.6713757283142</v>
      </c>
      <c r="R34" s="16">
        <f t="shared" si="1"/>
        <v>2</v>
      </c>
      <c r="S34" s="2">
        <f t="shared" si="4"/>
        <v>3000</v>
      </c>
      <c r="T34" s="2">
        <f>SUM($S$2:S34)</f>
        <v>12000</v>
      </c>
      <c r="U34" s="2">
        <f>U33-S34</f>
        <v>-10500</v>
      </c>
    </row>
    <row r="35" spans="1:21">
      <c r="A35" s="3">
        <v>46056</v>
      </c>
      <c r="B35" s="2">
        <f t="shared" si="2"/>
        <v>-24500</v>
      </c>
      <c r="E35" s="2">
        <f t="shared" si="3"/>
        <v>-24500</v>
      </c>
      <c r="G35" s="12">
        <v>34</v>
      </c>
      <c r="H35" s="2">
        <f>H34+Q34-S34</f>
        <v>24941.48178025641</v>
      </c>
      <c r="I35" s="13">
        <v>0.06</v>
      </c>
      <c r="J35" s="2">
        <f>H35*I35</f>
        <v>1496.4889068153846</v>
      </c>
      <c r="K35" s="2">
        <f>MROUND(J35/1.85,1)</f>
        <v>809</v>
      </c>
      <c r="L35" s="14">
        <v>2.5</v>
      </c>
      <c r="M35" s="2">
        <f>MROUND(K35*0.85,1)</f>
        <v>688</v>
      </c>
      <c r="N35" s="14">
        <v>3</v>
      </c>
      <c r="O35" s="2">
        <f>K35*2.5</f>
        <v>2022.5</v>
      </c>
      <c r="P35" s="2">
        <f>M35*3</f>
        <v>2064</v>
      </c>
      <c r="Q35" s="2">
        <f>O35+P35-J35</f>
        <v>2590.0110931846157</v>
      </c>
      <c r="R35" s="16">
        <f t="shared" si="1"/>
        <v>2</v>
      </c>
      <c r="S35" s="2">
        <f t="shared" si="4"/>
        <v>3000</v>
      </c>
      <c r="T35" s="2">
        <f>SUM($S$2:S35)</f>
        <v>15000</v>
      </c>
      <c r="U35" s="2">
        <f>U34-S35</f>
        <v>-13500</v>
      </c>
    </row>
    <row r="36" spans="1:21">
      <c r="A36" s="3">
        <v>46057</v>
      </c>
      <c r="B36" s="2">
        <f t="shared" si="2"/>
        <v>-24500</v>
      </c>
      <c r="E36" s="2">
        <f t="shared" si="3"/>
        <v>-24500</v>
      </c>
      <c r="G36" s="12">
        <v>35</v>
      </c>
      <c r="H36" s="2">
        <f>H35+Q35-S35</f>
        <v>24531.492873441028</v>
      </c>
      <c r="I36" s="13">
        <v>0.06</v>
      </c>
      <c r="J36" s="2">
        <f>H36*I36</f>
        <v>1471.8895724064616</v>
      </c>
      <c r="K36" s="2">
        <f>MROUND(J36/1.85,1)</f>
        <v>796</v>
      </c>
      <c r="L36" s="14">
        <v>2.5</v>
      </c>
      <c r="M36" s="2">
        <f>MROUND(K36*0.85,1)</f>
        <v>677</v>
      </c>
      <c r="N36" s="14">
        <v>3</v>
      </c>
      <c r="O36" s="2">
        <f>K36*2.5</f>
        <v>1990</v>
      </c>
      <c r="P36" s="2">
        <f>M36*3</f>
        <v>2031</v>
      </c>
      <c r="Q36" s="2">
        <f>O36+P36-J36</f>
        <v>2549.1104275935386</v>
      </c>
      <c r="R36" s="16">
        <f t="shared" si="1"/>
        <v>2</v>
      </c>
      <c r="S36" s="2">
        <f t="shared" si="4"/>
        <v>3000</v>
      </c>
      <c r="T36" s="2">
        <f>SUM($S$2:S36)</f>
        <v>18000</v>
      </c>
      <c r="U36" s="2">
        <f>U35-S36</f>
        <v>-16500</v>
      </c>
    </row>
    <row r="37" spans="1:21">
      <c r="A37" s="3">
        <v>46058</v>
      </c>
      <c r="B37" s="2">
        <f t="shared" si="2"/>
        <v>-24500</v>
      </c>
      <c r="E37" s="2">
        <f t="shared" si="3"/>
        <v>-24500</v>
      </c>
      <c r="G37" s="12">
        <v>36</v>
      </c>
      <c r="H37" s="2">
        <f>H36+Q36-S36</f>
        <v>24080.603301034567</v>
      </c>
      <c r="I37" s="13">
        <v>0.06</v>
      </c>
      <c r="J37" s="2">
        <f>H37*I37</f>
        <v>1444.8361980620739</v>
      </c>
      <c r="K37" s="2">
        <f>MROUND(J37/1.85,1)</f>
        <v>781</v>
      </c>
      <c r="L37" s="14">
        <v>2.5</v>
      </c>
      <c r="M37" s="2">
        <f>MROUND(K37*0.85,1)</f>
        <v>664</v>
      </c>
      <c r="N37" s="14">
        <v>3</v>
      </c>
      <c r="O37" s="2">
        <f>K37*2.5</f>
        <v>1952.5</v>
      </c>
      <c r="P37" s="2">
        <f>M37*3</f>
        <v>1992</v>
      </c>
      <c r="Q37" s="2">
        <f>O37+P37-J37</f>
        <v>2499.6638019379261</v>
      </c>
      <c r="R37" s="16">
        <f t="shared" si="1"/>
        <v>2</v>
      </c>
      <c r="S37" s="2">
        <f t="shared" si="4"/>
        <v>0</v>
      </c>
      <c r="T37" s="2">
        <f>SUM($S$2:S37)</f>
        <v>18000</v>
      </c>
      <c r="U37" s="2">
        <f>U36-S37</f>
        <v>-16500</v>
      </c>
    </row>
    <row r="38" spans="1:21">
      <c r="A38" s="3">
        <v>46059</v>
      </c>
      <c r="B38" s="2">
        <f t="shared" si="2"/>
        <v>-24500</v>
      </c>
      <c r="E38" s="2">
        <f t="shared" si="3"/>
        <v>-24500</v>
      </c>
      <c r="G38" s="12">
        <v>37</v>
      </c>
      <c r="H38" s="2">
        <f>H37+Q37-S37</f>
        <v>26580.267102972495</v>
      </c>
      <c r="I38" s="13">
        <v>0.06</v>
      </c>
      <c r="J38" s="2">
        <f>H38*I38</f>
        <v>1594.8160261783496</v>
      </c>
      <c r="K38" s="2">
        <f>MROUND(J38/1.85,1)</f>
        <v>862</v>
      </c>
      <c r="L38" s="14">
        <v>2.5</v>
      </c>
      <c r="M38" s="2">
        <f>MROUND(K38*0.85,1)</f>
        <v>733</v>
      </c>
      <c r="N38" s="14">
        <v>3</v>
      </c>
      <c r="O38" s="2">
        <f>K38*2.5</f>
        <v>2155</v>
      </c>
      <c r="P38" s="2">
        <f>M38*3</f>
        <v>2199</v>
      </c>
      <c r="Q38" s="2">
        <f>O38+P38-J38</f>
        <v>2759.1839738216504</v>
      </c>
      <c r="R38" s="16">
        <f t="shared" si="1"/>
        <v>2</v>
      </c>
      <c r="S38" s="2">
        <f t="shared" si="4"/>
        <v>3000</v>
      </c>
      <c r="T38" s="2">
        <f>SUM($S$2:S38)</f>
        <v>21000</v>
      </c>
      <c r="U38" s="2">
        <f>U37-S38</f>
        <v>-19500</v>
      </c>
    </row>
    <row r="39" spans="1:21">
      <c r="A39" s="3">
        <v>46060</v>
      </c>
      <c r="B39" s="2">
        <f t="shared" si="2"/>
        <v>-24500</v>
      </c>
      <c r="E39" s="2">
        <f t="shared" si="3"/>
        <v>-24500</v>
      </c>
      <c r="G39" s="12">
        <v>38</v>
      </c>
      <c r="H39" s="2">
        <f>H38+Q38-S38</f>
        <v>26339.451076794147</v>
      </c>
      <c r="I39" s="13">
        <v>0.06</v>
      </c>
      <c r="J39" s="2">
        <f>H39*I39</f>
        <v>1580.3670646076487</v>
      </c>
      <c r="K39" s="2">
        <f>MROUND(J39/1.85,1)</f>
        <v>854</v>
      </c>
      <c r="L39" s="14">
        <v>2.5</v>
      </c>
      <c r="M39" s="2">
        <f>MROUND(K39*0.85,1)</f>
        <v>726</v>
      </c>
      <c r="N39" s="14">
        <v>3</v>
      </c>
      <c r="O39" s="2">
        <f>K39*2.5</f>
        <v>2135</v>
      </c>
      <c r="P39" s="2">
        <f>M39*3</f>
        <v>2178</v>
      </c>
      <c r="Q39" s="2">
        <f>O39+P39-J39</f>
        <v>2732.6329353923511</v>
      </c>
      <c r="R39" s="16">
        <f t="shared" si="1"/>
        <v>2</v>
      </c>
      <c r="S39" s="2">
        <f t="shared" si="4"/>
        <v>3000</v>
      </c>
      <c r="T39" s="2">
        <f>SUM($S$2:S39)</f>
        <v>24000</v>
      </c>
      <c r="U39" s="2">
        <f>U38-S39</f>
        <v>-22500</v>
      </c>
    </row>
    <row r="40" spans="1:21">
      <c r="A40" s="3">
        <v>46061</v>
      </c>
      <c r="B40" s="2">
        <f t="shared" si="2"/>
        <v>-24500</v>
      </c>
      <c r="E40" s="2">
        <f t="shared" si="3"/>
        <v>-24500</v>
      </c>
      <c r="G40" s="12">
        <v>39</v>
      </c>
      <c r="H40" s="2">
        <f>H39+Q39-S39</f>
        <v>26072.084012186497</v>
      </c>
      <c r="I40" s="13">
        <v>0.06</v>
      </c>
      <c r="J40" s="2">
        <f>H40*I40</f>
        <v>1564.3250407311898</v>
      </c>
      <c r="K40" s="2">
        <f>MROUND(J40/1.85,1)</f>
        <v>846</v>
      </c>
      <c r="L40" s="14">
        <v>2.5</v>
      </c>
      <c r="M40" s="2">
        <f>MROUND(K40*0.85,1)</f>
        <v>719</v>
      </c>
      <c r="N40" s="14">
        <v>3</v>
      </c>
      <c r="O40" s="2">
        <f>K40*2.5</f>
        <v>2115</v>
      </c>
      <c r="P40" s="2">
        <f>M40*3</f>
        <v>2157</v>
      </c>
      <c r="Q40" s="2">
        <f>O40+P40-J40</f>
        <v>2707.6749592688102</v>
      </c>
      <c r="R40" s="16">
        <f t="shared" si="1"/>
        <v>2</v>
      </c>
      <c r="S40" s="2">
        <f t="shared" si="4"/>
        <v>3000</v>
      </c>
      <c r="T40" s="2">
        <f>SUM($S$2:S40)</f>
        <v>27000</v>
      </c>
      <c r="U40" s="2">
        <f>U39-S40</f>
        <v>-25500</v>
      </c>
    </row>
    <row r="41" spans="1:21">
      <c r="A41" s="3">
        <v>46062</v>
      </c>
      <c r="B41" s="2">
        <f t="shared" si="2"/>
        <v>-24500</v>
      </c>
      <c r="E41" s="2">
        <f t="shared" si="3"/>
        <v>-24500</v>
      </c>
      <c r="G41" s="12">
        <v>40</v>
      </c>
      <c r="H41" s="2">
        <f>H40+Q40-S40</f>
        <v>25779.758971455307</v>
      </c>
      <c r="I41" s="13">
        <v>0.06</v>
      </c>
      <c r="J41" s="2">
        <f>H41*I41</f>
        <v>1546.7855382873183</v>
      </c>
      <c r="K41" s="2">
        <f>MROUND(J41/1.85,1)</f>
        <v>836</v>
      </c>
      <c r="L41" s="14">
        <v>2.5</v>
      </c>
      <c r="M41" s="2">
        <f>MROUND(K41*0.85,1)</f>
        <v>711</v>
      </c>
      <c r="N41" s="14">
        <v>3</v>
      </c>
      <c r="O41" s="2">
        <f>K41*2.5</f>
        <v>2090</v>
      </c>
      <c r="P41" s="2">
        <f>M41*3</f>
        <v>2133</v>
      </c>
      <c r="Q41" s="2">
        <f>O41+P41-J41</f>
        <v>2676.2144617126814</v>
      </c>
      <c r="R41" s="16">
        <f t="shared" si="1"/>
        <v>2</v>
      </c>
      <c r="S41" s="2">
        <f t="shared" si="4"/>
        <v>3000</v>
      </c>
      <c r="T41" s="2">
        <f>SUM($S$2:S41)</f>
        <v>30000</v>
      </c>
      <c r="U41" s="2">
        <f>U40-S41</f>
        <v>-28500</v>
      </c>
    </row>
    <row r="42" spans="1:21">
      <c r="A42" s="3">
        <v>46063</v>
      </c>
      <c r="B42" s="2">
        <f t="shared" si="2"/>
        <v>-24500</v>
      </c>
      <c r="E42" s="2">
        <f t="shared" si="3"/>
        <v>-24500</v>
      </c>
      <c r="G42" s="12">
        <v>41</v>
      </c>
      <c r="H42" s="2">
        <f>H41+Q41-S41</f>
        <v>25455.973433167987</v>
      </c>
      <c r="I42" s="13">
        <v>0.06</v>
      </c>
      <c r="J42" s="2">
        <f>H42*I42</f>
        <v>1527.3584059900791</v>
      </c>
      <c r="K42" s="2">
        <f>MROUND(J42/1.85,1)</f>
        <v>826</v>
      </c>
      <c r="L42" s="14">
        <v>2.5</v>
      </c>
      <c r="M42" s="2">
        <f>MROUND(K42*0.85,1)</f>
        <v>702</v>
      </c>
      <c r="N42" s="14">
        <v>3</v>
      </c>
      <c r="O42" s="2">
        <f>K42*2.5</f>
        <v>2065</v>
      </c>
      <c r="P42" s="2">
        <f>M42*3</f>
        <v>2106</v>
      </c>
      <c r="Q42" s="2">
        <f>O42+P42-J42</f>
        <v>2643.6415940099209</v>
      </c>
      <c r="R42" s="16">
        <f t="shared" si="1"/>
        <v>2</v>
      </c>
      <c r="S42" s="2">
        <f t="shared" si="4"/>
        <v>3000</v>
      </c>
      <c r="T42" s="2">
        <f>SUM($S$2:S42)</f>
        <v>33000</v>
      </c>
      <c r="U42" s="2">
        <f>U41-S42</f>
        <v>-31500</v>
      </c>
    </row>
    <row r="43" spans="1:21">
      <c r="A43" s="3">
        <v>46064</v>
      </c>
      <c r="B43" s="2">
        <f t="shared" si="2"/>
        <v>-24500</v>
      </c>
      <c r="E43" s="2">
        <f t="shared" si="3"/>
        <v>-24500</v>
      </c>
      <c r="G43" s="12">
        <v>42</v>
      </c>
      <c r="H43" s="2">
        <f>H42+Q42-S42</f>
        <v>25099.615027177908</v>
      </c>
      <c r="I43" s="13">
        <v>0.06</v>
      </c>
      <c r="J43" s="2">
        <f>H43*I43</f>
        <v>1505.9769016306743</v>
      </c>
      <c r="K43" s="2">
        <f>MROUND(J43/1.85,1)</f>
        <v>814</v>
      </c>
      <c r="L43" s="14">
        <v>2.5</v>
      </c>
      <c r="M43" s="2">
        <f>MROUND(K43*0.85,1)</f>
        <v>692</v>
      </c>
      <c r="N43" s="14">
        <v>3</v>
      </c>
      <c r="O43" s="2">
        <f>K43*2.5</f>
        <v>2035</v>
      </c>
      <c r="P43" s="2">
        <f>M43*3</f>
        <v>2076</v>
      </c>
      <c r="Q43" s="2">
        <f>O43+P43-J43</f>
        <v>2605.0230983693255</v>
      </c>
      <c r="R43" s="16">
        <f t="shared" si="1"/>
        <v>2</v>
      </c>
      <c r="S43" s="2">
        <f t="shared" si="4"/>
        <v>3000</v>
      </c>
      <c r="T43" s="2">
        <f>SUM($S$2:S43)</f>
        <v>36000</v>
      </c>
      <c r="U43" s="2">
        <f>U42-S43</f>
        <v>-34500</v>
      </c>
    </row>
    <row r="44" spans="1:21">
      <c r="A44" s="3">
        <v>46065</v>
      </c>
      <c r="B44" s="2">
        <f t="shared" si="2"/>
        <v>-24500</v>
      </c>
      <c r="E44" s="2">
        <f t="shared" si="3"/>
        <v>-24500</v>
      </c>
      <c r="G44" s="12">
        <v>43</v>
      </c>
      <c r="H44" s="2">
        <f>H43+Q43-S43</f>
        <v>24704.638125547233</v>
      </c>
      <c r="I44" s="13">
        <v>0.06</v>
      </c>
      <c r="J44" s="2">
        <f>H44*I44</f>
        <v>1482.2782875328339</v>
      </c>
      <c r="K44" s="2">
        <f>MROUND(J44/1.85,1)</f>
        <v>801</v>
      </c>
      <c r="L44" s="14">
        <v>2.5</v>
      </c>
      <c r="M44" s="2">
        <f>MROUND(K44*0.85,1)</f>
        <v>681</v>
      </c>
      <c r="N44" s="14">
        <v>3</v>
      </c>
      <c r="O44" s="2">
        <f>K44*2.5</f>
        <v>2002.5</v>
      </c>
      <c r="P44" s="2">
        <f>M44*3</f>
        <v>2043</v>
      </c>
      <c r="Q44" s="2">
        <f>O44+P44-J44</f>
        <v>2563.2217124671661</v>
      </c>
      <c r="R44" s="16">
        <f t="shared" si="1"/>
        <v>2</v>
      </c>
      <c r="S44" s="2">
        <f t="shared" si="4"/>
        <v>3000</v>
      </c>
      <c r="T44" s="2">
        <f>SUM($S$2:S44)</f>
        <v>39000</v>
      </c>
      <c r="U44" s="2">
        <f>U43-S44</f>
        <v>-37500</v>
      </c>
    </row>
    <row r="45" spans="1:21">
      <c r="A45" s="3">
        <v>46066</v>
      </c>
      <c r="B45" s="2">
        <f t="shared" si="2"/>
        <v>-24500</v>
      </c>
      <c r="E45" s="2">
        <f t="shared" si="3"/>
        <v>-24500</v>
      </c>
      <c r="G45" s="12">
        <v>44</v>
      </c>
      <c r="H45" s="2">
        <f>H44+Q44-S44</f>
        <v>24267.859838014399</v>
      </c>
      <c r="I45" s="13">
        <v>0.06</v>
      </c>
      <c r="J45" s="2">
        <f>H45*I45</f>
        <v>1456.0715902808638</v>
      </c>
      <c r="K45" s="2">
        <f>MROUND(J45/1.85,1)</f>
        <v>787</v>
      </c>
      <c r="L45" s="14">
        <v>2.5</v>
      </c>
      <c r="M45" s="2">
        <f>MROUND(K45*0.85,1)</f>
        <v>669</v>
      </c>
      <c r="N45" s="14">
        <v>3</v>
      </c>
      <c r="O45" s="2">
        <f>K45*2.5</f>
        <v>1967.5</v>
      </c>
      <c r="P45" s="2">
        <f>M45*3</f>
        <v>2007</v>
      </c>
      <c r="Q45" s="2">
        <f>O45+P45-J45</f>
        <v>2518.4284097191362</v>
      </c>
      <c r="R45" s="16">
        <f t="shared" si="1"/>
        <v>2</v>
      </c>
      <c r="S45" s="2">
        <f t="shared" si="4"/>
        <v>3000</v>
      </c>
      <c r="T45" s="2">
        <f>SUM($S$2:S45)</f>
        <v>42000</v>
      </c>
      <c r="U45" s="2">
        <f>U44-S45</f>
        <v>-40500</v>
      </c>
    </row>
    <row r="46" spans="1:21">
      <c r="A46" s="3">
        <v>46067</v>
      </c>
      <c r="B46" s="2">
        <f t="shared" si="2"/>
        <v>-24500</v>
      </c>
      <c r="E46" s="2">
        <f t="shared" si="3"/>
        <v>-24500</v>
      </c>
      <c r="G46" s="12">
        <v>45</v>
      </c>
      <c r="H46" s="2">
        <f>H45+Q45-S45</f>
        <v>23786.288247733537</v>
      </c>
      <c r="I46" s="13">
        <v>0.06</v>
      </c>
      <c r="J46" s="2">
        <f>H46*I46</f>
        <v>1427.1772948640121</v>
      </c>
      <c r="K46" s="2">
        <f>MROUND(J46/1.85,1)</f>
        <v>771</v>
      </c>
      <c r="L46" s="14">
        <v>2.5</v>
      </c>
      <c r="M46" s="2">
        <f>MROUND(K46*0.85,1)</f>
        <v>655</v>
      </c>
      <c r="N46" s="14">
        <v>3</v>
      </c>
      <c r="O46" s="2">
        <f>K46*2.5</f>
        <v>1927.5</v>
      </c>
      <c r="P46" s="2">
        <f>M46*3</f>
        <v>1965</v>
      </c>
      <c r="Q46" s="2">
        <f>O46+P46-J46</f>
        <v>2465.3227051359881</v>
      </c>
      <c r="R46" s="16">
        <f t="shared" si="1"/>
        <v>2</v>
      </c>
      <c r="S46" s="2">
        <f t="shared" si="4"/>
        <v>0</v>
      </c>
      <c r="T46" s="2">
        <f>SUM($S$2:S46)</f>
        <v>42000</v>
      </c>
      <c r="U46" s="2">
        <f>U45-S46</f>
        <v>-40500</v>
      </c>
    </row>
    <row r="47" spans="1:21">
      <c r="A47" s="3">
        <v>46068</v>
      </c>
      <c r="B47" s="2">
        <f t="shared" si="2"/>
        <v>-24500</v>
      </c>
      <c r="E47" s="2">
        <f t="shared" si="3"/>
        <v>-24500</v>
      </c>
      <c r="G47" s="12">
        <v>46</v>
      </c>
      <c r="H47" s="2">
        <f>H46+Q46-S46</f>
        <v>26251.610952869523</v>
      </c>
      <c r="I47" s="13">
        <v>0.06</v>
      </c>
      <c r="J47" s="2">
        <f>H47*I47</f>
        <v>1575.0966571721713</v>
      </c>
      <c r="K47" s="2">
        <f>MROUND(J47/1.85,1)</f>
        <v>851</v>
      </c>
      <c r="L47" s="14">
        <v>2.5</v>
      </c>
      <c r="M47" s="2">
        <f>MROUND(K47*0.85,1)</f>
        <v>723</v>
      </c>
      <c r="N47" s="14">
        <v>3</v>
      </c>
      <c r="O47" s="2">
        <f>K47*2.5</f>
        <v>2127.5</v>
      </c>
      <c r="P47" s="2">
        <f>M47*3</f>
        <v>2169</v>
      </c>
      <c r="Q47" s="2">
        <f>O47+P47-J47</f>
        <v>2721.403342827829</v>
      </c>
      <c r="R47" s="16">
        <f t="shared" si="1"/>
        <v>2</v>
      </c>
      <c r="S47" s="2">
        <f t="shared" si="4"/>
        <v>3000</v>
      </c>
      <c r="T47" s="2">
        <f>SUM($S$2:S47)</f>
        <v>45000</v>
      </c>
      <c r="U47" s="2">
        <f>U46-S47</f>
        <v>-43500</v>
      </c>
    </row>
    <row r="48" spans="1:21">
      <c r="G48" s="12">
        <v>47</v>
      </c>
      <c r="H48" s="2">
        <f>H47+Q47-S47</f>
        <v>25973.01429569735</v>
      </c>
      <c r="I48" s="13">
        <v>0.06</v>
      </c>
      <c r="J48" s="2">
        <f>H48*I48</f>
        <v>1558.3808577418411</v>
      </c>
      <c r="K48" s="2">
        <f>MROUND(J48/1.85,1)</f>
        <v>842</v>
      </c>
      <c r="L48" s="14">
        <v>2.5</v>
      </c>
      <c r="M48" s="2">
        <f>MROUND(K48*0.85,1)</f>
        <v>716</v>
      </c>
      <c r="N48" s="14">
        <v>3</v>
      </c>
      <c r="O48" s="2">
        <f>K48*2.5</f>
        <v>2105</v>
      </c>
      <c r="P48" s="2">
        <f>M48*3</f>
        <v>2148</v>
      </c>
      <c r="Q48" s="2">
        <f>O48+P48-J48</f>
        <v>2694.6191422581587</v>
      </c>
      <c r="R48" s="16">
        <f t="shared" si="1"/>
        <v>2</v>
      </c>
      <c r="S48" s="2">
        <f t="shared" si="4"/>
        <v>3000</v>
      </c>
      <c r="T48" s="2">
        <f>SUM($S$2:S48)</f>
        <v>48000</v>
      </c>
      <c r="U48" s="2">
        <f>U47-S48</f>
        <v>-46500</v>
      </c>
    </row>
    <row r="49" spans="3:21">
      <c r="G49" s="12">
        <v>48</v>
      </c>
      <c r="H49" s="2">
        <f>H48+Q48-S48</f>
        <v>25667.633437955508</v>
      </c>
      <c r="I49" s="13">
        <v>0.06</v>
      </c>
      <c r="J49" s="2">
        <f>H49*I49</f>
        <v>1540.0580062773304</v>
      </c>
      <c r="K49" s="2">
        <f>MROUND(J49/1.85,1)</f>
        <v>832</v>
      </c>
      <c r="L49" s="14">
        <v>2.5</v>
      </c>
      <c r="M49" s="2">
        <f>MROUND(K49*0.85,1)</f>
        <v>707</v>
      </c>
      <c r="N49" s="14">
        <v>3</v>
      </c>
      <c r="O49" s="2">
        <f>K49*2.5</f>
        <v>2080</v>
      </c>
      <c r="P49" s="2">
        <f>M49*3</f>
        <v>2121</v>
      </c>
      <c r="Q49" s="2">
        <f>O49+P49-J49</f>
        <v>2660.9419937226694</v>
      </c>
      <c r="R49" s="16">
        <f t="shared" si="1"/>
        <v>2</v>
      </c>
      <c r="S49" s="2">
        <f t="shared" si="4"/>
        <v>3000</v>
      </c>
      <c r="T49" s="2">
        <f>SUM($S$2:S49)</f>
        <v>51000</v>
      </c>
      <c r="U49" s="2">
        <f>U48-S49</f>
        <v>-49500</v>
      </c>
    </row>
    <row r="50" spans="3:21">
      <c r="C50" s="2">
        <v>-50000</v>
      </c>
      <c r="D50" s="1" t="s">
        <v>23</v>
      </c>
      <c r="G50" s="12">
        <v>49</v>
      </c>
      <c r="H50" s="2">
        <f>H49+Q49-S49</f>
        <v>25328.575431678179</v>
      </c>
      <c r="I50" s="13">
        <v>0.06</v>
      </c>
      <c r="J50" s="2">
        <f>H50*I50</f>
        <v>1519.7145259006907</v>
      </c>
      <c r="K50" s="2">
        <f>MROUND(J50/1.85,1)</f>
        <v>821</v>
      </c>
      <c r="L50" s="14">
        <v>2.5</v>
      </c>
      <c r="M50" s="2">
        <f>MROUND(K50*0.85,1)</f>
        <v>698</v>
      </c>
      <c r="N50" s="14">
        <v>3</v>
      </c>
      <c r="O50" s="2">
        <f>K50*2.5</f>
        <v>2052.5</v>
      </c>
      <c r="P50" s="2">
        <f>M50*3</f>
        <v>2094</v>
      </c>
      <c r="Q50" s="2">
        <f>O50+P50-J50</f>
        <v>2626.7854740993093</v>
      </c>
      <c r="R50" s="16">
        <f t="shared" si="1"/>
        <v>2</v>
      </c>
      <c r="S50" s="2">
        <f t="shared" si="4"/>
        <v>3000</v>
      </c>
      <c r="T50" s="2">
        <f>SUM($S$2:S50)</f>
        <v>54000</v>
      </c>
      <c r="U50" s="2">
        <f>U49-S50</f>
        <v>-52500</v>
      </c>
    </row>
    <row r="51" spans="3:21">
      <c r="C51" s="2">
        <v>-43100</v>
      </c>
      <c r="D51" s="1" t="s">
        <v>24</v>
      </c>
      <c r="G51" s="12">
        <v>50</v>
      </c>
      <c r="H51" s="2">
        <f>H50+Q50-S50</f>
        <v>24955.360905777488</v>
      </c>
      <c r="I51" s="13">
        <v>0.06</v>
      </c>
      <c r="J51" s="2">
        <f>H51*I51</f>
        <v>1497.3216543466492</v>
      </c>
      <c r="K51" s="2">
        <f>MROUND(J51/1.85,1)</f>
        <v>809</v>
      </c>
      <c r="L51" s="14">
        <v>2.5</v>
      </c>
      <c r="M51" s="2">
        <f>MROUND(K51*0.85,1)</f>
        <v>688</v>
      </c>
      <c r="N51" s="14">
        <v>3</v>
      </c>
      <c r="O51" s="2">
        <f>K51*2.5</f>
        <v>2022.5</v>
      </c>
      <c r="P51" s="2">
        <f>M51*3</f>
        <v>2064</v>
      </c>
      <c r="Q51" s="2">
        <f>O51+P51-J51</f>
        <v>2589.1783456533508</v>
      </c>
      <c r="R51" s="16">
        <f t="shared" si="1"/>
        <v>2</v>
      </c>
      <c r="S51" s="2">
        <f t="shared" si="4"/>
        <v>3000</v>
      </c>
      <c r="T51" s="2">
        <f>SUM($S$2:S51)</f>
        <v>57000</v>
      </c>
      <c r="U51" s="2">
        <f>U50-S51</f>
        <v>-55500</v>
      </c>
    </row>
    <row r="52" spans="3:21">
      <c r="C52" s="2">
        <v>-13700</v>
      </c>
      <c r="D52" s="1" t="s">
        <v>25</v>
      </c>
      <c r="G52" s="12">
        <v>51</v>
      </c>
      <c r="H52" s="2">
        <f>H51+Q51-S51</f>
        <v>24544.539251430841</v>
      </c>
      <c r="I52" s="13">
        <v>0.06</v>
      </c>
      <c r="J52" s="2">
        <f>H52*I52</f>
        <v>1472.6723550858503</v>
      </c>
      <c r="K52" s="2">
        <f>MROUND(J52/1.85,1)</f>
        <v>796</v>
      </c>
      <c r="L52" s="14">
        <v>2.5</v>
      </c>
      <c r="M52" s="2">
        <f>MROUND(K52*0.85,1)</f>
        <v>677</v>
      </c>
      <c r="N52" s="14">
        <v>3</v>
      </c>
      <c r="O52" s="2">
        <f>K52*2.5</f>
        <v>1990</v>
      </c>
      <c r="P52" s="2">
        <f>M52*3</f>
        <v>2031</v>
      </c>
      <c r="Q52" s="2">
        <f>O52+P52-J52</f>
        <v>2548.3276449141495</v>
      </c>
      <c r="R52" s="16">
        <f t="shared" si="1"/>
        <v>2</v>
      </c>
      <c r="S52" s="2">
        <f t="shared" si="4"/>
        <v>3000</v>
      </c>
      <c r="T52" s="2">
        <f>SUM($S$2:S52)</f>
        <v>60000</v>
      </c>
      <c r="U52" s="2">
        <f>U51-S52</f>
        <v>-58500</v>
      </c>
    </row>
    <row r="53" spans="3:21">
      <c r="G53" s="12">
        <v>52</v>
      </c>
      <c r="H53" s="2">
        <f>H52+Q52-S52</f>
        <v>24092.866896344989</v>
      </c>
      <c r="I53" s="13">
        <v>0.06</v>
      </c>
      <c r="J53" s="2">
        <f>H53*I53</f>
        <v>1445.5720137806993</v>
      </c>
      <c r="K53" s="2">
        <f>MROUND(J53/1.85,1)</f>
        <v>781</v>
      </c>
      <c r="L53" s="14">
        <v>2.5</v>
      </c>
      <c r="M53" s="2">
        <f>MROUND(K53*0.85,1)</f>
        <v>664</v>
      </c>
      <c r="N53" s="14">
        <v>3</v>
      </c>
      <c r="O53" s="2">
        <f>K53*2.5</f>
        <v>1952.5</v>
      </c>
      <c r="P53" s="2">
        <f>M53*3</f>
        <v>1992</v>
      </c>
      <c r="Q53" s="2">
        <f>O53+P53-J53</f>
        <v>2498.9279862193007</v>
      </c>
      <c r="R53" s="16">
        <f t="shared" si="1"/>
        <v>2</v>
      </c>
      <c r="S53" s="2">
        <f t="shared" si="4"/>
        <v>0</v>
      </c>
      <c r="T53" s="2">
        <f>SUM($S$2:S53)</f>
        <v>60000</v>
      </c>
      <c r="U53" s="2">
        <f>U52-S53</f>
        <v>-58500</v>
      </c>
    </row>
    <row r="54" spans="3:21">
      <c r="G54" s="12">
        <v>53</v>
      </c>
      <c r="H54" s="2">
        <f>H53+Q53-S53</f>
        <v>26591.794882564289</v>
      </c>
      <c r="I54" s="13">
        <v>0.06</v>
      </c>
      <c r="J54" s="2">
        <f>H54*I54</f>
        <v>1595.5076929538573</v>
      </c>
      <c r="K54" s="2">
        <f>MROUND(J54/1.85,1)</f>
        <v>862</v>
      </c>
      <c r="L54" s="14">
        <v>2.5</v>
      </c>
      <c r="M54" s="2">
        <f>MROUND(K54*0.85,1)</f>
        <v>733</v>
      </c>
      <c r="N54" s="14">
        <v>3</v>
      </c>
      <c r="O54" s="2">
        <f>K54*2.5</f>
        <v>2155</v>
      </c>
      <c r="P54" s="2">
        <f>M54*3</f>
        <v>2199</v>
      </c>
      <c r="Q54" s="2">
        <f>O54+P54-J54</f>
        <v>2758.4923070461427</v>
      </c>
      <c r="R54" s="16">
        <f t="shared" si="1"/>
        <v>2</v>
      </c>
      <c r="S54" s="2">
        <f t="shared" si="4"/>
        <v>3000</v>
      </c>
      <c r="T54" s="2">
        <f>SUM($S$2:S54)</f>
        <v>63000</v>
      </c>
      <c r="U54" s="2">
        <f>U53-S54</f>
        <v>-61500</v>
      </c>
    </row>
    <row r="55" spans="3:21">
      <c r="D55" s="6"/>
      <c r="G55" s="12">
        <v>54</v>
      </c>
      <c r="H55" s="2">
        <f>H54+Q54-S54</f>
        <v>26350.287189610433</v>
      </c>
      <c r="I55" s="13">
        <v>0.06</v>
      </c>
      <c r="J55" s="2">
        <f>H55*I55</f>
        <v>1581.0172313766259</v>
      </c>
      <c r="K55" s="2">
        <f>MROUND(J55/1.85,1)</f>
        <v>855</v>
      </c>
      <c r="L55" s="14">
        <v>2.5</v>
      </c>
      <c r="M55" s="2">
        <f>MROUND(K55*0.85,1)</f>
        <v>727</v>
      </c>
      <c r="N55" s="14">
        <v>3</v>
      </c>
      <c r="O55" s="2">
        <f>K55*2.5</f>
        <v>2137.5</v>
      </c>
      <c r="P55" s="2">
        <f>M55*3</f>
        <v>2181</v>
      </c>
      <c r="Q55" s="2">
        <f>O55+P55-J55</f>
        <v>2737.4827686233739</v>
      </c>
      <c r="R55" s="16">
        <f t="shared" si="1"/>
        <v>2</v>
      </c>
      <c r="S55" s="2">
        <f t="shared" si="4"/>
        <v>3000</v>
      </c>
      <c r="T55" s="2">
        <f>SUM($S$2:S55)</f>
        <v>66000</v>
      </c>
      <c r="U55" s="2">
        <f>U54-S55</f>
        <v>-64500</v>
      </c>
    </row>
    <row r="56" spans="3:21">
      <c r="C56" s="2">
        <v>-5000</v>
      </c>
      <c r="D56" s="6" t="s">
        <v>26</v>
      </c>
      <c r="G56" s="12">
        <v>55</v>
      </c>
      <c r="H56" s="2">
        <f>H55+Q55-S55</f>
        <v>26087.769958233806</v>
      </c>
      <c r="I56" s="13">
        <v>0.06</v>
      </c>
      <c r="J56" s="2">
        <f>H56*I56</f>
        <v>1565.2661974940283</v>
      </c>
      <c r="K56" s="2">
        <f>MROUND(J56/1.85,1)</f>
        <v>846</v>
      </c>
      <c r="L56" s="14">
        <v>2.5</v>
      </c>
      <c r="M56" s="2">
        <f>MROUND(K56*0.85,1)</f>
        <v>719</v>
      </c>
      <c r="N56" s="14">
        <v>3</v>
      </c>
      <c r="O56" s="2">
        <f>K56*2.5</f>
        <v>2115</v>
      </c>
      <c r="P56" s="2">
        <f>M56*3</f>
        <v>2157</v>
      </c>
      <c r="Q56" s="2">
        <f>O56+P56-J56</f>
        <v>2706.7338025059717</v>
      </c>
      <c r="R56" s="16">
        <f t="shared" si="1"/>
        <v>2</v>
      </c>
      <c r="S56" s="2">
        <f t="shared" si="4"/>
        <v>3000</v>
      </c>
      <c r="T56" s="2">
        <f>SUM($S$2:S56)</f>
        <v>69000</v>
      </c>
      <c r="U56" s="2">
        <f>U55-S56</f>
        <v>-67500</v>
      </c>
    </row>
    <row r="57" spans="3:21">
      <c r="C57" s="2">
        <v>7500</v>
      </c>
      <c r="D57" s="1" t="s">
        <v>19</v>
      </c>
      <c r="G57" s="12">
        <v>56</v>
      </c>
      <c r="H57" s="2">
        <f>H56+Q56-S56</f>
        <v>25794.503760739779</v>
      </c>
      <c r="I57" s="13">
        <v>0.06</v>
      </c>
      <c r="J57" s="2">
        <f>H57*I57</f>
        <v>1547.6702256443866</v>
      </c>
      <c r="K57" s="2">
        <f>MROUND(J57/1.85,1)</f>
        <v>837</v>
      </c>
      <c r="L57" s="14">
        <v>2.5</v>
      </c>
      <c r="M57" s="2">
        <f>MROUND(K57*0.85,1)</f>
        <v>711</v>
      </c>
      <c r="N57" s="14">
        <v>3</v>
      </c>
      <c r="O57" s="2">
        <f>K57*2.5</f>
        <v>2092.5</v>
      </c>
      <c r="P57" s="2">
        <f>M57*3</f>
        <v>2133</v>
      </c>
      <c r="Q57" s="2">
        <f>O57+P57-J57</f>
        <v>2677.8297743556132</v>
      </c>
      <c r="R57" s="16">
        <f t="shared" si="1"/>
        <v>2</v>
      </c>
      <c r="S57" s="2">
        <f t="shared" si="4"/>
        <v>3000</v>
      </c>
      <c r="T57" s="2">
        <f>SUM($S$2:S57)</f>
        <v>72000</v>
      </c>
      <c r="U57" s="2">
        <f>U56-S57</f>
        <v>-70500</v>
      </c>
    </row>
    <row r="58" spans="3:21">
      <c r="G58" s="12">
        <v>57</v>
      </c>
      <c r="H58" s="2">
        <f>H57+Q57-S57</f>
        <v>25472.333535095393</v>
      </c>
      <c r="I58" s="13">
        <v>0.06</v>
      </c>
      <c r="J58" s="2">
        <f>H58*I58</f>
        <v>1528.3400121057234</v>
      </c>
      <c r="K58" s="2">
        <f>MROUND(J58/1.85,1)</f>
        <v>826</v>
      </c>
      <c r="L58" s="14">
        <v>2.5</v>
      </c>
      <c r="M58" s="2">
        <f>MROUND(K58*0.85,1)</f>
        <v>702</v>
      </c>
      <c r="N58" s="14">
        <v>3</v>
      </c>
      <c r="O58" s="2">
        <f>K58*2.5</f>
        <v>2065</v>
      </c>
      <c r="P58" s="2">
        <f>M58*3</f>
        <v>2106</v>
      </c>
      <c r="Q58" s="2">
        <f>O58+P58-J58</f>
        <v>2642.6599878942766</v>
      </c>
      <c r="R58" s="16">
        <f t="shared" si="1"/>
        <v>2</v>
      </c>
      <c r="S58" s="2">
        <f t="shared" si="4"/>
        <v>3000</v>
      </c>
      <c r="T58" s="2">
        <f>SUM($S$2:S58)</f>
        <v>75000</v>
      </c>
      <c r="U58" s="2">
        <f>U57-S58</f>
        <v>-73500</v>
      </c>
    </row>
    <row r="59" spans="3:21">
      <c r="G59" s="12">
        <v>58</v>
      </c>
      <c r="H59" s="2">
        <f>H58+Q58-S58</f>
        <v>25114.993522989669</v>
      </c>
      <c r="I59" s="13">
        <v>0.06</v>
      </c>
      <c r="J59" s="2">
        <f>H59*I59</f>
        <v>1506.8996113793801</v>
      </c>
      <c r="K59" s="2">
        <f>MROUND(J59/1.85,1)</f>
        <v>815</v>
      </c>
      <c r="L59" s="14">
        <v>2.5</v>
      </c>
      <c r="M59" s="2">
        <f>MROUND(K59*0.85,1)</f>
        <v>693</v>
      </c>
      <c r="N59" s="14">
        <v>3</v>
      </c>
      <c r="O59" s="2">
        <f>K59*2.5</f>
        <v>2037.5</v>
      </c>
      <c r="P59" s="2">
        <f>M59*3</f>
        <v>2079</v>
      </c>
      <c r="Q59" s="2">
        <f>O59+P59-J59</f>
        <v>2609.6003886206199</v>
      </c>
      <c r="R59" s="16">
        <f t="shared" si="1"/>
        <v>2</v>
      </c>
      <c r="S59" s="2">
        <f t="shared" si="4"/>
        <v>3000</v>
      </c>
      <c r="T59" s="2">
        <f>SUM($S$2:S59)</f>
        <v>78000</v>
      </c>
      <c r="U59" s="2">
        <f>U58-S59</f>
        <v>-76500</v>
      </c>
    </row>
    <row r="60" spans="3:21">
      <c r="G60" s="12">
        <v>59</v>
      </c>
      <c r="H60" s="2">
        <f>H59+Q59-S59</f>
        <v>24724.593911610289</v>
      </c>
      <c r="I60" s="13">
        <v>0.06</v>
      </c>
      <c r="J60" s="2">
        <f>H60*I60</f>
        <v>1483.4756346966174</v>
      </c>
      <c r="K60" s="2">
        <f>MROUND(J60/1.85,1)</f>
        <v>802</v>
      </c>
      <c r="L60" s="14">
        <v>2.5</v>
      </c>
      <c r="M60" s="2">
        <f>MROUND(K60*0.85,1)</f>
        <v>682</v>
      </c>
      <c r="N60" s="14">
        <v>3</v>
      </c>
      <c r="O60" s="2">
        <f>K60*2.5</f>
        <v>2005</v>
      </c>
      <c r="P60" s="2">
        <f>M60*3</f>
        <v>2046</v>
      </c>
      <c r="Q60" s="2">
        <f>O60+P60-J60</f>
        <v>2567.5243653033826</v>
      </c>
      <c r="R60" s="16">
        <f t="shared" si="1"/>
        <v>2</v>
      </c>
      <c r="S60" s="2">
        <f t="shared" si="4"/>
        <v>3000</v>
      </c>
      <c r="T60" s="2">
        <f>SUM($S$2:S60)</f>
        <v>81000</v>
      </c>
      <c r="U60" s="2">
        <f>U59-S60</f>
        <v>-79500</v>
      </c>
    </row>
    <row r="61" spans="3:21">
      <c r="G61" s="12">
        <v>60</v>
      </c>
      <c r="H61" s="2">
        <f>H60+Q60-S60</f>
        <v>24292.118276913672</v>
      </c>
      <c r="I61" s="13">
        <v>0.06</v>
      </c>
      <c r="J61" s="2">
        <f>H61*I61</f>
        <v>1457.5270966148203</v>
      </c>
      <c r="K61" s="2">
        <f>MROUND(J61/1.85,1)</f>
        <v>788</v>
      </c>
      <c r="L61" s="14">
        <v>2.5</v>
      </c>
      <c r="M61" s="2">
        <f>MROUND(K61*0.85,1)</f>
        <v>670</v>
      </c>
      <c r="N61" s="14">
        <v>3</v>
      </c>
      <c r="O61" s="2">
        <f>K61*2.5</f>
        <v>1970</v>
      </c>
      <c r="P61" s="2">
        <f>M61*3</f>
        <v>2010</v>
      </c>
      <c r="Q61" s="2">
        <f>O61+P61-J61</f>
        <v>2522.47290338518</v>
      </c>
      <c r="R61" s="16">
        <f t="shared" si="1"/>
        <v>2</v>
      </c>
      <c r="S61" s="2">
        <f t="shared" si="4"/>
        <v>3000</v>
      </c>
      <c r="T61" s="2">
        <f>SUM($S$2:S61)</f>
        <v>84000</v>
      </c>
      <c r="U61" s="2">
        <f>U60-S61</f>
        <v>-82500</v>
      </c>
    </row>
    <row r="62" spans="3:21">
      <c r="G62" s="12">
        <v>61</v>
      </c>
      <c r="H62" s="2">
        <f>H61+Q61-S61</f>
        <v>23814.591180298852</v>
      </c>
      <c r="I62" s="13">
        <v>0.06</v>
      </c>
      <c r="J62" s="2">
        <f>H62*I62</f>
        <v>1428.875470817931</v>
      </c>
      <c r="K62" s="2">
        <f>MROUND(J62/1.85,1)</f>
        <v>772</v>
      </c>
      <c r="L62" s="14">
        <v>2.5</v>
      </c>
      <c r="M62" s="2">
        <f>MROUND(K62*0.85,1)</f>
        <v>656</v>
      </c>
      <c r="N62" s="14">
        <v>3</v>
      </c>
      <c r="O62" s="2">
        <f>K62*2.5</f>
        <v>1930</v>
      </c>
      <c r="P62" s="2">
        <f>M62*3</f>
        <v>1968</v>
      </c>
      <c r="Q62" s="2">
        <f>O62+P62-J62</f>
        <v>2469.1245291820687</v>
      </c>
      <c r="R62" s="16">
        <f t="shared" si="1"/>
        <v>2</v>
      </c>
      <c r="S62" s="2">
        <f t="shared" si="4"/>
        <v>0</v>
      </c>
      <c r="T62" s="2">
        <f>SUM($S$2:S62)</f>
        <v>84000</v>
      </c>
      <c r="U62" s="2">
        <f>U61-S62</f>
        <v>-82500</v>
      </c>
    </row>
    <row r="63" spans="3:21">
      <c r="G63" s="12">
        <v>62</v>
      </c>
      <c r="H63" s="2">
        <f>H62+Q62-S62</f>
        <v>26283.715709480923</v>
      </c>
      <c r="I63" s="13">
        <v>0.06</v>
      </c>
      <c r="J63" s="2">
        <f>H63*I63</f>
        <v>1577.0229425688553</v>
      </c>
      <c r="K63" s="2">
        <f>MROUND(J63/1.85,1)</f>
        <v>852</v>
      </c>
      <c r="L63" s="14">
        <v>2.5</v>
      </c>
      <c r="M63" s="2">
        <f>MROUND(K63*0.85,1)</f>
        <v>724</v>
      </c>
      <c r="N63" s="14">
        <v>3</v>
      </c>
      <c r="O63" s="2">
        <f>K63*2.5</f>
        <v>2130</v>
      </c>
      <c r="P63" s="2">
        <f>M63*3</f>
        <v>2172</v>
      </c>
      <c r="Q63" s="2">
        <f>O63+P63-J63</f>
        <v>2724.9770574311447</v>
      </c>
      <c r="R63" s="16">
        <f t="shared" si="1"/>
        <v>2</v>
      </c>
      <c r="S63" s="2">
        <f t="shared" si="4"/>
        <v>3000</v>
      </c>
      <c r="T63" s="2">
        <f>SUM($S$2:S63)</f>
        <v>87000</v>
      </c>
      <c r="U63" s="2">
        <f>U62-S63</f>
        <v>-85500</v>
      </c>
    </row>
    <row r="64" spans="3:21">
      <c r="G64" s="12">
        <v>63</v>
      </c>
      <c r="H64" s="2">
        <f>H63+Q63-S63</f>
        <v>26008.692766912067</v>
      </c>
      <c r="I64" s="13">
        <v>0.06</v>
      </c>
      <c r="J64" s="2">
        <f>H64*I64</f>
        <v>1560.5215660147239</v>
      </c>
      <c r="K64" s="2">
        <f>MROUND(J64/1.85,1)</f>
        <v>844</v>
      </c>
      <c r="L64" s="14">
        <v>2.5</v>
      </c>
      <c r="M64" s="2">
        <f>MROUND(K64*0.85,1)</f>
        <v>717</v>
      </c>
      <c r="N64" s="14">
        <v>3</v>
      </c>
      <c r="O64" s="2">
        <f>K64*2.5</f>
        <v>2110</v>
      </c>
      <c r="P64" s="2">
        <f>M64*3</f>
        <v>2151</v>
      </c>
      <c r="Q64" s="2">
        <f>O64+P64-J64</f>
        <v>2700.4784339852758</v>
      </c>
      <c r="R64" s="16">
        <f t="shared" si="1"/>
        <v>2</v>
      </c>
      <c r="S64" s="2">
        <f t="shared" si="4"/>
        <v>3000</v>
      </c>
      <c r="T64" s="2">
        <f>SUM($S$2:S64)</f>
        <v>90000</v>
      </c>
      <c r="U64" s="2">
        <f>U63-S64</f>
        <v>-88500</v>
      </c>
    </row>
    <row r="65" spans="7:21">
      <c r="G65" s="12">
        <v>64</v>
      </c>
      <c r="H65" s="2">
        <f>H64+Q64-S64</f>
        <v>25709.171200897341</v>
      </c>
      <c r="I65" s="13">
        <v>0.06</v>
      </c>
      <c r="J65" s="2">
        <f>H65*I65</f>
        <v>1542.5502720538404</v>
      </c>
      <c r="K65" s="2">
        <f>MROUND(J65/1.85,1)</f>
        <v>834</v>
      </c>
      <c r="L65" s="14">
        <v>2.5</v>
      </c>
      <c r="M65" s="2">
        <f>MROUND(K65*0.85,1)</f>
        <v>709</v>
      </c>
      <c r="N65" s="14">
        <v>3</v>
      </c>
      <c r="O65" s="2">
        <f>K65*2.5</f>
        <v>2085</v>
      </c>
      <c r="P65" s="2">
        <f>M65*3</f>
        <v>2127</v>
      </c>
      <c r="Q65" s="2">
        <f>O65+P65-J65</f>
        <v>2669.4497279461593</v>
      </c>
      <c r="R65" s="16">
        <f t="shared" si="1"/>
        <v>2</v>
      </c>
      <c r="S65" s="2">
        <f t="shared" si="4"/>
        <v>3000</v>
      </c>
      <c r="T65" s="2">
        <f>SUM($S$2:S65)</f>
        <v>93000</v>
      </c>
      <c r="U65" s="2">
        <f>U64-S65</f>
        <v>-91500</v>
      </c>
    </row>
    <row r="66" spans="7:21">
      <c r="G66" s="12">
        <v>65</v>
      </c>
      <c r="H66" s="2">
        <f>H65+Q65-S65</f>
        <v>25378.620928843498</v>
      </c>
      <c r="I66" s="13">
        <v>0.06</v>
      </c>
      <c r="J66" s="2">
        <f>H66*I66</f>
        <v>1522.7172557306098</v>
      </c>
      <c r="K66" s="2">
        <f>MROUND(J66/1.85,1)</f>
        <v>823</v>
      </c>
      <c r="L66" s="14">
        <v>2.5</v>
      </c>
      <c r="M66" s="2">
        <f>MROUND(K66*0.85,1)</f>
        <v>700</v>
      </c>
      <c r="N66" s="14">
        <v>3</v>
      </c>
      <c r="O66" s="2">
        <f>K66*2.5</f>
        <v>2057.5</v>
      </c>
      <c r="P66" s="2">
        <f>M66*3</f>
        <v>2100</v>
      </c>
      <c r="Q66" s="2">
        <f>O66+P66-J66</f>
        <v>2634.7827442693902</v>
      </c>
      <c r="R66" s="16">
        <f t="shared" si="1"/>
        <v>2</v>
      </c>
      <c r="S66" s="2">
        <f t="shared" si="4"/>
        <v>3000</v>
      </c>
      <c r="T66" s="2">
        <f>SUM($S$2:S66)</f>
        <v>96000</v>
      </c>
      <c r="U66" s="2">
        <f>U65-S66</f>
        <v>-94500</v>
      </c>
    </row>
    <row r="67" spans="7:21">
      <c r="G67" s="12">
        <v>66</v>
      </c>
      <c r="H67" s="2">
        <f>H66+Q66-S66</f>
        <v>25013.403673112887</v>
      </c>
      <c r="I67" s="13">
        <v>0.06</v>
      </c>
      <c r="J67" s="2">
        <f>H67*I67</f>
        <v>1500.8042203867731</v>
      </c>
      <c r="K67" s="2">
        <f>MROUND(J67/1.85,1)</f>
        <v>811</v>
      </c>
      <c r="L67" s="14">
        <v>2.5</v>
      </c>
      <c r="M67" s="2">
        <f>MROUND(K67*0.85,1)</f>
        <v>689</v>
      </c>
      <c r="N67" s="14">
        <v>3</v>
      </c>
      <c r="O67" s="2">
        <f>K67*2.5</f>
        <v>2027.5</v>
      </c>
      <c r="P67" s="2">
        <f>M67*3</f>
        <v>2067</v>
      </c>
      <c r="Q67" s="2">
        <f>O67+P67-J67</f>
        <v>2593.6957796132269</v>
      </c>
      <c r="R67" s="16">
        <f t="shared" si="1"/>
        <v>2</v>
      </c>
      <c r="S67" s="2">
        <f t="shared" si="4"/>
        <v>3000</v>
      </c>
      <c r="T67" s="2">
        <f>SUM($S$2:S67)</f>
        <v>99000</v>
      </c>
      <c r="U67" s="2">
        <f>U66-S67</f>
        <v>-97500</v>
      </c>
    </row>
    <row r="68" spans="7:21">
      <c r="G68" s="12">
        <v>67</v>
      </c>
      <c r="H68" s="2">
        <f>H67+Q67-S67</f>
        <v>24607.099452726114</v>
      </c>
      <c r="I68" s="13">
        <v>0.06</v>
      </c>
      <c r="J68" s="2">
        <f>H68*I68</f>
        <v>1476.4259671635668</v>
      </c>
      <c r="K68" s="2">
        <f>MROUND(J68/1.85,1)</f>
        <v>798</v>
      </c>
      <c r="L68" s="14">
        <v>2.5</v>
      </c>
      <c r="M68" s="2">
        <f>MROUND(K68*0.85,1)</f>
        <v>678</v>
      </c>
      <c r="N68" s="14">
        <v>3</v>
      </c>
      <c r="O68" s="2">
        <f>K68*2.5</f>
        <v>1995</v>
      </c>
      <c r="P68" s="2">
        <f>M68*3</f>
        <v>2034</v>
      </c>
      <c r="Q68" s="2">
        <f>O68+P68-J68</f>
        <v>2552.5740328364332</v>
      </c>
      <c r="R68" s="16">
        <f t="shared" ref="R68:R81" si="5">R67</f>
        <v>2</v>
      </c>
      <c r="S68" s="2">
        <f t="shared" si="4"/>
        <v>3000</v>
      </c>
      <c r="T68" s="2">
        <f>SUM($S$2:S68)</f>
        <v>102000</v>
      </c>
      <c r="U68" s="2">
        <f>U67-S68</f>
        <v>-100500</v>
      </c>
    </row>
    <row r="69" spans="7:21">
      <c r="G69" s="12">
        <v>68</v>
      </c>
      <c r="H69" s="2">
        <f>H68+Q68-S68</f>
        <v>24159.673485562547</v>
      </c>
      <c r="I69" s="13">
        <v>0.06</v>
      </c>
      <c r="J69" s="2">
        <f>H69*I69</f>
        <v>1449.5804091337527</v>
      </c>
      <c r="K69" s="2">
        <f>MROUND(J69/1.85,1)</f>
        <v>784</v>
      </c>
      <c r="L69" s="14">
        <v>2.5</v>
      </c>
      <c r="M69" s="2">
        <f>MROUND(K69*0.85,1)</f>
        <v>666</v>
      </c>
      <c r="N69" s="14">
        <v>3</v>
      </c>
      <c r="O69" s="2">
        <f>K69*2.5</f>
        <v>1960</v>
      </c>
      <c r="P69" s="2">
        <f>M69*3</f>
        <v>1998</v>
      </c>
      <c r="Q69" s="2">
        <f>O69+P69-J69</f>
        <v>2508.4195908662473</v>
      </c>
      <c r="R69" s="16">
        <f t="shared" si="5"/>
        <v>2</v>
      </c>
      <c r="S69" s="2">
        <f t="shared" si="4"/>
        <v>3000</v>
      </c>
      <c r="T69" s="2">
        <f>SUM($S$2:S69)</f>
        <v>105000</v>
      </c>
      <c r="U69" s="2">
        <f>U68-S69</f>
        <v>-103500</v>
      </c>
    </row>
    <row r="70" spans="7:21">
      <c r="G70" s="12">
        <v>69</v>
      </c>
      <c r="H70" s="2">
        <f>H69+Q69-S69</f>
        <v>23668.093076428795</v>
      </c>
      <c r="I70" s="13">
        <v>0.06</v>
      </c>
      <c r="J70" s="2">
        <f>H70*I70</f>
        <v>1420.0855845857277</v>
      </c>
      <c r="K70" s="2">
        <f>MROUND(J70/1.85,1)</f>
        <v>768</v>
      </c>
      <c r="L70" s="14">
        <v>2.5</v>
      </c>
      <c r="M70" s="2">
        <f>MROUND(K70*0.85,1)</f>
        <v>653</v>
      </c>
      <c r="N70" s="14">
        <v>3</v>
      </c>
      <c r="O70" s="2">
        <f>K70*2.5</f>
        <v>1920</v>
      </c>
      <c r="P70" s="2">
        <f>M70*3</f>
        <v>1959</v>
      </c>
      <c r="Q70" s="2">
        <f>O70+P70-J70</f>
        <v>2458.9144154142723</v>
      </c>
      <c r="R70" s="16">
        <f t="shared" si="5"/>
        <v>2</v>
      </c>
      <c r="S70" s="2">
        <f t="shared" si="4"/>
        <v>0</v>
      </c>
      <c r="T70" s="2">
        <f>SUM($S$2:S70)</f>
        <v>105000</v>
      </c>
      <c r="U70" s="2">
        <f>U69-S70</f>
        <v>-103500</v>
      </c>
    </row>
    <row r="71" spans="7:21">
      <c r="G71" s="12">
        <v>70</v>
      </c>
      <c r="H71" s="2">
        <f>H70+Q70-S70</f>
        <v>26127.007491843069</v>
      </c>
      <c r="I71" s="13">
        <v>0.06</v>
      </c>
      <c r="J71" s="2">
        <f>H71*I71</f>
        <v>1567.6204495105842</v>
      </c>
      <c r="K71" s="2">
        <f>MROUND(J71/1.85,1)</f>
        <v>847</v>
      </c>
      <c r="L71" s="14">
        <v>2.5</v>
      </c>
      <c r="M71" s="2">
        <f>MROUND(K71*0.85,1)</f>
        <v>720</v>
      </c>
      <c r="N71" s="14">
        <v>3</v>
      </c>
      <c r="O71" s="2">
        <f>K71*2.5</f>
        <v>2117.5</v>
      </c>
      <c r="P71" s="2">
        <f>M71*3</f>
        <v>2160</v>
      </c>
      <c r="Q71" s="2">
        <f>O71+P71-J71</f>
        <v>2709.879550489416</v>
      </c>
      <c r="R71" s="16">
        <f t="shared" si="5"/>
        <v>2</v>
      </c>
      <c r="S71" s="2">
        <f t="shared" si="4"/>
        <v>3000</v>
      </c>
      <c r="T71" s="2">
        <f>SUM($S$2:S71)</f>
        <v>108000</v>
      </c>
      <c r="U71" s="2">
        <f>U70-S71</f>
        <v>-106500</v>
      </c>
    </row>
    <row r="72" spans="7:21">
      <c r="G72" s="12">
        <v>71</v>
      </c>
      <c r="H72" s="2">
        <f>H71+Q71-S71</f>
        <v>25836.887042332484</v>
      </c>
      <c r="I72" s="13">
        <v>0.06</v>
      </c>
      <c r="J72" s="2">
        <f>H72*I72</f>
        <v>1550.2132225399489</v>
      </c>
      <c r="K72" s="2">
        <f>MROUND(J72/1.85,1)</f>
        <v>838</v>
      </c>
      <c r="L72" s="14">
        <v>2.5</v>
      </c>
      <c r="M72" s="2">
        <f>MROUND(K72*0.85,1)</f>
        <v>712</v>
      </c>
      <c r="N72" s="14">
        <v>3</v>
      </c>
      <c r="O72" s="2">
        <f>K72*2.5</f>
        <v>2095</v>
      </c>
      <c r="P72" s="2">
        <f>M72*3</f>
        <v>2136</v>
      </c>
      <c r="Q72" s="2">
        <f>O72+P72-J72</f>
        <v>2680.7867774600509</v>
      </c>
      <c r="R72" s="16">
        <f t="shared" si="5"/>
        <v>2</v>
      </c>
      <c r="S72" s="2">
        <f t="shared" si="4"/>
        <v>3000</v>
      </c>
      <c r="T72" s="2">
        <f>SUM($S$2:S72)</f>
        <v>111000</v>
      </c>
      <c r="U72" s="2">
        <f>U71-S72</f>
        <v>-109500</v>
      </c>
    </row>
    <row r="73" spans="7:21">
      <c r="G73" s="12">
        <v>72</v>
      </c>
      <c r="H73" s="2">
        <f>H72+Q72-S72</f>
        <v>25517.673819792537</v>
      </c>
      <c r="I73" s="13">
        <v>0.06</v>
      </c>
      <c r="J73" s="2">
        <f>H73*I73</f>
        <v>1531.0604291875522</v>
      </c>
      <c r="K73" s="2">
        <f>MROUND(J73/1.85,1)</f>
        <v>828</v>
      </c>
      <c r="L73" s="14">
        <v>2.5</v>
      </c>
      <c r="M73" s="2">
        <f>MROUND(K73*0.85,1)</f>
        <v>704</v>
      </c>
      <c r="N73" s="14">
        <v>3</v>
      </c>
      <c r="O73" s="2">
        <f>K73*2.5</f>
        <v>2070</v>
      </c>
      <c r="P73" s="2">
        <f>M73*3</f>
        <v>2112</v>
      </c>
      <c r="Q73" s="2">
        <f>O73+P73-J73</f>
        <v>2650.9395708124475</v>
      </c>
      <c r="R73" s="16">
        <f t="shared" si="5"/>
        <v>2</v>
      </c>
      <c r="S73" s="2">
        <f t="shared" ref="S73:S81" si="6">MROUND(IF((Q73*R73)&lt;5000,0,3000),10)</f>
        <v>3000</v>
      </c>
      <c r="T73" s="2">
        <f>SUM($S$2:S73)</f>
        <v>114000</v>
      </c>
      <c r="U73" s="2">
        <f>U72-S73</f>
        <v>-112500</v>
      </c>
    </row>
    <row r="74" spans="7:21">
      <c r="G74" s="12">
        <v>73</v>
      </c>
      <c r="H74" s="2">
        <f>H73+Q73-S73</f>
        <v>25168.613390604984</v>
      </c>
      <c r="I74" s="13">
        <v>0.06</v>
      </c>
      <c r="J74" s="2">
        <f>H74*I74</f>
        <v>1510.1168034362991</v>
      </c>
      <c r="K74" s="2">
        <f>MROUND(J74/1.85,1)</f>
        <v>816</v>
      </c>
      <c r="L74" s="14">
        <v>2.5</v>
      </c>
      <c r="M74" s="2">
        <f>MROUND(K74*0.85,1)</f>
        <v>694</v>
      </c>
      <c r="N74" s="14">
        <v>3</v>
      </c>
      <c r="O74" s="2">
        <f>K74*2.5</f>
        <v>2040</v>
      </c>
      <c r="P74" s="2">
        <f>M74*3</f>
        <v>2082</v>
      </c>
      <c r="Q74" s="2">
        <f>O74+P74-J74</f>
        <v>2611.8831965637009</v>
      </c>
      <c r="R74" s="16">
        <f t="shared" si="5"/>
        <v>2</v>
      </c>
      <c r="S74" s="2">
        <f t="shared" si="6"/>
        <v>3000</v>
      </c>
      <c r="T74" s="2">
        <f>SUM($S$2:S74)</f>
        <v>117000</v>
      </c>
      <c r="U74" s="2">
        <f>U73-S74</f>
        <v>-115500</v>
      </c>
    </row>
    <row r="75" spans="7:21">
      <c r="G75" s="12">
        <v>74</v>
      </c>
      <c r="H75" s="2">
        <f>H74+Q74-S74</f>
        <v>24780.496587168684</v>
      </c>
      <c r="I75" s="13">
        <v>0.06</v>
      </c>
      <c r="J75" s="2">
        <f>H75*I75</f>
        <v>1486.8297952301209</v>
      </c>
      <c r="K75" s="2">
        <f>MROUND(J75/1.85,1)</f>
        <v>804</v>
      </c>
      <c r="L75" s="14">
        <v>2.5</v>
      </c>
      <c r="M75" s="2">
        <f>MROUND(K75*0.85,1)</f>
        <v>683</v>
      </c>
      <c r="N75" s="14">
        <v>3</v>
      </c>
      <c r="O75" s="2">
        <f>K75*2.5</f>
        <v>2010</v>
      </c>
      <c r="P75" s="2">
        <f>M75*3</f>
        <v>2049</v>
      </c>
      <c r="Q75" s="2">
        <f>O75+P75-J75</f>
        <v>2572.1702047698791</v>
      </c>
      <c r="R75" s="16">
        <f t="shared" si="5"/>
        <v>2</v>
      </c>
      <c r="S75" s="2">
        <f t="shared" si="6"/>
        <v>3000</v>
      </c>
      <c r="T75" s="2">
        <f>SUM($S$2:S75)</f>
        <v>120000</v>
      </c>
      <c r="U75" s="2">
        <f>U74-S75</f>
        <v>-118500</v>
      </c>
    </row>
    <row r="76" spans="7:21">
      <c r="G76" s="12">
        <v>75</v>
      </c>
      <c r="H76" s="2">
        <f>H75+Q75-S75</f>
        <v>24352.666791938562</v>
      </c>
      <c r="I76" s="13">
        <v>0.06</v>
      </c>
      <c r="J76" s="2">
        <f>H76*I76</f>
        <v>1461.1600075163137</v>
      </c>
      <c r="K76" s="2">
        <f>MROUND(J76/1.85,1)</f>
        <v>790</v>
      </c>
      <c r="L76" s="14">
        <v>2.5</v>
      </c>
      <c r="M76" s="2">
        <f>MROUND(K76*0.85,1)</f>
        <v>672</v>
      </c>
      <c r="N76" s="14">
        <v>3</v>
      </c>
      <c r="O76" s="2">
        <f>K76*2.5</f>
        <v>1975</v>
      </c>
      <c r="P76" s="2">
        <f>M76*3</f>
        <v>2016</v>
      </c>
      <c r="Q76" s="2">
        <f>O76+P76-J76</f>
        <v>2529.8399924836863</v>
      </c>
      <c r="R76" s="16">
        <f t="shared" si="5"/>
        <v>2</v>
      </c>
      <c r="S76" s="2">
        <f t="shared" si="6"/>
        <v>3000</v>
      </c>
      <c r="T76" s="2">
        <f>SUM($S$2:S76)</f>
        <v>123000</v>
      </c>
      <c r="U76" s="2">
        <f>U75-S76</f>
        <v>-121500</v>
      </c>
    </row>
    <row r="77" spans="7:21">
      <c r="G77" s="12">
        <v>76</v>
      </c>
      <c r="H77" s="2">
        <f>H76+Q76-S76</f>
        <v>23882.506784422247</v>
      </c>
      <c r="I77" s="13">
        <v>0.06</v>
      </c>
      <c r="J77" s="2">
        <f>H77*I77</f>
        <v>1432.9504070653347</v>
      </c>
      <c r="K77" s="2">
        <f>MROUND(J77/1.85,1)</f>
        <v>775</v>
      </c>
      <c r="L77" s="14">
        <v>2.5</v>
      </c>
      <c r="M77" s="2">
        <f>MROUND(K77*0.85,1)</f>
        <v>659</v>
      </c>
      <c r="N77" s="14">
        <v>3</v>
      </c>
      <c r="O77" s="2">
        <f>K77*2.5</f>
        <v>1937.5</v>
      </c>
      <c r="P77" s="2">
        <f>M77*3</f>
        <v>1977</v>
      </c>
      <c r="Q77" s="2">
        <f>O77+P77-J77</f>
        <v>2481.5495929346653</v>
      </c>
      <c r="R77" s="16">
        <f t="shared" si="5"/>
        <v>2</v>
      </c>
      <c r="S77" s="2">
        <f t="shared" si="6"/>
        <v>0</v>
      </c>
      <c r="T77" s="2">
        <f>SUM($S$2:S77)</f>
        <v>123000</v>
      </c>
      <c r="U77" s="2">
        <f>U76-S77</f>
        <v>-121500</v>
      </c>
    </row>
    <row r="78" spans="7:21">
      <c r="G78" s="12">
        <v>77</v>
      </c>
      <c r="H78" s="2">
        <f>H77+Q77-S77</f>
        <v>26364.056377356912</v>
      </c>
      <c r="I78" s="13">
        <v>0.06</v>
      </c>
      <c r="J78" s="2">
        <f>H78*I78</f>
        <v>1581.8433826414146</v>
      </c>
      <c r="K78" s="2">
        <f>MROUND(J78/1.85,1)</f>
        <v>855</v>
      </c>
      <c r="L78" s="14">
        <v>2.5</v>
      </c>
      <c r="M78" s="2">
        <f>MROUND(K78*0.85,1)</f>
        <v>727</v>
      </c>
      <c r="N78" s="14">
        <v>3</v>
      </c>
      <c r="O78" s="2">
        <f>K78*2.5</f>
        <v>2137.5</v>
      </c>
      <c r="P78" s="2">
        <f>M78*3</f>
        <v>2181</v>
      </c>
      <c r="Q78" s="2">
        <f>O78+P78-J78</f>
        <v>2736.6566173585852</v>
      </c>
      <c r="R78" s="16">
        <f t="shared" si="5"/>
        <v>2</v>
      </c>
      <c r="S78" s="2">
        <f t="shared" si="6"/>
        <v>3000</v>
      </c>
      <c r="T78" s="2">
        <f>SUM($S$2:S78)</f>
        <v>126000</v>
      </c>
      <c r="U78" s="2">
        <f>U77-S78</f>
        <v>-124500</v>
      </c>
    </row>
    <row r="79" spans="7:21">
      <c r="G79" s="12">
        <v>78</v>
      </c>
      <c r="H79" s="2">
        <f>H78+Q78-S78</f>
        <v>26100.712994715497</v>
      </c>
      <c r="I79" s="13">
        <v>0.06</v>
      </c>
      <c r="J79" s="2">
        <f>H79*I79</f>
        <v>1566.0427796829297</v>
      </c>
      <c r="K79" s="2">
        <f>MROUND(J79/1.85,1)</f>
        <v>847</v>
      </c>
      <c r="L79" s="14">
        <v>2.5</v>
      </c>
      <c r="M79" s="2">
        <f>MROUND(K79*0.85,1)</f>
        <v>720</v>
      </c>
      <c r="N79" s="14">
        <v>3</v>
      </c>
      <c r="O79" s="2">
        <f>K79*2.5</f>
        <v>2117.5</v>
      </c>
      <c r="P79" s="2">
        <f>M79*3</f>
        <v>2160</v>
      </c>
      <c r="Q79" s="2">
        <f>O79+P79-J79</f>
        <v>2711.4572203170701</v>
      </c>
      <c r="R79" s="16">
        <f t="shared" si="5"/>
        <v>2</v>
      </c>
      <c r="S79" s="2">
        <f t="shared" si="6"/>
        <v>3000</v>
      </c>
      <c r="T79" s="2">
        <f>SUM($S$2:S79)</f>
        <v>129000</v>
      </c>
      <c r="U79" s="2">
        <f>U78-S79</f>
        <v>-127500</v>
      </c>
    </row>
    <row r="80" spans="7:21">
      <c r="G80" s="12">
        <v>79</v>
      </c>
      <c r="H80" s="2">
        <f>H79+Q79-S79</f>
        <v>25812.170215032565</v>
      </c>
      <c r="I80" s="13">
        <v>0.06</v>
      </c>
      <c r="J80" s="2">
        <f>H80*I80</f>
        <v>1548.7302129019538</v>
      </c>
      <c r="K80" s="2">
        <f>MROUND(J80/1.85,1)</f>
        <v>837</v>
      </c>
      <c r="L80" s="14">
        <v>2.5</v>
      </c>
      <c r="M80" s="2">
        <f>MROUND(K80*0.85,1)</f>
        <v>711</v>
      </c>
      <c r="N80" s="14">
        <v>3</v>
      </c>
      <c r="O80" s="2">
        <f>K80*2.5</f>
        <v>2092.5</v>
      </c>
      <c r="P80" s="2">
        <f>M80*3</f>
        <v>2133</v>
      </c>
      <c r="Q80" s="2">
        <f>O80+P80-J80</f>
        <v>2676.7697870980464</v>
      </c>
      <c r="R80" s="16">
        <f t="shared" si="5"/>
        <v>2</v>
      </c>
      <c r="S80" s="2">
        <f t="shared" si="6"/>
        <v>3000</v>
      </c>
      <c r="T80" s="2">
        <f>SUM($S$2:S80)</f>
        <v>132000</v>
      </c>
      <c r="U80" s="2">
        <f>U79-S80</f>
        <v>-130500</v>
      </c>
    </row>
    <row r="81" spans="7:21">
      <c r="G81" s="12">
        <v>80</v>
      </c>
      <c r="H81" s="2">
        <f>H80+Q80-S80</f>
        <v>25488.940002130614</v>
      </c>
      <c r="I81" s="13">
        <v>0.06</v>
      </c>
      <c r="J81" s="2">
        <f>H81*I81</f>
        <v>1529.3364001278367</v>
      </c>
      <c r="K81" s="2">
        <f>MROUND(J81/1.85,1)</f>
        <v>827</v>
      </c>
      <c r="L81" s="14">
        <v>2.5</v>
      </c>
      <c r="M81" s="2">
        <f>MROUND(K81*0.85,1)</f>
        <v>703</v>
      </c>
      <c r="N81" s="14">
        <v>3</v>
      </c>
      <c r="O81" s="2">
        <f>K81*2.5</f>
        <v>2067.5</v>
      </c>
      <c r="P81" s="2">
        <f>M81*3</f>
        <v>2109</v>
      </c>
      <c r="Q81" s="2">
        <f>O81+P81-J81</f>
        <v>2647.1635998721631</v>
      </c>
      <c r="R81" s="16">
        <f t="shared" si="5"/>
        <v>2</v>
      </c>
      <c r="S81" s="2">
        <f t="shared" si="6"/>
        <v>3000</v>
      </c>
      <c r="T81" s="2">
        <f>SUM($S$2:S81)</f>
        <v>135000</v>
      </c>
      <c r="U81" s="2">
        <f>U80-S81</f>
        <v>-133500</v>
      </c>
    </row>
    <row r="82" spans="7:21">
      <c r="H82" s="2">
        <f>H81+Q81-S81</f>
        <v>25136.103602002775</v>
      </c>
      <c r="S82" s="2"/>
      <c r="U82" s="2">
        <f>U81-S82</f>
        <v>-133500</v>
      </c>
    </row>
  </sheetData>
  <sortState xmlns:xlrd2="http://schemas.microsoft.com/office/spreadsheetml/2017/richdata2" ref="C50:D93">
    <sortCondition ref="C50:C93"/>
  </sortState>
  <conditionalFormatting sqref="H2:H82">
    <cfRule type="expression" dxfId="3" priority="4">
      <formula>(H2-H1)&gt;4300</formula>
    </cfRule>
  </conditionalFormatting>
  <conditionalFormatting sqref="H70 G70:G81 G2:Q2 G3:H69 J3:Q70 I3:I81 R2:S82">
    <cfRule type="expression" dxfId="2" priority="3">
      <formula>G3=G2+10</formula>
    </cfRule>
  </conditionalFormatting>
  <conditionalFormatting sqref="H71:H82 J71:Q81">
    <cfRule type="expression" dxfId="1" priority="2">
      <formula>H72=H71+10</formula>
    </cfRule>
  </conditionalFormatting>
  <conditionalFormatting sqref="S2:S82">
    <cfRule type="expression" dxfId="0" priority="1">
      <formula>$S2&gt;0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Tebello Lelosa</dc:creator>
  <cp:keywords/>
  <dc:description/>
  <cp:lastModifiedBy>Tebello Lelosa</cp:lastModifiedBy>
  <cp:revision/>
  <dcterms:created xsi:type="dcterms:W3CDTF">2026-01-08T12:03:45Z</dcterms:created>
  <dcterms:modified xsi:type="dcterms:W3CDTF">2026-01-12T05:32:08Z</dcterms:modified>
  <cp:category/>
  <cp:contentStatus/>
</cp:coreProperties>
</file>